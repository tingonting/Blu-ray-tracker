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tables/table1.xml" ContentType="application/vnd.openxmlformats-officedocument.spreadsheetml.table+xml"/>
  <Override PartName="/xl/worksheets/sheet6.xml" ContentType="application/vnd.openxmlformats-officedocument.spreadsheetml.worksheet+xml"/>
  <Override PartName="/xl/tables/table2.xml" ContentType="application/vnd.openxmlformats-officedocument.spreadsheetml.table+xml"/>
  <Override PartName="/xl/worksheets/sheet7.xml" ContentType="application/vnd.openxmlformats-officedocument.spreadsheetml.worksheet+xml"/>
  <Override PartName="/xl/tables/table3.xml" ContentType="application/vnd.openxmlformats-officedocument.spreadsheetml.table+xml"/>
  <Override PartName="/xl/worksheets/sheet8.xml" ContentType="application/vnd.openxmlformats-officedocument.spreadsheetml.worksheet+xml"/>
  <Override PartName="/xl/tables/table4.xml" ContentType="application/vnd.openxmlformats-officedocument.spreadsheetml.table+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120" yWindow="-120" windowWidth="29040" windowHeight="15720" tabRatio="600" firstSheet="0" activeTab="2" autoFilterDateGrouping="1"/>
  </bookViews>
  <sheets>
    <sheet name="Dashboard" sheetId="1" state="visible" r:id="rId1"/>
    <sheet name="Collection" sheetId="2" state="visible" r:id="rId2"/>
    <sheet name="Wishlist" sheetId="3" state="visible" r:id="rId3"/>
    <sheet name="Franchise Tracker" sheetId="4" state="visible" r:id="rId4"/>
    <sheet name="Actors" sheetId="5" state="visible" r:id="rId5"/>
    <sheet name="Directors" sheetId="6" state="visible" r:id="rId6"/>
    <sheet name="Awards" sheetId="7" state="visible" r:id="rId7"/>
    <sheet name="Ratings" sheetId="8" state="visible" r:id="rId8"/>
  </sheets>
  <definedNames/>
  <calcPr calcId="191029" fullCalcOnLoad="1"/>
</workbook>
</file>

<file path=xl/styles.xml><?xml version="1.0" encoding="utf-8"?>
<styleSheet xmlns="http://schemas.openxmlformats.org/spreadsheetml/2006/main">
  <numFmts count="4">
    <numFmt numFmtId="164" formatCode="\£0.00"/>
    <numFmt numFmtId="165" formatCode="dd\-mmm\-yyyy"/>
    <numFmt numFmtId="166" formatCode="0.0"/>
    <numFmt numFmtId="167" formatCode="0.0%"/>
  </numFmts>
  <fonts count="24">
    <font>
      <name val="Calibri"/>
      <color theme="1"/>
      <sz val="11"/>
    </font>
    <font>
      <name val="Calibri"/>
      <b val="1"/>
      <color rgb="FFFFFFFF"/>
      <sz val="18"/>
    </font>
    <font>
      <name val="Calibri"/>
      <i val="1"/>
      <color rgb="FFDCE6F1"/>
      <sz val="10"/>
    </font>
    <font>
      <name val="Calibri"/>
      <b val="1"/>
      <color rgb="FF0B1F33"/>
      <sz val="11"/>
    </font>
    <font>
      <name val="Arial"/>
      <b val="1"/>
      <color rgb="FFFFFFFF"/>
      <sz val="18"/>
    </font>
    <font>
      <name val="Calibri"/>
      <color theme="1"/>
      <sz val="11"/>
    </font>
    <font>
      <name val="Arial"/>
      <i val="1"/>
      <color rgb="FFDCE6F1"/>
      <sz val="10"/>
    </font>
    <font>
      <name val="Arial"/>
      <b val="1"/>
      <color rgb="FF0B1F33"/>
      <sz val="11"/>
    </font>
    <font>
      <name val="Arial"/>
      <color theme="1"/>
      <sz val="10"/>
    </font>
    <font>
      <name val="Arial"/>
      <i val="1"/>
      <color rgb="FF9CA3AF"/>
      <sz val="11"/>
    </font>
    <font>
      <name val="Arial"/>
      <color rgb="FF0000FF"/>
      <sz val="11"/>
    </font>
    <font>
      <name val="Arial"/>
      <b val="1"/>
      <color rgb="FFFFFFFF"/>
      <sz val="20"/>
    </font>
    <font>
      <name val="Arial"/>
      <color rgb="FF1F2937"/>
      <sz val="10"/>
    </font>
    <font>
      <name val="Arial"/>
      <b val="1"/>
      <color rgb="FF0B1F33"/>
      <sz val="12"/>
    </font>
    <font>
      <name val="Calibri"/>
      <color rgb="FF1F2937"/>
      <sz val="11"/>
    </font>
    <font>
      <name val="Calibri"/>
      <b val="1"/>
      <color rgb="FF0B1F33"/>
      <sz val="12"/>
    </font>
    <font>
      <name val="Arial"/>
      <b val="1"/>
      <color rgb="FF1F2937"/>
      <sz val="11"/>
    </font>
    <font>
      <name val="Arial"/>
      <b val="1"/>
      <color rgb="FF0B1F33"/>
      <sz val="10"/>
    </font>
    <font>
      <name val="Arial"/>
      <i val="1"/>
      <color rgb="FF6B7280"/>
      <sz val="9"/>
    </font>
    <font>
      <name val="Arial"/>
      <i val="1"/>
      <color rgb="FF1F2937"/>
      <sz val="9"/>
    </font>
    <font>
      <name val="Calibri"/>
      <color theme="1"/>
      <sz val="11"/>
    </font>
    <font>
      <name val="Calibri"/>
      <i val="1"/>
      <color rgb="FFDCE6F1"/>
      <sz val="11"/>
    </font>
    <font>
      <name val="Calibri"/>
      <color theme="1"/>
      <sz val="11"/>
    </font>
    <font>
      <name val="Calibri"/>
      <b val="1"/>
      <color rgb="FFFFFFFF"/>
      <sz val="14"/>
    </font>
  </fonts>
  <fills count="15">
    <fill>
      <patternFill/>
    </fill>
    <fill>
      <patternFill patternType="gray125"/>
    </fill>
    <fill>
      <patternFill patternType="solid">
        <fgColor rgb="FF0B1F33"/>
      </patternFill>
    </fill>
    <fill>
      <patternFill patternType="solid">
        <fgColor rgb="FF163A5F"/>
      </patternFill>
    </fill>
    <fill>
      <patternFill patternType="solid">
        <fgColor rgb="FFD7B56D"/>
      </patternFill>
    </fill>
    <fill>
      <patternFill patternType="solid">
        <fgColor rgb="FFEAF2F8"/>
      </patternFill>
    </fill>
    <fill>
      <patternFill patternType="solid">
        <fgColor rgb="FFF7F3E8"/>
      </patternFill>
    </fill>
    <fill>
      <patternFill patternType="solid">
        <fgColor rgb="FF0B1F33"/>
      </patternFill>
    </fill>
    <fill>
      <patternFill patternType="solid">
        <fgColor rgb="FF163A5F"/>
      </patternFill>
    </fill>
    <fill>
      <patternFill patternType="solid">
        <fgColor rgb="FFD7B56D"/>
      </patternFill>
    </fill>
    <fill>
      <patternFill patternType="solid">
        <fgColor rgb="FFF7F3E8"/>
      </patternFill>
    </fill>
    <fill>
      <patternFill patternType="solid">
        <fgColor rgb="FF0B1F33"/>
      </patternFill>
    </fill>
    <fill>
      <patternFill patternType="solid">
        <fgColor rgb="FF163A5F"/>
      </patternFill>
    </fill>
    <fill>
      <patternFill patternType="solid">
        <fgColor rgb="FFD7B56D"/>
      </patternFill>
    </fill>
    <fill>
      <patternFill patternType="solid">
        <fgColor rgb="FFF7F3E8"/>
      </patternFill>
    </fill>
  </fills>
  <borders count="26">
    <border>
      <left/>
      <right/>
      <top/>
      <bottom/>
      <diagonal/>
    </border>
    <border>
      <left style="thin">
        <color rgb="FFD1D5DB"/>
      </left>
      <right style="thin">
        <color rgb="FFD1D5DB"/>
      </right>
      <top style="thin">
        <color rgb="FFD1D5DB"/>
      </top>
      <bottom style="thin">
        <color rgb="FFD1D5DB"/>
      </bottom>
      <diagonal/>
    </border>
    <border>
      <left style="thin">
        <color rgb="FFD1D5DB"/>
      </left>
      <right style="thin">
        <color rgb="FFD1D5DB"/>
      </right>
      <top style="thin">
        <color rgb="FFD1D5DB"/>
      </top>
      <bottom style="thin">
        <color rgb="FF0B1F33"/>
      </bottom>
      <diagonal/>
    </border>
    <border>
      <left/>
      <right/>
      <top/>
      <bottom style="thin">
        <color rgb="FF0B1F33"/>
      </bottom>
      <diagonal/>
    </border>
    <border>
      <left style="hair">
        <color rgb="FFD6D3C9"/>
      </left>
      <right style="thin">
        <color rgb="FFD1D5DB"/>
      </right>
      <top style="hair">
        <color rgb="FFD6D3C9"/>
      </top>
      <bottom style="thin">
        <color rgb="FFD1D5DB"/>
      </bottom>
      <diagonal/>
    </border>
    <border>
      <left style="thin">
        <color rgb="FFD1D5DB"/>
      </left>
      <right style="hair">
        <color rgb="FFD6D3C9"/>
      </right>
      <top style="hair">
        <color rgb="FFD6D3C9"/>
      </top>
      <bottom style="thin">
        <color rgb="FFD1D5DB"/>
      </bottom>
      <diagonal/>
    </border>
    <border>
      <left style="hair">
        <color rgb="FFD6D3C9"/>
      </left>
      <right/>
      <top style="hair">
        <color rgb="FFD6D3C9"/>
      </top>
      <bottom/>
      <diagonal/>
    </border>
    <border>
      <left/>
      <right style="hair">
        <color rgb="FFD6D3C9"/>
      </right>
      <top style="hair">
        <color rgb="FFD6D3C9"/>
      </top>
      <bottom/>
      <diagonal/>
    </border>
    <border>
      <left style="hair">
        <color rgb="FFD6D3C9"/>
      </left>
      <right style="thin">
        <color rgb="FFD1D5DB"/>
      </right>
      <top style="thin">
        <color rgb="FFD1D5DB"/>
      </top>
      <bottom style="thin">
        <color rgb="FFD1D5DB"/>
      </bottom>
      <diagonal/>
    </border>
    <border>
      <left style="thin">
        <color rgb="FFD1D5DB"/>
      </left>
      <right style="hair">
        <color rgb="FFD6D3C9"/>
      </right>
      <top style="thin">
        <color rgb="FFD1D5DB"/>
      </top>
      <bottom style="thin">
        <color rgb="FFD1D5DB"/>
      </bottom>
      <diagonal/>
    </border>
    <border>
      <left style="hair">
        <color rgb="FFD6D3C9"/>
      </left>
      <right/>
      <top/>
      <bottom/>
      <diagonal/>
    </border>
    <border>
      <left/>
      <right style="hair">
        <color rgb="FFD6D3C9"/>
      </right>
      <top/>
      <bottom/>
      <diagonal/>
    </border>
    <border>
      <left style="hair">
        <color rgb="FFD6D3C9"/>
      </left>
      <right style="thin">
        <color rgb="FFD1D5DB"/>
      </right>
      <top style="thin">
        <color rgb="FFD1D5DB"/>
      </top>
      <bottom style="hair">
        <color rgb="FFD6D3C9"/>
      </bottom>
      <diagonal/>
    </border>
    <border>
      <left style="thin">
        <color rgb="FFD1D5DB"/>
      </left>
      <right style="hair">
        <color rgb="FFD6D3C9"/>
      </right>
      <top style="thin">
        <color rgb="FFD1D5DB"/>
      </top>
      <bottom style="hair">
        <color rgb="FFD6D3C9"/>
      </bottom>
      <diagonal/>
    </border>
    <border>
      <left style="hair">
        <color rgb="FFD6D3C9"/>
      </left>
      <right/>
      <top/>
      <bottom style="hair">
        <color rgb="FFD6D3C9"/>
      </bottom>
      <diagonal/>
    </border>
    <border>
      <left/>
      <right style="hair">
        <color rgb="FFD6D3C9"/>
      </right>
      <top/>
      <bottom style="hair">
        <color rgb="FFD6D3C9"/>
      </bottom>
      <diagonal/>
    </border>
    <border>
      <left/>
      <right/>
      <top style="thin">
        <color rgb="FFD1D5DB"/>
      </top>
      <bottom style="thin">
        <color rgb="FF0B1F33"/>
      </bottom>
      <diagonal/>
    </border>
    <border>
      <left/>
      <right style="thin">
        <color rgb="FFD1D5DB"/>
      </right>
      <top style="thin">
        <color rgb="FFD1D5DB"/>
      </top>
      <bottom style="thin">
        <color rgb="FF0B1F33"/>
      </bottom>
      <diagonal/>
    </border>
    <border>
      <left style="thin">
        <color rgb="FFD1D5DB"/>
      </left>
      <right/>
      <top/>
      <bottom/>
      <diagonal/>
    </border>
    <border>
      <left/>
      <right/>
      <top style="hair">
        <color rgb="FFD6D3C9"/>
      </top>
      <bottom/>
      <diagonal/>
    </border>
    <border>
      <left/>
      <right style="thin">
        <color rgb="FFD1D5DB"/>
      </right>
      <top/>
      <bottom/>
      <diagonal/>
    </border>
    <border>
      <left/>
      <right/>
      <top/>
      <bottom style="hair">
        <color rgb="FFD6D3C9"/>
      </bottom>
      <diagonal/>
    </border>
    <border>
      <left style="thin">
        <color rgb="FFD1D5DB"/>
      </left>
      <right/>
      <top/>
      <bottom style="hair">
        <color rgb="FFE5E7EB"/>
      </bottom>
      <diagonal/>
    </border>
    <border>
      <left/>
      <right/>
      <top/>
      <bottom style="hair">
        <color rgb="FFE5E7EB"/>
      </bottom>
      <diagonal/>
    </border>
    <border>
      <left/>
      <right style="thin">
        <color rgb="FFD1D5DB"/>
      </right>
      <top/>
      <bottom style="hair">
        <color rgb="FFE5E7EB"/>
      </bottom>
      <diagonal/>
    </border>
    <border>
      <left style="thin">
        <color rgb="FFD1D5DB"/>
      </left>
      <right style="thin">
        <color rgb="FFD1D5DB"/>
      </right>
      <top/>
      <bottom/>
      <diagonal/>
    </border>
  </borders>
  <cellStyleXfs count="1">
    <xf numFmtId="0" fontId="22" fillId="0" borderId="0"/>
  </cellStyleXfs>
  <cellXfs count="109">
    <xf numFmtId="0" fontId="0" fillId="0" borderId="0" pivotButton="0" quotePrefix="0" xfId="0"/>
    <xf numFmtId="0" fontId="5" fillId="0" borderId="0" pivotButton="0" quotePrefix="0" xfId="0"/>
    <xf numFmtId="0" fontId="7" fillId="4" borderId="1" applyAlignment="1" pivotButton="0" quotePrefix="0" xfId="0">
      <alignment horizontal="center" vertical="center" wrapText="1"/>
    </xf>
    <xf numFmtId="49" fontId="5" fillId="0" borderId="0" pivotButton="0" quotePrefix="0" xfId="0"/>
    <xf numFmtId="0" fontId="5" fillId="0" borderId="0" applyAlignment="1" pivotButton="0" quotePrefix="0" xfId="0">
      <alignment wrapText="1"/>
    </xf>
    <xf numFmtId="0" fontId="8" fillId="0" borderId="1" pivotButton="0" quotePrefix="0" xfId="0"/>
    <xf numFmtId="0" fontId="3" fillId="4" borderId="0" applyAlignment="1" pivotButton="0" quotePrefix="0" xfId="0">
      <alignment horizontal="center" wrapText="1"/>
    </xf>
    <xf numFmtId="0" fontId="9" fillId="0" borderId="0" pivotButton="0" quotePrefix="0" xfId="0"/>
    <xf numFmtId="164" fontId="9" fillId="0" borderId="0" pivotButton="0" quotePrefix="0" xfId="0"/>
    <xf numFmtId="165" fontId="9" fillId="0" borderId="0" pivotButton="0" quotePrefix="0" xfId="0"/>
    <xf numFmtId="0" fontId="10" fillId="5" borderId="1" pivotButton="0" quotePrefix="0" xfId="0"/>
    <xf numFmtId="0" fontId="5" fillId="0" borderId="1" pivotButton="0" quotePrefix="0" xfId="0"/>
    <xf numFmtId="164" fontId="5" fillId="0" borderId="1" pivotButton="0" quotePrefix="0" xfId="0"/>
    <xf numFmtId="9" fontId="8" fillId="0" borderId="1" pivotButton="0" quotePrefix="0" xfId="0"/>
    <xf numFmtId="165" fontId="5" fillId="0" borderId="1" pivotButton="0" quotePrefix="0" xfId="0"/>
    <xf numFmtId="0" fontId="7" fillId="4" borderId="2" applyAlignment="1" pivotButton="0" quotePrefix="0" xfId="0">
      <alignment horizontal="center" vertical="center" wrapText="1"/>
    </xf>
    <xf numFmtId="0" fontId="3" fillId="4" borderId="3" applyAlignment="1" pivotButton="0" quotePrefix="0" xfId="0">
      <alignment horizontal="center" vertical="center"/>
    </xf>
    <xf numFmtId="0" fontId="12" fillId="6" borderId="4" pivotButton="0" quotePrefix="0" xfId="0"/>
    <xf numFmtId="0" fontId="13" fillId="6" borderId="5" pivotButton="0" quotePrefix="0" xfId="0"/>
    <xf numFmtId="0" fontId="14" fillId="6" borderId="6" pivotButton="0" quotePrefix="0" xfId="0"/>
    <xf numFmtId="0" fontId="15" fillId="6" borderId="7" pivotButton="0" quotePrefix="0" xfId="0"/>
    <xf numFmtId="166" fontId="15" fillId="6" borderId="7" pivotButton="0" quotePrefix="0" xfId="0"/>
    <xf numFmtId="0" fontId="12" fillId="6" borderId="8" pivotButton="0" quotePrefix="0" xfId="0"/>
    <xf numFmtId="0" fontId="13" fillId="6" borderId="9" pivotButton="0" quotePrefix="0" xfId="0"/>
    <xf numFmtId="0" fontId="14" fillId="6" borderId="10" pivotButton="0" quotePrefix="0" xfId="0"/>
    <xf numFmtId="0" fontId="15" fillId="6" borderId="11" pivotButton="0" quotePrefix="0" xfId="0"/>
    <xf numFmtId="0" fontId="12" fillId="6" borderId="12" pivotButton="0" quotePrefix="0" xfId="0"/>
    <xf numFmtId="0" fontId="13" fillId="6" borderId="13" pivotButton="0" quotePrefix="0" xfId="0"/>
    <xf numFmtId="0" fontId="14" fillId="6" borderId="14" pivotButton="0" quotePrefix="0" xfId="0"/>
    <xf numFmtId="0" fontId="15" fillId="6" borderId="15" pivotButton="0" quotePrefix="0" xfId="0"/>
    <xf numFmtId="0" fontId="16" fillId="0" borderId="1" pivotButton="0" quotePrefix="0" xfId="0"/>
    <xf numFmtId="166" fontId="16" fillId="0" borderId="1" pivotButton="0" quotePrefix="0" xfId="0"/>
    <xf numFmtId="0" fontId="17" fillId="4" borderId="2" applyAlignment="1" pivotButton="0" quotePrefix="0" xfId="0">
      <alignment horizontal="center" vertical="center"/>
    </xf>
    <xf numFmtId="0" fontId="7" fillId="4" borderId="2" applyAlignment="1" pivotButton="0" quotePrefix="0" xfId="0">
      <alignment horizontal="center" vertical="center"/>
    </xf>
    <xf numFmtId="0" fontId="3" fillId="4" borderId="16" applyAlignment="1" pivotButton="0" quotePrefix="0" xfId="0">
      <alignment horizontal="center" vertical="center"/>
    </xf>
    <xf numFmtId="0" fontId="3" fillId="4" borderId="17" applyAlignment="1" pivotButton="0" quotePrefix="0" xfId="0">
      <alignment horizontal="center" vertical="center"/>
    </xf>
    <xf numFmtId="0" fontId="5" fillId="0" borderId="18" pivotButton="0" quotePrefix="0" xfId="0"/>
    <xf numFmtId="0" fontId="3" fillId="4" borderId="0" applyAlignment="1" pivotButton="0" quotePrefix="0" xfId="0">
      <alignment horizontal="center"/>
    </xf>
    <xf numFmtId="0" fontId="5" fillId="5" borderId="0" pivotButton="0" quotePrefix="0" xfId="0"/>
    <xf numFmtId="0" fontId="14" fillId="6" borderId="19" pivotButton="0" quotePrefix="0" xfId="0"/>
    <xf numFmtId="9" fontId="5" fillId="0" borderId="20" pivotButton="0" quotePrefix="0" xfId="0"/>
    <xf numFmtId="9" fontId="14" fillId="6" borderId="7" pivotButton="0" quotePrefix="0" xfId="0"/>
    <xf numFmtId="0" fontId="14" fillId="6" borderId="0" pivotButton="0" quotePrefix="0" xfId="0"/>
    <xf numFmtId="9" fontId="14" fillId="6" borderId="11" pivotButton="0" quotePrefix="0" xfId="0"/>
    <xf numFmtId="0" fontId="14" fillId="6" borderId="21" pivotButton="0" quotePrefix="0" xfId="0"/>
    <xf numFmtId="9" fontId="14" fillId="6" borderId="15" pivotButton="0" quotePrefix="0" xfId="0"/>
    <xf numFmtId="0" fontId="5" fillId="0" borderId="22" pivotButton="0" quotePrefix="0" xfId="0"/>
    <xf numFmtId="0" fontId="5" fillId="0" borderId="23" pivotButton="0" quotePrefix="0" xfId="0"/>
    <xf numFmtId="0" fontId="5" fillId="5" borderId="23" pivotButton="0" quotePrefix="0" xfId="0"/>
    <xf numFmtId="9" fontId="5" fillId="0" borderId="24" pivotButton="0" quotePrefix="0" xfId="0"/>
    <xf numFmtId="164" fontId="5" fillId="0" borderId="0" pivotButton="0" quotePrefix="0" xfId="0"/>
    <xf numFmtId="165" fontId="5" fillId="0" borderId="0" pivotButton="0" quotePrefix="0" xfId="0"/>
    <xf numFmtId="164" fontId="5" fillId="0" borderId="23" pivotButton="0" quotePrefix="0" xfId="0"/>
    <xf numFmtId="165" fontId="5" fillId="0" borderId="23" pivotButton="0" quotePrefix="0" xfId="0"/>
    <xf numFmtId="0" fontId="5" fillId="0" borderId="23" applyAlignment="1" pivotButton="0" quotePrefix="0" xfId="0">
      <alignment wrapText="1"/>
    </xf>
    <xf numFmtId="0" fontId="20" fillId="0" borderId="0" pivotButton="0" quotePrefix="0" xfId="0"/>
    <xf numFmtId="0" fontId="22" fillId="0" borderId="0" pivotButton="0" quotePrefix="0" xfId="0"/>
    <xf numFmtId="0" fontId="14" fillId="0" borderId="18" pivotButton="0" quotePrefix="0" xfId="0"/>
    <xf numFmtId="0" fontId="14" fillId="0" borderId="0" pivotButton="0" quotePrefix="0" xfId="0"/>
    <xf numFmtId="0" fontId="14" fillId="0" borderId="20" pivotButton="0" quotePrefix="0" xfId="0"/>
    <xf numFmtId="0" fontId="14" fillId="0" borderId="22" pivotButton="0" quotePrefix="0" xfId="0"/>
    <xf numFmtId="0" fontId="14" fillId="0" borderId="23" pivotButton="0" quotePrefix="0" xfId="0"/>
    <xf numFmtId="0" fontId="14" fillId="0" borderId="24" pivotButton="0" quotePrefix="0" xfId="0"/>
    <xf numFmtId="49" fontId="0" fillId="0" borderId="0" pivotButton="0" quotePrefix="0" xfId="0"/>
    <xf numFmtId="0" fontId="0" fillId="0" borderId="0" applyAlignment="1" pivotButton="0" quotePrefix="0" xfId="0">
      <alignment wrapText="1"/>
    </xf>
    <xf numFmtId="0" fontId="0" fillId="0" borderId="23" pivotButton="0" quotePrefix="0" xfId="0"/>
    <xf numFmtId="165" fontId="0" fillId="0" borderId="0" pivotButton="0" quotePrefix="0" xfId="0"/>
    <xf numFmtId="165" fontId="0" fillId="0" borderId="23" pivotButton="0" quotePrefix="0" xfId="0"/>
    <xf numFmtId="0" fontId="0" fillId="0" borderId="23" applyAlignment="1" pivotButton="0" quotePrefix="0" xfId="0">
      <alignment wrapText="1"/>
    </xf>
    <xf numFmtId="49" fontId="0" fillId="0" borderId="23" pivotButton="0" quotePrefix="0" xfId="0"/>
    <xf numFmtId="0" fontId="3" fillId="9" borderId="0" applyAlignment="1" pivotButton="0" quotePrefix="0" xfId="0">
      <alignment horizontal="center" wrapText="1"/>
    </xf>
    <xf numFmtId="1" fontId="0" fillId="0" borderId="0" pivotButton="0" quotePrefix="0" xfId="0"/>
    <xf numFmtId="1" fontId="0" fillId="0" borderId="23" pivotButton="0" quotePrefix="0" xfId="0"/>
    <xf numFmtId="0" fontId="3" fillId="9" borderId="0" applyAlignment="1" pivotButton="0" quotePrefix="0" xfId="0">
      <alignment horizontal="center"/>
    </xf>
    <xf numFmtId="0" fontId="14" fillId="10" borderId="6" pivotButton="0" quotePrefix="0" xfId="0"/>
    <xf numFmtId="0" fontId="14" fillId="10" borderId="10" pivotButton="0" quotePrefix="0" xfId="0"/>
    <xf numFmtId="0" fontId="14" fillId="10" borderId="14" pivotButton="0" quotePrefix="0" xfId="0"/>
    <xf numFmtId="0" fontId="3" fillId="10" borderId="7" pivotButton="0" quotePrefix="0" xfId="0"/>
    <xf numFmtId="0" fontId="3" fillId="10" borderId="11" pivotButton="0" quotePrefix="0" xfId="0"/>
    <xf numFmtId="167" fontId="3" fillId="10" borderId="11" pivotButton="0" quotePrefix="0" xfId="0"/>
    <xf numFmtId="0" fontId="3" fillId="10" borderId="15" pivotButton="0" quotePrefix="0" xfId="0"/>
    <xf numFmtId="0" fontId="3" fillId="13" borderId="0" applyAlignment="1" pivotButton="0" quotePrefix="0" xfId="0">
      <alignment horizontal="center" vertical="center" wrapText="1"/>
    </xf>
    <xf numFmtId="166" fontId="0" fillId="0" borderId="0" pivotButton="0" quotePrefix="0" xfId="0"/>
    <xf numFmtId="2" fontId="0" fillId="0" borderId="0" pivotButton="0" quotePrefix="0" xfId="0"/>
    <xf numFmtId="166" fontId="0" fillId="0" borderId="23" pivotButton="0" quotePrefix="0" xfId="0"/>
    <xf numFmtId="3" fontId="0" fillId="0" borderId="0" pivotButton="0" quotePrefix="0" xfId="0"/>
    <xf numFmtId="3" fontId="0" fillId="0" borderId="23" pivotButton="0" quotePrefix="0" xfId="0"/>
    <xf numFmtId="2" fontId="0" fillId="0" borderId="23" pivotButton="0" quotePrefix="0" xfId="0"/>
    <xf numFmtId="0" fontId="3" fillId="13" borderId="0" applyAlignment="1" pivotButton="0" quotePrefix="0" xfId="0">
      <alignment horizontal="center"/>
    </xf>
    <xf numFmtId="0" fontId="14" fillId="14" borderId="0" pivotButton="0" quotePrefix="0" xfId="0"/>
    <xf numFmtId="0" fontId="14" fillId="14" borderId="21" pivotButton="0" quotePrefix="0" xfId="0"/>
    <xf numFmtId="0" fontId="3" fillId="14" borderId="0" pivotButton="0" quotePrefix="0" xfId="0"/>
    <xf numFmtId="166" fontId="3" fillId="14" borderId="0" pivotButton="0" quotePrefix="0" xfId="0"/>
    <xf numFmtId="0" fontId="3" fillId="14" borderId="21" pivotButton="0" quotePrefix="0" xfId="0"/>
    <xf numFmtId="0" fontId="23" fillId="11" borderId="0" applyAlignment="1" pivotButton="0" quotePrefix="0" xfId="0">
      <alignment horizontal="center"/>
    </xf>
    <xf numFmtId="0" fontId="0" fillId="0" borderId="0" pivotButton="0" quotePrefix="0" xfId="0"/>
    <xf numFmtId="0" fontId="19" fillId="6" borderId="10" pivotButton="0" quotePrefix="0" xfId="0"/>
    <xf numFmtId="0" fontId="6" fillId="3" borderId="0" applyAlignment="1" pivotButton="0" quotePrefix="0" xfId="0">
      <alignment horizontal="center"/>
    </xf>
    <xf numFmtId="0" fontId="11" fillId="2" borderId="0" applyAlignment="1" pivotButton="0" quotePrefix="0" xfId="0">
      <alignment horizontal="center" vertical="center"/>
    </xf>
    <xf numFmtId="0" fontId="1" fillId="11" borderId="0" applyAlignment="1" pivotButton="0" quotePrefix="0" xfId="0">
      <alignment horizontal="center" vertical="center"/>
    </xf>
    <xf numFmtId="0" fontId="2" fillId="12" borderId="0" applyAlignment="1" pivotButton="0" quotePrefix="0" xfId="0">
      <alignment horizontal="center" vertical="center"/>
    </xf>
    <xf numFmtId="0" fontId="4" fillId="2" borderId="0" applyAlignment="1" pivotButton="0" quotePrefix="0" xfId="0">
      <alignment horizontal="center"/>
    </xf>
    <xf numFmtId="0" fontId="6" fillId="3" borderId="0" applyAlignment="1" pivotButton="0" quotePrefix="0" xfId="0">
      <alignment horizontal="center" wrapText="1"/>
    </xf>
    <xf numFmtId="0" fontId="18" fillId="0" borderId="25" pivotButton="0" quotePrefix="0" xfId="0"/>
    <xf numFmtId="0" fontId="0" fillId="0" borderId="20" pivotButton="0" quotePrefix="0" xfId="0"/>
    <xf numFmtId="0" fontId="21" fillId="3" borderId="0" applyAlignment="1" pivotButton="0" quotePrefix="0" xfId="0">
      <alignment horizontal="center"/>
    </xf>
    <xf numFmtId="0" fontId="1" fillId="2" borderId="0" applyAlignment="1" pivotButton="0" quotePrefix="0" xfId="0">
      <alignment horizontal="center"/>
    </xf>
    <xf numFmtId="0" fontId="21" fillId="8" borderId="0" applyAlignment="1" pivotButton="0" quotePrefix="0" xfId="0">
      <alignment horizontal="center"/>
    </xf>
    <xf numFmtId="0" fontId="1" fillId="7" borderId="0" applyAlignment="1" pivotButton="0" quotePrefix="0" xfId="0">
      <alignment horizontal="center"/>
    </xf>
  </cellXfs>
  <cellStyles count="1">
    <cellStyle name="Normal" xfId="0" builtinId="0"/>
  </cellStyles>
  <dxfs count="17">
    <dxf>
      <font>
        <color rgb="FF8A1C15"/>
      </font>
      <fill>
        <patternFill patternType="solid">
          <bgColor rgb="FFFCE4D6"/>
        </patternFill>
      </fill>
    </dxf>
    <dxf>
      <font>
        <color rgb="FF7A5A00"/>
      </font>
      <fill>
        <patternFill patternType="solid">
          <bgColor rgb="FFFFF1CC"/>
        </patternFill>
      </fill>
    </dxf>
    <dxf>
      <font>
        <color rgb="FF315B7D"/>
      </font>
      <fill>
        <patternFill patternType="solid">
          <bgColor rgb="FFEAF0F6"/>
        </patternFill>
      </fill>
    </dxf>
    <dxf>
      <font>
        <b val="1"/>
        <color rgb="FF245B36"/>
      </font>
      <fill>
        <patternFill patternType="solid">
          <bgColor rgb="FFDDEFE2"/>
        </patternFill>
      </fill>
    </dxf>
    <dxf>
      <font>
        <b val="1"/>
        <color rgb="FF245B36"/>
      </font>
      <fill>
        <patternFill>
          <bgColor rgb="FFDDEFE2"/>
        </patternFill>
      </fill>
    </dxf>
    <dxf>
      <font>
        <color rgb="FF7A5A00"/>
      </font>
      <fill>
        <patternFill>
          <bgColor rgb="FFFFF1CC"/>
        </patternFill>
      </fill>
    </dxf>
    <dxf>
      <font>
        <b val="1"/>
        <color rgb="FF245B36"/>
      </font>
      <fill>
        <patternFill>
          <bgColor rgb="FFDDEFE2"/>
        </patternFill>
      </fill>
    </dxf>
    <dxf>
      <font>
        <b val="1"/>
        <color rgb="FF245B36"/>
      </font>
      <fill>
        <patternFill>
          <bgColor rgb="FFDDEFE2"/>
        </patternFill>
      </fill>
    </dxf>
    <dxf>
      <font>
        <b val="1"/>
        <color rgb="FF5B3A7A"/>
      </font>
      <fill>
        <patternFill>
          <bgColor rgb="FFEEE5F6"/>
        </patternFill>
      </fill>
    </dxf>
    <dxf>
      <font>
        <b val="1"/>
        <color rgb="FF1F4E78"/>
      </font>
      <fill>
        <patternFill>
          <bgColor rgb="FFDDEBF7"/>
        </patternFill>
      </fill>
    </dxf>
    <dxf>
      <font>
        <color rgb="FF7A5A00"/>
      </font>
      <fill>
        <patternFill>
          <bgColor rgb="FFFFF1CC"/>
        </patternFill>
      </fill>
    </dxf>
    <dxf>
      <font>
        <b val="1"/>
        <color rgb="FF245B36"/>
      </font>
      <fill>
        <patternFill>
          <bgColor rgb="FFDDEFE2"/>
        </patternFill>
      </fill>
    </dxf>
    <dxf>
      <font>
        <b val="1"/>
        <color rgb="FF7A5A00"/>
      </font>
      <fill>
        <patternFill>
          <bgColor rgb="FFFFF1CC"/>
        </patternFill>
      </fill>
    </dxf>
    <dxf>
      <font>
        <color rgb="FF25613B"/>
      </font>
      <fill>
        <patternFill>
          <bgColor rgb="FFE5F4E9"/>
        </patternFill>
      </fill>
    </dxf>
    <dxf>
      <font>
        <b val="1"/>
        <color rgb="FF7A5A00"/>
      </font>
      <fill>
        <patternFill>
          <bgColor rgb="FFFFF1CC"/>
        </patternFill>
      </fill>
    </dxf>
    <dxf>
      <font>
        <color rgb="FF315B7D"/>
      </font>
      <fill>
        <patternFill>
          <bgColor rgb="FFEEF4FA"/>
        </patternFill>
      </fill>
    </dxf>
    <dxf>
      <font>
        <color rgb="FF25613B"/>
      </font>
      <fill>
        <patternFill>
          <bgColor rgb="FFE5F4E9"/>
        </patternFill>
      </fill>
    </dxf>
  </dxf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styles" Target="styles.xml" Id="rId9" /><Relationship Type="http://schemas.openxmlformats.org/officeDocument/2006/relationships/theme" Target="theme/theme1.xml" Id="rId10" /></Relationships>
</file>

<file path=xl/charts/chart1.xml><?xml version="1.0" encoding="utf-8"?>
<chartSpace xmlns:a="http://schemas.openxmlformats.org/drawingml/2006/main" xmlns="http://schemas.openxmlformats.org/drawingml/2006/chart">
  <chart>
    <title>
      <tx>
        <rich>
          <a:bodyPr/>
          <a:lstStyle/>
          <a:p>
            <a:r>
              <a:rPr lang="en-GB" b="0">
                <a:solidFill>
                  <a:srgbClr val="757575"/>
                </a:solidFill>
                <a:latin typeface="+mn-lt"/>
                <a:ea typeface="+mn-lt"/>
                <a:cs typeface="+mn-lt"/>
              </a:rPr>
              <a:t>Owned films in key collections</a:t>
            </a:r>
          </a:p>
        </rich>
      </tx>
      <overlay val="0"/>
    </title>
    <plotArea>
      <layout/>
      <barChart>
        <barDir val="col"/>
        <grouping val="clustered"/>
        <varyColors val="0"/>
        <ser>
          <idx val="0"/>
          <order val="0"/>
          <spPr>
            <a:solidFill>
              <a:schemeClr val="accent1"/>
            </a:solidFill>
            <a:ln cmpd="sng">
              <a:noFill/>
              <a:prstDash val="solid"/>
            </a:ln>
          </spPr>
          <invertIfNegative val="1"/>
          <val>
            <numRef>
              <f>Dashboard!$B$13:$B$22</f>
              <numCache>
                <formatCode>General</formatCode>
                <ptCount val="10"/>
                <pt idx="0">
                  <v>5</v>
                </pt>
                <pt idx="2">
                  <v>4</v>
                </pt>
                <pt idx="3">
                  <v>11</v>
                </pt>
                <pt idx="4">
                  <v>8</v>
                </pt>
                <pt idx="5">
                  <v>1</v>
                </pt>
                <pt idx="6">
                  <v>3</v>
                </pt>
                <pt idx="7">
                  <v>3</v>
                </pt>
                <pt idx="8">
                  <v>8</v>
                </pt>
                <pt idx="9">
                  <v>10</v>
                </pt>
              </numCache>
            </numRef>
          </val>
        </ser>
        <dLbls>
          <showLegendKey val="0"/>
          <showVal val="0"/>
          <showCatName val="0"/>
          <showSerName val="0"/>
          <showPercent val="0"/>
          <showBubbleSize val="0"/>
        </dLbls>
        <gapWidth val="150"/>
        <axId val="48650112"/>
        <axId val="48672768"/>
      </barChart>
      <catAx>
        <axId val="48650112"/>
        <scaling>
          <orientation val="minMax"/>
        </scaling>
        <delete val="0"/>
        <axPos val="b"/>
        <numFmt formatCode="General" sourceLinked="0"/>
        <majorTickMark val="none"/>
        <minorTickMark val="none"/>
        <tickLblPos val="nextTo"/>
        <spPr>
          <a:ln>
            <a:noFill/>
            <a:prstDash val="solid"/>
          </a:ln>
        </spPr>
        <txPr>
          <a:bodyPr anchorCtr="1"/>
          <a:lstStyle/>
          <a:p>
            <a:pPr>
              <a:defRPr b="0" i="0">
                <a:solidFill>
                  <a:srgbClr val="000000"/>
                </a:solidFill>
                <a:latin typeface="Calibri"/>
                <a:ea typeface="Calibri"/>
                <a:cs typeface="Calibri"/>
              </a:defRPr>
            </a:pPr>
            <a:r>
              <a:t>None</a:t>
            </a:r>
            <a:endParaRPr lang="en-US"/>
          </a:p>
        </txPr>
        <crossAx val="48672768"/>
        <crosses val="autoZero"/>
        <auto val="1"/>
        <lblAlgn val="ctr"/>
        <lblOffset val="100"/>
        <noMultiLvlLbl val="0"/>
      </catAx>
      <valAx>
        <axId val="48672768"/>
        <scaling>
          <orientation val="minMax"/>
        </scaling>
        <delete val="0"/>
        <axPos val="l"/>
        <numFmt formatCode="General" sourceLinked="0"/>
        <majorTickMark val="none"/>
        <minorTickMark val="none"/>
        <tickLblPos val="nextTo"/>
        <spPr>
          <a:ln>
            <a:noFill/>
            <a:prstDash val="solid"/>
          </a:ln>
        </spPr>
        <txPr>
          <a:bodyPr anchorCtr="1"/>
          <a:lstStyle/>
          <a:p>
            <a:pPr>
              <a:defRPr b="0" i="0">
                <a:solidFill>
                  <a:srgbClr val="000000"/>
                </a:solidFill>
                <a:latin typeface="Calibri"/>
                <a:ea typeface="Calibri"/>
                <a:cs typeface="Calibri"/>
              </a:defRPr>
            </a:pPr>
            <a:r>
              <a:t>None</a:t>
            </a:r>
            <a:endParaRPr lang="en-US"/>
          </a:p>
        </txPr>
        <crossAx val="48650112"/>
        <crosses val="autoZero"/>
        <crossBetween val="between"/>
      </valAx>
    </plotArea>
    <plotVisOnly val="1"/>
    <dispBlanksAs val="gap"/>
  </chart>
</chartSpace>
</file>

<file path=xl/charts/chart2.xml><?xml version="1.0" encoding="utf-8"?>
<chartSpace xmlns:a="http://schemas.openxmlformats.org/drawingml/2006/main" xmlns="http://schemas.openxmlformats.org/drawingml/2006/chart">
  <chart>
    <title>
      <tx>
        <rich>
          <a:bodyPr/>
          <a:lstStyle/>
          <a:p>
            <a:r>
              <a:rPr lang="en-GB" b="0">
                <a:solidFill>
                  <a:srgbClr val="757575"/>
                </a:solidFill>
                <a:latin typeface="+mn-lt"/>
                <a:ea typeface="+mn-lt"/>
                <a:cs typeface="+mn-lt"/>
              </a:rPr>
              <a:t>Collection progress: owned vs target</a:t>
            </a:r>
          </a:p>
        </rich>
      </tx>
      <overlay val="0"/>
    </title>
    <plotArea>
      <layout/>
      <barChart>
        <barDir val="col"/>
        <grouping val="clustered"/>
        <varyColors val="0"/>
        <ser>
          <idx val="0"/>
          <order val="0"/>
          <tx>
            <v>OWNED</v>
          </tx>
          <spPr>
            <a:solidFill>
              <a:schemeClr val="accent1"/>
            </a:solidFill>
            <a:ln cmpd="sng">
              <a:noFill/>
              <a:prstDash val="solid"/>
            </a:ln>
          </spPr>
          <invertIfNegative val="1"/>
          <val>
            <numRef>
              <f>Dashboard!$B$13:$B$22</f>
              <numCache>
                <formatCode>General</formatCode>
                <ptCount val="10"/>
                <pt idx="0">
                  <v>5</v>
                </pt>
                <pt idx="2">
                  <v>4</v>
                </pt>
                <pt idx="3">
                  <v>11</v>
                </pt>
                <pt idx="4">
                  <v>8</v>
                </pt>
                <pt idx="5">
                  <v>1</v>
                </pt>
                <pt idx="6">
                  <v>3</v>
                </pt>
                <pt idx="7">
                  <v>3</v>
                </pt>
                <pt idx="8">
                  <v>8</v>
                </pt>
                <pt idx="9">
                  <v>10</v>
                </pt>
              </numCache>
            </numRef>
          </val>
        </ser>
        <ser>
          <idx val="1"/>
          <order val="1"/>
          <spPr>
            <a:solidFill>
              <a:schemeClr val="accent2"/>
            </a:solidFill>
            <a:ln cmpd="sng">
              <a:noFill/>
              <a:prstDash val="solid"/>
            </a:ln>
          </spPr>
          <invertIfNegative val="1"/>
          <val>
            <numRef>
              <f>Dashboard!$C$13:$C$22</f>
              <numCache>
                <formatCode>General</formatCode>
                <ptCount val="10"/>
                <pt idx="0">
                  <v>5</v>
                </pt>
                <pt idx="1">
                  <v>7</v>
                </pt>
                <pt idx="2">
                  <v>5</v>
                </pt>
                <pt idx="3">
                  <v>11</v>
                </pt>
                <pt idx="4">
                  <v>8</v>
                </pt>
                <pt idx="5">
                  <v>3</v>
                </pt>
                <pt idx="6">
                  <v>3</v>
                </pt>
                <pt idx="7">
                  <v>3</v>
                </pt>
                <pt idx="8">
                  <v>8</v>
                </pt>
                <pt idx="9">
                  <v>10</v>
                </pt>
              </numCache>
            </numRef>
          </val>
        </ser>
        <dLbls>
          <showLegendKey val="0"/>
          <showVal val="0"/>
          <showCatName val="0"/>
          <showSerName val="0"/>
          <showPercent val="0"/>
          <showBubbleSize val="0"/>
        </dLbls>
        <gapWidth val="150"/>
        <axId val="48650112"/>
        <axId val="48672768"/>
      </barChart>
      <catAx>
        <axId val="48650112"/>
        <scaling>
          <orientation val="minMax"/>
        </scaling>
        <delete val="0"/>
        <axPos val="b"/>
        <numFmt formatCode="General" sourceLinked="0"/>
        <majorTickMark val="none"/>
        <minorTickMark val="none"/>
        <tickLblPos val="nextTo"/>
        <spPr>
          <a:ln>
            <a:noFill/>
            <a:prstDash val="solid"/>
          </a:ln>
        </spPr>
        <txPr>
          <a:bodyPr anchorCtr="1"/>
          <a:lstStyle/>
          <a:p>
            <a:pPr>
              <a:defRPr b="0" i="0">
                <a:solidFill>
                  <a:srgbClr val="000000"/>
                </a:solidFill>
                <a:latin typeface="Calibri"/>
                <a:ea typeface="Calibri"/>
                <a:cs typeface="Calibri"/>
              </a:defRPr>
            </a:pPr>
            <a:r>
              <a:t>None</a:t>
            </a:r>
            <a:endParaRPr lang="en-US"/>
          </a:p>
        </txPr>
        <crossAx val="48672768"/>
        <crosses val="autoZero"/>
        <auto val="1"/>
        <lblAlgn val="ctr"/>
        <lblOffset val="100"/>
        <noMultiLvlLbl val="0"/>
      </catAx>
      <valAx>
        <axId val="48672768"/>
        <scaling>
          <orientation val="minMax"/>
        </scaling>
        <delete val="0"/>
        <axPos val="l"/>
        <majorGridlines>
          <spPr>
            <a:ln>
              <a:solidFill>
                <a:srgbClr val="B7B7B7"/>
              </a:solidFill>
              <a:prstDash val="solid"/>
            </a:ln>
          </spPr>
        </majorGridlines>
        <numFmt formatCode="General" sourceLinked="0"/>
        <majorTickMark val="none"/>
        <minorTickMark val="none"/>
        <tickLblPos val="nextTo"/>
        <spPr>
          <a:ln>
            <a:noFill/>
            <a:prstDash val="solid"/>
          </a:ln>
        </spPr>
        <txPr>
          <a:bodyPr anchorCtr="1"/>
          <a:lstStyle/>
          <a:p>
            <a:pPr>
              <a:defRPr b="0" i="0">
                <a:solidFill>
                  <a:srgbClr val="000000"/>
                </a:solidFill>
                <a:latin typeface="Calibri"/>
                <a:ea typeface="Calibri"/>
                <a:cs typeface="Calibri"/>
              </a:defRPr>
            </a:pPr>
            <a:r>
              <a:t>None</a:t>
            </a:r>
            <a:endParaRPr lang="en-US"/>
          </a:p>
        </txPr>
        <crossAx val="48650112"/>
        <crosses val="autoZero"/>
        <crossBetween val="between"/>
      </valAx>
    </plotArea>
    <legend>
      <legendPos val="b"/>
      <overlay val="0"/>
      <txPr>
        <a:bodyPr anchorCtr="1"/>
        <a:lstStyle/>
        <a:p>
          <a:pPr>
            <a:defRPr b="0" i="0">
              <a:solidFill>
                <a:srgbClr val="1A1A1A"/>
              </a:solidFill>
              <a:latin typeface="Calibri"/>
              <a:ea typeface="Calibri"/>
              <a:cs typeface="Calibri"/>
            </a:defRPr>
          </a:pPr>
          <a:r>
            <a:t>None</a:t>
          </a:r>
          <a:endParaRPr lang="en-US"/>
        </a:p>
      </txPr>
    </legend>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 Type="http://schemas.openxmlformats.org/officeDocument/2006/relationships/chart" Target="/xl/charts/chart2.xml" Id="rId2"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6</col>
      <colOff>409575</colOff>
      <row>22</row>
      <rowOff>114300</rowOff>
    </from>
    <ext cx="2324100" cy="3200400"/>
    <graphicFrame>
      <nvGraphicFramePr>
        <cNvPr id="1" name="Chart 1"/>
        <cNvGraphicFramePr/>
      </nvGraphicFramePr>
      <xfrm/>
      <a:graphic>
        <a:graphicData uri="http://schemas.openxmlformats.org/drawingml/2006/chart">
          <c:chart r:id="rId1"/>
        </a:graphicData>
      </a:graphic>
    </graphicFrame>
    <clientData/>
  </oneCellAnchor>
  <oneCellAnchor>
    <from>
      <col>0</col>
      <colOff>0</colOff>
      <row>24</row>
      <rowOff>0</rowOff>
    </from>
    <ext cx="5124450" cy="3600450"/>
    <graphicFrame>
      <nvGraphicFramePr>
        <cNvPr id="2" name="Chart 2"/>
        <cNvGraphicFramePr/>
      </nvGraphicFramePr>
      <xfrm/>
      <a:graphic>
        <a:graphicData uri="http://schemas.openxmlformats.org/drawingml/2006/chart">
          <c:chart r:id="rId2"/>
        </a:graphicData>
      </a:graphic>
    </graphicFrame>
    <clientData/>
  </oneCellAnchor>
</wsDr>
</file>

<file path=xl/tables/table1.xml><?xml version="1.0" encoding="utf-8"?>
<table xmlns="http://schemas.openxmlformats.org/spreadsheetml/2006/main" id="1" name="ActorsTable" displayName="ActorsTable" ref="A4:F975" headerRowCount="1">
  <tableColumns count="6">
    <tableColumn id="1" name="Actor"/>
    <tableColumn id="2" name="Films Owned"/>
    <tableColumn id="3" name="Earliest Film"/>
    <tableColumn id="4" name="Latest Film"/>
    <tableColumn id="5" name="Films in Collection"/>
    <tableColumn id="6" name="Film IDs"/>
  </tableColumns>
  <tableStyleInfo name="Actors-style" showFirstColumn="1" showLastColumn="1" showRowStripes="1" showColumnStripes="0"/>
</table>
</file>

<file path=xl/tables/table2.xml><?xml version="1.0" encoding="utf-8"?>
<table xmlns="http://schemas.openxmlformats.org/spreadsheetml/2006/main" id="2" name="DirectorsTable" displayName="DirectorsTable" ref="A4:F251" headerRowCount="1">
  <tableColumns count="6">
    <tableColumn id="1" name="Director"/>
    <tableColumn id="2" name="Films Owned"/>
    <tableColumn id="3" name="Earliest Film"/>
    <tableColumn id="4" name="Latest Film"/>
    <tableColumn id="5" name="Films in Collection"/>
    <tableColumn id="6" name="Film IDs"/>
  </tableColumns>
  <tableStyleInfo name="Directors-style" showFirstColumn="1" showLastColumn="1" showRowStripes="1" showColumnStripes="0"/>
</table>
</file>

<file path=xl/tables/table3.xml><?xml version="1.0" encoding="utf-8"?>
<table xmlns="http://schemas.openxmlformats.org/spreadsheetml/2006/main" id="3" name="AwardsTable" displayName="AwardsTable" ref="A4:R354" headerRowCount="1">
  <tableColumns count="18">
    <tableColumn id="1" name="Film ID"/>
    <tableColumn id="2" name="Title"/>
    <tableColumn id="3" name="Year"/>
    <tableColumn id="4" name="Nominations"/>
    <tableColumn id="5" name="Wins"/>
    <tableColumn id="6" name="Best Picture"/>
    <tableColumn id="7" name="Acting Noms"/>
    <tableColumn id="8" name="Acting Wins"/>
    <tableColumn id="9" name="Acting Winner(s)"/>
    <tableColumn id="10" name="Directing Noms"/>
    <tableColumn id="11" name="Directing Wins"/>
    <tableColumn id="12" name="Director Winner(s)"/>
    <tableColumn id="13" name="Writing Noms"/>
    <tableColumn id="14" name="Writing Wins"/>
    <tableColumn id="15" name="Animated Feature"/>
    <tableColumn id="16" name="Winning Categories"/>
    <tableColumn id="17" name="All Nominated Categories"/>
    <tableColumn id="18" name="Source"/>
  </tableColumns>
  <tableStyleInfo name="TableStyleMedium2" showFirstColumn="0" showLastColumn="0" showRowStripes="1" showColumnStripes="0"/>
</table>
</file>

<file path=xl/tables/table4.xml><?xml version="1.0" encoding="utf-8"?>
<table xmlns="http://schemas.openxmlformats.org/spreadsheetml/2006/main" id="4" name="RatingsTable" displayName="RatingsTable" ref="A4:R354" headerRowCount="1">
  <tableColumns count="18">
    <tableColumn id="1" name="Film ID"/>
    <tableColumn id="2" name="Title"/>
    <tableColumn id="3" name="Year"/>
    <tableColumn id="4" name="Your Rating /5"/>
    <tableColumn id="5" name="IMDb /10"/>
    <tableColumn id="6" name="IMDb Votes"/>
    <tableColumn id="7" name="RT Critics %"/>
    <tableColumn id="8" name="RT Audience %"/>
    <tableColumn id="9" name="Letterboxd /5"/>
    <tableColumn id="10" name="Metacritic /100"/>
    <tableColumn id="11" name="TMDb /10"/>
    <tableColumn id="12" name="Consensus /100"/>
    <tableColumn id="13" name="Rating Status"/>
    <tableColumn id="14" name="Last Checked"/>
    <tableColumn id="15" name="IMDb Lookup"/>
    <tableColumn id="16" name="Rotten Tomatoes Lookup"/>
    <tableColumn id="17" name="Letterboxd Lookup"/>
    <tableColumn id="18" name="Metacritic Lookup"/>
  </tableColumns>
  <tableStyleInfo name="TableStyleMedium2" showFirstColumn="0" showLastColumn="0" showRowStripes="1" showColumnStripes="0"/>
</table>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0000FF"/>
      </a:folHlink>
    </a:clrScheme>
    <a:fontScheme name="Office">
      <a:majorFont>
        <a:latin typeface="Calibri"/>
        <a:ea typeface="Calibri"/>
        <a:cs typeface="Calibri"/>
      </a:majorFont>
      <a:minorFont>
        <a:latin typeface="Calibri"/>
        <a:ea typeface="Calibri"/>
        <a:cs typeface="Calibri"/>
      </a:minorFont>
    </a:fontScheme>
    <a:fmtScheme name="Sheets">
      <a:fillStyleLst>
        <a:solidFill>
          <a:schemeClr val="phClr"/>
        </a:solidFill>
        <a:solidFill>
          <a:schemeClr val="dk1"/>
        </a:solidFill>
        <a:solidFill>
          <a:schemeClr val="accent1"/>
        </a:solidFill>
      </a:fillStyleLst>
      <a:lnStyleLst>
        <a:ln w="6350">
          <a:solidFill>
            <a:schemeClr val="phClr"/>
          </a:solidFill>
          <a:prstDash val="solid"/>
        </a:ln>
        <a:ln w="12700">
          <a:solidFill>
            <a:schemeClr val="phClr"/>
          </a:solidFill>
          <a:prstDash val="solid"/>
        </a:ln>
        <a:ln w="19050">
          <a:solidFill>
            <a:schemeClr val="phClr"/>
          </a:solidFill>
          <a:prstDash val="solid"/>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drawing" Target="/xl/drawings/drawing1.xml" Id="rId1" /></Relationships>
</file>

<file path=xl/worksheets/_rels/sheet5.xml.rels><Relationships xmlns="http://schemas.openxmlformats.org/package/2006/relationships"><Relationship Type="http://schemas.openxmlformats.org/officeDocument/2006/relationships/table" Target="/xl/tables/table1.xml" Id="rId1" /></Relationships>
</file>

<file path=xl/worksheets/_rels/sheet6.xml.rels><Relationships xmlns="http://schemas.openxmlformats.org/package/2006/relationships"><Relationship Type="http://schemas.openxmlformats.org/officeDocument/2006/relationships/table" Target="/xl/tables/table2.xml" Id="rId1" /></Relationships>
</file>

<file path=xl/worksheets/_rels/sheet7.xml.rels><Relationships xmlns="http://schemas.openxmlformats.org/package/2006/relationships"><Relationship Type="http://schemas.openxmlformats.org/officeDocument/2006/relationships/table" Target="/xl/tables/table3.xml" Id="rId1" /></Relationships>
</file>

<file path=xl/worksheets/_rels/sheet8.xml.rels><Relationships xmlns="http://schemas.openxmlformats.org/package/2006/relationships"><Relationship Type="http://schemas.openxmlformats.org/officeDocument/2006/relationships/table" Target="/xl/tables/table4.xml" Id="rId1" /></Relationships>
</file>

<file path=xl/worksheets/sheet1.xml><?xml version="1.0" encoding="utf-8"?>
<worksheet xmlns="http://schemas.openxmlformats.org/spreadsheetml/2006/main">
  <sheetPr>
    <outlinePr summaryBelow="1" summaryRight="1"/>
    <pageSetUpPr/>
  </sheetPr>
  <dimension ref="A1:H34"/>
  <sheetViews>
    <sheetView workbookViewId="0">
      <selection activeCell="A1" sqref="A1:H1"/>
    </sheetView>
  </sheetViews>
  <sheetFormatPr baseColWidth="8" defaultColWidth="14.42578125" defaultRowHeight="15"/>
  <cols>
    <col width="28" customWidth="1" style="95" min="1" max="1"/>
    <col width="16" customWidth="1" style="95" min="2" max="2"/>
    <col width="8.7109375" customWidth="1" style="95" min="3" max="3"/>
    <col width="28" customWidth="1" style="95" min="4" max="4"/>
    <col width="16" customWidth="1" style="95" min="5" max="5"/>
    <col width="8.7109375" customWidth="1" style="95" min="6" max="6"/>
    <col width="26" customWidth="1" style="95" min="7" max="7"/>
    <col width="18" customWidth="1" style="95" min="8" max="8"/>
  </cols>
  <sheetData>
    <row r="1" ht="33.75" customHeight="1" s="95">
      <c r="A1" s="98" t="inlineStr">
        <is>
          <t>🎬 CONOR'S BLU-RAY COLLECTION</t>
        </is>
      </c>
    </row>
    <row r="2" ht="21.75" customHeight="1" s="95">
      <c r="A2" s="97" t="inlineStr">
        <is>
          <t>Physical media tracker • collection progress • wishlist • franchise completion</t>
        </is>
      </c>
    </row>
    <row r="4">
      <c r="A4" s="15" t="inlineStr">
        <is>
          <t>COLLECTION</t>
        </is>
      </c>
      <c r="B4" s="15" t="inlineStr">
        <is>
          <t>VALUE</t>
        </is>
      </c>
      <c r="D4" s="16" t="inlineStr">
        <is>
          <t>FOUNDATION</t>
        </is>
      </c>
      <c r="E4" s="16" t="inlineStr">
        <is>
          <t>VALUE</t>
        </is>
      </c>
      <c r="G4" s="16" t="inlineStr">
        <is>
          <t>WISHLIST</t>
        </is>
      </c>
      <c r="H4" s="16" t="inlineStr">
        <is>
          <t>VALUE</t>
        </is>
      </c>
    </row>
    <row r="5" ht="15.75" customHeight="1" s="95">
      <c r="A5" s="17" t="inlineStr">
        <is>
          <t>Individual films</t>
        </is>
      </c>
      <c r="B5" s="18">
        <f>COUNTIF(Collection!B5:B500,"&lt;&gt;")</f>
        <v/>
      </c>
      <c r="D5" s="19" t="inlineStr">
        <is>
          <t>Film IDs</t>
        </is>
      </c>
      <c r="E5" s="20">
        <f>COUNTA(Collection!A5:A500)</f>
        <v/>
      </c>
      <c r="G5" s="19" t="inlineStr">
        <is>
          <t>Total wishlist</t>
        </is>
      </c>
      <c r="H5" s="21">
        <f>COUNTA(Wishlist!A5:A100)</f>
        <v/>
      </c>
    </row>
    <row r="6" ht="15.75" customHeight="1" s="95">
      <c r="A6" s="22" t="inlineStr">
        <is>
          <t>Blu-ray entries</t>
        </is>
      </c>
      <c r="B6" s="23">
        <f>COUNTIF(Collection!D5:D500,"Blu-ray")</f>
        <v/>
      </c>
      <c r="D6" s="24" t="inlineStr">
        <is>
          <t>Years filled</t>
        </is>
      </c>
      <c r="E6" s="25">
        <f>COUNTA(Collection!C5:C500)</f>
        <v/>
      </c>
      <c r="G6" s="24" t="inlineStr">
        <is>
          <t>Your requested films</t>
        </is>
      </c>
      <c r="H6" s="25">
        <f>COUNTIF(Wishlist!B5:B100,"Your list")</f>
        <v/>
      </c>
    </row>
    <row r="7" ht="15.75" customHeight="1" s="95">
      <c r="A7" s="22" t="inlineStr">
        <is>
          <t>4K UHD entries</t>
        </is>
      </c>
      <c r="B7" s="23">
        <f>COUNTIF(Collection!D5:D500,"4K UHD")</f>
        <v/>
      </c>
      <c r="D7" s="24" t="inlineStr">
        <is>
          <t>Directors filled</t>
        </is>
      </c>
      <c r="E7" s="25">
        <f>COUNTIF(Collection!J5:J500,"&lt;&gt;")</f>
        <v/>
      </c>
      <c r="G7" s="24" t="inlineStr">
        <is>
          <t>Recommendations</t>
        </is>
      </c>
      <c r="H7" s="25">
        <f>COUNTIF(Wishlist!B5:B100,"Recommended")</f>
        <v/>
      </c>
    </row>
    <row r="8" ht="15.75" customHeight="1" s="95">
      <c r="A8" s="22" t="inlineStr">
        <is>
          <t>Watched</t>
        </is>
      </c>
      <c r="B8" s="23">
        <f>COUNTIF(Collection!G5:G500,"Yes")</f>
        <v/>
      </c>
      <c r="D8" s="24" t="inlineStr">
        <is>
          <t>Box-set films</t>
        </is>
      </c>
      <c r="E8" s="25">
        <f>COUNTIF(Collection!F5:F500,"Back to the Future Trilogy (Box Set)")+COUNTIF(Collection!F5:F500,"Bad Boys I &amp; II (Box Set)")+COUNTIF(Collection!F5:F500,"Cornetto Trilogy (Box Set)")+COUNTIF(Collection!F5:F500,"Jurassic Park / World: 7-Film Collection")+COUNTIF(Collection!F5:F500,"The Lord of the Rings Trilogy (Box Set)")+COUNTIF(Collection!F5:F500,"Star Wars Episodes I–VI (Box Set)")+COUNTIF(Collection!F5:F500,"X-Men Trilogy (Box Set)")</f>
        <v/>
      </c>
      <c r="G8" s="24" t="inlineStr">
        <is>
          <t>Already owned</t>
        </is>
      </c>
      <c r="H8" s="25">
        <f>COUNTIF(Wishlist!H5:H100,"Yes")</f>
        <v/>
      </c>
    </row>
    <row r="9" ht="15.75" customHeight="1" s="95">
      <c r="A9" s="26" t="inlineStr">
        <is>
          <t>Rated</t>
        </is>
      </c>
      <c r="B9" s="27">
        <f>COUNT(Collection!H5:H500)</f>
        <v/>
      </c>
      <c r="D9" s="28" t="inlineStr">
        <is>
          <t>Collections tracked</t>
        </is>
      </c>
      <c r="E9" s="29">
        <f>COUNTA('Franchise Tracker'!A5:A47)</f>
        <v/>
      </c>
      <c r="G9" s="28" t="inlineStr">
        <is>
          <t>Still to buy</t>
        </is>
      </c>
      <c r="H9" s="29">
        <f>COUNTIF(Wishlist!H5:H100,"No")</f>
        <v/>
      </c>
    </row>
    <row r="10">
      <c r="A10" s="5" t="n"/>
      <c r="B10" s="30" t="n"/>
    </row>
    <row r="11">
      <c r="A11" s="5" t="n"/>
      <c r="B11" s="31" t="n"/>
    </row>
    <row r="12">
      <c r="A12" s="32" t="inlineStr">
        <is>
          <t>COLLECTION</t>
        </is>
      </c>
      <c r="B12" s="33" t="inlineStr">
        <is>
          <t>OWNED</t>
        </is>
      </c>
      <c r="C12" s="34" t="inlineStr">
        <is>
          <t>TARGET</t>
        </is>
      </c>
      <c r="D12" s="34" t="inlineStr">
        <is>
          <t>MISSING</t>
        </is>
      </c>
      <c r="E12" s="35" t="inlineStr">
        <is>
          <t>COMPLETE</t>
        </is>
      </c>
      <c r="G12" s="73" t="inlineStr">
        <is>
          <t>AWARDS</t>
        </is>
      </c>
      <c r="H12" s="73" t="inlineStr">
        <is>
          <t>VALUE</t>
        </is>
      </c>
    </row>
    <row r="13">
      <c r="A13" s="19">
        <f>'Franchise Tracker'!A5</f>
        <v/>
      </c>
      <c r="B13" s="39">
        <f>'Franchise Tracker'!B5</f>
        <v/>
      </c>
      <c r="C13" s="39">
        <f>'Franchise Tracker'!C5</f>
        <v/>
      </c>
      <c r="D13" s="39">
        <f>'Franchise Tracker'!D5</f>
        <v/>
      </c>
      <c r="E13" s="41">
        <f>'Franchise Tracker'!E5</f>
        <v/>
      </c>
      <c r="G13" s="74" t="inlineStr">
        <is>
          <t>Oscar-nominated films</t>
        </is>
      </c>
      <c r="H13" s="77">
        <f>COUNTIF(Collection!U5:U500,"&gt;0")</f>
        <v/>
      </c>
    </row>
    <row r="14">
      <c r="A14" s="96">
        <f>'Franchise Tracker'!A6</f>
        <v/>
      </c>
      <c r="C14" s="42">
        <f>'Franchise Tracker'!C6</f>
        <v/>
      </c>
      <c r="D14" s="42">
        <f>'Franchise Tracker'!D6</f>
        <v/>
      </c>
      <c r="E14" s="43">
        <f>'Franchise Tracker'!E6</f>
        <v/>
      </c>
      <c r="G14" s="75" t="inlineStr">
        <is>
          <t>Oscar-winning films</t>
        </is>
      </c>
      <c r="H14" s="78">
        <f>COUNTIF(Collection!V5:V500,"&gt;0")</f>
        <v/>
      </c>
    </row>
    <row r="15">
      <c r="A15" s="24">
        <f>'Franchise Tracker'!A7</f>
        <v/>
      </c>
      <c r="B15" s="42">
        <f>'Franchise Tracker'!B7</f>
        <v/>
      </c>
      <c r="C15" s="42">
        <f>'Franchise Tracker'!C7</f>
        <v/>
      </c>
      <c r="D15" s="42">
        <f>'Franchise Tracker'!D7</f>
        <v/>
      </c>
      <c r="E15" s="43">
        <f>'Franchise Tracker'!E7</f>
        <v/>
      </c>
      <c r="G15" s="75" t="inlineStr">
        <is>
          <t>Total nominations</t>
        </is>
      </c>
      <c r="H15" s="78">
        <f>SUM(Collection!U5:U500)</f>
        <v/>
      </c>
    </row>
    <row r="16">
      <c r="A16" s="24">
        <f>'Franchise Tracker'!A8</f>
        <v/>
      </c>
      <c r="B16" s="42">
        <f>'Franchise Tracker'!B8</f>
        <v/>
      </c>
      <c r="C16" s="42">
        <f>'Franchise Tracker'!C8</f>
        <v/>
      </c>
      <c r="D16" s="42">
        <f>'Franchise Tracker'!D8</f>
        <v/>
      </c>
      <c r="E16" s="43">
        <f>'Franchise Tracker'!E8</f>
        <v/>
      </c>
      <c r="G16" s="75" t="inlineStr">
        <is>
          <t>Total wins</t>
        </is>
      </c>
      <c r="H16" s="78">
        <f>SUM(Collection!V5:V500)</f>
        <v/>
      </c>
    </row>
    <row r="17">
      <c r="A17" s="24">
        <f>'Franchise Tracker'!A9</f>
        <v/>
      </c>
      <c r="B17" s="42">
        <f>'Franchise Tracker'!B9</f>
        <v/>
      </c>
      <c r="C17" s="42">
        <f>'Franchise Tracker'!C9</f>
        <v/>
      </c>
      <c r="D17" s="42">
        <f>'Franchise Tracker'!D9</f>
        <v/>
      </c>
      <c r="E17" s="43">
        <f>'Franchise Tracker'!E9</f>
        <v/>
      </c>
      <c r="G17" s="75" t="inlineStr">
        <is>
          <t>Best Picture winners</t>
        </is>
      </c>
      <c r="H17" s="78">
        <f>COUNTIF(Collection!W5:W500,"Winner")</f>
        <v/>
      </c>
    </row>
    <row r="18">
      <c r="A18" s="24">
        <f>'Franchise Tracker'!A10</f>
        <v/>
      </c>
      <c r="B18" s="42">
        <f>'Franchise Tracker'!B10</f>
        <v/>
      </c>
      <c r="C18" s="42">
        <f>'Franchise Tracker'!C10</f>
        <v/>
      </c>
      <c r="D18" s="42">
        <f>'Franchise Tracker'!D10</f>
        <v/>
      </c>
      <c r="E18" s="43">
        <f>'Franchise Tracker'!E10</f>
        <v/>
      </c>
      <c r="G18" s="75" t="inlineStr">
        <is>
          <t>Best Picture nominees</t>
        </is>
      </c>
      <c r="H18" s="78">
        <f>COUNTIF(Collection!W5:W500,"Winner")+COUNTIF(Collection!W5:W500,"Nominated")</f>
        <v/>
      </c>
    </row>
    <row r="19">
      <c r="A19" s="24">
        <f>'Franchise Tracker'!A11</f>
        <v/>
      </c>
      <c r="B19" s="42">
        <f>'Franchise Tracker'!B11</f>
        <v/>
      </c>
      <c r="C19" s="42">
        <f>'Franchise Tracker'!C11</f>
        <v/>
      </c>
      <c r="D19" s="42">
        <f>'Franchise Tracker'!D11</f>
        <v/>
      </c>
      <c r="E19" s="43">
        <f>'Franchise Tracker'!E11</f>
        <v/>
      </c>
      <c r="G19" s="75" t="inlineStr">
        <is>
          <t>Best Picture progress</t>
        </is>
      </c>
      <c r="H19" s="79">
        <f>H17/98</f>
        <v/>
      </c>
    </row>
    <row r="20">
      <c r="A20" s="24">
        <f>'Franchise Tracker'!A12</f>
        <v/>
      </c>
      <c r="B20" s="42">
        <f>'Franchise Tracker'!B12</f>
        <v/>
      </c>
      <c r="C20" s="42">
        <f>'Franchise Tracker'!C12</f>
        <v/>
      </c>
      <c r="D20" s="42">
        <f>'Franchise Tracker'!D12</f>
        <v/>
      </c>
      <c r="E20" s="43">
        <f>'Franchise Tracker'!E12</f>
        <v/>
      </c>
      <c r="G20" s="75" t="inlineStr">
        <is>
          <t>Animated Feature winners</t>
        </is>
      </c>
      <c r="H20" s="78">
        <f>COUNTIF(Awards!O5:O500,"Winner")</f>
        <v/>
      </c>
    </row>
    <row r="21" ht="15.75" customHeight="1" s="95">
      <c r="A21" s="24">
        <f>'Franchise Tracker'!A13</f>
        <v/>
      </c>
      <c r="B21" s="42">
        <f>'Franchise Tracker'!B13</f>
        <v/>
      </c>
      <c r="C21" s="42">
        <f>'Franchise Tracker'!C13</f>
        <v/>
      </c>
      <c r="D21" s="42">
        <f>'Franchise Tracker'!D13</f>
        <v/>
      </c>
      <c r="E21" s="43">
        <f>'Franchise Tracker'!E13</f>
        <v/>
      </c>
      <c r="G21" s="75" t="inlineStr">
        <is>
          <t>Acting-winning films</t>
        </is>
      </c>
      <c r="H21" s="78">
        <f>COUNTIF(Awards!H5:H500,"&gt;0")</f>
        <v/>
      </c>
    </row>
    <row r="22" ht="15.75" customHeight="1" s="95">
      <c r="A22" s="28">
        <f>'Franchise Tracker'!A14</f>
        <v/>
      </c>
      <c r="B22" s="44">
        <f>'Franchise Tracker'!B14</f>
        <v/>
      </c>
      <c r="C22" s="44">
        <f>'Franchise Tracker'!C14</f>
        <v/>
      </c>
      <c r="D22" s="44">
        <f>'Franchise Tracker'!D14</f>
        <v/>
      </c>
      <c r="E22" s="45">
        <f>'Franchise Tracker'!E14</f>
        <v/>
      </c>
      <c r="G22" s="76" t="inlineStr">
        <is>
          <t>Directing-winning films</t>
        </is>
      </c>
      <c r="H22" s="80">
        <f>COUNTIF(Awards!K5:K500,"&gt;0")</f>
        <v/>
      </c>
    </row>
    <row r="23" ht="15.75" customHeight="1" s="95"/>
    <row r="24" ht="15.75" customHeight="1" s="95"/>
    <row r="25" ht="15.75" customHeight="1" s="95">
      <c r="A25" s="94" t="inlineStr">
        <is>
          <t>⭐ RATINGS OVERVIEW</t>
        </is>
      </c>
    </row>
    <row r="26" ht="15.75" customHeight="1" s="95"/>
    <row r="27" ht="15.75" customHeight="1" s="95">
      <c r="A27" s="88" t="inlineStr">
        <is>
          <t>RATINGS</t>
        </is>
      </c>
      <c r="B27" s="88" t="inlineStr">
        <is>
          <t>VALUE</t>
        </is>
      </c>
      <c r="D27" s="88" t="inlineStr">
        <is>
          <t>SOURCE COVERAGE</t>
        </is>
      </c>
      <c r="E27" s="88" t="inlineStr">
        <is>
          <t>FILMS</t>
        </is>
      </c>
    </row>
    <row r="28" ht="15.75" customHeight="1" s="95">
      <c r="A28" s="89" t="inlineStr">
        <is>
          <t>Your films rated</t>
        </is>
      </c>
      <c r="B28" s="91">
        <f>COUNT(Ratings!D5:D500)</f>
        <v/>
      </c>
      <c r="D28" s="89" t="inlineStr">
        <is>
          <t>IMDb</t>
        </is>
      </c>
      <c r="E28" s="91">
        <f>COUNT(Ratings!E5:E500)</f>
        <v/>
      </c>
    </row>
    <row r="29" ht="15.75" customHeight="1" s="95">
      <c r="A29" s="89" t="inlineStr">
        <is>
          <t>External ratings entered</t>
        </is>
      </c>
      <c r="B29" s="91">
        <f>COUNT(Ratings!L5:L500)</f>
        <v/>
      </c>
      <c r="D29" s="89" t="inlineStr">
        <is>
          <t>Rotten Tomatoes critics</t>
        </is>
      </c>
      <c r="E29" s="91">
        <f>COUNT(Ratings!G5:G500)</f>
        <v/>
      </c>
    </row>
    <row r="30" ht="15.75" customHeight="1" s="95">
      <c r="A30" s="89" t="inlineStr">
        <is>
          <t>Average consensus</t>
        </is>
      </c>
      <c r="B30" s="92">
        <f>IFERROR(AVERAGE(Ratings!L5:L500),0)</f>
        <v/>
      </c>
      <c r="D30" s="89" t="inlineStr">
        <is>
          <t>Rotten Tomatoes audience</t>
        </is>
      </c>
      <c r="E30" s="91">
        <f>COUNT(Ratings!H5:H500)</f>
        <v/>
      </c>
    </row>
    <row r="31" ht="15.75" customHeight="1" s="95">
      <c r="A31" s="89" t="inlineStr">
        <is>
          <t>Excellent (85+)</t>
        </is>
      </c>
      <c r="B31" s="91">
        <f>COUNTIF(Ratings!M5:M500,"Excellent")</f>
        <v/>
      </c>
      <c r="D31" s="89" t="inlineStr">
        <is>
          <t>Letterboxd</t>
        </is>
      </c>
      <c r="E31" s="91">
        <f>COUNT(Ratings!I5:I500)</f>
        <v/>
      </c>
    </row>
    <row r="32" ht="15.75" customHeight="1" s="95">
      <c r="A32" s="89" t="inlineStr">
        <is>
          <t>Good (70–84.9)</t>
        </is>
      </c>
      <c r="B32" s="91">
        <f>COUNTIF(Ratings!M5:M500,"Good")</f>
        <v/>
      </c>
      <c r="D32" s="89" t="inlineStr">
        <is>
          <t>Metacritic</t>
        </is>
      </c>
      <c r="E32" s="91">
        <f>COUNT(Ratings!J5:J500)</f>
        <v/>
      </c>
    </row>
    <row r="33" ht="15.75" customHeight="1" s="95">
      <c r="A33" s="89" t="inlineStr">
        <is>
          <t>Mixed (55–69.9)</t>
        </is>
      </c>
      <c r="B33" s="91">
        <f>COUNTIF(Ratings!M5:M500,"Mixed")</f>
        <v/>
      </c>
      <c r="D33" s="89" t="inlineStr">
        <is>
          <t>TMDb</t>
        </is>
      </c>
      <c r="E33" s="91">
        <f>COUNT(Ratings!K5:K500)</f>
        <v/>
      </c>
    </row>
    <row r="34" ht="15.75" customHeight="1" s="95">
      <c r="A34" s="90" t="inlineStr">
        <is>
          <t>Poor (&lt;55)</t>
        </is>
      </c>
      <c r="B34" s="93">
        <f>COUNTIF(Ratings!M5:M500,"Poor")</f>
        <v/>
      </c>
      <c r="D34" s="90" t="inlineStr">
        <is>
          <t>Consensus</t>
        </is>
      </c>
      <c r="E34" s="93">
        <f>COUNT(Ratings!L5:L500)</f>
        <v/>
      </c>
    </row>
    <row r="35" ht="15.75" customHeight="1" s="95"/>
    <row r="36" ht="15.75" customHeight="1" s="95"/>
    <row r="37" ht="15.75" customHeight="1" s="95"/>
    <row r="38" ht="15.75" customHeight="1" s="95"/>
    <row r="39" ht="15.75" customHeight="1" s="95"/>
    <row r="40" ht="15.75" customHeight="1" s="95"/>
    <row r="41" ht="15.75" customHeight="1" s="95"/>
    <row r="42" ht="15.75" customHeight="1" s="95"/>
    <row r="43" ht="15.75" customHeight="1" s="95"/>
    <row r="44" ht="15.75" customHeight="1" s="95"/>
    <row r="45" ht="15.75" customHeight="1" s="95"/>
    <row r="46" ht="15.75" customHeight="1" s="95"/>
    <row r="47" ht="15.75" customHeight="1" s="95"/>
    <row r="48" ht="15.75" customHeight="1" s="95"/>
    <row r="49" ht="15.75" customHeight="1" s="95"/>
    <row r="50" ht="15.75" customHeight="1" s="95"/>
    <row r="51" ht="15.75" customHeight="1" s="95"/>
    <row r="52" ht="15.75" customHeight="1" s="95"/>
    <row r="53" ht="15.75" customHeight="1" s="95"/>
    <row r="54" ht="15.75" customHeight="1" s="95"/>
    <row r="55" ht="15.75" customHeight="1" s="95"/>
    <row r="56" ht="15.75" customHeight="1" s="95"/>
    <row r="57" ht="15.75" customHeight="1" s="95"/>
    <row r="58" ht="15.75" customHeight="1" s="95"/>
    <row r="59" ht="15.75" customHeight="1" s="95"/>
    <row r="60" ht="15.75" customHeight="1" s="95"/>
    <row r="61" ht="15.75" customHeight="1" s="95"/>
    <row r="62" ht="15.75" customHeight="1" s="95"/>
    <row r="63" ht="15.75" customHeight="1" s="95"/>
    <row r="64" ht="15.75" customHeight="1" s="95"/>
    <row r="65" ht="15.75" customHeight="1" s="95"/>
    <row r="66" ht="15.75" customHeight="1" s="95"/>
    <row r="67" ht="15.75" customHeight="1" s="95"/>
    <row r="68" ht="15.75" customHeight="1" s="95"/>
    <row r="69" ht="15.75" customHeight="1" s="95"/>
    <row r="70" ht="15.75" customHeight="1" s="95"/>
    <row r="71" ht="15.75" customHeight="1" s="95"/>
    <row r="72" ht="15.75" customHeight="1" s="95"/>
    <row r="73" ht="15.75" customHeight="1" s="95"/>
    <row r="74" ht="15.75" customHeight="1" s="95"/>
    <row r="75" ht="15.75" customHeight="1" s="95"/>
    <row r="76" ht="15.75" customHeight="1" s="95"/>
    <row r="77" ht="15.75" customHeight="1" s="95"/>
    <row r="78" ht="15.75" customHeight="1" s="95"/>
    <row r="79" ht="15.75" customHeight="1" s="95"/>
    <row r="80" ht="15.75" customHeight="1" s="95"/>
    <row r="81" ht="15.75" customHeight="1" s="95"/>
    <row r="82" ht="15.75" customHeight="1" s="95"/>
    <row r="83" ht="15.75" customHeight="1" s="95"/>
    <row r="84" ht="15.75" customHeight="1" s="95"/>
    <row r="85" ht="15.75" customHeight="1" s="95"/>
    <row r="86" ht="15.75" customHeight="1" s="95"/>
    <row r="87" ht="15.75" customHeight="1" s="95"/>
    <row r="88" ht="15.75" customHeight="1" s="95"/>
    <row r="89" ht="15.75" customHeight="1" s="95"/>
    <row r="90" ht="15.75" customHeight="1" s="95"/>
    <row r="91" ht="15.75" customHeight="1" s="95"/>
    <row r="92" ht="15.75" customHeight="1" s="95"/>
    <row r="93" ht="15.75" customHeight="1" s="95"/>
    <row r="94" ht="15.75" customHeight="1" s="95"/>
    <row r="95" ht="15.75" customHeight="1" s="95"/>
    <row r="96" ht="15.75" customHeight="1" s="95"/>
    <row r="97" ht="15.75" customHeight="1" s="95"/>
    <row r="98" ht="15.75" customHeight="1" s="95"/>
    <row r="99" ht="15.75" customHeight="1" s="95"/>
    <row r="100" ht="15.75" customHeight="1" s="95"/>
    <row r="101" ht="15.75" customHeight="1" s="95"/>
    <row r="102" ht="15.75" customHeight="1" s="95"/>
    <row r="103" ht="15.75" customHeight="1" s="95"/>
    <row r="104" ht="15.75" customHeight="1" s="95"/>
    <row r="105" ht="15.75" customHeight="1" s="95"/>
    <row r="106" ht="15.75" customHeight="1" s="95"/>
    <row r="107" ht="15.75" customHeight="1" s="95"/>
    <row r="108" ht="15.75" customHeight="1" s="95"/>
    <row r="109" ht="15.75" customHeight="1" s="95"/>
    <row r="110" ht="15.75" customHeight="1" s="95"/>
    <row r="111" ht="15.75" customHeight="1" s="95"/>
    <row r="112" ht="15.75" customHeight="1" s="95"/>
    <row r="113" ht="15.75" customHeight="1" s="95"/>
    <row r="114" ht="15.75" customHeight="1" s="95"/>
    <row r="115" ht="15.75" customHeight="1" s="95"/>
    <row r="116" ht="15.75" customHeight="1" s="95"/>
    <row r="117" ht="15.75" customHeight="1" s="95"/>
    <row r="118" ht="15.75" customHeight="1" s="95"/>
    <row r="119" ht="15.75" customHeight="1" s="95"/>
    <row r="120" ht="15.75" customHeight="1" s="95"/>
    <row r="121" ht="15.75" customHeight="1" s="95"/>
    <row r="122" ht="15.75" customHeight="1" s="95"/>
    <row r="123" ht="15.75" customHeight="1" s="95"/>
    <row r="124" ht="15.75" customHeight="1" s="95"/>
    <row r="125" ht="15.75" customHeight="1" s="95"/>
    <row r="126" ht="15.75" customHeight="1" s="95"/>
    <row r="127" ht="15.75" customHeight="1" s="95"/>
    <row r="128" ht="15.75" customHeight="1" s="95"/>
    <row r="129" ht="15.75" customHeight="1" s="95"/>
    <row r="130" ht="15.75" customHeight="1" s="95"/>
    <row r="131" ht="15.75" customHeight="1" s="95"/>
    <row r="132" ht="15.75" customHeight="1" s="95"/>
    <row r="133" ht="15.75" customHeight="1" s="95"/>
    <row r="134" ht="15.75" customHeight="1" s="95"/>
    <row r="135" ht="15.75" customHeight="1" s="95"/>
    <row r="136" ht="15.75" customHeight="1" s="95"/>
    <row r="137" ht="15.75" customHeight="1" s="95"/>
    <row r="138" ht="15.75" customHeight="1" s="95"/>
    <row r="139" ht="15.75" customHeight="1" s="95"/>
    <row r="140" ht="15.75" customHeight="1" s="95"/>
    <row r="141" ht="15.75" customHeight="1" s="95"/>
    <row r="142" ht="15.75" customHeight="1" s="95"/>
    <row r="143" ht="15.75" customHeight="1" s="95"/>
    <row r="144" ht="15.75" customHeight="1" s="95"/>
    <row r="145" ht="15.75" customHeight="1" s="95"/>
    <row r="146" ht="15.75" customHeight="1" s="95"/>
    <row r="147" ht="15.75" customHeight="1" s="95"/>
    <row r="148" ht="15.75" customHeight="1" s="95"/>
    <row r="149" ht="15.75" customHeight="1" s="95"/>
    <row r="150" ht="15.75" customHeight="1" s="95"/>
    <row r="151" ht="15.75" customHeight="1" s="95"/>
    <row r="152" ht="15.75" customHeight="1" s="95"/>
    <row r="153" ht="15.75" customHeight="1" s="95"/>
    <row r="154" ht="15.75" customHeight="1" s="95"/>
    <row r="155" ht="15.75" customHeight="1" s="95"/>
    <row r="156" ht="15.75" customHeight="1" s="95"/>
    <row r="157" ht="15.75" customHeight="1" s="95"/>
    <row r="158" ht="15.75" customHeight="1" s="95"/>
    <row r="159" ht="15.75" customHeight="1" s="95"/>
    <row r="160" ht="15.75" customHeight="1" s="95"/>
    <row r="161" ht="15.75" customHeight="1" s="95"/>
    <row r="162" ht="15.75" customHeight="1" s="95"/>
    <row r="163" ht="15.75" customHeight="1" s="95"/>
    <row r="164" ht="15.75" customHeight="1" s="95"/>
    <row r="165" ht="15.75" customHeight="1" s="95"/>
    <row r="166" ht="15.75" customHeight="1" s="95"/>
    <row r="167" ht="15.75" customHeight="1" s="95"/>
    <row r="168" ht="15.75" customHeight="1" s="95"/>
    <row r="169" ht="15.75" customHeight="1" s="95"/>
    <row r="170" ht="15.75" customHeight="1" s="95"/>
    <row r="171" ht="15.75" customHeight="1" s="95"/>
    <row r="172" ht="15.75" customHeight="1" s="95"/>
    <row r="173" ht="15.75" customHeight="1" s="95"/>
    <row r="174" ht="15.75" customHeight="1" s="95"/>
    <row r="175" ht="15.75" customHeight="1" s="95"/>
    <row r="176" ht="15.75" customHeight="1" s="95"/>
    <row r="177" ht="15.75" customHeight="1" s="95"/>
    <row r="178" ht="15.75" customHeight="1" s="95"/>
    <row r="179" ht="15.75" customHeight="1" s="95"/>
    <row r="180" ht="15.75" customHeight="1" s="95"/>
    <row r="181" ht="15.75" customHeight="1" s="95"/>
    <row r="182" ht="15.75" customHeight="1" s="95"/>
    <row r="183" ht="15.75" customHeight="1" s="95"/>
    <row r="184" ht="15.75" customHeight="1" s="95"/>
    <row r="185" ht="15.75" customHeight="1" s="95"/>
    <row r="186" ht="15.75" customHeight="1" s="95"/>
    <row r="187" ht="15.75" customHeight="1" s="95"/>
    <row r="188" ht="15.75" customHeight="1" s="95"/>
    <row r="189" ht="15.75" customHeight="1" s="95"/>
    <row r="190" ht="15.75" customHeight="1" s="95"/>
    <row r="191" ht="15.75" customHeight="1" s="95"/>
    <row r="192" ht="15.75" customHeight="1" s="95"/>
    <row r="193" ht="15.75" customHeight="1" s="95"/>
    <row r="194" ht="15.75" customHeight="1" s="95"/>
    <row r="195" ht="15.75" customHeight="1" s="95"/>
    <row r="196" ht="15.75" customHeight="1" s="95"/>
    <row r="197" ht="15.75" customHeight="1" s="95"/>
    <row r="198" ht="15.75" customHeight="1" s="95"/>
    <row r="199" ht="15.75" customHeight="1" s="95"/>
    <row r="200" ht="15.75" customHeight="1" s="95"/>
    <row r="201" ht="15.75" customHeight="1" s="95"/>
    <row r="202" ht="15.75" customHeight="1" s="95"/>
    <row r="203" ht="15.75" customHeight="1" s="95"/>
    <row r="204" ht="15.75" customHeight="1" s="95"/>
    <row r="205" ht="15.75" customHeight="1" s="95"/>
    <row r="206" ht="15.75" customHeight="1" s="95"/>
    <row r="207" ht="15.75" customHeight="1" s="95"/>
    <row r="208" ht="15.75" customHeight="1" s="95"/>
    <row r="209" ht="15.75" customHeight="1" s="95"/>
    <row r="210" ht="15.75" customHeight="1" s="95"/>
    <row r="211" ht="15.75" customHeight="1" s="95"/>
    <row r="212" ht="15.75" customHeight="1" s="95"/>
    <row r="213" ht="15.75" customHeight="1" s="95"/>
    <row r="214" ht="15.75" customHeight="1" s="95"/>
    <row r="215" ht="15.75" customHeight="1" s="95"/>
    <row r="216" ht="15.75" customHeight="1" s="95"/>
    <row r="217" ht="15.75" customHeight="1" s="95"/>
    <row r="218" ht="15.75" customHeight="1" s="95"/>
    <row r="219" ht="15.75" customHeight="1" s="95"/>
    <row r="220" ht="15.75" customHeight="1" s="95"/>
    <row r="221" ht="15.75" customHeight="1" s="95"/>
    <row r="222" ht="15.75" customHeight="1" s="95"/>
    <row r="223" ht="15.75" customHeight="1" s="95"/>
    <row r="224" ht="15.75" customHeight="1" s="95"/>
    <row r="225" ht="15.75" customHeight="1" s="95"/>
    <row r="226" ht="15.75" customHeight="1" s="95"/>
    <row r="227" ht="15.75" customHeight="1" s="95"/>
    <row r="228" ht="15.75" customHeight="1" s="95"/>
    <row r="229" ht="15.75" customHeight="1" s="95"/>
    <row r="230" ht="15.75" customHeight="1" s="95"/>
    <row r="231" ht="15.75" customHeight="1" s="95"/>
    <row r="232" ht="15.75" customHeight="1" s="95"/>
    <row r="233" ht="15.75" customHeight="1" s="95"/>
    <row r="234" ht="15.75" customHeight="1" s="95"/>
    <row r="235" ht="15.75" customHeight="1" s="95"/>
    <row r="236" ht="15.75" customHeight="1" s="95"/>
    <row r="237" ht="15.75" customHeight="1" s="95"/>
    <row r="238" ht="15.75" customHeight="1" s="95"/>
    <row r="239" ht="15.75" customHeight="1" s="95"/>
    <row r="240" ht="15.75" customHeight="1" s="95"/>
    <row r="241" ht="15.75" customHeight="1" s="95"/>
    <row r="242" ht="15.75" customHeight="1" s="95"/>
    <row r="243" ht="15.75" customHeight="1" s="95"/>
    <row r="244" ht="15.75" customHeight="1" s="95"/>
    <row r="245" ht="15.75" customHeight="1" s="95"/>
    <row r="246" ht="15.75" customHeight="1" s="95"/>
    <row r="247" ht="15.75" customHeight="1" s="95"/>
    <row r="248" ht="15.75" customHeight="1" s="95"/>
    <row r="249" ht="15.75" customHeight="1" s="95"/>
    <row r="250" ht="15.75" customHeight="1" s="95"/>
    <row r="251" ht="15.75" customHeight="1" s="95"/>
    <row r="252" ht="15.75" customHeight="1" s="95"/>
    <row r="253" ht="15.75" customHeight="1" s="95"/>
    <row r="254" ht="15.75" customHeight="1" s="95"/>
    <row r="255" ht="15.75" customHeight="1" s="95"/>
    <row r="256" ht="15.75" customHeight="1" s="95"/>
    <row r="257" ht="15.75" customHeight="1" s="95"/>
    <row r="258" ht="15.75" customHeight="1" s="95"/>
    <row r="259" ht="15.75" customHeight="1" s="95"/>
    <row r="260" ht="15.75" customHeight="1" s="95"/>
    <row r="261" ht="15.75" customHeight="1" s="95"/>
    <row r="262" ht="15.75" customHeight="1" s="95"/>
    <row r="263" ht="15.75" customHeight="1" s="95"/>
    <row r="264" ht="15.75" customHeight="1" s="95"/>
    <row r="265" ht="15.75" customHeight="1" s="95"/>
    <row r="266" ht="15.75" customHeight="1" s="95"/>
    <row r="267" ht="15.75" customHeight="1" s="95"/>
    <row r="268" ht="15.75" customHeight="1" s="95"/>
    <row r="269" ht="15.75" customHeight="1" s="95"/>
    <row r="270" ht="15.75" customHeight="1" s="95"/>
    <row r="271" ht="15.75" customHeight="1" s="95"/>
    <row r="272" ht="15.75" customHeight="1" s="95"/>
    <row r="273" ht="15.75" customHeight="1" s="95"/>
    <row r="274" ht="15.75" customHeight="1" s="95"/>
    <row r="275" ht="15.75" customHeight="1" s="95"/>
    <row r="276" ht="15.75" customHeight="1" s="95"/>
    <row r="277" ht="15.75" customHeight="1" s="95"/>
    <row r="278" ht="15.75" customHeight="1" s="95"/>
    <row r="279" ht="15.75" customHeight="1" s="95"/>
    <row r="280" ht="15.75" customHeight="1" s="95"/>
    <row r="281" ht="15.75" customHeight="1" s="95"/>
    <row r="282" ht="15.75" customHeight="1" s="95"/>
    <row r="283" ht="15.75" customHeight="1" s="95"/>
    <row r="284" ht="15.75" customHeight="1" s="95"/>
    <row r="285" ht="15.75" customHeight="1" s="95"/>
    <row r="286" ht="15.75" customHeight="1" s="95"/>
    <row r="287" ht="15.75" customHeight="1" s="95"/>
    <row r="288" ht="15.75" customHeight="1" s="95"/>
    <row r="289" ht="15.75" customHeight="1" s="95"/>
    <row r="290" ht="15.75" customHeight="1" s="95"/>
    <row r="291" ht="15.75" customHeight="1" s="95"/>
    <row r="292" ht="15.75" customHeight="1" s="95"/>
    <row r="293" ht="15.75" customHeight="1" s="95"/>
    <row r="294" ht="15.75" customHeight="1" s="95"/>
    <row r="295" ht="15.75" customHeight="1" s="95"/>
    <row r="296" ht="15.75" customHeight="1" s="95"/>
    <row r="297" ht="15.75" customHeight="1" s="95"/>
    <row r="298" ht="15.75" customHeight="1" s="95"/>
    <row r="299" ht="15.75" customHeight="1" s="95"/>
    <row r="300" ht="15.75" customHeight="1" s="95"/>
    <row r="301" ht="15.75" customHeight="1" s="95"/>
    <row r="302" ht="15.75" customHeight="1" s="95"/>
    <row r="303" ht="15.75" customHeight="1" s="95"/>
    <row r="304" ht="15.75" customHeight="1" s="95"/>
    <row r="305" ht="15.75" customHeight="1" s="95"/>
    <row r="306" ht="15.75" customHeight="1" s="95"/>
    <row r="307" ht="15.75" customHeight="1" s="95"/>
    <row r="308" ht="15.75" customHeight="1" s="95"/>
    <row r="309" ht="15.75" customHeight="1" s="95"/>
    <row r="310" ht="15.75" customHeight="1" s="95"/>
    <row r="311" ht="15.75" customHeight="1" s="95"/>
    <row r="312" ht="15.75" customHeight="1" s="95"/>
    <row r="313" ht="15.75" customHeight="1" s="95"/>
    <row r="314" ht="15.75" customHeight="1" s="95"/>
    <row r="315" ht="15.75" customHeight="1" s="95"/>
    <row r="316" ht="15.75" customHeight="1" s="95"/>
    <row r="317" ht="15.75" customHeight="1" s="95"/>
    <row r="318" ht="15.75" customHeight="1" s="95"/>
    <row r="319" ht="15.75" customHeight="1" s="95"/>
    <row r="320" ht="15.75" customHeight="1" s="95"/>
    <row r="321" ht="15.75" customHeight="1" s="95"/>
    <row r="322" ht="15.75" customHeight="1" s="95"/>
    <row r="323" ht="15.75" customHeight="1" s="95"/>
    <row r="324" ht="15.75" customHeight="1" s="95"/>
    <row r="325" ht="15.75" customHeight="1" s="95"/>
    <row r="326" ht="15.75" customHeight="1" s="95"/>
    <row r="327" ht="15.75" customHeight="1" s="95"/>
    <row r="328" ht="15.75" customHeight="1" s="95"/>
    <row r="329" ht="15.75" customHeight="1" s="95"/>
    <row r="330" ht="15.75" customHeight="1" s="95"/>
    <row r="331" ht="15.75" customHeight="1" s="95"/>
    <row r="332" ht="15.75" customHeight="1" s="95"/>
    <row r="333" ht="15.75" customHeight="1" s="95"/>
    <row r="334" ht="15.75" customHeight="1" s="95"/>
    <row r="335" ht="15.75" customHeight="1" s="95"/>
    <row r="336" ht="15.75" customHeight="1" s="95"/>
    <row r="337" ht="15.75" customHeight="1" s="95"/>
    <row r="338" ht="15.75" customHeight="1" s="95"/>
    <row r="339" ht="15.75" customHeight="1" s="95"/>
    <row r="340" ht="15.75" customHeight="1" s="95"/>
    <row r="341" ht="15.75" customHeight="1" s="95"/>
    <row r="342" ht="15.75" customHeight="1" s="95"/>
    <row r="343" ht="15.75" customHeight="1" s="95"/>
    <row r="344" ht="15.75" customHeight="1" s="95"/>
    <row r="345" ht="15.75" customHeight="1" s="95"/>
    <row r="346" ht="15.75" customHeight="1" s="95"/>
    <row r="347" ht="15.75" customHeight="1" s="95"/>
    <row r="348" ht="15.75" customHeight="1" s="95"/>
    <row r="349" ht="15.75" customHeight="1" s="95"/>
    <row r="350" ht="15.75" customHeight="1" s="95"/>
    <row r="351" ht="15.75" customHeight="1" s="95"/>
    <row r="352" ht="15.75" customHeight="1" s="95"/>
    <row r="353" ht="15.75" customHeight="1" s="95"/>
    <row r="354" ht="15.75" customHeight="1" s="95"/>
    <row r="355" ht="15.75" customHeight="1" s="95"/>
    <row r="356" ht="15.75" customHeight="1" s="95"/>
    <row r="357" ht="15.75" customHeight="1" s="95"/>
    <row r="358" ht="15.75" customHeight="1" s="95"/>
    <row r="359" ht="15.75" customHeight="1" s="95"/>
    <row r="360" ht="15.75" customHeight="1" s="95"/>
    <row r="361" ht="15.75" customHeight="1" s="95"/>
    <row r="362" ht="15.75" customHeight="1" s="95"/>
    <row r="363" ht="15.75" customHeight="1" s="95"/>
    <row r="364" ht="15.75" customHeight="1" s="95"/>
    <row r="365" ht="15.75" customHeight="1" s="95"/>
    <row r="366" ht="15.75" customHeight="1" s="95"/>
    <row r="367" ht="15.75" customHeight="1" s="95"/>
    <row r="368" ht="15.75" customHeight="1" s="95"/>
    <row r="369" ht="15.75" customHeight="1" s="95"/>
    <row r="370" ht="15.75" customHeight="1" s="95"/>
    <row r="371" ht="15.75" customHeight="1" s="95"/>
    <row r="372" ht="15.75" customHeight="1" s="95"/>
    <row r="373" ht="15.75" customHeight="1" s="95"/>
    <row r="374" ht="15.75" customHeight="1" s="95"/>
    <row r="375" ht="15.75" customHeight="1" s="95"/>
    <row r="376" ht="15.75" customHeight="1" s="95"/>
    <row r="377" ht="15.75" customHeight="1" s="95"/>
    <row r="378" ht="15.75" customHeight="1" s="95"/>
    <row r="379" ht="15.75" customHeight="1" s="95"/>
    <row r="380" ht="15.75" customHeight="1" s="95"/>
    <row r="381" ht="15.75" customHeight="1" s="95"/>
    <row r="382" ht="15.75" customHeight="1" s="95"/>
    <row r="383" ht="15.75" customHeight="1" s="95"/>
    <row r="384" ht="15.75" customHeight="1" s="95"/>
    <row r="385" ht="15.75" customHeight="1" s="95"/>
    <row r="386" ht="15.75" customHeight="1" s="95"/>
    <row r="387" ht="15.75" customHeight="1" s="95"/>
    <row r="388" ht="15.75" customHeight="1" s="95"/>
    <row r="389" ht="15.75" customHeight="1" s="95"/>
    <row r="390" ht="15.75" customHeight="1" s="95"/>
    <row r="391" ht="15.75" customHeight="1" s="95"/>
    <row r="392" ht="15.75" customHeight="1" s="95"/>
    <row r="393" ht="15.75" customHeight="1" s="95"/>
    <row r="394" ht="15.75" customHeight="1" s="95"/>
    <row r="395" ht="15.75" customHeight="1" s="95"/>
    <row r="396" ht="15.75" customHeight="1" s="95"/>
    <row r="397" ht="15.75" customHeight="1" s="95"/>
    <row r="398" ht="15.75" customHeight="1" s="95"/>
    <row r="399" ht="15.75" customHeight="1" s="95"/>
    <row r="400" ht="15.75" customHeight="1" s="95"/>
    <row r="401" ht="15.75" customHeight="1" s="95"/>
    <row r="402" ht="15.75" customHeight="1" s="95"/>
    <row r="403" ht="15.75" customHeight="1" s="95"/>
    <row r="404" ht="15.75" customHeight="1" s="95"/>
    <row r="405" ht="15.75" customHeight="1" s="95"/>
    <row r="406" ht="15.75" customHeight="1" s="95"/>
    <row r="407" ht="15.75" customHeight="1" s="95"/>
    <row r="408" ht="15.75" customHeight="1" s="95"/>
    <row r="409" ht="15.75" customHeight="1" s="95"/>
    <row r="410" ht="15.75" customHeight="1" s="95"/>
    <row r="411" ht="15.75" customHeight="1" s="95"/>
    <row r="412" ht="15.75" customHeight="1" s="95"/>
    <row r="413" ht="15.75" customHeight="1" s="95"/>
    <row r="414" ht="15.75" customHeight="1" s="95"/>
    <row r="415" ht="15.75" customHeight="1" s="95"/>
    <row r="416" ht="15.75" customHeight="1" s="95"/>
    <row r="417" ht="15.75" customHeight="1" s="95"/>
    <row r="418" ht="15.75" customHeight="1" s="95"/>
    <row r="419" ht="15.75" customHeight="1" s="95"/>
    <row r="420" ht="15.75" customHeight="1" s="95"/>
    <row r="421" ht="15.75" customHeight="1" s="95"/>
    <row r="422" ht="15.75" customHeight="1" s="95"/>
    <row r="423" ht="15.75" customHeight="1" s="95"/>
    <row r="424" ht="15.75" customHeight="1" s="95"/>
    <row r="425" ht="15.75" customHeight="1" s="95"/>
    <row r="426" ht="15.75" customHeight="1" s="95"/>
    <row r="427" ht="15.75" customHeight="1" s="95"/>
    <row r="428" ht="15.75" customHeight="1" s="95"/>
    <row r="429" ht="15.75" customHeight="1" s="95"/>
    <row r="430" ht="15.75" customHeight="1" s="95"/>
    <row r="431" ht="15.75" customHeight="1" s="95"/>
    <row r="432" ht="15.75" customHeight="1" s="95"/>
    <row r="433" ht="15.75" customHeight="1" s="95"/>
    <row r="434" ht="15.75" customHeight="1" s="95"/>
    <row r="435" ht="15.75" customHeight="1" s="95"/>
    <row r="436" ht="15.75" customHeight="1" s="95"/>
    <row r="437" ht="15.75" customHeight="1" s="95"/>
    <row r="438" ht="15.75" customHeight="1" s="95"/>
    <row r="439" ht="15.75" customHeight="1" s="95"/>
    <row r="440" ht="15.75" customHeight="1" s="95"/>
    <row r="441" ht="15.75" customHeight="1" s="95"/>
    <row r="442" ht="15.75" customHeight="1" s="95"/>
    <row r="443" ht="15.75" customHeight="1" s="95"/>
    <row r="444" ht="15.75" customHeight="1" s="95"/>
    <row r="445" ht="15.75" customHeight="1" s="95"/>
    <row r="446" ht="15.75" customHeight="1" s="95"/>
    <row r="447" ht="15.75" customHeight="1" s="95"/>
    <row r="448" ht="15.75" customHeight="1" s="95"/>
    <row r="449" ht="15.75" customHeight="1" s="95"/>
    <row r="450" ht="15.75" customHeight="1" s="95"/>
    <row r="451" ht="15.75" customHeight="1" s="95"/>
    <row r="452" ht="15.75" customHeight="1" s="95"/>
    <row r="453" ht="15.75" customHeight="1" s="95"/>
    <row r="454" ht="15.75" customHeight="1" s="95"/>
    <row r="455" ht="15.75" customHeight="1" s="95"/>
    <row r="456" ht="15.75" customHeight="1" s="95"/>
    <row r="457" ht="15.75" customHeight="1" s="95"/>
    <row r="458" ht="15.75" customHeight="1" s="95"/>
    <row r="459" ht="15.75" customHeight="1" s="95"/>
    <row r="460" ht="15.75" customHeight="1" s="95"/>
    <row r="461" ht="15.75" customHeight="1" s="95"/>
    <row r="462" ht="15.75" customHeight="1" s="95"/>
    <row r="463" ht="15.75" customHeight="1" s="95"/>
    <row r="464" ht="15.75" customHeight="1" s="95"/>
    <row r="465" ht="15.75" customHeight="1" s="95"/>
    <row r="466" ht="15.75" customHeight="1" s="95"/>
    <row r="467" ht="15.75" customHeight="1" s="95"/>
    <row r="468" ht="15.75" customHeight="1" s="95"/>
    <row r="469" ht="15.75" customHeight="1" s="95"/>
    <row r="470" ht="15.75" customHeight="1" s="95"/>
    <row r="471" ht="15.75" customHeight="1" s="95"/>
    <row r="472" ht="15.75" customHeight="1" s="95"/>
    <row r="473" ht="15.75" customHeight="1" s="95"/>
    <row r="474" ht="15.75" customHeight="1" s="95"/>
    <row r="475" ht="15.75" customHeight="1" s="95"/>
    <row r="476" ht="15.75" customHeight="1" s="95"/>
    <row r="477" ht="15.75" customHeight="1" s="95"/>
    <row r="478" ht="15.75" customHeight="1" s="95"/>
    <row r="479" ht="15.75" customHeight="1" s="95"/>
    <row r="480" ht="15.75" customHeight="1" s="95"/>
    <row r="481" ht="15.75" customHeight="1" s="95"/>
    <row r="482" ht="15.75" customHeight="1" s="95"/>
    <row r="483" ht="15.75" customHeight="1" s="95"/>
    <row r="484" ht="15.75" customHeight="1" s="95"/>
    <row r="485" ht="15.75" customHeight="1" s="95"/>
    <row r="486" ht="15.75" customHeight="1" s="95"/>
    <row r="487" ht="15.75" customHeight="1" s="95"/>
    <row r="488" ht="15.75" customHeight="1" s="95"/>
    <row r="489" ht="15.75" customHeight="1" s="95"/>
    <row r="490" ht="15.75" customHeight="1" s="95"/>
    <row r="491" ht="15.75" customHeight="1" s="95"/>
    <row r="492" ht="15.75" customHeight="1" s="95"/>
    <row r="493" ht="15.75" customHeight="1" s="95"/>
    <row r="494" ht="15.75" customHeight="1" s="95"/>
    <row r="495" ht="15.75" customHeight="1" s="95"/>
    <row r="496" ht="15.75" customHeight="1" s="95"/>
    <row r="497" ht="15.75" customHeight="1" s="95"/>
    <row r="498" ht="15.75" customHeight="1" s="95"/>
    <row r="499" ht="15.75" customHeight="1" s="95"/>
    <row r="500" ht="15.75" customHeight="1" s="95"/>
    <row r="501" ht="15.75" customHeight="1" s="95"/>
    <row r="502" ht="15.75" customHeight="1" s="95"/>
    <row r="503" ht="15.75" customHeight="1" s="95"/>
    <row r="504" ht="15.75" customHeight="1" s="95"/>
    <row r="505" ht="15.75" customHeight="1" s="95"/>
    <row r="506" ht="15.75" customHeight="1" s="95"/>
    <row r="507" ht="15.75" customHeight="1" s="95"/>
    <row r="508" ht="15.75" customHeight="1" s="95"/>
    <row r="509" ht="15.75" customHeight="1" s="95"/>
    <row r="510" ht="15.75" customHeight="1" s="95"/>
    <row r="511" ht="15.75" customHeight="1" s="95"/>
    <row r="512" ht="15.75" customHeight="1" s="95"/>
    <row r="513" ht="15.75" customHeight="1" s="95"/>
    <row r="514" ht="15.75" customHeight="1" s="95"/>
    <row r="515" ht="15.75" customHeight="1" s="95"/>
    <row r="516" ht="15.75" customHeight="1" s="95"/>
    <row r="517" ht="15.75" customHeight="1" s="95"/>
    <row r="518" ht="15.75" customHeight="1" s="95"/>
    <row r="519" ht="15.75" customHeight="1" s="95"/>
    <row r="520" ht="15.75" customHeight="1" s="95"/>
    <row r="521" ht="15.75" customHeight="1" s="95"/>
    <row r="522" ht="15.75" customHeight="1" s="95"/>
    <row r="523" ht="15.75" customHeight="1" s="95"/>
    <row r="524" ht="15.75" customHeight="1" s="95"/>
    <row r="525" ht="15.75" customHeight="1" s="95"/>
    <row r="526" ht="15.75" customHeight="1" s="95"/>
    <row r="527" ht="15.75" customHeight="1" s="95"/>
    <row r="528" ht="15.75" customHeight="1" s="95"/>
    <row r="529" ht="15.75" customHeight="1" s="95"/>
    <row r="530" ht="15.75" customHeight="1" s="95"/>
    <row r="531" ht="15.75" customHeight="1" s="95"/>
    <row r="532" ht="15.75" customHeight="1" s="95"/>
    <row r="533" ht="15.75" customHeight="1" s="95"/>
    <row r="534" ht="15.75" customHeight="1" s="95"/>
    <row r="535" ht="15.75" customHeight="1" s="95"/>
    <row r="536" ht="15.75" customHeight="1" s="95"/>
    <row r="537" ht="15.75" customHeight="1" s="95"/>
    <row r="538" ht="15.75" customHeight="1" s="95"/>
    <row r="539" ht="15.75" customHeight="1" s="95"/>
    <row r="540" ht="15.75" customHeight="1" s="95"/>
    <row r="541" ht="15.75" customHeight="1" s="95"/>
    <row r="542" ht="15.75" customHeight="1" s="95"/>
    <row r="543" ht="15.75" customHeight="1" s="95"/>
    <row r="544" ht="15.75" customHeight="1" s="95"/>
    <row r="545" ht="15.75" customHeight="1" s="95"/>
    <row r="546" ht="15.75" customHeight="1" s="95"/>
    <row r="547" ht="15.75" customHeight="1" s="95"/>
    <row r="548" ht="15.75" customHeight="1" s="95"/>
    <row r="549" ht="15.75" customHeight="1" s="95"/>
    <row r="550" ht="15.75" customHeight="1" s="95"/>
    <row r="551" ht="15.75" customHeight="1" s="95"/>
    <row r="552" ht="15.75" customHeight="1" s="95"/>
    <row r="553" ht="15.75" customHeight="1" s="95"/>
    <row r="554" ht="15.75" customHeight="1" s="95"/>
    <row r="555" ht="15.75" customHeight="1" s="95"/>
    <row r="556" ht="15.75" customHeight="1" s="95"/>
    <row r="557" ht="15.75" customHeight="1" s="95"/>
    <row r="558" ht="15.75" customHeight="1" s="95"/>
    <row r="559" ht="15.75" customHeight="1" s="95"/>
    <row r="560" ht="15.75" customHeight="1" s="95"/>
    <row r="561" ht="15.75" customHeight="1" s="95"/>
    <row r="562" ht="15.75" customHeight="1" s="95"/>
    <row r="563" ht="15.75" customHeight="1" s="95"/>
    <row r="564" ht="15.75" customHeight="1" s="95"/>
    <row r="565" ht="15.75" customHeight="1" s="95"/>
    <row r="566" ht="15.75" customHeight="1" s="95"/>
    <row r="567" ht="15.75" customHeight="1" s="95"/>
    <row r="568" ht="15.75" customHeight="1" s="95"/>
    <row r="569" ht="15.75" customHeight="1" s="95"/>
    <row r="570" ht="15.75" customHeight="1" s="95"/>
    <row r="571" ht="15.75" customHeight="1" s="95"/>
    <row r="572" ht="15.75" customHeight="1" s="95"/>
    <row r="573" ht="15.75" customHeight="1" s="95"/>
    <row r="574" ht="15.75" customHeight="1" s="95"/>
    <row r="575" ht="15.75" customHeight="1" s="95"/>
    <row r="576" ht="15.75" customHeight="1" s="95"/>
    <row r="577" ht="15.75" customHeight="1" s="95"/>
    <row r="578" ht="15.75" customHeight="1" s="95"/>
    <row r="579" ht="15.75" customHeight="1" s="95"/>
    <row r="580" ht="15.75" customHeight="1" s="95"/>
    <row r="581" ht="15.75" customHeight="1" s="95"/>
    <row r="582" ht="15.75" customHeight="1" s="95"/>
    <row r="583" ht="15.75" customHeight="1" s="95"/>
    <row r="584" ht="15.75" customHeight="1" s="95"/>
    <row r="585" ht="15.75" customHeight="1" s="95"/>
    <row r="586" ht="15.75" customHeight="1" s="95"/>
    <row r="587" ht="15.75" customHeight="1" s="95"/>
    <row r="588" ht="15.75" customHeight="1" s="95"/>
    <row r="589" ht="15.75" customHeight="1" s="95"/>
    <row r="590" ht="15.75" customHeight="1" s="95"/>
    <row r="591" ht="15.75" customHeight="1" s="95"/>
    <row r="592" ht="15.75" customHeight="1" s="95"/>
    <row r="593" ht="15.75" customHeight="1" s="95"/>
    <row r="594" ht="15.75" customHeight="1" s="95"/>
    <row r="595" ht="15.75" customHeight="1" s="95"/>
    <row r="596" ht="15.75" customHeight="1" s="95"/>
    <row r="597" ht="15.75" customHeight="1" s="95"/>
    <row r="598" ht="15.75" customHeight="1" s="95"/>
    <row r="599" ht="15.75" customHeight="1" s="95"/>
    <row r="600" ht="15.75" customHeight="1" s="95"/>
    <row r="601" ht="15.75" customHeight="1" s="95"/>
    <row r="602" ht="15.75" customHeight="1" s="95"/>
    <row r="603" ht="15.75" customHeight="1" s="95"/>
    <row r="604" ht="15.75" customHeight="1" s="95"/>
    <row r="605" ht="15.75" customHeight="1" s="95"/>
    <row r="606" ht="15.75" customHeight="1" s="95"/>
    <row r="607" ht="15.75" customHeight="1" s="95"/>
    <row r="608" ht="15.75" customHeight="1" s="95"/>
    <row r="609" ht="15.75" customHeight="1" s="95"/>
    <row r="610" ht="15.75" customHeight="1" s="95"/>
    <row r="611" ht="15.75" customHeight="1" s="95"/>
    <row r="612" ht="15.75" customHeight="1" s="95"/>
    <row r="613" ht="15.75" customHeight="1" s="95"/>
    <row r="614" ht="15.75" customHeight="1" s="95"/>
    <row r="615" ht="15.75" customHeight="1" s="95"/>
    <row r="616" ht="15.75" customHeight="1" s="95"/>
    <row r="617" ht="15.75" customHeight="1" s="95"/>
    <row r="618" ht="15.75" customHeight="1" s="95"/>
    <row r="619" ht="15.75" customHeight="1" s="95"/>
    <row r="620" ht="15.75" customHeight="1" s="95"/>
    <row r="621" ht="15.75" customHeight="1" s="95"/>
    <row r="622" ht="15.75" customHeight="1" s="95"/>
    <row r="623" ht="15.75" customHeight="1" s="95"/>
    <row r="624" ht="15.75" customHeight="1" s="95"/>
    <row r="625" ht="15.75" customHeight="1" s="95"/>
    <row r="626" ht="15.75" customHeight="1" s="95"/>
    <row r="627" ht="15.75" customHeight="1" s="95"/>
    <row r="628" ht="15.75" customHeight="1" s="95"/>
    <row r="629" ht="15.75" customHeight="1" s="95"/>
    <row r="630" ht="15.75" customHeight="1" s="95"/>
    <row r="631" ht="15.75" customHeight="1" s="95"/>
    <row r="632" ht="15.75" customHeight="1" s="95"/>
    <row r="633" ht="15.75" customHeight="1" s="95"/>
    <row r="634" ht="15.75" customHeight="1" s="95"/>
    <row r="635" ht="15.75" customHeight="1" s="95"/>
    <row r="636" ht="15.75" customHeight="1" s="95"/>
    <row r="637" ht="15.75" customHeight="1" s="95"/>
    <row r="638" ht="15.75" customHeight="1" s="95"/>
    <row r="639" ht="15.75" customHeight="1" s="95"/>
    <row r="640" ht="15.75" customHeight="1" s="95"/>
    <row r="641" ht="15.75" customHeight="1" s="95"/>
    <row r="642" ht="15.75" customHeight="1" s="95"/>
    <row r="643" ht="15.75" customHeight="1" s="95"/>
    <row r="644" ht="15.75" customHeight="1" s="95"/>
    <row r="645" ht="15.75" customHeight="1" s="95"/>
    <row r="646" ht="15.75" customHeight="1" s="95"/>
    <row r="647" ht="15.75" customHeight="1" s="95"/>
    <row r="648" ht="15.75" customHeight="1" s="95"/>
    <row r="649" ht="15.75" customHeight="1" s="95"/>
    <row r="650" ht="15.75" customHeight="1" s="95"/>
    <row r="651" ht="15.75" customHeight="1" s="95"/>
    <row r="652" ht="15.75" customHeight="1" s="95"/>
    <row r="653" ht="15.75" customHeight="1" s="95"/>
    <row r="654" ht="15.75" customHeight="1" s="95"/>
    <row r="655" ht="15.75" customHeight="1" s="95"/>
    <row r="656" ht="15.75" customHeight="1" s="95"/>
    <row r="657" ht="15.75" customHeight="1" s="95"/>
    <row r="658" ht="15.75" customHeight="1" s="95"/>
    <row r="659" ht="15.75" customHeight="1" s="95"/>
    <row r="660" ht="15.75" customHeight="1" s="95"/>
    <row r="661" ht="15.75" customHeight="1" s="95"/>
    <row r="662" ht="15.75" customHeight="1" s="95"/>
    <row r="663" ht="15.75" customHeight="1" s="95"/>
    <row r="664" ht="15.75" customHeight="1" s="95"/>
    <row r="665" ht="15.75" customHeight="1" s="95"/>
    <row r="666" ht="15.75" customHeight="1" s="95"/>
    <row r="667" ht="15.75" customHeight="1" s="95"/>
    <row r="668" ht="15.75" customHeight="1" s="95"/>
    <row r="669" ht="15.75" customHeight="1" s="95"/>
    <row r="670" ht="15.75" customHeight="1" s="95"/>
    <row r="671" ht="15.75" customHeight="1" s="95"/>
    <row r="672" ht="15.75" customHeight="1" s="95"/>
    <row r="673" ht="15.75" customHeight="1" s="95"/>
    <row r="674" ht="15.75" customHeight="1" s="95"/>
    <row r="675" ht="15.75" customHeight="1" s="95"/>
    <row r="676" ht="15.75" customHeight="1" s="95"/>
    <row r="677" ht="15.75" customHeight="1" s="95"/>
    <row r="678" ht="15.75" customHeight="1" s="95"/>
    <row r="679" ht="15.75" customHeight="1" s="95"/>
    <row r="680" ht="15.75" customHeight="1" s="95"/>
    <row r="681" ht="15.75" customHeight="1" s="95"/>
    <row r="682" ht="15.75" customHeight="1" s="95"/>
    <row r="683" ht="15.75" customHeight="1" s="95"/>
    <row r="684" ht="15.75" customHeight="1" s="95"/>
    <row r="685" ht="15.75" customHeight="1" s="95"/>
    <row r="686" ht="15.75" customHeight="1" s="95"/>
    <row r="687" ht="15.75" customHeight="1" s="95"/>
    <row r="688" ht="15.75" customHeight="1" s="95"/>
    <row r="689" ht="15.75" customHeight="1" s="95"/>
    <row r="690" ht="15.75" customHeight="1" s="95"/>
    <row r="691" ht="15.75" customHeight="1" s="95"/>
    <row r="692" ht="15.75" customHeight="1" s="95"/>
    <row r="693" ht="15.75" customHeight="1" s="95"/>
    <row r="694" ht="15.75" customHeight="1" s="95"/>
    <row r="695" ht="15.75" customHeight="1" s="95"/>
    <row r="696" ht="15.75" customHeight="1" s="95"/>
    <row r="697" ht="15.75" customHeight="1" s="95"/>
    <row r="698" ht="15.75" customHeight="1" s="95"/>
    <row r="699" ht="15.75" customHeight="1" s="95"/>
    <row r="700" ht="15.75" customHeight="1" s="95"/>
    <row r="701" ht="15.75" customHeight="1" s="95"/>
    <row r="702" ht="15.75" customHeight="1" s="95"/>
    <row r="703" ht="15.75" customHeight="1" s="95"/>
    <row r="704" ht="15.75" customHeight="1" s="95"/>
    <row r="705" ht="15.75" customHeight="1" s="95"/>
    <row r="706" ht="15.75" customHeight="1" s="95"/>
    <row r="707" ht="15.75" customHeight="1" s="95"/>
    <row r="708" ht="15.75" customHeight="1" s="95"/>
    <row r="709" ht="15.75" customHeight="1" s="95"/>
    <row r="710" ht="15.75" customHeight="1" s="95"/>
    <row r="711" ht="15.75" customHeight="1" s="95"/>
    <row r="712" ht="15.75" customHeight="1" s="95"/>
    <row r="713" ht="15.75" customHeight="1" s="95"/>
    <row r="714" ht="15.75" customHeight="1" s="95"/>
    <row r="715" ht="15.75" customHeight="1" s="95"/>
    <row r="716" ht="15.75" customHeight="1" s="95"/>
    <row r="717" ht="15.75" customHeight="1" s="95"/>
    <row r="718" ht="15.75" customHeight="1" s="95"/>
    <row r="719" ht="15.75" customHeight="1" s="95"/>
    <row r="720" ht="15.75" customHeight="1" s="95"/>
    <row r="721" ht="15.75" customHeight="1" s="95"/>
    <row r="722" ht="15.75" customHeight="1" s="95"/>
    <row r="723" ht="15.75" customHeight="1" s="95"/>
    <row r="724" ht="15.75" customHeight="1" s="95"/>
    <row r="725" ht="15.75" customHeight="1" s="95"/>
    <row r="726" ht="15.75" customHeight="1" s="95"/>
    <row r="727" ht="15.75" customHeight="1" s="95"/>
    <row r="728" ht="15.75" customHeight="1" s="95"/>
    <row r="729" ht="15.75" customHeight="1" s="95"/>
    <row r="730" ht="15.75" customHeight="1" s="95"/>
    <row r="731" ht="15.75" customHeight="1" s="95"/>
    <row r="732" ht="15.75" customHeight="1" s="95"/>
    <row r="733" ht="15.75" customHeight="1" s="95"/>
    <row r="734" ht="15.75" customHeight="1" s="95"/>
    <row r="735" ht="15.75" customHeight="1" s="95"/>
    <row r="736" ht="15.75" customHeight="1" s="95"/>
    <row r="737" ht="15.75" customHeight="1" s="95"/>
    <row r="738" ht="15.75" customHeight="1" s="95"/>
    <row r="739" ht="15.75" customHeight="1" s="95"/>
    <row r="740" ht="15.75" customHeight="1" s="95"/>
    <row r="741" ht="15.75" customHeight="1" s="95"/>
    <row r="742" ht="15.75" customHeight="1" s="95"/>
    <row r="743" ht="15.75" customHeight="1" s="95"/>
    <row r="744" ht="15.75" customHeight="1" s="95"/>
    <row r="745" ht="15.75" customHeight="1" s="95"/>
    <row r="746" ht="15.75" customHeight="1" s="95"/>
    <row r="747" ht="15.75" customHeight="1" s="95"/>
    <row r="748" ht="15.75" customHeight="1" s="95"/>
    <row r="749" ht="15.75" customHeight="1" s="95"/>
    <row r="750" ht="15.75" customHeight="1" s="95"/>
    <row r="751" ht="15.75" customHeight="1" s="95"/>
    <row r="752" ht="15.75" customHeight="1" s="95"/>
    <row r="753" ht="15.75" customHeight="1" s="95"/>
    <row r="754" ht="15.75" customHeight="1" s="95"/>
    <row r="755" ht="15.75" customHeight="1" s="95"/>
    <row r="756" ht="15.75" customHeight="1" s="95"/>
    <row r="757" ht="15.75" customHeight="1" s="95"/>
    <row r="758" ht="15.75" customHeight="1" s="95"/>
    <row r="759" ht="15.75" customHeight="1" s="95"/>
    <row r="760" ht="15.75" customHeight="1" s="95"/>
    <row r="761" ht="15.75" customHeight="1" s="95"/>
    <row r="762" ht="15.75" customHeight="1" s="95"/>
    <row r="763" ht="15.75" customHeight="1" s="95"/>
    <row r="764" ht="15.75" customHeight="1" s="95"/>
    <row r="765" ht="15.75" customHeight="1" s="95"/>
    <row r="766" ht="15.75" customHeight="1" s="95"/>
    <row r="767" ht="15.75" customHeight="1" s="95"/>
    <row r="768" ht="15.75" customHeight="1" s="95"/>
    <row r="769" ht="15.75" customHeight="1" s="95"/>
    <row r="770" ht="15.75" customHeight="1" s="95"/>
    <row r="771" ht="15.75" customHeight="1" s="95"/>
    <row r="772" ht="15.75" customHeight="1" s="95"/>
    <row r="773" ht="15.75" customHeight="1" s="95"/>
    <row r="774" ht="15.75" customHeight="1" s="95"/>
    <row r="775" ht="15.75" customHeight="1" s="95"/>
    <row r="776" ht="15.75" customHeight="1" s="95"/>
    <row r="777" ht="15.75" customHeight="1" s="95"/>
    <row r="778" ht="15.75" customHeight="1" s="95"/>
    <row r="779" ht="15.75" customHeight="1" s="95"/>
    <row r="780" ht="15.75" customHeight="1" s="95"/>
    <row r="781" ht="15.75" customHeight="1" s="95"/>
    <row r="782" ht="15.75" customHeight="1" s="95"/>
    <row r="783" ht="15.75" customHeight="1" s="95"/>
    <row r="784" ht="15.75" customHeight="1" s="95"/>
    <row r="785" ht="15.75" customHeight="1" s="95"/>
    <row r="786" ht="15.75" customHeight="1" s="95"/>
    <row r="787" ht="15.75" customHeight="1" s="95"/>
    <row r="788" ht="15.75" customHeight="1" s="95"/>
    <row r="789" ht="15.75" customHeight="1" s="95"/>
    <row r="790" ht="15.75" customHeight="1" s="95"/>
    <row r="791" ht="15.75" customHeight="1" s="95"/>
    <row r="792" ht="15.75" customHeight="1" s="95"/>
    <row r="793" ht="15.75" customHeight="1" s="95"/>
    <row r="794" ht="15.75" customHeight="1" s="95"/>
    <row r="795" ht="15.75" customHeight="1" s="95"/>
    <row r="796" ht="15.75" customHeight="1" s="95"/>
    <row r="797" ht="15.75" customHeight="1" s="95"/>
    <row r="798" ht="15.75" customHeight="1" s="95"/>
    <row r="799" ht="15.75" customHeight="1" s="95"/>
    <row r="800" ht="15.75" customHeight="1" s="95"/>
    <row r="801" ht="15.75" customHeight="1" s="95"/>
    <row r="802" ht="15.75" customHeight="1" s="95"/>
    <row r="803" ht="15.75" customHeight="1" s="95"/>
    <row r="804" ht="15.75" customHeight="1" s="95"/>
    <row r="805" ht="15.75" customHeight="1" s="95"/>
    <row r="806" ht="15.75" customHeight="1" s="95"/>
    <row r="807" ht="15.75" customHeight="1" s="95"/>
    <row r="808" ht="15.75" customHeight="1" s="95"/>
    <row r="809" ht="15.75" customHeight="1" s="95"/>
    <row r="810" ht="15.75" customHeight="1" s="95"/>
    <row r="811" ht="15.75" customHeight="1" s="95"/>
    <row r="812" ht="15.75" customHeight="1" s="95"/>
    <row r="813" ht="15.75" customHeight="1" s="95"/>
    <row r="814" ht="15.75" customHeight="1" s="95"/>
    <row r="815" ht="15.75" customHeight="1" s="95"/>
    <row r="816" ht="15.75" customHeight="1" s="95"/>
    <row r="817" ht="15.75" customHeight="1" s="95"/>
    <row r="818" ht="15.75" customHeight="1" s="95"/>
    <row r="819" ht="15.75" customHeight="1" s="95"/>
    <row r="820" ht="15.75" customHeight="1" s="95"/>
    <row r="821" ht="15.75" customHeight="1" s="95"/>
    <row r="822" ht="15.75" customHeight="1" s="95"/>
    <row r="823" ht="15.75" customHeight="1" s="95"/>
    <row r="824" ht="15.75" customHeight="1" s="95"/>
    <row r="825" ht="15.75" customHeight="1" s="95"/>
    <row r="826" ht="15.75" customHeight="1" s="95"/>
    <row r="827" ht="15.75" customHeight="1" s="95"/>
    <row r="828" ht="15.75" customHeight="1" s="95"/>
    <row r="829" ht="15.75" customHeight="1" s="95"/>
    <row r="830" ht="15.75" customHeight="1" s="95"/>
    <row r="831" ht="15.75" customHeight="1" s="95"/>
    <row r="832" ht="15.75" customHeight="1" s="95"/>
    <row r="833" ht="15.75" customHeight="1" s="95"/>
    <row r="834" ht="15.75" customHeight="1" s="95"/>
    <row r="835" ht="15.75" customHeight="1" s="95"/>
    <row r="836" ht="15.75" customHeight="1" s="95"/>
    <row r="837" ht="15.75" customHeight="1" s="95"/>
    <row r="838" ht="15.75" customHeight="1" s="95"/>
    <row r="839" ht="15.75" customHeight="1" s="95"/>
    <row r="840" ht="15.75" customHeight="1" s="95"/>
    <row r="841" ht="15.75" customHeight="1" s="95"/>
    <row r="842" ht="15.75" customHeight="1" s="95"/>
    <row r="843" ht="15.75" customHeight="1" s="95"/>
    <row r="844" ht="15.75" customHeight="1" s="95"/>
    <row r="845" ht="15.75" customHeight="1" s="95"/>
    <row r="846" ht="15.75" customHeight="1" s="95"/>
    <row r="847" ht="15.75" customHeight="1" s="95"/>
    <row r="848" ht="15.75" customHeight="1" s="95"/>
    <row r="849" ht="15.75" customHeight="1" s="95"/>
    <row r="850" ht="15.75" customHeight="1" s="95"/>
    <row r="851" ht="15.75" customHeight="1" s="95"/>
    <row r="852" ht="15.75" customHeight="1" s="95"/>
    <row r="853" ht="15.75" customHeight="1" s="95"/>
    <row r="854" ht="15.75" customHeight="1" s="95"/>
    <row r="855" ht="15.75" customHeight="1" s="95"/>
    <row r="856" ht="15.75" customHeight="1" s="95"/>
    <row r="857" ht="15.75" customHeight="1" s="95"/>
    <row r="858" ht="15.75" customHeight="1" s="95"/>
    <row r="859" ht="15.75" customHeight="1" s="95"/>
    <row r="860" ht="15.75" customHeight="1" s="95"/>
    <row r="861" ht="15.75" customHeight="1" s="95"/>
    <row r="862" ht="15.75" customHeight="1" s="95"/>
    <row r="863" ht="15.75" customHeight="1" s="95"/>
    <row r="864" ht="15.75" customHeight="1" s="95"/>
    <row r="865" ht="15.75" customHeight="1" s="95"/>
    <row r="866" ht="15.75" customHeight="1" s="95"/>
    <row r="867" ht="15.75" customHeight="1" s="95"/>
    <row r="868" ht="15.75" customHeight="1" s="95"/>
    <row r="869" ht="15.75" customHeight="1" s="95"/>
    <row r="870" ht="15.75" customHeight="1" s="95"/>
    <row r="871" ht="15.75" customHeight="1" s="95"/>
    <row r="872" ht="15.75" customHeight="1" s="95"/>
    <row r="873" ht="15.75" customHeight="1" s="95"/>
    <row r="874" ht="15.75" customHeight="1" s="95"/>
    <row r="875" ht="15.75" customHeight="1" s="95"/>
    <row r="876" ht="15.75" customHeight="1" s="95"/>
    <row r="877" ht="15.75" customHeight="1" s="95"/>
    <row r="878" ht="15.75" customHeight="1" s="95"/>
    <row r="879" ht="15.75" customHeight="1" s="95"/>
    <row r="880" ht="15.75" customHeight="1" s="95"/>
    <row r="881" ht="15.75" customHeight="1" s="95"/>
    <row r="882" ht="15.75" customHeight="1" s="95"/>
    <row r="883" ht="15.75" customHeight="1" s="95"/>
    <row r="884" ht="15.75" customHeight="1" s="95"/>
    <row r="885" ht="15.75" customHeight="1" s="95"/>
    <row r="886" ht="15.75" customHeight="1" s="95"/>
    <row r="887" ht="15.75" customHeight="1" s="95"/>
    <row r="888" ht="15.75" customHeight="1" s="95"/>
    <row r="889" ht="15.75" customHeight="1" s="95"/>
    <row r="890" ht="15.75" customHeight="1" s="95"/>
    <row r="891" ht="15.75" customHeight="1" s="95"/>
    <row r="892" ht="15.75" customHeight="1" s="95"/>
    <row r="893" ht="15.75" customHeight="1" s="95"/>
    <row r="894" ht="15.75" customHeight="1" s="95"/>
    <row r="895" ht="15.75" customHeight="1" s="95"/>
    <row r="896" ht="15.75" customHeight="1" s="95"/>
    <row r="897" ht="15.75" customHeight="1" s="95"/>
    <row r="898" ht="15.75" customHeight="1" s="95"/>
    <row r="899" ht="15.75" customHeight="1" s="95"/>
    <row r="900" ht="15.75" customHeight="1" s="95"/>
    <row r="901" ht="15.75" customHeight="1" s="95"/>
    <row r="902" ht="15.75" customHeight="1" s="95"/>
    <row r="903" ht="15.75" customHeight="1" s="95"/>
    <row r="904" ht="15.75" customHeight="1" s="95"/>
    <row r="905" ht="15.75" customHeight="1" s="95"/>
    <row r="906" ht="15.75" customHeight="1" s="95"/>
    <row r="907" ht="15.75" customHeight="1" s="95"/>
    <row r="908" ht="15.75" customHeight="1" s="95"/>
    <row r="909" ht="15.75" customHeight="1" s="95"/>
    <row r="910" ht="15.75" customHeight="1" s="95"/>
    <row r="911" ht="15.75" customHeight="1" s="95"/>
    <row r="912" ht="15.75" customHeight="1" s="95"/>
    <row r="913" ht="15.75" customHeight="1" s="95"/>
    <row r="914" ht="15.75" customHeight="1" s="95"/>
    <row r="915" ht="15.75" customHeight="1" s="95"/>
    <row r="916" ht="15.75" customHeight="1" s="95"/>
    <row r="917" ht="15.75" customHeight="1" s="95"/>
    <row r="918" ht="15.75" customHeight="1" s="95"/>
    <row r="919" ht="15.75" customHeight="1" s="95"/>
    <row r="920" ht="15.75" customHeight="1" s="95"/>
    <row r="921" ht="15.75" customHeight="1" s="95"/>
    <row r="922" ht="15.75" customHeight="1" s="95"/>
    <row r="923" ht="15.75" customHeight="1" s="95"/>
    <row r="924" ht="15.75" customHeight="1" s="95"/>
    <row r="925" ht="15.75" customHeight="1" s="95"/>
    <row r="926" ht="15.75" customHeight="1" s="95"/>
    <row r="927" ht="15.75" customHeight="1" s="95"/>
    <row r="928" ht="15.75" customHeight="1" s="95"/>
    <row r="929" ht="15.75" customHeight="1" s="95"/>
    <row r="930" ht="15.75" customHeight="1" s="95"/>
    <row r="931" ht="15.75" customHeight="1" s="95"/>
    <row r="932" ht="15.75" customHeight="1" s="95"/>
    <row r="933" ht="15.75" customHeight="1" s="95"/>
    <row r="934" ht="15.75" customHeight="1" s="95"/>
    <row r="935" ht="15.75" customHeight="1" s="95"/>
    <row r="936" ht="15.75" customHeight="1" s="95"/>
    <row r="937" ht="15.75" customHeight="1" s="95"/>
    <row r="938" ht="15.75" customHeight="1" s="95"/>
    <row r="939" ht="15.75" customHeight="1" s="95"/>
    <row r="940" ht="15.75" customHeight="1" s="95"/>
    <row r="941" ht="15.75" customHeight="1" s="95"/>
    <row r="942" ht="15.75" customHeight="1" s="95"/>
    <row r="943" ht="15.75" customHeight="1" s="95"/>
    <row r="944" ht="15.75" customHeight="1" s="95"/>
    <row r="945" ht="15.75" customHeight="1" s="95"/>
    <row r="946" ht="15.75" customHeight="1" s="95"/>
    <row r="947" ht="15.75" customHeight="1" s="95"/>
    <row r="948" ht="15.75" customHeight="1" s="95"/>
    <row r="949" ht="15.75" customHeight="1" s="95"/>
    <row r="950" ht="15.75" customHeight="1" s="95"/>
    <row r="951" ht="15.75" customHeight="1" s="95"/>
    <row r="952" ht="15.75" customHeight="1" s="95"/>
    <row r="953" ht="15.75" customHeight="1" s="95"/>
    <row r="954" ht="15.75" customHeight="1" s="95"/>
    <row r="955" ht="15.75" customHeight="1" s="95"/>
    <row r="956" ht="15.75" customHeight="1" s="95"/>
    <row r="957" ht="15.75" customHeight="1" s="95"/>
    <row r="958" ht="15.75" customHeight="1" s="95"/>
    <row r="959" ht="15.75" customHeight="1" s="95"/>
    <row r="960" ht="15.75" customHeight="1" s="95"/>
    <row r="961" ht="15.75" customHeight="1" s="95"/>
    <row r="962" ht="15.75" customHeight="1" s="95"/>
    <row r="963" ht="15.75" customHeight="1" s="95"/>
    <row r="964" ht="15.75" customHeight="1" s="95"/>
    <row r="965" ht="15.75" customHeight="1" s="95"/>
    <row r="966" ht="15.75" customHeight="1" s="95"/>
    <row r="967" ht="15.75" customHeight="1" s="95"/>
    <row r="968" ht="15.75" customHeight="1" s="95"/>
    <row r="969" ht="15.75" customHeight="1" s="95"/>
    <row r="970" ht="15.75" customHeight="1" s="95"/>
    <row r="971" ht="15.75" customHeight="1" s="95"/>
    <row r="972" ht="15.75" customHeight="1" s="95"/>
    <row r="973" ht="15.75" customHeight="1" s="95"/>
    <row r="974" ht="15.75" customHeight="1" s="95"/>
    <row r="975" ht="15.75" customHeight="1" s="95"/>
    <row r="976" ht="15.75" customHeight="1" s="95"/>
    <row r="977" ht="15.75" customHeight="1" s="95"/>
    <row r="978" ht="15.75" customHeight="1" s="95"/>
    <row r="979" ht="15.75" customHeight="1" s="95"/>
    <row r="980" ht="15.75" customHeight="1" s="95"/>
    <row r="981" ht="15.75" customHeight="1" s="95"/>
    <row r="982" ht="15.75" customHeight="1" s="95"/>
    <row r="983" ht="15.75" customHeight="1" s="95"/>
    <row r="984" ht="15.75" customHeight="1" s="95"/>
    <row r="985" ht="15.75" customHeight="1" s="95"/>
    <row r="986" ht="15.75" customHeight="1" s="95"/>
    <row r="987" ht="15.75" customHeight="1" s="95"/>
    <row r="988" ht="15.75" customHeight="1" s="95"/>
    <row r="989" ht="15.75" customHeight="1" s="95"/>
    <row r="990" ht="15.75" customHeight="1" s="95"/>
    <row r="991" ht="15.75" customHeight="1" s="95"/>
    <row r="992" ht="15.75" customHeight="1" s="95"/>
    <row r="993" ht="15.75" customHeight="1" s="95"/>
    <row r="994" ht="15.75" customHeight="1" s="95"/>
    <row r="995" ht="15.75" customHeight="1" s="95"/>
    <row r="996" ht="15.75" customHeight="1" s="95"/>
    <row r="997" ht="15.75" customHeight="1" s="95"/>
    <row r="998" ht="15.75" customHeight="1" s="95"/>
    <row r="999" ht="15.75" customHeight="1" s="95"/>
    <row r="1000" ht="15.75" customHeight="1" s="95"/>
  </sheetData>
  <mergeCells count="4">
    <mergeCell ref="A25:H25"/>
    <mergeCell ref="A14:B14"/>
    <mergeCell ref="A2:H2"/>
    <mergeCell ref="A1:H1"/>
  </mergeCells>
  <conditionalFormatting sqref="E13:E22">
    <cfRule type="colorScale" priority="1">
      <colorScale>
        <cfvo type="min"/>
        <cfvo type="percentile" val="50"/>
        <cfvo type="max"/>
        <color rgb="FFF7C6C2"/>
        <color rgb="FFFFE59A"/>
        <color rgb="FFC6E0B4"/>
      </colorScale>
    </cfRule>
  </conditionalFormatting>
  <pageMargins left="0.7" right="0.7" top="0.75" bottom="0.75" header="0.3" footer="0.3"/>
  <drawing xmlns:r="http://schemas.openxmlformats.org/officeDocument/2006/relationships" r:id="rId1"/>
</worksheet>
</file>

<file path=xl/worksheets/sheet2.xml><?xml version="1.0" encoding="utf-8"?>
<worksheet xmlns="http://schemas.openxmlformats.org/spreadsheetml/2006/main">
  <sheetPr>
    <outlinePr summaryBelow="1" summaryRight="1"/>
    <pageSetUpPr/>
  </sheetPr>
  <dimension ref="A1:Z504"/>
  <sheetViews>
    <sheetView workbookViewId="0">
      <selection activeCell="A1" sqref="A1"/>
    </sheetView>
  </sheetViews>
  <sheetFormatPr baseColWidth="8" defaultColWidth="14.42578125" defaultRowHeight="15"/>
  <cols>
    <col width="10" customWidth="1" style="95" min="1" max="1"/>
    <col width="40" customWidth="1" style="95" min="2" max="2"/>
    <col width="8" customWidth="1" style="95" min="3" max="3"/>
    <col width="13" customWidth="1" style="95" min="4" max="4"/>
    <col width="25" customWidth="1" style="95" min="5" max="5"/>
    <col width="32" customWidth="1" style="95" min="6" max="6"/>
    <col width="10" customWidth="1" style="95" min="7" max="7"/>
    <col width="12" customWidth="1" style="95" min="8" max="8"/>
    <col width="34" customWidth="1" style="95" min="9" max="9"/>
    <col width="25" customWidth="1" style="95" min="10" max="10"/>
    <col width="13" customWidth="1" style="95" min="11" max="11"/>
    <col width="29" customWidth="1" style="95" min="12" max="12"/>
    <col width="35" customWidth="1" style="95" min="13" max="13"/>
    <col width="39" customWidth="1" style="95" min="14" max="15"/>
    <col width="22" customWidth="1" style="95" min="16" max="20"/>
    <col width="12" customWidth="1" style="95" min="21" max="21"/>
    <col width="11" customWidth="1" style="95" min="22" max="22"/>
    <col width="14" customWidth="1" style="95" min="23" max="23"/>
    <col width="10" customWidth="1" style="95" min="24" max="24"/>
    <col width="11" customWidth="1" style="95" min="25" max="26"/>
  </cols>
  <sheetData>
    <row r="1" ht="31.5" customHeight="1" s="95">
      <c r="A1" s="99" t="inlineStr">
        <is>
          <t>🎬 MY BLU-RAY COLLECTION — v5.0</t>
        </is>
      </c>
    </row>
    <row r="2" ht="21" customHeight="1" s="95">
      <c r="A2" s="100" t="inlineStr">
        <is>
          <t>Ratings edition: dedicated ratings database added with your score, external-rating fields, consensus scoring and one-click source lookups.</t>
        </is>
      </c>
    </row>
    <row r="4" ht="30" customHeight="1" s="95">
      <c r="A4" s="81" t="inlineStr">
        <is>
          <t>Film ID</t>
        </is>
      </c>
      <c r="B4" s="81" t="inlineStr">
        <is>
          <t>Title</t>
        </is>
      </c>
      <c r="C4" s="81" t="inlineStr">
        <is>
          <t>Year</t>
        </is>
      </c>
      <c r="D4" s="81" t="inlineStr">
        <is>
          <t>Format</t>
        </is>
      </c>
      <c r="E4" s="81" t="inlineStr">
        <is>
          <t>Collection</t>
        </is>
      </c>
      <c r="F4" s="81" t="inlineStr">
        <is>
          <t>Physical Release / Box Set</t>
        </is>
      </c>
      <c r="G4" s="81" t="inlineStr">
        <is>
          <t>Watched</t>
        </is>
      </c>
      <c r="H4" s="81" t="inlineStr">
        <is>
          <t>Rating (1-5)</t>
        </is>
      </c>
      <c r="I4" s="81" t="inlineStr">
        <is>
          <t>Notes</t>
        </is>
      </c>
      <c r="J4" s="81" t="inlineStr">
        <is>
          <t>Director</t>
        </is>
      </c>
      <c r="K4" s="81" t="inlineStr">
        <is>
          <t>Runtime (min)</t>
        </is>
      </c>
      <c r="L4" s="81" t="inlineStr">
        <is>
          <t>Genre</t>
        </is>
      </c>
      <c r="M4" s="81" t="inlineStr">
        <is>
          <t>Studio / Production</t>
        </is>
      </c>
      <c r="N4" s="81" t="inlineStr">
        <is>
          <t>Metadata Source</t>
        </is>
      </c>
      <c r="O4" s="81" t="inlineStr">
        <is>
          <t>Cast Source</t>
        </is>
      </c>
      <c r="P4" s="81" t="inlineStr">
        <is>
          <t>Actor 1</t>
        </is>
      </c>
      <c r="Q4" s="81" t="inlineStr">
        <is>
          <t>Actor 2</t>
        </is>
      </c>
      <c r="R4" s="81" t="inlineStr">
        <is>
          <t>Actor 3</t>
        </is>
      </c>
      <c r="S4" s="81" t="inlineStr">
        <is>
          <t>Actor 4</t>
        </is>
      </c>
      <c r="T4" s="81" t="inlineStr">
        <is>
          <t>Actor 5</t>
        </is>
      </c>
      <c r="U4" s="81" t="inlineStr">
        <is>
          <t>Oscar Noms</t>
        </is>
      </c>
      <c r="V4" s="81" t="inlineStr">
        <is>
          <t>Oscar Wins</t>
        </is>
      </c>
      <c r="W4" s="81" t="inlineStr">
        <is>
          <t>Best Picture</t>
        </is>
      </c>
      <c r="X4" s="81" t="inlineStr">
        <is>
          <t>IMDb</t>
        </is>
      </c>
      <c r="Y4" s="81" t="inlineStr">
        <is>
          <t>RT Critics</t>
        </is>
      </c>
      <c r="Z4" s="81" t="inlineStr">
        <is>
          <t>Letterboxd</t>
        </is>
      </c>
    </row>
    <row r="5" ht="30" customHeight="1" s="95">
      <c r="A5" t="inlineStr">
        <is>
          <t>F0001</t>
        </is>
      </c>
      <c r="B5" t="inlineStr">
        <is>
          <t>Casino Royale</t>
        </is>
      </c>
      <c r="C5" s="63" t="inlineStr">
        <is>
          <t>2006</t>
        </is>
      </c>
      <c r="D5" t="inlineStr">
        <is>
          <t>Blu-ray</t>
        </is>
      </c>
      <c r="E5" t="inlineStr">
        <is>
          <t>James Bond</t>
        </is>
      </c>
      <c r="F5" s="64" t="n"/>
      <c r="I5" s="64" t="n"/>
      <c r="J5" s="64" t="inlineStr">
        <is>
          <t>Martin Campbell</t>
        </is>
      </c>
      <c r="K5" s="64" t="n">
        <v>144</v>
      </c>
      <c r="L5" s="64" t="inlineStr">
        <is>
          <t>Adventure, Action, Thriller</t>
        </is>
      </c>
      <c r="M5" s="64" t="inlineStr">
        <is>
          <t>Eon Productions, Stillking Films, Columbia Pictures</t>
        </is>
      </c>
      <c r="N5" s="64" t="inlineStr">
        <is>
          <t>https://huggingface.co/datasets/HenryWaltson/TMDB-IMDB-Movies-Dataset</t>
        </is>
      </c>
      <c r="O5" s="64" t="inlineStr">
        <is>
          <t>https://huggingface.co/datasets/HenryWaltson/TMDB-IMDB-Movies-Dataset</t>
        </is>
      </c>
      <c r="P5" t="inlineStr">
        <is>
          <t>Daniel Craig</t>
        </is>
      </c>
      <c r="Q5" t="inlineStr">
        <is>
          <t>Eva Green</t>
        </is>
      </c>
      <c r="R5" t="inlineStr">
        <is>
          <t>Mads Mikkelsen</t>
        </is>
      </c>
      <c r="S5" t="inlineStr">
        <is>
          <t>Judi Dench</t>
        </is>
      </c>
      <c r="T5" t="inlineStr">
        <is>
          <t>Jeffrey Wright</t>
        </is>
      </c>
      <c r="U5" s="71" t="n">
        <v>0</v>
      </c>
      <c r="V5" s="71" t="n">
        <v>0</v>
      </c>
      <c r="X5" s="82">
        <f>IFERROR(INDEX(Ratings!$E$5:$E$500,MATCH(A5,Ratings!$A$5:$A$500,0)),"")</f>
        <v/>
      </c>
      <c r="Y5" s="71">
        <f>IFERROR(INDEX(Ratings!$G$5:$G$500,MATCH(A5,Ratings!$A$5:$A$500,0)),"")</f>
        <v/>
      </c>
      <c r="Z5" s="83">
        <f>IFERROR(INDEX(Ratings!$I$5:$I$500,MATCH(A5,Ratings!$A$5:$A$500,0)),"")</f>
        <v/>
      </c>
    </row>
    <row r="6" ht="30" customHeight="1" s="95">
      <c r="A6" t="inlineStr">
        <is>
          <t>F0002</t>
        </is>
      </c>
      <c r="B6" t="inlineStr">
        <is>
          <t>Quantum of Solace</t>
        </is>
      </c>
      <c r="C6" s="63" t="inlineStr">
        <is>
          <t>2008</t>
        </is>
      </c>
      <c r="D6" t="inlineStr">
        <is>
          <t>Blu-ray</t>
        </is>
      </c>
      <c r="E6" t="inlineStr">
        <is>
          <t>James Bond</t>
        </is>
      </c>
      <c r="F6" s="64" t="n"/>
      <c r="I6" s="64" t="n"/>
      <c r="J6" s="64" t="inlineStr">
        <is>
          <t>Marc Forster</t>
        </is>
      </c>
      <c r="K6" s="64" t="n">
        <v>106</v>
      </c>
      <c r="L6" s="64" t="inlineStr">
        <is>
          <t>Adventure, Action, Thriller, Crime</t>
        </is>
      </c>
      <c r="M6" s="64" t="inlineStr">
        <is>
          <t>Eon Productions, Metro-Goldwyn-Mayer, Columbia Pictures</t>
        </is>
      </c>
      <c r="N6" s="64" t="inlineStr">
        <is>
          <t>https://huggingface.co/datasets/HenryWaltson/TMDB-IMDB-Movies-Dataset</t>
        </is>
      </c>
      <c r="O6" s="64" t="inlineStr">
        <is>
          <t>https://huggingface.co/datasets/HenryWaltson/TMDB-IMDB-Movies-Dataset</t>
        </is>
      </c>
      <c r="P6" t="inlineStr">
        <is>
          <t>Daniel Craig</t>
        </is>
      </c>
      <c r="Q6" t="inlineStr">
        <is>
          <t>Olga Kurylenko</t>
        </is>
      </c>
      <c r="R6" t="inlineStr">
        <is>
          <t>Mathieu Amalric</t>
        </is>
      </c>
      <c r="S6" t="inlineStr">
        <is>
          <t>Judi Dench</t>
        </is>
      </c>
      <c r="T6" t="inlineStr">
        <is>
          <t>Giancarlo Giannini</t>
        </is>
      </c>
      <c r="U6" s="71" t="n">
        <v>0</v>
      </c>
      <c r="V6" s="71" t="n">
        <v>0</v>
      </c>
      <c r="X6" s="82">
        <f>IFERROR(INDEX(Ratings!$E$5:$E$500,MATCH(A6,Ratings!$A$5:$A$500,0)),"")</f>
        <v/>
      </c>
      <c r="Y6" s="71">
        <f>IFERROR(INDEX(Ratings!$G$5:$G$500,MATCH(A6,Ratings!$A$5:$A$500,0)),"")</f>
        <v/>
      </c>
      <c r="Z6" s="83">
        <f>IFERROR(INDEX(Ratings!$I$5:$I$500,MATCH(A6,Ratings!$A$5:$A$500,0)),"")</f>
        <v/>
      </c>
    </row>
    <row r="7" ht="30" customHeight="1" s="95">
      <c r="A7" t="inlineStr">
        <is>
          <t>F0003</t>
        </is>
      </c>
      <c r="B7" t="inlineStr">
        <is>
          <t>Skyfall</t>
        </is>
      </c>
      <c r="C7" s="63" t="inlineStr">
        <is>
          <t>2012</t>
        </is>
      </c>
      <c r="D7" t="inlineStr">
        <is>
          <t>Blu-ray</t>
        </is>
      </c>
      <c r="E7" t="inlineStr">
        <is>
          <t>James Bond</t>
        </is>
      </c>
      <c r="F7" s="64" t="n"/>
      <c r="I7" s="64" t="n"/>
      <c r="J7" s="64" t="inlineStr">
        <is>
          <t>Sam Mendes</t>
        </is>
      </c>
      <c r="K7" s="64" t="n">
        <v>143</v>
      </c>
      <c r="L7" s="64" t="inlineStr">
        <is>
          <t>Action, Adventure, Thriller</t>
        </is>
      </c>
      <c r="M7" s="64" t="inlineStr">
        <is>
          <t>Metro-Goldwyn-Mayer, Eon Productions, Danjaq</t>
        </is>
      </c>
      <c r="N7" s="64" t="inlineStr">
        <is>
          <t>https://huggingface.co/datasets/HenryWaltson/TMDB-IMDB-Movies-Dataset</t>
        </is>
      </c>
      <c r="O7" s="64" t="inlineStr">
        <is>
          <t>https://huggingface.co/datasets/HenryWaltson/TMDB-IMDB-Movies-Dataset</t>
        </is>
      </c>
      <c r="P7" t="inlineStr">
        <is>
          <t>Daniel Craig</t>
        </is>
      </c>
      <c r="Q7" t="inlineStr">
        <is>
          <t>Judi Dench</t>
        </is>
      </c>
      <c r="R7" t="inlineStr">
        <is>
          <t>Javier Bardem</t>
        </is>
      </c>
      <c r="S7" t="inlineStr">
        <is>
          <t>Ralph Fiennes</t>
        </is>
      </c>
      <c r="T7" t="inlineStr">
        <is>
          <t>Naomie Harris</t>
        </is>
      </c>
      <c r="U7" s="71" t="n">
        <v>5</v>
      </c>
      <c r="V7" s="71" t="n">
        <v>2</v>
      </c>
      <c r="X7" s="82">
        <f>IFERROR(INDEX(Ratings!$E$5:$E$500,MATCH(A7,Ratings!$A$5:$A$500,0)),"")</f>
        <v/>
      </c>
      <c r="Y7" s="71">
        <f>IFERROR(INDEX(Ratings!$G$5:$G$500,MATCH(A7,Ratings!$A$5:$A$500,0)),"")</f>
        <v/>
      </c>
      <c r="Z7" s="83">
        <f>IFERROR(INDEX(Ratings!$I$5:$I$500,MATCH(A7,Ratings!$A$5:$A$500,0)),"")</f>
        <v/>
      </c>
    </row>
    <row r="8" ht="30" customHeight="1" s="95">
      <c r="A8" t="inlineStr">
        <is>
          <t>F0004</t>
        </is>
      </c>
      <c r="B8" t="inlineStr">
        <is>
          <t>Spectre</t>
        </is>
      </c>
      <c r="C8" s="63" t="inlineStr">
        <is>
          <t>2015</t>
        </is>
      </c>
      <c r="D8" t="inlineStr">
        <is>
          <t>Blu-ray</t>
        </is>
      </c>
      <c r="E8" t="inlineStr">
        <is>
          <t>James Bond</t>
        </is>
      </c>
      <c r="F8" s="64" t="n"/>
      <c r="I8" s="64" t="n"/>
      <c r="J8" s="64" t="inlineStr">
        <is>
          <t>Sam Mendes</t>
        </is>
      </c>
      <c r="K8" s="64" t="n">
        <v>148</v>
      </c>
      <c r="L8" s="64" t="inlineStr">
        <is>
          <t>Action, Adventure, Thriller</t>
        </is>
      </c>
      <c r="M8" s="64" t="inlineStr">
        <is>
          <t>Columbia Pictures, Metro-Goldwyn-Mayer, Eon Productions</t>
        </is>
      </c>
      <c r="N8" s="64" t="inlineStr">
        <is>
          <t>https://huggingface.co/datasets/HenryWaltson/TMDB-IMDB-Movies-Dataset</t>
        </is>
      </c>
      <c r="O8" s="64" t="inlineStr">
        <is>
          <t>https://huggingface.co/datasets/HenryWaltson/TMDB-IMDB-Movies-Dataset</t>
        </is>
      </c>
      <c r="P8" t="inlineStr">
        <is>
          <t>Daniel Craig</t>
        </is>
      </c>
      <c r="Q8" t="inlineStr">
        <is>
          <t>Christoph Waltz</t>
        </is>
      </c>
      <c r="R8" t="inlineStr">
        <is>
          <t>Léa Seydoux</t>
        </is>
      </c>
      <c r="S8" t="inlineStr">
        <is>
          <t>Ralph Fiennes</t>
        </is>
      </c>
      <c r="T8" t="inlineStr">
        <is>
          <t>Monica Bellucci</t>
        </is>
      </c>
      <c r="U8" s="71" t="n">
        <v>1</v>
      </c>
      <c r="V8" s="71" t="n">
        <v>1</v>
      </c>
      <c r="X8" s="82">
        <f>IFERROR(INDEX(Ratings!$E$5:$E$500,MATCH(A8,Ratings!$A$5:$A$500,0)),"")</f>
        <v/>
      </c>
      <c r="Y8" s="71">
        <f>IFERROR(INDEX(Ratings!$G$5:$G$500,MATCH(A8,Ratings!$A$5:$A$500,0)),"")</f>
        <v/>
      </c>
      <c r="Z8" s="83">
        <f>IFERROR(INDEX(Ratings!$I$5:$I$500,MATCH(A8,Ratings!$A$5:$A$500,0)),"")</f>
        <v/>
      </c>
    </row>
    <row r="9" ht="30" customHeight="1" s="95">
      <c r="A9" t="inlineStr">
        <is>
          <t>F0005</t>
        </is>
      </c>
      <c r="B9" t="inlineStr">
        <is>
          <t>No Time to Die</t>
        </is>
      </c>
      <c r="C9" s="63" t="inlineStr">
        <is>
          <t>2021</t>
        </is>
      </c>
      <c r="D9" t="inlineStr">
        <is>
          <t>Blu-ray</t>
        </is>
      </c>
      <c r="E9" t="inlineStr">
        <is>
          <t>James Bond</t>
        </is>
      </c>
      <c r="F9" s="64" t="n"/>
      <c r="I9" s="64" t="n"/>
      <c r="J9" s="64" t="inlineStr">
        <is>
          <t>Cary Joji Fukunaga</t>
        </is>
      </c>
      <c r="K9" s="64" t="n">
        <v>163</v>
      </c>
      <c r="L9" s="64" t="inlineStr">
        <is>
          <t>Action, Thriller, Romance</t>
        </is>
      </c>
      <c r="M9" s="64" t="inlineStr">
        <is>
          <t>Eon Productions, Metro-Goldwyn-Mayer, Universal Pictures</t>
        </is>
      </c>
      <c r="N9" s="64" t="inlineStr">
        <is>
          <t>https://huggingface.co/datasets/HenryWaltson/TMDB-IMDB-Movies-Dataset</t>
        </is>
      </c>
      <c r="O9" s="64" t="inlineStr">
        <is>
          <t>https://huggingface.co/datasets/HenryWaltson/TMDB-IMDB-Movies-Dataset</t>
        </is>
      </c>
      <c r="P9" t="inlineStr">
        <is>
          <t>Daniel Craig</t>
        </is>
      </c>
      <c r="Q9" t="inlineStr">
        <is>
          <t>Léa Seydoux</t>
        </is>
      </c>
      <c r="R9" t="inlineStr">
        <is>
          <t>Rami Malek</t>
        </is>
      </c>
      <c r="S9" t="inlineStr">
        <is>
          <t>Lashana Lynch</t>
        </is>
      </c>
      <c r="T9" t="inlineStr">
        <is>
          <t>Ralph Fiennes</t>
        </is>
      </c>
      <c r="U9" s="71" t="n">
        <v>3</v>
      </c>
      <c r="V9" s="71" t="n">
        <v>1</v>
      </c>
      <c r="X9" s="82">
        <f>IFERROR(INDEX(Ratings!$E$5:$E$500,MATCH(A9,Ratings!$A$5:$A$500,0)),"")</f>
        <v/>
      </c>
      <c r="Y9" s="71">
        <f>IFERROR(INDEX(Ratings!$G$5:$G$500,MATCH(A9,Ratings!$A$5:$A$500,0)),"")</f>
        <v/>
      </c>
      <c r="Z9" s="83">
        <f>IFERROR(INDEX(Ratings!$I$5:$I$500,MATCH(A9,Ratings!$A$5:$A$500,0)),"")</f>
        <v/>
      </c>
    </row>
    <row r="10" ht="30" customHeight="1" s="95">
      <c r="A10" t="inlineStr">
        <is>
          <t>F0006</t>
        </is>
      </c>
      <c r="B10" t="inlineStr">
        <is>
          <t>2012</t>
        </is>
      </c>
      <c r="C10" s="63" t="inlineStr">
        <is>
          <t>2009</t>
        </is>
      </c>
      <c r="D10" t="inlineStr">
        <is>
          <t>Blu-ray</t>
        </is>
      </c>
      <c r="F10" s="64" t="n"/>
      <c r="I10" s="64" t="n"/>
      <c r="J10" s="64" t="inlineStr">
        <is>
          <t>Roland Emmerich</t>
        </is>
      </c>
      <c r="K10" s="64" t="n">
        <v>158</v>
      </c>
      <c r="L10" s="64" t="inlineStr">
        <is>
          <t>Action, Adventure, Science Fiction</t>
        </is>
      </c>
      <c r="M10" s="64" t="inlineStr">
        <is>
          <t>Columbia Pictures, Centropolis Entertainment, Farewell Productions</t>
        </is>
      </c>
      <c r="N10" s="64" t="inlineStr">
        <is>
          <t>https://huggingface.co/datasets/HenryWaltson/TMDB-IMDB-Movies-Dataset</t>
        </is>
      </c>
      <c r="O10" s="64" t="inlineStr">
        <is>
          <t>https://huggingface.co/datasets/HenryWaltson/TMDB-IMDB-Movies-Dataset</t>
        </is>
      </c>
      <c r="P10" t="inlineStr">
        <is>
          <t>John Cusack</t>
        </is>
      </c>
      <c r="Q10" t="inlineStr">
        <is>
          <t>Amanda Peet</t>
        </is>
      </c>
      <c r="R10" t="inlineStr">
        <is>
          <t>Chiwetel Ejiofor</t>
        </is>
      </c>
      <c r="S10" t="inlineStr">
        <is>
          <t>Thandiwe Newton</t>
        </is>
      </c>
      <c r="T10" t="inlineStr">
        <is>
          <t>Oliver Platt</t>
        </is>
      </c>
      <c r="U10" s="71" t="n">
        <v>0</v>
      </c>
      <c r="V10" s="71" t="n">
        <v>0</v>
      </c>
      <c r="X10" s="82">
        <f>IFERROR(INDEX(Ratings!$E$5:$E$500,MATCH(A10,Ratings!$A$5:$A$500,0)),"")</f>
        <v/>
      </c>
      <c r="Y10" s="71">
        <f>IFERROR(INDEX(Ratings!$G$5:$G$500,MATCH(A10,Ratings!$A$5:$A$500,0)),"")</f>
        <v/>
      </c>
      <c r="Z10" s="83">
        <f>IFERROR(INDEX(Ratings!$I$5:$I$500,MATCH(A10,Ratings!$A$5:$A$500,0)),"")</f>
        <v/>
      </c>
    </row>
    <row r="11" ht="30" customHeight="1" s="95">
      <c r="A11" t="inlineStr">
        <is>
          <t>F0007</t>
        </is>
      </c>
      <c r="B11" t="inlineStr">
        <is>
          <t>21 Jump Street</t>
        </is>
      </c>
      <c r="C11" s="63" t="inlineStr">
        <is>
          <t>2012</t>
        </is>
      </c>
      <c r="D11" t="inlineStr">
        <is>
          <t>Blu-ray</t>
        </is>
      </c>
      <c r="E11" t="inlineStr">
        <is>
          <t>Jump Street</t>
        </is>
      </c>
      <c r="F11" s="64" t="n"/>
      <c r="G11" t="inlineStr">
        <is>
          <t>Yes</t>
        </is>
      </c>
      <c r="H11" t="inlineStr">
        <is>
          <t>⭐⭐⭐⭐</t>
        </is>
      </c>
      <c r="I11" s="64" t="n"/>
      <c r="J11" s="64" t="inlineStr">
        <is>
          <t>Phil Lord, Christopher Miller</t>
        </is>
      </c>
      <c r="K11" s="64" t="n">
        <v>109</v>
      </c>
      <c r="L11" s="64" t="inlineStr">
        <is>
          <t>Action, Comedy, Crime</t>
        </is>
      </c>
      <c r="M11" s="64" t="inlineStr">
        <is>
          <t>Columbia Pictures, Relativity Media, Original Film</t>
        </is>
      </c>
      <c r="N11" s="64" t="inlineStr">
        <is>
          <t>https://huggingface.co/datasets/HenryWaltson/TMDB-IMDB-Movies-Dataset</t>
        </is>
      </c>
      <c r="O11" s="64" t="inlineStr">
        <is>
          <t>https://huggingface.co/datasets/HenryWaltson/TMDB-IMDB-Movies-Dataset</t>
        </is>
      </c>
      <c r="P11" t="inlineStr">
        <is>
          <t>Jonah Hill</t>
        </is>
      </c>
      <c r="Q11" t="inlineStr">
        <is>
          <t>Channing Tatum</t>
        </is>
      </c>
      <c r="R11" t="inlineStr">
        <is>
          <t>Brie Larson</t>
        </is>
      </c>
      <c r="S11" t="inlineStr">
        <is>
          <t>Dave Franco</t>
        </is>
      </c>
      <c r="T11" t="inlineStr">
        <is>
          <t>Rob Riggle</t>
        </is>
      </c>
      <c r="U11" s="71" t="n">
        <v>0</v>
      </c>
      <c r="V11" s="71" t="n">
        <v>0</v>
      </c>
      <c r="X11" s="82">
        <f>IFERROR(INDEX(Ratings!$E$5:$E$500,MATCH(A11,Ratings!$A$5:$A$500,0)),"")</f>
        <v/>
      </c>
      <c r="Y11" s="71">
        <f>IFERROR(INDEX(Ratings!$G$5:$G$500,MATCH(A11,Ratings!$A$5:$A$500,0)),"")</f>
        <v/>
      </c>
      <c r="Z11" s="83">
        <f>IFERROR(INDEX(Ratings!$I$5:$I$500,MATCH(A11,Ratings!$A$5:$A$500,0)),"")</f>
        <v/>
      </c>
    </row>
    <row r="12" ht="30" customHeight="1" s="95">
      <c r="A12" t="inlineStr">
        <is>
          <t>F0008</t>
        </is>
      </c>
      <c r="B12" t="inlineStr">
        <is>
          <t>22 Jump Street</t>
        </is>
      </c>
      <c r="C12" s="63" t="inlineStr">
        <is>
          <t>2014</t>
        </is>
      </c>
      <c r="D12" t="inlineStr">
        <is>
          <t>Blu-ray</t>
        </is>
      </c>
      <c r="E12" t="inlineStr">
        <is>
          <t>Jump Street</t>
        </is>
      </c>
      <c r="F12" s="64" t="n"/>
      <c r="I12" s="64" t="n"/>
      <c r="J12" s="64" t="inlineStr">
        <is>
          <t>Phil Lord, Christopher Miller</t>
        </is>
      </c>
      <c r="K12" s="64" t="n">
        <v>112</v>
      </c>
      <c r="L12" s="64" t="inlineStr">
        <is>
          <t>Crime, Comedy, Action</t>
        </is>
      </c>
      <c r="M12" s="64" t="inlineStr">
        <is>
          <t>Columbia Pictures, Original Film, MRC</t>
        </is>
      </c>
      <c r="N12" s="64" t="inlineStr">
        <is>
          <t>https://huggingface.co/datasets/HenryWaltson/TMDB-IMDB-Movies-Dataset</t>
        </is>
      </c>
      <c r="O12" s="64" t="inlineStr">
        <is>
          <t>https://huggingface.co/datasets/HenryWaltson/TMDB-IMDB-Movies-Dataset</t>
        </is>
      </c>
      <c r="P12" t="inlineStr">
        <is>
          <t>Jonah Hill</t>
        </is>
      </c>
      <c r="Q12" t="inlineStr">
        <is>
          <t>Channing Tatum</t>
        </is>
      </c>
      <c r="R12" t="inlineStr">
        <is>
          <t>Peter Stormare</t>
        </is>
      </c>
      <c r="S12" t="inlineStr">
        <is>
          <t>Wyatt Russell</t>
        </is>
      </c>
      <c r="T12" t="inlineStr">
        <is>
          <t>Amber Stevens West</t>
        </is>
      </c>
      <c r="U12" s="71" t="n">
        <v>0</v>
      </c>
      <c r="V12" s="71" t="n">
        <v>0</v>
      </c>
      <c r="X12" s="82">
        <f>IFERROR(INDEX(Ratings!$E$5:$E$500,MATCH(A12,Ratings!$A$5:$A$500,0)),"")</f>
        <v/>
      </c>
      <c r="Y12" s="71">
        <f>IFERROR(INDEX(Ratings!$G$5:$G$500,MATCH(A12,Ratings!$A$5:$A$500,0)),"")</f>
        <v/>
      </c>
      <c r="Z12" s="83">
        <f>IFERROR(INDEX(Ratings!$I$5:$I$500,MATCH(A12,Ratings!$A$5:$A$500,0)),"")</f>
        <v/>
      </c>
    </row>
    <row r="13" ht="30" customHeight="1" s="95">
      <c r="A13" t="inlineStr">
        <is>
          <t>F0009</t>
        </is>
      </c>
      <c r="B13" t="inlineStr">
        <is>
          <t>30 Minutes or Less</t>
        </is>
      </c>
      <c r="C13" s="63" t="inlineStr">
        <is>
          <t>2011</t>
        </is>
      </c>
      <c r="D13" t="inlineStr">
        <is>
          <t>Blu-ray</t>
        </is>
      </c>
      <c r="F13" s="64" t="n"/>
      <c r="I13" s="64" t="n"/>
      <c r="J13" s="64" t="inlineStr">
        <is>
          <t>Ruben Fleischer</t>
        </is>
      </c>
      <c r="K13" s="64" t="n">
        <v>83</v>
      </c>
      <c r="L13" s="64" t="inlineStr">
        <is>
          <t>Action, Adventure, Comedy</t>
        </is>
      </c>
      <c r="M13" s="64" t="inlineStr">
        <is>
          <t>Columbia Pictures</t>
        </is>
      </c>
      <c r="N13" s="64" t="inlineStr">
        <is>
          <t>https://huggingface.co/datasets/HenryWaltson/TMDB-IMDB-Movies-Dataset</t>
        </is>
      </c>
      <c r="O13" s="64" t="inlineStr">
        <is>
          <t>https://huggingface.co/datasets/HenryWaltson/TMDB-IMDB-Movies-Dataset</t>
        </is>
      </c>
      <c r="P13" t="inlineStr">
        <is>
          <t>Jesse Eisenberg</t>
        </is>
      </c>
      <c r="Q13" t="inlineStr">
        <is>
          <t>Aziz Ansari</t>
        </is>
      </c>
      <c r="R13" t="inlineStr">
        <is>
          <t>Danny McBride</t>
        </is>
      </c>
      <c r="S13" t="inlineStr">
        <is>
          <t>Nick Swardson</t>
        </is>
      </c>
      <c r="T13" t="inlineStr">
        <is>
          <t>Dilshad Vadsaria</t>
        </is>
      </c>
      <c r="U13" s="71" t="n">
        <v>0</v>
      </c>
      <c r="V13" s="71" t="n">
        <v>0</v>
      </c>
      <c r="X13" s="82">
        <f>IFERROR(INDEX(Ratings!$E$5:$E$500,MATCH(A13,Ratings!$A$5:$A$500,0)),"")</f>
        <v/>
      </c>
      <c r="Y13" s="71">
        <f>IFERROR(INDEX(Ratings!$G$5:$G$500,MATCH(A13,Ratings!$A$5:$A$500,0)),"")</f>
        <v/>
      </c>
      <c r="Z13" s="83">
        <f>IFERROR(INDEX(Ratings!$I$5:$I$500,MATCH(A13,Ratings!$A$5:$A$500,0)),"")</f>
        <v/>
      </c>
    </row>
    <row r="14" ht="30" customHeight="1" s="95">
      <c r="A14" t="inlineStr">
        <is>
          <t>F0010</t>
        </is>
      </c>
      <c r="B14" t="inlineStr">
        <is>
          <t>44 Inch Chest</t>
        </is>
      </c>
      <c r="C14" s="63" t="inlineStr">
        <is>
          <t>2009</t>
        </is>
      </c>
      <c r="D14" t="inlineStr">
        <is>
          <t>Blu-ray</t>
        </is>
      </c>
      <c r="F14" s="64" t="n"/>
      <c r="I14" s="64" t="n"/>
      <c r="J14" s="64" t="inlineStr">
        <is>
          <t>Malcolm Venville</t>
        </is>
      </c>
      <c r="K14" s="64" t="n">
        <v>95</v>
      </c>
      <c r="L14" s="64" t="inlineStr">
        <is>
          <t>Drama, Crime</t>
        </is>
      </c>
      <c r="M14" s="64" t="inlineStr">
        <is>
          <t>Omni Films, Prescience Media, Twilight Production &amp; Entertainment</t>
        </is>
      </c>
      <c r="N14" s="64" t="inlineStr">
        <is>
          <t>https://huggingface.co/datasets/HenryWaltson/TMDB-IMDB-Movies-Dataset</t>
        </is>
      </c>
      <c r="O14" s="64" t="inlineStr">
        <is>
          <t>https://huggingface.co/datasets/HenryWaltson/TMDB-IMDB-Movies-Dataset</t>
        </is>
      </c>
      <c r="P14" t="inlineStr">
        <is>
          <t>Ray Winstone</t>
        </is>
      </c>
      <c r="Q14" t="inlineStr">
        <is>
          <t>John Hurt</t>
        </is>
      </c>
      <c r="R14" t="inlineStr">
        <is>
          <t>Ian McShane</t>
        </is>
      </c>
      <c r="S14" t="inlineStr">
        <is>
          <t>Tom Wilkinson</t>
        </is>
      </c>
      <c r="T14" t="inlineStr">
        <is>
          <t>Joanne Whalley</t>
        </is>
      </c>
      <c r="U14" s="71" t="n">
        <v>0</v>
      </c>
      <c r="V14" s="71" t="n">
        <v>0</v>
      </c>
      <c r="X14" s="82">
        <f>IFERROR(INDEX(Ratings!$E$5:$E$500,MATCH(A14,Ratings!$A$5:$A$500,0)),"")</f>
        <v/>
      </c>
      <c r="Y14" s="71">
        <f>IFERROR(INDEX(Ratings!$G$5:$G$500,MATCH(A14,Ratings!$A$5:$A$500,0)),"")</f>
        <v/>
      </c>
      <c r="Z14" s="83">
        <f>IFERROR(INDEX(Ratings!$I$5:$I$500,MATCH(A14,Ratings!$A$5:$A$500,0)),"")</f>
        <v/>
      </c>
    </row>
    <row r="15" ht="30" customHeight="1" s="95">
      <c r="A15" t="inlineStr">
        <is>
          <t>F0011</t>
        </is>
      </c>
      <c r="B15" t="inlineStr">
        <is>
          <t>50/50</t>
        </is>
      </c>
      <c r="C15" s="63" t="inlineStr">
        <is>
          <t>2011</t>
        </is>
      </c>
      <c r="D15" t="inlineStr">
        <is>
          <t>Blu-ray</t>
        </is>
      </c>
      <c r="F15" s="64" t="n"/>
      <c r="I15" s="64" t="n"/>
      <c r="J15" s="64" t="inlineStr">
        <is>
          <t>Jonathan Levine</t>
        </is>
      </c>
      <c r="K15" s="64" t="n">
        <v>100</v>
      </c>
      <c r="L15" s="64" t="inlineStr">
        <is>
          <t>Comedy, Drama</t>
        </is>
      </c>
      <c r="M15" s="64" t="inlineStr">
        <is>
          <t>Summit Entertainment, Mandate Pictures, Point Grey Pictures</t>
        </is>
      </c>
      <c r="N15" s="64" t="inlineStr">
        <is>
          <t>https://huggingface.co/datasets/HenryWaltson/TMDB-IMDB-Movies-Dataset</t>
        </is>
      </c>
      <c r="O15" s="64" t="inlineStr">
        <is>
          <t>https://huggingface.co/datasets/HenryWaltson/TMDB-IMDB-Movies-Dataset</t>
        </is>
      </c>
      <c r="P15" t="inlineStr">
        <is>
          <t>Joseph Gordon-Levitt</t>
        </is>
      </c>
      <c r="Q15" t="inlineStr">
        <is>
          <t>Seth Rogen</t>
        </is>
      </c>
      <c r="R15" t="inlineStr">
        <is>
          <t>Anna Kendrick</t>
        </is>
      </c>
      <c r="S15" t="inlineStr">
        <is>
          <t>Bryce Dallas Howard</t>
        </is>
      </c>
      <c r="T15" t="inlineStr">
        <is>
          <t>Philip Baker Hall</t>
        </is>
      </c>
      <c r="U15" s="71" t="n">
        <v>0</v>
      </c>
      <c r="V15" s="71" t="n">
        <v>0</v>
      </c>
      <c r="X15" s="82">
        <f>IFERROR(INDEX(Ratings!$E$5:$E$500,MATCH(A15,Ratings!$A$5:$A$500,0)),"")</f>
        <v/>
      </c>
      <c r="Y15" s="71">
        <f>IFERROR(INDEX(Ratings!$G$5:$G$500,MATCH(A15,Ratings!$A$5:$A$500,0)),"")</f>
        <v/>
      </c>
      <c r="Z15" s="83">
        <f>IFERROR(INDEX(Ratings!$I$5:$I$500,MATCH(A15,Ratings!$A$5:$A$500,0)),"")</f>
        <v/>
      </c>
    </row>
    <row r="16" ht="30" customHeight="1" s="95">
      <c r="A16" t="inlineStr">
        <is>
          <t>F0012</t>
        </is>
      </c>
      <c r="B16" t="inlineStr">
        <is>
          <t>A Bug's Life</t>
        </is>
      </c>
      <c r="C16" s="63" t="inlineStr">
        <is>
          <t>1998</t>
        </is>
      </c>
      <c r="D16" t="inlineStr">
        <is>
          <t>Blu-ray</t>
        </is>
      </c>
      <c r="F16" s="64" t="n"/>
      <c r="G16" t="inlineStr">
        <is>
          <t>Yes</t>
        </is>
      </c>
      <c r="H16" t="inlineStr">
        <is>
          <t>⭐⭐⭐⭐</t>
        </is>
      </c>
      <c r="I16" s="64" t="n"/>
      <c r="J16" s="64" t="inlineStr">
        <is>
          <t>John Lasseter, Andrew Stanton</t>
        </is>
      </c>
      <c r="K16" s="64" t="n">
        <v>95</v>
      </c>
      <c r="L16" s="64" t="inlineStr">
        <is>
          <t>Adventure, Animation, Comedy, Family</t>
        </is>
      </c>
      <c r="M16" s="64" t="inlineStr">
        <is>
          <t>Pixar, Walt Disney Pictures</t>
        </is>
      </c>
      <c r="N16" s="64" t="inlineStr">
        <is>
          <t>https://huggingface.co/datasets/HenryWaltson/TMDB-IMDB-Movies-Dataset</t>
        </is>
      </c>
      <c r="O16" s="64" t="inlineStr">
        <is>
          <t>https://huggingface.co/datasets/HenryWaltson/TMDB-IMDB-Movies-Dataset</t>
        </is>
      </c>
      <c r="P16" t="inlineStr">
        <is>
          <t>Dave Foley</t>
        </is>
      </c>
      <c r="Q16" t="inlineStr">
        <is>
          <t>Kevin Spacey</t>
        </is>
      </c>
      <c r="R16" t="inlineStr">
        <is>
          <t>Julia Louis-Dreyfus</t>
        </is>
      </c>
      <c r="S16" t="inlineStr">
        <is>
          <t>Hayden Panettiere</t>
        </is>
      </c>
      <c r="T16" t="inlineStr">
        <is>
          <t>Phyllis Diller</t>
        </is>
      </c>
      <c r="U16" s="71" t="n">
        <v>1</v>
      </c>
      <c r="V16" s="71" t="n">
        <v>0</v>
      </c>
      <c r="X16" s="82">
        <f>IFERROR(INDEX(Ratings!$E$5:$E$500,MATCH(A16,Ratings!$A$5:$A$500,0)),"")</f>
        <v/>
      </c>
      <c r="Y16" s="71">
        <f>IFERROR(INDEX(Ratings!$G$5:$G$500,MATCH(A16,Ratings!$A$5:$A$500,0)),"")</f>
        <v/>
      </c>
      <c r="Z16" s="83">
        <f>IFERROR(INDEX(Ratings!$I$5:$I$500,MATCH(A16,Ratings!$A$5:$A$500,0)),"")</f>
        <v/>
      </c>
    </row>
    <row r="17" ht="45" customHeight="1" s="95">
      <c r="A17" t="inlineStr">
        <is>
          <t>F0013</t>
        </is>
      </c>
      <c r="B17" t="inlineStr">
        <is>
          <t>The Accountant</t>
        </is>
      </c>
      <c r="C17" s="63" t="inlineStr">
        <is>
          <t>2016</t>
        </is>
      </c>
      <c r="D17" t="inlineStr">
        <is>
          <t>Blu-ray</t>
        </is>
      </c>
      <c r="F17" s="64" t="n"/>
      <c r="I17" s="64" t="n"/>
      <c r="J17" s="64" t="inlineStr">
        <is>
          <t>Gavin O'Connor</t>
        </is>
      </c>
      <c r="K17" s="64" t="n">
        <v>128</v>
      </c>
      <c r="L17" s="64" t="inlineStr">
        <is>
          <t>Crime, Thriller, Drama</t>
        </is>
      </c>
      <c r="M17" s="64" t="inlineStr">
        <is>
          <t>Zero Gravity Management, Electric City Entertainment, RatPac Entertainment</t>
        </is>
      </c>
      <c r="N17" s="64" t="inlineStr">
        <is>
          <t>https://huggingface.co/datasets/HenryWaltson/TMDB-IMDB-Movies-Dataset</t>
        </is>
      </c>
      <c r="O17" s="64" t="inlineStr">
        <is>
          <t>https://huggingface.co/datasets/HenryWaltson/TMDB-IMDB-Movies-Dataset</t>
        </is>
      </c>
      <c r="P17" t="inlineStr">
        <is>
          <t>Ben Affleck</t>
        </is>
      </c>
      <c r="Q17" t="inlineStr">
        <is>
          <t>Cynthia Addai-Robinson</t>
        </is>
      </c>
      <c r="R17" t="inlineStr">
        <is>
          <t>Anna Kendrick</t>
        </is>
      </c>
      <c r="S17" t="inlineStr">
        <is>
          <t>J.K. Simmons</t>
        </is>
      </c>
      <c r="T17" t="inlineStr">
        <is>
          <t>Jon Bernthal</t>
        </is>
      </c>
      <c r="U17" s="71" t="n">
        <v>0</v>
      </c>
      <c r="V17" s="71" t="n">
        <v>0</v>
      </c>
      <c r="X17" s="82">
        <f>IFERROR(INDEX(Ratings!$E$5:$E$500,MATCH(A17,Ratings!$A$5:$A$500,0)),"")</f>
        <v/>
      </c>
      <c r="Y17" s="71">
        <f>IFERROR(INDEX(Ratings!$G$5:$G$500,MATCH(A17,Ratings!$A$5:$A$500,0)),"")</f>
        <v/>
      </c>
      <c r="Z17" s="83">
        <f>IFERROR(INDEX(Ratings!$I$5:$I$500,MATCH(A17,Ratings!$A$5:$A$500,0)),"")</f>
        <v/>
      </c>
    </row>
    <row r="18" ht="30" customHeight="1" s="95">
      <c r="A18" t="inlineStr">
        <is>
          <t>F0014</t>
        </is>
      </c>
      <c r="B18" t="inlineStr">
        <is>
          <t>Alan Partridge: Alpha Papa</t>
        </is>
      </c>
      <c r="C18" s="63" t="inlineStr">
        <is>
          <t>2013</t>
        </is>
      </c>
      <c r="D18" t="inlineStr">
        <is>
          <t>Blu-ray</t>
        </is>
      </c>
      <c r="F18" s="64" t="n"/>
      <c r="I18" s="64" t="n"/>
      <c r="J18" s="64" t="inlineStr">
        <is>
          <t>Declan Lowney</t>
        </is>
      </c>
      <c r="K18" s="64" t="n">
        <v>90</v>
      </c>
      <c r="L18" s="64" t="inlineStr">
        <is>
          <t>Comedy</t>
        </is>
      </c>
      <c r="M18" s="64" t="inlineStr">
        <is>
          <t>BFI, BBC Film, StudioCanal</t>
        </is>
      </c>
      <c r="N18" s="64" t="inlineStr">
        <is>
          <t>https://huggingface.co/datasets/HenryWaltson/TMDB-IMDB-Movies-Dataset</t>
        </is>
      </c>
      <c r="O18" s="64" t="inlineStr">
        <is>
          <t>https://huggingface.co/datasets/HenryWaltson/TMDB-IMDB-Movies-Dataset</t>
        </is>
      </c>
      <c r="P18" t="inlineStr">
        <is>
          <t>Steve Coogan</t>
        </is>
      </c>
      <c r="Q18" t="inlineStr">
        <is>
          <t>Colm Meaney</t>
        </is>
      </c>
      <c r="R18" t="inlineStr">
        <is>
          <t>Felicity Montagu</t>
        </is>
      </c>
      <c r="S18" t="inlineStr">
        <is>
          <t>Simon Greenall</t>
        </is>
      </c>
      <c r="T18" t="inlineStr">
        <is>
          <t>Anna Maxwell Martin</t>
        </is>
      </c>
      <c r="U18" s="71" t="n">
        <v>0</v>
      </c>
      <c r="V18" s="71" t="n">
        <v>0</v>
      </c>
      <c r="X18" s="82">
        <f>IFERROR(INDEX(Ratings!$E$5:$E$500,MATCH(A18,Ratings!$A$5:$A$500,0)),"")</f>
        <v/>
      </c>
      <c r="Y18" s="71">
        <f>IFERROR(INDEX(Ratings!$G$5:$G$500,MATCH(A18,Ratings!$A$5:$A$500,0)),"")</f>
        <v/>
      </c>
      <c r="Z18" s="83">
        <f>IFERROR(INDEX(Ratings!$I$5:$I$500,MATCH(A18,Ratings!$A$5:$A$500,0)),"")</f>
        <v/>
      </c>
    </row>
    <row r="19" ht="30" customHeight="1" s="95">
      <c r="A19" t="inlineStr">
        <is>
          <t>F0015</t>
        </is>
      </c>
      <c r="B19" t="inlineStr">
        <is>
          <t>Alien</t>
        </is>
      </c>
      <c r="C19" s="63" t="inlineStr">
        <is>
          <t>1979</t>
        </is>
      </c>
      <c r="D19" t="inlineStr">
        <is>
          <t>Blu-ray</t>
        </is>
      </c>
      <c r="E19" t="inlineStr">
        <is>
          <t>Alien</t>
        </is>
      </c>
      <c r="F19" s="64" t="n"/>
      <c r="I19" s="64" t="n"/>
      <c r="J19" s="64" t="inlineStr">
        <is>
          <t>Ridley Scott</t>
        </is>
      </c>
      <c r="K19" s="64" t="n">
        <v>117</v>
      </c>
      <c r="L19" s="64" t="inlineStr">
        <is>
          <t>Horror, Science Fiction</t>
        </is>
      </c>
      <c r="M19" s="64" t="inlineStr">
        <is>
          <t>Brandywine Productions, 20th Century Fox</t>
        </is>
      </c>
      <c r="N19" s="64" t="inlineStr">
        <is>
          <t>https://huggingface.co/datasets/HenryWaltson/TMDB-IMDB-Movies-Dataset</t>
        </is>
      </c>
      <c r="O19" s="64" t="inlineStr">
        <is>
          <t>https://huggingface.co/datasets/HenryWaltson/TMDB-IMDB-Movies-Dataset</t>
        </is>
      </c>
      <c r="P19" t="inlineStr">
        <is>
          <t>Tom Skerritt</t>
        </is>
      </c>
      <c r="Q19" t="inlineStr">
        <is>
          <t>Sigourney Weaver</t>
        </is>
      </c>
      <c r="R19" t="inlineStr">
        <is>
          <t>Veronica Cartwright</t>
        </is>
      </c>
      <c r="S19" t="inlineStr">
        <is>
          <t>Harry Dean Stanton</t>
        </is>
      </c>
      <c r="T19" t="inlineStr">
        <is>
          <t>John Hurt</t>
        </is>
      </c>
      <c r="U19" s="71" t="n">
        <v>2</v>
      </c>
      <c r="V19" s="71" t="n">
        <v>1</v>
      </c>
      <c r="X19" s="82">
        <f>IFERROR(INDEX(Ratings!$E$5:$E$500,MATCH(A19,Ratings!$A$5:$A$500,0)),"")</f>
        <v/>
      </c>
      <c r="Y19" s="71">
        <f>IFERROR(INDEX(Ratings!$G$5:$G$500,MATCH(A19,Ratings!$A$5:$A$500,0)),"")</f>
        <v/>
      </c>
      <c r="Z19" s="83">
        <f>IFERROR(INDEX(Ratings!$I$5:$I$500,MATCH(A19,Ratings!$A$5:$A$500,0)),"")</f>
        <v/>
      </c>
    </row>
    <row r="20" ht="30" customHeight="1" s="95">
      <c r="A20" t="inlineStr">
        <is>
          <t>F0016</t>
        </is>
      </c>
      <c r="B20" t="inlineStr">
        <is>
          <t>Aliens</t>
        </is>
      </c>
      <c r="C20" s="63" t="inlineStr">
        <is>
          <t>1986</t>
        </is>
      </c>
      <c r="D20" t="inlineStr">
        <is>
          <t>Blu-ray</t>
        </is>
      </c>
      <c r="E20" t="inlineStr">
        <is>
          <t>Alien</t>
        </is>
      </c>
      <c r="F20" s="64" t="n"/>
      <c r="I20" s="64" t="n"/>
      <c r="J20" s="64" t="inlineStr">
        <is>
          <t>James Cameron</t>
        </is>
      </c>
      <c r="K20" s="64" t="n">
        <v>137</v>
      </c>
      <c r="L20" s="64" t="inlineStr">
        <is>
          <t>Action, Thriller, Science Fiction</t>
        </is>
      </c>
      <c r="M20" s="64" t="inlineStr">
        <is>
          <t>Brandywine Productions, SLM Production Group, 20th Century Fox</t>
        </is>
      </c>
      <c r="N20" s="64" t="inlineStr">
        <is>
          <t>https://huggingface.co/datasets/HenryWaltson/TMDB-IMDB-Movies-Dataset</t>
        </is>
      </c>
      <c r="O20" s="64" t="inlineStr">
        <is>
          <t>https://huggingface.co/datasets/HenryWaltson/TMDB-IMDB-Movies-Dataset</t>
        </is>
      </c>
      <c r="P20" t="inlineStr">
        <is>
          <t>Sigourney Weaver</t>
        </is>
      </c>
      <c r="Q20" t="inlineStr">
        <is>
          <t>Carrie Henn</t>
        </is>
      </c>
      <c r="R20" t="inlineStr">
        <is>
          <t>Michael Biehn</t>
        </is>
      </c>
      <c r="S20" t="inlineStr">
        <is>
          <t>Paul Reiser</t>
        </is>
      </c>
      <c r="T20" t="inlineStr">
        <is>
          <t>Lance Henriksen</t>
        </is>
      </c>
      <c r="U20" s="71" t="n">
        <v>7</v>
      </c>
      <c r="V20" s="71" t="n">
        <v>2</v>
      </c>
      <c r="X20" s="82">
        <f>IFERROR(INDEX(Ratings!$E$5:$E$500,MATCH(A20,Ratings!$A$5:$A$500,0)),"")</f>
        <v/>
      </c>
      <c r="Y20" s="71">
        <f>IFERROR(INDEX(Ratings!$G$5:$G$500,MATCH(A20,Ratings!$A$5:$A$500,0)),"")</f>
        <v/>
      </c>
      <c r="Z20" s="83">
        <f>IFERROR(INDEX(Ratings!$I$5:$I$500,MATCH(A20,Ratings!$A$5:$A$500,0)),"")</f>
        <v/>
      </c>
    </row>
    <row r="21" ht="15.75" customHeight="1" s="95">
      <c r="A21" t="inlineStr">
        <is>
          <t>F0017</t>
        </is>
      </c>
      <c r="B21" t="inlineStr">
        <is>
          <t>Alien³</t>
        </is>
      </c>
      <c r="C21" s="63" t="inlineStr">
        <is>
          <t>1992</t>
        </is>
      </c>
      <c r="D21" t="inlineStr">
        <is>
          <t>Blu-ray</t>
        </is>
      </c>
      <c r="E21" t="inlineStr">
        <is>
          <t>Alien</t>
        </is>
      </c>
      <c r="F21" s="64" t="n"/>
      <c r="I21" s="64" t="n"/>
      <c r="J21" s="64" t="inlineStr">
        <is>
          <t>David Fincher</t>
        </is>
      </c>
      <c r="K21" s="64" t="n">
        <v>114</v>
      </c>
      <c r="L21" s="64" t="inlineStr">
        <is>
          <t>Science Fiction, Horror, Action</t>
        </is>
      </c>
      <c r="M21" s="64" t="inlineStr">
        <is>
          <t>20th Century Fox, Brandywine Productions</t>
        </is>
      </c>
      <c r="N21" s="64" t="inlineStr">
        <is>
          <t>https://huggingface.co/datasets/HenryWaltson/TMDB-IMDB-Movies-Dataset</t>
        </is>
      </c>
      <c r="O21" s="64" t="inlineStr">
        <is>
          <t>https://huggingface.co/datasets/HenryWaltson/TMDB-IMDB-Movies-Dataset</t>
        </is>
      </c>
      <c r="P21" t="inlineStr">
        <is>
          <t>Sigourney Weaver</t>
        </is>
      </c>
      <c r="Q21" t="inlineStr">
        <is>
          <t>Charles S. Dutton</t>
        </is>
      </c>
      <c r="R21" t="inlineStr">
        <is>
          <t>Charles Dance</t>
        </is>
      </c>
      <c r="S21" t="inlineStr">
        <is>
          <t>Paul McGann</t>
        </is>
      </c>
      <c r="T21" t="inlineStr">
        <is>
          <t>Brian Glover</t>
        </is>
      </c>
      <c r="U21" s="71" t="n">
        <v>0</v>
      </c>
      <c r="V21" s="71" t="n">
        <v>0</v>
      </c>
      <c r="X21" s="82">
        <f>IFERROR(INDEX(Ratings!$E$5:$E$500,MATCH(A21,Ratings!$A$5:$A$500,0)),"")</f>
        <v/>
      </c>
      <c r="Y21" s="71">
        <f>IFERROR(INDEX(Ratings!$G$5:$G$500,MATCH(A21,Ratings!$A$5:$A$500,0)),"")</f>
        <v/>
      </c>
      <c r="Z21" s="83">
        <f>IFERROR(INDEX(Ratings!$I$5:$I$500,MATCH(A21,Ratings!$A$5:$A$500,0)),"")</f>
        <v/>
      </c>
    </row>
    <row r="22" ht="15.75" customHeight="1" s="95">
      <c r="A22" t="inlineStr">
        <is>
          <t>F0018</t>
        </is>
      </c>
      <c r="B22" t="inlineStr">
        <is>
          <t>Alien Resurrection</t>
        </is>
      </c>
      <c r="C22" s="63" t="inlineStr">
        <is>
          <t>1997</t>
        </is>
      </c>
      <c r="D22" t="inlineStr">
        <is>
          <t>Blu-ray</t>
        </is>
      </c>
      <c r="E22" t="inlineStr">
        <is>
          <t>Alien</t>
        </is>
      </c>
      <c r="F22" s="64" t="n"/>
      <c r="I22" s="64" t="n"/>
      <c r="J22" s="64" t="inlineStr">
        <is>
          <t>Jean-Pierre Jeunet</t>
        </is>
      </c>
      <c r="K22" s="64" t="n">
        <v>109</v>
      </c>
      <c r="L22" s="64" t="inlineStr">
        <is>
          <t>Science Fiction, Horror, Action</t>
        </is>
      </c>
      <c r="M22" s="64" t="inlineStr">
        <is>
          <t>Brandywine Productions, 20th Century Fox</t>
        </is>
      </c>
      <c r="N22" s="64" t="inlineStr">
        <is>
          <t>https://huggingface.co/datasets/HenryWaltson/TMDB-IMDB-Movies-Dataset</t>
        </is>
      </c>
      <c r="O22" s="64" t="inlineStr">
        <is>
          <t>https://huggingface.co/datasets/HenryWaltson/TMDB-IMDB-Movies-Dataset</t>
        </is>
      </c>
      <c r="P22" t="inlineStr">
        <is>
          <t>Sigourney Weaver</t>
        </is>
      </c>
      <c r="Q22" t="inlineStr">
        <is>
          <t>Winona Ryder</t>
        </is>
      </c>
      <c r="R22" t="inlineStr">
        <is>
          <t>Dominique Pinon</t>
        </is>
      </c>
      <c r="S22" t="inlineStr">
        <is>
          <t>Ron Perlman</t>
        </is>
      </c>
      <c r="T22" t="inlineStr">
        <is>
          <t>Gary Dourdan</t>
        </is>
      </c>
      <c r="U22" s="71" t="n">
        <v>0</v>
      </c>
      <c r="V22" s="71" t="n">
        <v>0</v>
      </c>
      <c r="X22" s="82">
        <f>IFERROR(INDEX(Ratings!$E$5:$E$500,MATCH(A22,Ratings!$A$5:$A$500,0)),"")</f>
        <v/>
      </c>
      <c r="Y22" s="71">
        <f>IFERROR(INDEX(Ratings!$G$5:$G$500,MATCH(A22,Ratings!$A$5:$A$500,0)),"")</f>
        <v/>
      </c>
      <c r="Z22" s="83">
        <f>IFERROR(INDEX(Ratings!$I$5:$I$500,MATCH(A22,Ratings!$A$5:$A$500,0)),"")</f>
        <v/>
      </c>
    </row>
    <row r="23" ht="15.75" customHeight="1" s="95">
      <c r="A23" t="inlineStr">
        <is>
          <t>F0019</t>
        </is>
      </c>
      <c r="B23" t="inlineStr">
        <is>
          <t>The Amazing Spider-Man</t>
        </is>
      </c>
      <c r="C23" s="63" t="inlineStr">
        <is>
          <t>2012</t>
        </is>
      </c>
      <c r="D23" t="inlineStr">
        <is>
          <t>Blu-ray</t>
        </is>
      </c>
      <c r="E23" t="inlineStr">
        <is>
          <t>Spider-Man</t>
        </is>
      </c>
      <c r="F23" s="64" t="n"/>
      <c r="I23" s="64" t="n"/>
      <c r="J23" s="64" t="inlineStr">
        <is>
          <t>Marc Webb</t>
        </is>
      </c>
      <c r="K23" s="64" t="n">
        <v>136</v>
      </c>
      <c r="L23" s="64" t="inlineStr">
        <is>
          <t>Action, Adventure, Fantasy</t>
        </is>
      </c>
      <c r="M23" s="64" t="inlineStr">
        <is>
          <t>Marvel Entertainment, Laura Ziskin Productions, Columbia Pictures</t>
        </is>
      </c>
      <c r="N23" s="64" t="inlineStr">
        <is>
          <t>https://huggingface.co/datasets/HenryWaltson/TMDB-IMDB-Movies-Dataset</t>
        </is>
      </c>
      <c r="O23" s="64" t="inlineStr">
        <is>
          <t>https://huggingface.co/datasets/HenryWaltson/TMDB-IMDB-Movies-Dataset</t>
        </is>
      </c>
      <c r="P23" t="inlineStr">
        <is>
          <t>Andrew Garfield</t>
        </is>
      </c>
      <c r="Q23" t="inlineStr">
        <is>
          <t>Emma Stone</t>
        </is>
      </c>
      <c r="R23" t="inlineStr">
        <is>
          <t>Rhys Ifans</t>
        </is>
      </c>
      <c r="S23" t="inlineStr">
        <is>
          <t>Denis Leary</t>
        </is>
      </c>
      <c r="T23" t="inlineStr">
        <is>
          <t>Martin Sheen</t>
        </is>
      </c>
      <c r="U23" s="71" t="n">
        <v>0</v>
      </c>
      <c r="V23" s="71" t="n">
        <v>0</v>
      </c>
      <c r="X23" s="82">
        <f>IFERROR(INDEX(Ratings!$E$5:$E$500,MATCH(A23,Ratings!$A$5:$A$500,0)),"")</f>
        <v/>
      </c>
      <c r="Y23" s="71">
        <f>IFERROR(INDEX(Ratings!$G$5:$G$500,MATCH(A23,Ratings!$A$5:$A$500,0)),"")</f>
        <v/>
      </c>
      <c r="Z23" s="83">
        <f>IFERROR(INDEX(Ratings!$I$5:$I$500,MATCH(A23,Ratings!$A$5:$A$500,0)),"")</f>
        <v/>
      </c>
    </row>
    <row r="24" ht="15.75" customHeight="1" s="95">
      <c r="A24" t="inlineStr">
        <is>
          <t>F0020</t>
        </is>
      </c>
      <c r="B24" t="inlineStr">
        <is>
          <t>American Hustle</t>
        </is>
      </c>
      <c r="C24" s="63" t="inlineStr">
        <is>
          <t>2013</t>
        </is>
      </c>
      <c r="D24" t="inlineStr">
        <is>
          <t>Blu-ray</t>
        </is>
      </c>
      <c r="F24" s="64" t="n"/>
      <c r="I24" s="64" t="n"/>
      <c r="J24" s="64" t="inlineStr">
        <is>
          <t>David O. Russell</t>
        </is>
      </c>
      <c r="K24" s="64" t="n">
        <v>138</v>
      </c>
      <c r="L24" s="64" t="inlineStr">
        <is>
          <t>Drama, Crime</t>
        </is>
      </c>
      <c r="M24" s="64" t="inlineStr">
        <is>
          <t>Annapurna Pictures, Atlas Entertainment, Columbia Pictures</t>
        </is>
      </c>
      <c r="N24" s="64" t="inlineStr">
        <is>
          <t>https://huggingface.co/datasets/HenryWaltson/TMDB-IMDB-Movies-Dataset</t>
        </is>
      </c>
      <c r="O24" s="64" t="inlineStr">
        <is>
          <t>https://huggingface.co/datasets/HenryWaltson/TMDB-IMDB-Movies-Dataset</t>
        </is>
      </c>
      <c r="P24" t="inlineStr">
        <is>
          <t>Christian Bale</t>
        </is>
      </c>
      <c r="Q24" t="inlineStr">
        <is>
          <t>Bradley Cooper</t>
        </is>
      </c>
      <c r="R24" t="inlineStr">
        <is>
          <t>Amy Adams</t>
        </is>
      </c>
      <c r="S24" t="inlineStr">
        <is>
          <t>Jeremy Renner</t>
        </is>
      </c>
      <c r="T24" t="inlineStr">
        <is>
          <t>Jennifer Lawrence</t>
        </is>
      </c>
      <c r="U24" s="71" t="n">
        <v>10</v>
      </c>
      <c r="V24" s="71" t="n">
        <v>0</v>
      </c>
      <c r="W24" t="inlineStr">
        <is>
          <t>Nominated</t>
        </is>
      </c>
      <c r="X24" s="82">
        <f>IFERROR(INDEX(Ratings!$E$5:$E$500,MATCH(A24,Ratings!$A$5:$A$500,0)),"")</f>
        <v/>
      </c>
      <c r="Y24" s="71">
        <f>IFERROR(INDEX(Ratings!$G$5:$G$500,MATCH(A24,Ratings!$A$5:$A$500,0)),"")</f>
        <v/>
      </c>
      <c r="Z24" s="83">
        <f>IFERROR(INDEX(Ratings!$I$5:$I$500,MATCH(A24,Ratings!$A$5:$A$500,0)),"")</f>
        <v/>
      </c>
    </row>
    <row r="25" ht="15.75" customHeight="1" s="95">
      <c r="A25" t="inlineStr">
        <is>
          <t>F0021</t>
        </is>
      </c>
      <c r="B25" t="inlineStr">
        <is>
          <t>A Million Ways to Die in the West</t>
        </is>
      </c>
      <c r="C25" s="63" t="inlineStr">
        <is>
          <t>2014</t>
        </is>
      </c>
      <c r="D25" t="inlineStr">
        <is>
          <t>Blu-ray</t>
        </is>
      </c>
      <c r="F25" s="64" t="n"/>
      <c r="I25" s="64" t="n"/>
      <c r="J25" s="64" t="inlineStr">
        <is>
          <t>Seth MacFarlane</t>
        </is>
      </c>
      <c r="K25" s="64" t="n">
        <v>116</v>
      </c>
      <c r="L25" s="64" t="inlineStr">
        <is>
          <t>Comedy, Western</t>
        </is>
      </c>
      <c r="M25" s="64" t="inlineStr">
        <is>
          <t>RGB Media, Fuzzy Door Productions, MRC</t>
        </is>
      </c>
      <c r="N25" s="64" t="inlineStr">
        <is>
          <t>https://huggingface.co/datasets/HenryWaltson/TMDB-IMDB-Movies-Dataset</t>
        </is>
      </c>
      <c r="O25" s="64" t="inlineStr">
        <is>
          <t>https://huggingface.co/datasets/HenryWaltson/TMDB-IMDB-Movies-Dataset</t>
        </is>
      </c>
      <c r="P25" t="inlineStr">
        <is>
          <t>Seth MacFarlane</t>
        </is>
      </c>
      <c r="Q25" t="inlineStr">
        <is>
          <t>Charlize Theron</t>
        </is>
      </c>
      <c r="R25" t="inlineStr">
        <is>
          <t>Amanda Seyfried</t>
        </is>
      </c>
      <c r="S25" t="inlineStr">
        <is>
          <t>Liam Neeson</t>
        </is>
      </c>
      <c r="T25" t="inlineStr">
        <is>
          <t>Giovanni Ribisi</t>
        </is>
      </c>
      <c r="U25" s="71" t="n">
        <v>0</v>
      </c>
      <c r="V25" s="71" t="n">
        <v>0</v>
      </c>
      <c r="X25" s="82">
        <f>IFERROR(INDEX(Ratings!$E$5:$E$500,MATCH(A25,Ratings!$A$5:$A$500,0)),"")</f>
        <v/>
      </c>
      <c r="Y25" s="71">
        <f>IFERROR(INDEX(Ratings!$G$5:$G$500,MATCH(A25,Ratings!$A$5:$A$500,0)),"")</f>
        <v/>
      </c>
      <c r="Z25" s="83">
        <f>IFERROR(INDEX(Ratings!$I$5:$I$500,MATCH(A25,Ratings!$A$5:$A$500,0)),"")</f>
        <v/>
      </c>
    </row>
    <row r="26" ht="15.75" customHeight="1" s="95">
      <c r="A26" t="inlineStr">
        <is>
          <t>F0022</t>
        </is>
      </c>
      <c r="B26" t="inlineStr">
        <is>
          <t>Anchorman: The Legend of Ron Burgundy</t>
        </is>
      </c>
      <c r="C26" s="63" t="inlineStr">
        <is>
          <t>2004</t>
        </is>
      </c>
      <c r="D26" t="inlineStr">
        <is>
          <t>Blu-ray</t>
        </is>
      </c>
      <c r="E26" t="inlineStr">
        <is>
          <t>Anchorman</t>
        </is>
      </c>
      <c r="F26" s="64" t="n"/>
      <c r="I26" s="64" t="n"/>
      <c r="J26" s="64" t="inlineStr">
        <is>
          <t>Adam McKay</t>
        </is>
      </c>
      <c r="K26" s="64" t="n">
        <v>95</v>
      </c>
      <c r="L26" s="64" t="inlineStr">
        <is>
          <t>Comedy</t>
        </is>
      </c>
      <c r="M26" s="64" t="inlineStr">
        <is>
          <t>DreamWorks Pictures, Apatow Productions</t>
        </is>
      </c>
      <c r="N26" s="64" t="inlineStr">
        <is>
          <t>https://huggingface.co/datasets/HenryWaltson/TMDB-IMDB-Movies-Dataset</t>
        </is>
      </c>
      <c r="O26" s="64" t="inlineStr">
        <is>
          <t>https://huggingface.co/datasets/HenryWaltson/TMDB-IMDB-Movies-Dataset</t>
        </is>
      </c>
      <c r="P26" t="inlineStr">
        <is>
          <t>Will Ferrell</t>
        </is>
      </c>
      <c r="Q26" t="inlineStr">
        <is>
          <t>Christina Applegate</t>
        </is>
      </c>
      <c r="R26" t="inlineStr">
        <is>
          <t>Paul Rudd</t>
        </is>
      </c>
      <c r="S26" t="inlineStr">
        <is>
          <t>Steve Carell</t>
        </is>
      </c>
      <c r="T26" t="inlineStr">
        <is>
          <t>David Koechner</t>
        </is>
      </c>
      <c r="U26" s="71" t="n">
        <v>0</v>
      </c>
      <c r="V26" s="71" t="n">
        <v>0</v>
      </c>
      <c r="X26" s="82">
        <f>IFERROR(INDEX(Ratings!$E$5:$E$500,MATCH(A26,Ratings!$A$5:$A$500,0)),"")</f>
        <v/>
      </c>
      <c r="Y26" s="71">
        <f>IFERROR(INDEX(Ratings!$G$5:$G$500,MATCH(A26,Ratings!$A$5:$A$500,0)),"")</f>
        <v/>
      </c>
      <c r="Z26" s="83">
        <f>IFERROR(INDEX(Ratings!$I$5:$I$500,MATCH(A26,Ratings!$A$5:$A$500,0)),"")</f>
        <v/>
      </c>
    </row>
    <row r="27" ht="17.25" customHeight="1" s="95">
      <c r="A27" t="inlineStr">
        <is>
          <t>F0023</t>
        </is>
      </c>
      <c r="B27" t="inlineStr">
        <is>
          <t>Angels &amp; Demons</t>
        </is>
      </c>
      <c r="C27" s="63" t="inlineStr">
        <is>
          <t>2009</t>
        </is>
      </c>
      <c r="D27" t="inlineStr">
        <is>
          <t>Blu-ray</t>
        </is>
      </c>
      <c r="F27" s="64" t="n"/>
      <c r="I27" s="64" t="n"/>
      <c r="J27" s="64" t="inlineStr">
        <is>
          <t>Ron Howard</t>
        </is>
      </c>
      <c r="K27" s="64" t="n">
        <v>138</v>
      </c>
      <c r="L27" s="64" t="inlineStr">
        <is>
          <t>Thriller, Mystery</t>
        </is>
      </c>
      <c r="M27" s="64" t="inlineStr">
        <is>
          <t>Columbia Pictures, Imagine Entertainment, Skylark Productions</t>
        </is>
      </c>
      <c r="N27" s="64" t="inlineStr">
        <is>
          <t>https://huggingface.co/datasets/HenryWaltson/TMDB-IMDB-Movies-Dataset</t>
        </is>
      </c>
      <c r="O27" s="64" t="inlineStr">
        <is>
          <t>https://huggingface.co/datasets/HenryWaltson/TMDB-IMDB-Movies-Dataset</t>
        </is>
      </c>
      <c r="P27" t="inlineStr">
        <is>
          <t>Tom Hanks</t>
        </is>
      </c>
      <c r="Q27" t="inlineStr">
        <is>
          <t>Ewan McGregor</t>
        </is>
      </c>
      <c r="R27" t="inlineStr">
        <is>
          <t>Ayelet Zurer</t>
        </is>
      </c>
      <c r="S27" t="inlineStr">
        <is>
          <t>Stellan Skarsgård</t>
        </is>
      </c>
      <c r="T27" t="inlineStr">
        <is>
          <t>Pierfrancesco Favino</t>
        </is>
      </c>
      <c r="U27" s="71" t="n">
        <v>0</v>
      </c>
      <c r="V27" s="71" t="n">
        <v>0</v>
      </c>
      <c r="X27" s="82">
        <f>IFERROR(INDEX(Ratings!$E$5:$E$500,MATCH(A27,Ratings!$A$5:$A$500,0)),"")</f>
        <v/>
      </c>
      <c r="Y27" s="71">
        <f>IFERROR(INDEX(Ratings!$G$5:$G$500,MATCH(A27,Ratings!$A$5:$A$500,0)),"")</f>
        <v/>
      </c>
      <c r="Z27" s="83">
        <f>IFERROR(INDEX(Ratings!$I$5:$I$500,MATCH(A27,Ratings!$A$5:$A$500,0)),"")</f>
        <v/>
      </c>
    </row>
    <row r="28" ht="15.75" customHeight="1" s="95">
      <c r="A28" t="inlineStr">
        <is>
          <t>F0024</t>
        </is>
      </c>
      <c r="B28" t="inlineStr">
        <is>
          <t>Anuvahood</t>
        </is>
      </c>
      <c r="C28" s="63" t="inlineStr">
        <is>
          <t>2011</t>
        </is>
      </c>
      <c r="D28" t="inlineStr">
        <is>
          <t>Blu-ray</t>
        </is>
      </c>
      <c r="F28" s="64" t="n"/>
      <c r="I28" s="64" t="n"/>
      <c r="J28" s="64" t="inlineStr">
        <is>
          <t>Adam Deacon, Daniel Toland</t>
        </is>
      </c>
      <c r="K28" s="64" t="n">
        <v>88</v>
      </c>
      <c r="L28" s="64" t="inlineStr">
        <is>
          <t>Comedy</t>
        </is>
      </c>
      <c r="M28" s="64" t="inlineStr">
        <is>
          <t>Gunslinger, Gateway Films, Cabin Fever Films</t>
        </is>
      </c>
      <c r="N28" s="64" t="inlineStr">
        <is>
          <t>https://huggingface.co/datasets/HenryWaltson/TMDB-IMDB-Movies-Dataset</t>
        </is>
      </c>
      <c r="O28" s="64" t="inlineStr">
        <is>
          <t>https://huggingface.co/datasets/HenryWaltson/TMDB-IMDB-Movies-Dataset</t>
        </is>
      </c>
      <c r="P28" t="inlineStr">
        <is>
          <t>Adam Deacon</t>
        </is>
      </c>
      <c r="Q28" t="inlineStr">
        <is>
          <t>Ollie Barbieri</t>
        </is>
      </c>
      <c r="R28" t="inlineStr">
        <is>
          <t>Jazzie Zonzolo</t>
        </is>
      </c>
      <c r="S28" t="inlineStr">
        <is>
          <t>Richie Campbell</t>
        </is>
      </c>
      <c r="T28" t="inlineStr">
        <is>
          <t>Jaime Winstone</t>
        </is>
      </c>
      <c r="U28" s="71" t="n">
        <v>0</v>
      </c>
      <c r="V28" s="71" t="n">
        <v>0</v>
      </c>
      <c r="X28" s="82">
        <f>IFERROR(INDEX(Ratings!$E$5:$E$500,MATCH(A28,Ratings!$A$5:$A$500,0)),"")</f>
        <v/>
      </c>
      <c r="Y28" s="71">
        <f>IFERROR(INDEX(Ratings!$G$5:$G$500,MATCH(A28,Ratings!$A$5:$A$500,0)),"")</f>
        <v/>
      </c>
      <c r="Z28" s="83">
        <f>IFERROR(INDEX(Ratings!$I$5:$I$500,MATCH(A28,Ratings!$A$5:$A$500,0)),"")</f>
        <v/>
      </c>
    </row>
    <row r="29" ht="15.75" customHeight="1" s="95">
      <c r="A29" t="inlineStr">
        <is>
          <t>F0025</t>
        </is>
      </c>
      <c r="B29" t="inlineStr">
        <is>
          <t>Argo</t>
        </is>
      </c>
      <c r="C29" s="63" t="inlineStr">
        <is>
          <t>2012</t>
        </is>
      </c>
      <c r="D29" t="inlineStr">
        <is>
          <t>Blu-ray</t>
        </is>
      </c>
      <c r="F29" s="64" t="n"/>
      <c r="I29" s="64" t="n"/>
      <c r="J29" s="64" t="inlineStr">
        <is>
          <t>Ben Affleck</t>
        </is>
      </c>
      <c r="K29" s="64" t="n">
        <v>120</v>
      </c>
      <c r="L29" s="64" t="inlineStr">
        <is>
          <t>Drama, Thriller</t>
        </is>
      </c>
      <c r="M29" s="64" t="inlineStr">
        <is>
          <t>GK Films, Warner Bros. Pictures, Smoke House Pictures</t>
        </is>
      </c>
      <c r="N29" s="64" t="inlineStr">
        <is>
          <t>https://huggingface.co/datasets/HenryWaltson/TMDB-IMDB-Movies-Dataset</t>
        </is>
      </c>
      <c r="O29" s="64" t="inlineStr">
        <is>
          <t>https://huggingface.co/datasets/HenryWaltson/TMDB-IMDB-Movies-Dataset</t>
        </is>
      </c>
      <c r="P29" t="inlineStr">
        <is>
          <t>Ben Affleck</t>
        </is>
      </c>
      <c r="Q29" t="inlineStr">
        <is>
          <t>Bryan Cranston</t>
        </is>
      </c>
      <c r="R29" t="inlineStr">
        <is>
          <t>Alan Arkin</t>
        </is>
      </c>
      <c r="S29" t="inlineStr">
        <is>
          <t>John Goodman</t>
        </is>
      </c>
      <c r="T29" t="inlineStr">
        <is>
          <t>Victor Garber</t>
        </is>
      </c>
      <c r="U29" s="71" t="n">
        <v>7</v>
      </c>
      <c r="V29" s="71" t="n">
        <v>3</v>
      </c>
      <c r="W29" t="inlineStr">
        <is>
          <t>Winner</t>
        </is>
      </c>
      <c r="X29" s="82">
        <f>IFERROR(INDEX(Ratings!$E$5:$E$500,MATCH(A29,Ratings!$A$5:$A$500,0)),"")</f>
        <v/>
      </c>
      <c r="Y29" s="71">
        <f>IFERROR(INDEX(Ratings!$G$5:$G$500,MATCH(A29,Ratings!$A$5:$A$500,0)),"")</f>
        <v/>
      </c>
      <c r="Z29" s="83">
        <f>IFERROR(INDEX(Ratings!$I$5:$I$500,MATCH(A29,Ratings!$A$5:$A$500,0)),"")</f>
        <v/>
      </c>
    </row>
    <row r="30" ht="15.75" customHeight="1" s="95">
      <c r="A30" t="inlineStr">
        <is>
          <t>F0026</t>
        </is>
      </c>
      <c r="B30" t="inlineStr">
        <is>
          <t>The A-Team</t>
        </is>
      </c>
      <c r="C30" s="63" t="inlineStr">
        <is>
          <t>2010</t>
        </is>
      </c>
      <c r="D30" t="inlineStr">
        <is>
          <t>Blu-ray</t>
        </is>
      </c>
      <c r="F30" s="64" t="n"/>
      <c r="I30" s="64" t="n"/>
      <c r="J30" s="64" t="inlineStr">
        <is>
          <t>Joe Carnahan</t>
        </is>
      </c>
      <c r="K30" s="64" t="n">
        <v>117</v>
      </c>
      <c r="L30" s="64" t="inlineStr">
        <is>
          <t>Thriller, Action, Adventure, Comedy, Crime</t>
        </is>
      </c>
      <c r="M30" s="64" t="inlineStr">
        <is>
          <t>Phoenix Film Partners, Dune Entertainment, Stephen J. Cannell Productions</t>
        </is>
      </c>
      <c r="N30" s="64" t="inlineStr">
        <is>
          <t>https://huggingface.co/datasets/HenryWaltson/TMDB-IMDB-Movies-Dataset</t>
        </is>
      </c>
      <c r="O30" s="64" t="inlineStr">
        <is>
          <t>https://huggingface.co/datasets/HenryWaltson/TMDB-IMDB-Movies-Dataset</t>
        </is>
      </c>
      <c r="P30" t="inlineStr">
        <is>
          <t>Liam Neeson</t>
        </is>
      </c>
      <c r="Q30" t="inlineStr">
        <is>
          <t>Bradley Cooper</t>
        </is>
      </c>
      <c r="R30" t="inlineStr">
        <is>
          <t>Jessica Biel</t>
        </is>
      </c>
      <c r="S30" t="inlineStr">
        <is>
          <t>Quinton 'Rampage' Jackson</t>
        </is>
      </c>
      <c r="T30" t="inlineStr">
        <is>
          <t>Sharlto Copley</t>
        </is>
      </c>
      <c r="U30" s="71" t="n">
        <v>0</v>
      </c>
      <c r="V30" s="71" t="n">
        <v>0</v>
      </c>
      <c r="X30" s="82">
        <f>IFERROR(INDEX(Ratings!$E$5:$E$500,MATCH(A30,Ratings!$A$5:$A$500,0)),"")</f>
        <v/>
      </c>
      <c r="Y30" s="71">
        <f>IFERROR(INDEX(Ratings!$G$5:$G$500,MATCH(A30,Ratings!$A$5:$A$500,0)),"")</f>
        <v/>
      </c>
      <c r="Z30" s="83">
        <f>IFERROR(INDEX(Ratings!$I$5:$I$500,MATCH(A30,Ratings!$A$5:$A$500,0)),"")</f>
        <v/>
      </c>
    </row>
    <row r="31" ht="15.75" customHeight="1" s="95">
      <c r="A31" t="inlineStr">
        <is>
          <t>F0027</t>
        </is>
      </c>
      <c r="B31" t="inlineStr">
        <is>
          <t>Attack the Block</t>
        </is>
      </c>
      <c r="C31" s="63" t="inlineStr">
        <is>
          <t>2011</t>
        </is>
      </c>
      <c r="D31" t="inlineStr">
        <is>
          <t>Blu-ray</t>
        </is>
      </c>
      <c r="F31" s="64" t="n"/>
      <c r="I31" s="64" t="n"/>
      <c r="J31" s="64" t="inlineStr">
        <is>
          <t>Joe Cornish</t>
        </is>
      </c>
      <c r="K31" s="64" t="n">
        <v>88</v>
      </c>
      <c r="L31" s="64" t="inlineStr">
        <is>
          <t>Action, Comedy, Science Fiction</t>
        </is>
      </c>
      <c r="M31" s="64" t="inlineStr">
        <is>
          <t>UK Film Council, Film4 Productions, StudioCanal</t>
        </is>
      </c>
      <c r="N31" s="64" t="inlineStr">
        <is>
          <t>https://huggingface.co/datasets/HenryWaltson/TMDB-IMDB-Movies-Dataset</t>
        </is>
      </c>
      <c r="O31" s="64" t="inlineStr">
        <is>
          <t>https://huggingface.co/datasets/HenryWaltson/TMDB-IMDB-Movies-Dataset</t>
        </is>
      </c>
      <c r="P31" t="inlineStr">
        <is>
          <t>John Boyega</t>
        </is>
      </c>
      <c r="Q31" t="inlineStr">
        <is>
          <t>Jodie Whittaker</t>
        </is>
      </c>
      <c r="R31" t="inlineStr">
        <is>
          <t>Nick Frost</t>
        </is>
      </c>
      <c r="S31" t="inlineStr">
        <is>
          <t>Alex Esmail</t>
        </is>
      </c>
      <c r="T31" t="inlineStr">
        <is>
          <t>Luke Treadaway</t>
        </is>
      </c>
      <c r="U31" s="71" t="n">
        <v>0</v>
      </c>
      <c r="V31" s="71" t="n">
        <v>0</v>
      </c>
      <c r="X31" s="82">
        <f>IFERROR(INDEX(Ratings!$E$5:$E$500,MATCH(A31,Ratings!$A$5:$A$500,0)),"")</f>
        <v/>
      </c>
      <c r="Y31" s="71">
        <f>IFERROR(INDEX(Ratings!$G$5:$G$500,MATCH(A31,Ratings!$A$5:$A$500,0)),"")</f>
        <v/>
      </c>
      <c r="Z31" s="83">
        <f>IFERROR(INDEX(Ratings!$I$5:$I$500,MATCH(A31,Ratings!$A$5:$A$500,0)),"")</f>
        <v/>
      </c>
    </row>
    <row r="32" ht="15.75" customHeight="1" s="95">
      <c r="A32" t="inlineStr">
        <is>
          <t>F0028</t>
        </is>
      </c>
      <c r="B32" t="inlineStr">
        <is>
          <t>Avatar</t>
        </is>
      </c>
      <c r="C32" s="63" t="inlineStr">
        <is>
          <t>2009</t>
        </is>
      </c>
      <c r="D32" t="inlineStr">
        <is>
          <t>Blu-ray</t>
        </is>
      </c>
      <c r="E32" t="inlineStr">
        <is>
          <t>Avatar</t>
        </is>
      </c>
      <c r="F32" s="64" t="n"/>
      <c r="I32" s="64" t="n"/>
      <c r="J32" s="64" t="inlineStr">
        <is>
          <t>James Cameron</t>
        </is>
      </c>
      <c r="K32" s="64" t="n">
        <v>162</v>
      </c>
      <c r="L32" s="64" t="inlineStr">
        <is>
          <t>Action, Adventure, Fantasy, Science Fiction</t>
        </is>
      </c>
      <c r="M32" s="64" t="inlineStr">
        <is>
          <t>Dune Entertainment, Lightstorm Entertainment, 20th Century Fox</t>
        </is>
      </c>
      <c r="N32" s="64" t="inlineStr">
        <is>
          <t>https://huggingface.co/datasets/HenryWaltson/TMDB-IMDB-Movies-Dataset</t>
        </is>
      </c>
      <c r="O32" s="64" t="inlineStr">
        <is>
          <t>https://huggingface.co/datasets/HenryWaltson/TMDB-IMDB-Movies-Dataset</t>
        </is>
      </c>
      <c r="P32" t="inlineStr">
        <is>
          <t>Sam Worthington</t>
        </is>
      </c>
      <c r="Q32" t="inlineStr">
        <is>
          <t>Zoe Saldaña</t>
        </is>
      </c>
      <c r="R32" t="inlineStr">
        <is>
          <t>Sigourney Weaver</t>
        </is>
      </c>
      <c r="S32" t="inlineStr">
        <is>
          <t>Stephen Lang</t>
        </is>
      </c>
      <c r="T32" t="inlineStr">
        <is>
          <t>Michelle Rodriguez</t>
        </is>
      </c>
      <c r="U32" s="71" t="n">
        <v>9</v>
      </c>
      <c r="V32" s="71" t="n">
        <v>3</v>
      </c>
      <c r="W32" t="inlineStr">
        <is>
          <t>Nominated</t>
        </is>
      </c>
      <c r="X32" s="82">
        <f>IFERROR(INDEX(Ratings!$E$5:$E$500,MATCH(A32,Ratings!$A$5:$A$500,0)),"")</f>
        <v/>
      </c>
      <c r="Y32" s="71">
        <f>IFERROR(INDEX(Ratings!$G$5:$G$500,MATCH(A32,Ratings!$A$5:$A$500,0)),"")</f>
        <v/>
      </c>
      <c r="Z32" s="83">
        <f>IFERROR(INDEX(Ratings!$I$5:$I$500,MATCH(A32,Ratings!$A$5:$A$500,0)),"")</f>
        <v/>
      </c>
    </row>
    <row r="33" ht="15.75" customHeight="1" s="95">
      <c r="A33" t="inlineStr">
        <is>
          <t>F0029</t>
        </is>
      </c>
      <c r="B33" t="inlineStr">
        <is>
          <t>The Avengers</t>
        </is>
      </c>
      <c r="C33" s="63" t="inlineStr">
        <is>
          <t>2012</t>
        </is>
      </c>
      <c r="D33" t="inlineStr">
        <is>
          <t>Blu-ray</t>
        </is>
      </c>
      <c r="E33" t="inlineStr">
        <is>
          <t>MCU</t>
        </is>
      </c>
      <c r="F33" s="64" t="n"/>
      <c r="I33" s="64" t="n"/>
      <c r="J33" s="64" t="inlineStr">
        <is>
          <t>Joss Whedon</t>
        </is>
      </c>
      <c r="K33" s="64" t="n">
        <v>143</v>
      </c>
      <c r="L33" s="64" t="inlineStr">
        <is>
          <t>Science Fiction, Action, Adventure</t>
        </is>
      </c>
      <c r="M33" s="64" t="inlineStr">
        <is>
          <t>Marvel Studios</t>
        </is>
      </c>
      <c r="N33" s="64" t="inlineStr">
        <is>
          <t>https://huggingface.co/datasets/HenryWaltson/TMDB-IMDB-Movies-Dataset</t>
        </is>
      </c>
      <c r="O33" s="64" t="inlineStr">
        <is>
          <t>https://huggingface.co/datasets/HenryWaltson/TMDB-IMDB-Movies-Dataset</t>
        </is>
      </c>
      <c r="P33" t="inlineStr">
        <is>
          <t>Robert Downey Jr.</t>
        </is>
      </c>
      <c r="Q33" t="inlineStr">
        <is>
          <t>Chris Evans</t>
        </is>
      </c>
      <c r="R33" t="inlineStr">
        <is>
          <t>Mark Ruffalo</t>
        </is>
      </c>
      <c r="S33" t="inlineStr">
        <is>
          <t>Chris Hemsworth</t>
        </is>
      </c>
      <c r="T33" t="inlineStr">
        <is>
          <t>Scarlett Johansson</t>
        </is>
      </c>
      <c r="U33" s="71" t="n">
        <v>1</v>
      </c>
      <c r="V33" s="71" t="n">
        <v>0</v>
      </c>
      <c r="X33" s="82">
        <f>IFERROR(INDEX(Ratings!$E$5:$E$500,MATCH(A33,Ratings!$A$5:$A$500,0)),"")</f>
        <v/>
      </c>
      <c r="Y33" s="71">
        <f>IFERROR(INDEX(Ratings!$G$5:$G$500,MATCH(A33,Ratings!$A$5:$A$500,0)),"")</f>
        <v/>
      </c>
      <c r="Z33" s="83">
        <f>IFERROR(INDEX(Ratings!$I$5:$I$500,MATCH(A33,Ratings!$A$5:$A$500,0)),"")</f>
        <v/>
      </c>
    </row>
    <row r="34" ht="15.75" customHeight="1" s="95">
      <c r="A34" t="inlineStr">
        <is>
          <t>F0030</t>
        </is>
      </c>
      <c r="B34" t="inlineStr">
        <is>
          <t>Avengers: Infinity War</t>
        </is>
      </c>
      <c r="C34" s="63" t="inlineStr">
        <is>
          <t>2018</t>
        </is>
      </c>
      <c r="D34" t="inlineStr">
        <is>
          <t>4K UHD</t>
        </is>
      </c>
      <c r="E34" t="inlineStr">
        <is>
          <t>MCU</t>
        </is>
      </c>
      <c r="F34" s="64" t="n"/>
      <c r="I34" s="64" t="n"/>
      <c r="J34" s="64" t="inlineStr">
        <is>
          <t>Anthony Russo, Joe Russo</t>
        </is>
      </c>
      <c r="K34" s="64" t="n">
        <v>149</v>
      </c>
      <c r="L34" s="64" t="inlineStr">
        <is>
          <t>Adventure, Action, Science Fiction</t>
        </is>
      </c>
      <c r="M34" s="64" t="inlineStr">
        <is>
          <t>Marvel Studios</t>
        </is>
      </c>
      <c r="N34" s="64" t="inlineStr">
        <is>
          <t>https://huggingface.co/datasets/HenryWaltson/TMDB-IMDB-Movies-Dataset</t>
        </is>
      </c>
      <c r="O34" s="64" t="inlineStr">
        <is>
          <t>https://huggingface.co/datasets/HenryWaltson/TMDB-IMDB-Movies-Dataset</t>
        </is>
      </c>
      <c r="P34" t="inlineStr">
        <is>
          <t>Robert Downey Jr.</t>
        </is>
      </c>
      <c r="Q34" t="inlineStr">
        <is>
          <t>Chris Evans</t>
        </is>
      </c>
      <c r="R34" t="inlineStr">
        <is>
          <t>Chris Hemsworth</t>
        </is>
      </c>
      <c r="S34" t="inlineStr">
        <is>
          <t>Josh Brolin</t>
        </is>
      </c>
      <c r="T34" t="inlineStr">
        <is>
          <t>Mark Ruffalo</t>
        </is>
      </c>
      <c r="U34" s="71" t="n">
        <v>1</v>
      </c>
      <c r="V34" s="71" t="n">
        <v>0</v>
      </c>
      <c r="X34" s="82">
        <f>IFERROR(INDEX(Ratings!$E$5:$E$500,MATCH(A34,Ratings!$A$5:$A$500,0)),"")</f>
        <v/>
      </c>
      <c r="Y34" s="71">
        <f>IFERROR(INDEX(Ratings!$G$5:$G$500,MATCH(A34,Ratings!$A$5:$A$500,0)),"")</f>
        <v/>
      </c>
      <c r="Z34" s="83">
        <f>IFERROR(INDEX(Ratings!$I$5:$I$500,MATCH(A34,Ratings!$A$5:$A$500,0)),"")</f>
        <v/>
      </c>
    </row>
    <row r="35" ht="15.75" customHeight="1" s="95">
      <c r="A35" t="inlineStr">
        <is>
          <t>F0031</t>
        </is>
      </c>
      <c r="B35" t="inlineStr">
        <is>
          <t>Avengers: Endgame</t>
        </is>
      </c>
      <c r="C35" s="63" t="inlineStr">
        <is>
          <t>2019</t>
        </is>
      </c>
      <c r="D35" t="inlineStr">
        <is>
          <t>4K UHD</t>
        </is>
      </c>
      <c r="E35" t="inlineStr">
        <is>
          <t>MCU</t>
        </is>
      </c>
      <c r="F35" s="64" t="n"/>
      <c r="I35" s="64" t="n"/>
      <c r="J35" s="64" t="inlineStr">
        <is>
          <t>Anthony Russo, Joe Russo</t>
        </is>
      </c>
      <c r="K35" s="64" t="n">
        <v>181</v>
      </c>
      <c r="L35" s="64" t="inlineStr">
        <is>
          <t>Adventure, Science Fiction, Action</t>
        </is>
      </c>
      <c r="M35" s="64" t="inlineStr">
        <is>
          <t>Marvel Studios</t>
        </is>
      </c>
      <c r="N35" s="64" t="inlineStr">
        <is>
          <t>https://huggingface.co/datasets/HenryWaltson/TMDB-IMDB-Movies-Dataset</t>
        </is>
      </c>
      <c r="O35" s="64" t="inlineStr">
        <is>
          <t>https://huggingface.co/datasets/HenryWaltson/TMDB-IMDB-Movies-Dataset</t>
        </is>
      </c>
      <c r="P35" t="inlineStr">
        <is>
          <t>Robert Downey Jr.</t>
        </is>
      </c>
      <c r="Q35" t="inlineStr">
        <is>
          <t>Chris Evans</t>
        </is>
      </c>
      <c r="R35" t="inlineStr">
        <is>
          <t>Mark Ruffalo</t>
        </is>
      </c>
      <c r="S35" t="inlineStr">
        <is>
          <t>Chris Hemsworth</t>
        </is>
      </c>
      <c r="T35" t="inlineStr">
        <is>
          <t>Scarlett Johansson</t>
        </is>
      </c>
      <c r="U35" s="71" t="n">
        <v>1</v>
      </c>
      <c r="V35" s="71" t="n">
        <v>0</v>
      </c>
      <c r="X35" s="82">
        <f>IFERROR(INDEX(Ratings!$E$5:$E$500,MATCH(A35,Ratings!$A$5:$A$500,0)),"")</f>
        <v/>
      </c>
      <c r="Y35" s="71">
        <f>IFERROR(INDEX(Ratings!$G$5:$G$500,MATCH(A35,Ratings!$A$5:$A$500,0)),"")</f>
        <v/>
      </c>
      <c r="Z35" s="83">
        <f>IFERROR(INDEX(Ratings!$I$5:$I$500,MATCH(A35,Ratings!$A$5:$A$500,0)),"")</f>
        <v/>
      </c>
    </row>
    <row r="36" ht="15.75" customHeight="1" s="95">
      <c r="A36" t="inlineStr">
        <is>
          <t>F0032</t>
        </is>
      </c>
      <c r="B36" t="inlineStr">
        <is>
          <t>Baby Driver</t>
        </is>
      </c>
      <c r="C36" s="63" t="inlineStr">
        <is>
          <t>2017</t>
        </is>
      </c>
      <c r="D36" t="inlineStr">
        <is>
          <t>Blu-ray</t>
        </is>
      </c>
      <c r="F36" s="64" t="n"/>
      <c r="I36" s="64" t="n"/>
      <c r="J36" s="64" t="inlineStr">
        <is>
          <t>Edgar Wright</t>
        </is>
      </c>
      <c r="K36" s="64" t="n">
        <v>113</v>
      </c>
      <c r="L36" s="64" t="inlineStr">
        <is>
          <t>Action, Crime</t>
        </is>
      </c>
      <c r="M36" s="64" t="inlineStr">
        <is>
          <t>Big Talk Productions, Working Title Films</t>
        </is>
      </c>
      <c r="N36" s="64" t="inlineStr">
        <is>
          <t>https://huggingface.co/datasets/HenryWaltson/TMDB-IMDB-Movies-Dataset</t>
        </is>
      </c>
      <c r="O36" s="64" t="inlineStr">
        <is>
          <t>https://huggingface.co/datasets/HenryWaltson/TMDB-IMDB-Movies-Dataset</t>
        </is>
      </c>
      <c r="P36" t="inlineStr">
        <is>
          <t>Ansel Elgort</t>
        </is>
      </c>
      <c r="Q36" t="inlineStr">
        <is>
          <t>Kevin Spacey</t>
        </is>
      </c>
      <c r="R36" t="inlineStr">
        <is>
          <t>Lily James</t>
        </is>
      </c>
      <c r="S36" t="inlineStr">
        <is>
          <t>Jon Hamm</t>
        </is>
      </c>
      <c r="T36" t="inlineStr">
        <is>
          <t>Jamie Foxx</t>
        </is>
      </c>
      <c r="U36" s="71" t="n">
        <v>3</v>
      </c>
      <c r="V36" s="71" t="n">
        <v>0</v>
      </c>
      <c r="X36" s="82">
        <f>IFERROR(INDEX(Ratings!$E$5:$E$500,MATCH(A36,Ratings!$A$5:$A$500,0)),"")</f>
        <v/>
      </c>
      <c r="Y36" s="71">
        <f>IFERROR(INDEX(Ratings!$G$5:$G$500,MATCH(A36,Ratings!$A$5:$A$500,0)),"")</f>
        <v/>
      </c>
      <c r="Z36" s="83">
        <f>IFERROR(INDEX(Ratings!$I$5:$I$500,MATCH(A36,Ratings!$A$5:$A$500,0)),"")</f>
        <v/>
      </c>
    </row>
    <row r="37" ht="15.75" customHeight="1" s="95">
      <c r="A37" t="inlineStr">
        <is>
          <t>F0033</t>
        </is>
      </c>
      <c r="B37" t="inlineStr">
        <is>
          <t>Back to the Future</t>
        </is>
      </c>
      <c r="C37" s="63" t="inlineStr">
        <is>
          <t>1985</t>
        </is>
      </c>
      <c r="D37" t="inlineStr">
        <is>
          <t>Blu-ray</t>
        </is>
      </c>
      <c r="E37" t="inlineStr">
        <is>
          <t>Back to the Future</t>
        </is>
      </c>
      <c r="F37" s="64" t="inlineStr">
        <is>
          <t>Back to the Future Trilogy (Box Set)</t>
        </is>
      </c>
      <c r="I37" s="64" t="inlineStr">
        <is>
          <t>Owned via Back to the Future Trilogy (Box Set).</t>
        </is>
      </c>
      <c r="J37" s="64" t="inlineStr">
        <is>
          <t>Robert Zemeckis</t>
        </is>
      </c>
      <c r="K37" s="64" t="n">
        <v>116</v>
      </c>
      <c r="L37" s="64" t="inlineStr">
        <is>
          <t>Adventure, Comedy, Science Fiction</t>
        </is>
      </c>
      <c r="M37" s="64" t="inlineStr">
        <is>
          <t>Universal Pictures, Amblin Entertainment</t>
        </is>
      </c>
      <c r="N37" s="64" t="inlineStr">
        <is>
          <t>https://huggingface.co/datasets/HenryWaltson/TMDB-IMDB-Movies-Dataset</t>
        </is>
      </c>
      <c r="O37" s="64" t="inlineStr">
        <is>
          <t>https://huggingface.co/datasets/HenryWaltson/TMDB-IMDB-Movies-Dataset</t>
        </is>
      </c>
      <c r="P37" t="inlineStr">
        <is>
          <t>Michael J. Fox</t>
        </is>
      </c>
      <c r="Q37" t="inlineStr">
        <is>
          <t>Christopher Lloyd</t>
        </is>
      </c>
      <c r="R37" t="inlineStr">
        <is>
          <t>Crispin Glover</t>
        </is>
      </c>
      <c r="S37" t="inlineStr">
        <is>
          <t>Lea Thompson</t>
        </is>
      </c>
      <c r="T37" t="inlineStr">
        <is>
          <t>Claudia Wells</t>
        </is>
      </c>
      <c r="U37" s="71" t="n">
        <v>4</v>
      </c>
      <c r="V37" s="71" t="n">
        <v>1</v>
      </c>
      <c r="X37" s="82">
        <f>IFERROR(INDEX(Ratings!$E$5:$E$500,MATCH(A37,Ratings!$A$5:$A$500,0)),"")</f>
        <v/>
      </c>
      <c r="Y37" s="71">
        <f>IFERROR(INDEX(Ratings!$G$5:$G$500,MATCH(A37,Ratings!$A$5:$A$500,0)),"")</f>
        <v/>
      </c>
      <c r="Z37" s="83">
        <f>IFERROR(INDEX(Ratings!$I$5:$I$500,MATCH(A37,Ratings!$A$5:$A$500,0)),"")</f>
        <v/>
      </c>
    </row>
    <row r="38" ht="15.75" customHeight="1" s="95">
      <c r="A38" t="inlineStr">
        <is>
          <t>F0034</t>
        </is>
      </c>
      <c r="B38" t="inlineStr">
        <is>
          <t>Back to the Future Part II</t>
        </is>
      </c>
      <c r="C38" s="63" t="inlineStr">
        <is>
          <t>1989</t>
        </is>
      </c>
      <c r="D38" t="inlineStr">
        <is>
          <t>Blu-ray</t>
        </is>
      </c>
      <c r="E38" t="inlineStr">
        <is>
          <t>Back to the Future</t>
        </is>
      </c>
      <c r="F38" s="64" t="inlineStr">
        <is>
          <t>Back to the Future Trilogy (Box Set)</t>
        </is>
      </c>
      <c r="I38" s="64" t="inlineStr">
        <is>
          <t>Owned via Back to the Future Trilogy (Box Set).</t>
        </is>
      </c>
      <c r="J38" s="64" t="inlineStr">
        <is>
          <t>Robert Zemeckis</t>
        </is>
      </c>
      <c r="K38" s="64" t="n">
        <v>108</v>
      </c>
      <c r="L38" s="64" t="inlineStr">
        <is>
          <t>Adventure, Comedy, Science Fiction</t>
        </is>
      </c>
      <c r="M38" s="64" t="inlineStr">
        <is>
          <t>Universal Pictures, Amblin Entertainment</t>
        </is>
      </c>
      <c r="N38" s="64" t="inlineStr">
        <is>
          <t>https://huggingface.co/datasets/HenryWaltson/TMDB-IMDB-Movies-Dataset</t>
        </is>
      </c>
      <c r="O38" s="64" t="inlineStr">
        <is>
          <t>https://huggingface.co/datasets/HenryWaltson/TMDB-IMDB-Movies-Dataset</t>
        </is>
      </c>
      <c r="P38" t="inlineStr">
        <is>
          <t>Michael J. Fox</t>
        </is>
      </c>
      <c r="Q38" t="inlineStr">
        <is>
          <t>Christopher Lloyd</t>
        </is>
      </c>
      <c r="R38" t="inlineStr">
        <is>
          <t>Lea Thompson</t>
        </is>
      </c>
      <c r="S38" t="inlineStr">
        <is>
          <t>Thomas F. Wilson</t>
        </is>
      </c>
      <c r="T38" t="inlineStr">
        <is>
          <t>Elisabeth Shue</t>
        </is>
      </c>
      <c r="U38" s="71" t="n">
        <v>1</v>
      </c>
      <c r="V38" s="71" t="n">
        <v>0</v>
      </c>
      <c r="X38" s="82">
        <f>IFERROR(INDEX(Ratings!$E$5:$E$500,MATCH(A38,Ratings!$A$5:$A$500,0)),"")</f>
        <v/>
      </c>
      <c r="Y38" s="71">
        <f>IFERROR(INDEX(Ratings!$G$5:$G$500,MATCH(A38,Ratings!$A$5:$A$500,0)),"")</f>
        <v/>
      </c>
      <c r="Z38" s="83">
        <f>IFERROR(INDEX(Ratings!$I$5:$I$500,MATCH(A38,Ratings!$A$5:$A$500,0)),"")</f>
        <v/>
      </c>
    </row>
    <row r="39" ht="15.75" customHeight="1" s="95">
      <c r="A39" t="inlineStr">
        <is>
          <t>F0035</t>
        </is>
      </c>
      <c r="B39" t="inlineStr">
        <is>
          <t>Back to the Future Part III</t>
        </is>
      </c>
      <c r="C39" s="63" t="inlineStr">
        <is>
          <t>1990</t>
        </is>
      </c>
      <c r="D39" t="inlineStr">
        <is>
          <t>Blu-ray</t>
        </is>
      </c>
      <c r="E39" t="inlineStr">
        <is>
          <t>Back to the Future</t>
        </is>
      </c>
      <c r="F39" s="64" t="inlineStr">
        <is>
          <t>Back to the Future Trilogy (Box Set)</t>
        </is>
      </c>
      <c r="I39" s="64" t="inlineStr">
        <is>
          <t>Owned via Back to the Future Trilogy (Box Set).</t>
        </is>
      </c>
      <c r="J39" s="64" t="inlineStr">
        <is>
          <t>Robert Zemeckis</t>
        </is>
      </c>
      <c r="K39" s="64" t="n">
        <v>118</v>
      </c>
      <c r="L39" s="64" t="inlineStr">
        <is>
          <t>Adventure, Comedy, Science Fiction, Western</t>
        </is>
      </c>
      <c r="M39" s="64" t="inlineStr">
        <is>
          <t>Universal Pictures, Amblin Entertainment</t>
        </is>
      </c>
      <c r="N39" s="64" t="inlineStr">
        <is>
          <t>https://huggingface.co/datasets/HenryWaltson/TMDB-IMDB-Movies-Dataset</t>
        </is>
      </c>
      <c r="O39" s="64" t="inlineStr">
        <is>
          <t>https://huggingface.co/datasets/HenryWaltson/TMDB-IMDB-Movies-Dataset</t>
        </is>
      </c>
      <c r="P39" t="inlineStr">
        <is>
          <t>Michael J. Fox</t>
        </is>
      </c>
      <c r="Q39" t="inlineStr">
        <is>
          <t>Christopher Lloyd</t>
        </is>
      </c>
      <c r="R39" t="inlineStr">
        <is>
          <t>Mary Steenburgen</t>
        </is>
      </c>
      <c r="S39" t="inlineStr">
        <is>
          <t>Thomas F. Wilson</t>
        </is>
      </c>
      <c r="T39" t="inlineStr">
        <is>
          <t>Lea Thompson</t>
        </is>
      </c>
      <c r="U39" s="71" t="n">
        <v>0</v>
      </c>
      <c r="V39" s="71" t="n">
        <v>0</v>
      </c>
      <c r="X39" s="82">
        <f>IFERROR(INDEX(Ratings!$E$5:$E$500,MATCH(A39,Ratings!$A$5:$A$500,0)),"")</f>
        <v/>
      </c>
      <c r="Y39" s="71">
        <f>IFERROR(INDEX(Ratings!$G$5:$G$500,MATCH(A39,Ratings!$A$5:$A$500,0)),"")</f>
        <v/>
      </c>
      <c r="Z39" s="83">
        <f>IFERROR(INDEX(Ratings!$I$5:$I$500,MATCH(A39,Ratings!$A$5:$A$500,0)),"")</f>
        <v/>
      </c>
    </row>
    <row r="40" ht="15.75" customHeight="1" s="95">
      <c r="A40" t="inlineStr">
        <is>
          <t>F0036</t>
        </is>
      </c>
      <c r="B40" t="inlineStr">
        <is>
          <t>Bad Boys</t>
        </is>
      </c>
      <c r="C40" s="63" t="inlineStr">
        <is>
          <t>1995</t>
        </is>
      </c>
      <c r="D40" t="inlineStr">
        <is>
          <t>Blu-ray</t>
        </is>
      </c>
      <c r="E40" t="inlineStr">
        <is>
          <t>Bad Boys</t>
        </is>
      </c>
      <c r="F40" s="64" t="inlineStr">
        <is>
          <t>Bad Boys I &amp; II (Box Set)</t>
        </is>
      </c>
      <c r="I40" s="64" t="inlineStr">
        <is>
          <t>Owned via Bad Boys I &amp; II (Box Set).</t>
        </is>
      </c>
      <c r="J40" s="64" t="inlineStr">
        <is>
          <t>Michael Bay</t>
        </is>
      </c>
      <c r="K40" s="64" t="n">
        <v>119</v>
      </c>
      <c r="L40" s="64" t="inlineStr">
        <is>
          <t>Action, Comedy, Crime, Thriller</t>
        </is>
      </c>
      <c r="M40" s="64" t="inlineStr">
        <is>
          <t>Columbia Pictures, Don Simpson/Jerry Bruckheimer Films</t>
        </is>
      </c>
      <c r="N40" s="64" t="inlineStr">
        <is>
          <t>https://huggingface.co/datasets/HenryWaltson/TMDB-IMDB-Movies-Dataset</t>
        </is>
      </c>
      <c r="O40" s="64" t="inlineStr">
        <is>
          <t>https://huggingface.co/datasets/HenryWaltson/TMDB-IMDB-Movies-Dataset</t>
        </is>
      </c>
      <c r="P40" t="inlineStr">
        <is>
          <t>Will Smith</t>
        </is>
      </c>
      <c r="Q40" t="inlineStr">
        <is>
          <t>Martin Lawrence</t>
        </is>
      </c>
      <c r="R40" t="inlineStr">
        <is>
          <t>Téa Leoni</t>
        </is>
      </c>
      <c r="S40" t="inlineStr">
        <is>
          <t>Tchéky Karyo</t>
        </is>
      </c>
      <c r="T40" t="inlineStr">
        <is>
          <t>Joe Pantoliano</t>
        </is>
      </c>
      <c r="U40" s="71" t="n">
        <v>0</v>
      </c>
      <c r="V40" s="71" t="n">
        <v>0</v>
      </c>
      <c r="X40" s="82">
        <f>IFERROR(INDEX(Ratings!$E$5:$E$500,MATCH(A40,Ratings!$A$5:$A$500,0)),"")</f>
        <v/>
      </c>
      <c r="Y40" s="71">
        <f>IFERROR(INDEX(Ratings!$G$5:$G$500,MATCH(A40,Ratings!$A$5:$A$500,0)),"")</f>
        <v/>
      </c>
      <c r="Z40" s="83">
        <f>IFERROR(INDEX(Ratings!$I$5:$I$500,MATCH(A40,Ratings!$A$5:$A$500,0)),"")</f>
        <v/>
      </c>
    </row>
    <row r="41" ht="15.75" customHeight="1" s="95">
      <c r="A41" t="inlineStr">
        <is>
          <t>F0037</t>
        </is>
      </c>
      <c r="B41" t="inlineStr">
        <is>
          <t>Bad Boys II</t>
        </is>
      </c>
      <c r="C41" s="63" t="inlineStr">
        <is>
          <t>2003</t>
        </is>
      </c>
      <c r="D41" t="inlineStr">
        <is>
          <t>Blu-ray</t>
        </is>
      </c>
      <c r="E41" t="inlineStr">
        <is>
          <t>Bad Boys</t>
        </is>
      </c>
      <c r="F41" s="64" t="inlineStr">
        <is>
          <t>Bad Boys I &amp; II (Box Set)</t>
        </is>
      </c>
      <c r="I41" s="64" t="inlineStr">
        <is>
          <t>Owned via Bad Boys I &amp; II (Box Set).</t>
        </is>
      </c>
      <c r="J41" s="64" t="inlineStr">
        <is>
          <t>Michael Bay</t>
        </is>
      </c>
      <c r="K41" s="64" t="n">
        <v>147</v>
      </c>
      <c r="L41" s="64" t="inlineStr">
        <is>
          <t>Action, Comedy, Crime, Thriller</t>
        </is>
      </c>
      <c r="M41" s="64" t="inlineStr">
        <is>
          <t>Columbia Pictures, Don Simpson/Jerry Bruckheimer Films</t>
        </is>
      </c>
      <c r="N41" s="64" t="inlineStr">
        <is>
          <t>https://huggingface.co/datasets/HenryWaltson/TMDB-IMDB-Movies-Dataset</t>
        </is>
      </c>
      <c r="O41" s="64" t="inlineStr">
        <is>
          <t>https://huggingface.co/datasets/HenryWaltson/TMDB-IMDB-Movies-Dataset</t>
        </is>
      </c>
      <c r="P41" t="inlineStr">
        <is>
          <t>Martin Lawrence</t>
        </is>
      </c>
      <c r="Q41" t="inlineStr">
        <is>
          <t>Will Smith</t>
        </is>
      </c>
      <c r="R41" t="inlineStr">
        <is>
          <t>Jordi Mollà</t>
        </is>
      </c>
      <c r="S41" t="inlineStr">
        <is>
          <t>Gabrielle Union</t>
        </is>
      </c>
      <c r="T41" t="inlineStr">
        <is>
          <t>Peter Stormare</t>
        </is>
      </c>
      <c r="U41" s="71" t="n">
        <v>0</v>
      </c>
      <c r="V41" s="71" t="n">
        <v>0</v>
      </c>
      <c r="X41" s="82">
        <f>IFERROR(INDEX(Ratings!$E$5:$E$500,MATCH(A41,Ratings!$A$5:$A$500,0)),"")</f>
        <v/>
      </c>
      <c r="Y41" s="71">
        <f>IFERROR(INDEX(Ratings!$G$5:$G$500,MATCH(A41,Ratings!$A$5:$A$500,0)),"")</f>
        <v/>
      </c>
      <c r="Z41" s="83">
        <f>IFERROR(INDEX(Ratings!$I$5:$I$500,MATCH(A41,Ratings!$A$5:$A$500,0)),"")</f>
        <v/>
      </c>
    </row>
    <row r="42" ht="15.75" customHeight="1" s="95">
      <c r="A42" t="inlineStr">
        <is>
          <t>F0038</t>
        </is>
      </c>
      <c r="B42" t="inlineStr">
        <is>
          <t>Bad Moms</t>
        </is>
      </c>
      <c r="C42" s="63" t="inlineStr">
        <is>
          <t>2016</t>
        </is>
      </c>
      <c r="D42" t="inlineStr">
        <is>
          <t>Blu-ray</t>
        </is>
      </c>
      <c r="F42" s="64" t="n"/>
      <c r="I42" s="64" t="n"/>
      <c r="J42" s="64" t="inlineStr">
        <is>
          <t>Jon Lucas, Scott Moore</t>
        </is>
      </c>
      <c r="K42" s="64" t="n">
        <v>100</v>
      </c>
      <c r="L42" s="64" t="inlineStr">
        <is>
          <t>Comedy</t>
        </is>
      </c>
      <c r="M42" s="64" t="inlineStr">
        <is>
          <t>STX Films, BillBlock Media, Robert Simonds Productions</t>
        </is>
      </c>
      <c r="N42" s="64" t="inlineStr">
        <is>
          <t>https://huggingface.co/datasets/HenryWaltson/TMDB-IMDB-Movies-Dataset</t>
        </is>
      </c>
      <c r="O42" s="64" t="inlineStr">
        <is>
          <t>https://huggingface.co/datasets/HenryWaltson/TMDB-IMDB-Movies-Dataset</t>
        </is>
      </c>
      <c r="P42" t="inlineStr">
        <is>
          <t>Mila Kunis</t>
        </is>
      </c>
      <c r="Q42" t="inlineStr">
        <is>
          <t>Kristen Bell</t>
        </is>
      </c>
      <c r="R42" t="inlineStr">
        <is>
          <t>Kathryn Hahn</t>
        </is>
      </c>
      <c r="S42" t="inlineStr">
        <is>
          <t>Christina Applegate</t>
        </is>
      </c>
      <c r="T42" t="inlineStr">
        <is>
          <t>Jada Pinkett Smith</t>
        </is>
      </c>
      <c r="U42" s="71" t="n">
        <v>0</v>
      </c>
      <c r="V42" s="71" t="n">
        <v>0</v>
      </c>
      <c r="X42" s="82">
        <f>IFERROR(INDEX(Ratings!$E$5:$E$500,MATCH(A42,Ratings!$A$5:$A$500,0)),"")</f>
        <v/>
      </c>
      <c r="Y42" s="71">
        <f>IFERROR(INDEX(Ratings!$G$5:$G$500,MATCH(A42,Ratings!$A$5:$A$500,0)),"")</f>
        <v/>
      </c>
      <c r="Z42" s="83">
        <f>IFERROR(INDEX(Ratings!$I$5:$I$500,MATCH(A42,Ratings!$A$5:$A$500,0)),"")</f>
        <v/>
      </c>
    </row>
    <row r="43" ht="15.75" customHeight="1" s="95">
      <c r="A43" t="inlineStr">
        <is>
          <t>F0039</t>
        </is>
      </c>
      <c r="B43" t="inlineStr">
        <is>
          <t>Bad Teacher</t>
        </is>
      </c>
      <c r="C43" s="63" t="inlineStr">
        <is>
          <t>2011</t>
        </is>
      </c>
      <c r="D43" t="inlineStr">
        <is>
          <t>Blu-ray</t>
        </is>
      </c>
      <c r="F43" s="64" t="n"/>
      <c r="I43" s="64" t="n"/>
      <c r="J43" s="64" t="inlineStr">
        <is>
          <t>Jake Kasdan</t>
        </is>
      </c>
      <c r="K43" s="64" t="n">
        <v>92</v>
      </c>
      <c r="L43" s="64" t="inlineStr">
        <is>
          <t>Comedy</t>
        </is>
      </c>
      <c r="M43" s="64" t="inlineStr">
        <is>
          <t>Columbia Pictures, Mosaic Media Group</t>
        </is>
      </c>
      <c r="N43" s="64" t="inlineStr">
        <is>
          <t>https://huggingface.co/datasets/HenryWaltson/TMDB-IMDB-Movies-Dataset</t>
        </is>
      </c>
      <c r="O43" s="64" t="inlineStr">
        <is>
          <t>https://huggingface.co/datasets/HenryWaltson/TMDB-IMDB-Movies-Dataset</t>
        </is>
      </c>
      <c r="P43" t="inlineStr">
        <is>
          <t>Cameron Diaz</t>
        </is>
      </c>
      <c r="Q43" t="inlineStr">
        <is>
          <t>Jason Segel</t>
        </is>
      </c>
      <c r="R43" t="inlineStr">
        <is>
          <t>Justin Timberlake</t>
        </is>
      </c>
      <c r="S43" t="inlineStr">
        <is>
          <t>Lucy Punch</t>
        </is>
      </c>
      <c r="T43" t="inlineStr">
        <is>
          <t>John Michael Higgins</t>
        </is>
      </c>
      <c r="U43" s="71" t="n">
        <v>0</v>
      </c>
      <c r="V43" s="71" t="n">
        <v>0</v>
      </c>
      <c r="X43" s="82">
        <f>IFERROR(INDEX(Ratings!$E$5:$E$500,MATCH(A43,Ratings!$A$5:$A$500,0)),"")</f>
        <v/>
      </c>
      <c r="Y43" s="71">
        <f>IFERROR(INDEX(Ratings!$G$5:$G$500,MATCH(A43,Ratings!$A$5:$A$500,0)),"")</f>
        <v/>
      </c>
      <c r="Z43" s="83">
        <f>IFERROR(INDEX(Ratings!$I$5:$I$500,MATCH(A43,Ratings!$A$5:$A$500,0)),"")</f>
        <v/>
      </c>
    </row>
    <row r="44" ht="15.75" customHeight="1" s="95">
      <c r="A44" t="inlineStr">
        <is>
          <t>F0040</t>
        </is>
      </c>
      <c r="B44" t="inlineStr">
        <is>
          <t>The Bank Job</t>
        </is>
      </c>
      <c r="C44" s="63" t="inlineStr">
        <is>
          <t>2008</t>
        </is>
      </c>
      <c r="D44" t="inlineStr">
        <is>
          <t>Blu-ray</t>
        </is>
      </c>
      <c r="F44" s="64" t="n"/>
      <c r="I44" s="64" t="n"/>
      <c r="J44" s="64" t="inlineStr">
        <is>
          <t>Roger Donaldson</t>
        </is>
      </c>
      <c r="K44" s="64" t="n">
        <v>112</v>
      </c>
      <c r="L44" s="64" t="inlineStr">
        <is>
          <t>Thriller, Crime, Drama</t>
        </is>
      </c>
      <c r="M44" s="64" t="inlineStr">
        <is>
          <t>Omnilab Media, Mosaic Media Group, Relativity Media</t>
        </is>
      </c>
      <c r="N44" s="64" t="inlineStr">
        <is>
          <t>https://huggingface.co/datasets/HenryWaltson/TMDB-IMDB-Movies-Dataset</t>
        </is>
      </c>
      <c r="O44" s="64" t="inlineStr">
        <is>
          <t>https://huggingface.co/datasets/HenryWaltson/TMDB-IMDB-Movies-Dataset</t>
        </is>
      </c>
      <c r="P44" t="inlineStr">
        <is>
          <t>Jason Statham</t>
        </is>
      </c>
      <c r="Q44" t="inlineStr">
        <is>
          <t>Saffron Burrows</t>
        </is>
      </c>
      <c r="R44" t="inlineStr">
        <is>
          <t>Stephen Campbell Moore</t>
        </is>
      </c>
      <c r="S44" t="inlineStr">
        <is>
          <t>Daniel Mays</t>
        </is>
      </c>
      <c r="T44" t="inlineStr">
        <is>
          <t>James Faulkner</t>
        </is>
      </c>
      <c r="U44" s="71" t="n">
        <v>0</v>
      </c>
      <c r="V44" s="71" t="n">
        <v>0</v>
      </c>
      <c r="X44" s="82">
        <f>IFERROR(INDEX(Ratings!$E$5:$E$500,MATCH(A44,Ratings!$A$5:$A$500,0)),"")</f>
        <v/>
      </c>
      <c r="Y44" s="71">
        <f>IFERROR(INDEX(Ratings!$G$5:$G$500,MATCH(A44,Ratings!$A$5:$A$500,0)),"")</f>
        <v/>
      </c>
      <c r="Z44" s="83">
        <f>IFERROR(INDEX(Ratings!$I$5:$I$500,MATCH(A44,Ratings!$A$5:$A$500,0)),"")</f>
        <v/>
      </c>
    </row>
    <row r="45" ht="15.75" customHeight="1" s="95">
      <c r="A45" t="inlineStr">
        <is>
          <t>F0041</t>
        </is>
      </c>
      <c r="B45" t="inlineStr">
        <is>
          <t>Barbie</t>
        </is>
      </c>
      <c r="C45" s="63" t="inlineStr">
        <is>
          <t>2023</t>
        </is>
      </c>
      <c r="D45" t="inlineStr">
        <is>
          <t>Blu-ray</t>
        </is>
      </c>
      <c r="F45" s="64" t="n"/>
      <c r="I45" s="64" t="n"/>
      <c r="J45" s="64" t="inlineStr">
        <is>
          <t>Greta Gerwig</t>
        </is>
      </c>
      <c r="K45" s="64" t="n">
        <v>114</v>
      </c>
      <c r="L45" s="64" t="inlineStr">
        <is>
          <t>Comedy, Adventure, Fantasy</t>
        </is>
      </c>
      <c r="M45" s="64" t="inlineStr">
        <is>
          <t>LuckyChap Entertainment, Heyday Films, NB/GG Pictures</t>
        </is>
      </c>
      <c r="N45" s="64" t="inlineStr">
        <is>
          <t>https://huggingface.co/datasets/HenryWaltson/TMDB-IMDB-Movies-Dataset</t>
        </is>
      </c>
      <c r="O45" s="64" t="inlineStr">
        <is>
          <t>https://huggingface.co/datasets/HenryWaltson/TMDB-IMDB-Movies-Dataset</t>
        </is>
      </c>
      <c r="P45" t="inlineStr">
        <is>
          <t>Margot Robbie</t>
        </is>
      </c>
      <c r="Q45" t="inlineStr">
        <is>
          <t>Ryan Gosling</t>
        </is>
      </c>
      <c r="R45" t="inlineStr">
        <is>
          <t>America Ferrera</t>
        </is>
      </c>
      <c r="S45" t="inlineStr">
        <is>
          <t>Ariana Greenblatt</t>
        </is>
      </c>
      <c r="T45" t="inlineStr">
        <is>
          <t>Issa Rae</t>
        </is>
      </c>
      <c r="U45" s="71" t="n">
        <v>8</v>
      </c>
      <c r="V45" s="71" t="n">
        <v>1</v>
      </c>
      <c r="W45" t="inlineStr">
        <is>
          <t>Nominated</t>
        </is>
      </c>
      <c r="X45" s="82">
        <f>IFERROR(INDEX(Ratings!$E$5:$E$500,MATCH(A45,Ratings!$A$5:$A$500,0)),"")</f>
        <v/>
      </c>
      <c r="Y45" s="71">
        <f>IFERROR(INDEX(Ratings!$G$5:$G$500,MATCH(A45,Ratings!$A$5:$A$500,0)),"")</f>
        <v/>
      </c>
      <c r="Z45" s="83">
        <f>IFERROR(INDEX(Ratings!$I$5:$I$500,MATCH(A45,Ratings!$A$5:$A$500,0)),"")</f>
        <v/>
      </c>
    </row>
    <row r="46" ht="15.75" customHeight="1" s="95">
      <c r="A46" t="inlineStr">
        <is>
          <t>F0042</t>
        </is>
      </c>
      <c r="B46" t="inlineStr">
        <is>
          <t>The Batman</t>
        </is>
      </c>
      <c r="C46" s="63" t="inlineStr">
        <is>
          <t>2022</t>
        </is>
      </c>
      <c r="D46" t="inlineStr">
        <is>
          <t>4K UHD</t>
        </is>
      </c>
      <c r="E46" t="inlineStr">
        <is>
          <t>The Batman</t>
        </is>
      </c>
      <c r="F46" s="64" t="n"/>
      <c r="I46" s="64" t="n"/>
      <c r="J46" s="64" t="inlineStr">
        <is>
          <t>Matt Reeves</t>
        </is>
      </c>
      <c r="K46" s="64" t="n">
        <v>177</v>
      </c>
      <c r="L46" s="64" t="inlineStr">
        <is>
          <t>Crime, Mystery, Thriller</t>
        </is>
      </c>
      <c r="M46" s="64" t="inlineStr">
        <is>
          <t>6th &amp; Idaho, Dylan Clark Productions, DC Films</t>
        </is>
      </c>
      <c r="N46" s="64" t="inlineStr">
        <is>
          <t>https://huggingface.co/datasets/HenryWaltson/TMDB-IMDB-Movies-Dataset</t>
        </is>
      </c>
      <c r="O46" s="64" t="inlineStr">
        <is>
          <t>https://huggingface.co/datasets/HenryWaltson/TMDB-IMDB-Movies-Dataset</t>
        </is>
      </c>
      <c r="P46" t="inlineStr">
        <is>
          <t>Robert Pattinson</t>
        </is>
      </c>
      <c r="Q46" t="inlineStr">
        <is>
          <t>Zoë Kravitz</t>
        </is>
      </c>
      <c r="R46" t="inlineStr">
        <is>
          <t>Jeffrey Wright</t>
        </is>
      </c>
      <c r="S46" t="inlineStr">
        <is>
          <t>Colin Farrell</t>
        </is>
      </c>
      <c r="T46" t="inlineStr">
        <is>
          <t>Paul Dano</t>
        </is>
      </c>
      <c r="U46" s="71" t="n">
        <v>3</v>
      </c>
      <c r="V46" s="71" t="n">
        <v>0</v>
      </c>
      <c r="X46" s="82">
        <f>IFERROR(INDEX(Ratings!$E$5:$E$500,MATCH(A46,Ratings!$A$5:$A$500,0)),"")</f>
        <v/>
      </c>
      <c r="Y46" s="71">
        <f>IFERROR(INDEX(Ratings!$G$5:$G$500,MATCH(A46,Ratings!$A$5:$A$500,0)),"")</f>
        <v/>
      </c>
      <c r="Z46" s="83">
        <f>IFERROR(INDEX(Ratings!$I$5:$I$500,MATCH(A46,Ratings!$A$5:$A$500,0)),"")</f>
        <v/>
      </c>
    </row>
    <row r="47" ht="15.75" customHeight="1" s="95">
      <c r="A47" t="inlineStr">
        <is>
          <t>F0043</t>
        </is>
      </c>
      <c r="B47" t="inlineStr">
        <is>
          <t>Batman Begins</t>
        </is>
      </c>
      <c r="C47" s="63" t="inlineStr">
        <is>
          <t>2005</t>
        </is>
      </c>
      <c r="D47" t="inlineStr">
        <is>
          <t>Blu-ray</t>
        </is>
      </c>
      <c r="E47" t="inlineStr">
        <is>
          <t>The Dark Knight Trilogy</t>
        </is>
      </c>
      <c r="F47" s="64" t="n"/>
      <c r="I47" s="64" t="n"/>
      <c r="J47" s="64" t="inlineStr">
        <is>
          <t>Christopher Nolan</t>
        </is>
      </c>
      <c r="K47" s="64" t="n">
        <v>140</v>
      </c>
      <c r="L47" s="64" t="inlineStr">
        <is>
          <t>Action, Crime, Drama</t>
        </is>
      </c>
      <c r="M47" s="64" t="inlineStr">
        <is>
          <t>Warner Bros. Pictures, DC Comics, Syncopy</t>
        </is>
      </c>
      <c r="N47" s="64" t="inlineStr">
        <is>
          <t>https://huggingface.co/datasets/HenryWaltson/TMDB-IMDB-Movies-Dataset</t>
        </is>
      </c>
      <c r="O47" s="64" t="inlineStr">
        <is>
          <t>https://huggingface.co/datasets/HenryWaltson/TMDB-IMDB-Movies-Dataset</t>
        </is>
      </c>
      <c r="P47" t="inlineStr">
        <is>
          <t>Christian Bale</t>
        </is>
      </c>
      <c r="Q47" t="inlineStr">
        <is>
          <t>Michael Caine</t>
        </is>
      </c>
      <c r="R47" t="inlineStr">
        <is>
          <t>Liam Neeson</t>
        </is>
      </c>
      <c r="S47" t="inlineStr">
        <is>
          <t>Katie Holmes</t>
        </is>
      </c>
      <c r="T47" t="inlineStr">
        <is>
          <t>Gary Oldman</t>
        </is>
      </c>
      <c r="U47" s="71" t="n">
        <v>1</v>
      </c>
      <c r="V47" s="71" t="n">
        <v>0</v>
      </c>
      <c r="X47" s="82">
        <f>IFERROR(INDEX(Ratings!$E$5:$E$500,MATCH(A47,Ratings!$A$5:$A$500,0)),"")</f>
        <v/>
      </c>
      <c r="Y47" s="71">
        <f>IFERROR(INDEX(Ratings!$G$5:$G$500,MATCH(A47,Ratings!$A$5:$A$500,0)),"")</f>
        <v/>
      </c>
      <c r="Z47" s="83">
        <f>IFERROR(INDEX(Ratings!$I$5:$I$500,MATCH(A47,Ratings!$A$5:$A$500,0)),"")</f>
        <v/>
      </c>
    </row>
    <row r="48" ht="15.75" customHeight="1" s="95">
      <c r="A48" t="inlineStr">
        <is>
          <t>F0044</t>
        </is>
      </c>
      <c r="B48" t="inlineStr">
        <is>
          <t>The Dark Knight</t>
        </is>
      </c>
      <c r="C48" s="63" t="inlineStr">
        <is>
          <t>2008</t>
        </is>
      </c>
      <c r="D48" t="inlineStr">
        <is>
          <t>Blu-ray</t>
        </is>
      </c>
      <c r="E48" t="inlineStr">
        <is>
          <t>The Dark Knight Trilogy</t>
        </is>
      </c>
      <c r="F48" s="64" t="n"/>
      <c r="I48" s="64" t="n"/>
      <c r="J48" s="64" t="inlineStr">
        <is>
          <t>Christopher Nolan</t>
        </is>
      </c>
      <c r="K48" s="64" t="n">
        <v>152</v>
      </c>
      <c r="L48" s="64" t="inlineStr">
        <is>
          <t>Drama, Action, Crime, Thriller</t>
        </is>
      </c>
      <c r="M48" s="64" t="inlineStr">
        <is>
          <t>DC Comics, Legendary Pictures, Syncopy</t>
        </is>
      </c>
      <c r="N48" s="64" t="inlineStr">
        <is>
          <t>https://huggingface.co/datasets/HenryWaltson/TMDB-IMDB-Movies-Dataset</t>
        </is>
      </c>
      <c r="O48" s="64" t="inlineStr">
        <is>
          <t>https://huggingface.co/datasets/HenryWaltson/TMDB-IMDB-Movies-Dataset</t>
        </is>
      </c>
      <c r="P48" t="inlineStr">
        <is>
          <t>Christian Bale</t>
        </is>
      </c>
      <c r="Q48" t="inlineStr">
        <is>
          <t>Heath Ledger</t>
        </is>
      </c>
      <c r="R48" t="inlineStr">
        <is>
          <t>Aaron Eckhart</t>
        </is>
      </c>
      <c r="S48" t="inlineStr">
        <is>
          <t>Michael Caine</t>
        </is>
      </c>
      <c r="T48" t="inlineStr">
        <is>
          <t>Maggie Gyllenhaal</t>
        </is>
      </c>
      <c r="U48" s="71" t="n">
        <v>8</v>
      </c>
      <c r="V48" s="71" t="n">
        <v>2</v>
      </c>
      <c r="X48" s="82">
        <f>IFERROR(INDEX(Ratings!$E$5:$E$500,MATCH(A48,Ratings!$A$5:$A$500,0)),"")</f>
        <v/>
      </c>
      <c r="Y48" s="71">
        <f>IFERROR(INDEX(Ratings!$G$5:$G$500,MATCH(A48,Ratings!$A$5:$A$500,0)),"")</f>
        <v/>
      </c>
      <c r="Z48" s="83">
        <f>IFERROR(INDEX(Ratings!$I$5:$I$500,MATCH(A48,Ratings!$A$5:$A$500,0)),"")</f>
        <v/>
      </c>
    </row>
    <row r="49" ht="15.75" customHeight="1" s="95">
      <c r="A49" t="inlineStr">
        <is>
          <t>F0045</t>
        </is>
      </c>
      <c r="B49" t="inlineStr">
        <is>
          <t>The Dark Knight Rises</t>
        </is>
      </c>
      <c r="C49" s="63" t="inlineStr">
        <is>
          <t>2012</t>
        </is>
      </c>
      <c r="D49" t="inlineStr">
        <is>
          <t>Blu-ray</t>
        </is>
      </c>
      <c r="E49" t="inlineStr">
        <is>
          <t>The Dark Knight Trilogy</t>
        </is>
      </c>
      <c r="F49" s="64" t="n"/>
      <c r="I49" s="64" t="n"/>
      <c r="J49" s="64" t="inlineStr">
        <is>
          <t>Christopher Nolan</t>
        </is>
      </c>
      <c r="K49" s="64" t="n">
        <v>165</v>
      </c>
      <c r="L49" s="64" t="inlineStr">
        <is>
          <t>Action, Crime, Drama, Thriller</t>
        </is>
      </c>
      <c r="M49" s="64" t="inlineStr">
        <is>
          <t>Syncopy, Legendary Pictures, DC Entertainment</t>
        </is>
      </c>
      <c r="N49" s="64" t="inlineStr">
        <is>
          <t>https://huggingface.co/datasets/HenryWaltson/TMDB-IMDB-Movies-Dataset</t>
        </is>
      </c>
      <c r="O49" s="64" t="inlineStr">
        <is>
          <t>https://huggingface.co/datasets/HenryWaltson/TMDB-IMDB-Movies-Dataset</t>
        </is>
      </c>
      <c r="P49" t="inlineStr">
        <is>
          <t>Christian Bale</t>
        </is>
      </c>
      <c r="Q49" t="inlineStr">
        <is>
          <t>Gary Oldman</t>
        </is>
      </c>
      <c r="R49" t="inlineStr">
        <is>
          <t>Tom Hardy</t>
        </is>
      </c>
      <c r="S49" t="inlineStr">
        <is>
          <t>Joseph Gordon-Levitt</t>
        </is>
      </c>
      <c r="T49" t="inlineStr">
        <is>
          <t>Anne Hathaway</t>
        </is>
      </c>
      <c r="U49" s="71" t="n">
        <v>0</v>
      </c>
      <c r="V49" s="71" t="n">
        <v>0</v>
      </c>
      <c r="X49" s="82">
        <f>IFERROR(INDEX(Ratings!$E$5:$E$500,MATCH(A49,Ratings!$A$5:$A$500,0)),"")</f>
        <v/>
      </c>
      <c r="Y49" s="71">
        <f>IFERROR(INDEX(Ratings!$G$5:$G$500,MATCH(A49,Ratings!$A$5:$A$500,0)),"")</f>
        <v/>
      </c>
      <c r="Z49" s="83">
        <f>IFERROR(INDEX(Ratings!$I$5:$I$500,MATCH(A49,Ratings!$A$5:$A$500,0)),"")</f>
        <v/>
      </c>
    </row>
    <row r="50" ht="15.75" customHeight="1" s="95">
      <c r="A50" t="inlineStr">
        <is>
          <t>F0046</t>
        </is>
      </c>
      <c r="B50" t="inlineStr">
        <is>
          <t>Battle: Los Angeles</t>
        </is>
      </c>
      <c r="C50" s="63" t="inlineStr">
        <is>
          <t>2011</t>
        </is>
      </c>
      <c r="D50" t="inlineStr">
        <is>
          <t>Blu-ray</t>
        </is>
      </c>
      <c r="F50" s="64" t="n"/>
      <c r="I50" s="64" t="n"/>
      <c r="J50" s="64" t="inlineStr">
        <is>
          <t>Jonathan Liebesman</t>
        </is>
      </c>
      <c r="K50" s="64" t="n">
        <v>116</v>
      </c>
      <c r="L50" s="64" t="inlineStr">
        <is>
          <t>Science Fiction, Action</t>
        </is>
      </c>
      <c r="M50" s="64" t="inlineStr">
        <is>
          <t>Columbia Pictures, Relativity Media, Original Film</t>
        </is>
      </c>
      <c r="N50" s="64" t="inlineStr">
        <is>
          <t>https://huggingface.co/datasets/HenryWaltson/TMDB-IMDB-Movies-Dataset</t>
        </is>
      </c>
      <c r="O50" s="64" t="inlineStr">
        <is>
          <t>https://huggingface.co/datasets/HenryWaltson/TMDB-IMDB-Movies-Dataset</t>
        </is>
      </c>
      <c r="P50" t="inlineStr">
        <is>
          <t>Aaron Eckhart</t>
        </is>
      </c>
      <c r="Q50" t="inlineStr">
        <is>
          <t>Ramón Rodríguez</t>
        </is>
      </c>
      <c r="R50" t="inlineStr">
        <is>
          <t>Will Rothhaar</t>
        </is>
      </c>
      <c r="S50" t="inlineStr">
        <is>
          <t>Michael Peña</t>
        </is>
      </c>
      <c r="T50" t="inlineStr">
        <is>
          <t>Bridget Moynahan</t>
        </is>
      </c>
      <c r="U50" s="71" t="n">
        <v>0</v>
      </c>
      <c r="V50" s="71" t="n">
        <v>0</v>
      </c>
      <c r="X50" s="82">
        <f>IFERROR(INDEX(Ratings!$E$5:$E$500,MATCH(A50,Ratings!$A$5:$A$500,0)),"")</f>
        <v/>
      </c>
      <c r="Y50" s="71">
        <f>IFERROR(INDEX(Ratings!$G$5:$G$500,MATCH(A50,Ratings!$A$5:$A$500,0)),"")</f>
        <v/>
      </c>
      <c r="Z50" s="83">
        <f>IFERROR(INDEX(Ratings!$I$5:$I$500,MATCH(A50,Ratings!$A$5:$A$500,0)),"")</f>
        <v/>
      </c>
    </row>
    <row r="51" ht="15.75" customHeight="1" s="95">
      <c r="A51" t="inlineStr">
        <is>
          <t>F0047</t>
        </is>
      </c>
      <c r="B51" t="inlineStr">
        <is>
          <t>The BFG</t>
        </is>
      </c>
      <c r="C51" s="63" t="inlineStr">
        <is>
          <t>2016</t>
        </is>
      </c>
      <c r="D51" t="inlineStr">
        <is>
          <t>Blu-ray</t>
        </is>
      </c>
      <c r="F51" s="64" t="n"/>
      <c r="I51" s="64" t="inlineStr">
        <is>
          <t>Best guess: 2016 Spielberg film.</t>
        </is>
      </c>
      <c r="J51" s="64" t="inlineStr">
        <is>
          <t>Steven Spielberg</t>
        </is>
      </c>
      <c r="K51" s="64" t="n">
        <v>117</v>
      </c>
      <c r="L51" s="64" t="inlineStr">
        <is>
          <t>Adventure, Family, Fantasy</t>
        </is>
      </c>
      <c r="M51" s="64" t="inlineStr">
        <is>
          <t>Walt Disney Pictures, Amblin Entertainment, Reliance Entertainment</t>
        </is>
      </c>
      <c r="N51" s="64" t="inlineStr">
        <is>
          <t>https://huggingface.co/datasets/HenryWaltson/TMDB-IMDB-Movies-Dataset</t>
        </is>
      </c>
      <c r="O51" s="64" t="inlineStr">
        <is>
          <t>https://huggingface.co/datasets/HenryWaltson/TMDB-IMDB-Movies-Dataset</t>
        </is>
      </c>
      <c r="P51" t="inlineStr">
        <is>
          <t>Mark Rylance</t>
        </is>
      </c>
      <c r="Q51" t="inlineStr">
        <is>
          <t>Ruby Barnhill</t>
        </is>
      </c>
      <c r="R51" t="inlineStr">
        <is>
          <t>Rebecca Hall</t>
        </is>
      </c>
      <c r="S51" t="inlineStr">
        <is>
          <t>Jemaine Clement</t>
        </is>
      </c>
      <c r="T51" t="inlineStr">
        <is>
          <t>Bill Hader</t>
        </is>
      </c>
      <c r="U51" s="71" t="n">
        <v>0</v>
      </c>
      <c r="V51" s="71" t="n">
        <v>0</v>
      </c>
      <c r="X51" s="82">
        <f>IFERROR(INDEX(Ratings!$E$5:$E$500,MATCH(A51,Ratings!$A$5:$A$500,0)),"")</f>
        <v/>
      </c>
      <c r="Y51" s="71">
        <f>IFERROR(INDEX(Ratings!$G$5:$G$500,MATCH(A51,Ratings!$A$5:$A$500,0)),"")</f>
        <v/>
      </c>
      <c r="Z51" s="83">
        <f>IFERROR(INDEX(Ratings!$I$5:$I$500,MATCH(A51,Ratings!$A$5:$A$500,0)),"")</f>
        <v/>
      </c>
    </row>
    <row r="52" ht="15.75" customHeight="1" s="95">
      <c r="A52" t="inlineStr">
        <is>
          <t>F0048</t>
        </is>
      </c>
      <c r="B52" t="inlineStr">
        <is>
          <t>Big Hero 6</t>
        </is>
      </c>
      <c r="C52" s="63" t="inlineStr">
        <is>
          <t>2014</t>
        </is>
      </c>
      <c r="D52" t="inlineStr">
        <is>
          <t>Blu-ray</t>
        </is>
      </c>
      <c r="F52" s="64" t="n"/>
      <c r="I52" s="64" t="n"/>
      <c r="J52" s="64" t="inlineStr">
        <is>
          <t>Don Hall, Chris Williams</t>
        </is>
      </c>
      <c r="K52" s="64" t="n">
        <v>102</v>
      </c>
      <c r="L52" s="64" t="inlineStr">
        <is>
          <t>Adventure, Family, Animation, Action, Comedy</t>
        </is>
      </c>
      <c r="M52" s="64" t="inlineStr">
        <is>
          <t>Walt Disney Pictures, Walt Disney Animation Studios</t>
        </is>
      </c>
      <c r="N52" s="64" t="inlineStr">
        <is>
          <t>https://huggingface.co/datasets/HenryWaltson/TMDB-IMDB-Movies-Dataset</t>
        </is>
      </c>
      <c r="O52" s="64" t="inlineStr">
        <is>
          <t>https://huggingface.co/datasets/HenryWaltson/TMDB-IMDB-Movies-Dataset</t>
        </is>
      </c>
      <c r="P52" t="inlineStr">
        <is>
          <t>Scott Adsit</t>
        </is>
      </c>
      <c r="Q52" t="inlineStr">
        <is>
          <t>Ryan Potter</t>
        </is>
      </c>
      <c r="R52" t="inlineStr">
        <is>
          <t>Daniel Henney</t>
        </is>
      </c>
      <c r="S52" t="inlineStr">
        <is>
          <t>T.J. Miller</t>
        </is>
      </c>
      <c r="T52" t="inlineStr">
        <is>
          <t>Jamie Chung</t>
        </is>
      </c>
      <c r="U52" s="71" t="n">
        <v>1</v>
      </c>
      <c r="V52" s="71" t="n">
        <v>1</v>
      </c>
      <c r="X52" s="82">
        <f>IFERROR(INDEX(Ratings!$E$5:$E$500,MATCH(A52,Ratings!$A$5:$A$500,0)),"")</f>
        <v/>
      </c>
      <c r="Y52" s="71">
        <f>IFERROR(INDEX(Ratings!$G$5:$G$500,MATCH(A52,Ratings!$A$5:$A$500,0)),"")</f>
        <v/>
      </c>
      <c r="Z52" s="83">
        <f>IFERROR(INDEX(Ratings!$I$5:$I$500,MATCH(A52,Ratings!$A$5:$A$500,0)),"")</f>
        <v/>
      </c>
    </row>
    <row r="53" ht="15.75" customHeight="1" s="95">
      <c r="A53" t="inlineStr">
        <is>
          <t>F0049</t>
        </is>
      </c>
      <c r="B53" t="inlineStr">
        <is>
          <t>The Big Lebowski</t>
        </is>
      </c>
      <c r="C53" s="63" t="inlineStr">
        <is>
          <t>1998</t>
        </is>
      </c>
      <c r="D53" t="inlineStr">
        <is>
          <t>Blu-ray</t>
        </is>
      </c>
      <c r="F53" s="64" t="n"/>
      <c r="I53" s="64" t="n"/>
      <c r="J53" s="64" t="inlineStr">
        <is>
          <t>Joel Coen, Ethan Coen</t>
        </is>
      </c>
      <c r="K53" s="64" t="n">
        <v>117</v>
      </c>
      <c r="L53" s="64" t="inlineStr">
        <is>
          <t>Comedy, Crime</t>
        </is>
      </c>
      <c r="M53" s="64" t="inlineStr">
        <is>
          <t>Gramercy Pictures, PolyGram Filmed Entertainment, Working Title Films</t>
        </is>
      </c>
      <c r="N53" s="64" t="inlineStr">
        <is>
          <t>https://huggingface.co/datasets/HenryWaltson/TMDB-IMDB-Movies-Dataset</t>
        </is>
      </c>
      <c r="O53" s="64" t="inlineStr">
        <is>
          <t>https://huggingface.co/datasets/HenryWaltson/TMDB-IMDB-Movies-Dataset</t>
        </is>
      </c>
      <c r="P53" t="inlineStr">
        <is>
          <t>Jeff Bridges</t>
        </is>
      </c>
      <c r="Q53" t="inlineStr">
        <is>
          <t>John Goodman</t>
        </is>
      </c>
      <c r="R53" t="inlineStr">
        <is>
          <t>Julianne Moore</t>
        </is>
      </c>
      <c r="S53" t="inlineStr">
        <is>
          <t>Steve Buscemi</t>
        </is>
      </c>
      <c r="T53" t="inlineStr">
        <is>
          <t>David Huddleston</t>
        </is>
      </c>
      <c r="U53" s="71" t="n">
        <v>0</v>
      </c>
      <c r="V53" s="71" t="n">
        <v>0</v>
      </c>
      <c r="X53" s="82">
        <f>IFERROR(INDEX(Ratings!$E$5:$E$500,MATCH(A53,Ratings!$A$5:$A$500,0)),"")</f>
        <v/>
      </c>
      <c r="Y53" s="71">
        <f>IFERROR(INDEX(Ratings!$G$5:$G$500,MATCH(A53,Ratings!$A$5:$A$500,0)),"")</f>
        <v/>
      </c>
      <c r="Z53" s="83">
        <f>IFERROR(INDEX(Ratings!$I$5:$I$500,MATCH(A53,Ratings!$A$5:$A$500,0)),"")</f>
        <v/>
      </c>
    </row>
    <row r="54" ht="15.75" customHeight="1" s="95">
      <c r="A54" t="inlineStr">
        <is>
          <t>F0050</t>
        </is>
      </c>
      <c r="B54" t="inlineStr">
        <is>
          <t>Black Hawk Down</t>
        </is>
      </c>
      <c r="C54" s="63" t="inlineStr">
        <is>
          <t>2001</t>
        </is>
      </c>
      <c r="D54" t="inlineStr">
        <is>
          <t>Blu-ray</t>
        </is>
      </c>
      <c r="F54" s="64" t="n"/>
      <c r="I54" s="64" t="n"/>
      <c r="J54" s="64" t="inlineStr">
        <is>
          <t>Ridley Scott</t>
        </is>
      </c>
      <c r="K54" s="64" t="n">
        <v>145</v>
      </c>
      <c r="L54" s="64" t="inlineStr">
        <is>
          <t>Action, History, War</t>
        </is>
      </c>
      <c r="M54" s="64" t="inlineStr">
        <is>
          <t>Jerry Bruckheimer Films, Revolution Studios, Scott Free Productions</t>
        </is>
      </c>
      <c r="N54" s="64" t="inlineStr">
        <is>
          <t>https://huggingface.co/datasets/HenryWaltson/TMDB-IMDB-Movies-Dataset</t>
        </is>
      </c>
      <c r="O54" s="64" t="inlineStr">
        <is>
          <t>https://huggingface.co/datasets/HenryWaltson/TMDB-IMDB-Movies-Dataset</t>
        </is>
      </c>
      <c r="P54" t="inlineStr">
        <is>
          <t>Josh Hartnett</t>
        </is>
      </c>
      <c r="Q54" t="inlineStr">
        <is>
          <t>Eric Bana</t>
        </is>
      </c>
      <c r="R54" t="inlineStr">
        <is>
          <t>Ewan McGregor</t>
        </is>
      </c>
      <c r="S54" t="inlineStr">
        <is>
          <t>Tom Sizemore</t>
        </is>
      </c>
      <c r="T54" t="inlineStr">
        <is>
          <t>William Fichtner</t>
        </is>
      </c>
      <c r="U54" s="71" t="n">
        <v>4</v>
      </c>
      <c r="V54" s="71" t="n">
        <v>2</v>
      </c>
      <c r="X54" s="82">
        <f>IFERROR(INDEX(Ratings!$E$5:$E$500,MATCH(A54,Ratings!$A$5:$A$500,0)),"")</f>
        <v/>
      </c>
      <c r="Y54" s="71">
        <f>IFERROR(INDEX(Ratings!$G$5:$G$500,MATCH(A54,Ratings!$A$5:$A$500,0)),"")</f>
        <v/>
      </c>
      <c r="Z54" s="83">
        <f>IFERROR(INDEX(Ratings!$I$5:$I$500,MATCH(A54,Ratings!$A$5:$A$500,0)),"")</f>
        <v/>
      </c>
    </row>
    <row r="55" ht="15.75" customHeight="1" s="95">
      <c r="A55" t="inlineStr">
        <is>
          <t>F0051</t>
        </is>
      </c>
      <c r="B55" t="inlineStr">
        <is>
          <t>Body of Lies</t>
        </is>
      </c>
      <c r="C55" s="63" t="inlineStr">
        <is>
          <t>2008</t>
        </is>
      </c>
      <c r="D55" t="inlineStr">
        <is>
          <t>Blu-ray</t>
        </is>
      </c>
      <c r="F55" s="64" t="n"/>
      <c r="I55" s="64" t="n"/>
      <c r="J55" s="64" t="inlineStr">
        <is>
          <t>Ridley Scott</t>
        </is>
      </c>
      <c r="K55" s="64" t="n">
        <v>128</v>
      </c>
      <c r="L55" s="64" t="inlineStr">
        <is>
          <t>Action, Drama, Thriller</t>
        </is>
      </c>
      <c r="M55" s="64" t="inlineStr">
        <is>
          <t>Scott Free Productions, De Line Pictures, Warner Bros. Pictures</t>
        </is>
      </c>
      <c r="N55" s="64" t="inlineStr">
        <is>
          <t>https://huggingface.co/datasets/HenryWaltson/TMDB-IMDB-Movies-Dataset</t>
        </is>
      </c>
      <c r="O55" s="64" t="inlineStr">
        <is>
          <t>https://huggingface.co/datasets/HenryWaltson/TMDB-IMDB-Movies-Dataset</t>
        </is>
      </c>
      <c r="P55" t="inlineStr">
        <is>
          <t>Leonardo DiCaprio</t>
        </is>
      </c>
      <c r="Q55" t="inlineStr">
        <is>
          <t>Russell Crowe</t>
        </is>
      </c>
      <c r="R55" t="inlineStr">
        <is>
          <t>Mark Strong</t>
        </is>
      </c>
      <c r="S55" t="inlineStr">
        <is>
          <t>Ali Suliman</t>
        </is>
      </c>
      <c r="T55" t="inlineStr">
        <is>
          <t>Simon McBurney</t>
        </is>
      </c>
      <c r="U55" s="71" t="n">
        <v>0</v>
      </c>
      <c r="V55" s="71" t="n">
        <v>0</v>
      </c>
      <c r="X55" s="82">
        <f>IFERROR(INDEX(Ratings!$E$5:$E$500,MATCH(A55,Ratings!$A$5:$A$500,0)),"")</f>
        <v/>
      </c>
      <c r="Y55" s="71">
        <f>IFERROR(INDEX(Ratings!$G$5:$G$500,MATCH(A55,Ratings!$A$5:$A$500,0)),"")</f>
        <v/>
      </c>
      <c r="Z55" s="83">
        <f>IFERROR(INDEX(Ratings!$I$5:$I$500,MATCH(A55,Ratings!$A$5:$A$500,0)),"")</f>
        <v/>
      </c>
    </row>
    <row r="56" ht="15.75" customHeight="1" s="95">
      <c r="A56" t="inlineStr">
        <is>
          <t>F0052</t>
        </is>
      </c>
      <c r="B56" t="inlineStr">
        <is>
          <t>Bohemian Rhapsody</t>
        </is>
      </c>
      <c r="C56" s="63" t="inlineStr">
        <is>
          <t>2018</t>
        </is>
      </c>
      <c r="D56" t="inlineStr">
        <is>
          <t>Blu-ray</t>
        </is>
      </c>
      <c r="F56" s="64" t="n"/>
      <c r="I56" s="64" t="n"/>
      <c r="J56" s="64" t="inlineStr">
        <is>
          <t>Bryan Singer</t>
        </is>
      </c>
      <c r="K56" s="64" t="n">
        <v>135</v>
      </c>
      <c r="L56" s="64" t="inlineStr">
        <is>
          <t>Music, Drama</t>
        </is>
      </c>
      <c r="M56" s="64" t="inlineStr">
        <is>
          <t>20th Century Fox, New Regency Pictures, GK Films</t>
        </is>
      </c>
      <c r="N56" s="64" t="inlineStr">
        <is>
          <t>https://huggingface.co/datasets/HenryWaltson/TMDB-IMDB-Movies-Dataset</t>
        </is>
      </c>
      <c r="O56" s="64" t="inlineStr">
        <is>
          <t>https://huggingface.co/datasets/HenryWaltson/TMDB-IMDB-Movies-Dataset</t>
        </is>
      </c>
      <c r="P56" t="inlineStr">
        <is>
          <t>Rami Malek</t>
        </is>
      </c>
      <c r="Q56" t="inlineStr">
        <is>
          <t>Gwilym Lee</t>
        </is>
      </c>
      <c r="R56" t="inlineStr">
        <is>
          <t>Ben Hardy</t>
        </is>
      </c>
      <c r="S56" t="inlineStr">
        <is>
          <t>Joseph Mazzello</t>
        </is>
      </c>
      <c r="T56" t="inlineStr">
        <is>
          <t>Lucy Boynton</t>
        </is>
      </c>
      <c r="U56" s="71" t="n">
        <v>5</v>
      </c>
      <c r="V56" s="71" t="n">
        <v>4</v>
      </c>
      <c r="W56" t="inlineStr">
        <is>
          <t>Nominated</t>
        </is>
      </c>
      <c r="X56" s="82">
        <f>IFERROR(INDEX(Ratings!$E$5:$E$500,MATCH(A56,Ratings!$A$5:$A$500,0)),"")</f>
        <v/>
      </c>
      <c r="Y56" s="71">
        <f>IFERROR(INDEX(Ratings!$G$5:$G$500,MATCH(A56,Ratings!$A$5:$A$500,0)),"")</f>
        <v/>
      </c>
      <c r="Z56" s="83">
        <f>IFERROR(INDEX(Ratings!$I$5:$I$500,MATCH(A56,Ratings!$A$5:$A$500,0)),"")</f>
        <v/>
      </c>
    </row>
    <row r="57" ht="15.75" customHeight="1" s="95">
      <c r="A57" t="inlineStr">
        <is>
          <t>F0053</t>
        </is>
      </c>
      <c r="B57" t="inlineStr">
        <is>
          <t>The Bourne Identity</t>
        </is>
      </c>
      <c r="C57" s="63" t="inlineStr">
        <is>
          <t>2002</t>
        </is>
      </c>
      <c r="D57" t="inlineStr">
        <is>
          <t>Blu-ray</t>
        </is>
      </c>
      <c r="E57" t="inlineStr">
        <is>
          <t>Bourne</t>
        </is>
      </c>
      <c r="F57" s="64" t="n"/>
      <c r="I57" s="64" t="n"/>
      <c r="J57" s="64" t="inlineStr">
        <is>
          <t>Doug Liman</t>
        </is>
      </c>
      <c r="K57" s="64" t="n">
        <v>119</v>
      </c>
      <c r="L57" s="64" t="inlineStr">
        <is>
          <t>Action, Drama, Mystery, Thriller</t>
        </is>
      </c>
      <c r="M57" s="64" t="inlineStr">
        <is>
          <t>Universal Pictures, Hypnotic, Kalima Productions</t>
        </is>
      </c>
      <c r="N57" s="64" t="inlineStr">
        <is>
          <t>https://huggingface.co/datasets/HenryWaltson/TMDB-IMDB-Movies-Dataset</t>
        </is>
      </c>
      <c r="O57" s="64" t="inlineStr">
        <is>
          <t>https://huggingface.co/datasets/HenryWaltson/TMDB-IMDB-Movies-Dataset</t>
        </is>
      </c>
      <c r="P57" t="inlineStr">
        <is>
          <t>Matt Damon</t>
        </is>
      </c>
      <c r="Q57" t="inlineStr">
        <is>
          <t>Franka Potente</t>
        </is>
      </c>
      <c r="R57" t="inlineStr">
        <is>
          <t>Chris Cooper</t>
        </is>
      </c>
      <c r="S57" t="inlineStr">
        <is>
          <t>Clive Owen</t>
        </is>
      </c>
      <c r="T57" t="inlineStr">
        <is>
          <t>Brian Cox</t>
        </is>
      </c>
      <c r="U57" s="71" t="n">
        <v>0</v>
      </c>
      <c r="V57" s="71" t="n">
        <v>0</v>
      </c>
      <c r="X57" s="82">
        <f>IFERROR(INDEX(Ratings!$E$5:$E$500,MATCH(A57,Ratings!$A$5:$A$500,0)),"")</f>
        <v/>
      </c>
      <c r="Y57" s="71">
        <f>IFERROR(INDEX(Ratings!$G$5:$G$500,MATCH(A57,Ratings!$A$5:$A$500,0)),"")</f>
        <v/>
      </c>
      <c r="Z57" s="83">
        <f>IFERROR(INDEX(Ratings!$I$5:$I$500,MATCH(A57,Ratings!$A$5:$A$500,0)),"")</f>
        <v/>
      </c>
    </row>
    <row r="58" ht="15.75" customHeight="1" s="95">
      <c r="A58" t="inlineStr">
        <is>
          <t>F0054</t>
        </is>
      </c>
      <c r="B58" t="inlineStr">
        <is>
          <t>The Bourne Supremacy</t>
        </is>
      </c>
      <c r="C58" s="63" t="inlineStr">
        <is>
          <t>2004</t>
        </is>
      </c>
      <c r="D58" t="inlineStr">
        <is>
          <t>Blu-ray</t>
        </is>
      </c>
      <c r="E58" t="inlineStr">
        <is>
          <t>Bourne</t>
        </is>
      </c>
      <c r="F58" s="64" t="n"/>
      <c r="I58" s="64" t="n"/>
      <c r="J58" s="64" t="inlineStr">
        <is>
          <t>Paul Greengrass</t>
        </is>
      </c>
      <c r="K58" s="64" t="n">
        <v>108</v>
      </c>
      <c r="L58" s="64" t="inlineStr">
        <is>
          <t>Action, Drama, Thriller</t>
        </is>
      </c>
      <c r="M58" s="64" t="inlineStr">
        <is>
          <t>Universal Pictures, The Kennedy/Marshall Company, Hypnotic</t>
        </is>
      </c>
      <c r="N58" s="64" t="inlineStr">
        <is>
          <t>https://huggingface.co/datasets/HenryWaltson/TMDB-IMDB-Movies-Dataset</t>
        </is>
      </c>
      <c r="O58" s="64" t="inlineStr">
        <is>
          <t>https://huggingface.co/datasets/HenryWaltson/TMDB-IMDB-Movies-Dataset</t>
        </is>
      </c>
      <c r="P58" t="inlineStr">
        <is>
          <t>Matt Damon</t>
        </is>
      </c>
      <c r="Q58" t="inlineStr">
        <is>
          <t>Franka Potente</t>
        </is>
      </c>
      <c r="R58" t="inlineStr">
        <is>
          <t>Brian Cox</t>
        </is>
      </c>
      <c r="S58" t="inlineStr">
        <is>
          <t>Julia Stiles</t>
        </is>
      </c>
      <c r="T58" t="inlineStr">
        <is>
          <t>Karl Urban</t>
        </is>
      </c>
      <c r="U58" s="71" t="n">
        <v>0</v>
      </c>
      <c r="V58" s="71" t="n">
        <v>0</v>
      </c>
      <c r="X58" s="82">
        <f>IFERROR(INDEX(Ratings!$E$5:$E$500,MATCH(A58,Ratings!$A$5:$A$500,0)),"")</f>
        <v/>
      </c>
      <c r="Y58" s="71">
        <f>IFERROR(INDEX(Ratings!$G$5:$G$500,MATCH(A58,Ratings!$A$5:$A$500,0)),"")</f>
        <v/>
      </c>
      <c r="Z58" s="83">
        <f>IFERROR(INDEX(Ratings!$I$5:$I$500,MATCH(A58,Ratings!$A$5:$A$500,0)),"")</f>
        <v/>
      </c>
    </row>
    <row r="59" ht="15.75" customHeight="1" s="95">
      <c r="A59" t="inlineStr">
        <is>
          <t>F0055</t>
        </is>
      </c>
      <c r="B59" t="inlineStr">
        <is>
          <t>The Bourne Ultimatum</t>
        </is>
      </c>
      <c r="C59" s="63" t="inlineStr">
        <is>
          <t>2007</t>
        </is>
      </c>
      <c r="D59" t="inlineStr">
        <is>
          <t>Blu-ray</t>
        </is>
      </c>
      <c r="E59" t="inlineStr">
        <is>
          <t>Bourne</t>
        </is>
      </c>
      <c r="F59" s="64" t="n"/>
      <c r="I59" s="64" t="n"/>
      <c r="J59" s="64" t="inlineStr">
        <is>
          <t>Paul Greengrass</t>
        </is>
      </c>
      <c r="K59" s="64" t="n">
        <v>115</v>
      </c>
      <c r="L59" s="64" t="inlineStr">
        <is>
          <t>Action, Drama, Mystery, Thriller</t>
        </is>
      </c>
      <c r="M59" s="64" t="inlineStr">
        <is>
          <t>Universal Pictures, The Kennedy/Marshall Company, Ludlum Entertainment</t>
        </is>
      </c>
      <c r="N59" s="64" t="inlineStr">
        <is>
          <t>https://huggingface.co/datasets/HenryWaltson/TMDB-IMDB-Movies-Dataset</t>
        </is>
      </c>
      <c r="O59" s="64" t="inlineStr">
        <is>
          <t>https://huggingface.co/datasets/HenryWaltson/TMDB-IMDB-Movies-Dataset</t>
        </is>
      </c>
      <c r="P59" t="inlineStr">
        <is>
          <t>Matt Damon</t>
        </is>
      </c>
      <c r="Q59" t="inlineStr">
        <is>
          <t>Julia Stiles</t>
        </is>
      </c>
      <c r="R59" t="inlineStr">
        <is>
          <t>David Strathairn</t>
        </is>
      </c>
      <c r="S59" t="inlineStr">
        <is>
          <t>Scott Glenn</t>
        </is>
      </c>
      <c r="T59" t="inlineStr">
        <is>
          <t>Paddy Considine</t>
        </is>
      </c>
      <c r="U59" s="71" t="n">
        <v>3</v>
      </c>
      <c r="V59" s="71" t="n">
        <v>3</v>
      </c>
      <c r="X59" s="82">
        <f>IFERROR(INDEX(Ratings!$E$5:$E$500,MATCH(A59,Ratings!$A$5:$A$500,0)),"")</f>
        <v/>
      </c>
      <c r="Y59" s="71">
        <f>IFERROR(INDEX(Ratings!$G$5:$G$500,MATCH(A59,Ratings!$A$5:$A$500,0)),"")</f>
        <v/>
      </c>
      <c r="Z59" s="83">
        <f>IFERROR(INDEX(Ratings!$I$5:$I$500,MATCH(A59,Ratings!$A$5:$A$500,0)),"")</f>
        <v/>
      </c>
    </row>
    <row r="60" ht="15.75" customHeight="1" s="95">
      <c r="A60" t="inlineStr">
        <is>
          <t>F0056</t>
        </is>
      </c>
      <c r="B60" t="inlineStr">
        <is>
          <t>The Bourne Legacy</t>
        </is>
      </c>
      <c r="C60" s="63" t="inlineStr">
        <is>
          <t>2012</t>
        </is>
      </c>
      <c r="D60" t="inlineStr">
        <is>
          <t>Blu-ray</t>
        </is>
      </c>
      <c r="E60" t="inlineStr">
        <is>
          <t>Bourne</t>
        </is>
      </c>
      <c r="F60" s="64" t="n"/>
      <c r="I60" s="64" t="n"/>
      <c r="J60" s="64" t="inlineStr">
        <is>
          <t>Tony Gilroy</t>
        </is>
      </c>
      <c r="K60" s="64" t="n">
        <v>135</v>
      </c>
      <c r="L60" s="64" t="inlineStr">
        <is>
          <t>Action, Thriller</t>
        </is>
      </c>
      <c r="M60" s="64" t="inlineStr">
        <is>
          <t>Universal Pictures, Relativity Media, Captivate Entertainment</t>
        </is>
      </c>
      <c r="N60" s="64" t="inlineStr">
        <is>
          <t>https://huggingface.co/datasets/HenryWaltson/TMDB-IMDB-Movies-Dataset</t>
        </is>
      </c>
      <c r="O60" s="64" t="inlineStr">
        <is>
          <t>https://huggingface.co/datasets/HenryWaltson/TMDB-IMDB-Movies-Dataset</t>
        </is>
      </c>
      <c r="P60" t="inlineStr">
        <is>
          <t>Jeremy Renner</t>
        </is>
      </c>
      <c r="Q60" t="inlineStr">
        <is>
          <t>Rachel Weisz</t>
        </is>
      </c>
      <c r="R60" t="inlineStr">
        <is>
          <t>Edward Norton</t>
        </is>
      </c>
      <c r="S60" t="inlineStr">
        <is>
          <t>Stacy Keach</t>
        </is>
      </c>
      <c r="T60" t="inlineStr">
        <is>
          <t>Dennis Boutsikaris</t>
        </is>
      </c>
      <c r="U60" s="71" t="n">
        <v>0</v>
      </c>
      <c r="V60" s="71" t="n">
        <v>0</v>
      </c>
      <c r="X60" s="82">
        <f>IFERROR(INDEX(Ratings!$E$5:$E$500,MATCH(A60,Ratings!$A$5:$A$500,0)),"")</f>
        <v/>
      </c>
      <c r="Y60" s="71">
        <f>IFERROR(INDEX(Ratings!$G$5:$G$500,MATCH(A60,Ratings!$A$5:$A$500,0)),"")</f>
        <v/>
      </c>
      <c r="Z60" s="83">
        <f>IFERROR(INDEX(Ratings!$I$5:$I$500,MATCH(A60,Ratings!$A$5:$A$500,0)),"")</f>
        <v/>
      </c>
    </row>
    <row r="61" ht="15.75" customHeight="1" s="95">
      <c r="A61" t="inlineStr">
        <is>
          <t>F0057</t>
        </is>
      </c>
      <c r="B61" t="inlineStr">
        <is>
          <t>The Breakfast Club</t>
        </is>
      </c>
      <c r="C61" s="63" t="inlineStr">
        <is>
          <t>1985</t>
        </is>
      </c>
      <c r="D61" t="inlineStr">
        <is>
          <t>Blu-ray</t>
        </is>
      </c>
      <c r="F61" s="64" t="n"/>
      <c r="I61" s="64" t="n"/>
      <c r="J61" s="64" t="inlineStr">
        <is>
          <t>John Hughes</t>
        </is>
      </c>
      <c r="K61" s="64" t="n">
        <v>98</v>
      </c>
      <c r="L61" s="64" t="inlineStr">
        <is>
          <t>Comedy, Drama</t>
        </is>
      </c>
      <c r="M61" s="64" t="inlineStr">
        <is>
          <t>Universal Pictures, A&amp;M Films, Channel Productions</t>
        </is>
      </c>
      <c r="N61" s="64" t="inlineStr">
        <is>
          <t>https://huggingface.co/datasets/HenryWaltson/TMDB-IMDB-Movies-Dataset</t>
        </is>
      </c>
      <c r="O61" s="64" t="inlineStr">
        <is>
          <t>https://huggingface.co/datasets/HenryWaltson/TMDB-IMDB-Movies-Dataset</t>
        </is>
      </c>
      <c r="P61" t="inlineStr">
        <is>
          <t>Emilio Estevez</t>
        </is>
      </c>
      <c r="Q61" t="inlineStr">
        <is>
          <t>Judd Nelson</t>
        </is>
      </c>
      <c r="R61" t="inlineStr">
        <is>
          <t>Molly Ringwald</t>
        </is>
      </c>
      <c r="S61" t="inlineStr">
        <is>
          <t>Anthony Michael Hall</t>
        </is>
      </c>
      <c r="T61" t="inlineStr">
        <is>
          <t>Ally Sheedy</t>
        </is>
      </c>
      <c r="U61" s="71" t="n">
        <v>0</v>
      </c>
      <c r="V61" s="71" t="n">
        <v>0</v>
      </c>
      <c r="X61" s="82">
        <f>IFERROR(INDEX(Ratings!$E$5:$E$500,MATCH(A61,Ratings!$A$5:$A$500,0)),"")</f>
        <v/>
      </c>
      <c r="Y61" s="71">
        <f>IFERROR(INDEX(Ratings!$G$5:$G$500,MATCH(A61,Ratings!$A$5:$A$500,0)),"")</f>
        <v/>
      </c>
      <c r="Z61" s="83">
        <f>IFERROR(INDEX(Ratings!$I$5:$I$500,MATCH(A61,Ratings!$A$5:$A$500,0)),"")</f>
        <v/>
      </c>
    </row>
    <row r="62" ht="15.75" customHeight="1" s="95">
      <c r="A62" t="inlineStr">
        <is>
          <t>F0058</t>
        </is>
      </c>
      <c r="B62" t="inlineStr">
        <is>
          <t>Bridesmaids</t>
        </is>
      </c>
      <c r="C62" s="63" t="inlineStr">
        <is>
          <t>2011</t>
        </is>
      </c>
      <c r="D62" t="inlineStr">
        <is>
          <t>Blu-ray</t>
        </is>
      </c>
      <c r="F62" s="64" t="n"/>
      <c r="I62" s="64" t="n"/>
      <c r="J62" s="64" t="inlineStr">
        <is>
          <t>Paul Feig</t>
        </is>
      </c>
      <c r="K62" s="64" t="n">
        <v>125</v>
      </c>
      <c r="L62" s="64" t="inlineStr">
        <is>
          <t>Comedy, Romance</t>
        </is>
      </c>
      <c r="M62" s="64" t="inlineStr">
        <is>
          <t>Apatow Productions, Relativity Media</t>
        </is>
      </c>
      <c r="N62" s="64" t="inlineStr">
        <is>
          <t>https://huggingface.co/datasets/HenryWaltson/TMDB-IMDB-Movies-Dataset</t>
        </is>
      </c>
      <c r="O62" s="64" t="inlineStr">
        <is>
          <t>https://huggingface.co/datasets/HenryWaltson/TMDB-IMDB-Movies-Dataset</t>
        </is>
      </c>
      <c r="P62" t="inlineStr">
        <is>
          <t>Kristen Wiig</t>
        </is>
      </c>
      <c r="Q62" t="inlineStr">
        <is>
          <t>Maya Rudolph</t>
        </is>
      </c>
      <c r="R62" t="inlineStr">
        <is>
          <t>Rose Byrne</t>
        </is>
      </c>
      <c r="S62" t="inlineStr">
        <is>
          <t>Chris O'Dowd</t>
        </is>
      </c>
      <c r="T62" t="inlineStr">
        <is>
          <t>Wendi McLendon-Covey</t>
        </is>
      </c>
      <c r="U62" s="71" t="n">
        <v>2</v>
      </c>
      <c r="V62" s="71" t="n">
        <v>0</v>
      </c>
      <c r="X62" s="82">
        <f>IFERROR(INDEX(Ratings!$E$5:$E$500,MATCH(A62,Ratings!$A$5:$A$500,0)),"")</f>
        <v/>
      </c>
      <c r="Y62" s="71">
        <f>IFERROR(INDEX(Ratings!$G$5:$G$500,MATCH(A62,Ratings!$A$5:$A$500,0)),"")</f>
        <v/>
      </c>
      <c r="Z62" s="83">
        <f>IFERROR(INDEX(Ratings!$I$5:$I$500,MATCH(A62,Ratings!$A$5:$A$500,0)),"")</f>
        <v/>
      </c>
    </row>
    <row r="63" ht="15.75" customHeight="1" s="95">
      <c r="A63" t="inlineStr">
        <is>
          <t>F0059</t>
        </is>
      </c>
      <c r="B63" t="inlineStr">
        <is>
          <t>Brüno</t>
        </is>
      </c>
      <c r="C63" s="63" t="inlineStr">
        <is>
          <t>2009</t>
        </is>
      </c>
      <c r="D63" t="inlineStr">
        <is>
          <t>Blu-ray</t>
        </is>
      </c>
      <c r="F63" s="64" t="n"/>
      <c r="I63" s="64" t="n"/>
      <c r="J63" s="64" t="inlineStr">
        <is>
          <t>Larry Charles</t>
        </is>
      </c>
      <c r="K63" s="64" t="n">
        <v>83</v>
      </c>
      <c r="L63" s="64" t="inlineStr">
        <is>
          <t>Comedy</t>
        </is>
      </c>
      <c r="M63" s="64" t="inlineStr">
        <is>
          <t>Universal Pictures, MRC, Four by Two</t>
        </is>
      </c>
      <c r="N63" s="64" t="inlineStr">
        <is>
          <t>https://huggingface.co/datasets/HenryWaltson/TMDB-IMDB-Movies-Dataset</t>
        </is>
      </c>
      <c r="O63" s="64" t="inlineStr">
        <is>
          <t>https://huggingface.co/datasets/HenryWaltson/TMDB-IMDB-Movies-Dataset</t>
        </is>
      </c>
      <c r="P63" t="inlineStr">
        <is>
          <t>Sacha Baron Cohen</t>
        </is>
      </c>
      <c r="Q63" t="inlineStr">
        <is>
          <t>Gustaf Hammarsten</t>
        </is>
      </c>
      <c r="R63" t="inlineStr">
        <is>
          <t>Clifford Bañagale</t>
        </is>
      </c>
      <c r="S63" t="inlineStr">
        <is>
          <t>Josh Meyers</t>
        </is>
      </c>
      <c r="T63" t="inlineStr">
        <is>
          <t>Robert Huerta</t>
        </is>
      </c>
      <c r="U63" s="71" t="n">
        <v>0</v>
      </c>
      <c r="V63" s="71" t="n">
        <v>0</v>
      </c>
      <c r="X63" s="82">
        <f>IFERROR(INDEX(Ratings!$E$5:$E$500,MATCH(A63,Ratings!$A$5:$A$500,0)),"")</f>
        <v/>
      </c>
      <c r="Y63" s="71">
        <f>IFERROR(INDEX(Ratings!$G$5:$G$500,MATCH(A63,Ratings!$A$5:$A$500,0)),"")</f>
        <v/>
      </c>
      <c r="Z63" s="83">
        <f>IFERROR(INDEX(Ratings!$I$5:$I$500,MATCH(A63,Ratings!$A$5:$A$500,0)),"")</f>
        <v/>
      </c>
    </row>
    <row r="64" ht="15.75" customHeight="1" s="95">
      <c r="A64" t="inlineStr">
        <is>
          <t>F0060</t>
        </is>
      </c>
      <c r="B64" t="inlineStr">
        <is>
          <t>The Bucket List</t>
        </is>
      </c>
      <c r="C64" s="63" t="inlineStr">
        <is>
          <t>2007</t>
        </is>
      </c>
      <c r="D64" t="inlineStr">
        <is>
          <t>Blu-ray</t>
        </is>
      </c>
      <c r="F64" s="64" t="n"/>
      <c r="I64" s="64" t="n"/>
      <c r="J64" s="64" t="inlineStr">
        <is>
          <t>Rob Reiner</t>
        </is>
      </c>
      <c r="K64" s="64" t="n">
        <v>97</v>
      </c>
      <c r="L64" s="64" t="inlineStr">
        <is>
          <t>Drama, Comedy</t>
        </is>
      </c>
      <c r="M64" s="64" t="inlineStr">
        <is>
          <t>Two Ton Films, Zadan / Meron Productions, Reiner / Greisman Productions</t>
        </is>
      </c>
      <c r="N64" s="64" t="inlineStr">
        <is>
          <t>https://huggingface.co/datasets/HenryWaltson/TMDB-IMDB-Movies-Dataset</t>
        </is>
      </c>
      <c r="O64" s="64" t="inlineStr">
        <is>
          <t>https://huggingface.co/datasets/HenryWaltson/TMDB-IMDB-Movies-Dataset</t>
        </is>
      </c>
      <c r="P64" t="inlineStr">
        <is>
          <t>Jack Nicholson</t>
        </is>
      </c>
      <c r="Q64" t="inlineStr">
        <is>
          <t>Morgan Freeman</t>
        </is>
      </c>
      <c r="R64" t="inlineStr">
        <is>
          <t>Sean Hayes</t>
        </is>
      </c>
      <c r="S64" t="inlineStr">
        <is>
          <t>Beverly Todd</t>
        </is>
      </c>
      <c r="T64" t="inlineStr">
        <is>
          <t>Alfonso Freeman</t>
        </is>
      </c>
      <c r="U64" s="71" t="n">
        <v>0</v>
      </c>
      <c r="V64" s="71" t="n">
        <v>0</v>
      </c>
      <c r="X64" s="82">
        <f>IFERROR(INDEX(Ratings!$E$5:$E$500,MATCH(A64,Ratings!$A$5:$A$500,0)),"")</f>
        <v/>
      </c>
      <c r="Y64" s="71">
        <f>IFERROR(INDEX(Ratings!$G$5:$G$500,MATCH(A64,Ratings!$A$5:$A$500,0)),"")</f>
        <v/>
      </c>
      <c r="Z64" s="83">
        <f>IFERROR(INDEX(Ratings!$I$5:$I$500,MATCH(A64,Ratings!$A$5:$A$500,0)),"")</f>
        <v/>
      </c>
    </row>
    <row r="65" ht="15.75" customHeight="1" s="95">
      <c r="A65" t="inlineStr">
        <is>
          <t>F0061</t>
        </is>
      </c>
      <c r="B65" t="inlineStr">
        <is>
          <t>Bumblebee</t>
        </is>
      </c>
      <c r="C65" s="63" t="inlineStr">
        <is>
          <t>2018</t>
        </is>
      </c>
      <c r="D65" t="inlineStr">
        <is>
          <t>Blu-ray</t>
        </is>
      </c>
      <c r="E65" t="inlineStr">
        <is>
          <t>Transformers</t>
        </is>
      </c>
      <c r="F65" s="64" t="n"/>
      <c r="I65" s="64" t="n"/>
      <c r="J65" s="64" t="inlineStr">
        <is>
          <t>Travis Knight</t>
        </is>
      </c>
      <c r="K65" s="64" t="n">
        <v>113</v>
      </c>
      <c r="L65" s="64" t="inlineStr">
        <is>
          <t>Action, Adventure, Science Fiction</t>
        </is>
      </c>
      <c r="M65" s="64" t="inlineStr">
        <is>
          <t>Paramount, Allspark Pictures, Bay Films</t>
        </is>
      </c>
      <c r="N65" s="64" t="inlineStr">
        <is>
          <t>https://huggingface.co/datasets/HenryWaltson/TMDB-IMDB-Movies-Dataset</t>
        </is>
      </c>
      <c r="O65" s="64" t="inlineStr">
        <is>
          <t>https://huggingface.co/datasets/HenryWaltson/TMDB-IMDB-Movies-Dataset</t>
        </is>
      </c>
      <c r="P65" t="inlineStr">
        <is>
          <t>Hailee Steinfeld</t>
        </is>
      </c>
      <c r="Q65" t="inlineStr">
        <is>
          <t>John Cena</t>
        </is>
      </c>
      <c r="R65" t="inlineStr">
        <is>
          <t>Jorge Lendeborg Jr.</t>
        </is>
      </c>
      <c r="S65" t="inlineStr">
        <is>
          <t>John Ortiz</t>
        </is>
      </c>
      <c r="T65" t="inlineStr">
        <is>
          <t>Jason Ian Drucker</t>
        </is>
      </c>
      <c r="U65" s="71" t="n">
        <v>0</v>
      </c>
      <c r="V65" s="71" t="n">
        <v>0</v>
      </c>
      <c r="X65" s="82">
        <f>IFERROR(INDEX(Ratings!$E$5:$E$500,MATCH(A65,Ratings!$A$5:$A$500,0)),"")</f>
        <v/>
      </c>
      <c r="Y65" s="71">
        <f>IFERROR(INDEX(Ratings!$G$5:$G$500,MATCH(A65,Ratings!$A$5:$A$500,0)),"")</f>
        <v/>
      </c>
      <c r="Z65" s="83">
        <f>IFERROR(INDEX(Ratings!$I$5:$I$500,MATCH(A65,Ratings!$A$5:$A$500,0)),"")</f>
        <v/>
      </c>
    </row>
    <row r="66" ht="15.75" customHeight="1" s="95">
      <c r="A66" t="inlineStr">
        <is>
          <t>F0062</t>
        </is>
      </c>
      <c r="B66" t="inlineStr">
        <is>
          <t>Captain Phillips</t>
        </is>
      </c>
      <c r="C66" s="63" t="inlineStr">
        <is>
          <t>2013</t>
        </is>
      </c>
      <c r="D66" t="inlineStr">
        <is>
          <t>Blu-ray</t>
        </is>
      </c>
      <c r="F66" s="64" t="n"/>
      <c r="I66" s="64" t="n"/>
      <c r="J66" s="64" t="inlineStr">
        <is>
          <t>Paul Greengrass</t>
        </is>
      </c>
      <c r="K66" s="64" t="n">
        <v>134</v>
      </c>
      <c r="L66" s="64" t="inlineStr">
        <is>
          <t>Action, Drama, Thriller</t>
        </is>
      </c>
      <c r="M66" s="64" t="inlineStr">
        <is>
          <t>Columbia Pictures, Michael De Luca Productions, Scott Rudin Productions</t>
        </is>
      </c>
      <c r="N66" s="64" t="inlineStr">
        <is>
          <t>https://huggingface.co/datasets/HenryWaltson/TMDB-IMDB-Movies-Dataset</t>
        </is>
      </c>
      <c r="O66" s="64" t="inlineStr">
        <is>
          <t>https://huggingface.co/datasets/HenryWaltson/TMDB-IMDB-Movies-Dataset</t>
        </is>
      </c>
      <c r="P66" t="inlineStr">
        <is>
          <t>Tom Hanks</t>
        </is>
      </c>
      <c r="Q66" t="inlineStr">
        <is>
          <t>Barkhad Abdi</t>
        </is>
      </c>
      <c r="R66" t="inlineStr">
        <is>
          <t>Barkhad Abdirahman</t>
        </is>
      </c>
      <c r="S66" t="inlineStr">
        <is>
          <t>Faysal  Ahmed</t>
        </is>
      </c>
      <c r="T66" t="inlineStr">
        <is>
          <t>Mahat M. Ali</t>
        </is>
      </c>
      <c r="U66" s="71" t="n">
        <v>6</v>
      </c>
      <c r="V66" s="71" t="n">
        <v>0</v>
      </c>
      <c r="W66" t="inlineStr">
        <is>
          <t>Nominated</t>
        </is>
      </c>
      <c r="X66" s="82">
        <f>IFERROR(INDEX(Ratings!$E$5:$E$500,MATCH(A66,Ratings!$A$5:$A$500,0)),"")</f>
        <v/>
      </c>
      <c r="Y66" s="71">
        <f>IFERROR(INDEX(Ratings!$G$5:$G$500,MATCH(A66,Ratings!$A$5:$A$500,0)),"")</f>
        <v/>
      </c>
      <c r="Z66" s="83">
        <f>IFERROR(INDEX(Ratings!$I$5:$I$500,MATCH(A66,Ratings!$A$5:$A$500,0)),"")</f>
        <v/>
      </c>
    </row>
    <row r="67" ht="15.75" customHeight="1" s="95">
      <c r="A67" t="inlineStr">
        <is>
          <t>F0063</t>
        </is>
      </c>
      <c r="B67" t="inlineStr">
        <is>
          <t>Catch.44</t>
        </is>
      </c>
      <c r="C67" s="63" t="inlineStr">
        <is>
          <t>2011</t>
        </is>
      </c>
      <c r="D67" t="inlineStr">
        <is>
          <t>Blu-ray</t>
        </is>
      </c>
      <c r="F67" s="64" t="n"/>
      <c r="I67" s="64" t="n"/>
      <c r="J67" s="64" t="inlineStr">
        <is>
          <t>Aaron Harvey</t>
        </is>
      </c>
      <c r="K67" s="64" t="n">
        <v>93</v>
      </c>
      <c r="L67" s="64" t="inlineStr">
        <is>
          <t>Drama, Action, Thriller</t>
        </is>
      </c>
      <c r="M67" s="64" t="inlineStr">
        <is>
          <t>Sakonnet Capital Partners, EFO Films, Benaroya Pictures</t>
        </is>
      </c>
      <c r="N67" s="64" t="inlineStr">
        <is>
          <t>https://huggingface.co/datasets/HenryWaltson/TMDB-IMDB-Movies-Dataset</t>
        </is>
      </c>
      <c r="O67" s="64" t="inlineStr">
        <is>
          <t>https://huggingface.co/datasets/HenryWaltson/TMDB-IMDB-Movies-Dataset</t>
        </is>
      </c>
      <c r="P67" t="inlineStr">
        <is>
          <t>Bruce Willis</t>
        </is>
      </c>
      <c r="Q67" t="inlineStr">
        <is>
          <t>Malin Åkerman</t>
        </is>
      </c>
      <c r="R67" t="inlineStr">
        <is>
          <t>Nikki Reed</t>
        </is>
      </c>
      <c r="S67" t="inlineStr">
        <is>
          <t>Deborah Ann Woll</t>
        </is>
      </c>
      <c r="T67" t="inlineStr">
        <is>
          <t>Forest Whitaker</t>
        </is>
      </c>
      <c r="U67" s="71" t="n">
        <v>0</v>
      </c>
      <c r="V67" s="71" t="n">
        <v>0</v>
      </c>
      <c r="X67" s="82">
        <f>IFERROR(INDEX(Ratings!$E$5:$E$500,MATCH(A67,Ratings!$A$5:$A$500,0)),"")</f>
        <v/>
      </c>
      <c r="Y67" s="71">
        <f>IFERROR(INDEX(Ratings!$G$5:$G$500,MATCH(A67,Ratings!$A$5:$A$500,0)),"")</f>
        <v/>
      </c>
      <c r="Z67" s="83">
        <f>IFERROR(INDEX(Ratings!$I$5:$I$500,MATCH(A67,Ratings!$A$5:$A$500,0)),"")</f>
        <v/>
      </c>
    </row>
    <row r="68" ht="15.75" customHeight="1" s="95">
      <c r="A68" t="inlineStr">
        <is>
          <t>F0064</t>
        </is>
      </c>
      <c r="B68" t="inlineStr">
        <is>
          <t>Catch Me If You Can</t>
        </is>
      </c>
      <c r="C68" s="63" t="inlineStr">
        <is>
          <t>2002</t>
        </is>
      </c>
      <c r="D68" t="inlineStr">
        <is>
          <t>Blu-ray</t>
        </is>
      </c>
      <c r="F68" s="64" t="n"/>
      <c r="I68" s="64" t="n"/>
      <c r="J68" s="64" t="inlineStr">
        <is>
          <t>Steven Spielberg</t>
        </is>
      </c>
      <c r="K68" s="64" t="n">
        <v>141</v>
      </c>
      <c r="L68" s="64" t="inlineStr">
        <is>
          <t>Drama, Crime</t>
        </is>
      </c>
      <c r="M68" s="64" t="inlineStr">
        <is>
          <t>Parkes/MacDonald Productions, Kemp Company, Splendid Pictures</t>
        </is>
      </c>
      <c r="N68" s="64" t="inlineStr">
        <is>
          <t>https://huggingface.co/datasets/HenryWaltson/TMDB-IMDB-Movies-Dataset</t>
        </is>
      </c>
      <c r="O68" s="64" t="inlineStr">
        <is>
          <t>https://huggingface.co/datasets/HenryWaltson/TMDB-IMDB-Movies-Dataset</t>
        </is>
      </c>
      <c r="P68" t="inlineStr">
        <is>
          <t>Leonardo DiCaprio</t>
        </is>
      </c>
      <c r="Q68" t="inlineStr">
        <is>
          <t>Tom Hanks</t>
        </is>
      </c>
      <c r="R68" t="inlineStr">
        <is>
          <t>Christopher Walken</t>
        </is>
      </c>
      <c r="S68" t="inlineStr">
        <is>
          <t>Martin Sheen</t>
        </is>
      </c>
      <c r="T68" t="inlineStr">
        <is>
          <t>Nathalie Baye</t>
        </is>
      </c>
      <c r="U68" s="71" t="n">
        <v>2</v>
      </c>
      <c r="V68" s="71" t="n">
        <v>0</v>
      </c>
      <c r="X68" s="82">
        <f>IFERROR(INDEX(Ratings!$E$5:$E$500,MATCH(A68,Ratings!$A$5:$A$500,0)),"")</f>
        <v/>
      </c>
      <c r="Y68" s="71">
        <f>IFERROR(INDEX(Ratings!$G$5:$G$500,MATCH(A68,Ratings!$A$5:$A$500,0)),"")</f>
        <v/>
      </c>
      <c r="Z68" s="83">
        <f>IFERROR(INDEX(Ratings!$I$5:$I$500,MATCH(A68,Ratings!$A$5:$A$500,0)),"")</f>
        <v/>
      </c>
    </row>
    <row r="69" ht="15.75" customHeight="1" s="95">
      <c r="A69" t="inlineStr">
        <is>
          <t>F0065</t>
        </is>
      </c>
      <c r="B69" t="inlineStr">
        <is>
          <t>Chef</t>
        </is>
      </c>
      <c r="C69" s="63" t="inlineStr">
        <is>
          <t>2014</t>
        </is>
      </c>
      <c r="D69" t="inlineStr">
        <is>
          <t>Blu-ray</t>
        </is>
      </c>
      <c r="F69" s="64" t="n"/>
      <c r="I69" s="64" t="n"/>
      <c r="J69" s="64" t="inlineStr">
        <is>
          <t>Jon Favreau</t>
        </is>
      </c>
      <c r="K69" s="64" t="n">
        <v>114</v>
      </c>
      <c r="L69" s="64" t="inlineStr">
        <is>
          <t>Comedy</t>
        </is>
      </c>
      <c r="M69" s="64" t="inlineStr">
        <is>
          <t>Altus Media, Fairview Entertainment, Prescience</t>
        </is>
      </c>
      <c r="N69" s="64" t="inlineStr">
        <is>
          <t>https://huggingface.co/datasets/HenryWaltson/TMDB-IMDB-Movies-Dataset</t>
        </is>
      </c>
      <c r="O69" s="64" t="inlineStr">
        <is>
          <t>https://huggingface.co/datasets/HenryWaltson/TMDB-IMDB-Movies-Dataset</t>
        </is>
      </c>
      <c r="P69" t="inlineStr">
        <is>
          <t>Jon Favreau</t>
        </is>
      </c>
      <c r="Q69" t="inlineStr">
        <is>
          <t>John Leguizamo</t>
        </is>
      </c>
      <c r="R69" t="inlineStr">
        <is>
          <t>Bobby Cannavale</t>
        </is>
      </c>
      <c r="S69" t="inlineStr">
        <is>
          <t>Emjay Anthony</t>
        </is>
      </c>
      <c r="T69" t="inlineStr">
        <is>
          <t>Scarlett Johansson</t>
        </is>
      </c>
      <c r="U69" s="71" t="n">
        <v>0</v>
      </c>
      <c r="V69" s="71" t="n">
        <v>0</v>
      </c>
      <c r="X69" s="82">
        <f>IFERROR(INDEX(Ratings!$E$5:$E$500,MATCH(A69,Ratings!$A$5:$A$500,0)),"")</f>
        <v/>
      </c>
      <c r="Y69" s="71">
        <f>IFERROR(INDEX(Ratings!$G$5:$G$500,MATCH(A69,Ratings!$A$5:$A$500,0)),"")</f>
        <v/>
      </c>
      <c r="Z69" s="83">
        <f>IFERROR(INDEX(Ratings!$I$5:$I$500,MATCH(A69,Ratings!$A$5:$A$500,0)),"")</f>
        <v/>
      </c>
    </row>
    <row r="70" ht="15.75" customHeight="1" s="95">
      <c r="A70" t="inlineStr">
        <is>
          <t>F0066</t>
        </is>
      </c>
      <c r="B70" t="inlineStr">
        <is>
          <t>Clash of the Titans</t>
        </is>
      </c>
      <c r="C70" s="63" t="inlineStr">
        <is>
          <t>2010</t>
        </is>
      </c>
      <c r="D70" t="inlineStr">
        <is>
          <t>Blu-ray</t>
        </is>
      </c>
      <c r="F70" s="64" t="n"/>
      <c r="I70" s="64" t="inlineStr">
        <is>
          <t>Best guess: 2010 remake.</t>
        </is>
      </c>
      <c r="J70" s="64" t="inlineStr">
        <is>
          <t>Louis Leterrier</t>
        </is>
      </c>
      <c r="K70" s="64" t="n">
        <v>106</v>
      </c>
      <c r="L70" s="64" t="inlineStr">
        <is>
          <t>Adventure, Fantasy, Action</t>
        </is>
      </c>
      <c r="M70" s="64" t="inlineStr">
        <is>
          <t>The Zanuck Company, Legendary Pictures, Thunder Road</t>
        </is>
      </c>
      <c r="N70" s="64" t="inlineStr">
        <is>
          <t>https://huggingface.co/datasets/HenryWaltson/TMDB-IMDB-Movies-Dataset</t>
        </is>
      </c>
      <c r="O70" s="64" t="inlineStr">
        <is>
          <t>https://huggingface.co/datasets/HenryWaltson/TMDB-IMDB-Movies-Dataset</t>
        </is>
      </c>
      <c r="P70" t="inlineStr">
        <is>
          <t>Sam Worthington</t>
        </is>
      </c>
      <c r="Q70" t="inlineStr">
        <is>
          <t>Gemma Arterton</t>
        </is>
      </c>
      <c r="R70" t="inlineStr">
        <is>
          <t>Mads Mikkelsen</t>
        </is>
      </c>
      <c r="S70" t="inlineStr">
        <is>
          <t>Alexa Davalos</t>
        </is>
      </c>
      <c r="T70" t="inlineStr">
        <is>
          <t>Jason Flemyng</t>
        </is>
      </c>
      <c r="U70" s="71" t="n">
        <v>0</v>
      </c>
      <c r="V70" s="71" t="n">
        <v>0</v>
      </c>
      <c r="X70" s="82">
        <f>IFERROR(INDEX(Ratings!$E$5:$E$500,MATCH(A70,Ratings!$A$5:$A$500,0)),"")</f>
        <v/>
      </c>
      <c r="Y70" s="71">
        <f>IFERROR(INDEX(Ratings!$G$5:$G$500,MATCH(A70,Ratings!$A$5:$A$500,0)),"")</f>
        <v/>
      </c>
      <c r="Z70" s="83">
        <f>IFERROR(INDEX(Ratings!$I$5:$I$500,MATCH(A70,Ratings!$A$5:$A$500,0)),"")</f>
        <v/>
      </c>
    </row>
    <row r="71" ht="15.75" customHeight="1" s="95">
      <c r="A71" t="inlineStr">
        <is>
          <t>F0067</t>
        </is>
      </c>
      <c r="B71" t="inlineStr">
        <is>
          <t>Cloudy with a Chance of Meatballs 2</t>
        </is>
      </c>
      <c r="C71" s="63" t="inlineStr">
        <is>
          <t>2013</t>
        </is>
      </c>
      <c r="D71" t="inlineStr">
        <is>
          <t>Blu-ray</t>
        </is>
      </c>
      <c r="E71" t="inlineStr">
        <is>
          <t>Cloudy with a Chance of Meatballs</t>
        </is>
      </c>
      <c r="F71" s="64" t="n"/>
      <c r="I71" s="64" t="n"/>
      <c r="J71" s="64" t="inlineStr">
        <is>
          <t>Cody Cameron, Kris Pearn</t>
        </is>
      </c>
      <c r="K71" s="64" t="n">
        <v>95</v>
      </c>
      <c r="L71" s="64" t="inlineStr">
        <is>
          <t>Animation, Family, Comedy</t>
        </is>
      </c>
      <c r="M71" s="64" t="inlineStr">
        <is>
          <t>Columbia Pictures, Sony Pictures Animation</t>
        </is>
      </c>
      <c r="N71" s="64" t="inlineStr">
        <is>
          <t>https://huggingface.co/datasets/HenryWaltson/TMDB-IMDB-Movies-Dataset</t>
        </is>
      </c>
      <c r="O71" s="64" t="inlineStr">
        <is>
          <t>https://huggingface.co/datasets/HenryWaltson/TMDB-IMDB-Movies-Dataset</t>
        </is>
      </c>
      <c r="P71" t="inlineStr">
        <is>
          <t>Bill Hader</t>
        </is>
      </c>
      <c r="Q71" t="inlineStr">
        <is>
          <t>Anna Faris</t>
        </is>
      </c>
      <c r="R71" t="inlineStr">
        <is>
          <t>James Caan</t>
        </is>
      </c>
      <c r="S71" t="inlineStr">
        <is>
          <t>Will Forte</t>
        </is>
      </c>
      <c r="T71" t="inlineStr">
        <is>
          <t>Andy Samberg</t>
        </is>
      </c>
      <c r="U71" s="71" t="n">
        <v>0</v>
      </c>
      <c r="V71" s="71" t="n">
        <v>0</v>
      </c>
      <c r="X71" s="82">
        <f>IFERROR(INDEX(Ratings!$E$5:$E$500,MATCH(A71,Ratings!$A$5:$A$500,0)),"")</f>
        <v/>
      </c>
      <c r="Y71" s="71">
        <f>IFERROR(INDEX(Ratings!$G$5:$G$500,MATCH(A71,Ratings!$A$5:$A$500,0)),"")</f>
        <v/>
      </c>
      <c r="Z71" s="83">
        <f>IFERROR(INDEX(Ratings!$I$5:$I$500,MATCH(A71,Ratings!$A$5:$A$500,0)),"")</f>
        <v/>
      </c>
    </row>
    <row r="72" ht="15.75" customHeight="1" s="95">
      <c r="A72" t="inlineStr">
        <is>
          <t>F0068</t>
        </is>
      </c>
      <c r="B72" t="inlineStr">
        <is>
          <t>Con Air</t>
        </is>
      </c>
      <c r="C72" s="63" t="inlineStr">
        <is>
          <t>1997</t>
        </is>
      </c>
      <c r="D72" t="inlineStr">
        <is>
          <t>Blu-ray</t>
        </is>
      </c>
      <c r="F72" s="64" t="n"/>
      <c r="I72" s="64" t="n"/>
      <c r="J72" s="64" t="inlineStr">
        <is>
          <t>Simon West</t>
        </is>
      </c>
      <c r="K72" s="64" t="n">
        <v>116</v>
      </c>
      <c r="L72" s="64" t="inlineStr">
        <is>
          <t>Action, Thriller, Crime</t>
        </is>
      </c>
      <c r="M72" s="64" t="inlineStr">
        <is>
          <t>Touchstone Pictures, Jerry Bruckheimer Films</t>
        </is>
      </c>
      <c r="N72" s="64" t="inlineStr">
        <is>
          <t>https://huggingface.co/datasets/HenryWaltson/TMDB-IMDB-Movies-Dataset</t>
        </is>
      </c>
      <c r="O72" s="64" t="inlineStr">
        <is>
          <t>https://huggingface.co/datasets/HenryWaltson/TMDB-IMDB-Movies-Dataset</t>
        </is>
      </c>
      <c r="P72" t="inlineStr">
        <is>
          <t>Nicolas Cage</t>
        </is>
      </c>
      <c r="Q72" t="inlineStr">
        <is>
          <t>John Cusack</t>
        </is>
      </c>
      <c r="R72" t="inlineStr">
        <is>
          <t>John Malkovich</t>
        </is>
      </c>
      <c r="S72" t="inlineStr">
        <is>
          <t>Ving Rhames</t>
        </is>
      </c>
      <c r="T72" t="inlineStr">
        <is>
          <t>Mykelti Williamson</t>
        </is>
      </c>
      <c r="U72" s="71" t="n">
        <v>2</v>
      </c>
      <c r="V72" s="71" t="n">
        <v>0</v>
      </c>
      <c r="X72" s="82">
        <f>IFERROR(INDEX(Ratings!$E$5:$E$500,MATCH(A72,Ratings!$A$5:$A$500,0)),"")</f>
        <v/>
      </c>
      <c r="Y72" s="71">
        <f>IFERROR(INDEX(Ratings!$G$5:$G$500,MATCH(A72,Ratings!$A$5:$A$500,0)),"")</f>
        <v/>
      </c>
      <c r="Z72" s="83">
        <f>IFERROR(INDEX(Ratings!$I$5:$I$500,MATCH(A72,Ratings!$A$5:$A$500,0)),"")</f>
        <v/>
      </c>
    </row>
    <row r="73" ht="15.75" customHeight="1" s="95">
      <c r="A73" t="inlineStr">
        <is>
          <t>F0069</t>
        </is>
      </c>
      <c r="B73" t="inlineStr">
        <is>
          <t>Cop Out</t>
        </is>
      </c>
      <c r="C73" s="63" t="inlineStr">
        <is>
          <t>2010</t>
        </is>
      </c>
      <c r="D73" t="inlineStr">
        <is>
          <t>Blu-ray</t>
        </is>
      </c>
      <c r="F73" s="64" t="n"/>
      <c r="I73" s="64" t="n"/>
      <c r="J73" s="64" t="inlineStr">
        <is>
          <t>Kevin Smith</t>
        </is>
      </c>
      <c r="K73" s="64" t="n">
        <v>107</v>
      </c>
      <c r="L73" s="64" t="inlineStr">
        <is>
          <t>Action, Comedy, Crime</t>
        </is>
      </c>
      <c r="M73" s="64" t="inlineStr">
        <is>
          <t>Marc Platt Productions</t>
        </is>
      </c>
      <c r="N73" s="64" t="inlineStr">
        <is>
          <t>https://huggingface.co/datasets/HenryWaltson/TMDB-IMDB-Movies-Dataset</t>
        </is>
      </c>
      <c r="O73" s="64" t="inlineStr">
        <is>
          <t>https://huggingface.co/datasets/HenryWaltson/TMDB-IMDB-Movies-Dataset</t>
        </is>
      </c>
      <c r="P73" t="inlineStr">
        <is>
          <t>Bruce Willis</t>
        </is>
      </c>
      <c r="Q73" t="inlineStr">
        <is>
          <t>Tracy Morgan</t>
        </is>
      </c>
      <c r="R73" t="inlineStr">
        <is>
          <t>Seann William Scott</t>
        </is>
      </c>
      <c r="S73" t="inlineStr">
        <is>
          <t>Ana de la Reguera</t>
        </is>
      </c>
      <c r="T73" t="inlineStr">
        <is>
          <t>Adam Brody</t>
        </is>
      </c>
      <c r="U73" s="71" t="n">
        <v>0</v>
      </c>
      <c r="V73" s="71" t="n">
        <v>0</v>
      </c>
      <c r="X73" s="82">
        <f>IFERROR(INDEX(Ratings!$E$5:$E$500,MATCH(A73,Ratings!$A$5:$A$500,0)),"")</f>
        <v/>
      </c>
      <c r="Y73" s="71">
        <f>IFERROR(INDEX(Ratings!$G$5:$G$500,MATCH(A73,Ratings!$A$5:$A$500,0)),"")</f>
        <v/>
      </c>
      <c r="Z73" s="83">
        <f>IFERROR(INDEX(Ratings!$I$5:$I$500,MATCH(A73,Ratings!$A$5:$A$500,0)),"")</f>
        <v/>
      </c>
    </row>
    <row r="74" ht="15.75" customHeight="1" s="95">
      <c r="A74" t="inlineStr">
        <is>
          <t>F0070</t>
        </is>
      </c>
      <c r="B74" t="inlineStr">
        <is>
          <t>Shaun of the Dead</t>
        </is>
      </c>
      <c r="C74" s="63" t="inlineStr">
        <is>
          <t>2004</t>
        </is>
      </c>
      <c r="D74" t="inlineStr">
        <is>
          <t>Blu-ray</t>
        </is>
      </c>
      <c r="E74" t="inlineStr">
        <is>
          <t>Cornetto Trilogy</t>
        </is>
      </c>
      <c r="F74" s="64" t="inlineStr">
        <is>
          <t>Cornetto Trilogy (Box Set)</t>
        </is>
      </c>
      <c r="I74" s="64" t="inlineStr">
        <is>
          <t>Owned via Cornetto Trilogy (Box Set).</t>
        </is>
      </c>
      <c r="J74" s="64" t="inlineStr">
        <is>
          <t>Edgar Wright</t>
        </is>
      </c>
      <c r="K74" s="64" t="n">
        <v>99</v>
      </c>
      <c r="L74" s="64" t="inlineStr">
        <is>
          <t>Comedy, Horror</t>
        </is>
      </c>
      <c r="M74" s="64" t="inlineStr">
        <is>
          <t>StudioCanal, Working Title Films, Big Talk Productions</t>
        </is>
      </c>
      <c r="N74" s="64" t="inlineStr">
        <is>
          <t>https://huggingface.co/datasets/HenryWaltson/TMDB-IMDB-Movies-Dataset</t>
        </is>
      </c>
      <c r="O74" s="64" t="inlineStr">
        <is>
          <t>https://huggingface.co/datasets/HenryWaltson/TMDB-IMDB-Movies-Dataset</t>
        </is>
      </c>
      <c r="P74" t="inlineStr">
        <is>
          <t>Simon Pegg</t>
        </is>
      </c>
      <c r="Q74" t="inlineStr">
        <is>
          <t>Nick Frost</t>
        </is>
      </c>
      <c r="R74" t="inlineStr">
        <is>
          <t>Kate Ashfield</t>
        </is>
      </c>
      <c r="S74" t="inlineStr">
        <is>
          <t>Lucy Davis</t>
        </is>
      </c>
      <c r="T74" t="inlineStr">
        <is>
          <t>Dylan Moran</t>
        </is>
      </c>
      <c r="U74" s="71" t="n">
        <v>0</v>
      </c>
      <c r="V74" s="71" t="n">
        <v>0</v>
      </c>
      <c r="X74" s="82">
        <f>IFERROR(INDEX(Ratings!$E$5:$E$500,MATCH(A74,Ratings!$A$5:$A$500,0)),"")</f>
        <v/>
      </c>
      <c r="Y74" s="71">
        <f>IFERROR(INDEX(Ratings!$G$5:$G$500,MATCH(A74,Ratings!$A$5:$A$500,0)),"")</f>
        <v/>
      </c>
      <c r="Z74" s="83">
        <f>IFERROR(INDEX(Ratings!$I$5:$I$500,MATCH(A74,Ratings!$A$5:$A$500,0)),"")</f>
        <v/>
      </c>
    </row>
    <row r="75" ht="15.75" customHeight="1" s="95">
      <c r="A75" t="inlineStr">
        <is>
          <t>F0071</t>
        </is>
      </c>
      <c r="B75" t="inlineStr">
        <is>
          <t>Hot Fuzz</t>
        </is>
      </c>
      <c r="C75" s="63" t="inlineStr">
        <is>
          <t>2007</t>
        </is>
      </c>
      <c r="D75" t="inlineStr">
        <is>
          <t>Blu-ray</t>
        </is>
      </c>
      <c r="E75" t="inlineStr">
        <is>
          <t>Cornetto Trilogy</t>
        </is>
      </c>
      <c r="F75" s="64" t="inlineStr">
        <is>
          <t>Cornetto Trilogy (Box Set)</t>
        </is>
      </c>
      <c r="I75" s="64" t="inlineStr">
        <is>
          <t>Owned via Cornetto Trilogy (Box Set).</t>
        </is>
      </c>
      <c r="J75" s="64" t="inlineStr">
        <is>
          <t>Edgar Wright</t>
        </is>
      </c>
      <c r="K75" s="64" t="n">
        <v>121</v>
      </c>
      <c r="L75" s="64" t="inlineStr">
        <is>
          <t>Action, Comedy, Mystery</t>
        </is>
      </c>
      <c r="M75" s="64" t="inlineStr">
        <is>
          <t>Universal Pictures, StudioCanal, Working Title Films</t>
        </is>
      </c>
      <c r="N75" s="64" t="inlineStr">
        <is>
          <t>https://huggingface.co/datasets/HenryWaltson/TMDB-IMDB-Movies-Dataset</t>
        </is>
      </c>
      <c r="O75" s="64" t="inlineStr">
        <is>
          <t>https://huggingface.co/datasets/HenryWaltson/TMDB-IMDB-Movies-Dataset</t>
        </is>
      </c>
      <c r="P75" t="inlineStr">
        <is>
          <t>Simon Pegg</t>
        </is>
      </c>
      <c r="Q75" t="inlineStr">
        <is>
          <t>Nick Frost</t>
        </is>
      </c>
      <c r="R75" t="inlineStr">
        <is>
          <t>Jim Broadbent</t>
        </is>
      </c>
      <c r="S75" t="inlineStr">
        <is>
          <t>Paddy Considine</t>
        </is>
      </c>
      <c r="T75" t="inlineStr">
        <is>
          <t>Rafe Spall</t>
        </is>
      </c>
      <c r="U75" s="71" t="n">
        <v>0</v>
      </c>
      <c r="V75" s="71" t="n">
        <v>0</v>
      </c>
      <c r="X75" s="82">
        <f>IFERROR(INDEX(Ratings!$E$5:$E$500,MATCH(A75,Ratings!$A$5:$A$500,0)),"")</f>
        <v/>
      </c>
      <c r="Y75" s="71">
        <f>IFERROR(INDEX(Ratings!$G$5:$G$500,MATCH(A75,Ratings!$A$5:$A$500,0)),"")</f>
        <v/>
      </c>
      <c r="Z75" s="83">
        <f>IFERROR(INDEX(Ratings!$I$5:$I$500,MATCH(A75,Ratings!$A$5:$A$500,0)),"")</f>
        <v/>
      </c>
    </row>
    <row r="76" ht="15.75" customHeight="1" s="95">
      <c r="A76" t="inlineStr">
        <is>
          <t>F0072</t>
        </is>
      </c>
      <c r="B76" t="inlineStr">
        <is>
          <t>The World's End</t>
        </is>
      </c>
      <c r="C76" s="63" t="inlineStr">
        <is>
          <t>2013</t>
        </is>
      </c>
      <c r="D76" t="inlineStr">
        <is>
          <t>Blu-ray</t>
        </is>
      </c>
      <c r="E76" t="inlineStr">
        <is>
          <t>Cornetto Trilogy</t>
        </is>
      </c>
      <c r="F76" s="64" t="inlineStr">
        <is>
          <t>Cornetto Trilogy (Box Set)</t>
        </is>
      </c>
      <c r="I76" s="64" t="inlineStr">
        <is>
          <t>Owned via Cornetto Trilogy (Box Set).</t>
        </is>
      </c>
      <c r="J76" s="64" t="inlineStr">
        <is>
          <t>Edgar Wright</t>
        </is>
      </c>
      <c r="K76" s="64" t="n">
        <v>109</v>
      </c>
      <c r="L76" s="64" t="inlineStr">
        <is>
          <t>Comedy, Science Fiction</t>
        </is>
      </c>
      <c r="M76" s="64" t="inlineStr">
        <is>
          <t>Universal Pictures, Focus Features, Working Title Films</t>
        </is>
      </c>
      <c r="N76" s="64" t="inlineStr">
        <is>
          <t>https://huggingface.co/datasets/HenryWaltson/TMDB-IMDB-Movies-Dataset</t>
        </is>
      </c>
      <c r="O76" s="64" t="inlineStr">
        <is>
          <t>https://huggingface.co/datasets/HenryWaltson/TMDB-IMDB-Movies-Dataset</t>
        </is>
      </c>
      <c r="P76" t="inlineStr">
        <is>
          <t>Simon Pegg</t>
        </is>
      </c>
      <c r="Q76" t="inlineStr">
        <is>
          <t>Nick Frost</t>
        </is>
      </c>
      <c r="R76" t="inlineStr">
        <is>
          <t>Martin Freeman</t>
        </is>
      </c>
      <c r="S76" t="inlineStr">
        <is>
          <t>Paddy Considine</t>
        </is>
      </c>
      <c r="T76" t="inlineStr">
        <is>
          <t>Eddie Marsan</t>
        </is>
      </c>
      <c r="U76" s="71" t="n">
        <v>0</v>
      </c>
      <c r="V76" s="71" t="n">
        <v>0</v>
      </c>
      <c r="X76" s="82">
        <f>IFERROR(INDEX(Ratings!$E$5:$E$500,MATCH(A76,Ratings!$A$5:$A$500,0)),"")</f>
        <v/>
      </c>
      <c r="Y76" s="71">
        <f>IFERROR(INDEX(Ratings!$G$5:$G$500,MATCH(A76,Ratings!$A$5:$A$500,0)),"")</f>
        <v/>
      </c>
      <c r="Z76" s="83">
        <f>IFERROR(INDEX(Ratings!$I$5:$I$500,MATCH(A76,Ratings!$A$5:$A$500,0)),"")</f>
        <v/>
      </c>
    </row>
    <row r="77" ht="15.75" customHeight="1" s="95">
      <c r="A77" t="inlineStr">
        <is>
          <t>F0073</t>
        </is>
      </c>
      <c r="B77" t="inlineStr">
        <is>
          <t>Cowboys &amp; Aliens</t>
        </is>
      </c>
      <c r="C77" s="63" t="inlineStr">
        <is>
          <t>2011</t>
        </is>
      </c>
      <c r="D77" t="inlineStr">
        <is>
          <t>Blu-ray</t>
        </is>
      </c>
      <c r="F77" s="64" t="n"/>
      <c r="I77" s="64" t="n"/>
      <c r="J77" s="64" t="inlineStr">
        <is>
          <t>Jon Favreau</t>
        </is>
      </c>
      <c r="K77" s="64" t="n">
        <v>119</v>
      </c>
      <c r="L77" s="64" t="inlineStr">
        <is>
          <t>Action, Science Fiction, Thriller, Western</t>
        </is>
      </c>
      <c r="M77" s="64" t="inlineStr">
        <is>
          <t>DreamWorks Pictures, Universal Pictures, Reliance Entertainment</t>
        </is>
      </c>
      <c r="N77" s="64" t="inlineStr">
        <is>
          <t>https://huggingface.co/datasets/HenryWaltson/TMDB-IMDB-Movies-Dataset</t>
        </is>
      </c>
      <c r="O77" s="64" t="inlineStr">
        <is>
          <t>https://huggingface.co/datasets/HenryWaltson/TMDB-IMDB-Movies-Dataset</t>
        </is>
      </c>
      <c r="P77" t="inlineStr">
        <is>
          <t>Daniel Craig</t>
        </is>
      </c>
      <c r="Q77" t="inlineStr">
        <is>
          <t>Harrison Ford</t>
        </is>
      </c>
      <c r="R77" t="inlineStr">
        <is>
          <t>Olivia Wilde</t>
        </is>
      </c>
      <c r="S77" t="inlineStr">
        <is>
          <t>Sam Rockwell</t>
        </is>
      </c>
      <c r="T77" t="inlineStr">
        <is>
          <t>Adam Beach</t>
        </is>
      </c>
      <c r="U77" s="71" t="n">
        <v>0</v>
      </c>
      <c r="V77" s="71" t="n">
        <v>0</v>
      </c>
      <c r="X77" s="82">
        <f>IFERROR(INDEX(Ratings!$E$5:$E$500,MATCH(A77,Ratings!$A$5:$A$500,0)),"")</f>
        <v/>
      </c>
      <c r="Y77" s="71">
        <f>IFERROR(INDEX(Ratings!$G$5:$G$500,MATCH(A77,Ratings!$A$5:$A$500,0)),"")</f>
        <v/>
      </c>
      <c r="Z77" s="83">
        <f>IFERROR(INDEX(Ratings!$I$5:$I$500,MATCH(A77,Ratings!$A$5:$A$500,0)),"")</f>
        <v/>
      </c>
    </row>
    <row r="78" ht="15.75" customHeight="1" s="95">
      <c r="A78" t="inlineStr">
        <is>
          <t>F0074</t>
        </is>
      </c>
      <c r="B78" t="inlineStr">
        <is>
          <t>Creed</t>
        </is>
      </c>
      <c r="C78" s="63" t="inlineStr">
        <is>
          <t>2015</t>
        </is>
      </c>
      <c r="D78" t="inlineStr">
        <is>
          <t>Blu-ray</t>
        </is>
      </c>
      <c r="F78" s="64" t="n"/>
      <c r="I78" s="64" t="n"/>
      <c r="J78" s="64" t="inlineStr">
        <is>
          <t>Ryan Coogler</t>
        </is>
      </c>
      <c r="K78" s="64" t="n">
        <v>133</v>
      </c>
      <c r="L78" s="64" t="inlineStr">
        <is>
          <t>Action, Drama</t>
        </is>
      </c>
      <c r="M78" s="64" t="inlineStr">
        <is>
          <t>Metro-Goldwyn-Mayer, New Line Cinema, Chartoff-Winkler Productions</t>
        </is>
      </c>
      <c r="N78" s="64" t="inlineStr">
        <is>
          <t>https://huggingface.co/datasets/HenryWaltson/TMDB-IMDB-Movies-Dataset</t>
        </is>
      </c>
      <c r="O78" s="64" t="inlineStr">
        <is>
          <t>https://huggingface.co/datasets/HenryWaltson/TMDB-IMDB-Movies-Dataset</t>
        </is>
      </c>
      <c r="P78" t="inlineStr">
        <is>
          <t>Michael B. Jordan</t>
        </is>
      </c>
      <c r="Q78" t="inlineStr">
        <is>
          <t>Sylvester Stallone</t>
        </is>
      </c>
      <c r="R78" t="inlineStr">
        <is>
          <t>Tessa Thompson</t>
        </is>
      </c>
      <c r="S78" t="inlineStr">
        <is>
          <t>Phylicia Rashād</t>
        </is>
      </c>
      <c r="T78" t="inlineStr">
        <is>
          <t>Andre Ward</t>
        </is>
      </c>
      <c r="U78" s="71" t="n">
        <v>1</v>
      </c>
      <c r="V78" s="71" t="n">
        <v>0</v>
      </c>
      <c r="X78" s="82">
        <f>IFERROR(INDEX(Ratings!$E$5:$E$500,MATCH(A78,Ratings!$A$5:$A$500,0)),"")</f>
        <v/>
      </c>
      <c r="Y78" s="71">
        <f>IFERROR(INDEX(Ratings!$G$5:$G$500,MATCH(A78,Ratings!$A$5:$A$500,0)),"")</f>
        <v/>
      </c>
      <c r="Z78" s="83">
        <f>IFERROR(INDEX(Ratings!$I$5:$I$500,MATCH(A78,Ratings!$A$5:$A$500,0)),"")</f>
        <v/>
      </c>
    </row>
    <row r="79" ht="15.75" customHeight="1" s="95">
      <c r="A79" t="inlineStr">
        <is>
          <t>F0075</t>
        </is>
      </c>
      <c r="B79" t="inlineStr">
        <is>
          <t>The Croods</t>
        </is>
      </c>
      <c r="C79" s="63" t="inlineStr">
        <is>
          <t>2013</t>
        </is>
      </c>
      <c r="D79" t="inlineStr">
        <is>
          <t>Blu-ray</t>
        </is>
      </c>
      <c r="E79" t="inlineStr">
        <is>
          <t>The Croods</t>
        </is>
      </c>
      <c r="F79" s="64" t="n"/>
      <c r="I79" s="64" t="n"/>
      <c r="J79" s="64" t="inlineStr">
        <is>
          <t>Kirk DeMicco, Chris Sanders</t>
        </is>
      </c>
      <c r="K79" s="64" t="n">
        <v>98</v>
      </c>
      <c r="L79" s="64" t="inlineStr">
        <is>
          <t>Animation, Adventure, Family, Fantasy, Comedy, Action</t>
        </is>
      </c>
      <c r="M79" s="64" t="inlineStr">
        <is>
          <t>DreamWorks Animation, 20th Century Fox</t>
        </is>
      </c>
      <c r="N79" s="64" t="inlineStr">
        <is>
          <t>https://huggingface.co/datasets/HenryWaltson/TMDB-IMDB-Movies-Dataset</t>
        </is>
      </c>
      <c r="O79" s="64" t="inlineStr">
        <is>
          <t>https://huggingface.co/datasets/HenryWaltson/TMDB-IMDB-Movies-Dataset</t>
        </is>
      </c>
      <c r="P79" t="inlineStr">
        <is>
          <t>Nicolas Cage</t>
        </is>
      </c>
      <c r="Q79" t="inlineStr">
        <is>
          <t>Emma Stone</t>
        </is>
      </c>
      <c r="R79" t="inlineStr">
        <is>
          <t>Ryan Reynolds</t>
        </is>
      </c>
      <c r="S79" t="inlineStr">
        <is>
          <t>Catherine Keener</t>
        </is>
      </c>
      <c r="T79" t="inlineStr">
        <is>
          <t>Cloris Leachman</t>
        </is>
      </c>
      <c r="U79" s="71" t="n">
        <v>1</v>
      </c>
      <c r="V79" s="71" t="n">
        <v>0</v>
      </c>
      <c r="X79" s="82">
        <f>IFERROR(INDEX(Ratings!$E$5:$E$500,MATCH(A79,Ratings!$A$5:$A$500,0)),"")</f>
        <v/>
      </c>
      <c r="Y79" s="71">
        <f>IFERROR(INDEX(Ratings!$G$5:$G$500,MATCH(A79,Ratings!$A$5:$A$500,0)),"")</f>
        <v/>
      </c>
      <c r="Z79" s="83">
        <f>IFERROR(INDEX(Ratings!$I$5:$I$500,MATCH(A79,Ratings!$A$5:$A$500,0)),"")</f>
        <v/>
      </c>
    </row>
    <row r="80" ht="15.75" customHeight="1" s="95">
      <c r="A80" t="inlineStr">
        <is>
          <t>F0076</t>
        </is>
      </c>
      <c r="B80" t="inlineStr">
        <is>
          <t>Deadpool</t>
        </is>
      </c>
      <c r="C80" s="63" t="inlineStr">
        <is>
          <t>2016</t>
        </is>
      </c>
      <c r="D80" t="inlineStr">
        <is>
          <t>Blu-ray</t>
        </is>
      </c>
      <c r="E80" t="inlineStr">
        <is>
          <t>Deadpool / X-Men</t>
        </is>
      </c>
      <c r="F80" s="64" t="n"/>
      <c r="I80" s="64" t="n"/>
      <c r="J80" s="64" t="inlineStr">
        <is>
          <t>Tim Miller</t>
        </is>
      </c>
      <c r="K80" s="64" t="n">
        <v>108</v>
      </c>
      <c r="L80" s="64" t="inlineStr">
        <is>
          <t>Action, Adventure, Comedy</t>
        </is>
      </c>
      <c r="M80" s="64" t="inlineStr">
        <is>
          <t>20th Century Fox, The Donners' Company, Genre Films</t>
        </is>
      </c>
      <c r="N80" s="64" t="inlineStr">
        <is>
          <t>https://huggingface.co/datasets/HenryWaltson/TMDB-IMDB-Movies-Dataset</t>
        </is>
      </c>
      <c r="O80" s="64" t="inlineStr">
        <is>
          <t>https://huggingface.co/datasets/HenryWaltson/TMDB-IMDB-Movies-Dataset</t>
        </is>
      </c>
      <c r="P80" t="inlineStr">
        <is>
          <t>Ryan Reynolds</t>
        </is>
      </c>
      <c r="Q80" t="inlineStr">
        <is>
          <t>Morena Baccarin</t>
        </is>
      </c>
      <c r="R80" t="inlineStr">
        <is>
          <t>Ed Skrein</t>
        </is>
      </c>
      <c r="S80" t="inlineStr">
        <is>
          <t>T.J. Miller</t>
        </is>
      </c>
      <c r="T80" t="inlineStr">
        <is>
          <t>Gina Carano</t>
        </is>
      </c>
      <c r="U80" s="71" t="n">
        <v>0</v>
      </c>
      <c r="V80" s="71" t="n">
        <v>0</v>
      </c>
      <c r="X80" s="82">
        <f>IFERROR(INDEX(Ratings!$E$5:$E$500,MATCH(A80,Ratings!$A$5:$A$500,0)),"")</f>
        <v/>
      </c>
      <c r="Y80" s="71">
        <f>IFERROR(INDEX(Ratings!$G$5:$G$500,MATCH(A80,Ratings!$A$5:$A$500,0)),"")</f>
        <v/>
      </c>
      <c r="Z80" s="83">
        <f>IFERROR(INDEX(Ratings!$I$5:$I$500,MATCH(A80,Ratings!$A$5:$A$500,0)),"")</f>
        <v/>
      </c>
    </row>
    <row r="81" ht="15.75" customHeight="1" s="95">
      <c r="A81" t="inlineStr">
        <is>
          <t>F0077</t>
        </is>
      </c>
      <c r="B81" t="inlineStr">
        <is>
          <t>Deadpool 2</t>
        </is>
      </c>
      <c r="C81" s="63" t="inlineStr">
        <is>
          <t>2018</t>
        </is>
      </c>
      <c r="D81" t="inlineStr">
        <is>
          <t>4K UHD</t>
        </is>
      </c>
      <c r="E81" t="inlineStr">
        <is>
          <t>Deadpool / X-Men</t>
        </is>
      </c>
      <c r="F81" s="64" t="n"/>
      <c r="I81" s="64" t="n"/>
      <c r="J81" s="64" t="inlineStr">
        <is>
          <t>David Leitch</t>
        </is>
      </c>
      <c r="K81" s="64" t="n">
        <v>120</v>
      </c>
      <c r="L81" s="64" t="inlineStr">
        <is>
          <t>Action, Comedy, Adventure</t>
        </is>
      </c>
      <c r="M81" s="64" t="inlineStr">
        <is>
          <t>Maximum Effort, Genre Films, 20th Century Fox</t>
        </is>
      </c>
      <c r="N81" s="64" t="inlineStr">
        <is>
          <t>https://huggingface.co/datasets/HenryWaltson/TMDB-IMDB-Movies-Dataset</t>
        </is>
      </c>
      <c r="O81" s="64" t="inlineStr">
        <is>
          <t>https://huggingface.co/datasets/HenryWaltson/TMDB-IMDB-Movies-Dataset</t>
        </is>
      </c>
      <c r="P81" t="inlineStr">
        <is>
          <t>Ryan Reynolds</t>
        </is>
      </c>
      <c r="Q81" t="inlineStr">
        <is>
          <t>Josh Brolin</t>
        </is>
      </c>
      <c r="R81" t="inlineStr">
        <is>
          <t>Morena Baccarin</t>
        </is>
      </c>
      <c r="S81" t="inlineStr">
        <is>
          <t>Julian Dennison</t>
        </is>
      </c>
      <c r="T81" t="inlineStr">
        <is>
          <t>Zazie Beetz</t>
        </is>
      </c>
      <c r="U81" s="71" t="n">
        <v>0</v>
      </c>
      <c r="V81" s="71" t="n">
        <v>0</v>
      </c>
      <c r="X81" s="82">
        <f>IFERROR(INDEX(Ratings!$E$5:$E$500,MATCH(A81,Ratings!$A$5:$A$500,0)),"")</f>
        <v/>
      </c>
      <c r="Y81" s="71">
        <f>IFERROR(INDEX(Ratings!$G$5:$G$500,MATCH(A81,Ratings!$A$5:$A$500,0)),"")</f>
        <v/>
      </c>
      <c r="Z81" s="83">
        <f>IFERROR(INDEX(Ratings!$I$5:$I$500,MATCH(A81,Ratings!$A$5:$A$500,0)),"")</f>
        <v/>
      </c>
    </row>
    <row r="82" ht="15.75" customHeight="1" s="95">
      <c r="A82" t="inlineStr">
        <is>
          <t>F0078</t>
        </is>
      </c>
      <c r="B82" t="inlineStr">
        <is>
          <t>Deadpool &amp; Wolverine</t>
        </is>
      </c>
      <c r="C82" s="63" t="inlineStr">
        <is>
          <t>2024</t>
        </is>
      </c>
      <c r="D82" t="inlineStr">
        <is>
          <t>4K UHD</t>
        </is>
      </c>
      <c r="E82" t="inlineStr">
        <is>
          <t>X-Men</t>
        </is>
      </c>
      <c r="F82" s="64" t="n"/>
      <c r="I82" s="64" t="n"/>
      <c r="J82" s="64" t="inlineStr">
        <is>
          <t>Shawn Levy</t>
        </is>
      </c>
      <c r="K82" s="64" t="n">
        <v>128</v>
      </c>
      <c r="L82" s="64" t="inlineStr">
        <is>
          <t>Action, Comedy, Science Fiction</t>
        </is>
      </c>
      <c r="M82" s="64" t="inlineStr">
        <is>
          <t>Marvel Studios, Maximum Effort, 21 Laps Entertainment</t>
        </is>
      </c>
      <c r="N82" s="64" t="inlineStr">
        <is>
          <t>https://huggingface.co/datasets/HenryWaltson/TMDB-IMDB-Movies-Dataset</t>
        </is>
      </c>
      <c r="O82" s="64" t="inlineStr">
        <is>
          <t>https://huggingface.co/datasets/HenryWaltson/TMDB-IMDB-Movies-Dataset</t>
        </is>
      </c>
      <c r="P82" t="inlineStr">
        <is>
          <t>Ryan Reynolds</t>
        </is>
      </c>
      <c r="Q82" t="inlineStr">
        <is>
          <t>Hugh Jackman</t>
        </is>
      </c>
      <c r="R82" t="inlineStr">
        <is>
          <t>Emma Corrin</t>
        </is>
      </c>
      <c r="S82" t="inlineStr">
        <is>
          <t>Matthew Macfadyen</t>
        </is>
      </c>
      <c r="T82" t="inlineStr">
        <is>
          <t>Dafne Keen</t>
        </is>
      </c>
      <c r="U82" s="71" t="n">
        <v>0</v>
      </c>
      <c r="V82" s="71" t="n">
        <v>0</v>
      </c>
      <c r="X82" s="82">
        <f>IFERROR(INDEX(Ratings!$E$5:$E$500,MATCH(A82,Ratings!$A$5:$A$500,0)),"")</f>
        <v/>
      </c>
      <c r="Y82" s="71">
        <f>IFERROR(INDEX(Ratings!$G$5:$G$500,MATCH(A82,Ratings!$A$5:$A$500,0)),"")</f>
        <v/>
      </c>
      <c r="Z82" s="83">
        <f>IFERROR(INDEX(Ratings!$I$5:$I$500,MATCH(A82,Ratings!$A$5:$A$500,0)),"")</f>
        <v/>
      </c>
    </row>
    <row r="83" ht="15.75" customHeight="1" s="95">
      <c r="A83" t="inlineStr">
        <is>
          <t>F0079</t>
        </is>
      </c>
      <c r="B83" t="inlineStr">
        <is>
          <t>Dear John</t>
        </is>
      </c>
      <c r="C83" s="63" t="inlineStr">
        <is>
          <t>2010</t>
        </is>
      </c>
      <c r="D83" t="inlineStr">
        <is>
          <t>Blu-ray</t>
        </is>
      </c>
      <c r="F83" s="64" t="n"/>
      <c r="I83" s="64" t="n"/>
      <c r="J83" s="64" t="inlineStr">
        <is>
          <t>Lasse Hallström</t>
        </is>
      </c>
      <c r="K83" s="64" t="n">
        <v>108</v>
      </c>
      <c r="L83" s="64" t="inlineStr">
        <is>
          <t>Drama, Romance, War</t>
        </is>
      </c>
      <c r="M83" s="64" t="inlineStr">
        <is>
          <t>Screen Gems, Relativity Media, Temple Hill Entertainment</t>
        </is>
      </c>
      <c r="N83" s="64" t="inlineStr">
        <is>
          <t>https://huggingface.co/datasets/HenryWaltson/TMDB-IMDB-Movies-Dataset</t>
        </is>
      </c>
      <c r="O83" s="64" t="inlineStr">
        <is>
          <t>https://huggingface.co/datasets/HenryWaltson/TMDB-IMDB-Movies-Dataset</t>
        </is>
      </c>
      <c r="P83" t="inlineStr">
        <is>
          <t>Amanda Seyfried</t>
        </is>
      </c>
      <c r="Q83" t="inlineStr">
        <is>
          <t>Channing Tatum</t>
        </is>
      </c>
      <c r="R83" t="inlineStr">
        <is>
          <t>Richard Jenkins</t>
        </is>
      </c>
      <c r="S83" t="inlineStr">
        <is>
          <t>Henry Thomas</t>
        </is>
      </c>
      <c r="T83" t="inlineStr">
        <is>
          <t>D.J. Cotrona</t>
        </is>
      </c>
      <c r="U83" s="71" t="n">
        <v>0</v>
      </c>
      <c r="V83" s="71" t="n">
        <v>0</v>
      </c>
      <c r="X83" s="82">
        <f>IFERROR(INDEX(Ratings!$E$5:$E$500,MATCH(A83,Ratings!$A$5:$A$500,0)),"")</f>
        <v/>
      </c>
      <c r="Y83" s="71">
        <f>IFERROR(INDEX(Ratings!$G$5:$G$500,MATCH(A83,Ratings!$A$5:$A$500,0)),"")</f>
        <v/>
      </c>
      <c r="Z83" s="83">
        <f>IFERROR(INDEX(Ratings!$I$5:$I$500,MATCH(A83,Ratings!$A$5:$A$500,0)),"")</f>
        <v/>
      </c>
    </row>
    <row r="84" ht="15.75" customHeight="1" s="95">
      <c r="A84" t="inlineStr">
        <is>
          <t>F0080</t>
        </is>
      </c>
      <c r="B84" t="inlineStr">
        <is>
          <t>Delivery Man</t>
        </is>
      </c>
      <c r="C84" s="63" t="inlineStr">
        <is>
          <t>2013</t>
        </is>
      </c>
      <c r="D84" t="inlineStr">
        <is>
          <t>Blu-ray</t>
        </is>
      </c>
      <c r="F84" s="64" t="n"/>
      <c r="I84" s="64" t="n"/>
      <c r="J84" s="64" t="inlineStr">
        <is>
          <t>Ken Scott</t>
        </is>
      </c>
      <c r="K84" s="64" t="n">
        <v>105</v>
      </c>
      <c r="L84" s="64" t="inlineStr">
        <is>
          <t>Comedy</t>
        </is>
      </c>
      <c r="M84" s="64" t="inlineStr">
        <is>
          <t>Touchstone Pictures, DreamWorks Pictures, Reliance Entertainment</t>
        </is>
      </c>
      <c r="N84" s="64" t="inlineStr">
        <is>
          <t>https://huggingface.co/datasets/HenryWaltson/TMDB-IMDB-Movies-Dataset</t>
        </is>
      </c>
      <c r="O84" s="64" t="inlineStr">
        <is>
          <t>https://huggingface.co/datasets/HenryWaltson/TMDB-IMDB-Movies-Dataset</t>
        </is>
      </c>
      <c r="P84" t="inlineStr">
        <is>
          <t>Vince Vaughn</t>
        </is>
      </c>
      <c r="Q84" t="inlineStr">
        <is>
          <t>Cobie Smulders</t>
        </is>
      </c>
      <c r="R84" t="inlineStr">
        <is>
          <t>Chris Pratt</t>
        </is>
      </c>
      <c r="S84" t="inlineStr">
        <is>
          <t>Britt Robertson</t>
        </is>
      </c>
      <c r="T84" t="inlineStr">
        <is>
          <t>Jack Reynor</t>
        </is>
      </c>
      <c r="U84" s="71" t="n">
        <v>0</v>
      </c>
      <c r="V84" s="71" t="n">
        <v>0</v>
      </c>
      <c r="X84" s="82">
        <f>IFERROR(INDEX(Ratings!$E$5:$E$500,MATCH(A84,Ratings!$A$5:$A$500,0)),"")</f>
        <v/>
      </c>
      <c r="Y84" s="71">
        <f>IFERROR(INDEX(Ratings!$G$5:$G$500,MATCH(A84,Ratings!$A$5:$A$500,0)),"")</f>
        <v/>
      </c>
      <c r="Z84" s="83">
        <f>IFERROR(INDEX(Ratings!$I$5:$I$500,MATCH(A84,Ratings!$A$5:$A$500,0)),"")</f>
        <v/>
      </c>
    </row>
    <row r="85" ht="15.75" customHeight="1" s="95">
      <c r="A85" t="inlineStr">
        <is>
          <t>F0081</t>
        </is>
      </c>
      <c r="B85" t="inlineStr">
        <is>
          <t>The Departed</t>
        </is>
      </c>
      <c r="C85" s="63" t="inlineStr">
        <is>
          <t>2006</t>
        </is>
      </c>
      <c r="D85" t="inlineStr">
        <is>
          <t>Blu-ray</t>
        </is>
      </c>
      <c r="F85" s="64" t="n"/>
      <c r="I85" s="64" t="n"/>
      <c r="J85" s="64" t="inlineStr">
        <is>
          <t>Martin Scorsese</t>
        </is>
      </c>
      <c r="K85" s="64" t="n">
        <v>151</v>
      </c>
      <c r="L85" s="64" t="inlineStr">
        <is>
          <t>Drama, Thriller, Crime</t>
        </is>
      </c>
      <c r="M85" s="64" t="inlineStr">
        <is>
          <t>Vertigo Entertainment, Media Asia Films, Initial Entertainment Group</t>
        </is>
      </c>
      <c r="N85" s="64" t="inlineStr">
        <is>
          <t>https://huggingface.co/datasets/HenryWaltson/TMDB-IMDB-Movies-Dataset</t>
        </is>
      </c>
      <c r="O85" s="64" t="inlineStr">
        <is>
          <t>https://huggingface.co/datasets/HenryWaltson/TMDB-IMDB-Movies-Dataset</t>
        </is>
      </c>
      <c r="P85" t="inlineStr">
        <is>
          <t>Leonardo DiCaprio</t>
        </is>
      </c>
      <c r="Q85" t="inlineStr">
        <is>
          <t>Matt Damon</t>
        </is>
      </c>
      <c r="R85" t="inlineStr">
        <is>
          <t>Jack Nicholson</t>
        </is>
      </c>
      <c r="S85" t="inlineStr">
        <is>
          <t>Mark Wahlberg</t>
        </is>
      </c>
      <c r="T85" t="inlineStr">
        <is>
          <t>Martin Sheen</t>
        </is>
      </c>
      <c r="U85" s="71" t="n">
        <v>5</v>
      </c>
      <c r="V85" s="71" t="n">
        <v>4</v>
      </c>
      <c r="W85" t="inlineStr">
        <is>
          <t>Winner</t>
        </is>
      </c>
      <c r="X85" s="82">
        <f>IFERROR(INDEX(Ratings!$E$5:$E$500,MATCH(A85,Ratings!$A$5:$A$500,0)),"")</f>
        <v/>
      </c>
      <c r="Y85" s="71">
        <f>IFERROR(INDEX(Ratings!$G$5:$G$500,MATCH(A85,Ratings!$A$5:$A$500,0)),"")</f>
        <v/>
      </c>
      <c r="Z85" s="83">
        <f>IFERROR(INDEX(Ratings!$I$5:$I$500,MATCH(A85,Ratings!$A$5:$A$500,0)),"")</f>
        <v/>
      </c>
    </row>
    <row r="86" ht="15.75" customHeight="1" s="95">
      <c r="A86" t="inlineStr">
        <is>
          <t>F0082</t>
        </is>
      </c>
      <c r="B86" t="inlineStr">
        <is>
          <t>Despicable Me</t>
        </is>
      </c>
      <c r="C86" s="63" t="inlineStr">
        <is>
          <t>2010</t>
        </is>
      </c>
      <c r="D86" t="inlineStr">
        <is>
          <t>Blu-ray</t>
        </is>
      </c>
      <c r="E86" t="inlineStr">
        <is>
          <t>Despicable Me / Minions</t>
        </is>
      </c>
      <c r="F86" s="64" t="n"/>
      <c r="I86" s="64" t="n"/>
      <c r="J86" s="64" t="inlineStr">
        <is>
          <t>Pierre Coffin, Chris Renaud</t>
        </is>
      </c>
      <c r="K86" s="64" t="n">
        <v>95</v>
      </c>
      <c r="L86" s="64" t="inlineStr">
        <is>
          <t>Family, Animation, Comedy</t>
        </is>
      </c>
      <c r="M86" s="64" t="inlineStr">
        <is>
          <t>Illumination, Universal Pictures</t>
        </is>
      </c>
      <c r="N86" s="64" t="inlineStr">
        <is>
          <t>https://huggingface.co/datasets/HenryWaltson/TMDB-IMDB-Movies-Dataset</t>
        </is>
      </c>
      <c r="O86" s="64" t="inlineStr">
        <is>
          <t>https://huggingface.co/datasets/HenryWaltson/TMDB-IMDB-Movies-Dataset</t>
        </is>
      </c>
      <c r="P86" t="inlineStr">
        <is>
          <t>Steve Carell</t>
        </is>
      </c>
      <c r="Q86" t="inlineStr">
        <is>
          <t>Jason Segel</t>
        </is>
      </c>
      <c r="R86" t="inlineStr">
        <is>
          <t>Miranda Cosgrove</t>
        </is>
      </c>
      <c r="S86" t="inlineStr">
        <is>
          <t>Elsie Fisher</t>
        </is>
      </c>
      <c r="T86" t="inlineStr">
        <is>
          <t>Dana Gaier</t>
        </is>
      </c>
      <c r="U86" s="71" t="n">
        <v>0</v>
      </c>
      <c r="V86" s="71" t="n">
        <v>0</v>
      </c>
      <c r="X86" s="82">
        <f>IFERROR(INDEX(Ratings!$E$5:$E$500,MATCH(A86,Ratings!$A$5:$A$500,0)),"")</f>
        <v/>
      </c>
      <c r="Y86" s="71">
        <f>IFERROR(INDEX(Ratings!$G$5:$G$500,MATCH(A86,Ratings!$A$5:$A$500,0)),"")</f>
        <v/>
      </c>
      <c r="Z86" s="83">
        <f>IFERROR(INDEX(Ratings!$I$5:$I$500,MATCH(A86,Ratings!$A$5:$A$500,0)),"")</f>
        <v/>
      </c>
    </row>
    <row r="87" ht="15.75" customHeight="1" s="95">
      <c r="A87" t="inlineStr">
        <is>
          <t>F0083</t>
        </is>
      </c>
      <c r="B87" t="inlineStr">
        <is>
          <t>Despicable Me 2</t>
        </is>
      </c>
      <c r="C87" s="63" t="inlineStr">
        <is>
          <t>2013</t>
        </is>
      </c>
      <c r="D87" t="inlineStr">
        <is>
          <t>Blu-ray</t>
        </is>
      </c>
      <c r="E87" t="inlineStr">
        <is>
          <t>Despicable Me / Minions</t>
        </is>
      </c>
      <c r="F87" s="64" t="n"/>
      <c r="I87" s="64" t="n"/>
      <c r="J87" s="64" t="inlineStr">
        <is>
          <t>Pierre Coffin, Chris Renaud</t>
        </is>
      </c>
      <c r="K87" s="64" t="n">
        <v>98</v>
      </c>
      <c r="L87" s="64" t="inlineStr">
        <is>
          <t>Animation, Comedy, Family</t>
        </is>
      </c>
      <c r="M87" s="64" t="inlineStr">
        <is>
          <t>Illumination, Universal Pictures</t>
        </is>
      </c>
      <c r="N87" s="64" t="inlineStr">
        <is>
          <t>https://huggingface.co/datasets/HenryWaltson/TMDB-IMDB-Movies-Dataset</t>
        </is>
      </c>
      <c r="O87" s="64" t="inlineStr">
        <is>
          <t>https://huggingface.co/datasets/HenryWaltson/TMDB-IMDB-Movies-Dataset</t>
        </is>
      </c>
      <c r="P87" t="inlineStr">
        <is>
          <t>Steve Carell</t>
        </is>
      </c>
      <c r="Q87" t="inlineStr">
        <is>
          <t>Kristen Wiig</t>
        </is>
      </c>
      <c r="R87" t="inlineStr">
        <is>
          <t>Benjamin Bratt</t>
        </is>
      </c>
      <c r="S87" t="inlineStr">
        <is>
          <t>Miranda Cosgrove</t>
        </is>
      </c>
      <c r="T87" t="inlineStr">
        <is>
          <t>Russell Brand</t>
        </is>
      </c>
      <c r="U87" s="71" t="n">
        <v>2</v>
      </c>
      <c r="V87" s="71" t="n">
        <v>0</v>
      </c>
      <c r="X87" s="82">
        <f>IFERROR(INDEX(Ratings!$E$5:$E$500,MATCH(A87,Ratings!$A$5:$A$500,0)),"")</f>
        <v/>
      </c>
      <c r="Y87" s="71">
        <f>IFERROR(INDEX(Ratings!$G$5:$G$500,MATCH(A87,Ratings!$A$5:$A$500,0)),"")</f>
        <v/>
      </c>
      <c r="Z87" s="83">
        <f>IFERROR(INDEX(Ratings!$I$5:$I$500,MATCH(A87,Ratings!$A$5:$A$500,0)),"")</f>
        <v/>
      </c>
    </row>
    <row r="88" ht="15.75" customHeight="1" s="95">
      <c r="A88" t="inlineStr">
        <is>
          <t>F0084</t>
        </is>
      </c>
      <c r="B88" t="inlineStr">
        <is>
          <t>Despicable Me 3</t>
        </is>
      </c>
      <c r="C88" s="63" t="inlineStr">
        <is>
          <t>2017</t>
        </is>
      </c>
      <c r="D88" t="inlineStr">
        <is>
          <t>Blu-ray</t>
        </is>
      </c>
      <c r="E88" t="inlineStr">
        <is>
          <t>Despicable Me / Minions</t>
        </is>
      </c>
      <c r="F88" s="64" t="n"/>
      <c r="I88" s="64" t="n"/>
      <c r="J88" s="64" t="inlineStr">
        <is>
          <t>Kyle Balda, Pierre Coffin, Eric Guillon</t>
        </is>
      </c>
      <c r="K88" s="64" t="n">
        <v>90</v>
      </c>
      <c r="L88" s="64" t="inlineStr">
        <is>
          <t>Action, Animation, Comedy, Family, Adventure</t>
        </is>
      </c>
      <c r="M88" s="64" t="inlineStr">
        <is>
          <t>Illumination, Universal Pictures</t>
        </is>
      </c>
      <c r="N88" s="64" t="inlineStr">
        <is>
          <t>https://huggingface.co/datasets/HenryWaltson/TMDB-IMDB-Movies-Dataset</t>
        </is>
      </c>
      <c r="O88" s="64" t="inlineStr">
        <is>
          <t>https://huggingface.co/datasets/HenryWaltson/TMDB-IMDB-Movies-Dataset</t>
        </is>
      </c>
      <c r="P88" t="inlineStr">
        <is>
          <t>Steve Carell</t>
        </is>
      </c>
      <c r="Q88" t="inlineStr">
        <is>
          <t>Kristen Wiig</t>
        </is>
      </c>
      <c r="R88" t="inlineStr">
        <is>
          <t>Miranda Cosgrove</t>
        </is>
      </c>
      <c r="S88" t="inlineStr">
        <is>
          <t>Dana Gaier</t>
        </is>
      </c>
      <c r="T88" t="inlineStr">
        <is>
          <t>Nev Scharrel</t>
        </is>
      </c>
      <c r="U88" s="71" t="n">
        <v>0</v>
      </c>
      <c r="V88" s="71" t="n">
        <v>0</v>
      </c>
      <c r="X88" s="82">
        <f>IFERROR(INDEX(Ratings!$E$5:$E$500,MATCH(A88,Ratings!$A$5:$A$500,0)),"")</f>
        <v/>
      </c>
      <c r="Y88" s="71">
        <f>IFERROR(INDEX(Ratings!$G$5:$G$500,MATCH(A88,Ratings!$A$5:$A$500,0)),"")</f>
        <v/>
      </c>
      <c r="Z88" s="83">
        <f>IFERROR(INDEX(Ratings!$I$5:$I$500,MATCH(A88,Ratings!$A$5:$A$500,0)),"")</f>
        <v/>
      </c>
    </row>
    <row r="89" ht="15.75" customHeight="1" s="95">
      <c r="A89" t="inlineStr">
        <is>
          <t>F0085</t>
        </is>
      </c>
      <c r="B89" t="inlineStr">
        <is>
          <t>The Dictator</t>
        </is>
      </c>
      <c r="C89" s="63" t="inlineStr">
        <is>
          <t>2012</t>
        </is>
      </c>
      <c r="D89" t="inlineStr">
        <is>
          <t>Blu-ray</t>
        </is>
      </c>
      <c r="F89" s="64" t="n"/>
      <c r="I89" s="64" t="n"/>
      <c r="J89" s="64" t="inlineStr">
        <is>
          <t>Larry Charles</t>
        </is>
      </c>
      <c r="K89" s="64" t="n">
        <v>83</v>
      </c>
      <c r="L89" s="64" t="inlineStr">
        <is>
          <t>Comedy</t>
        </is>
      </c>
      <c r="M89" s="64" t="inlineStr">
        <is>
          <t>Four By Two Productions, Paramount</t>
        </is>
      </c>
      <c r="N89" s="64" t="inlineStr">
        <is>
          <t>https://huggingface.co/datasets/HenryWaltson/TMDB-IMDB-Movies-Dataset</t>
        </is>
      </c>
      <c r="O89" s="64" t="inlineStr">
        <is>
          <t>https://huggingface.co/datasets/HenryWaltson/TMDB-IMDB-Movies-Dataset</t>
        </is>
      </c>
      <c r="P89" t="inlineStr">
        <is>
          <t>Sacha Baron Cohen</t>
        </is>
      </c>
      <c r="Q89" t="inlineStr">
        <is>
          <t>Ben Kingsley</t>
        </is>
      </c>
      <c r="R89" t="inlineStr">
        <is>
          <t>Anna Faris</t>
        </is>
      </c>
      <c r="S89" t="inlineStr">
        <is>
          <t>Jason Mantzoukas</t>
        </is>
      </c>
      <c r="T89" t="inlineStr">
        <is>
          <t>Sayed Badreya</t>
        </is>
      </c>
      <c r="U89" s="71" t="n">
        <v>0</v>
      </c>
      <c r="V89" s="71" t="n">
        <v>0</v>
      </c>
      <c r="X89" s="82">
        <f>IFERROR(INDEX(Ratings!$E$5:$E$500,MATCH(A89,Ratings!$A$5:$A$500,0)),"")</f>
        <v/>
      </c>
      <c r="Y89" s="71">
        <f>IFERROR(INDEX(Ratings!$G$5:$G$500,MATCH(A89,Ratings!$A$5:$A$500,0)),"")</f>
        <v/>
      </c>
      <c r="Z89" s="83">
        <f>IFERROR(INDEX(Ratings!$I$5:$I$500,MATCH(A89,Ratings!$A$5:$A$500,0)),"")</f>
        <v/>
      </c>
    </row>
    <row r="90" ht="15.75" customHeight="1" s="95">
      <c r="A90" t="inlineStr">
        <is>
          <t>F0086</t>
        </is>
      </c>
      <c r="B90" t="inlineStr">
        <is>
          <t>Live Free or Die Hard</t>
        </is>
      </c>
      <c r="C90" s="63" t="inlineStr">
        <is>
          <t>2007</t>
        </is>
      </c>
      <c r="D90" t="inlineStr">
        <is>
          <t>Blu-ray</t>
        </is>
      </c>
      <c r="F90" s="64" t="n"/>
      <c r="I90" s="64" t="n"/>
      <c r="J90" s="64" t="inlineStr">
        <is>
          <t>Len Wiseman</t>
        </is>
      </c>
      <c r="K90" s="64" t="n">
        <v>128</v>
      </c>
      <c r="L90" s="64" t="inlineStr">
        <is>
          <t>Action, Thriller</t>
        </is>
      </c>
      <c r="M90" s="64" t="inlineStr">
        <is>
          <t>Dune Entertainment, Cheyenne Enterprises, Wintergreen Productions</t>
        </is>
      </c>
      <c r="N90" s="64" t="inlineStr">
        <is>
          <t>https://huggingface.co/datasets/HenryWaltson/TMDB-IMDB-Movies-Dataset</t>
        </is>
      </c>
      <c r="O90" s="64" t="inlineStr">
        <is>
          <t>https://huggingface.co/datasets/HenryWaltson/TMDB-IMDB-Movies-Dataset</t>
        </is>
      </c>
      <c r="P90" t="inlineStr">
        <is>
          <t>Bruce Willis</t>
        </is>
      </c>
      <c r="Q90" t="inlineStr">
        <is>
          <t>Justin Long</t>
        </is>
      </c>
      <c r="R90" t="inlineStr">
        <is>
          <t>Timothy Olyphant</t>
        </is>
      </c>
      <c r="S90" t="inlineStr">
        <is>
          <t>Cliff Curtis</t>
        </is>
      </c>
      <c r="T90" t="inlineStr">
        <is>
          <t>Maggie Q</t>
        </is>
      </c>
      <c r="U90" s="71" t="n">
        <v>0</v>
      </c>
      <c r="V90" s="71" t="n">
        <v>0</v>
      </c>
      <c r="X90" s="82">
        <f>IFERROR(INDEX(Ratings!$E$5:$E$500,MATCH(A90,Ratings!$A$5:$A$500,0)),"")</f>
        <v/>
      </c>
      <c r="Y90" s="71">
        <f>IFERROR(INDEX(Ratings!$G$5:$G$500,MATCH(A90,Ratings!$A$5:$A$500,0)),"")</f>
        <v/>
      </c>
      <c r="Z90" s="83">
        <f>IFERROR(INDEX(Ratings!$I$5:$I$500,MATCH(A90,Ratings!$A$5:$A$500,0)),"")</f>
        <v/>
      </c>
    </row>
    <row r="91" ht="15.75" customHeight="1" s="95">
      <c r="A91" t="inlineStr">
        <is>
          <t>F0087</t>
        </is>
      </c>
      <c r="B91" t="inlineStr">
        <is>
          <t>Dirty Grandpa</t>
        </is>
      </c>
      <c r="C91" s="63" t="inlineStr">
        <is>
          <t>2016</t>
        </is>
      </c>
      <c r="D91" t="inlineStr">
        <is>
          <t>Blu-ray</t>
        </is>
      </c>
      <c r="F91" s="64" t="n"/>
      <c r="I91" s="64" t="n"/>
      <c r="J91" s="64" t="inlineStr">
        <is>
          <t>Dan Mazer</t>
        </is>
      </c>
      <c r="K91" s="64" t="n">
        <v>102</v>
      </c>
      <c r="L91" s="64" t="inlineStr">
        <is>
          <t>Comedy</t>
        </is>
      </c>
      <c r="M91" s="64" t="inlineStr">
        <is>
          <t>Covert Media, Lionsgate, BillBlock Media</t>
        </is>
      </c>
      <c r="N91" s="64" t="inlineStr">
        <is>
          <t>https://huggingface.co/datasets/HenryWaltson/TMDB-IMDB-Movies-Dataset</t>
        </is>
      </c>
      <c r="O91" s="64" t="inlineStr">
        <is>
          <t>https://huggingface.co/datasets/HenryWaltson/TMDB-IMDB-Movies-Dataset</t>
        </is>
      </c>
      <c r="P91" t="inlineStr">
        <is>
          <t>Robert De Niro</t>
        </is>
      </c>
      <c r="Q91" t="inlineStr">
        <is>
          <t>Zac Efron</t>
        </is>
      </c>
      <c r="R91" t="inlineStr">
        <is>
          <t>Aubrey Plaza</t>
        </is>
      </c>
      <c r="S91" t="inlineStr">
        <is>
          <t>Zoey Deutch</t>
        </is>
      </c>
      <c r="T91" t="inlineStr">
        <is>
          <t>Julianne Hough</t>
        </is>
      </c>
      <c r="U91" s="71" t="n">
        <v>0</v>
      </c>
      <c r="V91" s="71" t="n">
        <v>0</v>
      </c>
      <c r="X91" s="82">
        <f>IFERROR(INDEX(Ratings!$E$5:$E$500,MATCH(A91,Ratings!$A$5:$A$500,0)),"")</f>
        <v/>
      </c>
      <c r="Y91" s="71">
        <f>IFERROR(INDEX(Ratings!$G$5:$G$500,MATCH(A91,Ratings!$A$5:$A$500,0)),"")</f>
        <v/>
      </c>
      <c r="Z91" s="83">
        <f>IFERROR(INDEX(Ratings!$I$5:$I$500,MATCH(A91,Ratings!$A$5:$A$500,0)),"")</f>
        <v/>
      </c>
    </row>
    <row r="92" ht="15.75" customHeight="1" s="95">
      <c r="A92" t="inlineStr">
        <is>
          <t>F0088</t>
        </is>
      </c>
      <c r="B92" t="inlineStr">
        <is>
          <t>District 9</t>
        </is>
      </c>
      <c r="C92" s="63" t="inlineStr">
        <is>
          <t>2009</t>
        </is>
      </c>
      <c r="D92" t="inlineStr">
        <is>
          <t>Blu-ray</t>
        </is>
      </c>
      <c r="F92" s="64" t="n"/>
      <c r="I92" s="64" t="n"/>
      <c r="J92" s="64" t="inlineStr">
        <is>
          <t>Neill Blomkamp</t>
        </is>
      </c>
      <c r="K92" s="64" t="n">
        <v>112</v>
      </c>
      <c r="L92" s="64" t="inlineStr">
        <is>
          <t>Science Fiction</t>
        </is>
      </c>
      <c r="M92" s="64" t="inlineStr">
        <is>
          <t>TriStar Pictures, Block / Hanson, WingNut Films</t>
        </is>
      </c>
      <c r="N92" s="64" t="inlineStr">
        <is>
          <t>https://huggingface.co/datasets/HenryWaltson/TMDB-IMDB-Movies-Dataset</t>
        </is>
      </c>
      <c r="O92" s="64" t="inlineStr">
        <is>
          <t>https://huggingface.co/datasets/HenryWaltson/TMDB-IMDB-Movies-Dataset</t>
        </is>
      </c>
      <c r="P92" t="inlineStr">
        <is>
          <t>Sharlto Copley</t>
        </is>
      </c>
      <c r="Q92" t="inlineStr">
        <is>
          <t>Jason Cope</t>
        </is>
      </c>
      <c r="R92" t="inlineStr">
        <is>
          <t>Nathalie Boltt</t>
        </is>
      </c>
      <c r="S92" t="inlineStr">
        <is>
          <t>Sylvaine Strike</t>
        </is>
      </c>
      <c r="T92" t="inlineStr">
        <is>
          <t>Elizabeth Mkandawie</t>
        </is>
      </c>
      <c r="U92" s="71" t="n">
        <v>4</v>
      </c>
      <c r="V92" s="71" t="n">
        <v>0</v>
      </c>
      <c r="W92" t="inlineStr">
        <is>
          <t>Nominated</t>
        </is>
      </c>
      <c r="X92" s="82">
        <f>IFERROR(INDEX(Ratings!$E$5:$E$500,MATCH(A92,Ratings!$A$5:$A$500,0)),"")</f>
        <v/>
      </c>
      <c r="Y92" s="71">
        <f>IFERROR(INDEX(Ratings!$G$5:$G$500,MATCH(A92,Ratings!$A$5:$A$500,0)),"")</f>
        <v/>
      </c>
      <c r="Z92" s="83">
        <f>IFERROR(INDEX(Ratings!$I$5:$I$500,MATCH(A92,Ratings!$A$5:$A$500,0)),"")</f>
        <v/>
      </c>
    </row>
    <row r="93" ht="15.75" customHeight="1" s="95">
      <c r="A93" t="inlineStr">
        <is>
          <t>F0089</t>
        </is>
      </c>
      <c r="B93" t="inlineStr">
        <is>
          <t>Divergent</t>
        </is>
      </c>
      <c r="C93" s="63" t="inlineStr">
        <is>
          <t>2014</t>
        </is>
      </c>
      <c r="D93" t="inlineStr">
        <is>
          <t>Blu-ray</t>
        </is>
      </c>
      <c r="E93" t="inlineStr">
        <is>
          <t>Divergent</t>
        </is>
      </c>
      <c r="F93" s="64" t="n"/>
      <c r="I93" s="64" t="n"/>
      <c r="J93" s="64" t="inlineStr">
        <is>
          <t>Neil Burger</t>
        </is>
      </c>
      <c r="K93" s="64" t="n">
        <v>139</v>
      </c>
      <c r="L93" s="64" t="inlineStr">
        <is>
          <t>Action, Adventure, Science Fiction</t>
        </is>
      </c>
      <c r="M93" s="64" t="inlineStr">
        <is>
          <t>Summit Entertainment, Red Wagon Entertainment</t>
        </is>
      </c>
      <c r="N93" s="64" t="inlineStr">
        <is>
          <t>https://huggingface.co/datasets/HenryWaltson/TMDB-IMDB-Movies-Dataset</t>
        </is>
      </c>
      <c r="O93" s="64" t="inlineStr">
        <is>
          <t>https://huggingface.co/datasets/HenryWaltson/TMDB-IMDB-Movies-Dataset</t>
        </is>
      </c>
      <c r="P93" t="inlineStr">
        <is>
          <t>Shailene Woodley</t>
        </is>
      </c>
      <c r="Q93" t="inlineStr">
        <is>
          <t>Theo James</t>
        </is>
      </c>
      <c r="R93" t="inlineStr">
        <is>
          <t>Zoë Kravitz</t>
        </is>
      </c>
      <c r="S93" t="inlineStr">
        <is>
          <t>Miles Teller</t>
        </is>
      </c>
      <c r="T93" t="inlineStr">
        <is>
          <t>Jai Courtney</t>
        </is>
      </c>
      <c r="U93" s="71" t="n">
        <v>0</v>
      </c>
      <c r="V93" s="71" t="n">
        <v>0</v>
      </c>
      <c r="X93" s="82">
        <f>IFERROR(INDEX(Ratings!$E$5:$E$500,MATCH(A93,Ratings!$A$5:$A$500,0)),"")</f>
        <v/>
      </c>
      <c r="Y93" s="71">
        <f>IFERROR(INDEX(Ratings!$G$5:$G$500,MATCH(A93,Ratings!$A$5:$A$500,0)),"")</f>
        <v/>
      </c>
      <c r="Z93" s="83">
        <f>IFERROR(INDEX(Ratings!$I$5:$I$500,MATCH(A93,Ratings!$A$5:$A$500,0)),"")</f>
        <v/>
      </c>
    </row>
    <row r="94" ht="15.75" customHeight="1" s="95">
      <c r="A94" t="inlineStr">
        <is>
          <t>F0090</t>
        </is>
      </c>
      <c r="B94" t="inlineStr">
        <is>
          <t>Django Unchained</t>
        </is>
      </c>
      <c r="C94" s="63" t="inlineStr">
        <is>
          <t>2012</t>
        </is>
      </c>
      <c r="D94" t="inlineStr">
        <is>
          <t>Blu-ray</t>
        </is>
      </c>
      <c r="F94" s="64" t="n"/>
      <c r="I94" s="64" t="n"/>
      <c r="J94" s="64" t="inlineStr">
        <is>
          <t>Quentin Tarantino</t>
        </is>
      </c>
      <c r="K94" s="64" t="n">
        <v>165</v>
      </c>
      <c r="L94" s="64" t="inlineStr">
        <is>
          <t>Drama, Western</t>
        </is>
      </c>
      <c r="M94" s="64" t="inlineStr">
        <is>
          <t>The Weinstein Company, Columbia Pictures</t>
        </is>
      </c>
      <c r="N94" s="64" t="inlineStr">
        <is>
          <t>https://huggingface.co/datasets/HenryWaltson/TMDB-IMDB-Movies-Dataset</t>
        </is>
      </c>
      <c r="O94" s="64" t="inlineStr">
        <is>
          <t>https://huggingface.co/datasets/HenryWaltson/TMDB-IMDB-Movies-Dataset</t>
        </is>
      </c>
      <c r="P94" t="inlineStr">
        <is>
          <t>Jamie Foxx</t>
        </is>
      </c>
      <c r="Q94" t="inlineStr">
        <is>
          <t>Christoph Waltz</t>
        </is>
      </c>
      <c r="R94" t="inlineStr">
        <is>
          <t>Leonardo DiCaprio</t>
        </is>
      </c>
      <c r="S94" t="inlineStr">
        <is>
          <t>Kerry Washington</t>
        </is>
      </c>
      <c r="T94" t="inlineStr">
        <is>
          <t>Samuel L. Jackson</t>
        </is>
      </c>
      <c r="U94" s="71" t="n">
        <v>5</v>
      </c>
      <c r="V94" s="71" t="n">
        <v>2</v>
      </c>
      <c r="W94" t="inlineStr">
        <is>
          <t>Nominated</t>
        </is>
      </c>
      <c r="X94" s="82">
        <f>IFERROR(INDEX(Ratings!$E$5:$E$500,MATCH(A94,Ratings!$A$5:$A$500,0)),"")</f>
        <v/>
      </c>
      <c r="Y94" s="71">
        <f>IFERROR(INDEX(Ratings!$G$5:$G$500,MATCH(A94,Ratings!$A$5:$A$500,0)),"")</f>
        <v/>
      </c>
      <c r="Z94" s="83">
        <f>IFERROR(INDEX(Ratings!$I$5:$I$500,MATCH(A94,Ratings!$A$5:$A$500,0)),"")</f>
        <v/>
      </c>
    </row>
    <row r="95" ht="15.75" customHeight="1" s="95">
      <c r="A95" t="inlineStr">
        <is>
          <t>F0091</t>
        </is>
      </c>
      <c r="B95" t="inlineStr">
        <is>
          <t>Due Date</t>
        </is>
      </c>
      <c r="C95" s="63" t="inlineStr">
        <is>
          <t>2010</t>
        </is>
      </c>
      <c r="D95" t="inlineStr">
        <is>
          <t>Blu-ray</t>
        </is>
      </c>
      <c r="F95" s="64" t="n"/>
      <c r="I95" s="64" t="n"/>
      <c r="J95" s="64" t="inlineStr">
        <is>
          <t>Todd Phillips</t>
        </is>
      </c>
      <c r="K95" s="64" t="n">
        <v>95</v>
      </c>
      <c r="L95" s="64" t="inlineStr">
        <is>
          <t>Comedy, Drama</t>
        </is>
      </c>
      <c r="M95" s="64" t="inlineStr">
        <is>
          <t>Legendary Pictures, Green Hat Films, Warner Bros. Pictures</t>
        </is>
      </c>
      <c r="N95" s="64" t="inlineStr">
        <is>
          <t>https://huggingface.co/datasets/HenryWaltson/TMDB-IMDB-Movies-Dataset</t>
        </is>
      </c>
      <c r="O95" s="64" t="inlineStr">
        <is>
          <t>https://huggingface.co/datasets/HenryWaltson/TMDB-IMDB-Movies-Dataset</t>
        </is>
      </c>
      <c r="P95" t="inlineStr">
        <is>
          <t>Robert Downey Jr.</t>
        </is>
      </c>
      <c r="Q95" t="inlineStr">
        <is>
          <t>Zach Galifianakis</t>
        </is>
      </c>
      <c r="R95" t="inlineStr">
        <is>
          <t>Michelle Monaghan</t>
        </is>
      </c>
      <c r="S95" t="inlineStr">
        <is>
          <t>Jamie Foxx</t>
        </is>
      </c>
      <c r="T95" t="inlineStr">
        <is>
          <t>Juliette Lewis</t>
        </is>
      </c>
      <c r="U95" s="71" t="n">
        <v>0</v>
      </c>
      <c r="V95" s="71" t="n">
        <v>0</v>
      </c>
      <c r="X95" s="82">
        <f>IFERROR(INDEX(Ratings!$E$5:$E$500,MATCH(A95,Ratings!$A$5:$A$500,0)),"")</f>
        <v/>
      </c>
      <c r="Y95" s="71">
        <f>IFERROR(INDEX(Ratings!$G$5:$G$500,MATCH(A95,Ratings!$A$5:$A$500,0)),"")</f>
        <v/>
      </c>
      <c r="Z95" s="83">
        <f>IFERROR(INDEX(Ratings!$I$5:$I$500,MATCH(A95,Ratings!$A$5:$A$500,0)),"")</f>
        <v/>
      </c>
    </row>
    <row r="96" ht="15.75" customHeight="1" s="95">
      <c r="A96" t="inlineStr">
        <is>
          <t>F0092</t>
        </is>
      </c>
      <c r="B96" t="inlineStr">
        <is>
          <t>Elf</t>
        </is>
      </c>
      <c r="C96" s="63" t="inlineStr">
        <is>
          <t>2003</t>
        </is>
      </c>
      <c r="D96" t="inlineStr">
        <is>
          <t>4K UHD</t>
        </is>
      </c>
      <c r="F96" s="64" t="n"/>
      <c r="I96" s="64" t="n"/>
      <c r="J96" s="64" t="inlineStr">
        <is>
          <t>Jon Favreau</t>
        </is>
      </c>
      <c r="K96" s="64" t="n">
        <v>97</v>
      </c>
      <c r="L96" s="64" t="inlineStr">
        <is>
          <t>Comedy, Family, Fantasy</t>
        </is>
      </c>
      <c r="M96" s="64" t="inlineStr">
        <is>
          <t>New Line Cinema, Guy Walks into a Bar Productions</t>
        </is>
      </c>
      <c r="N96" s="64" t="inlineStr">
        <is>
          <t>https://huggingface.co/datasets/HenryWaltson/TMDB-IMDB-Movies-Dataset</t>
        </is>
      </c>
      <c r="O96" s="64" t="inlineStr">
        <is>
          <t>https://huggingface.co/datasets/HenryWaltson/TMDB-IMDB-Movies-Dataset</t>
        </is>
      </c>
      <c r="P96" t="inlineStr">
        <is>
          <t>Will Ferrell</t>
        </is>
      </c>
      <c r="Q96" t="inlineStr">
        <is>
          <t>James Caan</t>
        </is>
      </c>
      <c r="R96" t="inlineStr">
        <is>
          <t>Bob Newhart</t>
        </is>
      </c>
      <c r="S96" t="inlineStr">
        <is>
          <t>Ed Asner</t>
        </is>
      </c>
      <c r="T96" t="inlineStr">
        <is>
          <t>Mary Steenburgen</t>
        </is>
      </c>
      <c r="U96" s="71" t="n">
        <v>0</v>
      </c>
      <c r="V96" s="71" t="n">
        <v>0</v>
      </c>
      <c r="X96" s="82">
        <f>IFERROR(INDEX(Ratings!$E$5:$E$500,MATCH(A96,Ratings!$A$5:$A$500,0)),"")</f>
        <v/>
      </c>
      <c r="Y96" s="71">
        <f>IFERROR(INDEX(Ratings!$G$5:$G$500,MATCH(A96,Ratings!$A$5:$A$500,0)),"")</f>
        <v/>
      </c>
      <c r="Z96" s="83">
        <f>IFERROR(INDEX(Ratings!$I$5:$I$500,MATCH(A96,Ratings!$A$5:$A$500,0)),"")</f>
        <v/>
      </c>
    </row>
    <row r="97" ht="15.75" customHeight="1" s="95">
      <c r="A97" t="inlineStr">
        <is>
          <t>F0093</t>
        </is>
      </c>
      <c r="B97" t="inlineStr">
        <is>
          <t>Elysium</t>
        </is>
      </c>
      <c r="C97" s="63" t="inlineStr">
        <is>
          <t>2013</t>
        </is>
      </c>
      <c r="D97" t="inlineStr">
        <is>
          <t>Blu-ray</t>
        </is>
      </c>
      <c r="F97" s="64" t="n"/>
      <c r="I97" s="64" t="n"/>
      <c r="J97" s="64" t="inlineStr">
        <is>
          <t>Neill Blomkamp</t>
        </is>
      </c>
      <c r="K97" s="64" t="n">
        <v>109</v>
      </c>
      <c r="L97" s="64" t="inlineStr">
        <is>
          <t>Science Fiction, Action, Drama, Thriller</t>
        </is>
      </c>
      <c r="M97" s="64" t="inlineStr">
        <is>
          <t>Genre Films, TriStar Pictures, MRC</t>
        </is>
      </c>
      <c r="N97" s="64" t="inlineStr">
        <is>
          <t>https://huggingface.co/datasets/HenryWaltson/TMDB-IMDB-Movies-Dataset</t>
        </is>
      </c>
      <c r="O97" s="64" t="inlineStr">
        <is>
          <t>https://huggingface.co/datasets/HenryWaltson/TMDB-IMDB-Movies-Dataset</t>
        </is>
      </c>
      <c r="P97" t="inlineStr">
        <is>
          <t>Matt Damon</t>
        </is>
      </c>
      <c r="Q97" t="inlineStr">
        <is>
          <t>Jodie Foster</t>
        </is>
      </c>
      <c r="R97" t="inlineStr">
        <is>
          <t>Sharlto Copley</t>
        </is>
      </c>
      <c r="S97" t="inlineStr">
        <is>
          <t>Diego Luna</t>
        </is>
      </c>
      <c r="T97" t="inlineStr">
        <is>
          <t>Wagner Moura</t>
        </is>
      </c>
      <c r="U97" s="71" t="n">
        <v>0</v>
      </c>
      <c r="V97" s="71" t="n">
        <v>0</v>
      </c>
      <c r="X97" s="82">
        <f>IFERROR(INDEX(Ratings!$E$5:$E$500,MATCH(A97,Ratings!$A$5:$A$500,0)),"")</f>
        <v/>
      </c>
      <c r="Y97" s="71">
        <f>IFERROR(INDEX(Ratings!$G$5:$G$500,MATCH(A97,Ratings!$A$5:$A$500,0)),"")</f>
        <v/>
      </c>
      <c r="Z97" s="83">
        <f>IFERROR(INDEX(Ratings!$I$5:$I$500,MATCH(A97,Ratings!$A$5:$A$500,0)),"")</f>
        <v/>
      </c>
    </row>
    <row r="98" ht="15.75" customHeight="1" s="95">
      <c r="A98" t="inlineStr">
        <is>
          <t>F0094</t>
        </is>
      </c>
      <c r="B98" t="inlineStr">
        <is>
          <t>Enemy of the State</t>
        </is>
      </c>
      <c r="C98" s="63" t="inlineStr">
        <is>
          <t>1998</t>
        </is>
      </c>
      <c r="D98" t="inlineStr">
        <is>
          <t>Blu-ray</t>
        </is>
      </c>
      <c r="F98" s="64" t="n"/>
      <c r="I98" s="64" t="n"/>
      <c r="J98" s="64" t="inlineStr">
        <is>
          <t>Tony Scott</t>
        </is>
      </c>
      <c r="K98" s="64" t="n">
        <v>132</v>
      </c>
      <c r="L98" s="64" t="inlineStr">
        <is>
          <t>Action, Drama, Thriller</t>
        </is>
      </c>
      <c r="M98" s="64" t="inlineStr">
        <is>
          <t>Touchstone Pictures, Jerry Bruckheimer Films, Don Simpson/Jerry Bruckheimer Films</t>
        </is>
      </c>
      <c r="N98" s="64" t="inlineStr">
        <is>
          <t>https://huggingface.co/datasets/HenryWaltson/TMDB-IMDB-Movies-Dataset</t>
        </is>
      </c>
      <c r="O98" s="64" t="inlineStr">
        <is>
          <t>https://huggingface.co/datasets/HenryWaltson/TMDB-IMDB-Movies-Dataset</t>
        </is>
      </c>
      <c r="P98" t="inlineStr">
        <is>
          <t>Will Smith</t>
        </is>
      </c>
      <c r="Q98" t="inlineStr">
        <is>
          <t>Gene Hackman</t>
        </is>
      </c>
      <c r="R98" t="inlineStr">
        <is>
          <t>Jon Voight</t>
        </is>
      </c>
      <c r="S98" t="inlineStr">
        <is>
          <t>Regina King</t>
        </is>
      </c>
      <c r="T98" t="inlineStr">
        <is>
          <t>Loren Dean</t>
        </is>
      </c>
      <c r="U98" s="71" t="n">
        <v>0</v>
      </c>
      <c r="V98" s="71" t="n">
        <v>0</v>
      </c>
      <c r="X98" s="82">
        <f>IFERROR(INDEX(Ratings!$E$5:$E$500,MATCH(A98,Ratings!$A$5:$A$500,0)),"")</f>
        <v/>
      </c>
      <c r="Y98" s="71">
        <f>IFERROR(INDEX(Ratings!$G$5:$G$500,MATCH(A98,Ratings!$A$5:$A$500,0)),"")</f>
        <v/>
      </c>
      <c r="Z98" s="83">
        <f>IFERROR(INDEX(Ratings!$I$5:$I$500,MATCH(A98,Ratings!$A$5:$A$500,0)),"")</f>
        <v/>
      </c>
    </row>
    <row r="99" ht="15.75" customHeight="1" s="95">
      <c r="A99" t="inlineStr">
        <is>
          <t>F0095</t>
        </is>
      </c>
      <c r="B99" t="inlineStr">
        <is>
          <t>The Expendables</t>
        </is>
      </c>
      <c r="C99" s="63" t="inlineStr">
        <is>
          <t>2010</t>
        </is>
      </c>
      <c r="D99" t="inlineStr">
        <is>
          <t>Blu-ray</t>
        </is>
      </c>
      <c r="E99" t="inlineStr">
        <is>
          <t>Expendables</t>
        </is>
      </c>
      <c r="F99" s="64" t="n"/>
      <c r="I99" s="64" t="n"/>
      <c r="J99" s="64" t="inlineStr">
        <is>
          <t>Sylvester Stallone</t>
        </is>
      </c>
      <c r="K99" s="64" t="n">
        <v>103</v>
      </c>
      <c r="L99" s="64" t="inlineStr">
        <is>
          <t>Thriller, Adventure, Action</t>
        </is>
      </c>
      <c r="M99" s="64" t="inlineStr">
        <is>
          <t>Nimar Studios, Rogue Marble, Millennium Media</t>
        </is>
      </c>
      <c r="N99" s="64" t="inlineStr">
        <is>
          <t>https://huggingface.co/datasets/HenryWaltson/TMDB-IMDB-Movies-Dataset</t>
        </is>
      </c>
      <c r="O99" s="64" t="inlineStr">
        <is>
          <t>https://huggingface.co/datasets/HenryWaltson/TMDB-IMDB-Movies-Dataset</t>
        </is>
      </c>
      <c r="P99" t="inlineStr">
        <is>
          <t>Sylvester Stallone</t>
        </is>
      </c>
      <c r="Q99" t="inlineStr">
        <is>
          <t>Jason Statham</t>
        </is>
      </c>
      <c r="R99" t="inlineStr">
        <is>
          <t>Jet Li</t>
        </is>
      </c>
      <c r="S99" t="inlineStr">
        <is>
          <t>Dolph Lundgren</t>
        </is>
      </c>
      <c r="T99" t="inlineStr">
        <is>
          <t>Eric Roberts</t>
        </is>
      </c>
      <c r="U99" s="71" t="n">
        <v>0</v>
      </c>
      <c r="V99" s="71" t="n">
        <v>0</v>
      </c>
      <c r="X99" s="82">
        <f>IFERROR(INDEX(Ratings!$E$5:$E$500,MATCH(A99,Ratings!$A$5:$A$500,0)),"")</f>
        <v/>
      </c>
      <c r="Y99" s="71">
        <f>IFERROR(INDEX(Ratings!$G$5:$G$500,MATCH(A99,Ratings!$A$5:$A$500,0)),"")</f>
        <v/>
      </c>
      <c r="Z99" s="83">
        <f>IFERROR(INDEX(Ratings!$I$5:$I$500,MATCH(A99,Ratings!$A$5:$A$500,0)),"")</f>
        <v/>
      </c>
    </row>
    <row r="100" ht="15.75" customHeight="1" s="95">
      <c r="A100" t="inlineStr">
        <is>
          <t>F0096</t>
        </is>
      </c>
      <c r="B100" t="inlineStr">
        <is>
          <t>The Expendables 2</t>
        </is>
      </c>
      <c r="C100" s="63" t="inlineStr">
        <is>
          <t>2012</t>
        </is>
      </c>
      <c r="D100" t="inlineStr">
        <is>
          <t>Blu-ray</t>
        </is>
      </c>
      <c r="E100" t="inlineStr">
        <is>
          <t>Expendables</t>
        </is>
      </c>
      <c r="F100" s="64" t="n"/>
      <c r="I100" s="64" t="n"/>
      <c r="J100" s="64" t="inlineStr">
        <is>
          <t>Simon West</t>
        </is>
      </c>
      <c r="K100" s="64" t="n">
        <v>103</v>
      </c>
      <c r="L100" s="64" t="inlineStr">
        <is>
          <t>Action, Adventure, Thriller</t>
        </is>
      </c>
      <c r="M100" s="64" t="inlineStr">
        <is>
          <t>Nu Image, Millennium Media, Lionsgate</t>
        </is>
      </c>
      <c r="N100" s="64" t="inlineStr">
        <is>
          <t>https://huggingface.co/datasets/HenryWaltson/TMDB-IMDB-Movies-Dataset</t>
        </is>
      </c>
      <c r="O100" s="64" t="inlineStr">
        <is>
          <t>https://huggingface.co/datasets/HenryWaltson/TMDB-IMDB-Movies-Dataset</t>
        </is>
      </c>
      <c r="P100" t="inlineStr">
        <is>
          <t>Sylvester Stallone</t>
        </is>
      </c>
      <c r="Q100" t="inlineStr">
        <is>
          <t>Jason Statham</t>
        </is>
      </c>
      <c r="R100" t="inlineStr">
        <is>
          <t>Jet Li</t>
        </is>
      </c>
      <c r="S100" t="inlineStr">
        <is>
          <t>Dolph Lundgren</t>
        </is>
      </c>
      <c r="T100" t="inlineStr">
        <is>
          <t>Chuck Norris</t>
        </is>
      </c>
      <c r="U100" s="71" t="n">
        <v>0</v>
      </c>
      <c r="V100" s="71" t="n">
        <v>0</v>
      </c>
      <c r="X100" s="82">
        <f>IFERROR(INDEX(Ratings!$E$5:$E$500,MATCH(A100,Ratings!$A$5:$A$500,0)),"")</f>
        <v/>
      </c>
      <c r="Y100" s="71">
        <f>IFERROR(INDEX(Ratings!$G$5:$G$500,MATCH(A100,Ratings!$A$5:$A$500,0)),"")</f>
        <v/>
      </c>
      <c r="Z100" s="83">
        <f>IFERROR(INDEX(Ratings!$I$5:$I$500,MATCH(A100,Ratings!$A$5:$A$500,0)),"")</f>
        <v/>
      </c>
    </row>
    <row r="101" ht="15.75" customHeight="1" s="95">
      <c r="A101" t="inlineStr">
        <is>
          <t>F0097</t>
        </is>
      </c>
      <c r="B101" t="inlineStr">
        <is>
          <t>The Expendables 3</t>
        </is>
      </c>
      <c r="C101" s="63" t="inlineStr">
        <is>
          <t>2014</t>
        </is>
      </c>
      <c r="D101" t="inlineStr">
        <is>
          <t>Blu-ray</t>
        </is>
      </c>
      <c r="E101" t="inlineStr">
        <is>
          <t>Expendables</t>
        </is>
      </c>
      <c r="F101" s="64" t="n"/>
      <c r="I101" s="64" t="n"/>
      <c r="J101" s="64" t="inlineStr">
        <is>
          <t>Patrick Hughes</t>
        </is>
      </c>
      <c r="K101" s="64" t="n">
        <v>126</v>
      </c>
      <c r="L101" s="64" t="inlineStr">
        <is>
          <t>Action, Adventure, Thriller</t>
        </is>
      </c>
      <c r="M101" s="64" t="inlineStr">
        <is>
          <t>Davis Films, Nu Image, Ex3 Productions</t>
        </is>
      </c>
      <c r="N101" s="64" t="inlineStr">
        <is>
          <t>https://huggingface.co/datasets/HenryWaltson/TMDB-IMDB-Movies-Dataset</t>
        </is>
      </c>
      <c r="O101" s="64" t="inlineStr">
        <is>
          <t>https://huggingface.co/datasets/HenryWaltson/TMDB-IMDB-Movies-Dataset</t>
        </is>
      </c>
      <c r="P101" t="inlineStr">
        <is>
          <t>Sylvester Stallone</t>
        </is>
      </c>
      <c r="Q101" t="inlineStr">
        <is>
          <t>Jason Statham</t>
        </is>
      </c>
      <c r="R101" t="inlineStr">
        <is>
          <t>Harrison Ford</t>
        </is>
      </c>
      <c r="S101" t="inlineStr">
        <is>
          <t>Mel Gibson</t>
        </is>
      </c>
      <c r="T101" t="inlineStr">
        <is>
          <t>Arnold Schwarzenegger</t>
        </is>
      </c>
      <c r="U101" s="71" t="n">
        <v>0</v>
      </c>
      <c r="V101" s="71" t="n">
        <v>0</v>
      </c>
      <c r="X101" s="82">
        <f>IFERROR(INDEX(Ratings!$E$5:$E$500,MATCH(A101,Ratings!$A$5:$A$500,0)),"")</f>
        <v/>
      </c>
      <c r="Y101" s="71">
        <f>IFERROR(INDEX(Ratings!$G$5:$G$500,MATCH(A101,Ratings!$A$5:$A$500,0)),"")</f>
        <v/>
      </c>
      <c r="Z101" s="83">
        <f>IFERROR(INDEX(Ratings!$I$5:$I$500,MATCH(A101,Ratings!$A$5:$A$500,0)),"")</f>
        <v/>
      </c>
    </row>
    <row r="102" ht="15.75" customHeight="1" s="95">
      <c r="A102" t="inlineStr">
        <is>
          <t>F0098</t>
        </is>
      </c>
      <c r="B102" t="inlineStr">
        <is>
          <t>F1</t>
        </is>
      </c>
      <c r="C102" s="63" t="inlineStr">
        <is>
          <t>2025</t>
        </is>
      </c>
      <c r="D102" t="inlineStr">
        <is>
          <t>Blu-ray</t>
        </is>
      </c>
      <c r="F102" s="64" t="n"/>
      <c r="I102" s="64" t="n"/>
      <c r="J102" s="64" t="inlineStr">
        <is>
          <t>Joseph Kosinski</t>
        </is>
      </c>
      <c r="K102" s="64" t="n">
        <v>155</v>
      </c>
      <c r="L102" s="64" t="inlineStr">
        <is>
          <t>Action, Drama, Sport</t>
        </is>
      </c>
      <c r="M102" s="64" t="inlineStr">
        <is>
          <t>Apple Original Films, Jerry Bruckheimer Films, Plan B Entertainment</t>
        </is>
      </c>
      <c r="N102" s="64" t="inlineStr">
        <is>
          <t>https://huggingface.co/datasets/HenryWaltson/TMDB-IMDB-Movies-Dataset</t>
        </is>
      </c>
      <c r="O102" s="64" t="inlineStr">
        <is>
          <t>https://www.formula1.com/en/latest/article/all-the-key-f1-the-movie-cast-members-and-the-characters-they-play.7gTzQ326rBLko6fiVTjvRH.7gTzQ326rBLko6fiVTjvRH</t>
        </is>
      </c>
      <c r="P102" t="inlineStr">
        <is>
          <t>Brad Pitt</t>
        </is>
      </c>
      <c r="Q102" t="inlineStr">
        <is>
          <t>Damson Idris</t>
        </is>
      </c>
      <c r="R102" t="inlineStr">
        <is>
          <t>Javier Bardem</t>
        </is>
      </c>
      <c r="S102" t="inlineStr">
        <is>
          <t>Kerry Condon</t>
        </is>
      </c>
      <c r="T102" t="inlineStr">
        <is>
          <t>Tobias Menzies</t>
        </is>
      </c>
      <c r="U102" s="71" t="n">
        <v>4</v>
      </c>
      <c r="V102" s="71" t="n">
        <v>1</v>
      </c>
      <c r="W102" t="inlineStr">
        <is>
          <t>Nominated</t>
        </is>
      </c>
      <c r="X102" s="82">
        <f>IFERROR(INDEX(Ratings!$E$5:$E$500,MATCH(A102,Ratings!$A$5:$A$500,0)),"")</f>
        <v/>
      </c>
      <c r="Y102" s="71">
        <f>IFERROR(INDEX(Ratings!$G$5:$G$500,MATCH(A102,Ratings!$A$5:$A$500,0)),"")</f>
        <v/>
      </c>
      <c r="Z102" s="83">
        <f>IFERROR(INDEX(Ratings!$I$5:$I$500,MATCH(A102,Ratings!$A$5:$A$500,0)),"")</f>
        <v/>
      </c>
    </row>
    <row r="103" ht="15.75" customHeight="1" s="95">
      <c r="A103" t="inlineStr">
        <is>
          <t>F0099</t>
        </is>
      </c>
      <c r="B103" t="inlineStr">
        <is>
          <t>The Fall Guy</t>
        </is>
      </c>
      <c r="C103" s="63" t="inlineStr">
        <is>
          <t>2024</t>
        </is>
      </c>
      <c r="D103" t="inlineStr">
        <is>
          <t>Blu-ray</t>
        </is>
      </c>
      <c r="F103" s="64" t="n"/>
      <c r="I103" s="64" t="n"/>
      <c r="J103" s="64" t="inlineStr">
        <is>
          <t>David Leitch</t>
        </is>
      </c>
      <c r="K103" s="64" t="n"/>
      <c r="L103" s="64" t="inlineStr">
        <is>
          <t>Action, Adventure, Thriller</t>
        </is>
      </c>
      <c r="M103" s="64" t="inlineStr">
        <is>
          <t>Universal Pictures, 87North Productions, Entertainment 360</t>
        </is>
      </c>
      <c r="N103" s="64" t="inlineStr">
        <is>
          <t>https://huggingface.co/datasets/HenryWaltson/TMDB-IMDB-Movies-Dataset</t>
        </is>
      </c>
      <c r="O103" s="64" t="inlineStr">
        <is>
          <t>https://huggingface.co/datasets/HenryWaltson/TMDB-IMDB-Movies-Dataset</t>
        </is>
      </c>
      <c r="P103" t="inlineStr">
        <is>
          <t>Ryan Gosling</t>
        </is>
      </c>
      <c r="Q103" t="inlineStr">
        <is>
          <t>Emily Blunt</t>
        </is>
      </c>
      <c r="R103" t="inlineStr">
        <is>
          <t>Aaron Taylor-Johnson</t>
        </is>
      </c>
      <c r="S103" t="inlineStr">
        <is>
          <t>Hannah Waddingham</t>
        </is>
      </c>
      <c r="T103" t="inlineStr">
        <is>
          <t>Teresa Palmer</t>
        </is>
      </c>
      <c r="U103" s="71" t="n">
        <v>0</v>
      </c>
      <c r="V103" s="71" t="n">
        <v>0</v>
      </c>
      <c r="X103" s="82">
        <f>IFERROR(INDEX(Ratings!$E$5:$E$500,MATCH(A103,Ratings!$A$5:$A$500,0)),"")</f>
        <v/>
      </c>
      <c r="Y103" s="71">
        <f>IFERROR(INDEX(Ratings!$G$5:$G$500,MATCH(A103,Ratings!$A$5:$A$500,0)),"")</f>
        <v/>
      </c>
      <c r="Z103" s="83">
        <f>IFERROR(INDEX(Ratings!$I$5:$I$500,MATCH(A103,Ratings!$A$5:$A$500,0)),"")</f>
        <v/>
      </c>
    </row>
    <row r="104" ht="15.75" customHeight="1" s="95">
      <c r="A104" t="inlineStr">
        <is>
          <t>F0100</t>
        </is>
      </c>
      <c r="B104" t="inlineStr">
        <is>
          <t>Fantastic Beasts and Where to Find Them</t>
        </is>
      </c>
      <c r="C104" s="63" t="inlineStr">
        <is>
          <t>2016</t>
        </is>
      </c>
      <c r="D104" t="inlineStr">
        <is>
          <t>Blu-ray</t>
        </is>
      </c>
      <c r="E104" t="inlineStr">
        <is>
          <t>Wizarding World</t>
        </is>
      </c>
      <c r="F104" s="64" t="n"/>
      <c r="I104" s="64" t="n"/>
      <c r="J104" s="64" t="inlineStr">
        <is>
          <t>David Yates</t>
        </is>
      </c>
      <c r="K104" s="64" t="n">
        <v>132</v>
      </c>
      <c r="L104" s="64" t="inlineStr">
        <is>
          <t>Fantasy, Adventure, Family</t>
        </is>
      </c>
      <c r="M104" s="64" t="inlineStr">
        <is>
          <t>Heyday Films, Warner Bros. Pictures</t>
        </is>
      </c>
      <c r="N104" s="64" t="inlineStr">
        <is>
          <t>https://huggingface.co/datasets/HenryWaltson/TMDB-IMDB-Movies-Dataset</t>
        </is>
      </c>
      <c r="O104" s="64" t="inlineStr">
        <is>
          <t>https://huggingface.co/datasets/HenryWaltson/TMDB-IMDB-Movies-Dataset</t>
        </is>
      </c>
      <c r="P104" t="inlineStr">
        <is>
          <t>Eddie Redmayne</t>
        </is>
      </c>
      <c r="Q104" t="inlineStr">
        <is>
          <t>Katherine Waterston</t>
        </is>
      </c>
      <c r="R104" t="inlineStr">
        <is>
          <t>Dan Fogler</t>
        </is>
      </c>
      <c r="S104" t="inlineStr">
        <is>
          <t>Alison Sudol</t>
        </is>
      </c>
      <c r="T104" t="inlineStr">
        <is>
          <t>Colin Farrell</t>
        </is>
      </c>
      <c r="U104" s="71" t="n">
        <v>2</v>
      </c>
      <c r="V104" s="71" t="n">
        <v>1</v>
      </c>
      <c r="X104" s="82">
        <f>IFERROR(INDEX(Ratings!$E$5:$E$500,MATCH(A104,Ratings!$A$5:$A$500,0)),"")</f>
        <v/>
      </c>
      <c r="Y104" s="71">
        <f>IFERROR(INDEX(Ratings!$G$5:$G$500,MATCH(A104,Ratings!$A$5:$A$500,0)),"")</f>
        <v/>
      </c>
      <c r="Z104" s="83">
        <f>IFERROR(INDEX(Ratings!$I$5:$I$500,MATCH(A104,Ratings!$A$5:$A$500,0)),"")</f>
        <v/>
      </c>
    </row>
    <row r="105" ht="15.75" customHeight="1" s="95">
      <c r="A105" t="inlineStr">
        <is>
          <t>F0101</t>
        </is>
      </c>
      <c r="B105" t="inlineStr">
        <is>
          <t>The Fast and the Furious</t>
        </is>
      </c>
      <c r="C105" s="63" t="inlineStr">
        <is>
          <t>2001</t>
        </is>
      </c>
      <c r="D105" t="inlineStr">
        <is>
          <t>Blu-ray</t>
        </is>
      </c>
      <c r="E105" t="inlineStr">
        <is>
          <t>Fast &amp; Furious</t>
        </is>
      </c>
      <c r="F105" s="64" t="n"/>
      <c r="I105" s="64" t="n"/>
      <c r="J105" s="64" t="inlineStr">
        <is>
          <t>Rob Cohen</t>
        </is>
      </c>
      <c r="K105" s="64" t="n">
        <v>106</v>
      </c>
      <c r="L105" s="64" t="inlineStr">
        <is>
          <t>Action, Crime, Thriller</t>
        </is>
      </c>
      <c r="M105" s="64" t="inlineStr">
        <is>
          <t>Ardustry Entertainment, Universal Pictures, Original Film</t>
        </is>
      </c>
      <c r="N105" s="64" t="inlineStr">
        <is>
          <t>https://huggingface.co/datasets/HenryWaltson/TMDB-IMDB-Movies-Dataset</t>
        </is>
      </c>
      <c r="O105" s="64" t="inlineStr">
        <is>
          <t>https://huggingface.co/datasets/HenryWaltson/TMDB-IMDB-Movies-Dataset</t>
        </is>
      </c>
      <c r="P105" t="inlineStr">
        <is>
          <t>Paul Walker</t>
        </is>
      </c>
      <c r="Q105" t="inlineStr">
        <is>
          <t>Vin Diesel</t>
        </is>
      </c>
      <c r="R105" t="inlineStr">
        <is>
          <t>Michelle Rodriguez</t>
        </is>
      </c>
      <c r="S105" t="inlineStr">
        <is>
          <t>Jordana Brewster</t>
        </is>
      </c>
      <c r="T105" t="inlineStr">
        <is>
          <t>Rick Yune</t>
        </is>
      </c>
      <c r="U105" s="71" t="n">
        <v>0</v>
      </c>
      <c r="V105" s="71" t="n">
        <v>0</v>
      </c>
      <c r="X105" s="82">
        <f>IFERROR(INDEX(Ratings!$E$5:$E$500,MATCH(A105,Ratings!$A$5:$A$500,0)),"")</f>
        <v/>
      </c>
      <c r="Y105" s="71">
        <f>IFERROR(INDEX(Ratings!$G$5:$G$500,MATCH(A105,Ratings!$A$5:$A$500,0)),"")</f>
        <v/>
      </c>
      <c r="Z105" s="83">
        <f>IFERROR(INDEX(Ratings!$I$5:$I$500,MATCH(A105,Ratings!$A$5:$A$500,0)),"")</f>
        <v/>
      </c>
    </row>
    <row r="106" ht="15.75" customHeight="1" s="95">
      <c r="A106" t="inlineStr">
        <is>
          <t>F0102</t>
        </is>
      </c>
      <c r="B106" t="inlineStr">
        <is>
          <t>2 Fast 2 Furious</t>
        </is>
      </c>
      <c r="C106" s="63" t="inlineStr">
        <is>
          <t>2003</t>
        </is>
      </c>
      <c r="D106" t="inlineStr">
        <is>
          <t>Blu-ray</t>
        </is>
      </c>
      <c r="E106" t="inlineStr">
        <is>
          <t>Fast &amp; Furious</t>
        </is>
      </c>
      <c r="F106" s="64" t="n"/>
      <c r="G106" t="inlineStr">
        <is>
          <t>Yes</t>
        </is>
      </c>
      <c r="H106" t="inlineStr">
        <is>
          <t>⭐⭐⭐</t>
        </is>
      </c>
      <c r="I106" s="64" t="n"/>
      <c r="J106" s="64" t="inlineStr">
        <is>
          <t>John Singleton</t>
        </is>
      </c>
      <c r="K106" s="64" t="n">
        <v>108</v>
      </c>
      <c r="L106" s="64" t="inlineStr">
        <is>
          <t>Action, Crime, Thriller</t>
        </is>
      </c>
      <c r="M106" s="64" t="inlineStr">
        <is>
          <t>Ardustry Entertainment, Mikona Productions, Original Film</t>
        </is>
      </c>
      <c r="N106" s="64" t="inlineStr">
        <is>
          <t>https://huggingface.co/datasets/HenryWaltson/TMDB-IMDB-Movies-Dataset</t>
        </is>
      </c>
      <c r="O106" s="64" t="inlineStr">
        <is>
          <t>https://huggingface.co/datasets/HenryWaltson/TMDB-IMDB-Movies-Dataset</t>
        </is>
      </c>
      <c r="P106" t="inlineStr">
        <is>
          <t>Paul Walker</t>
        </is>
      </c>
      <c r="Q106" t="inlineStr">
        <is>
          <t>Tyrese Gibson</t>
        </is>
      </c>
      <c r="R106" t="inlineStr">
        <is>
          <t>Eva Mendes</t>
        </is>
      </c>
      <c r="S106" t="inlineStr">
        <is>
          <t>Cole Hauser</t>
        </is>
      </c>
      <c r="T106" t="inlineStr">
        <is>
          <t>Ludacris</t>
        </is>
      </c>
      <c r="U106" s="71" t="n">
        <v>0</v>
      </c>
      <c r="V106" s="71" t="n">
        <v>0</v>
      </c>
      <c r="X106" s="82">
        <f>IFERROR(INDEX(Ratings!$E$5:$E$500,MATCH(A106,Ratings!$A$5:$A$500,0)),"")</f>
        <v/>
      </c>
      <c r="Y106" s="71">
        <f>IFERROR(INDEX(Ratings!$G$5:$G$500,MATCH(A106,Ratings!$A$5:$A$500,0)),"")</f>
        <v/>
      </c>
      <c r="Z106" s="83">
        <f>IFERROR(INDEX(Ratings!$I$5:$I$500,MATCH(A106,Ratings!$A$5:$A$500,0)),"")</f>
        <v/>
      </c>
    </row>
    <row r="107" ht="15.75" customHeight="1" s="95">
      <c r="A107" t="inlineStr">
        <is>
          <t>F0103</t>
        </is>
      </c>
      <c r="B107" t="inlineStr">
        <is>
          <t>The Fast and the Furious: Tokyo Drift</t>
        </is>
      </c>
      <c r="C107" s="63" t="inlineStr">
        <is>
          <t>2006</t>
        </is>
      </c>
      <c r="D107" t="inlineStr">
        <is>
          <t>Blu-ray</t>
        </is>
      </c>
      <c r="E107" t="inlineStr">
        <is>
          <t>Fast &amp; Furious</t>
        </is>
      </c>
      <c r="F107" s="64" t="n"/>
      <c r="I107" s="64" t="n"/>
      <c r="J107" s="64" t="inlineStr">
        <is>
          <t>Justin Lin</t>
        </is>
      </c>
      <c r="K107" s="64" t="n">
        <v>104</v>
      </c>
      <c r="L107" s="64" t="inlineStr">
        <is>
          <t>Action, Crime, Drama, Thriller</t>
        </is>
      </c>
      <c r="M107" s="64" t="inlineStr">
        <is>
          <t>MP Munich Pape Filmproductions, Original Film, Relativity Media</t>
        </is>
      </c>
      <c r="N107" s="64" t="inlineStr">
        <is>
          <t>https://huggingface.co/datasets/HenryWaltson/TMDB-IMDB-Movies-Dataset</t>
        </is>
      </c>
      <c r="O107" s="64" t="inlineStr">
        <is>
          <t>https://huggingface.co/datasets/HenryWaltson/TMDB-IMDB-Movies-Dataset</t>
        </is>
      </c>
      <c r="P107" t="inlineStr">
        <is>
          <t>Lucas Black</t>
        </is>
      </c>
      <c r="Q107" t="inlineStr">
        <is>
          <t>Nathalie Kelley</t>
        </is>
      </c>
      <c r="R107" t="inlineStr">
        <is>
          <t>Sung Kang</t>
        </is>
      </c>
      <c r="S107" t="inlineStr">
        <is>
          <t>Shad Moss</t>
        </is>
      </c>
      <c r="T107" t="inlineStr">
        <is>
          <t>Brian Tee</t>
        </is>
      </c>
      <c r="U107" s="71" t="n">
        <v>0</v>
      </c>
      <c r="V107" s="71" t="n">
        <v>0</v>
      </c>
      <c r="X107" s="82">
        <f>IFERROR(INDEX(Ratings!$E$5:$E$500,MATCH(A107,Ratings!$A$5:$A$500,0)),"")</f>
        <v/>
      </c>
      <c r="Y107" s="71">
        <f>IFERROR(INDEX(Ratings!$G$5:$G$500,MATCH(A107,Ratings!$A$5:$A$500,0)),"")</f>
        <v/>
      </c>
      <c r="Z107" s="83">
        <f>IFERROR(INDEX(Ratings!$I$5:$I$500,MATCH(A107,Ratings!$A$5:$A$500,0)),"")</f>
        <v/>
      </c>
    </row>
    <row r="108" ht="15.75" customHeight="1" s="95">
      <c r="A108" t="inlineStr">
        <is>
          <t>F0104</t>
        </is>
      </c>
      <c r="B108" t="inlineStr">
        <is>
          <t>Fast &amp; Furious</t>
        </is>
      </c>
      <c r="C108" s="63" t="inlineStr">
        <is>
          <t>2009</t>
        </is>
      </c>
      <c r="D108" t="inlineStr">
        <is>
          <t>Blu-ray</t>
        </is>
      </c>
      <c r="E108" t="inlineStr">
        <is>
          <t>Fast &amp; Furious</t>
        </is>
      </c>
      <c r="F108" s="64" t="n"/>
      <c r="I108" s="64" t="n"/>
      <c r="J108" s="64" t="inlineStr">
        <is>
          <t>Justin Lin</t>
        </is>
      </c>
      <c r="K108" s="64" t="n">
        <v>107</v>
      </c>
      <c r="L108" s="64" t="inlineStr">
        <is>
          <t>Action, Crime, Drama, Thriller</t>
        </is>
      </c>
      <c r="M108" s="64" t="inlineStr">
        <is>
          <t>dentsu, Universal Pictures, Relativity Media</t>
        </is>
      </c>
      <c r="N108" s="64" t="inlineStr">
        <is>
          <t>https://huggingface.co/datasets/HenryWaltson/TMDB-IMDB-Movies-Dataset</t>
        </is>
      </c>
      <c r="O108" s="64" t="inlineStr">
        <is>
          <t>https://huggingface.co/datasets/HenryWaltson/TMDB-IMDB-Movies-Dataset</t>
        </is>
      </c>
      <c r="P108" t="inlineStr">
        <is>
          <t>Vin Diesel</t>
        </is>
      </c>
      <c r="Q108" t="inlineStr">
        <is>
          <t>Paul Walker</t>
        </is>
      </c>
      <c r="R108" t="inlineStr">
        <is>
          <t>Michelle Rodriguez</t>
        </is>
      </c>
      <c r="S108" t="inlineStr">
        <is>
          <t>Jordana Brewster</t>
        </is>
      </c>
      <c r="T108" t="inlineStr">
        <is>
          <t>John Ortiz</t>
        </is>
      </c>
      <c r="U108" s="71" t="n">
        <v>0</v>
      </c>
      <c r="V108" s="71" t="n">
        <v>0</v>
      </c>
      <c r="X108" s="82">
        <f>IFERROR(INDEX(Ratings!$E$5:$E$500,MATCH(A108,Ratings!$A$5:$A$500,0)),"")</f>
        <v/>
      </c>
      <c r="Y108" s="71">
        <f>IFERROR(INDEX(Ratings!$G$5:$G$500,MATCH(A108,Ratings!$A$5:$A$500,0)),"")</f>
        <v/>
      </c>
      <c r="Z108" s="83">
        <f>IFERROR(INDEX(Ratings!$I$5:$I$500,MATCH(A108,Ratings!$A$5:$A$500,0)),"")</f>
        <v/>
      </c>
    </row>
    <row r="109" ht="15.75" customHeight="1" s="95">
      <c r="A109" t="inlineStr">
        <is>
          <t>F0105</t>
        </is>
      </c>
      <c r="B109" t="inlineStr">
        <is>
          <t>Fast Five</t>
        </is>
      </c>
      <c r="C109" s="63" t="inlineStr">
        <is>
          <t>2011</t>
        </is>
      </c>
      <c r="D109" t="inlineStr">
        <is>
          <t>Blu-ray</t>
        </is>
      </c>
      <c r="E109" t="inlineStr">
        <is>
          <t>Fast &amp; Furious</t>
        </is>
      </c>
      <c r="F109" s="64" t="n"/>
      <c r="I109" s="64" t="n"/>
      <c r="J109" s="64" t="inlineStr">
        <is>
          <t>Justin Lin</t>
        </is>
      </c>
      <c r="K109" s="64" t="n">
        <v>130</v>
      </c>
      <c r="L109" s="64" t="inlineStr">
        <is>
          <t>Action, Thriller, Crime</t>
        </is>
      </c>
      <c r="M109" s="64" t="inlineStr">
        <is>
          <t>Original Film, Universal Pictures, One Race</t>
        </is>
      </c>
      <c r="N109" s="64" t="inlineStr">
        <is>
          <t>https://huggingface.co/datasets/HenryWaltson/TMDB-IMDB-Movies-Dataset</t>
        </is>
      </c>
      <c r="O109" s="64" t="inlineStr">
        <is>
          <t>https://huggingface.co/datasets/HenryWaltson/TMDB-IMDB-Movies-Dataset</t>
        </is>
      </c>
      <c r="P109" t="inlineStr">
        <is>
          <t>Vin Diesel</t>
        </is>
      </c>
      <c r="Q109" t="inlineStr">
        <is>
          <t>Paul Walker</t>
        </is>
      </c>
      <c r="R109" t="inlineStr">
        <is>
          <t>Dwayne Johnson</t>
        </is>
      </c>
      <c r="S109" t="inlineStr">
        <is>
          <t>Jordana Brewster</t>
        </is>
      </c>
      <c r="T109" t="inlineStr">
        <is>
          <t>Tyrese Gibson</t>
        </is>
      </c>
      <c r="U109" s="71" t="n">
        <v>0</v>
      </c>
      <c r="V109" s="71" t="n">
        <v>0</v>
      </c>
      <c r="X109" s="82">
        <f>IFERROR(INDEX(Ratings!$E$5:$E$500,MATCH(A109,Ratings!$A$5:$A$500,0)),"")</f>
        <v/>
      </c>
      <c r="Y109" s="71">
        <f>IFERROR(INDEX(Ratings!$G$5:$G$500,MATCH(A109,Ratings!$A$5:$A$500,0)),"")</f>
        <v/>
      </c>
      <c r="Z109" s="83">
        <f>IFERROR(INDEX(Ratings!$I$5:$I$500,MATCH(A109,Ratings!$A$5:$A$500,0)),"")</f>
        <v/>
      </c>
    </row>
    <row r="110" ht="15.75" customHeight="1" s="95">
      <c r="A110" t="inlineStr">
        <is>
          <t>F0106</t>
        </is>
      </c>
      <c r="B110" t="inlineStr">
        <is>
          <t>Fast &amp; Furious 6</t>
        </is>
      </c>
      <c r="C110" s="63" t="inlineStr">
        <is>
          <t>2013</t>
        </is>
      </c>
      <c r="D110" t="inlineStr">
        <is>
          <t>Blu-ray</t>
        </is>
      </c>
      <c r="E110" t="inlineStr">
        <is>
          <t>Fast &amp; Furious</t>
        </is>
      </c>
      <c r="F110" s="64" t="n"/>
      <c r="I110" s="64" t="n"/>
      <c r="J110" s="64" t="inlineStr">
        <is>
          <t>Justin Lin</t>
        </is>
      </c>
      <c r="K110" s="64" t="n">
        <v>131</v>
      </c>
      <c r="L110" s="64" t="inlineStr">
        <is>
          <t>Action, Thriller, Crime</t>
        </is>
      </c>
      <c r="M110" s="64" t="inlineStr">
        <is>
          <t>Universal Pictures, Relativity Media, Original Film</t>
        </is>
      </c>
      <c r="N110" s="64" t="inlineStr">
        <is>
          <t>https://huggingface.co/datasets/HenryWaltson/TMDB-IMDB-Movies-Dataset</t>
        </is>
      </c>
      <c r="O110" s="64" t="inlineStr">
        <is>
          <t>https://huggingface.co/datasets/HenryWaltson/TMDB-IMDB-Movies-Dataset</t>
        </is>
      </c>
      <c r="P110" t="inlineStr">
        <is>
          <t>Vin Diesel</t>
        </is>
      </c>
      <c r="Q110" t="inlineStr">
        <is>
          <t>Paul Walker</t>
        </is>
      </c>
      <c r="R110" t="inlineStr">
        <is>
          <t>Dwayne Johnson</t>
        </is>
      </c>
      <c r="S110" t="inlineStr">
        <is>
          <t>Jordana Brewster</t>
        </is>
      </c>
      <c r="T110" t="inlineStr">
        <is>
          <t>Michelle Rodriguez</t>
        </is>
      </c>
      <c r="U110" s="71" t="n">
        <v>0</v>
      </c>
      <c r="V110" s="71" t="n">
        <v>0</v>
      </c>
      <c r="X110" s="82">
        <f>IFERROR(INDEX(Ratings!$E$5:$E$500,MATCH(A110,Ratings!$A$5:$A$500,0)),"")</f>
        <v/>
      </c>
      <c r="Y110" s="71">
        <f>IFERROR(INDEX(Ratings!$G$5:$G$500,MATCH(A110,Ratings!$A$5:$A$500,0)),"")</f>
        <v/>
      </c>
      <c r="Z110" s="83">
        <f>IFERROR(INDEX(Ratings!$I$5:$I$500,MATCH(A110,Ratings!$A$5:$A$500,0)),"")</f>
        <v/>
      </c>
    </row>
    <row r="111" ht="15.75" customHeight="1" s="95">
      <c r="A111" t="inlineStr">
        <is>
          <t>F0107</t>
        </is>
      </c>
      <c r="B111" t="inlineStr">
        <is>
          <t>Furious 7</t>
        </is>
      </c>
      <c r="C111" s="63" t="inlineStr">
        <is>
          <t>2015</t>
        </is>
      </c>
      <c r="D111" t="inlineStr">
        <is>
          <t>Blu-ray</t>
        </is>
      </c>
      <c r="E111" t="inlineStr">
        <is>
          <t>Fast &amp; Furious</t>
        </is>
      </c>
      <c r="F111" s="64" t="n"/>
      <c r="I111" s="64" t="n"/>
      <c r="J111" s="64" t="inlineStr">
        <is>
          <t>James Wan</t>
        </is>
      </c>
      <c r="K111" s="64" t="n">
        <v>137</v>
      </c>
      <c r="L111" s="64" t="inlineStr">
        <is>
          <t>Action, Thriller, Crime</t>
        </is>
      </c>
      <c r="M111" s="64" t="inlineStr">
        <is>
          <t>Original Film, One Race, Universal Pictures</t>
        </is>
      </c>
      <c r="N111" s="64" t="inlineStr">
        <is>
          <t>https://huggingface.co/datasets/HenryWaltson/TMDB-IMDB-Movies-Dataset</t>
        </is>
      </c>
      <c r="O111" s="64" t="inlineStr">
        <is>
          <t>https://huggingface.co/datasets/HenryWaltson/TMDB-IMDB-Movies-Dataset</t>
        </is>
      </c>
      <c r="P111" t="inlineStr">
        <is>
          <t>Vin Diesel</t>
        </is>
      </c>
      <c r="Q111" t="inlineStr">
        <is>
          <t>Paul Walker</t>
        </is>
      </c>
      <c r="R111" t="inlineStr">
        <is>
          <t>Jason Statham</t>
        </is>
      </c>
      <c r="S111" t="inlineStr">
        <is>
          <t>Michelle Rodriguez</t>
        </is>
      </c>
      <c r="T111" t="inlineStr">
        <is>
          <t>Jordana Brewster</t>
        </is>
      </c>
      <c r="U111" s="71" t="n">
        <v>0</v>
      </c>
      <c r="V111" s="71" t="n">
        <v>0</v>
      </c>
      <c r="X111" s="82">
        <f>IFERROR(INDEX(Ratings!$E$5:$E$500,MATCH(A111,Ratings!$A$5:$A$500,0)),"")</f>
        <v/>
      </c>
      <c r="Y111" s="71">
        <f>IFERROR(INDEX(Ratings!$G$5:$G$500,MATCH(A111,Ratings!$A$5:$A$500,0)),"")</f>
        <v/>
      </c>
      <c r="Z111" s="83">
        <f>IFERROR(INDEX(Ratings!$I$5:$I$500,MATCH(A111,Ratings!$A$5:$A$500,0)),"")</f>
        <v/>
      </c>
    </row>
    <row r="112" ht="15.75" customHeight="1" s="95">
      <c r="A112" t="inlineStr">
        <is>
          <t>F0108</t>
        </is>
      </c>
      <c r="B112" t="inlineStr">
        <is>
          <t>The Fate of the Furious</t>
        </is>
      </c>
      <c r="C112" s="63" t="inlineStr">
        <is>
          <t>2017</t>
        </is>
      </c>
      <c r="D112" t="inlineStr">
        <is>
          <t>Blu-ray</t>
        </is>
      </c>
      <c r="E112" t="inlineStr">
        <is>
          <t>Fast &amp; Furious</t>
        </is>
      </c>
      <c r="F112" s="64" t="n"/>
      <c r="I112" s="64" t="n"/>
      <c r="J112" s="64" t="inlineStr">
        <is>
          <t>F. Gary Gray</t>
        </is>
      </c>
      <c r="K112" s="64" t="n">
        <v>136</v>
      </c>
      <c r="L112" s="64" t="inlineStr">
        <is>
          <t>Action, Crime, Thriller</t>
        </is>
      </c>
      <c r="M112" s="64" t="inlineStr">
        <is>
          <t>Original Film, One Race, Universal Pictures</t>
        </is>
      </c>
      <c r="N112" s="64" t="inlineStr">
        <is>
          <t>https://huggingface.co/datasets/HenryWaltson/TMDB-IMDB-Movies-Dataset</t>
        </is>
      </c>
      <c r="O112" s="64" t="inlineStr">
        <is>
          <t>https://huggingface.co/datasets/HenryWaltson/TMDB-IMDB-Movies-Dataset</t>
        </is>
      </c>
      <c r="P112" t="inlineStr">
        <is>
          <t>Vin Diesel</t>
        </is>
      </c>
      <c r="Q112" t="inlineStr">
        <is>
          <t>Jason Statham</t>
        </is>
      </c>
      <c r="R112" t="inlineStr">
        <is>
          <t>Dwayne Johnson</t>
        </is>
      </c>
      <c r="S112" t="inlineStr">
        <is>
          <t>Michelle Rodriguez</t>
        </is>
      </c>
      <c r="T112" t="inlineStr">
        <is>
          <t>Tyrese Gibson</t>
        </is>
      </c>
      <c r="U112" s="71" t="n">
        <v>0</v>
      </c>
      <c r="V112" s="71" t="n">
        <v>0</v>
      </c>
      <c r="X112" s="82">
        <f>IFERROR(INDEX(Ratings!$E$5:$E$500,MATCH(A112,Ratings!$A$5:$A$500,0)),"")</f>
        <v/>
      </c>
      <c r="Y112" s="71">
        <f>IFERROR(INDEX(Ratings!$G$5:$G$500,MATCH(A112,Ratings!$A$5:$A$500,0)),"")</f>
        <v/>
      </c>
      <c r="Z112" s="83">
        <f>IFERROR(INDEX(Ratings!$I$5:$I$500,MATCH(A112,Ratings!$A$5:$A$500,0)),"")</f>
        <v/>
      </c>
    </row>
    <row r="113" ht="15.75" customHeight="1" s="95">
      <c r="A113" t="inlineStr">
        <is>
          <t>F0109</t>
        </is>
      </c>
      <c r="B113" t="inlineStr">
        <is>
          <t>F9: The Fast Saga</t>
        </is>
      </c>
      <c r="C113" s="63" t="inlineStr">
        <is>
          <t>2021</t>
        </is>
      </c>
      <c r="D113" t="inlineStr">
        <is>
          <t>Blu-ray</t>
        </is>
      </c>
      <c r="E113" t="inlineStr">
        <is>
          <t>Fast &amp; Furious</t>
        </is>
      </c>
      <c r="F113" s="64" t="n"/>
      <c r="I113" s="64" t="n"/>
      <c r="J113" s="64" t="inlineStr">
        <is>
          <t>Justin Lin</t>
        </is>
      </c>
      <c r="K113" s="64" t="n">
        <v>143</v>
      </c>
      <c r="L113" s="64" t="inlineStr">
        <is>
          <t>Action, Adventure, Crime</t>
        </is>
      </c>
      <c r="M113" s="64" t="inlineStr">
        <is>
          <t>Universal Pictures, Original Film, One Race</t>
        </is>
      </c>
      <c r="N113" s="64" t="inlineStr">
        <is>
          <t>https://huggingface.co/datasets/HenryWaltson/TMDB-IMDB-Movies-Dataset</t>
        </is>
      </c>
      <c r="O113" s="64" t="inlineStr">
        <is>
          <t>https://huggingface.co/datasets/HenryWaltson/TMDB-IMDB-Movies-Dataset</t>
        </is>
      </c>
      <c r="P113" t="inlineStr">
        <is>
          <t>Vin Diesel</t>
        </is>
      </c>
      <c r="Q113" t="inlineStr">
        <is>
          <t>Michelle Rodriguez</t>
        </is>
      </c>
      <c r="R113" t="inlineStr">
        <is>
          <t>Tyrese Gibson</t>
        </is>
      </c>
      <c r="S113" t="inlineStr">
        <is>
          <t>Ludacris</t>
        </is>
      </c>
      <c r="T113" t="inlineStr">
        <is>
          <t>John Cena</t>
        </is>
      </c>
      <c r="U113" s="71" t="n">
        <v>0</v>
      </c>
      <c r="V113" s="71" t="n">
        <v>0</v>
      </c>
      <c r="X113" s="82">
        <f>IFERROR(INDEX(Ratings!$E$5:$E$500,MATCH(A113,Ratings!$A$5:$A$500,0)),"")</f>
        <v/>
      </c>
      <c r="Y113" s="71">
        <f>IFERROR(INDEX(Ratings!$G$5:$G$500,MATCH(A113,Ratings!$A$5:$A$500,0)),"")</f>
        <v/>
      </c>
      <c r="Z113" s="83">
        <f>IFERROR(INDEX(Ratings!$I$5:$I$500,MATCH(A113,Ratings!$A$5:$A$500,0)),"")</f>
        <v/>
      </c>
    </row>
    <row r="114" ht="15.75" customHeight="1" s="95">
      <c r="A114" t="inlineStr">
        <is>
          <t>F0110</t>
        </is>
      </c>
      <c r="B114" t="inlineStr">
        <is>
          <t>Fast X</t>
        </is>
      </c>
      <c r="C114" s="63" t="inlineStr">
        <is>
          <t>2023</t>
        </is>
      </c>
      <c r="D114" t="inlineStr">
        <is>
          <t>Blu-ray</t>
        </is>
      </c>
      <c r="E114" t="inlineStr">
        <is>
          <t>Fast &amp; Furious</t>
        </is>
      </c>
      <c r="F114" s="64" t="n"/>
      <c r="I114" s="64" t="n"/>
      <c r="J114" s="64" t="inlineStr">
        <is>
          <t>Louis Leterrier</t>
        </is>
      </c>
      <c r="K114" s="64" t="n">
        <v>142</v>
      </c>
      <c r="L114" s="64" t="inlineStr">
        <is>
          <t>Action, Crime, Thriller</t>
        </is>
      </c>
      <c r="M114" s="64" t="inlineStr">
        <is>
          <t>Universal Pictures, Original Film, One Race</t>
        </is>
      </c>
      <c r="N114" s="64" t="inlineStr">
        <is>
          <t>https://huggingface.co/datasets/HenryWaltson/TMDB-IMDB-Movies-Dataset</t>
        </is>
      </c>
      <c r="O114" s="64" t="inlineStr">
        <is>
          <t>https://huggingface.co/datasets/HenryWaltson/TMDB-IMDB-Movies-Dataset</t>
        </is>
      </c>
      <c r="P114" t="inlineStr">
        <is>
          <t>Vin Diesel</t>
        </is>
      </c>
      <c r="Q114" t="inlineStr">
        <is>
          <t>Michelle Rodriguez</t>
        </is>
      </c>
      <c r="R114" t="inlineStr">
        <is>
          <t>Tyrese Gibson</t>
        </is>
      </c>
      <c r="S114" t="inlineStr">
        <is>
          <t>Ludacris</t>
        </is>
      </c>
      <c r="T114" t="inlineStr">
        <is>
          <t>John Cena</t>
        </is>
      </c>
      <c r="U114" s="71" t="n">
        <v>0</v>
      </c>
      <c r="V114" s="71" t="n">
        <v>0</v>
      </c>
      <c r="X114" s="82">
        <f>IFERROR(INDEX(Ratings!$E$5:$E$500,MATCH(A114,Ratings!$A$5:$A$500,0)),"")</f>
        <v/>
      </c>
      <c r="Y114" s="71">
        <f>IFERROR(INDEX(Ratings!$G$5:$G$500,MATCH(A114,Ratings!$A$5:$A$500,0)),"")</f>
        <v/>
      </c>
      <c r="Z114" s="83">
        <f>IFERROR(INDEX(Ratings!$I$5:$I$500,MATCH(A114,Ratings!$A$5:$A$500,0)),"")</f>
        <v/>
      </c>
    </row>
    <row r="115" ht="15.75" customHeight="1" s="95">
      <c r="A115" t="inlineStr">
        <is>
          <t>F0111</t>
        </is>
      </c>
      <c r="B115" t="inlineStr">
        <is>
          <t>Fast &amp; Furious Presents: Hobbs &amp; Shaw</t>
        </is>
      </c>
      <c r="C115" s="63" t="inlineStr">
        <is>
          <t>2019</t>
        </is>
      </c>
      <c r="D115" t="inlineStr">
        <is>
          <t>Blu-ray</t>
        </is>
      </c>
      <c r="E115" t="inlineStr">
        <is>
          <t>Fast &amp; Furious</t>
        </is>
      </c>
      <c r="F115" s="64" t="n"/>
      <c r="I115" s="64" t="n"/>
      <c r="J115" s="64" t="inlineStr">
        <is>
          <t>David Leitch</t>
        </is>
      </c>
      <c r="K115" s="64" t="n">
        <v>137</v>
      </c>
      <c r="L115" s="64" t="inlineStr">
        <is>
          <t>Action, Adventure, Comedy</t>
        </is>
      </c>
      <c r="M115" s="64" t="inlineStr">
        <is>
          <t>Universal Pictures, Seven Bucks Productions, Chris Morgan Productions</t>
        </is>
      </c>
      <c r="N115" s="64" t="inlineStr">
        <is>
          <t>https://huggingface.co/datasets/HenryWaltson/TMDB-IMDB-Movies-Dataset</t>
        </is>
      </c>
      <c r="O115" s="64" t="inlineStr">
        <is>
          <t>https://huggingface.co/datasets/HenryWaltson/TMDB-IMDB-Movies-Dataset</t>
        </is>
      </c>
      <c r="P115" t="inlineStr">
        <is>
          <t>Dwayne Johnson</t>
        </is>
      </c>
      <c r="Q115" t="inlineStr">
        <is>
          <t>Jason Statham</t>
        </is>
      </c>
      <c r="R115" t="inlineStr">
        <is>
          <t>Idris Elba</t>
        </is>
      </c>
      <c r="S115" t="inlineStr">
        <is>
          <t>Vanessa Kirby</t>
        </is>
      </c>
      <c r="T115" t="inlineStr">
        <is>
          <t>Helen Mirren</t>
        </is>
      </c>
      <c r="U115" s="71" t="n">
        <v>0</v>
      </c>
      <c r="V115" s="71" t="n">
        <v>0</v>
      </c>
      <c r="X115" s="82">
        <f>IFERROR(INDEX(Ratings!$E$5:$E$500,MATCH(A115,Ratings!$A$5:$A$500,0)),"")</f>
        <v/>
      </c>
      <c r="Y115" s="71">
        <f>IFERROR(INDEX(Ratings!$G$5:$G$500,MATCH(A115,Ratings!$A$5:$A$500,0)),"")</f>
        <v/>
      </c>
      <c r="Z115" s="83">
        <f>IFERROR(INDEX(Ratings!$I$5:$I$500,MATCH(A115,Ratings!$A$5:$A$500,0)),"")</f>
        <v/>
      </c>
    </row>
    <row r="116" ht="15.75" customHeight="1" s="95">
      <c r="A116" t="inlineStr">
        <is>
          <t>F0112</t>
        </is>
      </c>
      <c r="B116" t="inlineStr">
        <is>
          <t>Fight Club</t>
        </is>
      </c>
      <c r="C116" s="63" t="inlineStr">
        <is>
          <t>1999</t>
        </is>
      </c>
      <c r="D116" t="inlineStr">
        <is>
          <t>Blu-ray</t>
        </is>
      </c>
      <c r="F116" s="64" t="n"/>
      <c r="I116" s="64" t="n"/>
      <c r="J116" s="64" t="inlineStr">
        <is>
          <t>David Fincher</t>
        </is>
      </c>
      <c r="K116" s="64" t="n">
        <v>139</v>
      </c>
      <c r="L116" s="64" t="inlineStr">
        <is>
          <t>Drama</t>
        </is>
      </c>
      <c r="M116" s="64" t="inlineStr">
        <is>
          <t>Regency Enterprises, Fox 2000 Pictures, Taurus Film</t>
        </is>
      </c>
      <c r="N116" s="64" t="inlineStr">
        <is>
          <t>https://huggingface.co/datasets/HenryWaltson/TMDB-IMDB-Movies-Dataset</t>
        </is>
      </c>
      <c r="O116" s="64" t="inlineStr">
        <is>
          <t>https://huggingface.co/datasets/HenryWaltson/TMDB-IMDB-Movies-Dataset</t>
        </is>
      </c>
      <c r="P116" t="inlineStr">
        <is>
          <t>Edward Norton</t>
        </is>
      </c>
      <c r="Q116" t="inlineStr">
        <is>
          <t>Brad Pitt</t>
        </is>
      </c>
      <c r="R116" t="inlineStr">
        <is>
          <t>Helena Bonham Carter</t>
        </is>
      </c>
      <c r="S116" t="inlineStr">
        <is>
          <t>Meat Loaf</t>
        </is>
      </c>
      <c r="T116" t="inlineStr">
        <is>
          <t>Jared Leto</t>
        </is>
      </c>
      <c r="U116" s="71" t="n">
        <v>1</v>
      </c>
      <c r="V116" s="71" t="n">
        <v>0</v>
      </c>
      <c r="X116" s="82">
        <f>IFERROR(INDEX(Ratings!$E$5:$E$500,MATCH(A116,Ratings!$A$5:$A$500,0)),"")</f>
        <v/>
      </c>
      <c r="Y116" s="71">
        <f>IFERROR(INDEX(Ratings!$G$5:$G$500,MATCH(A116,Ratings!$A$5:$A$500,0)),"")</f>
        <v/>
      </c>
      <c r="Z116" s="83">
        <f>IFERROR(INDEX(Ratings!$I$5:$I$500,MATCH(A116,Ratings!$A$5:$A$500,0)),"")</f>
        <v/>
      </c>
    </row>
    <row r="117" ht="15.75" customHeight="1" s="95">
      <c r="A117" t="inlineStr">
        <is>
          <t>F0113</t>
        </is>
      </c>
      <c r="B117" t="inlineStr">
        <is>
          <t>Finding Dory</t>
        </is>
      </c>
      <c r="C117" s="63" t="inlineStr">
        <is>
          <t>2016</t>
        </is>
      </c>
      <c r="D117" t="inlineStr">
        <is>
          <t>Blu-ray</t>
        </is>
      </c>
      <c r="E117" t="inlineStr">
        <is>
          <t>Finding Nemo</t>
        </is>
      </c>
      <c r="F117" s="64" t="n"/>
      <c r="I117" s="64" t="n"/>
      <c r="J117" s="64" t="inlineStr">
        <is>
          <t>Andrew Stanton, Angus MacLane</t>
        </is>
      </c>
      <c r="K117" s="64" t="n">
        <v>97</v>
      </c>
      <c r="L117" s="64" t="inlineStr">
        <is>
          <t>Adventure, Animation, Comedy, Family</t>
        </is>
      </c>
      <c r="M117" s="64" t="inlineStr">
        <is>
          <t>Pixar, Walt Disney Pictures</t>
        </is>
      </c>
      <c r="N117" s="64" t="inlineStr">
        <is>
          <t>https://huggingface.co/datasets/HenryWaltson/TMDB-IMDB-Movies-Dataset</t>
        </is>
      </c>
      <c r="O117" s="64" t="inlineStr">
        <is>
          <t>https://huggingface.co/datasets/HenryWaltson/TMDB-IMDB-Movies-Dataset</t>
        </is>
      </c>
      <c r="P117" t="inlineStr">
        <is>
          <t>Albert Brooks</t>
        </is>
      </c>
      <c r="Q117" t="inlineStr">
        <is>
          <t>Ellen DeGeneres</t>
        </is>
      </c>
      <c r="R117" t="inlineStr">
        <is>
          <t>Ed O'Neill</t>
        </is>
      </c>
      <c r="S117" t="inlineStr">
        <is>
          <t>Hayden Rolence</t>
        </is>
      </c>
      <c r="T117" t="inlineStr">
        <is>
          <t>Diane Keaton</t>
        </is>
      </c>
      <c r="U117" s="71" t="n">
        <v>0</v>
      </c>
      <c r="V117" s="71" t="n">
        <v>0</v>
      </c>
      <c r="X117" s="82">
        <f>IFERROR(INDEX(Ratings!$E$5:$E$500,MATCH(A117,Ratings!$A$5:$A$500,0)),"")</f>
        <v/>
      </c>
      <c r="Y117" s="71">
        <f>IFERROR(INDEX(Ratings!$G$5:$G$500,MATCH(A117,Ratings!$A$5:$A$500,0)),"")</f>
        <v/>
      </c>
      <c r="Z117" s="83">
        <f>IFERROR(INDEX(Ratings!$I$5:$I$500,MATCH(A117,Ratings!$A$5:$A$500,0)),"")</f>
        <v/>
      </c>
    </row>
    <row r="118" ht="15.75" customHeight="1" s="95">
      <c r="A118" t="inlineStr">
        <is>
          <t>F0114</t>
        </is>
      </c>
      <c r="B118" t="inlineStr">
        <is>
          <t>Firewall</t>
        </is>
      </c>
      <c r="C118" s="63" t="inlineStr">
        <is>
          <t>2006</t>
        </is>
      </c>
      <c r="D118" t="inlineStr">
        <is>
          <t>Blu-ray</t>
        </is>
      </c>
      <c r="F118" s="64" t="n"/>
      <c r="I118" s="64" t="n"/>
      <c r="J118" s="64" t="inlineStr">
        <is>
          <t>Richard Loncraine</t>
        </is>
      </c>
      <c r="K118" s="64" t="n">
        <v>105</v>
      </c>
      <c r="L118" s="64" t="inlineStr">
        <is>
          <t>Action, Crime, Thriller</t>
        </is>
      </c>
      <c r="M118" s="64" t="inlineStr">
        <is>
          <t>Village Roadshow Pictures, Beacon Pictures, Thunder Road</t>
        </is>
      </c>
      <c r="N118" s="64" t="inlineStr">
        <is>
          <t>https://huggingface.co/datasets/HenryWaltson/TMDB-IMDB-Movies-Dataset</t>
        </is>
      </c>
      <c r="O118" s="64" t="inlineStr">
        <is>
          <t>https://huggingface.co/datasets/HenryWaltson/TMDB-IMDB-Movies-Dataset</t>
        </is>
      </c>
      <c r="P118" t="inlineStr">
        <is>
          <t>Harrison Ford</t>
        </is>
      </c>
      <c r="Q118" t="inlineStr">
        <is>
          <t>Paul Bettany</t>
        </is>
      </c>
      <c r="R118" t="inlineStr">
        <is>
          <t>Virginia Madsen</t>
        </is>
      </c>
      <c r="S118" t="inlineStr">
        <is>
          <t>Carly Schroeder</t>
        </is>
      </c>
      <c r="T118" t="inlineStr">
        <is>
          <t>Jimmy Bennett</t>
        </is>
      </c>
      <c r="U118" s="71" t="n">
        <v>0</v>
      </c>
      <c r="V118" s="71" t="n">
        <v>0</v>
      </c>
      <c r="X118" s="82">
        <f>IFERROR(INDEX(Ratings!$E$5:$E$500,MATCH(A118,Ratings!$A$5:$A$500,0)),"")</f>
        <v/>
      </c>
      <c r="Y118" s="71">
        <f>IFERROR(INDEX(Ratings!$G$5:$G$500,MATCH(A118,Ratings!$A$5:$A$500,0)),"")</f>
        <v/>
      </c>
      <c r="Z118" s="83">
        <f>IFERROR(INDEX(Ratings!$I$5:$I$500,MATCH(A118,Ratings!$A$5:$A$500,0)),"")</f>
        <v/>
      </c>
    </row>
    <row r="119" ht="15.75" customHeight="1" s="95">
      <c r="A119" t="inlineStr">
        <is>
          <t>F0115</t>
        </is>
      </c>
      <c r="B119" t="inlineStr">
        <is>
          <t>Forgetting Sarah Marshall</t>
        </is>
      </c>
      <c r="C119" s="63" t="inlineStr">
        <is>
          <t>2008</t>
        </is>
      </c>
      <c r="D119" t="inlineStr">
        <is>
          <t>Blu-ray</t>
        </is>
      </c>
      <c r="F119" s="64" t="n"/>
      <c r="I119" s="64" t="n"/>
      <c r="J119" s="64" t="inlineStr">
        <is>
          <t>Nicholas Stoller</t>
        </is>
      </c>
      <c r="K119" s="64" t="n">
        <v>111</v>
      </c>
      <c r="L119" s="64" t="inlineStr">
        <is>
          <t>Comedy, Romance, Drama</t>
        </is>
      </c>
      <c r="M119" s="64" t="inlineStr">
        <is>
          <t>Universal Pictures, Apatow Productions</t>
        </is>
      </c>
      <c r="N119" s="64" t="inlineStr">
        <is>
          <t>https://huggingface.co/datasets/HenryWaltson/TMDB-IMDB-Movies-Dataset</t>
        </is>
      </c>
      <c r="O119" s="64" t="inlineStr">
        <is>
          <t>https://huggingface.co/datasets/HenryWaltson/TMDB-IMDB-Movies-Dataset</t>
        </is>
      </c>
      <c r="P119" t="inlineStr">
        <is>
          <t>Jason Segel</t>
        </is>
      </c>
      <c r="Q119" t="inlineStr">
        <is>
          <t>Kristen Bell</t>
        </is>
      </c>
      <c r="R119" t="inlineStr">
        <is>
          <t>Mila Kunis</t>
        </is>
      </c>
      <c r="S119" t="inlineStr">
        <is>
          <t>Russell Brand</t>
        </is>
      </c>
      <c r="T119" t="inlineStr">
        <is>
          <t>Bill Hader</t>
        </is>
      </c>
      <c r="U119" s="71" t="n">
        <v>0</v>
      </c>
      <c r="V119" s="71" t="n">
        <v>0</v>
      </c>
      <c r="X119" s="82">
        <f>IFERROR(INDEX(Ratings!$E$5:$E$500,MATCH(A119,Ratings!$A$5:$A$500,0)),"")</f>
        <v/>
      </c>
      <c r="Y119" s="71">
        <f>IFERROR(INDEX(Ratings!$G$5:$G$500,MATCH(A119,Ratings!$A$5:$A$500,0)),"")</f>
        <v/>
      </c>
      <c r="Z119" s="83">
        <f>IFERROR(INDEX(Ratings!$I$5:$I$500,MATCH(A119,Ratings!$A$5:$A$500,0)),"")</f>
        <v/>
      </c>
    </row>
    <row r="120" ht="15.75" customHeight="1" s="95">
      <c r="A120" t="inlineStr">
        <is>
          <t>F0116</t>
        </is>
      </c>
      <c r="B120" t="inlineStr">
        <is>
          <t>Frozen</t>
        </is>
      </c>
      <c r="C120" s="63" t="inlineStr">
        <is>
          <t>2013</t>
        </is>
      </c>
      <c r="D120" t="inlineStr">
        <is>
          <t>Blu-ray</t>
        </is>
      </c>
      <c r="F120" s="64" t="n"/>
      <c r="I120" s="64" t="n"/>
      <c r="J120" s="64" t="inlineStr">
        <is>
          <t>Chris Buck, Jennifer Lee</t>
        </is>
      </c>
      <c r="K120" s="64" t="n">
        <v>102</v>
      </c>
      <c r="L120" s="64" t="inlineStr">
        <is>
          <t>Animation, Family, Adventure, Fantasy</t>
        </is>
      </c>
      <c r="M120" s="64" t="inlineStr">
        <is>
          <t>Walt Disney Pictures, Walt Disney Animation Studios</t>
        </is>
      </c>
      <c r="N120" s="64" t="inlineStr">
        <is>
          <t>https://huggingface.co/datasets/HenryWaltson/TMDB-IMDB-Movies-Dataset</t>
        </is>
      </c>
      <c r="O120" s="64" t="inlineStr">
        <is>
          <t>https://huggingface.co/datasets/HenryWaltson/TMDB-IMDB-Movies-Dataset</t>
        </is>
      </c>
      <c r="P120" t="inlineStr">
        <is>
          <t>Kristen Bell</t>
        </is>
      </c>
      <c r="Q120" t="inlineStr">
        <is>
          <t>Idina Menzel</t>
        </is>
      </c>
      <c r="R120" t="inlineStr">
        <is>
          <t>Jonathan Groff</t>
        </is>
      </c>
      <c r="S120" t="inlineStr">
        <is>
          <t>Josh Gad</t>
        </is>
      </c>
      <c r="T120" t="inlineStr">
        <is>
          <t>Livvy Stubenrauch</t>
        </is>
      </c>
      <c r="U120" s="71" t="n">
        <v>2</v>
      </c>
      <c r="V120" s="71" t="n">
        <v>2</v>
      </c>
      <c r="X120" s="82">
        <f>IFERROR(INDEX(Ratings!$E$5:$E$500,MATCH(A120,Ratings!$A$5:$A$500,0)),"")</f>
        <v/>
      </c>
      <c r="Y120" s="71">
        <f>IFERROR(INDEX(Ratings!$G$5:$G$500,MATCH(A120,Ratings!$A$5:$A$500,0)),"")</f>
        <v/>
      </c>
      <c r="Z120" s="83">
        <f>IFERROR(INDEX(Ratings!$I$5:$I$500,MATCH(A120,Ratings!$A$5:$A$500,0)),"")</f>
        <v/>
      </c>
    </row>
    <row r="121" ht="15.75" customHeight="1" s="95">
      <c r="A121" t="inlineStr">
        <is>
          <t>F0117</t>
        </is>
      </c>
      <c r="B121" t="inlineStr">
        <is>
          <t>Fury</t>
        </is>
      </c>
      <c r="C121" s="63" t="inlineStr">
        <is>
          <t>2014</t>
        </is>
      </c>
      <c r="D121" t="inlineStr">
        <is>
          <t>Blu-ray</t>
        </is>
      </c>
      <c r="F121" s="64" t="n"/>
      <c r="I121" s="64" t="n"/>
      <c r="J121" s="64" t="inlineStr">
        <is>
          <t>David Ayer</t>
        </is>
      </c>
      <c r="K121" s="64" t="n">
        <v>135</v>
      </c>
      <c r="L121" s="64" t="inlineStr">
        <is>
          <t>War, Drama, Action</t>
        </is>
      </c>
      <c r="M121" s="64" t="inlineStr">
        <is>
          <t>Columbia Pictures, QED International, LStar Capital</t>
        </is>
      </c>
      <c r="N121" s="64" t="inlineStr">
        <is>
          <t>https://huggingface.co/datasets/HenryWaltson/TMDB-IMDB-Movies-Dataset</t>
        </is>
      </c>
      <c r="O121" s="64" t="inlineStr">
        <is>
          <t>https://huggingface.co/datasets/HenryWaltson/TMDB-IMDB-Movies-Dataset</t>
        </is>
      </c>
      <c r="P121" t="inlineStr">
        <is>
          <t>Brad Pitt</t>
        </is>
      </c>
      <c r="Q121" t="inlineStr">
        <is>
          <t>Shia LaBeouf</t>
        </is>
      </c>
      <c r="R121" t="inlineStr">
        <is>
          <t>Logan Lerman</t>
        </is>
      </c>
      <c r="S121" t="inlineStr">
        <is>
          <t>Michael Peña</t>
        </is>
      </c>
      <c r="T121" t="inlineStr">
        <is>
          <t>Jon Bernthal</t>
        </is>
      </c>
      <c r="U121" s="71" t="n">
        <v>0</v>
      </c>
      <c r="V121" s="71" t="n">
        <v>0</v>
      </c>
      <c r="X121" s="82">
        <f>IFERROR(INDEX(Ratings!$E$5:$E$500,MATCH(A121,Ratings!$A$5:$A$500,0)),"")</f>
        <v/>
      </c>
      <c r="Y121" s="71">
        <f>IFERROR(INDEX(Ratings!$G$5:$G$500,MATCH(A121,Ratings!$A$5:$A$500,0)),"")</f>
        <v/>
      </c>
      <c r="Z121" s="83">
        <f>IFERROR(INDEX(Ratings!$I$5:$I$500,MATCH(A121,Ratings!$A$5:$A$500,0)),"")</f>
        <v/>
      </c>
    </row>
    <row r="122" ht="15.75" customHeight="1" s="95">
      <c r="A122" t="inlineStr">
        <is>
          <t>F0118</t>
        </is>
      </c>
      <c r="B122" t="inlineStr">
        <is>
          <t>G.I. Joe: The Rise of Cobra</t>
        </is>
      </c>
      <c r="C122" s="63" t="inlineStr">
        <is>
          <t>2009</t>
        </is>
      </c>
      <c r="D122" t="inlineStr">
        <is>
          <t>Blu-ray</t>
        </is>
      </c>
      <c r="F122" s="64" t="n"/>
      <c r="I122" s="64" t="n"/>
      <c r="J122" s="64" t="inlineStr">
        <is>
          <t>Stephen Sommers</t>
        </is>
      </c>
      <c r="K122" s="64" t="n">
        <v>118</v>
      </c>
      <c r="L122" s="64" t="inlineStr">
        <is>
          <t>Adventure, Action, Thriller</t>
        </is>
      </c>
      <c r="M122" s="64" t="inlineStr">
        <is>
          <t>Paramount, Spyglass Entertainment, di Bonaventura Pictures</t>
        </is>
      </c>
      <c r="N122" s="64" t="inlineStr">
        <is>
          <t>https://huggingface.co/datasets/HenryWaltson/TMDB-IMDB-Movies-Dataset</t>
        </is>
      </c>
      <c r="O122" s="64" t="inlineStr">
        <is>
          <t>https://huggingface.co/datasets/HenryWaltson/TMDB-IMDB-Movies-Dataset</t>
        </is>
      </c>
      <c r="P122" t="inlineStr">
        <is>
          <t>Adewale Akinnuoye-Agbaje</t>
        </is>
      </c>
      <c r="Q122" t="inlineStr">
        <is>
          <t>Christopher Eccleston</t>
        </is>
      </c>
      <c r="R122" t="inlineStr">
        <is>
          <t>Lee Byung-hun</t>
        </is>
      </c>
      <c r="S122" t="inlineStr">
        <is>
          <t>Joseph Gordon-Levitt</t>
        </is>
      </c>
      <c r="T122" t="inlineStr">
        <is>
          <t>Sienna Miller</t>
        </is>
      </c>
      <c r="U122" s="71" t="n">
        <v>0</v>
      </c>
      <c r="V122" s="71" t="n">
        <v>0</v>
      </c>
      <c r="X122" s="82">
        <f>IFERROR(INDEX(Ratings!$E$5:$E$500,MATCH(A122,Ratings!$A$5:$A$500,0)),"")</f>
        <v/>
      </c>
      <c r="Y122" s="71">
        <f>IFERROR(INDEX(Ratings!$G$5:$G$500,MATCH(A122,Ratings!$A$5:$A$500,0)),"")</f>
        <v/>
      </c>
      <c r="Z122" s="83">
        <f>IFERROR(INDEX(Ratings!$I$5:$I$500,MATCH(A122,Ratings!$A$5:$A$500,0)),"")</f>
        <v/>
      </c>
    </row>
    <row r="123" ht="15.75" customHeight="1" s="95">
      <c r="A123" t="inlineStr">
        <is>
          <t>F0119</t>
        </is>
      </c>
      <c r="B123" t="inlineStr">
        <is>
          <t>The Gentlemen</t>
        </is>
      </c>
      <c r="C123" s="63" t="inlineStr">
        <is>
          <t>2020</t>
        </is>
      </c>
      <c r="D123" t="inlineStr">
        <is>
          <t>Blu-ray</t>
        </is>
      </c>
      <c r="F123" s="64" t="n"/>
      <c r="I123" s="64" t="n"/>
      <c r="J123" s="64" t="inlineStr">
        <is>
          <t>Guy Ritchie</t>
        </is>
      </c>
      <c r="K123" s="64" t="n">
        <v>113</v>
      </c>
      <c r="L123" s="64" t="inlineStr">
        <is>
          <t>Comedy, Crime</t>
        </is>
      </c>
      <c r="M123" s="64" t="inlineStr">
        <is>
          <t>Miramax, Toff Guy Films, STX Films</t>
        </is>
      </c>
      <c r="N123" s="64" t="inlineStr">
        <is>
          <t>https://huggingface.co/datasets/HenryWaltson/TMDB-IMDB-Movies-Dataset</t>
        </is>
      </c>
      <c r="O123" s="64" t="inlineStr">
        <is>
          <t>https://huggingface.co/datasets/HenryWaltson/TMDB-IMDB-Movies-Dataset</t>
        </is>
      </c>
      <c r="P123" t="inlineStr">
        <is>
          <t>Matthew McConaughey</t>
        </is>
      </c>
      <c r="Q123" t="inlineStr">
        <is>
          <t>Charlie Hunnam</t>
        </is>
      </c>
      <c r="R123" t="inlineStr">
        <is>
          <t>Michelle Dockery</t>
        </is>
      </c>
      <c r="S123" t="inlineStr">
        <is>
          <t>Jeremy Strong</t>
        </is>
      </c>
      <c r="T123" t="inlineStr">
        <is>
          <t>Lyne Renee</t>
        </is>
      </c>
      <c r="U123" s="71" t="n">
        <v>0</v>
      </c>
      <c r="V123" s="71" t="n">
        <v>0</v>
      </c>
      <c r="X123" s="82">
        <f>IFERROR(INDEX(Ratings!$E$5:$E$500,MATCH(A123,Ratings!$A$5:$A$500,0)),"")</f>
        <v/>
      </c>
      <c r="Y123" s="71">
        <f>IFERROR(INDEX(Ratings!$G$5:$G$500,MATCH(A123,Ratings!$A$5:$A$500,0)),"")</f>
        <v/>
      </c>
      <c r="Z123" s="83">
        <f>IFERROR(INDEX(Ratings!$I$5:$I$500,MATCH(A123,Ratings!$A$5:$A$500,0)),"")</f>
        <v/>
      </c>
    </row>
    <row r="124" ht="15.75" customHeight="1" s="95">
      <c r="A124" t="inlineStr">
        <is>
          <t>F0120</t>
        </is>
      </c>
      <c r="B124" t="inlineStr">
        <is>
          <t>The Girl with the Dragon Tattoo</t>
        </is>
      </c>
      <c r="C124" s="63" t="inlineStr">
        <is>
          <t>2011</t>
        </is>
      </c>
      <c r="D124" t="inlineStr">
        <is>
          <t>Blu-ray</t>
        </is>
      </c>
      <c r="F124" s="64" t="n"/>
      <c r="I124" s="64" t="n"/>
      <c r="J124" s="64" t="inlineStr">
        <is>
          <t>David Fincher</t>
        </is>
      </c>
      <c r="K124" s="64" t="n">
        <v>158</v>
      </c>
      <c r="L124" s="64" t="inlineStr">
        <is>
          <t>Thriller, Crime, Mystery</t>
        </is>
      </c>
      <c r="M124" s="64" t="inlineStr">
        <is>
          <t>Ground Control, Columbia Pictures, Scott Rudin Productions</t>
        </is>
      </c>
      <c r="N124" s="64" t="inlineStr">
        <is>
          <t>https://huggingface.co/datasets/HenryWaltson/TMDB-IMDB-Movies-Dataset</t>
        </is>
      </c>
      <c r="O124" s="64" t="inlineStr">
        <is>
          <t>https://huggingface.co/datasets/HenryWaltson/TMDB-IMDB-Movies-Dataset</t>
        </is>
      </c>
      <c r="P124" t="inlineStr">
        <is>
          <t>Daniel Craig</t>
        </is>
      </c>
      <c r="Q124" t="inlineStr">
        <is>
          <t>Rooney Mara</t>
        </is>
      </c>
      <c r="R124" t="inlineStr">
        <is>
          <t>Christopher Plummer</t>
        </is>
      </c>
      <c r="S124" t="inlineStr">
        <is>
          <t>Stellan Skarsgård</t>
        </is>
      </c>
      <c r="T124" t="inlineStr">
        <is>
          <t>Robin Wright</t>
        </is>
      </c>
      <c r="U124" s="71" t="n">
        <v>5</v>
      </c>
      <c r="V124" s="71" t="n">
        <v>1</v>
      </c>
      <c r="X124" s="82">
        <f>IFERROR(INDEX(Ratings!$E$5:$E$500,MATCH(A124,Ratings!$A$5:$A$500,0)),"")</f>
        <v/>
      </c>
      <c r="Y124" s="71">
        <f>IFERROR(INDEX(Ratings!$G$5:$G$500,MATCH(A124,Ratings!$A$5:$A$500,0)),"")</f>
        <v/>
      </c>
      <c r="Z124" s="83">
        <f>IFERROR(INDEX(Ratings!$I$5:$I$500,MATCH(A124,Ratings!$A$5:$A$500,0)),"")</f>
        <v/>
      </c>
    </row>
    <row r="125" ht="15.75" customHeight="1" s="95">
      <c r="A125" t="inlineStr">
        <is>
          <t>F0121</t>
        </is>
      </c>
      <c r="B125" t="inlineStr">
        <is>
          <t>Godzilla</t>
        </is>
      </c>
      <c r="C125" s="63" t="inlineStr">
        <is>
          <t>2014</t>
        </is>
      </c>
      <c r="D125" t="inlineStr">
        <is>
          <t>Blu-ray</t>
        </is>
      </c>
      <c r="E125" t="inlineStr">
        <is>
          <t>MonsterVerse</t>
        </is>
      </c>
      <c r="F125" s="64" t="n"/>
      <c r="I125" s="64" t="n"/>
      <c r="J125" s="64" t="inlineStr">
        <is>
          <t>Gareth Edwards</t>
        </is>
      </c>
      <c r="K125" s="64" t="n">
        <v>123</v>
      </c>
      <c r="L125" s="64" t="inlineStr">
        <is>
          <t>Action, Drama, Science Fiction</t>
        </is>
      </c>
      <c r="M125" s="64" t="inlineStr">
        <is>
          <t>Legendary Pictures</t>
        </is>
      </c>
      <c r="N125" s="64" t="inlineStr">
        <is>
          <t>https://huggingface.co/datasets/HenryWaltson/TMDB-IMDB-Movies-Dataset</t>
        </is>
      </c>
      <c r="O125" s="64" t="inlineStr">
        <is>
          <t>https://huggingface.co/datasets/HenryWaltson/TMDB-IMDB-Movies-Dataset</t>
        </is>
      </c>
      <c r="P125" t="inlineStr">
        <is>
          <t>Aaron Taylor-Johnson</t>
        </is>
      </c>
      <c r="Q125" t="inlineStr">
        <is>
          <t>Elizabeth Olsen</t>
        </is>
      </c>
      <c r="R125" t="inlineStr">
        <is>
          <t>Juliette Binoche</t>
        </is>
      </c>
      <c r="S125" t="inlineStr">
        <is>
          <t>Bryan Cranston</t>
        </is>
      </c>
      <c r="T125" t="inlineStr">
        <is>
          <t>Ken Watanabe</t>
        </is>
      </c>
      <c r="U125" s="71" t="n">
        <v>0</v>
      </c>
      <c r="V125" s="71" t="n">
        <v>0</v>
      </c>
      <c r="X125" s="82">
        <f>IFERROR(INDEX(Ratings!$E$5:$E$500,MATCH(A125,Ratings!$A$5:$A$500,0)),"")</f>
        <v/>
      </c>
      <c r="Y125" s="71">
        <f>IFERROR(INDEX(Ratings!$G$5:$G$500,MATCH(A125,Ratings!$A$5:$A$500,0)),"")</f>
        <v/>
      </c>
      <c r="Z125" s="83">
        <f>IFERROR(INDEX(Ratings!$I$5:$I$500,MATCH(A125,Ratings!$A$5:$A$500,0)),"")</f>
        <v/>
      </c>
    </row>
    <row r="126" ht="15.75" customHeight="1" s="95">
      <c r="A126" t="inlineStr">
        <is>
          <t>F0122</t>
        </is>
      </c>
      <c r="B126" t="inlineStr">
        <is>
          <t>Godzilla: King of the Monsters</t>
        </is>
      </c>
      <c r="C126" s="63" t="inlineStr">
        <is>
          <t>2019</t>
        </is>
      </c>
      <c r="D126" t="inlineStr">
        <is>
          <t>Blu-ray</t>
        </is>
      </c>
      <c r="E126" t="inlineStr">
        <is>
          <t>MonsterVerse</t>
        </is>
      </c>
      <c r="F126" s="64" t="n"/>
      <c r="I126" s="64" t="n"/>
      <c r="J126" s="64" t="inlineStr">
        <is>
          <t>Michael Dougherty</t>
        </is>
      </c>
      <c r="K126" s="64" t="n">
        <v>132</v>
      </c>
      <c r="L126" s="64" t="inlineStr">
        <is>
          <t>Science Fiction, Action</t>
        </is>
      </c>
      <c r="M126" s="64" t="inlineStr">
        <is>
          <t>Legendary Pictures, Huahua Media, TOHO</t>
        </is>
      </c>
      <c r="N126" s="64" t="inlineStr">
        <is>
          <t>https://huggingface.co/datasets/HenryWaltson/TMDB-IMDB-Movies-Dataset</t>
        </is>
      </c>
      <c r="O126" s="64" t="inlineStr">
        <is>
          <t>https://huggingface.co/datasets/HenryWaltson/TMDB-IMDB-Movies-Dataset</t>
        </is>
      </c>
      <c r="P126" t="inlineStr">
        <is>
          <t>Kyle Chandler</t>
        </is>
      </c>
      <c r="Q126" t="inlineStr">
        <is>
          <t>Vera Farmiga</t>
        </is>
      </c>
      <c r="R126" t="inlineStr">
        <is>
          <t>Millie Bobby Brown</t>
        </is>
      </c>
      <c r="S126" t="inlineStr">
        <is>
          <t>Ken Watanabe</t>
        </is>
      </c>
      <c r="T126" t="inlineStr">
        <is>
          <t>Zhang Ziyi</t>
        </is>
      </c>
      <c r="U126" s="71" t="n">
        <v>0</v>
      </c>
      <c r="V126" s="71" t="n">
        <v>0</v>
      </c>
      <c r="X126" s="82">
        <f>IFERROR(INDEX(Ratings!$E$5:$E$500,MATCH(A126,Ratings!$A$5:$A$500,0)),"")</f>
        <v/>
      </c>
      <c r="Y126" s="71">
        <f>IFERROR(INDEX(Ratings!$G$5:$G$500,MATCH(A126,Ratings!$A$5:$A$500,0)),"")</f>
        <v/>
      </c>
      <c r="Z126" s="83">
        <f>IFERROR(INDEX(Ratings!$I$5:$I$500,MATCH(A126,Ratings!$A$5:$A$500,0)),"")</f>
        <v/>
      </c>
    </row>
    <row r="127" ht="15.75" customHeight="1" s="95">
      <c r="A127" t="inlineStr">
        <is>
          <t>F0123</t>
        </is>
      </c>
      <c r="B127" t="inlineStr">
        <is>
          <t>Godzilla vs. Kong</t>
        </is>
      </c>
      <c r="C127" s="63" t="inlineStr">
        <is>
          <t>2021</t>
        </is>
      </c>
      <c r="D127" t="inlineStr">
        <is>
          <t>Blu-ray</t>
        </is>
      </c>
      <c r="E127" t="inlineStr">
        <is>
          <t>MonsterVerse</t>
        </is>
      </c>
      <c r="F127" s="64" t="n"/>
      <c r="I127" s="64" t="n"/>
      <c r="J127" s="64" t="inlineStr">
        <is>
          <t>Adam Wingard</t>
        </is>
      </c>
      <c r="K127" s="64" t="n">
        <v>114</v>
      </c>
      <c r="L127" s="64" t="inlineStr">
        <is>
          <t>Action, Science Fiction, Thriller</t>
        </is>
      </c>
      <c r="M127" s="64" t="inlineStr">
        <is>
          <t>Legendary Pictures</t>
        </is>
      </c>
      <c r="N127" s="64" t="inlineStr">
        <is>
          <t>https://huggingface.co/datasets/HenryWaltson/TMDB-IMDB-Movies-Dataset</t>
        </is>
      </c>
      <c r="O127" s="64" t="inlineStr">
        <is>
          <t>https://huggingface.co/datasets/HenryWaltson/TMDB-IMDB-Movies-Dataset</t>
        </is>
      </c>
      <c r="P127" t="inlineStr">
        <is>
          <t>Alexander Skarsgård</t>
        </is>
      </c>
      <c r="Q127" t="inlineStr">
        <is>
          <t>Rebecca Hall</t>
        </is>
      </c>
      <c r="R127" t="inlineStr">
        <is>
          <t>Kaylee Hottle</t>
        </is>
      </c>
      <c r="S127" t="inlineStr">
        <is>
          <t>Brian Tyree Henry</t>
        </is>
      </c>
      <c r="T127" t="inlineStr">
        <is>
          <t>Millie Bobby Brown</t>
        </is>
      </c>
      <c r="U127" s="71" t="n">
        <v>0</v>
      </c>
      <c r="V127" s="71" t="n">
        <v>0</v>
      </c>
      <c r="X127" s="82">
        <f>IFERROR(INDEX(Ratings!$E$5:$E$500,MATCH(A127,Ratings!$A$5:$A$500,0)),"")</f>
        <v/>
      </c>
      <c r="Y127" s="71">
        <f>IFERROR(INDEX(Ratings!$G$5:$G$500,MATCH(A127,Ratings!$A$5:$A$500,0)),"")</f>
        <v/>
      </c>
      <c r="Z127" s="83">
        <f>IFERROR(INDEX(Ratings!$I$5:$I$500,MATCH(A127,Ratings!$A$5:$A$500,0)),"")</f>
        <v/>
      </c>
    </row>
    <row r="128" ht="15.75" customHeight="1" s="95">
      <c r="A128" t="inlineStr">
        <is>
          <t>F0124</t>
        </is>
      </c>
      <c r="B128" t="inlineStr">
        <is>
          <t>Good Will Hunting</t>
        </is>
      </c>
      <c r="C128" s="63" t="inlineStr">
        <is>
          <t>1997</t>
        </is>
      </c>
      <c r="D128" t="inlineStr">
        <is>
          <t>Blu-ray</t>
        </is>
      </c>
      <c r="F128" s="64" t="n"/>
      <c r="I128" s="64" t="n"/>
      <c r="J128" s="64" t="inlineStr">
        <is>
          <t>Gus Van Sant</t>
        </is>
      </c>
      <c r="K128" s="64" t="n">
        <v>127</v>
      </c>
      <c r="L128" s="64" t="inlineStr">
        <is>
          <t>Drama</t>
        </is>
      </c>
      <c r="M128" s="64" t="inlineStr">
        <is>
          <t>Miramax, Lawrence Bender Productions, Be Gentlemen Limited Partnership</t>
        </is>
      </c>
      <c r="N128" s="64" t="inlineStr">
        <is>
          <t>https://huggingface.co/datasets/HenryWaltson/TMDB-IMDB-Movies-Dataset</t>
        </is>
      </c>
      <c r="O128" s="64" t="inlineStr">
        <is>
          <t>https://huggingface.co/datasets/HenryWaltson/TMDB-IMDB-Movies-Dataset</t>
        </is>
      </c>
      <c r="P128" t="inlineStr">
        <is>
          <t>Matt Damon</t>
        </is>
      </c>
      <c r="Q128" t="inlineStr">
        <is>
          <t>Robin Williams</t>
        </is>
      </c>
      <c r="R128" t="inlineStr">
        <is>
          <t>Ben Affleck</t>
        </is>
      </c>
      <c r="S128" t="inlineStr">
        <is>
          <t>Stellan Skarsgård</t>
        </is>
      </c>
      <c r="T128" t="inlineStr">
        <is>
          <t>Minnie Driver</t>
        </is>
      </c>
      <c r="U128" s="71" t="n">
        <v>9</v>
      </c>
      <c r="V128" s="71" t="n">
        <v>2</v>
      </c>
      <c r="W128" t="inlineStr">
        <is>
          <t>Nominated</t>
        </is>
      </c>
      <c r="X128" s="82">
        <f>IFERROR(INDEX(Ratings!$E$5:$E$500,MATCH(A128,Ratings!$A$5:$A$500,0)),"")</f>
        <v/>
      </c>
      <c r="Y128" s="71">
        <f>IFERROR(INDEX(Ratings!$G$5:$G$500,MATCH(A128,Ratings!$A$5:$A$500,0)),"")</f>
        <v/>
      </c>
      <c r="Z128" s="83">
        <f>IFERROR(INDEX(Ratings!$I$5:$I$500,MATCH(A128,Ratings!$A$5:$A$500,0)),"")</f>
        <v/>
      </c>
    </row>
    <row r="129" ht="15.75" customHeight="1" s="95">
      <c r="A129" t="inlineStr">
        <is>
          <t>F0125</t>
        </is>
      </c>
      <c r="B129" t="inlineStr">
        <is>
          <t>Gran Torino</t>
        </is>
      </c>
      <c r="C129" s="63" t="inlineStr">
        <is>
          <t>2008</t>
        </is>
      </c>
      <c r="D129" t="inlineStr">
        <is>
          <t>Blu-ray</t>
        </is>
      </c>
      <c r="F129" s="64" t="n"/>
      <c r="I129" s="64" t="n"/>
      <c r="J129" s="64" t="inlineStr">
        <is>
          <t>Clint Eastwood</t>
        </is>
      </c>
      <c r="K129" s="64" t="n">
        <v>116</v>
      </c>
      <c r="L129" s="64" t="inlineStr">
        <is>
          <t>Drama</t>
        </is>
      </c>
      <c r="M129" s="64" t="inlineStr">
        <is>
          <t>Matten Productions, Double Nickel Entertainment, Gerber Pictures</t>
        </is>
      </c>
      <c r="N129" s="64" t="inlineStr">
        <is>
          <t>https://huggingface.co/datasets/HenryWaltson/TMDB-IMDB-Movies-Dataset</t>
        </is>
      </c>
      <c r="O129" s="64" t="inlineStr">
        <is>
          <t>https://huggingface.co/datasets/HenryWaltson/TMDB-IMDB-Movies-Dataset</t>
        </is>
      </c>
      <c r="P129" t="inlineStr">
        <is>
          <t>Clint Eastwood</t>
        </is>
      </c>
      <c r="Q129" t="inlineStr">
        <is>
          <t>Christopher Carley</t>
        </is>
      </c>
      <c r="R129" t="inlineStr">
        <is>
          <t>Bee Vang</t>
        </is>
      </c>
      <c r="S129" t="inlineStr">
        <is>
          <t>Ahney Her</t>
        </is>
      </c>
      <c r="T129" t="inlineStr">
        <is>
          <t>Brian Haley</t>
        </is>
      </c>
      <c r="U129" s="71" t="n">
        <v>0</v>
      </c>
      <c r="V129" s="71" t="n">
        <v>0</v>
      </c>
      <c r="X129" s="82">
        <f>IFERROR(INDEX(Ratings!$E$5:$E$500,MATCH(A129,Ratings!$A$5:$A$500,0)),"")</f>
        <v/>
      </c>
      <c r="Y129" s="71">
        <f>IFERROR(INDEX(Ratings!$G$5:$G$500,MATCH(A129,Ratings!$A$5:$A$500,0)),"")</f>
        <v/>
      </c>
      <c r="Z129" s="83">
        <f>IFERROR(INDEX(Ratings!$I$5:$I$500,MATCH(A129,Ratings!$A$5:$A$500,0)),"")</f>
        <v/>
      </c>
    </row>
    <row r="130" ht="15.75" customHeight="1" s="95">
      <c r="A130" t="inlineStr">
        <is>
          <t>F0126</t>
        </is>
      </c>
      <c r="B130" t="inlineStr">
        <is>
          <t>The Great Gatsby</t>
        </is>
      </c>
      <c r="C130" s="63" t="inlineStr">
        <is>
          <t>2013</t>
        </is>
      </c>
      <c r="D130" t="inlineStr">
        <is>
          <t>Blu-ray</t>
        </is>
      </c>
      <c r="F130" s="64" t="n"/>
      <c r="I130" s="64" t="n"/>
      <c r="J130" s="64" t="inlineStr">
        <is>
          <t>Baz Luhrmann</t>
        </is>
      </c>
      <c r="K130" s="64" t="n">
        <v>143</v>
      </c>
      <c r="L130" s="64" t="inlineStr">
        <is>
          <t>Drama, Romance</t>
        </is>
      </c>
      <c r="M130" s="64" t="inlineStr">
        <is>
          <t>Spectrum Films, Village Roadshow Pictures, Bazmark Films</t>
        </is>
      </c>
      <c r="N130" s="64" t="inlineStr">
        <is>
          <t>https://huggingface.co/datasets/HenryWaltson/TMDB-IMDB-Movies-Dataset</t>
        </is>
      </c>
      <c r="O130" s="64" t="inlineStr">
        <is>
          <t>https://huggingface.co/datasets/HenryWaltson/TMDB-IMDB-Movies-Dataset</t>
        </is>
      </c>
      <c r="P130" t="inlineStr">
        <is>
          <t>Leonardo DiCaprio</t>
        </is>
      </c>
      <c r="Q130" t="inlineStr">
        <is>
          <t>Tobey Maguire</t>
        </is>
      </c>
      <c r="R130" t="inlineStr">
        <is>
          <t>Carey Mulligan</t>
        </is>
      </c>
      <c r="S130" t="inlineStr">
        <is>
          <t>Joel Edgerton</t>
        </is>
      </c>
      <c r="T130" t="inlineStr">
        <is>
          <t>Elizabeth Debicki</t>
        </is>
      </c>
      <c r="U130" s="71" t="n">
        <v>2</v>
      </c>
      <c r="V130" s="71" t="n">
        <v>2</v>
      </c>
      <c r="X130" s="82">
        <f>IFERROR(INDEX(Ratings!$E$5:$E$500,MATCH(A130,Ratings!$A$5:$A$500,0)),"")</f>
        <v/>
      </c>
      <c r="Y130" s="71">
        <f>IFERROR(INDEX(Ratings!$G$5:$G$500,MATCH(A130,Ratings!$A$5:$A$500,0)),"")</f>
        <v/>
      </c>
      <c r="Z130" s="83">
        <f>IFERROR(INDEX(Ratings!$I$5:$I$500,MATCH(A130,Ratings!$A$5:$A$500,0)),"")</f>
        <v/>
      </c>
    </row>
    <row r="131" ht="15.75" customHeight="1" s="95">
      <c r="A131" t="inlineStr">
        <is>
          <t>F0127</t>
        </is>
      </c>
      <c r="B131" t="inlineStr">
        <is>
          <t>The Greatest Showman</t>
        </is>
      </c>
      <c r="C131" s="63" t="inlineStr">
        <is>
          <t>2017</t>
        </is>
      </c>
      <c r="D131" t="inlineStr">
        <is>
          <t>Blu-ray</t>
        </is>
      </c>
      <c r="F131" s="64" t="n"/>
      <c r="I131" s="64" t="n"/>
      <c r="J131" s="64" t="inlineStr">
        <is>
          <t>Michael Gracey</t>
        </is>
      </c>
      <c r="K131" s="64" t="n">
        <v>105</v>
      </c>
      <c r="L131" s="64" t="inlineStr">
        <is>
          <t>Drama</t>
        </is>
      </c>
      <c r="M131" s="64" t="inlineStr">
        <is>
          <t>Chernin Entertainment, 20th Century Fox, TSG Entertainment</t>
        </is>
      </c>
      <c r="N131" s="64" t="inlineStr">
        <is>
          <t>https://huggingface.co/datasets/HenryWaltson/TMDB-IMDB-Movies-Dataset</t>
        </is>
      </c>
      <c r="O131" s="64" t="inlineStr">
        <is>
          <t>https://huggingface.co/datasets/HenryWaltson/TMDB-IMDB-Movies-Dataset</t>
        </is>
      </c>
      <c r="P131" t="inlineStr">
        <is>
          <t>Hugh Jackman</t>
        </is>
      </c>
      <c r="Q131" t="inlineStr">
        <is>
          <t>Zac Efron</t>
        </is>
      </c>
      <c r="R131" t="inlineStr">
        <is>
          <t>Michelle Williams</t>
        </is>
      </c>
      <c r="S131" t="inlineStr">
        <is>
          <t>Rebecca Ferguson</t>
        </is>
      </c>
      <c r="T131" t="inlineStr">
        <is>
          <t>Zendaya</t>
        </is>
      </c>
      <c r="U131" s="71" t="n">
        <v>1</v>
      </c>
      <c r="V131" s="71" t="n">
        <v>0</v>
      </c>
      <c r="X131" s="82">
        <f>IFERROR(INDEX(Ratings!$E$5:$E$500,MATCH(A131,Ratings!$A$5:$A$500,0)),"")</f>
        <v/>
      </c>
      <c r="Y131" s="71">
        <f>IFERROR(INDEX(Ratings!$G$5:$G$500,MATCH(A131,Ratings!$A$5:$A$500,0)),"")</f>
        <v/>
      </c>
      <c r="Z131" s="83">
        <f>IFERROR(INDEX(Ratings!$I$5:$I$500,MATCH(A131,Ratings!$A$5:$A$500,0)),"")</f>
        <v/>
      </c>
    </row>
    <row r="132" ht="15.75" customHeight="1" s="95">
      <c r="A132" t="inlineStr">
        <is>
          <t>F0128</t>
        </is>
      </c>
      <c r="B132" t="inlineStr">
        <is>
          <t>Green Lantern</t>
        </is>
      </c>
      <c r="C132" s="63" t="inlineStr">
        <is>
          <t>2011</t>
        </is>
      </c>
      <c r="D132" t="inlineStr">
        <is>
          <t>Blu-ray</t>
        </is>
      </c>
      <c r="F132" s="64" t="n"/>
      <c r="I132" s="64" t="n"/>
      <c r="J132" s="64" t="inlineStr">
        <is>
          <t>Martin Campbell</t>
        </is>
      </c>
      <c r="K132" s="64" t="n">
        <v>114</v>
      </c>
      <c r="L132" s="64" t="inlineStr">
        <is>
          <t>Adventure, Action, Thriller, Science Fiction</t>
        </is>
      </c>
      <c r="M132" s="64" t="inlineStr">
        <is>
          <t>DC Entertainment, De Line Pictures, Warner Bros. Pictures</t>
        </is>
      </c>
      <c r="N132" s="64" t="inlineStr">
        <is>
          <t>https://huggingface.co/datasets/HenryWaltson/TMDB-IMDB-Movies-Dataset</t>
        </is>
      </c>
      <c r="O132" s="64" t="inlineStr">
        <is>
          <t>https://huggingface.co/datasets/HenryWaltson/TMDB-IMDB-Movies-Dataset</t>
        </is>
      </c>
      <c r="P132" t="inlineStr">
        <is>
          <t>Ryan Reynolds</t>
        </is>
      </c>
      <c r="Q132" t="inlineStr">
        <is>
          <t>Blake Lively</t>
        </is>
      </c>
      <c r="R132" t="inlineStr">
        <is>
          <t>Peter Sarsgaard</t>
        </is>
      </c>
      <c r="S132" t="inlineStr">
        <is>
          <t>Mark Strong</t>
        </is>
      </c>
      <c r="T132" t="inlineStr">
        <is>
          <t>Tim Robbins</t>
        </is>
      </c>
      <c r="U132" s="71" t="n">
        <v>0</v>
      </c>
      <c r="V132" s="71" t="n">
        <v>0</v>
      </c>
      <c r="X132" s="82">
        <f>IFERROR(INDEX(Ratings!$E$5:$E$500,MATCH(A132,Ratings!$A$5:$A$500,0)),"")</f>
        <v/>
      </c>
      <c r="Y132" s="71">
        <f>IFERROR(INDEX(Ratings!$G$5:$G$500,MATCH(A132,Ratings!$A$5:$A$500,0)),"")</f>
        <v/>
      </c>
      <c r="Z132" s="83">
        <f>IFERROR(INDEX(Ratings!$I$5:$I$500,MATCH(A132,Ratings!$A$5:$A$500,0)),"")</f>
        <v/>
      </c>
    </row>
    <row r="133" ht="15.75" customHeight="1" s="95">
      <c r="A133" t="inlineStr">
        <is>
          <t>F0129</t>
        </is>
      </c>
      <c r="B133" t="inlineStr">
        <is>
          <t>Green Zone</t>
        </is>
      </c>
      <c r="C133" s="63" t="inlineStr">
        <is>
          <t>2010</t>
        </is>
      </c>
      <c r="D133" t="inlineStr">
        <is>
          <t>Blu-ray</t>
        </is>
      </c>
      <c r="F133" s="64" t="n"/>
      <c r="I133" s="64" t="n"/>
      <c r="J133" s="64" t="inlineStr">
        <is>
          <t>Paul Greengrass</t>
        </is>
      </c>
      <c r="K133" s="64" t="n">
        <v>115</v>
      </c>
      <c r="L133" s="64" t="inlineStr">
        <is>
          <t>War, Action, Adventure, Drama, Thriller</t>
        </is>
      </c>
      <c r="M133" s="64" t="inlineStr">
        <is>
          <t>Universal Pictures, StudioCanal, Relativity Media</t>
        </is>
      </c>
      <c r="N133" s="64" t="inlineStr">
        <is>
          <t>https://huggingface.co/datasets/HenryWaltson/TMDB-IMDB-Movies-Dataset</t>
        </is>
      </c>
      <c r="O133" s="64" t="inlineStr">
        <is>
          <t>https://huggingface.co/datasets/HenryWaltson/TMDB-IMDB-Movies-Dataset</t>
        </is>
      </c>
      <c r="P133" t="inlineStr">
        <is>
          <t>Matt Damon</t>
        </is>
      </c>
      <c r="Q133" t="inlineStr">
        <is>
          <t>Greg Kinnear</t>
        </is>
      </c>
      <c r="R133" t="inlineStr">
        <is>
          <t>Brendan Gleeson</t>
        </is>
      </c>
      <c r="S133" t="inlineStr">
        <is>
          <t>Amy Ryan</t>
        </is>
      </c>
      <c r="T133" t="inlineStr">
        <is>
          <t>Khalid Abdalla</t>
        </is>
      </c>
      <c r="U133" s="71" t="n">
        <v>0</v>
      </c>
      <c r="V133" s="71" t="n">
        <v>0</v>
      </c>
      <c r="X133" s="82">
        <f>IFERROR(INDEX(Ratings!$E$5:$E$500,MATCH(A133,Ratings!$A$5:$A$500,0)),"")</f>
        <v/>
      </c>
      <c r="Y133" s="71">
        <f>IFERROR(INDEX(Ratings!$G$5:$G$500,MATCH(A133,Ratings!$A$5:$A$500,0)),"")</f>
        <v/>
      </c>
      <c r="Z133" s="83">
        <f>IFERROR(INDEX(Ratings!$I$5:$I$500,MATCH(A133,Ratings!$A$5:$A$500,0)),"")</f>
        <v/>
      </c>
    </row>
    <row r="134" ht="15.75" customHeight="1" s="95">
      <c r="A134" t="inlineStr">
        <is>
          <t>F0130</t>
        </is>
      </c>
      <c r="B134" t="inlineStr">
        <is>
          <t>Grimsby</t>
        </is>
      </c>
      <c r="C134" s="63" t="inlineStr">
        <is>
          <t>2016</t>
        </is>
      </c>
      <c r="D134" t="inlineStr">
        <is>
          <t>Blu-ray</t>
        </is>
      </c>
      <c r="F134" s="64" t="n"/>
      <c r="I134" s="64" t="n"/>
      <c r="J134" s="64" t="inlineStr">
        <is>
          <t>Louis Leterrier</t>
        </is>
      </c>
      <c r="K134" s="64" t="n">
        <v>83</v>
      </c>
      <c r="L134" s="64" t="inlineStr">
        <is>
          <t>Action, Comedy</t>
        </is>
      </c>
      <c r="M134" s="64" t="inlineStr">
        <is>
          <t>Working Title Films, Columbia Pictures, Sony Pictures Releasing</t>
        </is>
      </c>
      <c r="N134" s="64" t="inlineStr">
        <is>
          <t>https://huggingface.co/datasets/HenryWaltson/TMDB-IMDB-Movies-Dataset</t>
        </is>
      </c>
      <c r="O134" s="64" t="inlineStr">
        <is>
          <t>https://huggingface.co/datasets/HenryWaltson/TMDB-IMDB-Movies-Dataset</t>
        </is>
      </c>
      <c r="P134" t="inlineStr">
        <is>
          <t>Sacha Baron Cohen</t>
        </is>
      </c>
      <c r="Q134" t="inlineStr">
        <is>
          <t>Mark Strong</t>
        </is>
      </c>
      <c r="R134" t="inlineStr">
        <is>
          <t>Isla Fisher</t>
        </is>
      </c>
      <c r="S134" t="inlineStr">
        <is>
          <t>Penélope Cruz</t>
        </is>
      </c>
      <c r="T134" t="inlineStr">
        <is>
          <t>Rebel Wilson</t>
        </is>
      </c>
      <c r="U134" s="71" t="n">
        <v>0</v>
      </c>
      <c r="V134" s="71" t="n">
        <v>0</v>
      </c>
      <c r="X134" s="82">
        <f>IFERROR(INDEX(Ratings!$E$5:$E$500,MATCH(A134,Ratings!$A$5:$A$500,0)),"")</f>
        <v/>
      </c>
      <c r="Y134" s="71">
        <f>IFERROR(INDEX(Ratings!$G$5:$G$500,MATCH(A134,Ratings!$A$5:$A$500,0)),"")</f>
        <v/>
      </c>
      <c r="Z134" s="83">
        <f>IFERROR(INDEX(Ratings!$I$5:$I$500,MATCH(A134,Ratings!$A$5:$A$500,0)),"")</f>
        <v/>
      </c>
    </row>
    <row r="135" ht="15.75" customHeight="1" s="95">
      <c r="A135" t="inlineStr">
        <is>
          <t>F0131</t>
        </is>
      </c>
      <c r="B135" t="inlineStr">
        <is>
          <t>Grown Ups</t>
        </is>
      </c>
      <c r="C135" s="63" t="inlineStr">
        <is>
          <t>2010</t>
        </is>
      </c>
      <c r="D135" t="inlineStr">
        <is>
          <t>Blu-ray</t>
        </is>
      </c>
      <c r="E135" t="inlineStr">
        <is>
          <t>Grown Ups</t>
        </is>
      </c>
      <c r="F135" s="64" t="n"/>
      <c r="I135" s="64" t="n"/>
      <c r="J135" s="64" t="inlineStr">
        <is>
          <t>Dennis Dugan</t>
        </is>
      </c>
      <c r="K135" s="64" t="n">
        <v>102</v>
      </c>
      <c r="L135" s="64" t="inlineStr">
        <is>
          <t>Comedy</t>
        </is>
      </c>
      <c r="M135" s="64" t="inlineStr">
        <is>
          <t>Columbia Pictures, Relativity Media, Sony Pictures</t>
        </is>
      </c>
      <c r="N135" s="64" t="inlineStr">
        <is>
          <t>https://huggingface.co/datasets/HenryWaltson/TMDB-IMDB-Movies-Dataset</t>
        </is>
      </c>
      <c r="O135" s="64" t="inlineStr">
        <is>
          <t>https://huggingface.co/datasets/HenryWaltson/TMDB-IMDB-Movies-Dataset</t>
        </is>
      </c>
      <c r="P135" t="inlineStr">
        <is>
          <t>Adam Sandler</t>
        </is>
      </c>
      <c r="Q135" t="inlineStr">
        <is>
          <t>Kevin James</t>
        </is>
      </c>
      <c r="R135" t="inlineStr">
        <is>
          <t>Chris Rock</t>
        </is>
      </c>
      <c r="S135" t="inlineStr">
        <is>
          <t>David Spade</t>
        </is>
      </c>
      <c r="T135" t="inlineStr">
        <is>
          <t>Rob Schneider</t>
        </is>
      </c>
      <c r="U135" s="71" t="n">
        <v>0</v>
      </c>
      <c r="V135" s="71" t="n">
        <v>0</v>
      </c>
      <c r="X135" s="82">
        <f>IFERROR(INDEX(Ratings!$E$5:$E$500,MATCH(A135,Ratings!$A$5:$A$500,0)),"")</f>
        <v/>
      </c>
      <c r="Y135" s="71">
        <f>IFERROR(INDEX(Ratings!$G$5:$G$500,MATCH(A135,Ratings!$A$5:$A$500,0)),"")</f>
        <v/>
      </c>
      <c r="Z135" s="83">
        <f>IFERROR(INDEX(Ratings!$I$5:$I$500,MATCH(A135,Ratings!$A$5:$A$500,0)),"")</f>
        <v/>
      </c>
    </row>
    <row r="136" ht="15.75" customHeight="1" s="95">
      <c r="A136" t="inlineStr">
        <is>
          <t>F0132</t>
        </is>
      </c>
      <c r="B136" t="inlineStr">
        <is>
          <t>Grown Ups 2</t>
        </is>
      </c>
      <c r="C136" s="63" t="inlineStr">
        <is>
          <t>2013</t>
        </is>
      </c>
      <c r="D136" t="inlineStr">
        <is>
          <t>Blu-ray</t>
        </is>
      </c>
      <c r="E136" t="inlineStr">
        <is>
          <t>Grown Ups</t>
        </is>
      </c>
      <c r="F136" s="64" t="n"/>
      <c r="I136" s="64" t="n"/>
      <c r="J136" s="64" t="inlineStr">
        <is>
          <t>Dennis Dugan</t>
        </is>
      </c>
      <c r="K136" s="64" t="n">
        <v>101</v>
      </c>
      <c r="L136" s="64" t="inlineStr">
        <is>
          <t>Comedy</t>
        </is>
      </c>
      <c r="M136" s="64" t="inlineStr">
        <is>
          <t>Columbia Pictures, Sony Pictures, Happy Madison Productions</t>
        </is>
      </c>
      <c r="N136" s="64" t="inlineStr">
        <is>
          <t>https://huggingface.co/datasets/HenryWaltson/TMDB-IMDB-Movies-Dataset</t>
        </is>
      </c>
      <c r="O136" s="64" t="inlineStr">
        <is>
          <t>https://huggingface.co/datasets/HenryWaltson/TMDB-IMDB-Movies-Dataset</t>
        </is>
      </c>
      <c r="P136" t="inlineStr">
        <is>
          <t>Adam Sandler</t>
        </is>
      </c>
      <c r="Q136" t="inlineStr">
        <is>
          <t>Kevin James</t>
        </is>
      </c>
      <c r="R136" t="inlineStr">
        <is>
          <t>Chris Rock</t>
        </is>
      </c>
      <c r="S136" t="inlineStr">
        <is>
          <t>David Spade</t>
        </is>
      </c>
      <c r="T136" t="inlineStr">
        <is>
          <t>Salma Hayek Pinault</t>
        </is>
      </c>
      <c r="U136" s="71" t="n">
        <v>0</v>
      </c>
      <c r="V136" s="71" t="n">
        <v>0</v>
      </c>
      <c r="X136" s="82">
        <f>IFERROR(INDEX(Ratings!$E$5:$E$500,MATCH(A136,Ratings!$A$5:$A$500,0)),"")</f>
        <v/>
      </c>
      <c r="Y136" s="71">
        <f>IFERROR(INDEX(Ratings!$G$5:$G$500,MATCH(A136,Ratings!$A$5:$A$500,0)),"")</f>
        <v/>
      </c>
      <c r="Z136" s="83">
        <f>IFERROR(INDEX(Ratings!$I$5:$I$500,MATCH(A136,Ratings!$A$5:$A$500,0)),"")</f>
        <v/>
      </c>
    </row>
    <row r="137" ht="15.75" customHeight="1" s="95">
      <c r="A137" t="inlineStr">
        <is>
          <t>F0133</t>
        </is>
      </c>
      <c r="B137" t="inlineStr">
        <is>
          <t>Hacksaw Ridge</t>
        </is>
      </c>
      <c r="C137" s="63" t="inlineStr">
        <is>
          <t>2016</t>
        </is>
      </c>
      <c r="D137" t="inlineStr">
        <is>
          <t>Blu-ray</t>
        </is>
      </c>
      <c r="F137" s="64" t="n"/>
      <c r="I137" s="64" t="n"/>
      <c r="J137" s="64" t="inlineStr">
        <is>
          <t>Mel Gibson</t>
        </is>
      </c>
      <c r="K137" s="64" t="n">
        <v>139</v>
      </c>
      <c r="L137" s="64" t="inlineStr">
        <is>
          <t>Drama, History, War</t>
        </is>
      </c>
      <c r="M137" s="64" t="inlineStr">
        <is>
          <t>Vendian Entertainment, Summit Entertainment, Cross Creek Pictures</t>
        </is>
      </c>
      <c r="N137" s="64" t="inlineStr">
        <is>
          <t>https://huggingface.co/datasets/HenryWaltson/TMDB-IMDB-Movies-Dataset</t>
        </is>
      </c>
      <c r="O137" s="64" t="inlineStr">
        <is>
          <t>https://huggingface.co/datasets/HenryWaltson/TMDB-IMDB-Movies-Dataset</t>
        </is>
      </c>
      <c r="P137" t="inlineStr">
        <is>
          <t>Andrew Garfield</t>
        </is>
      </c>
      <c r="Q137" t="inlineStr">
        <is>
          <t>Sam Worthington</t>
        </is>
      </c>
      <c r="R137" t="inlineStr">
        <is>
          <t>Vince Vaughn</t>
        </is>
      </c>
      <c r="S137" t="inlineStr">
        <is>
          <t>Teresa Palmer</t>
        </is>
      </c>
      <c r="T137" t="inlineStr">
        <is>
          <t>Luke Bracey</t>
        </is>
      </c>
      <c r="U137" s="71" t="n">
        <v>6</v>
      </c>
      <c r="V137" s="71" t="n">
        <v>2</v>
      </c>
      <c r="W137" t="inlineStr">
        <is>
          <t>Nominated</t>
        </is>
      </c>
      <c r="X137" s="82">
        <f>IFERROR(INDEX(Ratings!$E$5:$E$500,MATCH(A137,Ratings!$A$5:$A$500,0)),"")</f>
        <v/>
      </c>
      <c r="Y137" s="71">
        <f>IFERROR(INDEX(Ratings!$G$5:$G$500,MATCH(A137,Ratings!$A$5:$A$500,0)),"")</f>
        <v/>
      </c>
      <c r="Z137" s="83">
        <f>IFERROR(INDEX(Ratings!$I$5:$I$500,MATCH(A137,Ratings!$A$5:$A$500,0)),"")</f>
        <v/>
      </c>
    </row>
    <row r="138" ht="15.75" customHeight="1" s="95">
      <c r="A138" t="inlineStr">
        <is>
          <t>F0134</t>
        </is>
      </c>
      <c r="B138" t="inlineStr">
        <is>
          <t>The Hangover</t>
        </is>
      </c>
      <c r="C138" s="63" t="inlineStr">
        <is>
          <t>2009</t>
        </is>
      </c>
      <c r="D138" t="inlineStr">
        <is>
          <t>Blu-ray</t>
        </is>
      </c>
      <c r="E138" t="inlineStr">
        <is>
          <t>Hangover</t>
        </is>
      </c>
      <c r="F138" s="64" t="n"/>
      <c r="I138" s="64" t="n"/>
      <c r="J138" s="64" t="inlineStr">
        <is>
          <t>Todd Phillips</t>
        </is>
      </c>
      <c r="K138" s="64" t="n">
        <v>100</v>
      </c>
      <c r="L138" s="64" t="inlineStr">
        <is>
          <t>Comedy</t>
        </is>
      </c>
      <c r="M138" s="64" t="inlineStr">
        <is>
          <t>Legendary Pictures, Green Hat Films, Warner Bros. Pictures</t>
        </is>
      </c>
      <c r="N138" s="64" t="inlineStr">
        <is>
          <t>https://huggingface.co/datasets/HenryWaltson/TMDB-IMDB-Movies-Dataset</t>
        </is>
      </c>
      <c r="O138" s="64" t="inlineStr">
        <is>
          <t>https://huggingface.co/datasets/HenryWaltson/TMDB-IMDB-Movies-Dataset</t>
        </is>
      </c>
      <c r="P138" t="inlineStr">
        <is>
          <t>Bradley Cooper</t>
        </is>
      </c>
      <c r="Q138" t="inlineStr">
        <is>
          <t>Ed Helms</t>
        </is>
      </c>
      <c r="R138" t="inlineStr">
        <is>
          <t>Zach Galifianakis</t>
        </is>
      </c>
      <c r="S138" t="inlineStr">
        <is>
          <t>Justin Bartha</t>
        </is>
      </c>
      <c r="T138" t="inlineStr">
        <is>
          <t>Heather Graham</t>
        </is>
      </c>
      <c r="U138" s="71" t="n">
        <v>0</v>
      </c>
      <c r="V138" s="71" t="n">
        <v>0</v>
      </c>
      <c r="X138" s="82">
        <f>IFERROR(INDEX(Ratings!$E$5:$E$500,MATCH(A138,Ratings!$A$5:$A$500,0)),"")</f>
        <v/>
      </c>
      <c r="Y138" s="71">
        <f>IFERROR(INDEX(Ratings!$G$5:$G$500,MATCH(A138,Ratings!$A$5:$A$500,0)),"")</f>
        <v/>
      </c>
      <c r="Z138" s="83">
        <f>IFERROR(INDEX(Ratings!$I$5:$I$500,MATCH(A138,Ratings!$A$5:$A$500,0)),"")</f>
        <v/>
      </c>
    </row>
    <row r="139" ht="15.75" customHeight="1" s="95">
      <c r="A139" t="inlineStr">
        <is>
          <t>F0135</t>
        </is>
      </c>
      <c r="B139" t="inlineStr">
        <is>
          <t>The Hangover Part II</t>
        </is>
      </c>
      <c r="C139" s="63" t="inlineStr">
        <is>
          <t>2011</t>
        </is>
      </c>
      <c r="D139" t="inlineStr">
        <is>
          <t>Blu-ray</t>
        </is>
      </c>
      <c r="E139" t="inlineStr">
        <is>
          <t>Hangover</t>
        </is>
      </c>
      <c r="F139" s="64" t="n"/>
      <c r="I139" s="64" t="n"/>
      <c r="J139" s="64" t="inlineStr">
        <is>
          <t>Todd Phillips</t>
        </is>
      </c>
      <c r="K139" s="64" t="n">
        <v>102</v>
      </c>
      <c r="L139" s="64" t="inlineStr">
        <is>
          <t>Comedy</t>
        </is>
      </c>
      <c r="M139" s="64" t="inlineStr">
        <is>
          <t>Legendary Pictures, Green Hat Films, Warner Bros. Pictures</t>
        </is>
      </c>
      <c r="N139" s="64" t="inlineStr">
        <is>
          <t>https://huggingface.co/datasets/HenryWaltson/TMDB-IMDB-Movies-Dataset</t>
        </is>
      </c>
      <c r="O139" s="64" t="inlineStr">
        <is>
          <t>https://huggingface.co/datasets/HenryWaltson/TMDB-IMDB-Movies-Dataset</t>
        </is>
      </c>
      <c r="P139" t="inlineStr">
        <is>
          <t>Bradley Cooper</t>
        </is>
      </c>
      <c r="Q139" t="inlineStr">
        <is>
          <t>Ed Helms</t>
        </is>
      </c>
      <c r="R139" t="inlineStr">
        <is>
          <t>Zach Galifianakis</t>
        </is>
      </c>
      <c r="S139" t="inlineStr">
        <is>
          <t>Justin Bartha</t>
        </is>
      </c>
      <c r="T139" t="inlineStr">
        <is>
          <t>Ken Jeong</t>
        </is>
      </c>
      <c r="U139" s="71" t="n">
        <v>0</v>
      </c>
      <c r="V139" s="71" t="n">
        <v>0</v>
      </c>
      <c r="X139" s="82">
        <f>IFERROR(INDEX(Ratings!$E$5:$E$500,MATCH(A139,Ratings!$A$5:$A$500,0)),"")</f>
        <v/>
      </c>
      <c r="Y139" s="71">
        <f>IFERROR(INDEX(Ratings!$G$5:$G$500,MATCH(A139,Ratings!$A$5:$A$500,0)),"")</f>
        <v/>
      </c>
      <c r="Z139" s="83">
        <f>IFERROR(INDEX(Ratings!$I$5:$I$500,MATCH(A139,Ratings!$A$5:$A$500,0)),"")</f>
        <v/>
      </c>
    </row>
    <row r="140" ht="15.75" customHeight="1" s="95">
      <c r="A140" t="inlineStr">
        <is>
          <t>F0136</t>
        </is>
      </c>
      <c r="B140" t="inlineStr">
        <is>
          <t>The Hangover Part III</t>
        </is>
      </c>
      <c r="C140" s="63" t="inlineStr">
        <is>
          <t>2013</t>
        </is>
      </c>
      <c r="D140" t="inlineStr">
        <is>
          <t>Blu-ray</t>
        </is>
      </c>
      <c r="E140" t="inlineStr">
        <is>
          <t>Hangover</t>
        </is>
      </c>
      <c r="F140" s="64" t="n"/>
      <c r="I140" s="64" t="n"/>
      <c r="J140" s="64" t="inlineStr">
        <is>
          <t>Todd Phillips</t>
        </is>
      </c>
      <c r="K140" s="64" t="n">
        <v>100</v>
      </c>
      <c r="L140" s="64" t="inlineStr">
        <is>
          <t>Comedy</t>
        </is>
      </c>
      <c r="M140" s="64" t="inlineStr">
        <is>
          <t>Green Hat Films, Legendary Pictures, BenderSpink</t>
        </is>
      </c>
      <c r="N140" s="64" t="inlineStr">
        <is>
          <t>https://huggingface.co/datasets/HenryWaltson/TMDB-IMDB-Movies-Dataset</t>
        </is>
      </c>
      <c r="O140" s="64" t="inlineStr">
        <is>
          <t>https://huggingface.co/datasets/HenryWaltson/TMDB-IMDB-Movies-Dataset</t>
        </is>
      </c>
      <c r="P140" t="inlineStr">
        <is>
          <t>Bradley Cooper</t>
        </is>
      </c>
      <c r="Q140" t="inlineStr">
        <is>
          <t>Ed Helms</t>
        </is>
      </c>
      <c r="R140" t="inlineStr">
        <is>
          <t>Zach Galifianakis</t>
        </is>
      </c>
      <c r="S140" t="inlineStr">
        <is>
          <t>Justin Bartha</t>
        </is>
      </c>
      <c r="T140" t="inlineStr">
        <is>
          <t>Ken Jeong</t>
        </is>
      </c>
      <c r="U140" s="71" t="n">
        <v>0</v>
      </c>
      <c r="V140" s="71" t="n">
        <v>0</v>
      </c>
      <c r="X140" s="82">
        <f>IFERROR(INDEX(Ratings!$E$5:$E$500,MATCH(A140,Ratings!$A$5:$A$500,0)),"")</f>
        <v/>
      </c>
      <c r="Y140" s="71">
        <f>IFERROR(INDEX(Ratings!$G$5:$G$500,MATCH(A140,Ratings!$A$5:$A$500,0)),"")</f>
        <v/>
      </c>
      <c r="Z140" s="83">
        <f>IFERROR(INDEX(Ratings!$I$5:$I$500,MATCH(A140,Ratings!$A$5:$A$500,0)),"")</f>
        <v/>
      </c>
    </row>
    <row r="141" ht="15.75" customHeight="1" s="95">
      <c r="A141" t="inlineStr">
        <is>
          <t>F0137</t>
        </is>
      </c>
      <c r="B141" t="inlineStr">
        <is>
          <t>Harry Potter and the Philosopher's Stone</t>
        </is>
      </c>
      <c r="C141" s="63" t="inlineStr">
        <is>
          <t>2001</t>
        </is>
      </c>
      <c r="D141" t="inlineStr">
        <is>
          <t>Blu-ray</t>
        </is>
      </c>
      <c r="E141" t="inlineStr">
        <is>
          <t>Harry Potter</t>
        </is>
      </c>
      <c r="F141" s="64" t="n"/>
      <c r="I141" s="64" t="n"/>
      <c r="J141" s="64" t="inlineStr">
        <is>
          <t>Chris Columbus</t>
        </is>
      </c>
      <c r="K141" s="64" t="n">
        <v>152</v>
      </c>
      <c r="L141" s="64" t="inlineStr">
        <is>
          <t>Adventure, Fantasy</t>
        </is>
      </c>
      <c r="M141" s="64" t="inlineStr">
        <is>
          <t>Warner Bros. Pictures, Heyday Films, 1492 Pictures</t>
        </is>
      </c>
      <c r="N141" s="64" t="inlineStr">
        <is>
          <t>https://huggingface.co/datasets/HenryWaltson/TMDB-IMDB-Movies-Dataset</t>
        </is>
      </c>
      <c r="O141" s="64" t="inlineStr">
        <is>
          <t>https://huggingface.co/datasets/HenryWaltson/TMDB-IMDB-Movies-Dataset</t>
        </is>
      </c>
      <c r="P141" t="inlineStr">
        <is>
          <t>Daniel Radcliffe</t>
        </is>
      </c>
      <c r="Q141" t="inlineStr">
        <is>
          <t>Rupert Grint</t>
        </is>
      </c>
      <c r="R141" t="inlineStr">
        <is>
          <t>Emma Watson</t>
        </is>
      </c>
      <c r="S141" t="inlineStr">
        <is>
          <t>Richard Harris</t>
        </is>
      </c>
      <c r="T141" t="inlineStr">
        <is>
          <t>Tom Felton</t>
        </is>
      </c>
      <c r="U141" s="71" t="n">
        <v>0</v>
      </c>
      <c r="V141" s="71" t="n">
        <v>0</v>
      </c>
      <c r="X141" s="82">
        <f>IFERROR(INDEX(Ratings!$E$5:$E$500,MATCH(A141,Ratings!$A$5:$A$500,0)),"")</f>
        <v/>
      </c>
      <c r="Y141" s="71">
        <f>IFERROR(INDEX(Ratings!$G$5:$G$500,MATCH(A141,Ratings!$A$5:$A$500,0)),"")</f>
        <v/>
      </c>
      <c r="Z141" s="83">
        <f>IFERROR(INDEX(Ratings!$I$5:$I$500,MATCH(A141,Ratings!$A$5:$A$500,0)),"")</f>
        <v/>
      </c>
    </row>
    <row r="142" ht="15.75" customHeight="1" s="95">
      <c r="A142" t="inlineStr">
        <is>
          <t>F0138</t>
        </is>
      </c>
      <c r="B142" t="inlineStr">
        <is>
          <t>Harry Potter and the Chamber of Secrets</t>
        </is>
      </c>
      <c r="C142" s="63" t="inlineStr">
        <is>
          <t>2002</t>
        </is>
      </c>
      <c r="D142" t="inlineStr">
        <is>
          <t>Blu-ray</t>
        </is>
      </c>
      <c r="E142" t="inlineStr">
        <is>
          <t>Harry Potter</t>
        </is>
      </c>
      <c r="F142" s="64" t="n"/>
      <c r="I142" s="64" t="n"/>
      <c r="J142" s="64" t="inlineStr">
        <is>
          <t>Chris Columbus</t>
        </is>
      </c>
      <c r="K142" s="64" t="n">
        <v>161</v>
      </c>
      <c r="L142" s="64" t="inlineStr">
        <is>
          <t>Adventure, Fantasy</t>
        </is>
      </c>
      <c r="M142" s="64" t="inlineStr">
        <is>
          <t>Warner Bros. Pictures, Heyday Films, 1492 Pictures</t>
        </is>
      </c>
      <c r="N142" s="64" t="inlineStr">
        <is>
          <t>https://huggingface.co/datasets/HenryWaltson/TMDB-IMDB-Movies-Dataset</t>
        </is>
      </c>
      <c r="O142" s="64" t="inlineStr">
        <is>
          <t>https://huggingface.co/datasets/HenryWaltson/TMDB-IMDB-Movies-Dataset</t>
        </is>
      </c>
      <c r="P142" t="inlineStr">
        <is>
          <t>Daniel Radcliffe</t>
        </is>
      </c>
      <c r="Q142" t="inlineStr">
        <is>
          <t>Rupert Grint</t>
        </is>
      </c>
      <c r="R142" t="inlineStr">
        <is>
          <t>Emma Watson</t>
        </is>
      </c>
      <c r="S142" t="inlineStr">
        <is>
          <t>Kenneth Branagh</t>
        </is>
      </c>
      <c r="T142" t="inlineStr">
        <is>
          <t>Toby Jones</t>
        </is>
      </c>
      <c r="U142" s="71" t="n">
        <v>0</v>
      </c>
      <c r="V142" s="71" t="n">
        <v>0</v>
      </c>
      <c r="X142" s="82">
        <f>IFERROR(INDEX(Ratings!$E$5:$E$500,MATCH(A142,Ratings!$A$5:$A$500,0)),"")</f>
        <v/>
      </c>
      <c r="Y142" s="71">
        <f>IFERROR(INDEX(Ratings!$G$5:$G$500,MATCH(A142,Ratings!$A$5:$A$500,0)),"")</f>
        <v/>
      </c>
      <c r="Z142" s="83">
        <f>IFERROR(INDEX(Ratings!$I$5:$I$500,MATCH(A142,Ratings!$A$5:$A$500,0)),"")</f>
        <v/>
      </c>
    </row>
    <row r="143" ht="15.75" customHeight="1" s="95">
      <c r="A143" t="inlineStr">
        <is>
          <t>F0139</t>
        </is>
      </c>
      <c r="B143" t="inlineStr">
        <is>
          <t>Harry Potter and the Prisoner of Azkaban</t>
        </is>
      </c>
      <c r="C143" s="63" t="inlineStr">
        <is>
          <t>2004</t>
        </is>
      </c>
      <c r="D143" t="inlineStr">
        <is>
          <t>Blu-ray</t>
        </is>
      </c>
      <c r="E143" t="inlineStr">
        <is>
          <t>Harry Potter</t>
        </is>
      </c>
      <c r="F143" s="64" t="n"/>
      <c r="I143" s="64" t="n"/>
      <c r="J143" s="64" t="inlineStr">
        <is>
          <t>Alfonso Cuarón</t>
        </is>
      </c>
      <c r="K143" s="64" t="n">
        <v>141</v>
      </c>
      <c r="L143" s="64" t="inlineStr">
        <is>
          <t>Adventure, Fantasy</t>
        </is>
      </c>
      <c r="M143" s="64" t="inlineStr">
        <is>
          <t>Warner Bros. Pictures, 1492 Pictures, Heyday Films</t>
        </is>
      </c>
      <c r="N143" s="64" t="inlineStr">
        <is>
          <t>https://huggingface.co/datasets/HenryWaltson/TMDB-IMDB-Movies-Dataset</t>
        </is>
      </c>
      <c r="O143" s="64" t="inlineStr">
        <is>
          <t>https://huggingface.co/datasets/HenryWaltson/TMDB-IMDB-Movies-Dataset</t>
        </is>
      </c>
      <c r="P143" t="inlineStr">
        <is>
          <t>Daniel Radcliffe</t>
        </is>
      </c>
      <c r="Q143" t="inlineStr">
        <is>
          <t>Rupert Grint</t>
        </is>
      </c>
      <c r="R143" t="inlineStr">
        <is>
          <t>Emma Watson</t>
        </is>
      </c>
      <c r="S143" t="inlineStr">
        <is>
          <t>Robbie Coltrane</t>
        </is>
      </c>
      <c r="T143" t="inlineStr">
        <is>
          <t>Michael Gambon</t>
        </is>
      </c>
      <c r="U143" s="71" t="n">
        <v>2</v>
      </c>
      <c r="V143" s="71" t="n">
        <v>0</v>
      </c>
      <c r="X143" s="82">
        <f>IFERROR(INDEX(Ratings!$E$5:$E$500,MATCH(A143,Ratings!$A$5:$A$500,0)),"")</f>
        <v/>
      </c>
      <c r="Y143" s="71">
        <f>IFERROR(INDEX(Ratings!$G$5:$G$500,MATCH(A143,Ratings!$A$5:$A$500,0)),"")</f>
        <v/>
      </c>
      <c r="Z143" s="83">
        <f>IFERROR(INDEX(Ratings!$I$5:$I$500,MATCH(A143,Ratings!$A$5:$A$500,0)),"")</f>
        <v/>
      </c>
    </row>
    <row r="144" ht="15.75" customHeight="1" s="95">
      <c r="A144" t="inlineStr">
        <is>
          <t>F0140</t>
        </is>
      </c>
      <c r="B144" t="inlineStr">
        <is>
          <t>Harry Potter and the Goblet of Fire</t>
        </is>
      </c>
      <c r="C144" s="63" t="inlineStr">
        <is>
          <t>2005</t>
        </is>
      </c>
      <c r="D144" t="inlineStr">
        <is>
          <t>Blu-ray</t>
        </is>
      </c>
      <c r="E144" t="inlineStr">
        <is>
          <t>Harry Potter</t>
        </is>
      </c>
      <c r="F144" s="64" t="n"/>
      <c r="I144" s="64" t="n"/>
      <c r="J144" s="64" t="inlineStr">
        <is>
          <t>Mike Newell</t>
        </is>
      </c>
      <c r="K144" s="64" t="n">
        <v>157</v>
      </c>
      <c r="L144" s="64" t="inlineStr">
        <is>
          <t>Adventure, Fantasy</t>
        </is>
      </c>
      <c r="M144" s="64" t="inlineStr">
        <is>
          <t>Warner Bros. Pictures, Heyday Films, Patalex IV Productions Limited</t>
        </is>
      </c>
      <c r="N144" s="64" t="inlineStr">
        <is>
          <t>https://huggingface.co/datasets/HenryWaltson/TMDB-IMDB-Movies-Dataset</t>
        </is>
      </c>
      <c r="O144" s="64" t="inlineStr">
        <is>
          <t>https://huggingface.co/datasets/HenryWaltson/TMDB-IMDB-Movies-Dataset</t>
        </is>
      </c>
      <c r="P144" t="inlineStr">
        <is>
          <t>Daniel Radcliffe</t>
        </is>
      </c>
      <c r="Q144" t="inlineStr">
        <is>
          <t>Rupert Grint</t>
        </is>
      </c>
      <c r="R144" t="inlineStr">
        <is>
          <t>Emma Watson</t>
        </is>
      </c>
      <c r="S144" t="inlineStr">
        <is>
          <t>Brendan Gleeson</t>
        </is>
      </c>
      <c r="T144" t="inlineStr">
        <is>
          <t>Michael Gambon</t>
        </is>
      </c>
      <c r="U144" s="71" t="n">
        <v>1</v>
      </c>
      <c r="V144" s="71" t="n">
        <v>0</v>
      </c>
      <c r="X144" s="82">
        <f>IFERROR(INDEX(Ratings!$E$5:$E$500,MATCH(A144,Ratings!$A$5:$A$500,0)),"")</f>
        <v/>
      </c>
      <c r="Y144" s="71">
        <f>IFERROR(INDEX(Ratings!$G$5:$G$500,MATCH(A144,Ratings!$A$5:$A$500,0)),"")</f>
        <v/>
      </c>
      <c r="Z144" s="83">
        <f>IFERROR(INDEX(Ratings!$I$5:$I$500,MATCH(A144,Ratings!$A$5:$A$500,0)),"")</f>
        <v/>
      </c>
    </row>
    <row r="145" ht="15.75" customHeight="1" s="95">
      <c r="A145" t="inlineStr">
        <is>
          <t>F0141</t>
        </is>
      </c>
      <c r="B145" t="inlineStr">
        <is>
          <t>Harry Potter and the Order of the Phoenix</t>
        </is>
      </c>
      <c r="C145" s="63" t="inlineStr">
        <is>
          <t>2007</t>
        </is>
      </c>
      <c r="D145" t="inlineStr">
        <is>
          <t>Blu-ray</t>
        </is>
      </c>
      <c r="E145" t="inlineStr">
        <is>
          <t>Harry Potter</t>
        </is>
      </c>
      <c r="F145" s="64" t="n"/>
      <c r="I145" s="64" t="n"/>
      <c r="J145" s="64" t="inlineStr">
        <is>
          <t>David Yates</t>
        </is>
      </c>
      <c r="K145" s="64" t="n">
        <v>138</v>
      </c>
      <c r="L145" s="64" t="inlineStr">
        <is>
          <t>Adventure, Fantasy</t>
        </is>
      </c>
      <c r="M145" s="64" t="inlineStr">
        <is>
          <t>Warner Bros. Pictures, Heyday Films</t>
        </is>
      </c>
      <c r="N145" s="64" t="inlineStr">
        <is>
          <t>https://huggingface.co/datasets/HenryWaltson/TMDB-IMDB-Movies-Dataset</t>
        </is>
      </c>
      <c r="O145" s="64" t="inlineStr">
        <is>
          <t>https://huggingface.co/datasets/HenryWaltson/TMDB-IMDB-Movies-Dataset</t>
        </is>
      </c>
      <c r="P145" t="inlineStr">
        <is>
          <t>Daniel Radcliffe</t>
        </is>
      </c>
      <c r="Q145" t="inlineStr">
        <is>
          <t>Rupert Grint</t>
        </is>
      </c>
      <c r="R145" t="inlineStr">
        <is>
          <t>Emma Watson</t>
        </is>
      </c>
      <c r="S145" t="inlineStr">
        <is>
          <t>Imelda Staunton</t>
        </is>
      </c>
      <c r="T145" t="inlineStr">
        <is>
          <t>Helena Bonham Carter</t>
        </is>
      </c>
      <c r="U145" s="71" t="n">
        <v>0</v>
      </c>
      <c r="V145" s="71" t="n">
        <v>0</v>
      </c>
      <c r="X145" s="82">
        <f>IFERROR(INDEX(Ratings!$E$5:$E$500,MATCH(A145,Ratings!$A$5:$A$500,0)),"")</f>
        <v/>
      </c>
      <c r="Y145" s="71">
        <f>IFERROR(INDEX(Ratings!$G$5:$G$500,MATCH(A145,Ratings!$A$5:$A$500,0)),"")</f>
        <v/>
      </c>
      <c r="Z145" s="83">
        <f>IFERROR(INDEX(Ratings!$I$5:$I$500,MATCH(A145,Ratings!$A$5:$A$500,0)),"")</f>
        <v/>
      </c>
    </row>
    <row r="146" ht="15.75" customHeight="1" s="95">
      <c r="A146" t="inlineStr">
        <is>
          <t>F0142</t>
        </is>
      </c>
      <c r="B146" t="inlineStr">
        <is>
          <t>Harry Potter and the Half-Blood Prince</t>
        </is>
      </c>
      <c r="C146" s="63" t="inlineStr">
        <is>
          <t>2009</t>
        </is>
      </c>
      <c r="D146" t="inlineStr">
        <is>
          <t>Blu-ray</t>
        </is>
      </c>
      <c r="E146" t="inlineStr">
        <is>
          <t>Harry Potter</t>
        </is>
      </c>
      <c r="F146" s="64" t="n"/>
      <c r="I146" s="64" t="n"/>
      <c r="J146" s="64" t="inlineStr">
        <is>
          <t>David Yates</t>
        </is>
      </c>
      <c r="K146" s="64" t="n">
        <v>153</v>
      </c>
      <c r="L146" s="64" t="inlineStr">
        <is>
          <t>Adventure, Fantasy</t>
        </is>
      </c>
      <c r="M146" s="64" t="inlineStr">
        <is>
          <t>Warner Bros. Pictures, Heyday Films</t>
        </is>
      </c>
      <c r="N146" s="64" t="inlineStr">
        <is>
          <t>https://huggingface.co/datasets/HenryWaltson/TMDB-IMDB-Movies-Dataset</t>
        </is>
      </c>
      <c r="O146" s="64" t="inlineStr">
        <is>
          <t>https://huggingface.co/datasets/HenryWaltson/TMDB-IMDB-Movies-Dataset</t>
        </is>
      </c>
      <c r="P146" t="inlineStr">
        <is>
          <t>Daniel Radcliffe</t>
        </is>
      </c>
      <c r="Q146" t="inlineStr">
        <is>
          <t>Rupert Grint</t>
        </is>
      </c>
      <c r="R146" t="inlineStr">
        <is>
          <t>Emma Watson</t>
        </is>
      </c>
      <c r="S146" t="inlineStr">
        <is>
          <t>Jim Broadbent</t>
        </is>
      </c>
      <c r="T146" t="inlineStr">
        <is>
          <t>Michael Gambon</t>
        </is>
      </c>
      <c r="U146" s="71" t="n">
        <v>1</v>
      </c>
      <c r="V146" s="71" t="n">
        <v>0</v>
      </c>
      <c r="X146" s="82">
        <f>IFERROR(INDEX(Ratings!$E$5:$E$500,MATCH(A146,Ratings!$A$5:$A$500,0)),"")</f>
        <v/>
      </c>
      <c r="Y146" s="71">
        <f>IFERROR(INDEX(Ratings!$G$5:$G$500,MATCH(A146,Ratings!$A$5:$A$500,0)),"")</f>
        <v/>
      </c>
      <c r="Z146" s="83">
        <f>IFERROR(INDEX(Ratings!$I$5:$I$500,MATCH(A146,Ratings!$A$5:$A$500,0)),"")</f>
        <v/>
      </c>
    </row>
    <row r="147" ht="15.75" customHeight="1" s="95">
      <c r="A147" t="inlineStr">
        <is>
          <t>F0143</t>
        </is>
      </c>
      <c r="B147" t="inlineStr">
        <is>
          <t>Harry Potter and the Deathly Hallows: Part 1</t>
        </is>
      </c>
      <c r="C147" s="63" t="inlineStr">
        <is>
          <t>2010</t>
        </is>
      </c>
      <c r="D147" t="inlineStr">
        <is>
          <t>Blu-ray</t>
        </is>
      </c>
      <c r="E147" t="inlineStr">
        <is>
          <t>Harry Potter</t>
        </is>
      </c>
      <c r="F147" s="64" t="n"/>
      <c r="I147" s="64" t="n"/>
      <c r="J147" s="64" t="inlineStr">
        <is>
          <t>David Yates</t>
        </is>
      </c>
      <c r="K147" s="64" t="n">
        <v>146</v>
      </c>
      <c r="L147" s="64" t="inlineStr">
        <is>
          <t>Adventure, Fantasy</t>
        </is>
      </c>
      <c r="M147" s="64" t="inlineStr">
        <is>
          <t>Warner Bros. Pictures, Heyday Films</t>
        </is>
      </c>
      <c r="N147" s="64" t="inlineStr">
        <is>
          <t>https://huggingface.co/datasets/HenryWaltson/TMDB-IMDB-Movies-Dataset</t>
        </is>
      </c>
      <c r="O147" s="64" t="inlineStr">
        <is>
          <t>https://huggingface.co/datasets/HenryWaltson/TMDB-IMDB-Movies-Dataset</t>
        </is>
      </c>
      <c r="P147" t="inlineStr">
        <is>
          <t>Daniel Radcliffe</t>
        </is>
      </c>
      <c r="Q147" t="inlineStr">
        <is>
          <t>Emma Watson</t>
        </is>
      </c>
      <c r="R147" t="inlineStr">
        <is>
          <t>Rupert Grint</t>
        </is>
      </c>
      <c r="S147" t="inlineStr">
        <is>
          <t>Toby Jones</t>
        </is>
      </c>
      <c r="T147" t="inlineStr">
        <is>
          <t>Helena Bonham Carter</t>
        </is>
      </c>
      <c r="U147" s="71" t="n">
        <v>2</v>
      </c>
      <c r="V147" s="71" t="n">
        <v>0</v>
      </c>
      <c r="X147" s="82">
        <f>IFERROR(INDEX(Ratings!$E$5:$E$500,MATCH(A147,Ratings!$A$5:$A$500,0)),"")</f>
        <v/>
      </c>
      <c r="Y147" s="71">
        <f>IFERROR(INDEX(Ratings!$G$5:$G$500,MATCH(A147,Ratings!$A$5:$A$500,0)),"")</f>
        <v/>
      </c>
      <c r="Z147" s="83">
        <f>IFERROR(INDEX(Ratings!$I$5:$I$500,MATCH(A147,Ratings!$A$5:$A$500,0)),"")</f>
        <v/>
      </c>
    </row>
    <row r="148" ht="15.75" customHeight="1" s="95">
      <c r="A148" t="inlineStr">
        <is>
          <t>F0144</t>
        </is>
      </c>
      <c r="B148" t="inlineStr">
        <is>
          <t>Harry Potter and the Deathly Hallows: Part 2</t>
        </is>
      </c>
      <c r="C148" s="63" t="inlineStr">
        <is>
          <t>2011</t>
        </is>
      </c>
      <c r="D148" t="inlineStr">
        <is>
          <t>Blu-ray</t>
        </is>
      </c>
      <c r="E148" t="inlineStr">
        <is>
          <t>Harry Potter</t>
        </is>
      </c>
      <c r="F148" s="64" t="n"/>
      <c r="I148" s="64" t="n"/>
      <c r="J148" s="64" t="inlineStr">
        <is>
          <t>David Yates</t>
        </is>
      </c>
      <c r="K148" s="64" t="n">
        <v>130</v>
      </c>
      <c r="L148" s="64" t="inlineStr">
        <is>
          <t>Fantasy, Adventure</t>
        </is>
      </c>
      <c r="M148" s="64" t="inlineStr">
        <is>
          <t>Warner Bros. Pictures, Heyday Films</t>
        </is>
      </c>
      <c r="N148" s="64" t="inlineStr">
        <is>
          <t>https://huggingface.co/datasets/HenryWaltson/TMDB-IMDB-Movies-Dataset</t>
        </is>
      </c>
      <c r="O148" s="64" t="inlineStr">
        <is>
          <t>https://huggingface.co/datasets/HenryWaltson/TMDB-IMDB-Movies-Dataset</t>
        </is>
      </c>
      <c r="P148" t="inlineStr">
        <is>
          <t>Daniel Radcliffe</t>
        </is>
      </c>
      <c r="Q148" t="inlineStr">
        <is>
          <t>Emma Watson</t>
        </is>
      </c>
      <c r="R148" t="inlineStr">
        <is>
          <t>Rupert Grint</t>
        </is>
      </c>
      <c r="S148" t="inlineStr">
        <is>
          <t>Ralph Fiennes</t>
        </is>
      </c>
      <c r="T148" t="inlineStr">
        <is>
          <t>Alan Rickman</t>
        </is>
      </c>
      <c r="U148" s="71" t="n">
        <v>3</v>
      </c>
      <c r="V148" s="71" t="n">
        <v>0</v>
      </c>
      <c r="X148" s="82">
        <f>IFERROR(INDEX(Ratings!$E$5:$E$500,MATCH(A148,Ratings!$A$5:$A$500,0)),"")</f>
        <v/>
      </c>
      <c r="Y148" s="71">
        <f>IFERROR(INDEX(Ratings!$G$5:$G$500,MATCH(A148,Ratings!$A$5:$A$500,0)),"")</f>
        <v/>
      </c>
      <c r="Z148" s="83">
        <f>IFERROR(INDEX(Ratings!$I$5:$I$500,MATCH(A148,Ratings!$A$5:$A$500,0)),"")</f>
        <v/>
      </c>
    </row>
    <row r="149" ht="15.75" customHeight="1" s="95">
      <c r="A149" t="inlineStr">
        <is>
          <t>F0145</t>
        </is>
      </c>
      <c r="B149" t="inlineStr">
        <is>
          <t>Happy Feet Two</t>
        </is>
      </c>
      <c r="C149" s="63" t="inlineStr">
        <is>
          <t>2011</t>
        </is>
      </c>
      <c r="D149" t="inlineStr">
        <is>
          <t>Blu-ray</t>
        </is>
      </c>
      <c r="E149" t="inlineStr">
        <is>
          <t>Happy Feet</t>
        </is>
      </c>
      <c r="F149" s="64" t="n"/>
      <c r="I149" s="64" t="n"/>
      <c r="J149" s="64" t="inlineStr">
        <is>
          <t>George Miller, Gary Eck, David Peers</t>
        </is>
      </c>
      <c r="K149" s="64" t="n">
        <v>100</v>
      </c>
      <c r="L149" s="64" t="inlineStr">
        <is>
          <t>Animation, Comedy, Family</t>
        </is>
      </c>
      <c r="M149" s="64" t="inlineStr">
        <is>
          <t>Dr D Studios, Village Roadshow Entertainment, Kennedy Miller Productions</t>
        </is>
      </c>
      <c r="N149" s="64" t="inlineStr">
        <is>
          <t>https://huggingface.co/datasets/HenryWaltson/TMDB-IMDB-Movies-Dataset</t>
        </is>
      </c>
      <c r="O149" s="64" t="inlineStr">
        <is>
          <t>https://huggingface.co/datasets/HenryWaltson/TMDB-IMDB-Movies-Dataset</t>
        </is>
      </c>
      <c r="P149" t="inlineStr">
        <is>
          <t>Elijah Wood</t>
        </is>
      </c>
      <c r="Q149" t="inlineStr">
        <is>
          <t>Robin Williams</t>
        </is>
      </c>
      <c r="R149" t="inlineStr">
        <is>
          <t>Pink</t>
        </is>
      </c>
      <c r="S149" t="inlineStr">
        <is>
          <t>Elizabeth Daily</t>
        </is>
      </c>
      <c r="T149" t="inlineStr">
        <is>
          <t>Johnny A. Sanchez</t>
        </is>
      </c>
      <c r="U149" s="71" t="n">
        <v>0</v>
      </c>
      <c r="V149" s="71" t="n">
        <v>0</v>
      </c>
      <c r="X149" s="82">
        <f>IFERROR(INDEX(Ratings!$E$5:$E$500,MATCH(A149,Ratings!$A$5:$A$500,0)),"")</f>
        <v/>
      </c>
      <c r="Y149" s="71">
        <f>IFERROR(INDEX(Ratings!$G$5:$G$500,MATCH(A149,Ratings!$A$5:$A$500,0)),"")</f>
        <v/>
      </c>
      <c r="Z149" s="83">
        <f>IFERROR(INDEX(Ratings!$I$5:$I$500,MATCH(A149,Ratings!$A$5:$A$500,0)),"")</f>
        <v/>
      </c>
    </row>
    <row r="150" ht="15.75" customHeight="1" s="95">
      <c r="A150" t="inlineStr">
        <is>
          <t>F0146</t>
        </is>
      </c>
      <c r="B150" t="inlineStr">
        <is>
          <t>The Heat</t>
        </is>
      </c>
      <c r="C150" s="63" t="inlineStr">
        <is>
          <t>2013</t>
        </is>
      </c>
      <c r="D150" t="inlineStr">
        <is>
          <t>Blu-ray</t>
        </is>
      </c>
      <c r="F150" s="64" t="n"/>
      <c r="I150" s="64" t="n"/>
      <c r="J150" s="64" t="inlineStr">
        <is>
          <t>Paul Feig</t>
        </is>
      </c>
      <c r="K150" s="64" t="n">
        <v>117</v>
      </c>
      <c r="L150" s="64" t="inlineStr">
        <is>
          <t>Action, Comedy, Crime</t>
        </is>
      </c>
      <c r="M150" s="64" t="inlineStr">
        <is>
          <t>Chernin Entertainment, TSG Entertainment, Ingenious Media</t>
        </is>
      </c>
      <c r="N150" s="64" t="inlineStr">
        <is>
          <t>https://huggingface.co/datasets/HenryWaltson/TMDB-IMDB-Movies-Dataset</t>
        </is>
      </c>
      <c r="O150" s="64" t="inlineStr">
        <is>
          <t>https://huggingface.co/datasets/HenryWaltson/TMDB-IMDB-Movies-Dataset</t>
        </is>
      </c>
      <c r="P150" t="inlineStr">
        <is>
          <t>Sandra Bullock</t>
        </is>
      </c>
      <c r="Q150" t="inlineStr">
        <is>
          <t>Melissa McCarthy</t>
        </is>
      </c>
      <c r="R150" t="inlineStr">
        <is>
          <t>Demián Bichir</t>
        </is>
      </c>
      <c r="S150" t="inlineStr">
        <is>
          <t>Marlon Wayans</t>
        </is>
      </c>
      <c r="T150" t="inlineStr">
        <is>
          <t>Michael Rapaport</t>
        </is>
      </c>
      <c r="U150" s="71" t="n">
        <v>0</v>
      </c>
      <c r="V150" s="71" t="n">
        <v>0</v>
      </c>
      <c r="X150" s="82">
        <f>IFERROR(INDEX(Ratings!$E$5:$E$500,MATCH(A150,Ratings!$A$5:$A$500,0)),"")</f>
        <v/>
      </c>
      <c r="Y150" s="71">
        <f>IFERROR(INDEX(Ratings!$G$5:$G$500,MATCH(A150,Ratings!$A$5:$A$500,0)),"")</f>
        <v/>
      </c>
      <c r="Z150" s="83">
        <f>IFERROR(INDEX(Ratings!$I$5:$I$500,MATCH(A150,Ratings!$A$5:$A$500,0)),"")</f>
        <v/>
      </c>
    </row>
    <row r="151" ht="15.75" customHeight="1" s="95">
      <c r="A151" t="inlineStr">
        <is>
          <t>F0147</t>
        </is>
      </c>
      <c r="B151" t="inlineStr">
        <is>
          <t>Hercules</t>
        </is>
      </c>
      <c r="C151" s="63" t="inlineStr">
        <is>
          <t>2014</t>
        </is>
      </c>
      <c r="D151" t="inlineStr">
        <is>
          <t>Blu-ray</t>
        </is>
      </c>
      <c r="F151" s="64" t="n"/>
      <c r="I151" s="64" t="inlineStr">
        <is>
          <t>Best guess: 2014 version.</t>
        </is>
      </c>
      <c r="J151" s="64" t="inlineStr">
        <is>
          <t>Brett Ratner</t>
        </is>
      </c>
      <c r="K151" s="64" t="n">
        <v>99</v>
      </c>
      <c r="L151" s="64" t="inlineStr">
        <is>
          <t>Action, Adventure</t>
        </is>
      </c>
      <c r="M151" s="64" t="inlineStr">
        <is>
          <t>Paramount, Radical Studios, Flynn Picture Company</t>
        </is>
      </c>
      <c r="N151" s="64" t="inlineStr">
        <is>
          <t>https://huggingface.co/datasets/HenryWaltson/TMDB-IMDB-Movies-Dataset</t>
        </is>
      </c>
      <c r="O151" s="64" t="inlineStr">
        <is>
          <t>https://huggingface.co/datasets/HenryWaltson/TMDB-IMDB-Movies-Dataset</t>
        </is>
      </c>
      <c r="P151" t="inlineStr">
        <is>
          <t>Dwayne Johnson</t>
        </is>
      </c>
      <c r="Q151" t="inlineStr">
        <is>
          <t>Ian McShane</t>
        </is>
      </c>
      <c r="R151" t="inlineStr">
        <is>
          <t>John Hurt</t>
        </is>
      </c>
      <c r="S151" t="inlineStr">
        <is>
          <t>Rufus Sewell</t>
        </is>
      </c>
      <c r="T151" t="inlineStr">
        <is>
          <t>Aksel Hennie</t>
        </is>
      </c>
      <c r="U151" s="71" t="n">
        <v>0</v>
      </c>
      <c r="V151" s="71" t="n">
        <v>0</v>
      </c>
      <c r="X151" s="82">
        <f>IFERROR(INDEX(Ratings!$E$5:$E$500,MATCH(A151,Ratings!$A$5:$A$500,0)),"")</f>
        <v/>
      </c>
      <c r="Y151" s="71">
        <f>IFERROR(INDEX(Ratings!$G$5:$G$500,MATCH(A151,Ratings!$A$5:$A$500,0)),"")</f>
        <v/>
      </c>
      <c r="Z151" s="83">
        <f>IFERROR(INDEX(Ratings!$I$5:$I$500,MATCH(A151,Ratings!$A$5:$A$500,0)),"")</f>
        <v/>
      </c>
    </row>
    <row r="152" ht="15.75" customHeight="1" s="95">
      <c r="A152" t="inlineStr">
        <is>
          <t>F0148</t>
        </is>
      </c>
      <c r="B152" t="inlineStr">
        <is>
          <t>The Legend of Hercules</t>
        </is>
      </c>
      <c r="C152" s="63" t="inlineStr">
        <is>
          <t>2014</t>
        </is>
      </c>
      <c r="D152" t="inlineStr">
        <is>
          <t>Blu-ray</t>
        </is>
      </c>
      <c r="F152" s="64" t="n"/>
      <c r="I152" s="64" t="n"/>
      <c r="J152" s="64" t="inlineStr">
        <is>
          <t>Renny Harlin</t>
        </is>
      </c>
      <c r="K152" s="64" t="n">
        <v>99</v>
      </c>
      <c r="L152" s="64" t="inlineStr">
        <is>
          <t>Action, Adventure</t>
        </is>
      </c>
      <c r="M152" s="64" t="inlineStr">
        <is>
          <t>Millennium Media, Summit Entertainment, Nu Boyana Film Studios</t>
        </is>
      </c>
      <c r="N152" s="64" t="inlineStr">
        <is>
          <t>https://huggingface.co/datasets/HenryWaltson/TMDB-IMDB-Movies-Dataset</t>
        </is>
      </c>
      <c r="O152" s="64" t="inlineStr">
        <is>
          <t>https://huggingface.co/datasets/HenryWaltson/TMDB-IMDB-Movies-Dataset</t>
        </is>
      </c>
      <c r="P152" t="inlineStr">
        <is>
          <t>Kellan Lutz</t>
        </is>
      </c>
      <c r="Q152" t="inlineStr">
        <is>
          <t>Liam McIntyre</t>
        </is>
      </c>
      <c r="R152" t="inlineStr">
        <is>
          <t>Gaia Weiss</t>
        </is>
      </c>
      <c r="S152" t="inlineStr">
        <is>
          <t>Scott Adkins</t>
        </is>
      </c>
      <c r="T152" t="inlineStr">
        <is>
          <t>Roxanne McKee</t>
        </is>
      </c>
      <c r="U152" s="71" t="n">
        <v>0</v>
      </c>
      <c r="V152" s="71" t="n">
        <v>0</v>
      </c>
      <c r="X152" s="82">
        <f>IFERROR(INDEX(Ratings!$E$5:$E$500,MATCH(A152,Ratings!$A$5:$A$500,0)),"")</f>
        <v/>
      </c>
      <c r="Y152" s="71">
        <f>IFERROR(INDEX(Ratings!$G$5:$G$500,MATCH(A152,Ratings!$A$5:$A$500,0)),"")</f>
        <v/>
      </c>
      <c r="Z152" s="83">
        <f>IFERROR(INDEX(Ratings!$I$5:$I$500,MATCH(A152,Ratings!$A$5:$A$500,0)),"")</f>
        <v/>
      </c>
    </row>
    <row r="153" ht="15.75" customHeight="1" s="95">
      <c r="A153" t="inlineStr">
        <is>
          <t>F0149</t>
        </is>
      </c>
      <c r="B153" t="inlineStr">
        <is>
          <t>The Hitman's Bodyguard</t>
        </is>
      </c>
      <c r="C153" s="63" t="inlineStr">
        <is>
          <t>2017</t>
        </is>
      </c>
      <c r="D153" t="inlineStr">
        <is>
          <t>Blu-ray</t>
        </is>
      </c>
      <c r="F153" s="64" t="n"/>
      <c r="I153" s="64" t="n"/>
      <c r="J153" s="64" t="inlineStr">
        <is>
          <t>Patrick Hughes</t>
        </is>
      </c>
      <c r="K153" s="64" t="n">
        <v>118</v>
      </c>
      <c r="L153" s="64" t="inlineStr">
        <is>
          <t>Action, Comedy</t>
        </is>
      </c>
      <c r="M153" s="64" t="inlineStr">
        <is>
          <t>Campbell Grobman Films, East Light Media, Nu Boyana Film Studios</t>
        </is>
      </c>
      <c r="N153" s="64" t="inlineStr">
        <is>
          <t>https://huggingface.co/datasets/HenryWaltson/TMDB-IMDB-Movies-Dataset</t>
        </is>
      </c>
      <c r="O153" s="64" t="inlineStr">
        <is>
          <t>https://huggingface.co/datasets/HenryWaltson/TMDB-IMDB-Movies-Dataset</t>
        </is>
      </c>
      <c r="P153" t="inlineStr">
        <is>
          <t>Ryan Reynolds</t>
        </is>
      </c>
      <c r="Q153" t="inlineStr">
        <is>
          <t>Samuel L. Jackson</t>
        </is>
      </c>
      <c r="R153" t="inlineStr">
        <is>
          <t>Gary Oldman</t>
        </is>
      </c>
      <c r="S153" t="inlineStr">
        <is>
          <t>Salma Hayek Pinault</t>
        </is>
      </c>
      <c r="T153" t="inlineStr">
        <is>
          <t>Elodie Yung</t>
        </is>
      </c>
      <c r="U153" s="71" t="n">
        <v>0</v>
      </c>
      <c r="V153" s="71" t="n">
        <v>0</v>
      </c>
      <c r="X153" s="82">
        <f>IFERROR(INDEX(Ratings!$E$5:$E$500,MATCH(A153,Ratings!$A$5:$A$500,0)),"")</f>
        <v/>
      </c>
      <c r="Y153" s="71">
        <f>IFERROR(INDEX(Ratings!$G$5:$G$500,MATCH(A153,Ratings!$A$5:$A$500,0)),"")</f>
        <v/>
      </c>
      <c r="Z153" s="83">
        <f>IFERROR(INDEX(Ratings!$I$5:$I$500,MATCH(A153,Ratings!$A$5:$A$500,0)),"")</f>
        <v/>
      </c>
    </row>
    <row r="154" ht="15.75" customHeight="1" s="95">
      <c r="A154" t="inlineStr">
        <is>
          <t>F0150</t>
        </is>
      </c>
      <c r="B154" t="inlineStr">
        <is>
          <t>The Hobbit: An Unexpected Journey</t>
        </is>
      </c>
      <c r="C154" s="63" t="inlineStr">
        <is>
          <t>2012</t>
        </is>
      </c>
      <c r="D154" t="inlineStr">
        <is>
          <t>Blu-ray</t>
        </is>
      </c>
      <c r="E154" t="inlineStr">
        <is>
          <t>Hobbit</t>
        </is>
      </c>
      <c r="F154" s="64" t="n"/>
      <c r="I154" s="64" t="n"/>
      <c r="J154" s="64" t="inlineStr">
        <is>
          <t>Peter Jackson</t>
        </is>
      </c>
      <c r="K154" s="64" t="n">
        <v>169</v>
      </c>
      <c r="L154" s="64" t="inlineStr">
        <is>
          <t>Adventure, Fantasy, Action</t>
        </is>
      </c>
      <c r="M154" s="64" t="inlineStr">
        <is>
          <t>Warner Bros. Pictures, Metro-Goldwyn-Mayer, New Line Cinema</t>
        </is>
      </c>
      <c r="N154" s="64" t="inlineStr">
        <is>
          <t>https://huggingface.co/datasets/HenryWaltson/TMDB-IMDB-Movies-Dataset</t>
        </is>
      </c>
      <c r="O154" s="64" t="inlineStr">
        <is>
          <t>https://huggingface.co/datasets/HenryWaltson/TMDB-IMDB-Movies-Dataset</t>
        </is>
      </c>
      <c r="P154" t="inlineStr">
        <is>
          <t>Martin Freeman</t>
        </is>
      </c>
      <c r="Q154" t="inlineStr">
        <is>
          <t>Ian McKellen</t>
        </is>
      </c>
      <c r="R154" t="inlineStr">
        <is>
          <t>Richard Armitage</t>
        </is>
      </c>
      <c r="S154" t="inlineStr">
        <is>
          <t>James Nesbitt</t>
        </is>
      </c>
      <c r="T154" t="inlineStr">
        <is>
          <t>Ken Stott</t>
        </is>
      </c>
      <c r="U154" s="71" t="n">
        <v>3</v>
      </c>
      <c r="V154" s="71" t="n">
        <v>0</v>
      </c>
      <c r="X154" s="82">
        <f>IFERROR(INDEX(Ratings!$E$5:$E$500,MATCH(A154,Ratings!$A$5:$A$500,0)),"")</f>
        <v/>
      </c>
      <c r="Y154" s="71">
        <f>IFERROR(INDEX(Ratings!$G$5:$G$500,MATCH(A154,Ratings!$A$5:$A$500,0)),"")</f>
        <v/>
      </c>
      <c r="Z154" s="83">
        <f>IFERROR(INDEX(Ratings!$I$5:$I$500,MATCH(A154,Ratings!$A$5:$A$500,0)),"")</f>
        <v/>
      </c>
    </row>
    <row r="155" ht="15.75" customHeight="1" s="95">
      <c r="A155" t="inlineStr">
        <is>
          <t>F0151</t>
        </is>
      </c>
      <c r="B155" t="inlineStr">
        <is>
          <t>The Hobbit: The Desolation of Smaug</t>
        </is>
      </c>
      <c r="C155" s="63" t="inlineStr">
        <is>
          <t>2013</t>
        </is>
      </c>
      <c r="D155" t="inlineStr">
        <is>
          <t>Blu-ray</t>
        </is>
      </c>
      <c r="E155" t="inlineStr">
        <is>
          <t>Hobbit</t>
        </is>
      </c>
      <c r="F155" s="64" t="n"/>
      <c r="I155" s="64" t="n"/>
      <c r="J155" s="64" t="inlineStr">
        <is>
          <t>Peter Jackson</t>
        </is>
      </c>
      <c r="K155" s="64" t="n">
        <v>161</v>
      </c>
      <c r="L155" s="64" t="inlineStr">
        <is>
          <t>Fantasy, Adventure, Action</t>
        </is>
      </c>
      <c r="M155" s="64" t="inlineStr">
        <is>
          <t>Warner Bros. Pictures, WingNut Films, New Line Cinema</t>
        </is>
      </c>
      <c r="N155" s="64" t="inlineStr">
        <is>
          <t>https://huggingface.co/datasets/HenryWaltson/TMDB-IMDB-Movies-Dataset</t>
        </is>
      </c>
      <c r="O155" s="64" t="inlineStr">
        <is>
          <t>https://huggingface.co/datasets/HenryWaltson/TMDB-IMDB-Movies-Dataset</t>
        </is>
      </c>
      <c r="P155" t="inlineStr">
        <is>
          <t>Ian McKellen</t>
        </is>
      </c>
      <c r="Q155" t="inlineStr">
        <is>
          <t>Martin Freeman</t>
        </is>
      </c>
      <c r="R155" t="inlineStr">
        <is>
          <t>Richard Armitage</t>
        </is>
      </c>
      <c r="S155" t="inlineStr">
        <is>
          <t>Benedict Cumberbatch</t>
        </is>
      </c>
      <c r="T155" t="inlineStr">
        <is>
          <t>Orlando Bloom</t>
        </is>
      </c>
      <c r="U155" s="71" t="n">
        <v>3</v>
      </c>
      <c r="V155" s="71" t="n">
        <v>0</v>
      </c>
      <c r="X155" s="82">
        <f>IFERROR(INDEX(Ratings!$E$5:$E$500,MATCH(A155,Ratings!$A$5:$A$500,0)),"")</f>
        <v/>
      </c>
      <c r="Y155" s="71">
        <f>IFERROR(INDEX(Ratings!$G$5:$G$500,MATCH(A155,Ratings!$A$5:$A$500,0)),"")</f>
        <v/>
      </c>
      <c r="Z155" s="83">
        <f>IFERROR(INDEX(Ratings!$I$5:$I$500,MATCH(A155,Ratings!$A$5:$A$500,0)),"")</f>
        <v/>
      </c>
    </row>
    <row r="156" ht="15.75" customHeight="1" s="95">
      <c r="A156" t="inlineStr">
        <is>
          <t>F0152</t>
        </is>
      </c>
      <c r="B156" t="inlineStr">
        <is>
          <t>The Hobbit: The Battle of the Five Armies</t>
        </is>
      </c>
      <c r="C156" s="63" t="inlineStr">
        <is>
          <t>2014</t>
        </is>
      </c>
      <c r="D156" t="inlineStr">
        <is>
          <t>Blu-ray</t>
        </is>
      </c>
      <c r="E156" t="inlineStr">
        <is>
          <t>Hobbit</t>
        </is>
      </c>
      <c r="F156" s="64" t="n"/>
      <c r="I156" s="64" t="n"/>
      <c r="J156" s="64" t="inlineStr">
        <is>
          <t>Peter Jackson</t>
        </is>
      </c>
      <c r="K156" s="64" t="n">
        <v>144</v>
      </c>
      <c r="L156" s="64" t="inlineStr">
        <is>
          <t>Action, Adventure, Fantasy</t>
        </is>
      </c>
      <c r="M156" s="64" t="inlineStr">
        <is>
          <t>Warner Bros. Pictures, WingNut Films, New Line Cinema</t>
        </is>
      </c>
      <c r="N156" s="64" t="inlineStr">
        <is>
          <t>https://huggingface.co/datasets/HenryWaltson/TMDB-IMDB-Movies-Dataset</t>
        </is>
      </c>
      <c r="O156" s="64" t="inlineStr">
        <is>
          <t>https://huggingface.co/datasets/HenryWaltson/TMDB-IMDB-Movies-Dataset</t>
        </is>
      </c>
      <c r="P156" t="inlineStr">
        <is>
          <t>Ian McKellen</t>
        </is>
      </c>
      <c r="Q156" t="inlineStr">
        <is>
          <t>Martin Freeman</t>
        </is>
      </c>
      <c r="R156" t="inlineStr">
        <is>
          <t>Richard Armitage</t>
        </is>
      </c>
      <c r="S156" t="inlineStr">
        <is>
          <t>Orlando Bloom</t>
        </is>
      </c>
      <c r="T156" t="inlineStr">
        <is>
          <t>Evangeline Lilly</t>
        </is>
      </c>
      <c r="U156" s="71" t="n">
        <v>1</v>
      </c>
      <c r="V156" s="71" t="n">
        <v>0</v>
      </c>
      <c r="X156" s="82">
        <f>IFERROR(INDEX(Ratings!$E$5:$E$500,MATCH(A156,Ratings!$A$5:$A$500,0)),"")</f>
        <v/>
      </c>
      <c r="Y156" s="71">
        <f>IFERROR(INDEX(Ratings!$G$5:$G$500,MATCH(A156,Ratings!$A$5:$A$500,0)),"")</f>
        <v/>
      </c>
      <c r="Z156" s="83">
        <f>IFERROR(INDEX(Ratings!$I$5:$I$500,MATCH(A156,Ratings!$A$5:$A$500,0)),"")</f>
        <v/>
      </c>
    </row>
    <row r="157" ht="15.75" customHeight="1" s="95">
      <c r="A157" t="inlineStr">
        <is>
          <t>F0153</t>
        </is>
      </c>
      <c r="B157" t="inlineStr">
        <is>
          <t>Home</t>
        </is>
      </c>
      <c r="C157" s="63" t="inlineStr">
        <is>
          <t>2015</t>
        </is>
      </c>
      <c r="D157" t="inlineStr">
        <is>
          <t>Blu-ray</t>
        </is>
      </c>
      <c r="F157" s="64" t="n"/>
      <c r="I157" s="64" t="n"/>
      <c r="J157" s="64" t="inlineStr">
        <is>
          <t>Tim Johnson</t>
        </is>
      </c>
      <c r="K157" s="64" t="n">
        <v>94</v>
      </c>
      <c r="L157" s="64" t="inlineStr">
        <is>
          <t>Fantasy, Comedy, Animation, Science Fiction, Family</t>
        </is>
      </c>
      <c r="M157" s="64" t="inlineStr">
        <is>
          <t>DreamWorks Animation, 20th Century Fox</t>
        </is>
      </c>
      <c r="N157" s="64" t="inlineStr">
        <is>
          <t>https://huggingface.co/datasets/HenryWaltson/TMDB-IMDB-Movies-Dataset</t>
        </is>
      </c>
      <c r="O157" s="64" t="inlineStr">
        <is>
          <t>https://huggingface.co/datasets/HenryWaltson/TMDB-IMDB-Movies-Dataset</t>
        </is>
      </c>
      <c r="P157" t="inlineStr">
        <is>
          <t>Jim Parsons</t>
        </is>
      </c>
      <c r="Q157" t="inlineStr">
        <is>
          <t>Rihanna</t>
        </is>
      </c>
      <c r="R157" t="inlineStr">
        <is>
          <t>Steve Martin</t>
        </is>
      </c>
      <c r="S157" t="inlineStr">
        <is>
          <t>Jennifer Lopez</t>
        </is>
      </c>
      <c r="T157" t="inlineStr">
        <is>
          <t>Matt Jones</t>
        </is>
      </c>
      <c r="U157" s="71" t="n">
        <v>0</v>
      </c>
      <c r="V157" s="71" t="n">
        <v>0</v>
      </c>
      <c r="X157" s="82">
        <f>IFERROR(INDEX(Ratings!$E$5:$E$500,MATCH(A157,Ratings!$A$5:$A$500,0)),"")</f>
        <v/>
      </c>
      <c r="Y157" s="71">
        <f>IFERROR(INDEX(Ratings!$G$5:$G$500,MATCH(A157,Ratings!$A$5:$A$500,0)),"")</f>
        <v/>
      </c>
      <c r="Z157" s="83">
        <f>IFERROR(INDEX(Ratings!$I$5:$I$500,MATCH(A157,Ratings!$A$5:$A$500,0)),"")</f>
        <v/>
      </c>
    </row>
    <row r="158" ht="15.75" customHeight="1" s="95">
      <c r="A158" t="inlineStr">
        <is>
          <t>F0154</t>
        </is>
      </c>
      <c r="B158" t="inlineStr">
        <is>
          <t>How to Train Your Dragon</t>
        </is>
      </c>
      <c r="C158" s="63" t="inlineStr">
        <is>
          <t>2010</t>
        </is>
      </c>
      <c r="D158" t="inlineStr">
        <is>
          <t>Blu-ray</t>
        </is>
      </c>
      <c r="E158" t="inlineStr">
        <is>
          <t>How to Train Your Dragon</t>
        </is>
      </c>
      <c r="F158" s="64" t="n"/>
      <c r="I158" s="64" t="n"/>
      <c r="J158" s="64" t="inlineStr">
        <is>
          <t>Dean DeBlois, Chris Sanders</t>
        </is>
      </c>
      <c r="K158" s="64" t="n">
        <v>98</v>
      </c>
      <c r="L158" s="64" t="inlineStr">
        <is>
          <t>Fantasy, Adventure, Animation, Family</t>
        </is>
      </c>
      <c r="M158" s="64" t="inlineStr">
        <is>
          <t>DreamWorks Animation, Paramount</t>
        </is>
      </c>
      <c r="N158" s="64" t="inlineStr">
        <is>
          <t>https://huggingface.co/datasets/HenryWaltson/TMDB-IMDB-Movies-Dataset</t>
        </is>
      </c>
      <c r="O158" s="64" t="inlineStr">
        <is>
          <t>https://huggingface.co/datasets/HenryWaltson/TMDB-IMDB-Movies-Dataset</t>
        </is>
      </c>
      <c r="P158" t="inlineStr">
        <is>
          <t>Jay Baruchel</t>
        </is>
      </c>
      <c r="Q158" t="inlineStr">
        <is>
          <t>Gerard Butler</t>
        </is>
      </c>
      <c r="R158" t="inlineStr">
        <is>
          <t>Craig Ferguson</t>
        </is>
      </c>
      <c r="S158" t="inlineStr">
        <is>
          <t>America Ferrera</t>
        </is>
      </c>
      <c r="T158" t="inlineStr">
        <is>
          <t>Jonah Hill</t>
        </is>
      </c>
      <c r="U158" s="71" t="n">
        <v>2</v>
      </c>
      <c r="V158" s="71" t="n">
        <v>0</v>
      </c>
      <c r="X158" s="82">
        <f>IFERROR(INDEX(Ratings!$E$5:$E$500,MATCH(A158,Ratings!$A$5:$A$500,0)),"")</f>
        <v/>
      </c>
      <c r="Y158" s="71">
        <f>IFERROR(INDEX(Ratings!$G$5:$G$500,MATCH(A158,Ratings!$A$5:$A$500,0)),"")</f>
        <v/>
      </c>
      <c r="Z158" s="83">
        <f>IFERROR(INDEX(Ratings!$I$5:$I$500,MATCH(A158,Ratings!$A$5:$A$500,0)),"")</f>
        <v/>
      </c>
    </row>
    <row r="159" ht="15.75" customHeight="1" s="95">
      <c r="A159" t="inlineStr">
        <is>
          <t>F0155</t>
        </is>
      </c>
      <c r="B159" t="inlineStr">
        <is>
          <t>How to Train Your Dragon 2</t>
        </is>
      </c>
      <c r="C159" s="63" t="inlineStr">
        <is>
          <t>2014</t>
        </is>
      </c>
      <c r="D159" t="inlineStr">
        <is>
          <t>Blu-ray</t>
        </is>
      </c>
      <c r="E159" t="inlineStr">
        <is>
          <t>How to Train Your Dragon</t>
        </is>
      </c>
      <c r="F159" s="64" t="n"/>
      <c r="I159" s="64" t="n"/>
      <c r="J159" s="64" t="inlineStr">
        <is>
          <t>Dean DeBlois</t>
        </is>
      </c>
      <c r="K159" s="64" t="n">
        <v>102</v>
      </c>
      <c r="L159" s="64" t="inlineStr">
        <is>
          <t>Fantasy, Action, Adventure, Animation, Comedy, Family</t>
        </is>
      </c>
      <c r="M159" s="64" t="inlineStr">
        <is>
          <t>DreamWorks Animation, Mad Hatter Entertainment, Vertigo Entertainment</t>
        </is>
      </c>
      <c r="N159" s="64" t="inlineStr">
        <is>
          <t>https://huggingface.co/datasets/HenryWaltson/TMDB-IMDB-Movies-Dataset</t>
        </is>
      </c>
      <c r="O159" s="64" t="inlineStr">
        <is>
          <t>https://huggingface.co/datasets/HenryWaltson/TMDB-IMDB-Movies-Dataset</t>
        </is>
      </c>
      <c r="P159" t="inlineStr">
        <is>
          <t>Jay Baruchel</t>
        </is>
      </c>
      <c r="Q159" t="inlineStr">
        <is>
          <t>Cate Blanchett</t>
        </is>
      </c>
      <c r="R159" t="inlineStr">
        <is>
          <t>Gerard Butler</t>
        </is>
      </c>
      <c r="S159" t="inlineStr">
        <is>
          <t>Craig Ferguson</t>
        </is>
      </c>
      <c r="T159" t="inlineStr">
        <is>
          <t>America Ferrera</t>
        </is>
      </c>
      <c r="U159" s="71" t="n">
        <v>1</v>
      </c>
      <c r="V159" s="71" t="n">
        <v>0</v>
      </c>
      <c r="X159" s="82">
        <f>IFERROR(INDEX(Ratings!$E$5:$E$500,MATCH(A159,Ratings!$A$5:$A$500,0)),"")</f>
        <v/>
      </c>
      <c r="Y159" s="71">
        <f>IFERROR(INDEX(Ratings!$G$5:$G$500,MATCH(A159,Ratings!$A$5:$A$500,0)),"")</f>
        <v/>
      </c>
      <c r="Z159" s="83">
        <f>IFERROR(INDEX(Ratings!$I$5:$I$500,MATCH(A159,Ratings!$A$5:$A$500,0)),"")</f>
        <v/>
      </c>
    </row>
    <row r="160" ht="15.75" customHeight="1" s="95">
      <c r="A160" t="inlineStr">
        <is>
          <t>F0156</t>
        </is>
      </c>
      <c r="B160" t="inlineStr">
        <is>
          <t>Hummingbird</t>
        </is>
      </c>
      <c r="C160" s="63" t="inlineStr">
        <is>
          <t>2013</t>
        </is>
      </c>
      <c r="D160" t="inlineStr">
        <is>
          <t>Blu-ray</t>
        </is>
      </c>
      <c r="F160" s="64" t="n"/>
      <c r="I160" s="64" t="n"/>
      <c r="J160" s="64" t="inlineStr">
        <is>
          <t>Steven Knight</t>
        </is>
      </c>
      <c r="K160" s="64" t="n">
        <v>100</v>
      </c>
      <c r="L160" s="64" t="inlineStr">
        <is>
          <t>Action, Thriller</t>
        </is>
      </c>
      <c r="M160" s="64" t="inlineStr">
        <is>
          <t>Lionsgate, Shoebox Films, IM Global</t>
        </is>
      </c>
      <c r="N160" s="64" t="inlineStr">
        <is>
          <t>https://huggingface.co/datasets/HenryWaltson/TMDB-IMDB-Movies-Dataset</t>
        </is>
      </c>
      <c r="O160" s="64" t="inlineStr">
        <is>
          <t>https://huggingface.co/datasets/HenryWaltson/TMDB-IMDB-Movies-Dataset</t>
        </is>
      </c>
      <c r="P160" t="inlineStr">
        <is>
          <t>Jason Statham</t>
        </is>
      </c>
      <c r="Q160" t="inlineStr">
        <is>
          <t>Agata Buzek</t>
        </is>
      </c>
      <c r="R160" t="inlineStr">
        <is>
          <t>Vicky McClure</t>
        </is>
      </c>
      <c r="S160" t="inlineStr">
        <is>
          <t>Benedict Wong</t>
        </is>
      </c>
      <c r="T160" t="inlineStr">
        <is>
          <t>Ger Ryan</t>
        </is>
      </c>
      <c r="U160" s="71" t="n">
        <v>0</v>
      </c>
      <c r="V160" s="71" t="n">
        <v>0</v>
      </c>
      <c r="X160" s="82">
        <f>IFERROR(INDEX(Ratings!$E$5:$E$500,MATCH(A160,Ratings!$A$5:$A$500,0)),"")</f>
        <v/>
      </c>
      <c r="Y160" s="71">
        <f>IFERROR(INDEX(Ratings!$G$5:$G$500,MATCH(A160,Ratings!$A$5:$A$500,0)),"")</f>
        <v/>
      </c>
      <c r="Z160" s="83">
        <f>IFERROR(INDEX(Ratings!$I$5:$I$500,MATCH(A160,Ratings!$A$5:$A$500,0)),"")</f>
        <v/>
      </c>
    </row>
    <row r="161" ht="15.75" customHeight="1" s="95">
      <c r="A161" t="inlineStr">
        <is>
          <t>F0157</t>
        </is>
      </c>
      <c r="B161" t="inlineStr">
        <is>
          <t>The Hunger Games</t>
        </is>
      </c>
      <c r="C161" s="63" t="inlineStr">
        <is>
          <t>2012</t>
        </is>
      </c>
      <c r="D161" t="inlineStr">
        <is>
          <t>Blu-ray</t>
        </is>
      </c>
      <c r="E161" t="inlineStr">
        <is>
          <t>The Hunger Games</t>
        </is>
      </c>
      <c r="F161" s="64" t="n"/>
      <c r="I161" s="64" t="n"/>
      <c r="J161" s="64" t="inlineStr">
        <is>
          <t>Gary Ross</t>
        </is>
      </c>
      <c r="K161" s="64" t="n">
        <v>142</v>
      </c>
      <c r="L161" s="64" t="inlineStr">
        <is>
          <t>Science Fiction, Adventure, Fantasy</t>
        </is>
      </c>
      <c r="M161" s="64" t="inlineStr">
        <is>
          <t>Lionsgate, Color Force</t>
        </is>
      </c>
      <c r="N161" s="64" t="inlineStr">
        <is>
          <t>https://huggingface.co/datasets/HenryWaltson/TMDB-IMDB-Movies-Dataset</t>
        </is>
      </c>
      <c r="O161" s="64" t="inlineStr">
        <is>
          <t>https://huggingface.co/datasets/HenryWaltson/TMDB-IMDB-Movies-Dataset</t>
        </is>
      </c>
      <c r="P161" t="inlineStr">
        <is>
          <t>Jennifer Lawrence</t>
        </is>
      </c>
      <c r="Q161" t="inlineStr">
        <is>
          <t>Josh Hutcherson</t>
        </is>
      </c>
      <c r="R161" t="inlineStr">
        <is>
          <t>Liam Hemsworth</t>
        </is>
      </c>
      <c r="S161" t="inlineStr">
        <is>
          <t>Woody Harrelson</t>
        </is>
      </c>
      <c r="T161" t="inlineStr">
        <is>
          <t>Elizabeth Banks</t>
        </is>
      </c>
      <c r="U161" s="71" t="n">
        <v>0</v>
      </c>
      <c r="V161" s="71" t="n">
        <v>0</v>
      </c>
      <c r="X161" s="82">
        <f>IFERROR(INDEX(Ratings!$E$5:$E$500,MATCH(A161,Ratings!$A$5:$A$500,0)),"")</f>
        <v/>
      </c>
      <c r="Y161" s="71">
        <f>IFERROR(INDEX(Ratings!$G$5:$G$500,MATCH(A161,Ratings!$A$5:$A$500,0)),"")</f>
        <v/>
      </c>
      <c r="Z161" s="83">
        <f>IFERROR(INDEX(Ratings!$I$5:$I$500,MATCH(A161,Ratings!$A$5:$A$500,0)),"")</f>
        <v/>
      </c>
    </row>
    <row r="162" ht="15.75" customHeight="1" s="95">
      <c r="A162" t="inlineStr">
        <is>
          <t>F0158</t>
        </is>
      </c>
      <c r="B162" t="inlineStr">
        <is>
          <t>The Hunger Games: Mockingjay - Part 1</t>
        </is>
      </c>
      <c r="C162" s="63" t="inlineStr">
        <is>
          <t>2014</t>
        </is>
      </c>
      <c r="D162" t="inlineStr">
        <is>
          <t>Blu-ray</t>
        </is>
      </c>
      <c r="E162" t="inlineStr">
        <is>
          <t>The Hunger Games</t>
        </is>
      </c>
      <c r="F162" s="64" t="n"/>
      <c r="I162" s="64" t="n"/>
      <c r="J162" s="64" t="inlineStr">
        <is>
          <t>Francis Lawrence</t>
        </is>
      </c>
      <c r="K162" s="64" t="n">
        <v>123</v>
      </c>
      <c r="L162" s="64" t="inlineStr">
        <is>
          <t>Science Fiction, Adventure, Thriller</t>
        </is>
      </c>
      <c r="M162" s="64" t="inlineStr">
        <is>
          <t>Lionsgate, Color Force</t>
        </is>
      </c>
      <c r="N162" s="64" t="inlineStr">
        <is>
          <t>https://huggingface.co/datasets/HenryWaltson/TMDB-IMDB-Movies-Dataset</t>
        </is>
      </c>
      <c r="O162" s="64" t="inlineStr">
        <is>
          <t>https://huggingface.co/datasets/HenryWaltson/TMDB-IMDB-Movies-Dataset</t>
        </is>
      </c>
      <c r="P162" t="inlineStr">
        <is>
          <t>Jennifer Lawrence</t>
        </is>
      </c>
      <c r="Q162" t="inlineStr">
        <is>
          <t>Josh Hutcherson</t>
        </is>
      </c>
      <c r="R162" t="inlineStr">
        <is>
          <t>Liam Hemsworth</t>
        </is>
      </c>
      <c r="S162" t="inlineStr">
        <is>
          <t>Woody Harrelson</t>
        </is>
      </c>
      <c r="T162" t="inlineStr">
        <is>
          <t>Elizabeth Banks</t>
        </is>
      </c>
      <c r="U162" s="71" t="n">
        <v>0</v>
      </c>
      <c r="V162" s="71" t="n">
        <v>0</v>
      </c>
      <c r="X162" s="82">
        <f>IFERROR(INDEX(Ratings!$E$5:$E$500,MATCH(A162,Ratings!$A$5:$A$500,0)),"")</f>
        <v/>
      </c>
      <c r="Y162" s="71">
        <f>IFERROR(INDEX(Ratings!$G$5:$G$500,MATCH(A162,Ratings!$A$5:$A$500,0)),"")</f>
        <v/>
      </c>
      <c r="Z162" s="83">
        <f>IFERROR(INDEX(Ratings!$I$5:$I$500,MATCH(A162,Ratings!$A$5:$A$500,0)),"")</f>
        <v/>
      </c>
    </row>
    <row r="163" ht="15.75" customHeight="1" s="95">
      <c r="A163" t="inlineStr">
        <is>
          <t>F0159</t>
        </is>
      </c>
      <c r="B163" t="inlineStr">
        <is>
          <t>I, Frankenstein</t>
        </is>
      </c>
      <c r="C163" s="63" t="inlineStr">
        <is>
          <t>2014</t>
        </is>
      </c>
      <c r="D163" t="inlineStr">
        <is>
          <t>Blu-ray</t>
        </is>
      </c>
      <c r="F163" s="64" t="n"/>
      <c r="I163" s="64" t="n"/>
      <c r="J163" s="64" t="inlineStr">
        <is>
          <t>Stuart Beattie</t>
        </is>
      </c>
      <c r="K163" s="64" t="n">
        <v>92</v>
      </c>
      <c r="L163" s="64" t="inlineStr">
        <is>
          <t>Horror, Thriller</t>
        </is>
      </c>
      <c r="M163" s="64" t="inlineStr">
        <is>
          <t>Lionsgate, Lakeshore Entertainment, Sidney Kimmel Entertainment</t>
        </is>
      </c>
      <c r="N163" s="64" t="inlineStr">
        <is>
          <t>https://huggingface.co/datasets/HenryWaltson/TMDB-IMDB-Movies-Dataset</t>
        </is>
      </c>
      <c r="O163" s="64" t="inlineStr">
        <is>
          <t>https://huggingface.co/datasets/HenryWaltson/TMDB-IMDB-Movies-Dataset</t>
        </is>
      </c>
      <c r="P163" t="inlineStr">
        <is>
          <t>Aaron Eckhart</t>
        </is>
      </c>
      <c r="Q163" t="inlineStr">
        <is>
          <t>Yvonne Strahovski</t>
        </is>
      </c>
      <c r="R163" t="inlineStr">
        <is>
          <t>Bill Nighy</t>
        </is>
      </c>
      <c r="S163" t="inlineStr">
        <is>
          <t>Jai Courtney</t>
        </is>
      </c>
      <c r="T163" t="inlineStr">
        <is>
          <t>Miranda Otto</t>
        </is>
      </c>
      <c r="U163" s="71" t="n">
        <v>0</v>
      </c>
      <c r="V163" s="71" t="n">
        <v>0</v>
      </c>
      <c r="X163" s="82">
        <f>IFERROR(INDEX(Ratings!$E$5:$E$500,MATCH(A163,Ratings!$A$5:$A$500,0)),"")</f>
        <v/>
      </c>
      <c r="Y163" s="71">
        <f>IFERROR(INDEX(Ratings!$G$5:$G$500,MATCH(A163,Ratings!$A$5:$A$500,0)),"")</f>
        <v/>
      </c>
      <c r="Z163" s="83">
        <f>IFERROR(INDEX(Ratings!$I$5:$I$500,MATCH(A163,Ratings!$A$5:$A$500,0)),"")</f>
        <v/>
      </c>
    </row>
    <row r="164" ht="15.75" customHeight="1" s="95">
      <c r="A164" t="inlineStr">
        <is>
          <t>F0160</t>
        </is>
      </c>
      <c r="B164" t="inlineStr">
        <is>
          <t>Ice Age: The Meltdown</t>
        </is>
      </c>
      <c r="C164" s="63" t="inlineStr">
        <is>
          <t>2006</t>
        </is>
      </c>
      <c r="D164" t="inlineStr">
        <is>
          <t>Blu-ray</t>
        </is>
      </c>
      <c r="E164" t="inlineStr">
        <is>
          <t>Ice Age</t>
        </is>
      </c>
      <c r="F164" s="64" t="n"/>
      <c r="I164" s="64" t="n"/>
      <c r="J164" s="64" t="inlineStr">
        <is>
          <t>Carlos Saldanha</t>
        </is>
      </c>
      <c r="K164" s="64" t="n">
        <v>91</v>
      </c>
      <c r="L164" s="64" t="inlineStr">
        <is>
          <t>Animation, Family, Comedy</t>
        </is>
      </c>
      <c r="M164" s="64" t="inlineStr">
        <is>
          <t>Blue Sky Studios, 20th Century Fox Animation</t>
        </is>
      </c>
      <c r="N164" s="64" t="inlineStr">
        <is>
          <t>https://huggingface.co/datasets/HenryWaltson/TMDB-IMDB-Movies-Dataset</t>
        </is>
      </c>
      <c r="O164" s="64" t="inlineStr">
        <is>
          <t>https://huggingface.co/datasets/HenryWaltson/TMDB-IMDB-Movies-Dataset</t>
        </is>
      </c>
      <c r="P164" t="inlineStr">
        <is>
          <t>Ray Romano</t>
        </is>
      </c>
      <c r="Q164" t="inlineStr">
        <is>
          <t>John Leguizamo</t>
        </is>
      </c>
      <c r="R164" t="inlineStr">
        <is>
          <t>Denis Leary</t>
        </is>
      </c>
      <c r="S164" t="inlineStr">
        <is>
          <t>Queen Latifah</t>
        </is>
      </c>
      <c r="T164" t="inlineStr">
        <is>
          <t>Seann William Scott</t>
        </is>
      </c>
      <c r="U164" s="71" t="n">
        <v>0</v>
      </c>
      <c r="V164" s="71" t="n">
        <v>0</v>
      </c>
      <c r="X164" s="82">
        <f>IFERROR(INDEX(Ratings!$E$5:$E$500,MATCH(A164,Ratings!$A$5:$A$500,0)),"")</f>
        <v/>
      </c>
      <c r="Y164" s="71">
        <f>IFERROR(INDEX(Ratings!$G$5:$G$500,MATCH(A164,Ratings!$A$5:$A$500,0)),"")</f>
        <v/>
      </c>
      <c r="Z164" s="83">
        <f>IFERROR(INDEX(Ratings!$I$5:$I$500,MATCH(A164,Ratings!$A$5:$A$500,0)),"")</f>
        <v/>
      </c>
    </row>
    <row r="165" ht="15.75" customHeight="1" s="95">
      <c r="A165" t="inlineStr">
        <is>
          <t>F0161</t>
        </is>
      </c>
      <c r="B165" t="inlineStr">
        <is>
          <t>Ice Age: Dawn of the Dinosaurs</t>
        </is>
      </c>
      <c r="C165" s="63" t="inlineStr">
        <is>
          <t>2009</t>
        </is>
      </c>
      <c r="D165" t="inlineStr">
        <is>
          <t>Blu-ray</t>
        </is>
      </c>
      <c r="E165" t="inlineStr">
        <is>
          <t>Ice Age</t>
        </is>
      </c>
      <c r="F165" s="64" t="n"/>
      <c r="I165" s="64" t="n"/>
      <c r="J165" s="64" t="inlineStr">
        <is>
          <t>Carlos Saldanha, Mike Thurmeier</t>
        </is>
      </c>
      <c r="K165" s="64" t="n">
        <v>94</v>
      </c>
      <c r="L165" s="64" t="inlineStr">
        <is>
          <t>Animation, Comedy, Family</t>
        </is>
      </c>
      <c r="M165" s="64" t="inlineStr">
        <is>
          <t>Blue Sky Studios, 20th Century Fox Animation</t>
        </is>
      </c>
      <c r="N165" s="64" t="inlineStr">
        <is>
          <t>https://huggingface.co/datasets/HenryWaltson/TMDB-IMDB-Movies-Dataset</t>
        </is>
      </c>
      <c r="O165" s="64" t="inlineStr">
        <is>
          <t>https://huggingface.co/datasets/HenryWaltson/TMDB-IMDB-Movies-Dataset</t>
        </is>
      </c>
      <c r="P165" t="inlineStr">
        <is>
          <t>Ray Romano</t>
        </is>
      </c>
      <c r="Q165" t="inlineStr">
        <is>
          <t>John Leguizamo</t>
        </is>
      </c>
      <c r="R165" t="inlineStr">
        <is>
          <t>Denis Leary</t>
        </is>
      </c>
      <c r="S165" t="inlineStr">
        <is>
          <t>Queen Latifah</t>
        </is>
      </c>
      <c r="T165" t="inlineStr">
        <is>
          <t>Simon Pegg</t>
        </is>
      </c>
      <c r="U165" s="71" t="n">
        <v>0</v>
      </c>
      <c r="V165" s="71" t="n">
        <v>0</v>
      </c>
      <c r="X165" s="82">
        <f>IFERROR(INDEX(Ratings!$E$5:$E$500,MATCH(A165,Ratings!$A$5:$A$500,0)),"")</f>
        <v/>
      </c>
      <c r="Y165" s="71">
        <f>IFERROR(INDEX(Ratings!$G$5:$G$500,MATCH(A165,Ratings!$A$5:$A$500,0)),"")</f>
        <v/>
      </c>
      <c r="Z165" s="83">
        <f>IFERROR(INDEX(Ratings!$I$5:$I$500,MATCH(A165,Ratings!$A$5:$A$500,0)),"")</f>
        <v/>
      </c>
    </row>
    <row r="166" ht="15.75" customHeight="1" s="95">
      <c r="A166" t="inlineStr">
        <is>
          <t>F0162</t>
        </is>
      </c>
      <c r="B166" t="inlineStr">
        <is>
          <t>The Imitation Game</t>
        </is>
      </c>
      <c r="C166" s="63" t="inlineStr">
        <is>
          <t>2014</t>
        </is>
      </c>
      <c r="D166" t="inlineStr">
        <is>
          <t>Blu-ray</t>
        </is>
      </c>
      <c r="F166" s="64" t="n"/>
      <c r="I166" s="64" t="n"/>
      <c r="J166" s="64" t="inlineStr">
        <is>
          <t>Morten Tyldum</t>
        </is>
      </c>
      <c r="K166" s="64" t="n">
        <v>113</v>
      </c>
      <c r="L166" s="64" t="inlineStr">
        <is>
          <t>History, Drama, Thriller, War</t>
        </is>
      </c>
      <c r="M166" s="64" t="inlineStr">
        <is>
          <t>Bristol Automotive, Black Bear Pictures, The Weinstein Company</t>
        </is>
      </c>
      <c r="N166" s="64" t="inlineStr">
        <is>
          <t>https://huggingface.co/datasets/HenryWaltson/TMDB-IMDB-Movies-Dataset</t>
        </is>
      </c>
      <c r="O166" s="64" t="inlineStr">
        <is>
          <t>https://huggingface.co/datasets/HenryWaltson/TMDB-IMDB-Movies-Dataset</t>
        </is>
      </c>
      <c r="P166" t="inlineStr">
        <is>
          <t>Benedict Cumberbatch</t>
        </is>
      </c>
      <c r="Q166" t="inlineStr">
        <is>
          <t>Keira Knightley</t>
        </is>
      </c>
      <c r="R166" t="inlineStr">
        <is>
          <t>Matthew Goode</t>
        </is>
      </c>
      <c r="S166" t="inlineStr">
        <is>
          <t>Rory Kinnear</t>
        </is>
      </c>
      <c r="T166" t="inlineStr">
        <is>
          <t>Allen Leech</t>
        </is>
      </c>
      <c r="U166" s="71" t="n">
        <v>8</v>
      </c>
      <c r="V166" s="71" t="n">
        <v>1</v>
      </c>
      <c r="W166" t="inlineStr">
        <is>
          <t>Nominated</t>
        </is>
      </c>
      <c r="X166" s="82">
        <f>IFERROR(INDEX(Ratings!$E$5:$E$500,MATCH(A166,Ratings!$A$5:$A$500,0)),"")</f>
        <v/>
      </c>
      <c r="Y166" s="71">
        <f>IFERROR(INDEX(Ratings!$G$5:$G$500,MATCH(A166,Ratings!$A$5:$A$500,0)),"")</f>
        <v/>
      </c>
      <c r="Z166" s="83">
        <f>IFERROR(INDEX(Ratings!$I$5:$I$500,MATCH(A166,Ratings!$A$5:$A$500,0)),"")</f>
        <v/>
      </c>
    </row>
    <row r="167" ht="15.75" customHeight="1" s="95">
      <c r="A167" t="inlineStr">
        <is>
          <t>F0163</t>
        </is>
      </c>
      <c r="B167" t="inlineStr">
        <is>
          <t>The Inbetweeners Movie</t>
        </is>
      </c>
      <c r="C167" s="63" t="inlineStr">
        <is>
          <t>2011</t>
        </is>
      </c>
      <c r="D167" t="inlineStr">
        <is>
          <t>Blu-ray</t>
        </is>
      </c>
      <c r="E167" t="inlineStr">
        <is>
          <t>The Inbetweeners</t>
        </is>
      </c>
      <c r="F167" s="64" t="n"/>
      <c r="I167" s="64" t="n"/>
      <c r="J167" s="64" t="inlineStr">
        <is>
          <t>Ben Palmer</t>
        </is>
      </c>
      <c r="K167" s="64" t="n">
        <v>97</v>
      </c>
      <c r="L167" s="64" t="inlineStr">
        <is>
          <t>Comedy</t>
        </is>
      </c>
      <c r="M167" s="64" t="inlineStr">
        <is>
          <t>Film4 Productions, Bwark Productions</t>
        </is>
      </c>
      <c r="N167" s="64" t="inlineStr">
        <is>
          <t>https://huggingface.co/datasets/HenryWaltson/TMDB-IMDB-Movies-Dataset</t>
        </is>
      </c>
      <c r="O167" s="64" t="inlineStr">
        <is>
          <t>https://huggingface.co/datasets/HenryWaltson/TMDB-IMDB-Movies-Dataset</t>
        </is>
      </c>
      <c r="P167" t="inlineStr">
        <is>
          <t>Simon Bird</t>
        </is>
      </c>
      <c r="Q167" t="inlineStr">
        <is>
          <t>James Buckley</t>
        </is>
      </c>
      <c r="R167" t="inlineStr">
        <is>
          <t>Blake Harrison</t>
        </is>
      </c>
      <c r="S167" t="inlineStr">
        <is>
          <t>Joe Thomas</t>
        </is>
      </c>
      <c r="T167" t="inlineStr">
        <is>
          <t>Emily Head</t>
        </is>
      </c>
      <c r="U167" s="71" t="n">
        <v>0</v>
      </c>
      <c r="V167" s="71" t="n">
        <v>0</v>
      </c>
      <c r="X167" s="82">
        <f>IFERROR(INDEX(Ratings!$E$5:$E$500,MATCH(A167,Ratings!$A$5:$A$500,0)),"")</f>
        <v/>
      </c>
      <c r="Y167" s="71">
        <f>IFERROR(INDEX(Ratings!$G$5:$G$500,MATCH(A167,Ratings!$A$5:$A$500,0)),"")</f>
        <v/>
      </c>
      <c r="Z167" s="83">
        <f>IFERROR(INDEX(Ratings!$I$5:$I$500,MATCH(A167,Ratings!$A$5:$A$500,0)),"")</f>
        <v/>
      </c>
    </row>
    <row r="168" ht="15.75" customHeight="1" s="95">
      <c r="A168" t="inlineStr">
        <is>
          <t>F0164</t>
        </is>
      </c>
      <c r="B168" t="inlineStr">
        <is>
          <t>The Inbetweeners 2</t>
        </is>
      </c>
      <c r="C168" s="63" t="inlineStr">
        <is>
          <t>2014</t>
        </is>
      </c>
      <c r="D168" t="inlineStr">
        <is>
          <t>Blu-ray</t>
        </is>
      </c>
      <c r="E168" t="inlineStr">
        <is>
          <t>The Inbetweeners</t>
        </is>
      </c>
      <c r="F168" s="64" t="n"/>
      <c r="I168" s="64" t="n"/>
      <c r="J168" s="64" t="inlineStr">
        <is>
          <t>Damon Beesley, Iain Morris</t>
        </is>
      </c>
      <c r="K168" s="64" t="n">
        <v>96</v>
      </c>
      <c r="L168" s="64" t="inlineStr">
        <is>
          <t>Comedy</t>
        </is>
      </c>
      <c r="M168" s="64" t="inlineStr">
        <is>
          <t>Film4 Productions, Young Bwark Productions, Zodiak Rights</t>
        </is>
      </c>
      <c r="N168" s="64" t="inlineStr">
        <is>
          <t>https://huggingface.co/datasets/HenryWaltson/TMDB-IMDB-Movies-Dataset</t>
        </is>
      </c>
      <c r="O168" s="64" t="inlineStr">
        <is>
          <t>https://huggingface.co/datasets/HenryWaltson/TMDB-IMDB-Movies-Dataset</t>
        </is>
      </c>
      <c r="P168" t="inlineStr">
        <is>
          <t>Simon Bird</t>
        </is>
      </c>
      <c r="Q168" t="inlineStr">
        <is>
          <t>James Buckley</t>
        </is>
      </c>
      <c r="R168" t="inlineStr">
        <is>
          <t>Blake Harrison</t>
        </is>
      </c>
      <c r="S168" t="inlineStr">
        <is>
          <t>Joe Thomas</t>
        </is>
      </c>
      <c r="T168" t="inlineStr">
        <is>
          <t>Emily Berrington</t>
        </is>
      </c>
      <c r="U168" s="71" t="n">
        <v>0</v>
      </c>
      <c r="V168" s="71" t="n">
        <v>0</v>
      </c>
      <c r="X168" s="82">
        <f>IFERROR(INDEX(Ratings!$E$5:$E$500,MATCH(A168,Ratings!$A$5:$A$500,0)),"")</f>
        <v/>
      </c>
      <c r="Y168" s="71">
        <f>IFERROR(INDEX(Ratings!$G$5:$G$500,MATCH(A168,Ratings!$A$5:$A$500,0)),"")</f>
        <v/>
      </c>
      <c r="Z168" s="83">
        <f>IFERROR(INDEX(Ratings!$I$5:$I$500,MATCH(A168,Ratings!$A$5:$A$500,0)),"")</f>
        <v/>
      </c>
    </row>
    <row r="169" ht="15.75" customHeight="1" s="95">
      <c r="A169" t="inlineStr">
        <is>
          <t>F0165</t>
        </is>
      </c>
      <c r="B169" t="inlineStr">
        <is>
          <t>Inception</t>
        </is>
      </c>
      <c r="C169" s="63" t="inlineStr">
        <is>
          <t>2010</t>
        </is>
      </c>
      <c r="D169" t="inlineStr">
        <is>
          <t>Blu-ray</t>
        </is>
      </c>
      <c r="F169" s="64" t="n"/>
      <c r="I169" s="64" t="n"/>
      <c r="J169" s="64" t="inlineStr">
        <is>
          <t>Christopher Nolan</t>
        </is>
      </c>
      <c r="K169" s="64" t="n">
        <v>148</v>
      </c>
      <c r="L169" s="64" t="inlineStr">
        <is>
          <t>Action, Science Fiction, Adventure</t>
        </is>
      </c>
      <c r="M169" s="64" t="inlineStr">
        <is>
          <t>Legendary Pictures, Syncopy, Warner Bros. Pictures</t>
        </is>
      </c>
      <c r="N169" s="64" t="inlineStr">
        <is>
          <t>https://huggingface.co/datasets/HenryWaltson/TMDB-IMDB-Movies-Dataset</t>
        </is>
      </c>
      <c r="O169" s="64" t="inlineStr">
        <is>
          <t>https://huggingface.co/datasets/HenryWaltson/TMDB-IMDB-Movies-Dataset</t>
        </is>
      </c>
      <c r="P169" t="inlineStr">
        <is>
          <t>Leonardo DiCaprio</t>
        </is>
      </c>
      <c r="Q169" t="inlineStr">
        <is>
          <t>Joseph Gordon-Levitt</t>
        </is>
      </c>
      <c r="R169" t="inlineStr">
        <is>
          <t>Ken Watanabe</t>
        </is>
      </c>
      <c r="S169" t="inlineStr">
        <is>
          <t>Tom Hardy</t>
        </is>
      </c>
      <c r="T169" t="inlineStr">
        <is>
          <t>Elliot Page</t>
        </is>
      </c>
      <c r="U169" s="71" t="n">
        <v>8</v>
      </c>
      <c r="V169" s="71" t="n">
        <v>4</v>
      </c>
      <c r="W169" t="inlineStr">
        <is>
          <t>Nominated</t>
        </is>
      </c>
      <c r="X169" s="82">
        <f>IFERROR(INDEX(Ratings!$E$5:$E$500,MATCH(A169,Ratings!$A$5:$A$500,0)),"")</f>
        <v/>
      </c>
      <c r="Y169" s="71">
        <f>IFERROR(INDEX(Ratings!$G$5:$G$500,MATCH(A169,Ratings!$A$5:$A$500,0)),"")</f>
        <v/>
      </c>
      <c r="Z169" s="83">
        <f>IFERROR(INDEX(Ratings!$I$5:$I$500,MATCH(A169,Ratings!$A$5:$A$500,0)),"")</f>
        <v/>
      </c>
    </row>
    <row r="170" ht="15.75" customHeight="1" s="95">
      <c r="A170" t="inlineStr">
        <is>
          <t>F0166</t>
        </is>
      </c>
      <c r="B170" t="inlineStr">
        <is>
          <t>Inglourious Basterds</t>
        </is>
      </c>
      <c r="C170" s="63" t="inlineStr">
        <is>
          <t>2009</t>
        </is>
      </c>
      <c r="D170" t="inlineStr">
        <is>
          <t>Blu-ray</t>
        </is>
      </c>
      <c r="F170" s="64" t="n"/>
      <c r="I170" s="64" t="n"/>
      <c r="J170" s="64" t="inlineStr">
        <is>
          <t>Quentin Tarantino</t>
        </is>
      </c>
      <c r="K170" s="64" t="n">
        <v>153</v>
      </c>
      <c r="L170" s="64" t="inlineStr">
        <is>
          <t>Drama, Thriller, War</t>
        </is>
      </c>
      <c r="M170" s="64" t="inlineStr">
        <is>
          <t>The Weinstein Company, Universal Pictures, A Band Apart</t>
        </is>
      </c>
      <c r="N170" s="64" t="inlineStr">
        <is>
          <t>https://huggingface.co/datasets/HenryWaltson/TMDB-IMDB-Movies-Dataset</t>
        </is>
      </c>
      <c r="O170" s="64" t="inlineStr">
        <is>
          <t>https://huggingface.co/datasets/HenryWaltson/TMDB-IMDB-Movies-Dataset</t>
        </is>
      </c>
      <c r="P170" t="inlineStr">
        <is>
          <t>Brad Pitt</t>
        </is>
      </c>
      <c r="Q170" t="inlineStr">
        <is>
          <t>Mélanie Laurent</t>
        </is>
      </c>
      <c r="R170" t="inlineStr">
        <is>
          <t>Christoph Waltz</t>
        </is>
      </c>
      <c r="S170" t="inlineStr">
        <is>
          <t>Michael Fassbender</t>
        </is>
      </c>
      <c r="T170" t="inlineStr">
        <is>
          <t>Diane Kruger</t>
        </is>
      </c>
      <c r="U170" s="71" t="n">
        <v>8</v>
      </c>
      <c r="V170" s="71" t="n">
        <v>1</v>
      </c>
      <c r="W170" t="inlineStr">
        <is>
          <t>Nominated</t>
        </is>
      </c>
      <c r="X170" s="82">
        <f>IFERROR(INDEX(Ratings!$E$5:$E$500,MATCH(A170,Ratings!$A$5:$A$500,0)),"")</f>
        <v/>
      </c>
      <c r="Y170" s="71">
        <f>IFERROR(INDEX(Ratings!$G$5:$G$500,MATCH(A170,Ratings!$A$5:$A$500,0)),"")</f>
        <v/>
      </c>
      <c r="Z170" s="83">
        <f>IFERROR(INDEX(Ratings!$I$5:$I$500,MATCH(A170,Ratings!$A$5:$A$500,0)),"")</f>
        <v/>
      </c>
    </row>
    <row r="171" ht="15.75" customHeight="1" s="95">
      <c r="A171" t="inlineStr">
        <is>
          <t>F0167</t>
        </is>
      </c>
      <c r="B171" t="inlineStr">
        <is>
          <t>Inside Out</t>
        </is>
      </c>
      <c r="C171" s="63" t="inlineStr">
        <is>
          <t>2015</t>
        </is>
      </c>
      <c r="D171" t="inlineStr">
        <is>
          <t>Blu-ray</t>
        </is>
      </c>
      <c r="F171" s="64" t="n"/>
      <c r="I171" s="64" t="n"/>
      <c r="J171" s="64" t="inlineStr">
        <is>
          <t>Pete Docter, Ronnie Del Carmen</t>
        </is>
      </c>
      <c r="K171" s="64" t="n">
        <v>95</v>
      </c>
      <c r="L171" s="64" t="inlineStr">
        <is>
          <t>Animation, Family, Adventure, Drama, Comedy</t>
        </is>
      </c>
      <c r="M171" s="64" t="inlineStr">
        <is>
          <t>Pixar, Walt Disney Pictures</t>
        </is>
      </c>
      <c r="N171" s="64" t="inlineStr">
        <is>
          <t>https://huggingface.co/datasets/HenryWaltson/TMDB-IMDB-Movies-Dataset</t>
        </is>
      </c>
      <c r="O171" s="64" t="inlineStr">
        <is>
          <t>https://huggingface.co/datasets/HenryWaltson/TMDB-IMDB-Movies-Dataset</t>
        </is>
      </c>
      <c r="P171" t="inlineStr">
        <is>
          <t>Amy Poehler</t>
        </is>
      </c>
      <c r="Q171" t="inlineStr">
        <is>
          <t>Phyllis Smith</t>
        </is>
      </c>
      <c r="R171" t="inlineStr">
        <is>
          <t>Richard Kind</t>
        </is>
      </c>
      <c r="S171" t="inlineStr">
        <is>
          <t>Bill Hader</t>
        </is>
      </c>
      <c r="T171" t="inlineStr">
        <is>
          <t>Lewis Black</t>
        </is>
      </c>
      <c r="U171" s="71" t="n">
        <v>2</v>
      </c>
      <c r="V171" s="71" t="n">
        <v>1</v>
      </c>
      <c r="X171" s="82">
        <f>IFERROR(INDEX(Ratings!$E$5:$E$500,MATCH(A171,Ratings!$A$5:$A$500,0)),"")</f>
        <v/>
      </c>
      <c r="Y171" s="71">
        <f>IFERROR(INDEX(Ratings!$G$5:$G$500,MATCH(A171,Ratings!$A$5:$A$500,0)),"")</f>
        <v/>
      </c>
      <c r="Z171" s="83">
        <f>IFERROR(INDEX(Ratings!$I$5:$I$500,MATCH(A171,Ratings!$A$5:$A$500,0)),"")</f>
        <v/>
      </c>
    </row>
    <row r="172" ht="15.75" customHeight="1" s="95">
      <c r="A172" t="inlineStr">
        <is>
          <t>F0168</t>
        </is>
      </c>
      <c r="B172" t="inlineStr">
        <is>
          <t>Interstellar</t>
        </is>
      </c>
      <c r="C172" s="63" t="inlineStr">
        <is>
          <t>2014</t>
        </is>
      </c>
      <c r="D172" t="inlineStr">
        <is>
          <t>4K UHD</t>
        </is>
      </c>
      <c r="F172" s="64" t="n"/>
      <c r="I172" s="64" t="n"/>
      <c r="J172" s="64" t="inlineStr">
        <is>
          <t>Christopher Nolan</t>
        </is>
      </c>
      <c r="K172" s="64" t="n">
        <v>169</v>
      </c>
      <c r="L172" s="64" t="inlineStr">
        <is>
          <t>Adventure, Drama, Science Fiction</t>
        </is>
      </c>
      <c r="M172" s="64" t="inlineStr">
        <is>
          <t>Legendary Pictures, Syncopy, Lynda Obst Productions</t>
        </is>
      </c>
      <c r="N172" s="64" t="inlineStr">
        <is>
          <t>https://huggingface.co/datasets/HenryWaltson/TMDB-IMDB-Movies-Dataset</t>
        </is>
      </c>
      <c r="O172" s="64" t="inlineStr">
        <is>
          <t>https://huggingface.co/datasets/HenryWaltson/TMDB-IMDB-Movies-Dataset</t>
        </is>
      </c>
      <c r="P172" t="inlineStr">
        <is>
          <t>Matthew McConaughey</t>
        </is>
      </c>
      <c r="Q172" t="inlineStr">
        <is>
          <t>Anne Hathaway</t>
        </is>
      </c>
      <c r="R172" t="inlineStr">
        <is>
          <t>Michael Caine</t>
        </is>
      </c>
      <c r="S172" t="inlineStr">
        <is>
          <t>Jessica Chastain</t>
        </is>
      </c>
      <c r="T172" t="inlineStr">
        <is>
          <t>Casey Affleck</t>
        </is>
      </c>
      <c r="U172" s="71" t="n">
        <v>5</v>
      </c>
      <c r="V172" s="71" t="n">
        <v>1</v>
      </c>
      <c r="X172" s="82">
        <f>IFERROR(INDEX(Ratings!$E$5:$E$500,MATCH(A172,Ratings!$A$5:$A$500,0)),"")</f>
        <v/>
      </c>
      <c r="Y172" s="71">
        <f>IFERROR(INDEX(Ratings!$G$5:$G$500,MATCH(A172,Ratings!$A$5:$A$500,0)),"")</f>
        <v/>
      </c>
      <c r="Z172" s="83">
        <f>IFERROR(INDEX(Ratings!$I$5:$I$500,MATCH(A172,Ratings!$A$5:$A$500,0)),"")</f>
        <v/>
      </c>
    </row>
    <row r="173" ht="15.75" customHeight="1" s="95">
      <c r="A173" t="inlineStr">
        <is>
          <t>F0169</t>
        </is>
      </c>
      <c r="B173" t="inlineStr">
        <is>
          <t>Iron Man 3</t>
        </is>
      </c>
      <c r="C173" s="63" t="inlineStr">
        <is>
          <t>2013</t>
        </is>
      </c>
      <c r="D173" t="inlineStr">
        <is>
          <t>Blu-ray</t>
        </is>
      </c>
      <c r="E173" t="inlineStr">
        <is>
          <t>MCU</t>
        </is>
      </c>
      <c r="F173" s="64" t="n"/>
      <c r="I173" s="64" t="n"/>
      <c r="J173" s="64" t="inlineStr">
        <is>
          <t>Shane Black</t>
        </is>
      </c>
      <c r="K173" s="64" t="n">
        <v>130</v>
      </c>
      <c r="L173" s="64" t="inlineStr">
        <is>
          <t>Action, Adventure, Science Fiction</t>
        </is>
      </c>
      <c r="M173" s="64" t="inlineStr">
        <is>
          <t>Marvel Studios</t>
        </is>
      </c>
      <c r="N173" s="64" t="inlineStr">
        <is>
          <t>https://huggingface.co/datasets/HenryWaltson/TMDB-IMDB-Movies-Dataset</t>
        </is>
      </c>
      <c r="O173" s="64" t="inlineStr">
        <is>
          <t>https://huggingface.co/datasets/HenryWaltson/TMDB-IMDB-Movies-Dataset</t>
        </is>
      </c>
      <c r="P173" t="inlineStr">
        <is>
          <t>Robert Downey Jr.</t>
        </is>
      </c>
      <c r="Q173" t="inlineStr">
        <is>
          <t>Gwyneth Paltrow</t>
        </is>
      </c>
      <c r="R173" t="inlineStr">
        <is>
          <t>Don Cheadle</t>
        </is>
      </c>
      <c r="S173" t="inlineStr">
        <is>
          <t>Guy Pearce</t>
        </is>
      </c>
      <c r="T173" t="inlineStr">
        <is>
          <t>Rebecca Hall</t>
        </is>
      </c>
      <c r="U173" s="71" t="n">
        <v>1</v>
      </c>
      <c r="V173" s="71" t="n">
        <v>0</v>
      </c>
      <c r="X173" s="82">
        <f>IFERROR(INDEX(Ratings!$E$5:$E$500,MATCH(A173,Ratings!$A$5:$A$500,0)),"")</f>
        <v/>
      </c>
      <c r="Y173" s="71">
        <f>IFERROR(INDEX(Ratings!$G$5:$G$500,MATCH(A173,Ratings!$A$5:$A$500,0)),"")</f>
        <v/>
      </c>
      <c r="Z173" s="83">
        <f>IFERROR(INDEX(Ratings!$I$5:$I$500,MATCH(A173,Ratings!$A$5:$A$500,0)),"")</f>
        <v/>
      </c>
    </row>
    <row r="174" ht="15.75" customHeight="1" s="95">
      <c r="A174" t="inlineStr">
        <is>
          <t>F0170</t>
        </is>
      </c>
      <c r="B174" t="inlineStr">
        <is>
          <t>Jojo Rabbit</t>
        </is>
      </c>
      <c r="C174" s="63" t="inlineStr">
        <is>
          <t>2019</t>
        </is>
      </c>
      <c r="D174" t="inlineStr">
        <is>
          <t>Blu-ray</t>
        </is>
      </c>
      <c r="F174" s="64" t="n"/>
      <c r="I174" s="64" t="n"/>
      <c r="J174" s="64" t="inlineStr">
        <is>
          <t>Taika Waititi</t>
        </is>
      </c>
      <c r="K174" s="64" t="n">
        <v>108</v>
      </c>
      <c r="L174" s="64" t="inlineStr">
        <is>
          <t>Comedy, War, Drama</t>
        </is>
      </c>
      <c r="M174" s="64" t="inlineStr">
        <is>
          <t>Fox Searchlight Pictures, Defender Films, Piki Films</t>
        </is>
      </c>
      <c r="N174" s="64" t="inlineStr">
        <is>
          <t>https://huggingface.co/datasets/HenryWaltson/TMDB-IMDB-Movies-Dataset</t>
        </is>
      </c>
      <c r="O174" s="64" t="inlineStr">
        <is>
          <t>https://huggingface.co/datasets/HenryWaltson/TMDB-IMDB-Movies-Dataset</t>
        </is>
      </c>
      <c r="P174" t="inlineStr">
        <is>
          <t>Roman Griffin Davis</t>
        </is>
      </c>
      <c r="Q174" t="inlineStr">
        <is>
          <t>Thomasin McKenzie</t>
        </is>
      </c>
      <c r="R174" t="inlineStr">
        <is>
          <t>Scarlett Johansson</t>
        </is>
      </c>
      <c r="S174" t="inlineStr">
        <is>
          <t>Sam Rockwell</t>
        </is>
      </c>
      <c r="T174" t="inlineStr">
        <is>
          <t>Rebel Wilson</t>
        </is>
      </c>
      <c r="U174" s="71" t="n">
        <v>6</v>
      </c>
      <c r="V174" s="71" t="n">
        <v>1</v>
      </c>
      <c r="W174" t="inlineStr">
        <is>
          <t>Nominated</t>
        </is>
      </c>
      <c r="X174" s="82">
        <f>IFERROR(INDEX(Ratings!$E$5:$E$500,MATCH(A174,Ratings!$A$5:$A$500,0)),"")</f>
        <v/>
      </c>
      <c r="Y174" s="71">
        <f>IFERROR(INDEX(Ratings!$G$5:$G$500,MATCH(A174,Ratings!$A$5:$A$500,0)),"")</f>
        <v/>
      </c>
      <c r="Z174" s="83">
        <f>IFERROR(INDEX(Ratings!$I$5:$I$500,MATCH(A174,Ratings!$A$5:$A$500,0)),"")</f>
        <v/>
      </c>
    </row>
    <row r="175" ht="15.75" customHeight="1" s="95">
      <c r="A175" t="inlineStr">
        <is>
          <t>F0171</t>
        </is>
      </c>
      <c r="B175" t="inlineStr">
        <is>
          <t>Jack Reacher</t>
        </is>
      </c>
      <c r="C175" s="63" t="inlineStr">
        <is>
          <t>2012</t>
        </is>
      </c>
      <c r="D175" t="inlineStr">
        <is>
          <t>Blu-ray</t>
        </is>
      </c>
      <c r="F175" s="64" t="n"/>
      <c r="I175" s="64" t="n"/>
      <c r="J175" s="64" t="inlineStr">
        <is>
          <t>Christopher McQuarrie</t>
        </is>
      </c>
      <c r="K175" s="64" t="n">
        <v>130</v>
      </c>
      <c r="L175" s="64" t="inlineStr">
        <is>
          <t>Crime, Drama, Thriller, Action</t>
        </is>
      </c>
      <c r="M175" s="64" t="inlineStr">
        <is>
          <t>Skydance, H2L Media "AKA" Mutual Film Company, H2L Media Group</t>
        </is>
      </c>
      <c r="N175" s="64" t="inlineStr">
        <is>
          <t>https://huggingface.co/datasets/HenryWaltson/TMDB-IMDB-Movies-Dataset</t>
        </is>
      </c>
      <c r="O175" s="64" t="inlineStr">
        <is>
          <t>https://huggingface.co/datasets/HenryWaltson/TMDB-IMDB-Movies-Dataset</t>
        </is>
      </c>
      <c r="P175" t="inlineStr">
        <is>
          <t>Tom Cruise</t>
        </is>
      </c>
      <c r="Q175" t="inlineStr">
        <is>
          <t>Rosamund Pike</t>
        </is>
      </c>
      <c r="R175" t="inlineStr">
        <is>
          <t>Richard Jenkins</t>
        </is>
      </c>
      <c r="S175" t="inlineStr">
        <is>
          <t>David Oyelowo</t>
        </is>
      </c>
      <c r="T175" t="inlineStr">
        <is>
          <t>Jai Courtney</t>
        </is>
      </c>
      <c r="U175" s="71" t="n">
        <v>0</v>
      </c>
      <c r="V175" s="71" t="n">
        <v>0</v>
      </c>
      <c r="X175" s="82">
        <f>IFERROR(INDEX(Ratings!$E$5:$E$500,MATCH(A175,Ratings!$A$5:$A$500,0)),"")</f>
        <v/>
      </c>
      <c r="Y175" s="71">
        <f>IFERROR(INDEX(Ratings!$G$5:$G$500,MATCH(A175,Ratings!$A$5:$A$500,0)),"")</f>
        <v/>
      </c>
      <c r="Z175" s="83">
        <f>IFERROR(INDEX(Ratings!$I$5:$I$500,MATCH(A175,Ratings!$A$5:$A$500,0)),"")</f>
        <v/>
      </c>
    </row>
    <row r="176" ht="15.75" customHeight="1" s="95">
      <c r="A176" t="inlineStr">
        <is>
          <t>F0172</t>
        </is>
      </c>
      <c r="B176" t="inlineStr">
        <is>
          <t>Jackass 3D</t>
        </is>
      </c>
      <c r="C176" s="63" t="inlineStr">
        <is>
          <t>2010</t>
        </is>
      </c>
      <c r="D176" t="inlineStr">
        <is>
          <t>Blu-ray</t>
        </is>
      </c>
      <c r="F176" s="64" t="n"/>
      <c r="I176" s="64" t="n"/>
      <c r="J176" s="64" t="inlineStr">
        <is>
          <t>Jeff Tremaine</t>
        </is>
      </c>
      <c r="K176" s="64" t="n">
        <v>94</v>
      </c>
      <c r="L176" s="64" t="inlineStr">
        <is>
          <t>Comedy, Documentary, Action</t>
        </is>
      </c>
      <c r="M176" s="64" t="inlineStr">
        <is>
          <t>Paramount Pictures, MTV Films, Dickhouse Productions</t>
        </is>
      </c>
      <c r="N176" s="64" t="inlineStr">
        <is>
          <t>https://huggingface.co/datasets/HenryWaltson/TMDB-IMDB-Movies-Dataset</t>
        </is>
      </c>
      <c r="O176" s="64" t="inlineStr">
        <is>
          <t>https://huggingface.co/datasets/HenryWaltson/TMDB-IMDB-Movies-Dataset</t>
        </is>
      </c>
      <c r="P176" t="inlineStr">
        <is>
          <t>Johnny Knoxville</t>
        </is>
      </c>
      <c r="Q176" t="inlineStr">
        <is>
          <t>Bam Margera</t>
        </is>
      </c>
      <c r="R176" t="inlineStr">
        <is>
          <t>Ryan Dunn</t>
        </is>
      </c>
      <c r="S176" t="inlineStr">
        <is>
          <t>Steve-O</t>
        </is>
      </c>
      <c r="T176" t="inlineStr">
        <is>
          <t>Chris Pontius</t>
        </is>
      </c>
      <c r="U176" s="71" t="n">
        <v>0</v>
      </c>
      <c r="V176" s="71" t="n">
        <v>0</v>
      </c>
      <c r="X176" s="82">
        <f>IFERROR(INDEX(Ratings!$E$5:$E$500,MATCH(A176,Ratings!$A$5:$A$500,0)),"")</f>
        <v/>
      </c>
      <c r="Y176" s="71">
        <f>IFERROR(INDEX(Ratings!$G$5:$G$500,MATCH(A176,Ratings!$A$5:$A$500,0)),"")</f>
        <v/>
      </c>
      <c r="Z176" s="83">
        <f>IFERROR(INDEX(Ratings!$I$5:$I$500,MATCH(A176,Ratings!$A$5:$A$500,0)),"")</f>
        <v/>
      </c>
    </row>
    <row r="177" ht="15.75" customHeight="1" s="95">
      <c r="A177" t="inlineStr">
        <is>
          <t>F0173</t>
        </is>
      </c>
      <c r="B177" t="inlineStr">
        <is>
          <t>Jonah Hex</t>
        </is>
      </c>
      <c r="C177" s="63" t="inlineStr">
        <is>
          <t>2010</t>
        </is>
      </c>
      <c r="D177" t="inlineStr">
        <is>
          <t>Blu-ray</t>
        </is>
      </c>
      <c r="F177" s="64" t="n"/>
      <c r="I177" s="64" t="n"/>
      <c r="J177" s="64" t="inlineStr">
        <is>
          <t>Jimmy Hayward</t>
        </is>
      </c>
      <c r="K177" s="64" t="n">
        <v>81</v>
      </c>
      <c r="L177" s="64" t="inlineStr">
        <is>
          <t>Action, Western, Drama, Fantasy, Thriller</t>
        </is>
      </c>
      <c r="M177" s="64" t="inlineStr">
        <is>
          <t>Warner Bros. Pictures, Legendary Pictures, Weed Road Pictures</t>
        </is>
      </c>
      <c r="N177" s="64" t="inlineStr">
        <is>
          <t>https://huggingface.co/datasets/HenryWaltson/TMDB-IMDB-Movies-Dataset</t>
        </is>
      </c>
      <c r="O177" s="64" t="inlineStr">
        <is>
          <t>https://huggingface.co/datasets/HenryWaltson/TMDB-IMDB-Movies-Dataset</t>
        </is>
      </c>
      <c r="P177" t="inlineStr">
        <is>
          <t>Josh Brolin</t>
        </is>
      </c>
      <c r="Q177" t="inlineStr">
        <is>
          <t>John Malkovich</t>
        </is>
      </c>
      <c r="R177" t="inlineStr">
        <is>
          <t>Megan Fox</t>
        </is>
      </c>
      <c r="S177" t="inlineStr">
        <is>
          <t>Michael Fassbender</t>
        </is>
      </c>
      <c r="T177" t="inlineStr">
        <is>
          <t>Will Arnett</t>
        </is>
      </c>
      <c r="U177" s="71" t="n">
        <v>0</v>
      </c>
      <c r="V177" s="71" t="n">
        <v>0</v>
      </c>
      <c r="X177" s="82">
        <f>IFERROR(INDEX(Ratings!$E$5:$E$500,MATCH(A177,Ratings!$A$5:$A$500,0)),"")</f>
        <v/>
      </c>
      <c r="Y177" s="71">
        <f>IFERROR(INDEX(Ratings!$G$5:$G$500,MATCH(A177,Ratings!$A$5:$A$500,0)),"")</f>
        <v/>
      </c>
      <c r="Z177" s="83">
        <f>IFERROR(INDEX(Ratings!$I$5:$I$500,MATCH(A177,Ratings!$A$5:$A$500,0)),"")</f>
        <v/>
      </c>
    </row>
    <row r="178" ht="15.75" customHeight="1" s="95">
      <c r="A178" t="inlineStr">
        <is>
          <t>F0174</t>
        </is>
      </c>
      <c r="B178" t="inlineStr">
        <is>
          <t>Journey to the Center of the Earth</t>
        </is>
      </c>
      <c r="C178" s="63" t="inlineStr">
        <is>
          <t>2008</t>
        </is>
      </c>
      <c r="D178" t="inlineStr">
        <is>
          <t>Blu-ray</t>
        </is>
      </c>
      <c r="F178" s="64" t="n"/>
      <c r="I178" s="64" t="n"/>
      <c r="J178" s="64" t="inlineStr">
        <is>
          <t>Eric Brevig</t>
        </is>
      </c>
      <c r="K178" s="64" t="n">
        <v>93</v>
      </c>
      <c r="L178" s="64" t="inlineStr">
        <is>
          <t>Action, Science Fiction, Adventure, Comedy, Family</t>
        </is>
      </c>
      <c r="M178" s="64" t="inlineStr">
        <is>
          <t>New Line Cinema, Walden Media</t>
        </is>
      </c>
      <c r="N178" s="64" t="inlineStr">
        <is>
          <t>https://huggingface.co/datasets/HenryWaltson/TMDB-IMDB-Movies-Dataset</t>
        </is>
      </c>
      <c r="O178" s="64" t="inlineStr">
        <is>
          <t>https://huggingface.co/datasets/HenryWaltson/TMDB-IMDB-Movies-Dataset</t>
        </is>
      </c>
      <c r="P178" t="inlineStr">
        <is>
          <t>Brendan Fraser</t>
        </is>
      </c>
      <c r="Q178" t="inlineStr">
        <is>
          <t>Josh Hutcherson</t>
        </is>
      </c>
      <c r="R178" t="inlineStr">
        <is>
          <t>Anita Briem</t>
        </is>
      </c>
      <c r="S178" t="inlineStr">
        <is>
          <t>Seth Meyers</t>
        </is>
      </c>
      <c r="T178" t="inlineStr">
        <is>
          <t>Jean Michel Paré</t>
        </is>
      </c>
      <c r="U178" s="71" t="n">
        <v>0</v>
      </c>
      <c r="V178" s="71" t="n">
        <v>0</v>
      </c>
      <c r="X178" s="82">
        <f>IFERROR(INDEX(Ratings!$E$5:$E$500,MATCH(A178,Ratings!$A$5:$A$500,0)),"")</f>
        <v/>
      </c>
      <c r="Y178" s="71">
        <f>IFERROR(INDEX(Ratings!$G$5:$G$500,MATCH(A178,Ratings!$A$5:$A$500,0)),"")</f>
        <v/>
      </c>
      <c r="Z178" s="83">
        <f>IFERROR(INDEX(Ratings!$I$5:$I$500,MATCH(A178,Ratings!$A$5:$A$500,0)),"")</f>
        <v/>
      </c>
    </row>
    <row r="179" ht="15.75" customHeight="1" s="95">
      <c r="A179" t="inlineStr">
        <is>
          <t>F0175</t>
        </is>
      </c>
      <c r="B179" t="inlineStr">
        <is>
          <t>Jumper</t>
        </is>
      </c>
      <c r="C179" s="63" t="inlineStr">
        <is>
          <t>2008</t>
        </is>
      </c>
      <c r="D179" t="inlineStr">
        <is>
          <t>Blu-ray</t>
        </is>
      </c>
      <c r="F179" s="64" t="n"/>
      <c r="I179" s="64" t="n"/>
      <c r="J179" s="64" t="inlineStr">
        <is>
          <t>Doug Liman</t>
        </is>
      </c>
      <c r="K179" s="64" t="n">
        <v>88</v>
      </c>
      <c r="L179" s="64" t="inlineStr">
        <is>
          <t>Action, Adventure, Science Fiction</t>
        </is>
      </c>
      <c r="M179" s="64" t="inlineStr">
        <is>
          <t>Dune Entertainment, Hypnotic, New Regency Pictures</t>
        </is>
      </c>
      <c r="N179" s="64" t="inlineStr">
        <is>
          <t>https://huggingface.co/datasets/HenryWaltson/TMDB-IMDB-Movies-Dataset</t>
        </is>
      </c>
      <c r="O179" s="64" t="inlineStr">
        <is>
          <t>https://huggingface.co/datasets/HenryWaltson/TMDB-IMDB-Movies-Dataset</t>
        </is>
      </c>
      <c r="P179" t="inlineStr">
        <is>
          <t>Hayden Christensen</t>
        </is>
      </c>
      <c r="Q179" t="inlineStr">
        <is>
          <t>Jamie Bell</t>
        </is>
      </c>
      <c r="R179" t="inlineStr">
        <is>
          <t>Samuel L. Jackson</t>
        </is>
      </c>
      <c r="S179" t="inlineStr">
        <is>
          <t>Rachel Bilson</t>
        </is>
      </c>
      <c r="T179" t="inlineStr">
        <is>
          <t>Michael Rooker</t>
        </is>
      </c>
      <c r="U179" s="71" t="n">
        <v>0</v>
      </c>
      <c r="V179" s="71" t="n">
        <v>0</v>
      </c>
      <c r="X179" s="82">
        <f>IFERROR(INDEX(Ratings!$E$5:$E$500,MATCH(A179,Ratings!$A$5:$A$500,0)),"")</f>
        <v/>
      </c>
      <c r="Y179" s="71">
        <f>IFERROR(INDEX(Ratings!$G$5:$G$500,MATCH(A179,Ratings!$A$5:$A$500,0)),"")</f>
        <v/>
      </c>
      <c r="Z179" s="83">
        <f>IFERROR(INDEX(Ratings!$I$5:$I$500,MATCH(A179,Ratings!$A$5:$A$500,0)),"")</f>
        <v/>
      </c>
    </row>
    <row r="180" ht="15.75" customHeight="1" s="95">
      <c r="A180" t="inlineStr">
        <is>
          <t>F0176</t>
        </is>
      </c>
      <c r="B180" t="inlineStr">
        <is>
          <t>Jurassic Park</t>
        </is>
      </c>
      <c r="C180" s="63" t="inlineStr">
        <is>
          <t>1993</t>
        </is>
      </c>
      <c r="D180" t="inlineStr">
        <is>
          <t>Blu-ray</t>
        </is>
      </c>
      <c r="E180" t="inlineStr">
        <is>
          <t>Jurassic Park / World</t>
        </is>
      </c>
      <c r="F180" s="64" t="inlineStr">
        <is>
          <t>Jurassic Park / World: 7-Film Collection</t>
        </is>
      </c>
      <c r="I180" s="64" t="inlineStr">
        <is>
          <t>Owned via Jurassic Park / World: 7-Film Collection.</t>
        </is>
      </c>
      <c r="J180" s="64" t="inlineStr">
        <is>
          <t>Steven Spielberg</t>
        </is>
      </c>
      <c r="K180" s="64" t="n">
        <v>127</v>
      </c>
      <c r="L180" s="64" t="inlineStr">
        <is>
          <t>Adventure, Science Fiction, Thriller</t>
        </is>
      </c>
      <c r="M180" s="64" t="inlineStr">
        <is>
          <t>Universal Pictures, Amblin Entertainment</t>
        </is>
      </c>
      <c r="N180" s="64" t="inlineStr">
        <is>
          <t>https://huggingface.co/datasets/HenryWaltson/TMDB-IMDB-Movies-Dataset</t>
        </is>
      </c>
      <c r="O180" s="64" t="inlineStr">
        <is>
          <t>https://huggingface.co/datasets/HenryWaltson/TMDB-IMDB-Movies-Dataset</t>
        </is>
      </c>
      <c r="P180" t="inlineStr">
        <is>
          <t>Sam Neill</t>
        </is>
      </c>
      <c r="Q180" t="inlineStr">
        <is>
          <t>Laura Dern</t>
        </is>
      </c>
      <c r="R180" t="inlineStr">
        <is>
          <t>Jeff Goldblum</t>
        </is>
      </c>
      <c r="S180" t="inlineStr">
        <is>
          <t>Richard Attenborough</t>
        </is>
      </c>
      <c r="T180" t="inlineStr">
        <is>
          <t>Bob Peck</t>
        </is>
      </c>
      <c r="U180" s="71" t="n">
        <v>3</v>
      </c>
      <c r="V180" s="71" t="n">
        <v>3</v>
      </c>
      <c r="X180" s="82">
        <f>IFERROR(INDEX(Ratings!$E$5:$E$500,MATCH(A180,Ratings!$A$5:$A$500,0)),"")</f>
        <v/>
      </c>
      <c r="Y180" s="71">
        <f>IFERROR(INDEX(Ratings!$G$5:$G$500,MATCH(A180,Ratings!$A$5:$A$500,0)),"")</f>
        <v/>
      </c>
      <c r="Z180" s="83">
        <f>IFERROR(INDEX(Ratings!$I$5:$I$500,MATCH(A180,Ratings!$A$5:$A$500,0)),"")</f>
        <v/>
      </c>
    </row>
    <row r="181" ht="15.75" customHeight="1" s="95">
      <c r="A181" t="inlineStr">
        <is>
          <t>F0177</t>
        </is>
      </c>
      <c r="B181" t="inlineStr">
        <is>
          <t>The Lost World: Jurassic Park</t>
        </is>
      </c>
      <c r="C181" s="63" t="inlineStr">
        <is>
          <t>1997</t>
        </is>
      </c>
      <c r="D181" t="inlineStr">
        <is>
          <t>Blu-ray</t>
        </is>
      </c>
      <c r="E181" t="inlineStr">
        <is>
          <t>Jurassic Park / World</t>
        </is>
      </c>
      <c r="F181" s="64" t="inlineStr">
        <is>
          <t>Jurassic Park / World: 7-Film Collection</t>
        </is>
      </c>
      <c r="I181" s="64" t="inlineStr">
        <is>
          <t>Owned via Jurassic Park / World: 7-Film Collection.</t>
        </is>
      </c>
      <c r="J181" s="64" t="inlineStr">
        <is>
          <t>Steven Spielberg</t>
        </is>
      </c>
      <c r="K181" s="64" t="n">
        <v>129</v>
      </c>
      <c r="L181" s="64" t="inlineStr">
        <is>
          <t>Adventure, Science Fiction, Thriller</t>
        </is>
      </c>
      <c r="M181" s="64" t="inlineStr">
        <is>
          <t>Universal Pictures, Amblin Entertainment</t>
        </is>
      </c>
      <c r="N181" s="64" t="inlineStr">
        <is>
          <t>https://huggingface.co/datasets/HenryWaltson/TMDB-IMDB-Movies-Dataset</t>
        </is>
      </c>
      <c r="O181" s="64" t="inlineStr">
        <is>
          <t>https://huggingface.co/datasets/HenryWaltson/TMDB-IMDB-Movies-Dataset</t>
        </is>
      </c>
      <c r="P181" t="inlineStr">
        <is>
          <t>Jeff Goldblum</t>
        </is>
      </c>
      <c r="Q181" t="inlineStr">
        <is>
          <t>Julianne Moore</t>
        </is>
      </c>
      <c r="R181" t="inlineStr">
        <is>
          <t>Pete Postlethwaite</t>
        </is>
      </c>
      <c r="S181" t="inlineStr">
        <is>
          <t>Arliss Howard</t>
        </is>
      </c>
      <c r="T181" t="inlineStr">
        <is>
          <t>Richard Attenborough</t>
        </is>
      </c>
      <c r="U181" s="71" t="n">
        <v>1</v>
      </c>
      <c r="V181" s="71" t="n">
        <v>0</v>
      </c>
      <c r="X181" s="82">
        <f>IFERROR(INDEX(Ratings!$E$5:$E$500,MATCH(A181,Ratings!$A$5:$A$500,0)),"")</f>
        <v/>
      </c>
      <c r="Y181" s="71">
        <f>IFERROR(INDEX(Ratings!$G$5:$G$500,MATCH(A181,Ratings!$A$5:$A$500,0)),"")</f>
        <v/>
      </c>
      <c r="Z181" s="83">
        <f>IFERROR(INDEX(Ratings!$I$5:$I$500,MATCH(A181,Ratings!$A$5:$A$500,0)),"")</f>
        <v/>
      </c>
    </row>
    <row r="182" ht="15.75" customHeight="1" s="95">
      <c r="A182" t="inlineStr">
        <is>
          <t>F0178</t>
        </is>
      </c>
      <c r="B182" t="inlineStr">
        <is>
          <t>Jurassic Park III</t>
        </is>
      </c>
      <c r="C182" s="63" t="inlineStr">
        <is>
          <t>2001</t>
        </is>
      </c>
      <c r="D182" t="inlineStr">
        <is>
          <t>Blu-ray</t>
        </is>
      </c>
      <c r="E182" t="inlineStr">
        <is>
          <t>Jurassic Park / World</t>
        </is>
      </c>
      <c r="F182" s="64" t="inlineStr">
        <is>
          <t>Jurassic Park / World: 7-Film Collection</t>
        </is>
      </c>
      <c r="I182" s="64" t="inlineStr">
        <is>
          <t>Owned via Jurassic Park / World: 7-Film Collection.</t>
        </is>
      </c>
      <c r="J182" s="64" t="inlineStr">
        <is>
          <t>Joe Johnston</t>
        </is>
      </c>
      <c r="K182" s="64" t="n">
        <v>92</v>
      </c>
      <c r="L182" s="64" t="inlineStr">
        <is>
          <t>Adventure, Science Fiction, Thriller</t>
        </is>
      </c>
      <c r="M182" s="64" t="inlineStr">
        <is>
          <t>Universal Pictures, Amblin Entertainment</t>
        </is>
      </c>
      <c r="N182" s="64" t="inlineStr">
        <is>
          <t>https://huggingface.co/datasets/HenryWaltson/TMDB-IMDB-Movies-Dataset</t>
        </is>
      </c>
      <c r="O182" s="64" t="inlineStr">
        <is>
          <t>https://huggingface.co/datasets/HenryWaltson/TMDB-IMDB-Movies-Dataset</t>
        </is>
      </c>
      <c r="P182" t="inlineStr">
        <is>
          <t>Sam Neill</t>
        </is>
      </c>
      <c r="Q182" t="inlineStr">
        <is>
          <t>William H. Macy</t>
        </is>
      </c>
      <c r="R182" t="inlineStr">
        <is>
          <t>Téa Leoni</t>
        </is>
      </c>
      <c r="S182" t="inlineStr">
        <is>
          <t>Alessandro Nivola</t>
        </is>
      </c>
      <c r="T182" t="inlineStr">
        <is>
          <t>Trevor Morgan</t>
        </is>
      </c>
      <c r="U182" s="71" t="n">
        <v>0</v>
      </c>
      <c r="V182" s="71" t="n">
        <v>0</v>
      </c>
      <c r="X182" s="82">
        <f>IFERROR(INDEX(Ratings!$E$5:$E$500,MATCH(A182,Ratings!$A$5:$A$500,0)),"")</f>
        <v/>
      </c>
      <c r="Y182" s="71">
        <f>IFERROR(INDEX(Ratings!$G$5:$G$500,MATCH(A182,Ratings!$A$5:$A$500,0)),"")</f>
        <v/>
      </c>
      <c r="Z182" s="83">
        <f>IFERROR(INDEX(Ratings!$I$5:$I$500,MATCH(A182,Ratings!$A$5:$A$500,0)),"")</f>
        <v/>
      </c>
    </row>
    <row r="183" ht="15.75" customHeight="1" s="95">
      <c r="A183" t="inlineStr">
        <is>
          <t>F0179</t>
        </is>
      </c>
      <c r="B183" t="inlineStr">
        <is>
          <t>Jurassic World</t>
        </is>
      </c>
      <c r="C183" s="63" t="inlineStr">
        <is>
          <t>2015</t>
        </is>
      </c>
      <c r="D183" t="inlineStr">
        <is>
          <t>Blu-ray</t>
        </is>
      </c>
      <c r="E183" t="inlineStr">
        <is>
          <t>Jurassic Park / World</t>
        </is>
      </c>
      <c r="F183" s="64" t="inlineStr">
        <is>
          <t>Jurassic Park / World: 7-Film Collection</t>
        </is>
      </c>
      <c r="I183" s="64" t="inlineStr">
        <is>
          <t>Owned via Jurassic Park / World: 7-Film Collection.</t>
        </is>
      </c>
      <c r="J183" s="64" t="inlineStr">
        <is>
          <t>Colin Trevorrow</t>
        </is>
      </c>
      <c r="K183" s="64" t="n">
        <v>124</v>
      </c>
      <c r="L183" s="64" t="inlineStr">
        <is>
          <t>Action, Adventure, Science Fiction</t>
        </is>
      </c>
      <c r="M183" s="64" t="inlineStr">
        <is>
          <t>Universal Pictures, Amblin Entertainment, Legendary Pictures</t>
        </is>
      </c>
      <c r="N183" s="64" t="inlineStr">
        <is>
          <t>https://huggingface.co/datasets/HenryWaltson/TMDB-IMDB-Movies-Dataset</t>
        </is>
      </c>
      <c r="O183" s="64" t="inlineStr">
        <is>
          <t>https://huggingface.co/datasets/HenryWaltson/TMDB-IMDB-Movies-Dataset</t>
        </is>
      </c>
      <c r="P183" t="inlineStr">
        <is>
          <t>Chris Pratt</t>
        </is>
      </c>
      <c r="Q183" t="inlineStr">
        <is>
          <t>Bryce Dallas Howard</t>
        </is>
      </c>
      <c r="R183" t="inlineStr">
        <is>
          <t>Irrfan Khan</t>
        </is>
      </c>
      <c r="S183" t="inlineStr">
        <is>
          <t>Vincent D'Onofrio</t>
        </is>
      </c>
      <c r="T183" t="inlineStr">
        <is>
          <t>Ty Simpkins</t>
        </is>
      </c>
      <c r="U183" s="71" t="n">
        <v>0</v>
      </c>
      <c r="V183" s="71" t="n">
        <v>0</v>
      </c>
      <c r="X183" s="82">
        <f>IFERROR(INDEX(Ratings!$E$5:$E$500,MATCH(A183,Ratings!$A$5:$A$500,0)),"")</f>
        <v/>
      </c>
      <c r="Y183" s="71">
        <f>IFERROR(INDEX(Ratings!$G$5:$G$500,MATCH(A183,Ratings!$A$5:$A$500,0)),"")</f>
        <v/>
      </c>
      <c r="Z183" s="83">
        <f>IFERROR(INDEX(Ratings!$I$5:$I$500,MATCH(A183,Ratings!$A$5:$A$500,0)),"")</f>
        <v/>
      </c>
    </row>
    <row r="184" ht="15.75" customHeight="1" s="95">
      <c r="A184" t="inlineStr">
        <is>
          <t>F0180</t>
        </is>
      </c>
      <c r="B184" t="inlineStr">
        <is>
          <t>Jurassic World: Fallen Kingdom</t>
        </is>
      </c>
      <c r="C184" s="63" t="inlineStr">
        <is>
          <t>2018</t>
        </is>
      </c>
      <c r="D184" t="inlineStr">
        <is>
          <t>Blu-ray</t>
        </is>
      </c>
      <c r="E184" t="inlineStr">
        <is>
          <t>Jurassic Park / World</t>
        </is>
      </c>
      <c r="F184" s="64" t="inlineStr">
        <is>
          <t>Jurassic Park / World: 7-Film Collection</t>
        </is>
      </c>
      <c r="I184" s="64" t="inlineStr">
        <is>
          <t>Owned via Jurassic Park / World: 7-Film Collection.</t>
        </is>
      </c>
      <c r="J184" s="64" t="inlineStr">
        <is>
          <t>J. A. Bayona</t>
        </is>
      </c>
      <c r="K184" s="64" t="n">
        <v>129</v>
      </c>
      <c r="L184" s="64" t="inlineStr">
        <is>
          <t>Action, Adventure, Science Fiction</t>
        </is>
      </c>
      <c r="M184" s="64" t="inlineStr">
        <is>
          <t>Universal Pictures, Amblin Entertainment, Legendary Pictures</t>
        </is>
      </c>
      <c r="N184" s="64" t="inlineStr">
        <is>
          <t>https://huggingface.co/datasets/HenryWaltson/TMDB-IMDB-Movies-Dataset</t>
        </is>
      </c>
      <c r="O184" s="64" t="inlineStr">
        <is>
          <t>https://huggingface.co/datasets/HenryWaltson/TMDB-IMDB-Movies-Dataset</t>
        </is>
      </c>
      <c r="P184" t="inlineStr">
        <is>
          <t>Chris Pratt</t>
        </is>
      </c>
      <c r="Q184" t="inlineStr">
        <is>
          <t>Bryce Dallas Howard</t>
        </is>
      </c>
      <c r="R184" t="inlineStr">
        <is>
          <t>Rafe Spall</t>
        </is>
      </c>
      <c r="S184" t="inlineStr">
        <is>
          <t>Justice Smith</t>
        </is>
      </c>
      <c r="T184" t="inlineStr">
        <is>
          <t>Daniella Pineda</t>
        </is>
      </c>
      <c r="U184" s="71" t="n">
        <v>0</v>
      </c>
      <c r="V184" s="71" t="n">
        <v>0</v>
      </c>
      <c r="X184" s="82">
        <f>IFERROR(INDEX(Ratings!$E$5:$E$500,MATCH(A184,Ratings!$A$5:$A$500,0)),"")</f>
        <v/>
      </c>
      <c r="Y184" s="71">
        <f>IFERROR(INDEX(Ratings!$G$5:$G$500,MATCH(A184,Ratings!$A$5:$A$500,0)),"")</f>
        <v/>
      </c>
      <c r="Z184" s="83">
        <f>IFERROR(INDEX(Ratings!$I$5:$I$500,MATCH(A184,Ratings!$A$5:$A$500,0)),"")</f>
        <v/>
      </c>
    </row>
    <row r="185" ht="15.75" customHeight="1" s="95">
      <c r="A185" t="inlineStr">
        <is>
          <t>F0181</t>
        </is>
      </c>
      <c r="B185" t="inlineStr">
        <is>
          <t>Jurassic World Dominion</t>
        </is>
      </c>
      <c r="C185" s="63" t="inlineStr">
        <is>
          <t>2022</t>
        </is>
      </c>
      <c r="D185" t="inlineStr">
        <is>
          <t>Blu-ray</t>
        </is>
      </c>
      <c r="E185" t="inlineStr">
        <is>
          <t>Jurassic Park / World</t>
        </is>
      </c>
      <c r="F185" s="64" t="inlineStr">
        <is>
          <t>Jurassic Park / World: 7-Film Collection</t>
        </is>
      </c>
      <c r="I185" s="64" t="inlineStr">
        <is>
          <t>Owned via Jurassic Park / World: 7-Film Collection.</t>
        </is>
      </c>
      <c r="J185" s="64" t="inlineStr">
        <is>
          <t>Colin Trevorrow</t>
        </is>
      </c>
      <c r="K185" s="64" t="n">
        <v>147</v>
      </c>
      <c r="L185" s="64" t="inlineStr">
        <is>
          <t>Action, Adventure, Science Fiction</t>
        </is>
      </c>
      <c r="M185" s="64" t="inlineStr">
        <is>
          <t>Universal Pictures, Amblin Entertainment</t>
        </is>
      </c>
      <c r="N185" s="64" t="inlineStr">
        <is>
          <t>https://huggingface.co/datasets/HenryWaltson/TMDB-IMDB-Movies-Dataset</t>
        </is>
      </c>
      <c r="O185" s="64" t="inlineStr">
        <is>
          <t>https://huggingface.co/datasets/HenryWaltson/TMDB-IMDB-Movies-Dataset</t>
        </is>
      </c>
      <c r="P185" t="inlineStr">
        <is>
          <t>Chris Pratt</t>
        </is>
      </c>
      <c r="Q185" t="inlineStr">
        <is>
          <t>Bryce Dallas Howard</t>
        </is>
      </c>
      <c r="R185" t="inlineStr">
        <is>
          <t>Laura Dern</t>
        </is>
      </c>
      <c r="S185" t="inlineStr">
        <is>
          <t>Sam Neill</t>
        </is>
      </c>
      <c r="T185" t="inlineStr">
        <is>
          <t>Jeff Goldblum</t>
        </is>
      </c>
      <c r="U185" s="71" t="n">
        <v>0</v>
      </c>
      <c r="V185" s="71" t="n">
        <v>0</v>
      </c>
      <c r="X185" s="82">
        <f>IFERROR(INDEX(Ratings!$E$5:$E$500,MATCH(A185,Ratings!$A$5:$A$500,0)),"")</f>
        <v/>
      </c>
      <c r="Y185" s="71">
        <f>IFERROR(INDEX(Ratings!$G$5:$G$500,MATCH(A185,Ratings!$A$5:$A$500,0)),"")</f>
        <v/>
      </c>
      <c r="Z185" s="83">
        <f>IFERROR(INDEX(Ratings!$I$5:$I$500,MATCH(A185,Ratings!$A$5:$A$500,0)),"")</f>
        <v/>
      </c>
    </row>
    <row r="186" ht="15.75" customHeight="1" s="95">
      <c r="A186" t="inlineStr">
        <is>
          <t>F0182</t>
        </is>
      </c>
      <c r="B186" t="inlineStr">
        <is>
          <t>Jurassic World Rebirth</t>
        </is>
      </c>
      <c r="C186" s="63" t="inlineStr">
        <is>
          <t>2025</t>
        </is>
      </c>
      <c r="D186" t="inlineStr">
        <is>
          <t>Blu-ray</t>
        </is>
      </c>
      <c r="E186" t="inlineStr">
        <is>
          <t>Jurassic Park / World</t>
        </is>
      </c>
      <c r="F186" s="64" t="inlineStr">
        <is>
          <t>Jurassic Park / World: 7-Film Collection</t>
        </is>
      </c>
      <c r="I186" s="64" t="inlineStr">
        <is>
          <t>Owned via Jurassic Park / World: 7-Film Collection.</t>
        </is>
      </c>
      <c r="J186" s="64" t="inlineStr">
        <is>
          <t>Gareth Edwards</t>
        </is>
      </c>
      <c r="K186" s="64" t="n">
        <v>134</v>
      </c>
      <c r="L186" s="64" t="inlineStr">
        <is>
          <t>Action, Adventure, Science Fiction</t>
        </is>
      </c>
      <c r="M186" s="64" t="inlineStr">
        <is>
          <t>Universal Pictures, Amblin Entertainment</t>
        </is>
      </c>
      <c r="N186" s="64" t="inlineStr">
        <is>
          <t>https://huggingface.co/datasets/HenryWaltson/TMDB-IMDB-Movies-Dataset</t>
        </is>
      </c>
      <c r="O186" s="64" t="inlineStr">
        <is>
          <t>https://www.youtube.com/watch?v=jan5CFWs9ic</t>
        </is>
      </c>
      <c r="P186" t="inlineStr">
        <is>
          <t>Scarlett Johansson</t>
        </is>
      </c>
      <c r="Q186" t="inlineStr">
        <is>
          <t>Jonathan Bailey</t>
        </is>
      </c>
      <c r="R186" t="inlineStr">
        <is>
          <t>Mahershala Ali</t>
        </is>
      </c>
      <c r="S186" t="inlineStr">
        <is>
          <t>Rupert Friend</t>
        </is>
      </c>
      <c r="T186" t="inlineStr">
        <is>
          <t>Manuel Garcia-Rulfo</t>
        </is>
      </c>
      <c r="U186" s="71" t="n">
        <v>1</v>
      </c>
      <c r="V186" s="71" t="n">
        <v>0</v>
      </c>
      <c r="X186" s="82">
        <f>IFERROR(INDEX(Ratings!$E$5:$E$500,MATCH(A186,Ratings!$A$5:$A$500,0)),"")</f>
        <v/>
      </c>
      <c r="Y186" s="71">
        <f>IFERROR(INDEX(Ratings!$G$5:$G$500,MATCH(A186,Ratings!$A$5:$A$500,0)),"")</f>
        <v/>
      </c>
      <c r="Z186" s="83">
        <f>IFERROR(INDEX(Ratings!$I$5:$I$500,MATCH(A186,Ratings!$A$5:$A$500,0)),"")</f>
        <v/>
      </c>
    </row>
    <row r="187" ht="15.75" customHeight="1" s="95">
      <c r="A187" t="inlineStr">
        <is>
          <t>F0183</t>
        </is>
      </c>
      <c r="B187" t="inlineStr">
        <is>
          <t>Just Go with It</t>
        </is>
      </c>
      <c r="C187" s="63" t="inlineStr">
        <is>
          <t>2011</t>
        </is>
      </c>
      <c r="D187" t="inlineStr">
        <is>
          <t>Blu-ray</t>
        </is>
      </c>
      <c r="F187" s="64" t="n"/>
      <c r="I187" s="64" t="n"/>
      <c r="J187" s="64" t="inlineStr">
        <is>
          <t>Dennis Dugan</t>
        </is>
      </c>
      <c r="K187" s="64" t="n">
        <v>117</v>
      </c>
      <c r="L187" s="64" t="inlineStr">
        <is>
          <t>Comedy, Romance</t>
        </is>
      </c>
      <c r="M187" s="64" t="inlineStr">
        <is>
          <t>Columbia Pictures, Happy Madison Productions</t>
        </is>
      </c>
      <c r="N187" s="64" t="inlineStr">
        <is>
          <t>https://huggingface.co/datasets/HenryWaltson/TMDB-IMDB-Movies-Dataset</t>
        </is>
      </c>
      <c r="O187" s="64" t="inlineStr">
        <is>
          <t>https://huggingface.co/datasets/HenryWaltson/TMDB-IMDB-Movies-Dataset</t>
        </is>
      </c>
      <c r="P187" t="inlineStr">
        <is>
          <t>Adam Sandler</t>
        </is>
      </c>
      <c r="Q187" t="inlineStr">
        <is>
          <t>Jennifer Aniston</t>
        </is>
      </c>
      <c r="R187" t="inlineStr">
        <is>
          <t>Brooklyn Decker</t>
        </is>
      </c>
      <c r="S187" t="inlineStr">
        <is>
          <t>Nicole Kidman</t>
        </is>
      </c>
      <c r="T187" t="inlineStr">
        <is>
          <t>Nick Swardson</t>
        </is>
      </c>
      <c r="U187" s="71" t="n">
        <v>0</v>
      </c>
      <c r="V187" s="71" t="n">
        <v>0</v>
      </c>
      <c r="X187" s="82">
        <f>IFERROR(INDEX(Ratings!$E$5:$E$500,MATCH(A187,Ratings!$A$5:$A$500,0)),"")</f>
        <v/>
      </c>
      <c r="Y187" s="71">
        <f>IFERROR(INDEX(Ratings!$G$5:$G$500,MATCH(A187,Ratings!$A$5:$A$500,0)),"")</f>
        <v/>
      </c>
      <c r="Z187" s="83">
        <f>IFERROR(INDEX(Ratings!$I$5:$I$500,MATCH(A187,Ratings!$A$5:$A$500,0)),"")</f>
        <v/>
      </c>
    </row>
    <row r="188" ht="15.75" customHeight="1" s="95">
      <c r="A188" t="inlineStr">
        <is>
          <t>F0184</t>
        </is>
      </c>
      <c r="B188" t="inlineStr">
        <is>
          <t>The Karate Kid</t>
        </is>
      </c>
      <c r="C188" s="63" t="inlineStr">
        <is>
          <t>2010</t>
        </is>
      </c>
      <c r="D188" t="inlineStr">
        <is>
          <t>Blu-ray</t>
        </is>
      </c>
      <c r="F188" s="64" t="n"/>
      <c r="I188" s="64" t="inlineStr">
        <is>
          <t>Best guess: 2010 film.</t>
        </is>
      </c>
      <c r="J188" s="64" t="inlineStr">
        <is>
          <t>Harald Zwart</t>
        </is>
      </c>
      <c r="K188" s="64" t="n">
        <v>140</v>
      </c>
      <c r="L188" s="64" t="inlineStr">
        <is>
          <t>Action, Adventure, Drama</t>
        </is>
      </c>
      <c r="M188" s="64" t="inlineStr">
        <is>
          <t>Columbia Pictures, China Film Group, Overbrook Entertainment</t>
        </is>
      </c>
      <c r="N188" s="64" t="inlineStr">
        <is>
          <t>https://huggingface.co/datasets/HenryWaltson/TMDB-IMDB-Movies-Dataset</t>
        </is>
      </c>
      <c r="O188" s="64" t="inlineStr">
        <is>
          <t>https://huggingface.co/datasets/HenryWaltson/TMDB-IMDB-Movies-Dataset</t>
        </is>
      </c>
      <c r="P188" t="inlineStr">
        <is>
          <t>Jaden Smith</t>
        </is>
      </c>
      <c r="Q188" t="inlineStr">
        <is>
          <t>Jackie Chan</t>
        </is>
      </c>
      <c r="R188" t="inlineStr">
        <is>
          <t>Taraji P. Henson</t>
        </is>
      </c>
      <c r="S188" t="inlineStr">
        <is>
          <t>Wenwen Han</t>
        </is>
      </c>
      <c r="T188" t="inlineStr">
        <is>
          <t>Wang ZhenWei</t>
        </is>
      </c>
      <c r="U188" s="71" t="n">
        <v>0</v>
      </c>
      <c r="V188" s="71" t="n">
        <v>0</v>
      </c>
      <c r="X188" s="82">
        <f>IFERROR(INDEX(Ratings!$E$5:$E$500,MATCH(A188,Ratings!$A$5:$A$500,0)),"")</f>
        <v/>
      </c>
      <c r="Y188" s="71">
        <f>IFERROR(INDEX(Ratings!$G$5:$G$500,MATCH(A188,Ratings!$A$5:$A$500,0)),"")</f>
        <v/>
      </c>
      <c r="Z188" s="83">
        <f>IFERROR(INDEX(Ratings!$I$5:$I$500,MATCH(A188,Ratings!$A$5:$A$500,0)),"")</f>
        <v/>
      </c>
    </row>
    <row r="189" ht="15.75" customHeight="1" s="95">
      <c r="A189" t="inlineStr">
        <is>
          <t>F0185</t>
        </is>
      </c>
      <c r="B189" t="inlineStr">
        <is>
          <t>Kick-Ass</t>
        </is>
      </c>
      <c r="C189" s="63" t="inlineStr">
        <is>
          <t>2010</t>
        </is>
      </c>
      <c r="D189" t="inlineStr">
        <is>
          <t>Blu-ray</t>
        </is>
      </c>
      <c r="E189" t="inlineStr">
        <is>
          <t>Kick-Ass</t>
        </is>
      </c>
      <c r="F189" s="64" t="n"/>
      <c r="I189" s="64" t="n"/>
      <c r="J189" s="64" t="inlineStr">
        <is>
          <t>Matthew Vaughn</t>
        </is>
      </c>
      <c r="K189" s="64" t="n">
        <v>117</v>
      </c>
      <c r="L189" s="64" t="inlineStr">
        <is>
          <t>Action, Crime</t>
        </is>
      </c>
      <c r="M189" s="64" t="inlineStr">
        <is>
          <t>Marv Films, Lionsgate, Plan B Entertainment</t>
        </is>
      </c>
      <c r="N189" s="64" t="inlineStr">
        <is>
          <t>https://huggingface.co/datasets/HenryWaltson/TMDB-IMDB-Movies-Dataset</t>
        </is>
      </c>
      <c r="O189" s="64" t="inlineStr">
        <is>
          <t>https://huggingface.co/datasets/HenryWaltson/TMDB-IMDB-Movies-Dataset</t>
        </is>
      </c>
      <c r="P189" t="inlineStr">
        <is>
          <t>Aaron Taylor-Johnson</t>
        </is>
      </c>
      <c r="Q189" t="inlineStr">
        <is>
          <t>Chloë Grace Moretz</t>
        </is>
      </c>
      <c r="R189" t="inlineStr">
        <is>
          <t>Nicolas Cage</t>
        </is>
      </c>
      <c r="S189" t="inlineStr">
        <is>
          <t>Lyndsy Fonseca</t>
        </is>
      </c>
      <c r="T189" t="inlineStr">
        <is>
          <t>Mark Strong</t>
        </is>
      </c>
      <c r="U189" s="71" t="n">
        <v>0</v>
      </c>
      <c r="V189" s="71" t="n">
        <v>0</v>
      </c>
      <c r="X189" s="82">
        <f>IFERROR(INDEX(Ratings!$E$5:$E$500,MATCH(A189,Ratings!$A$5:$A$500,0)),"")</f>
        <v/>
      </c>
      <c r="Y189" s="71">
        <f>IFERROR(INDEX(Ratings!$G$5:$G$500,MATCH(A189,Ratings!$A$5:$A$500,0)),"")</f>
        <v/>
      </c>
      <c r="Z189" s="83">
        <f>IFERROR(INDEX(Ratings!$I$5:$I$500,MATCH(A189,Ratings!$A$5:$A$500,0)),"")</f>
        <v/>
      </c>
    </row>
    <row r="190" ht="15.75" customHeight="1" s="95">
      <c r="A190" t="inlineStr">
        <is>
          <t>F0186</t>
        </is>
      </c>
      <c r="B190" t="inlineStr">
        <is>
          <t>Kick-Ass 2</t>
        </is>
      </c>
      <c r="C190" s="63" t="inlineStr">
        <is>
          <t>2013</t>
        </is>
      </c>
      <c r="D190" t="inlineStr">
        <is>
          <t>Blu-ray</t>
        </is>
      </c>
      <c r="E190" t="inlineStr">
        <is>
          <t>Kick-Ass</t>
        </is>
      </c>
      <c r="F190" s="64" t="n"/>
      <c r="I190" s="64" t="n"/>
      <c r="J190" s="64" t="inlineStr">
        <is>
          <t>Jeff Wadlow</t>
        </is>
      </c>
      <c r="K190" s="64" t="n">
        <v>103</v>
      </c>
      <c r="L190" s="64" t="inlineStr">
        <is>
          <t>Action, Adventure, Crime</t>
        </is>
      </c>
      <c r="M190" s="64" t="inlineStr">
        <is>
          <t>Marv Films, Universal Pictures, dentsu</t>
        </is>
      </c>
      <c r="N190" s="64" t="inlineStr">
        <is>
          <t>https://huggingface.co/datasets/HenryWaltson/TMDB-IMDB-Movies-Dataset</t>
        </is>
      </c>
      <c r="O190" s="64" t="inlineStr">
        <is>
          <t>https://huggingface.co/datasets/HenryWaltson/TMDB-IMDB-Movies-Dataset</t>
        </is>
      </c>
      <c r="P190" t="inlineStr">
        <is>
          <t>Aaron Taylor-Johnson</t>
        </is>
      </c>
      <c r="Q190" t="inlineStr">
        <is>
          <t>Chloë Grace Moretz</t>
        </is>
      </c>
      <c r="R190" t="inlineStr">
        <is>
          <t>Christopher Mintz-Plasse</t>
        </is>
      </c>
      <c r="S190" t="inlineStr">
        <is>
          <t>Lyndsy Fonseca</t>
        </is>
      </c>
      <c r="T190" t="inlineStr">
        <is>
          <t>Jim Carrey</t>
        </is>
      </c>
      <c r="U190" s="71" t="n">
        <v>0</v>
      </c>
      <c r="V190" s="71" t="n">
        <v>0</v>
      </c>
      <c r="X190" s="82">
        <f>IFERROR(INDEX(Ratings!$E$5:$E$500,MATCH(A190,Ratings!$A$5:$A$500,0)),"")</f>
        <v/>
      </c>
      <c r="Y190" s="71">
        <f>IFERROR(INDEX(Ratings!$G$5:$G$500,MATCH(A190,Ratings!$A$5:$A$500,0)),"")</f>
        <v/>
      </c>
      <c r="Z190" s="83">
        <f>IFERROR(INDEX(Ratings!$I$5:$I$500,MATCH(A190,Ratings!$A$5:$A$500,0)),"")</f>
        <v/>
      </c>
    </row>
    <row r="191" ht="15.75" customHeight="1" s="95">
      <c r="A191" t="inlineStr">
        <is>
          <t>F0187</t>
        </is>
      </c>
      <c r="B191" t="inlineStr">
        <is>
          <t>Killing Them Softly</t>
        </is>
      </c>
      <c r="C191" s="63" t="inlineStr">
        <is>
          <t>2012</t>
        </is>
      </c>
      <c r="D191" t="inlineStr">
        <is>
          <t>Blu-ray</t>
        </is>
      </c>
      <c r="F191" s="64" t="n"/>
      <c r="I191" s="64" t="n"/>
      <c r="J191" s="64" t="inlineStr">
        <is>
          <t>Andrew Dominik</t>
        </is>
      </c>
      <c r="K191" s="64" t="n">
        <v>97</v>
      </c>
      <c r="L191" s="64" t="inlineStr">
        <is>
          <t>Crime, Thriller</t>
        </is>
      </c>
      <c r="M191" s="64" t="inlineStr">
        <is>
          <t>Plan B Entertainment, Chockstone Pictures, 1984 Private Defense Contractors</t>
        </is>
      </c>
      <c r="N191" s="64" t="inlineStr">
        <is>
          <t>https://huggingface.co/datasets/HenryWaltson/TMDB-IMDB-Movies-Dataset</t>
        </is>
      </c>
      <c r="O191" s="64" t="inlineStr">
        <is>
          <t>https://huggingface.co/datasets/HenryWaltson/TMDB-IMDB-Movies-Dataset</t>
        </is>
      </c>
      <c r="P191" t="inlineStr">
        <is>
          <t>Brad Pitt</t>
        </is>
      </c>
      <c r="Q191" t="inlineStr">
        <is>
          <t>Scoot McNairy</t>
        </is>
      </c>
      <c r="R191" t="inlineStr">
        <is>
          <t>Ben Mendelsohn</t>
        </is>
      </c>
      <c r="S191" t="inlineStr">
        <is>
          <t>James Gandolfini</t>
        </is>
      </c>
      <c r="T191" t="inlineStr">
        <is>
          <t>Ray Liotta</t>
        </is>
      </c>
      <c r="U191" s="71" t="n">
        <v>0</v>
      </c>
      <c r="V191" s="71" t="n">
        <v>0</v>
      </c>
      <c r="X191" s="82">
        <f>IFERROR(INDEX(Ratings!$E$5:$E$500,MATCH(A191,Ratings!$A$5:$A$500,0)),"")</f>
        <v/>
      </c>
      <c r="Y191" s="71">
        <f>IFERROR(INDEX(Ratings!$G$5:$G$500,MATCH(A191,Ratings!$A$5:$A$500,0)),"")</f>
        <v/>
      </c>
      <c r="Z191" s="83">
        <f>IFERROR(INDEX(Ratings!$I$5:$I$500,MATCH(A191,Ratings!$A$5:$A$500,0)),"")</f>
        <v/>
      </c>
    </row>
    <row r="192" ht="15.75" customHeight="1" s="95">
      <c r="A192" t="inlineStr">
        <is>
          <t>F0188</t>
        </is>
      </c>
      <c r="B192" t="inlineStr">
        <is>
          <t>King Kong</t>
        </is>
      </c>
      <c r="C192" s="63" t="inlineStr">
        <is>
          <t>2005</t>
        </is>
      </c>
      <c r="D192" t="inlineStr">
        <is>
          <t>Blu-ray</t>
        </is>
      </c>
      <c r="F192" s="64" t="n"/>
      <c r="I192" s="64" t="inlineStr">
        <is>
          <t>Best guess: 2005 Peter Jackson film.</t>
        </is>
      </c>
      <c r="J192" s="64" t="inlineStr">
        <is>
          <t>Peter Jackson</t>
        </is>
      </c>
      <c r="K192" s="64" t="n">
        <v>187</v>
      </c>
      <c r="L192" s="64" t="inlineStr">
        <is>
          <t>Adventure, Drama, Action</t>
        </is>
      </c>
      <c r="M192" s="64" t="inlineStr">
        <is>
          <t>Universal Pictures, WingNut Films, Big Primate Pictures</t>
        </is>
      </c>
      <c r="N192" s="64" t="inlineStr">
        <is>
          <t>https://huggingface.co/datasets/HenryWaltson/TMDB-IMDB-Movies-Dataset</t>
        </is>
      </c>
      <c r="O192" s="64" t="inlineStr">
        <is>
          <t>https://huggingface.co/datasets/HenryWaltson/TMDB-IMDB-Movies-Dataset</t>
        </is>
      </c>
      <c r="P192" t="inlineStr">
        <is>
          <t>Naomi Watts</t>
        </is>
      </c>
      <c r="Q192" t="inlineStr">
        <is>
          <t>Jack Black</t>
        </is>
      </c>
      <c r="R192" t="inlineStr">
        <is>
          <t>Adrien Brody</t>
        </is>
      </c>
      <c r="S192" t="inlineStr">
        <is>
          <t>Andy Serkis</t>
        </is>
      </c>
      <c r="T192" t="inlineStr">
        <is>
          <t>Colin Hanks</t>
        </is>
      </c>
      <c r="U192" s="71" t="n">
        <v>4</v>
      </c>
      <c r="V192" s="71" t="n">
        <v>3</v>
      </c>
      <c r="X192" s="82">
        <f>IFERROR(INDEX(Ratings!$E$5:$E$500,MATCH(A192,Ratings!$A$5:$A$500,0)),"")</f>
        <v/>
      </c>
      <c r="Y192" s="71">
        <f>IFERROR(INDEX(Ratings!$G$5:$G$500,MATCH(A192,Ratings!$A$5:$A$500,0)),"")</f>
        <v/>
      </c>
      <c r="Z192" s="83">
        <f>IFERROR(INDEX(Ratings!$I$5:$I$500,MATCH(A192,Ratings!$A$5:$A$500,0)),"")</f>
        <v/>
      </c>
    </row>
    <row r="193" ht="15.75" customHeight="1" s="95">
      <c r="A193" t="inlineStr">
        <is>
          <t>F0189</t>
        </is>
      </c>
      <c r="B193" t="inlineStr">
        <is>
          <t>The King's Speech</t>
        </is>
      </c>
      <c r="C193" s="63" t="inlineStr">
        <is>
          <t>2010</t>
        </is>
      </c>
      <c r="D193" t="inlineStr">
        <is>
          <t>Blu-ray</t>
        </is>
      </c>
      <c r="F193" s="64" t="n"/>
      <c r="I193" s="64" t="n"/>
      <c r="J193" s="64" t="inlineStr">
        <is>
          <t>Tom Hooper</t>
        </is>
      </c>
      <c r="K193" s="64" t="n">
        <v>118</v>
      </c>
      <c r="L193" s="64" t="inlineStr">
        <is>
          <t>Drama, History</t>
        </is>
      </c>
      <c r="M193" s="64" t="inlineStr">
        <is>
          <t>The Weinstein Company, UK Film Council, Momentum Pictures</t>
        </is>
      </c>
      <c r="N193" s="64" t="inlineStr">
        <is>
          <t>https://huggingface.co/datasets/HenryWaltson/TMDB-IMDB-Movies-Dataset</t>
        </is>
      </c>
      <c r="O193" s="64" t="inlineStr">
        <is>
          <t>https://huggingface.co/datasets/HenryWaltson/TMDB-IMDB-Movies-Dataset</t>
        </is>
      </c>
      <c r="P193" t="inlineStr">
        <is>
          <t>Colin Firth</t>
        </is>
      </c>
      <c r="Q193" t="inlineStr">
        <is>
          <t>Geoffrey Rush</t>
        </is>
      </c>
      <c r="R193" t="inlineStr">
        <is>
          <t>Helena Bonham Carter</t>
        </is>
      </c>
      <c r="S193" t="inlineStr">
        <is>
          <t>Guy Pearce</t>
        </is>
      </c>
      <c r="T193" t="inlineStr">
        <is>
          <t>Timothy Spall</t>
        </is>
      </c>
      <c r="U193" s="71" t="n">
        <v>12</v>
      </c>
      <c r="V193" s="71" t="n">
        <v>4</v>
      </c>
      <c r="W193" t="inlineStr">
        <is>
          <t>Winner</t>
        </is>
      </c>
      <c r="X193" s="82">
        <f>IFERROR(INDEX(Ratings!$E$5:$E$500,MATCH(A193,Ratings!$A$5:$A$500,0)),"")</f>
        <v/>
      </c>
      <c r="Y193" s="71">
        <f>IFERROR(INDEX(Ratings!$G$5:$G$500,MATCH(A193,Ratings!$A$5:$A$500,0)),"")</f>
        <v/>
      </c>
      <c r="Z193" s="83">
        <f>IFERROR(INDEX(Ratings!$I$5:$I$500,MATCH(A193,Ratings!$A$5:$A$500,0)),"")</f>
        <v/>
      </c>
    </row>
    <row r="194" ht="15.75" customHeight="1" s="95">
      <c r="A194" t="inlineStr">
        <is>
          <t>F0190</t>
        </is>
      </c>
      <c r="B194" t="inlineStr">
        <is>
          <t>Kong: Skull Island</t>
        </is>
      </c>
      <c r="C194" s="63" t="inlineStr">
        <is>
          <t>2017</t>
        </is>
      </c>
      <c r="D194" t="inlineStr">
        <is>
          <t>Blu-ray</t>
        </is>
      </c>
      <c r="E194" t="inlineStr">
        <is>
          <t>MonsterVerse</t>
        </is>
      </c>
      <c r="F194" s="64" t="n"/>
      <c r="I194" s="64" t="n"/>
      <c r="J194" s="64" t="inlineStr">
        <is>
          <t>Jordan Vogt-Roberts</t>
        </is>
      </c>
      <c r="K194" s="64" t="n">
        <v>118</v>
      </c>
      <c r="L194" s="64" t="inlineStr">
        <is>
          <t>Action, Adventure, Fantasy</t>
        </is>
      </c>
      <c r="M194" s="64" t="inlineStr">
        <is>
          <t>Legendary Pictures, Tencent Pictures</t>
        </is>
      </c>
      <c r="N194" s="64" t="inlineStr">
        <is>
          <t>https://huggingface.co/datasets/HenryWaltson/TMDB-IMDB-Movies-Dataset</t>
        </is>
      </c>
      <c r="O194" s="64" t="inlineStr">
        <is>
          <t>https://huggingface.co/datasets/HenryWaltson/TMDB-IMDB-Movies-Dataset</t>
        </is>
      </c>
      <c r="P194" t="inlineStr">
        <is>
          <t>Tom Hiddleston</t>
        </is>
      </c>
      <c r="Q194" t="inlineStr">
        <is>
          <t>Samuel L. Jackson</t>
        </is>
      </c>
      <c r="R194" t="inlineStr">
        <is>
          <t>John Goodman</t>
        </is>
      </c>
      <c r="S194" t="inlineStr">
        <is>
          <t>Brie Larson</t>
        </is>
      </c>
      <c r="T194" t="inlineStr">
        <is>
          <t>Jing Tian</t>
        </is>
      </c>
      <c r="U194" s="71" t="n">
        <v>1</v>
      </c>
      <c r="V194" s="71" t="n">
        <v>0</v>
      </c>
      <c r="X194" s="82">
        <f>IFERROR(INDEX(Ratings!$E$5:$E$500,MATCH(A194,Ratings!$A$5:$A$500,0)),"")</f>
        <v/>
      </c>
      <c r="Y194" s="71">
        <f>IFERROR(INDEX(Ratings!$G$5:$G$500,MATCH(A194,Ratings!$A$5:$A$500,0)),"")</f>
        <v/>
      </c>
      <c r="Z194" s="83">
        <f>IFERROR(INDEX(Ratings!$I$5:$I$500,MATCH(A194,Ratings!$A$5:$A$500,0)),"")</f>
        <v/>
      </c>
    </row>
    <row r="195" ht="15.75" customHeight="1" s="95">
      <c r="A195" t="inlineStr">
        <is>
          <t>F0191</t>
        </is>
      </c>
      <c r="B195" t="inlineStr">
        <is>
          <t>Law Abiding Citizen</t>
        </is>
      </c>
      <c r="C195" s="63" t="inlineStr">
        <is>
          <t>2009</t>
        </is>
      </c>
      <c r="D195" t="inlineStr">
        <is>
          <t>Blu-ray</t>
        </is>
      </c>
      <c r="F195" s="64" t="n"/>
      <c r="I195" s="64" t="n"/>
      <c r="J195" s="64" t="inlineStr">
        <is>
          <t>F. Gary Gray</t>
        </is>
      </c>
      <c r="K195" s="64" t="n">
        <v>109</v>
      </c>
      <c r="L195" s="64" t="inlineStr">
        <is>
          <t>Drama, Crime, Thriller</t>
        </is>
      </c>
      <c r="M195" s="64" t="inlineStr">
        <is>
          <t>The Film Department, Evil Twins, Warp Films</t>
        </is>
      </c>
      <c r="N195" s="64" t="inlineStr">
        <is>
          <t>https://huggingface.co/datasets/HenryWaltson/TMDB-IMDB-Movies-Dataset</t>
        </is>
      </c>
      <c r="O195" s="64" t="inlineStr">
        <is>
          <t>https://huggingface.co/datasets/HenryWaltson/TMDB-IMDB-Movies-Dataset</t>
        </is>
      </c>
      <c r="P195" t="inlineStr">
        <is>
          <t>Jamie Foxx</t>
        </is>
      </c>
      <c r="Q195" t="inlineStr">
        <is>
          <t>Gerard Butler</t>
        </is>
      </c>
      <c r="R195" t="inlineStr">
        <is>
          <t>Colm Meaney</t>
        </is>
      </c>
      <c r="S195" t="inlineStr">
        <is>
          <t>Bruce McGill</t>
        </is>
      </c>
      <c r="T195" t="inlineStr">
        <is>
          <t>Leslie Bibb</t>
        </is>
      </c>
      <c r="U195" s="71" t="n">
        <v>0</v>
      </c>
      <c r="V195" s="71" t="n">
        <v>0</v>
      </c>
      <c r="X195" s="82">
        <f>IFERROR(INDEX(Ratings!$E$5:$E$500,MATCH(A195,Ratings!$A$5:$A$500,0)),"")</f>
        <v/>
      </c>
      <c r="Y195" s="71">
        <f>IFERROR(INDEX(Ratings!$G$5:$G$500,MATCH(A195,Ratings!$A$5:$A$500,0)),"")</f>
        <v/>
      </c>
      <c r="Z195" s="83">
        <f>IFERROR(INDEX(Ratings!$I$5:$I$500,MATCH(A195,Ratings!$A$5:$A$500,0)),"")</f>
        <v/>
      </c>
    </row>
    <row r="196" ht="15.75" customHeight="1" s="95">
      <c r="A196" t="inlineStr">
        <is>
          <t>F0192</t>
        </is>
      </c>
      <c r="B196" t="inlineStr">
        <is>
          <t>Lawless</t>
        </is>
      </c>
      <c r="C196" s="63" t="inlineStr">
        <is>
          <t>2012</t>
        </is>
      </c>
      <c r="D196" t="inlineStr">
        <is>
          <t>Blu-ray</t>
        </is>
      </c>
      <c r="F196" s="64" t="n"/>
      <c r="I196" s="64" t="n"/>
      <c r="J196" s="64" t="inlineStr">
        <is>
          <t>John Hillcoat</t>
        </is>
      </c>
      <c r="K196" s="64" t="n">
        <v>115</v>
      </c>
      <c r="L196" s="64" t="inlineStr">
        <is>
          <t>Crime, Drama, Western</t>
        </is>
      </c>
      <c r="M196" s="64" t="inlineStr">
        <is>
          <t>The Weinstein Company, Benaroya Pictures, Yucaipa Films</t>
        </is>
      </c>
      <c r="N196" s="64" t="inlineStr">
        <is>
          <t>https://huggingface.co/datasets/HenryWaltson/TMDB-IMDB-Movies-Dataset</t>
        </is>
      </c>
      <c r="O196" s="64" t="inlineStr">
        <is>
          <t>https://huggingface.co/datasets/HenryWaltson/TMDB-IMDB-Movies-Dataset</t>
        </is>
      </c>
      <c r="P196" t="inlineStr">
        <is>
          <t>Shia LaBeouf</t>
        </is>
      </c>
      <c r="Q196" t="inlineStr">
        <is>
          <t>Tom Hardy</t>
        </is>
      </c>
      <c r="R196" t="inlineStr">
        <is>
          <t>Gary Oldman</t>
        </is>
      </c>
      <c r="S196" t="inlineStr">
        <is>
          <t>Guy Pearce</t>
        </is>
      </c>
      <c r="T196" t="inlineStr">
        <is>
          <t>Jason Clarke</t>
        </is>
      </c>
      <c r="U196" s="71" t="n">
        <v>0</v>
      </c>
      <c r="V196" s="71" t="n">
        <v>0</v>
      </c>
      <c r="X196" s="82">
        <f>IFERROR(INDEX(Ratings!$E$5:$E$500,MATCH(A196,Ratings!$A$5:$A$500,0)),"")</f>
        <v/>
      </c>
      <c r="Y196" s="71">
        <f>IFERROR(INDEX(Ratings!$G$5:$G$500,MATCH(A196,Ratings!$A$5:$A$500,0)),"")</f>
        <v/>
      </c>
      <c r="Z196" s="83">
        <f>IFERROR(INDEX(Ratings!$I$5:$I$500,MATCH(A196,Ratings!$A$5:$A$500,0)),"")</f>
        <v/>
      </c>
    </row>
    <row r="197" ht="15.75" customHeight="1" s="95">
      <c r="A197" t="inlineStr">
        <is>
          <t>F0193</t>
        </is>
      </c>
      <c r="B197" t="inlineStr">
        <is>
          <t>The Lego Batman Movie</t>
        </is>
      </c>
      <c r="C197" s="63" t="inlineStr">
        <is>
          <t>2017</t>
        </is>
      </c>
      <c r="D197" t="inlineStr">
        <is>
          <t>Blu-ray</t>
        </is>
      </c>
      <c r="E197" t="inlineStr">
        <is>
          <t>LEGO</t>
        </is>
      </c>
      <c r="F197" s="64" t="n"/>
      <c r="I197" s="64" t="n"/>
      <c r="J197" s="64" t="inlineStr">
        <is>
          <t>Chris McKay</t>
        </is>
      </c>
      <c r="K197" s="64" t="n">
        <v>104</v>
      </c>
      <c r="L197" s="64" t="inlineStr">
        <is>
          <t>Animation, Action, Comedy, Family</t>
        </is>
      </c>
      <c r="M197" s="64" t="inlineStr">
        <is>
          <t>Lin Pictures, Warner Bros. Animation, Animal Logic</t>
        </is>
      </c>
      <c r="N197" s="64" t="inlineStr">
        <is>
          <t>https://huggingface.co/datasets/HenryWaltson/TMDB-IMDB-Movies-Dataset</t>
        </is>
      </c>
      <c r="O197" s="64" t="inlineStr">
        <is>
          <t>https://huggingface.co/datasets/HenryWaltson/TMDB-IMDB-Movies-Dataset</t>
        </is>
      </c>
      <c r="P197" t="inlineStr">
        <is>
          <t>Will Arnett</t>
        </is>
      </c>
      <c r="Q197" t="inlineStr">
        <is>
          <t>Michael Cera</t>
        </is>
      </c>
      <c r="R197" t="inlineStr">
        <is>
          <t>Rosario Dawson</t>
        </is>
      </c>
      <c r="S197" t="inlineStr">
        <is>
          <t>Ralph Fiennes</t>
        </is>
      </c>
      <c r="T197" t="inlineStr">
        <is>
          <t>Zach Galifianakis</t>
        </is>
      </c>
      <c r="U197" s="71" t="n">
        <v>0</v>
      </c>
      <c r="V197" s="71" t="n">
        <v>0</v>
      </c>
      <c r="X197" s="82">
        <f>IFERROR(INDEX(Ratings!$E$5:$E$500,MATCH(A197,Ratings!$A$5:$A$500,0)),"")</f>
        <v/>
      </c>
      <c r="Y197" s="71">
        <f>IFERROR(INDEX(Ratings!$G$5:$G$500,MATCH(A197,Ratings!$A$5:$A$500,0)),"")</f>
        <v/>
      </c>
      <c r="Z197" s="83">
        <f>IFERROR(INDEX(Ratings!$I$5:$I$500,MATCH(A197,Ratings!$A$5:$A$500,0)),"")</f>
        <v/>
      </c>
    </row>
    <row r="198" ht="15.75" customHeight="1" s="95">
      <c r="A198" t="inlineStr">
        <is>
          <t>F0194</t>
        </is>
      </c>
      <c r="B198" t="inlineStr">
        <is>
          <t>Lego Batman: The Movie - DC Super Heroes Unite</t>
        </is>
      </c>
      <c r="C198" s="63" t="inlineStr">
        <is>
          <t>2013</t>
        </is>
      </c>
      <c r="D198" t="inlineStr">
        <is>
          <t>Blu-ray</t>
        </is>
      </c>
      <c r="E198" t="inlineStr">
        <is>
          <t>LEGO</t>
        </is>
      </c>
      <c r="F198" s="64" t="n"/>
      <c r="I198" s="64" t="n"/>
      <c r="J198" s="64" t="inlineStr">
        <is>
          <t>Jon Burton</t>
        </is>
      </c>
      <c r="K198" s="64" t="n">
        <v>71</v>
      </c>
      <c r="L198" s="64" t="inlineStr">
        <is>
          <t>Family, Animation, Adventure, Comedy</t>
        </is>
      </c>
      <c r="M198" s="64" t="inlineStr">
        <is>
          <t>Warner Premiere Digital, DC Comics, LEGO</t>
        </is>
      </c>
      <c r="N198" s="64" t="inlineStr">
        <is>
          <t>https://huggingface.co/datasets/HenryWaltson/TMDB-IMDB-Movies-Dataset</t>
        </is>
      </c>
      <c r="O198" s="64" t="inlineStr">
        <is>
          <t>https://huggingface.co/datasets/HenryWaltson/TMDB-IMDB-Movies-Dataset</t>
        </is>
      </c>
      <c r="P198" t="inlineStr">
        <is>
          <t>Troy Baker</t>
        </is>
      </c>
      <c r="Q198" t="inlineStr">
        <is>
          <t>Charlie Schlatter</t>
        </is>
      </c>
      <c r="R198" t="inlineStr">
        <is>
          <t>Travis Willingham</t>
        </is>
      </c>
      <c r="S198" t="inlineStr">
        <is>
          <t>Clancy Brown</t>
        </is>
      </c>
      <c r="T198" t="inlineStr">
        <is>
          <t>Christopher Corey Smith</t>
        </is>
      </c>
      <c r="U198" s="71" t="n">
        <v>0</v>
      </c>
      <c r="V198" s="71" t="n">
        <v>0</v>
      </c>
      <c r="X198" s="82">
        <f>IFERROR(INDEX(Ratings!$E$5:$E$500,MATCH(A198,Ratings!$A$5:$A$500,0)),"")</f>
        <v/>
      </c>
      <c r="Y198" s="71">
        <f>IFERROR(INDEX(Ratings!$G$5:$G$500,MATCH(A198,Ratings!$A$5:$A$500,0)),"")</f>
        <v/>
      </c>
      <c r="Z198" s="83">
        <f>IFERROR(INDEX(Ratings!$I$5:$I$500,MATCH(A198,Ratings!$A$5:$A$500,0)),"")</f>
        <v/>
      </c>
    </row>
    <row r="199" ht="15.75" customHeight="1" s="95">
      <c r="A199" t="inlineStr">
        <is>
          <t>F0195</t>
        </is>
      </c>
      <c r="B199" t="inlineStr">
        <is>
          <t>The Lego Movie</t>
        </is>
      </c>
      <c r="C199" s="63" t="inlineStr">
        <is>
          <t>2014</t>
        </is>
      </c>
      <c r="D199" t="inlineStr">
        <is>
          <t>Blu-ray</t>
        </is>
      </c>
      <c r="E199" t="inlineStr">
        <is>
          <t>LEGO</t>
        </is>
      </c>
      <c r="F199" s="64" t="n"/>
      <c r="I199" s="64" t="n"/>
      <c r="J199" s="64" t="inlineStr">
        <is>
          <t>Phil Lord, Christopher Miller</t>
        </is>
      </c>
      <c r="K199" s="64" t="n">
        <v>100</v>
      </c>
      <c r="L199" s="64" t="inlineStr">
        <is>
          <t>Animation, Family, Adventure, Comedy, Fantasy</t>
        </is>
      </c>
      <c r="M199" s="64" t="inlineStr">
        <is>
          <t>Village Roadshow Pictures, RatPac Entertainment, LEGO</t>
        </is>
      </c>
      <c r="N199" s="64" t="inlineStr">
        <is>
          <t>https://huggingface.co/datasets/HenryWaltson/TMDB-IMDB-Movies-Dataset</t>
        </is>
      </c>
      <c r="O199" s="64" t="inlineStr">
        <is>
          <t>https://huggingface.co/datasets/HenryWaltson/TMDB-IMDB-Movies-Dataset</t>
        </is>
      </c>
      <c r="P199" t="inlineStr">
        <is>
          <t>Chris Pratt</t>
        </is>
      </c>
      <c r="Q199" t="inlineStr">
        <is>
          <t>Elizabeth Banks</t>
        </is>
      </c>
      <c r="R199" t="inlineStr">
        <is>
          <t>Will Ferrell</t>
        </is>
      </c>
      <c r="S199" t="inlineStr">
        <is>
          <t>Morgan Freeman</t>
        </is>
      </c>
      <c r="T199" t="inlineStr">
        <is>
          <t>Will Arnett</t>
        </is>
      </c>
      <c r="U199" s="71" t="n">
        <v>1</v>
      </c>
      <c r="V199" s="71" t="n">
        <v>0</v>
      </c>
      <c r="X199" s="82">
        <f>IFERROR(INDEX(Ratings!$E$5:$E$500,MATCH(A199,Ratings!$A$5:$A$500,0)),"")</f>
        <v/>
      </c>
      <c r="Y199" s="71">
        <f>IFERROR(INDEX(Ratings!$G$5:$G$500,MATCH(A199,Ratings!$A$5:$A$500,0)),"")</f>
        <v/>
      </c>
      <c r="Z199" s="83">
        <f>IFERROR(INDEX(Ratings!$I$5:$I$500,MATCH(A199,Ratings!$A$5:$A$500,0)),"")</f>
        <v/>
      </c>
    </row>
    <row r="200" ht="15.75" customHeight="1" s="95">
      <c r="A200" t="inlineStr">
        <is>
          <t>F0196</t>
        </is>
      </c>
      <c r="B200" t="inlineStr">
        <is>
          <t>The Lego Movie 2: The Second Part</t>
        </is>
      </c>
      <c r="C200" s="63" t="inlineStr">
        <is>
          <t>2019</t>
        </is>
      </c>
      <c r="D200" t="inlineStr">
        <is>
          <t>Blu-ray</t>
        </is>
      </c>
      <c r="E200" t="inlineStr">
        <is>
          <t>LEGO</t>
        </is>
      </c>
      <c r="F200" s="64" t="n"/>
      <c r="I200" s="64" t="n"/>
      <c r="J200" s="64" t="inlineStr">
        <is>
          <t>Mike Mitchell</t>
        </is>
      </c>
      <c r="K200" s="64" t="n">
        <v>106</v>
      </c>
      <c r="L200" s="64" t="inlineStr">
        <is>
          <t>Action, Adventure, Animation, Comedy, Family</t>
        </is>
      </c>
      <c r="M200" s="64" t="inlineStr">
        <is>
          <t>Vertigo Entertainment, Animal Logic, Warner Bros. Pictures Animation</t>
        </is>
      </c>
      <c r="N200" s="64" t="inlineStr">
        <is>
          <t>https://huggingface.co/datasets/HenryWaltson/TMDB-IMDB-Movies-Dataset</t>
        </is>
      </c>
      <c r="O200" s="64" t="inlineStr">
        <is>
          <t>https://huggingface.co/datasets/HenryWaltson/TMDB-IMDB-Movies-Dataset</t>
        </is>
      </c>
      <c r="P200" t="inlineStr">
        <is>
          <t>Chris Pratt</t>
        </is>
      </c>
      <c r="Q200" t="inlineStr">
        <is>
          <t>Elizabeth Banks</t>
        </is>
      </c>
      <c r="R200" t="inlineStr">
        <is>
          <t>Will Arnett</t>
        </is>
      </c>
      <c r="S200" t="inlineStr">
        <is>
          <t>Tiffany Haddish</t>
        </is>
      </c>
      <c r="T200" t="inlineStr">
        <is>
          <t>Stephanie Beatriz</t>
        </is>
      </c>
      <c r="U200" s="71" t="n">
        <v>0</v>
      </c>
      <c r="V200" s="71" t="n">
        <v>0</v>
      </c>
      <c r="X200" s="82">
        <f>IFERROR(INDEX(Ratings!$E$5:$E$500,MATCH(A200,Ratings!$A$5:$A$500,0)),"")</f>
        <v/>
      </c>
      <c r="Y200" s="71">
        <f>IFERROR(INDEX(Ratings!$G$5:$G$500,MATCH(A200,Ratings!$A$5:$A$500,0)),"")</f>
        <v/>
      </c>
      <c r="Z200" s="83">
        <f>IFERROR(INDEX(Ratings!$I$5:$I$500,MATCH(A200,Ratings!$A$5:$A$500,0)),"")</f>
        <v/>
      </c>
    </row>
    <row r="201" ht="15.75" customHeight="1" s="95">
      <c r="A201" t="inlineStr">
        <is>
          <t>F0197</t>
        </is>
      </c>
      <c r="B201" t="inlineStr">
        <is>
          <t>Lego DC Comics Super Heroes: Justice League vs. Bizarro League</t>
        </is>
      </c>
      <c r="C201" s="63" t="inlineStr">
        <is>
          <t>2015</t>
        </is>
      </c>
      <c r="D201" t="inlineStr">
        <is>
          <t>Blu-ray</t>
        </is>
      </c>
      <c r="E201" t="inlineStr">
        <is>
          <t>LEGO</t>
        </is>
      </c>
      <c r="F201" s="64" t="n"/>
      <c r="I201" s="64" t="n"/>
      <c r="J201" s="64" t="inlineStr">
        <is>
          <t>Brandon Vietti</t>
        </is>
      </c>
      <c r="K201" s="64" t="n">
        <v>48</v>
      </c>
      <c r="L201" s="64" t="inlineStr">
        <is>
          <t>Action, Adventure, Animation, Family, Comedy</t>
        </is>
      </c>
      <c r="M201" s="64" t="inlineStr">
        <is>
          <t>Warner Bros. Animation, LEGO, DC Entertainment</t>
        </is>
      </c>
      <c r="N201" s="64" t="inlineStr">
        <is>
          <t>https://huggingface.co/datasets/HenryWaltson/TMDB-IMDB-Movies-Dataset</t>
        </is>
      </c>
      <c r="O201" s="64" t="inlineStr">
        <is>
          <t>https://huggingface.co/datasets/HenryWaltson/TMDB-IMDB-Movies-Dataset</t>
        </is>
      </c>
      <c r="P201" t="inlineStr">
        <is>
          <t>Nolan North</t>
        </is>
      </c>
      <c r="Q201" t="inlineStr">
        <is>
          <t>Troy Baker</t>
        </is>
      </c>
      <c r="R201" t="inlineStr">
        <is>
          <t>Diedrich Bader</t>
        </is>
      </c>
      <c r="S201" t="inlineStr">
        <is>
          <t>Khary Payton</t>
        </is>
      </c>
      <c r="T201" t="inlineStr">
        <is>
          <t>James Arnold Taylor</t>
        </is>
      </c>
      <c r="U201" s="71" t="n">
        <v>0</v>
      </c>
      <c r="V201" s="71" t="n">
        <v>0</v>
      </c>
      <c r="X201" s="82">
        <f>IFERROR(INDEX(Ratings!$E$5:$E$500,MATCH(A201,Ratings!$A$5:$A$500,0)),"")</f>
        <v/>
      </c>
      <c r="Y201" s="71">
        <f>IFERROR(INDEX(Ratings!$G$5:$G$500,MATCH(A201,Ratings!$A$5:$A$500,0)),"")</f>
        <v/>
      </c>
      <c r="Z201" s="83">
        <f>IFERROR(INDEX(Ratings!$I$5:$I$500,MATCH(A201,Ratings!$A$5:$A$500,0)),"")</f>
        <v/>
      </c>
    </row>
    <row r="202" ht="15.75" customHeight="1" s="95">
      <c r="A202" t="inlineStr">
        <is>
          <t>F0198</t>
        </is>
      </c>
      <c r="B202" t="inlineStr">
        <is>
          <t>Lego DC Comics Super Heroes: Justice League - Gotham City Breakout</t>
        </is>
      </c>
      <c r="C202" s="63" t="inlineStr">
        <is>
          <t>2016</t>
        </is>
      </c>
      <c r="D202" t="inlineStr">
        <is>
          <t>Blu-ray</t>
        </is>
      </c>
      <c r="E202" t="inlineStr">
        <is>
          <t>LEGO</t>
        </is>
      </c>
      <c r="F202" s="64" t="n"/>
      <c r="I202" s="64" t="n"/>
      <c r="J202" s="64" t="inlineStr">
        <is>
          <t>Matt Peters, Melchior Zwyer</t>
        </is>
      </c>
      <c r="K202" s="64" t="n">
        <v>78</v>
      </c>
      <c r="L202" s="64" t="inlineStr">
        <is>
          <t>Animation, Family, Adventure, Action, Comedy</t>
        </is>
      </c>
      <c r="M202" s="64" t="inlineStr">
        <is>
          <t>Warner Bros. Animation, DC Entertainment, DC Comics</t>
        </is>
      </c>
      <c r="N202" s="64" t="inlineStr">
        <is>
          <t>https://huggingface.co/datasets/HenryWaltson/TMDB-IMDB-Movies-Dataset</t>
        </is>
      </c>
      <c r="O202" s="64" t="inlineStr">
        <is>
          <t>https://huggingface.co/datasets/HenryWaltson/TMDB-IMDB-Movies-Dataset</t>
        </is>
      </c>
      <c r="P202" t="inlineStr">
        <is>
          <t>Troy Baker</t>
        </is>
      </c>
      <c r="Q202" t="inlineStr">
        <is>
          <t>Eric Bauza</t>
        </is>
      </c>
      <c r="R202" t="inlineStr">
        <is>
          <t>Greg Cipes</t>
        </is>
      </c>
      <c r="S202" t="inlineStr">
        <is>
          <t>John DiMaggio</t>
        </is>
      </c>
      <c r="T202" t="inlineStr">
        <is>
          <t>Will Friedle</t>
        </is>
      </c>
      <c r="U202" s="71" t="n">
        <v>0</v>
      </c>
      <c r="V202" s="71" t="n">
        <v>0</v>
      </c>
      <c r="X202" s="82">
        <f>IFERROR(INDEX(Ratings!$E$5:$E$500,MATCH(A202,Ratings!$A$5:$A$500,0)),"")</f>
        <v/>
      </c>
      <c r="Y202" s="71">
        <f>IFERROR(INDEX(Ratings!$G$5:$G$500,MATCH(A202,Ratings!$A$5:$A$500,0)),"")</f>
        <v/>
      </c>
      <c r="Z202" s="83">
        <f>IFERROR(INDEX(Ratings!$I$5:$I$500,MATCH(A202,Ratings!$A$5:$A$500,0)),"")</f>
        <v/>
      </c>
    </row>
    <row r="203" ht="15.75" customHeight="1" s="95">
      <c r="A203" t="inlineStr">
        <is>
          <t>F0199</t>
        </is>
      </c>
      <c r="B203" t="inlineStr">
        <is>
          <t>Les Misérables</t>
        </is>
      </c>
      <c r="C203" s="63" t="inlineStr">
        <is>
          <t>2012</t>
        </is>
      </c>
      <c r="D203" t="inlineStr">
        <is>
          <t>Blu-ray</t>
        </is>
      </c>
      <c r="F203" s="64" t="n"/>
      <c r="I203" s="64" t="n"/>
      <c r="J203" s="64" t="inlineStr">
        <is>
          <t>Tom Hooper</t>
        </is>
      </c>
      <c r="K203" s="64" t="n">
        <v>158</v>
      </c>
      <c r="L203" s="64" t="inlineStr">
        <is>
          <t>History, Drama</t>
        </is>
      </c>
      <c r="M203" s="64" t="inlineStr">
        <is>
          <t>Universal Pictures, Working Title Films, Cameron Mackintosh Ltd.</t>
        </is>
      </c>
      <c r="N203" s="64" t="inlineStr">
        <is>
          <t>https://huggingface.co/datasets/HenryWaltson/TMDB-IMDB-Movies-Dataset</t>
        </is>
      </c>
      <c r="O203" s="64" t="inlineStr">
        <is>
          <t>https://huggingface.co/datasets/HenryWaltson/TMDB-IMDB-Movies-Dataset</t>
        </is>
      </c>
      <c r="P203" t="inlineStr">
        <is>
          <t>Hugh Jackman</t>
        </is>
      </c>
      <c r="Q203" t="inlineStr">
        <is>
          <t>Russell Crowe</t>
        </is>
      </c>
      <c r="R203" t="inlineStr">
        <is>
          <t>Anne Hathaway</t>
        </is>
      </c>
      <c r="S203" t="inlineStr">
        <is>
          <t>Amanda Seyfried</t>
        </is>
      </c>
      <c r="T203" t="inlineStr">
        <is>
          <t>Sacha Baron Cohen</t>
        </is>
      </c>
      <c r="U203" s="71" t="n">
        <v>8</v>
      </c>
      <c r="V203" s="71" t="n">
        <v>3</v>
      </c>
      <c r="W203" t="inlineStr">
        <is>
          <t>Nominated</t>
        </is>
      </c>
      <c r="X203" s="82">
        <f>IFERROR(INDEX(Ratings!$E$5:$E$500,MATCH(A203,Ratings!$A$5:$A$500,0)),"")</f>
        <v/>
      </c>
      <c r="Y203" s="71">
        <f>IFERROR(INDEX(Ratings!$G$5:$G$500,MATCH(A203,Ratings!$A$5:$A$500,0)),"")</f>
        <v/>
      </c>
      <c r="Z203" s="83">
        <f>IFERROR(INDEX(Ratings!$I$5:$I$500,MATCH(A203,Ratings!$A$5:$A$500,0)),"")</f>
        <v/>
      </c>
    </row>
    <row r="204" ht="15.75" customHeight="1" s="95">
      <c r="A204" t="inlineStr">
        <is>
          <t>F0200</t>
        </is>
      </c>
      <c r="B204" t="inlineStr">
        <is>
          <t>The Lion King</t>
        </is>
      </c>
      <c r="C204" s="63" t="inlineStr">
        <is>
          <t>1994</t>
        </is>
      </c>
      <c r="D204" t="inlineStr">
        <is>
          <t>Blu-ray</t>
        </is>
      </c>
      <c r="F204" s="64" t="n"/>
      <c r="I204" s="64" t="inlineStr">
        <is>
          <t>Best guess: 1994 animated version.</t>
        </is>
      </c>
      <c r="J204" s="64" t="inlineStr">
        <is>
          <t>Roger Allers, Rob Minkoff</t>
        </is>
      </c>
      <c r="K204" s="64" t="n">
        <v>89</v>
      </c>
      <c r="L204" s="64" t="inlineStr">
        <is>
          <t>Family, Animation, Drama</t>
        </is>
      </c>
      <c r="M204" s="64" t="inlineStr">
        <is>
          <t>Walt Disney Pictures, Walt Disney Feature Animation</t>
        </is>
      </c>
      <c r="N204" s="64" t="inlineStr">
        <is>
          <t>https://huggingface.co/datasets/HenryWaltson/TMDB-IMDB-Movies-Dataset</t>
        </is>
      </c>
      <c r="O204" s="64" t="inlineStr">
        <is>
          <t>https://huggingface.co/datasets/HenryWaltson/TMDB-IMDB-Movies-Dataset</t>
        </is>
      </c>
      <c r="P204" t="inlineStr">
        <is>
          <t>Matthew Broderick</t>
        </is>
      </c>
      <c r="Q204" t="inlineStr">
        <is>
          <t>Moira Kelly</t>
        </is>
      </c>
      <c r="R204" t="inlineStr">
        <is>
          <t>Nathan Lane</t>
        </is>
      </c>
      <c r="S204" t="inlineStr">
        <is>
          <t>Ernie Sabella</t>
        </is>
      </c>
      <c r="T204" t="inlineStr">
        <is>
          <t>James Earl Jones</t>
        </is>
      </c>
      <c r="U204" s="71" t="n">
        <v>3</v>
      </c>
      <c r="V204" s="71" t="n">
        <v>2</v>
      </c>
      <c r="X204" s="82">
        <f>IFERROR(INDEX(Ratings!$E$5:$E$500,MATCH(A204,Ratings!$A$5:$A$500,0)),"")</f>
        <v/>
      </c>
      <c r="Y204" s="71">
        <f>IFERROR(INDEX(Ratings!$G$5:$G$500,MATCH(A204,Ratings!$A$5:$A$500,0)),"")</f>
        <v/>
      </c>
      <c r="Z204" s="83">
        <f>IFERROR(INDEX(Ratings!$I$5:$I$500,MATCH(A204,Ratings!$A$5:$A$500,0)),"")</f>
        <v/>
      </c>
    </row>
    <row r="205" ht="15.75" customHeight="1" s="95">
      <c r="A205" t="inlineStr">
        <is>
          <t>F0201</t>
        </is>
      </c>
      <c r="B205" t="inlineStr">
        <is>
          <t>Logan</t>
        </is>
      </c>
      <c r="C205" s="63" t="inlineStr">
        <is>
          <t>2017</t>
        </is>
      </c>
      <c r="D205" t="inlineStr">
        <is>
          <t>Blu-ray</t>
        </is>
      </c>
      <c r="E205" t="inlineStr">
        <is>
          <t>X-Men</t>
        </is>
      </c>
      <c r="F205" s="64" t="n"/>
      <c r="I205" s="64" t="n"/>
      <c r="J205" s="64" t="inlineStr">
        <is>
          <t>James Mangold</t>
        </is>
      </c>
      <c r="K205" s="64" t="n">
        <v>137</v>
      </c>
      <c r="L205" s="64" t="inlineStr">
        <is>
          <t>Action, Drama, Science Fiction</t>
        </is>
      </c>
      <c r="M205" s="64" t="inlineStr">
        <is>
          <t>Hutch Parker Entertainment, The Donners' Company, Genre Films</t>
        </is>
      </c>
      <c r="N205" s="64" t="inlineStr">
        <is>
          <t>https://huggingface.co/datasets/HenryWaltson/TMDB-IMDB-Movies-Dataset</t>
        </is>
      </c>
      <c r="O205" s="64" t="inlineStr">
        <is>
          <t>https://huggingface.co/datasets/HenryWaltson/TMDB-IMDB-Movies-Dataset</t>
        </is>
      </c>
      <c r="P205" t="inlineStr">
        <is>
          <t>Hugh Jackman</t>
        </is>
      </c>
      <c r="Q205" t="inlineStr">
        <is>
          <t>Dafne Keen</t>
        </is>
      </c>
      <c r="R205" t="inlineStr">
        <is>
          <t>Patrick Stewart</t>
        </is>
      </c>
      <c r="S205" t="inlineStr">
        <is>
          <t>Elizabeth Rodriguez</t>
        </is>
      </c>
      <c r="T205" t="inlineStr">
        <is>
          <t>Boyd Holbrook</t>
        </is>
      </c>
      <c r="U205" s="71" t="n">
        <v>1</v>
      </c>
      <c r="V205" s="71" t="n">
        <v>0</v>
      </c>
      <c r="X205" s="82">
        <f>IFERROR(INDEX(Ratings!$E$5:$E$500,MATCH(A205,Ratings!$A$5:$A$500,0)),"")</f>
        <v/>
      </c>
      <c r="Y205" s="71">
        <f>IFERROR(INDEX(Ratings!$G$5:$G$500,MATCH(A205,Ratings!$A$5:$A$500,0)),"")</f>
        <v/>
      </c>
      <c r="Z205" s="83">
        <f>IFERROR(INDEX(Ratings!$I$5:$I$500,MATCH(A205,Ratings!$A$5:$A$500,0)),"")</f>
        <v/>
      </c>
    </row>
    <row r="206" ht="15.75" customHeight="1" s="95">
      <c r="A206" t="inlineStr">
        <is>
          <t>F0202</t>
        </is>
      </c>
      <c r="B206" t="inlineStr">
        <is>
          <t>Lone Survivor</t>
        </is>
      </c>
      <c r="C206" s="63" t="inlineStr">
        <is>
          <t>2013</t>
        </is>
      </c>
      <c r="D206" t="inlineStr">
        <is>
          <t>Blu-ray</t>
        </is>
      </c>
      <c r="F206" s="64" t="n"/>
      <c r="I206" s="64" t="n"/>
      <c r="J206" s="64" t="inlineStr">
        <is>
          <t>Peter Berg</t>
        </is>
      </c>
      <c r="K206" s="64" t="n">
        <v>121</v>
      </c>
      <c r="L206" s="64" t="inlineStr">
        <is>
          <t>War, Action, Drama, History</t>
        </is>
      </c>
      <c r="M206" s="64" t="inlineStr">
        <is>
          <t>EFO Films, Envision Entertainment, Film 44</t>
        </is>
      </c>
      <c r="N206" s="64" t="inlineStr">
        <is>
          <t>https://huggingface.co/datasets/HenryWaltson/TMDB-IMDB-Movies-Dataset</t>
        </is>
      </c>
      <c r="O206" s="64" t="inlineStr">
        <is>
          <t>https://huggingface.co/datasets/HenryWaltson/TMDB-IMDB-Movies-Dataset</t>
        </is>
      </c>
      <c r="P206" t="inlineStr">
        <is>
          <t>Mark Wahlberg</t>
        </is>
      </c>
      <c r="Q206" t="inlineStr">
        <is>
          <t>Taylor Kitsch</t>
        </is>
      </c>
      <c r="R206" t="inlineStr">
        <is>
          <t>Emile Hirsch</t>
        </is>
      </c>
      <c r="S206" t="inlineStr">
        <is>
          <t>Ben Foster</t>
        </is>
      </c>
      <c r="T206" t="inlineStr">
        <is>
          <t>Eric Bana</t>
        </is>
      </c>
      <c r="U206" s="71" t="n">
        <v>2</v>
      </c>
      <c r="V206" s="71" t="n">
        <v>0</v>
      </c>
      <c r="X206" s="82">
        <f>IFERROR(INDEX(Ratings!$E$5:$E$500,MATCH(A206,Ratings!$A$5:$A$500,0)),"")</f>
        <v/>
      </c>
      <c r="Y206" s="71">
        <f>IFERROR(INDEX(Ratings!$G$5:$G$500,MATCH(A206,Ratings!$A$5:$A$500,0)),"")</f>
        <v/>
      </c>
      <c r="Z206" s="83">
        <f>IFERROR(INDEX(Ratings!$I$5:$I$500,MATCH(A206,Ratings!$A$5:$A$500,0)),"")</f>
        <v/>
      </c>
    </row>
    <row r="207" ht="15.75" customHeight="1" s="95">
      <c r="A207" t="inlineStr">
        <is>
          <t>F0203</t>
        </is>
      </c>
      <c r="B207" t="inlineStr">
        <is>
          <t>The Lord of the Rings: The Fellowship of the Ring</t>
        </is>
      </c>
      <c r="C207" s="63" t="inlineStr">
        <is>
          <t>2001</t>
        </is>
      </c>
      <c r="D207" t="inlineStr">
        <is>
          <t>Blu-ray</t>
        </is>
      </c>
      <c r="E207" t="inlineStr">
        <is>
          <t>Lord of the Rings</t>
        </is>
      </c>
      <c r="F207" s="64" t="inlineStr">
        <is>
          <t>The Lord of the Rings Trilogy (Box Set)</t>
        </is>
      </c>
      <c r="I207" s="64" t="inlineStr">
        <is>
          <t>Owned via The Lord of the Rings Trilogy (Box Set). Runtime shown is theatrical; verify if your set is the Extended Edition.</t>
        </is>
      </c>
      <c r="J207" s="64" t="inlineStr">
        <is>
          <t>Peter Jackson</t>
        </is>
      </c>
      <c r="K207" s="64" t="n">
        <v>178</v>
      </c>
      <c r="L207" s="64" t="inlineStr">
        <is>
          <t>Adventure, Fantasy</t>
        </is>
      </c>
      <c r="M207" s="64" t="inlineStr">
        <is>
          <t>New Line Cinema, WingNut Films</t>
        </is>
      </c>
      <c r="N207" s="64" t="inlineStr">
        <is>
          <t>https://huggingface.co/datasets/HenryWaltson/TMDB-IMDB-Movies-Dataset</t>
        </is>
      </c>
      <c r="O207" s="64" t="inlineStr">
        <is>
          <t>https://huggingface.co/datasets/HenryWaltson/TMDB-IMDB-Movies-Dataset</t>
        </is>
      </c>
      <c r="P207" t="inlineStr">
        <is>
          <t>Elijah Wood</t>
        </is>
      </c>
      <c r="Q207" t="inlineStr">
        <is>
          <t>Ian McKellen</t>
        </is>
      </c>
      <c r="R207" t="inlineStr">
        <is>
          <t>Viggo Mortensen</t>
        </is>
      </c>
      <c r="S207" t="inlineStr">
        <is>
          <t>Sean Astin</t>
        </is>
      </c>
      <c r="T207" t="inlineStr">
        <is>
          <t>Ian Holm</t>
        </is>
      </c>
      <c r="U207" s="71" t="n">
        <v>13</v>
      </c>
      <c r="V207" s="71" t="n">
        <v>4</v>
      </c>
      <c r="W207" t="inlineStr">
        <is>
          <t>Nominated</t>
        </is>
      </c>
      <c r="X207" s="82">
        <f>IFERROR(INDEX(Ratings!$E$5:$E$500,MATCH(A207,Ratings!$A$5:$A$500,0)),"")</f>
        <v/>
      </c>
      <c r="Y207" s="71">
        <f>IFERROR(INDEX(Ratings!$G$5:$G$500,MATCH(A207,Ratings!$A$5:$A$500,0)),"")</f>
        <v/>
      </c>
      <c r="Z207" s="83">
        <f>IFERROR(INDEX(Ratings!$I$5:$I$500,MATCH(A207,Ratings!$A$5:$A$500,0)),"")</f>
        <v/>
      </c>
    </row>
    <row r="208" ht="15.75" customHeight="1" s="95">
      <c r="A208" t="inlineStr">
        <is>
          <t>F0204</t>
        </is>
      </c>
      <c r="B208" t="inlineStr">
        <is>
          <t>The Lord of the Rings: The Two Towers</t>
        </is>
      </c>
      <c r="C208" s="63" t="inlineStr">
        <is>
          <t>2002</t>
        </is>
      </c>
      <c r="D208" t="inlineStr">
        <is>
          <t>Blu-ray</t>
        </is>
      </c>
      <c r="E208" t="inlineStr">
        <is>
          <t>Lord of the Rings</t>
        </is>
      </c>
      <c r="F208" s="64" t="inlineStr">
        <is>
          <t>The Lord of the Rings Trilogy (Box Set)</t>
        </is>
      </c>
      <c r="I208" s="64" t="inlineStr">
        <is>
          <t>Owned via The Lord of the Rings Trilogy (Box Set). Runtime shown is theatrical; verify if your set is the Extended Edition.</t>
        </is>
      </c>
      <c r="J208" s="64" t="inlineStr">
        <is>
          <t>Peter Jackson</t>
        </is>
      </c>
      <c r="K208" s="64" t="n">
        <v>179</v>
      </c>
      <c r="L208" s="64" t="inlineStr">
        <is>
          <t>Adventure, Fantasy</t>
        </is>
      </c>
      <c r="M208" s="64" t="inlineStr">
        <is>
          <t>New Line Cinema, WingNut Films</t>
        </is>
      </c>
      <c r="N208" s="64" t="inlineStr">
        <is>
          <t>https://huggingface.co/datasets/HenryWaltson/TMDB-IMDB-Movies-Dataset</t>
        </is>
      </c>
      <c r="O208" s="64" t="inlineStr">
        <is>
          <t>https://huggingface.co/datasets/HenryWaltson/TMDB-IMDB-Movies-Dataset</t>
        </is>
      </c>
      <c r="P208" t="inlineStr">
        <is>
          <t>Elijah Wood</t>
        </is>
      </c>
      <c r="Q208" t="inlineStr">
        <is>
          <t>Ian McKellen</t>
        </is>
      </c>
      <c r="R208" t="inlineStr">
        <is>
          <t>Viggo Mortensen</t>
        </is>
      </c>
      <c r="S208" t="inlineStr">
        <is>
          <t>Sean Astin</t>
        </is>
      </c>
      <c r="T208" t="inlineStr">
        <is>
          <t>Andy Serkis</t>
        </is>
      </c>
      <c r="U208" s="71" t="n">
        <v>6</v>
      </c>
      <c r="V208" s="71" t="n">
        <v>2</v>
      </c>
      <c r="W208" t="inlineStr">
        <is>
          <t>Nominated</t>
        </is>
      </c>
      <c r="X208" s="82">
        <f>IFERROR(INDEX(Ratings!$E$5:$E$500,MATCH(A208,Ratings!$A$5:$A$500,0)),"")</f>
        <v/>
      </c>
      <c r="Y208" s="71">
        <f>IFERROR(INDEX(Ratings!$G$5:$G$500,MATCH(A208,Ratings!$A$5:$A$500,0)),"")</f>
        <v/>
      </c>
      <c r="Z208" s="83">
        <f>IFERROR(INDEX(Ratings!$I$5:$I$500,MATCH(A208,Ratings!$A$5:$A$500,0)),"")</f>
        <v/>
      </c>
    </row>
    <row r="209" ht="15.75" customHeight="1" s="95">
      <c r="A209" t="inlineStr">
        <is>
          <t>F0205</t>
        </is>
      </c>
      <c r="B209" t="inlineStr">
        <is>
          <t>The Lord of the Rings: The Return of the King</t>
        </is>
      </c>
      <c r="C209" s="63" t="inlineStr">
        <is>
          <t>2003</t>
        </is>
      </c>
      <c r="D209" t="inlineStr">
        <is>
          <t>Blu-ray</t>
        </is>
      </c>
      <c r="E209" t="inlineStr">
        <is>
          <t>Lord of the Rings</t>
        </is>
      </c>
      <c r="F209" s="64" t="inlineStr">
        <is>
          <t>The Lord of the Rings Trilogy (Box Set)</t>
        </is>
      </c>
      <c r="I209" s="64" t="inlineStr">
        <is>
          <t>Owned via The Lord of the Rings Trilogy (Box Set). Runtime shown is theatrical; verify if your set is the Extended Edition.</t>
        </is>
      </c>
      <c r="J209" s="64" t="inlineStr">
        <is>
          <t>Peter Jackson</t>
        </is>
      </c>
      <c r="K209" s="64" t="n">
        <v>201</v>
      </c>
      <c r="L209" s="64" t="inlineStr">
        <is>
          <t>Adventure, Fantasy</t>
        </is>
      </c>
      <c r="M209" s="64" t="inlineStr">
        <is>
          <t>New Line Cinema, WingNut Films</t>
        </is>
      </c>
      <c r="N209" s="64" t="inlineStr">
        <is>
          <t>https://huggingface.co/datasets/HenryWaltson/TMDB-IMDB-Movies-Dataset</t>
        </is>
      </c>
      <c r="O209" s="64" t="inlineStr">
        <is>
          <t>https://huggingface.co/datasets/HenryWaltson/TMDB-IMDB-Movies-Dataset</t>
        </is>
      </c>
      <c r="P209" t="inlineStr">
        <is>
          <t>Elijah Wood</t>
        </is>
      </c>
      <c r="Q209" t="inlineStr">
        <is>
          <t>Ian McKellen</t>
        </is>
      </c>
      <c r="R209" t="inlineStr">
        <is>
          <t>Viggo Mortensen</t>
        </is>
      </c>
      <c r="S209" t="inlineStr">
        <is>
          <t>Sean Astin</t>
        </is>
      </c>
      <c r="T209" t="inlineStr">
        <is>
          <t>Andy Serkis</t>
        </is>
      </c>
      <c r="U209" s="71" t="n">
        <v>11</v>
      </c>
      <c r="V209" s="71" t="n">
        <v>11</v>
      </c>
      <c r="W209" t="inlineStr">
        <is>
          <t>Winner</t>
        </is>
      </c>
      <c r="X209" s="82">
        <f>IFERROR(INDEX(Ratings!$E$5:$E$500,MATCH(A209,Ratings!$A$5:$A$500,0)),"")</f>
        <v/>
      </c>
      <c r="Y209" s="71">
        <f>IFERROR(INDEX(Ratings!$G$5:$G$500,MATCH(A209,Ratings!$A$5:$A$500,0)),"")</f>
        <v/>
      </c>
      <c r="Z209" s="83">
        <f>IFERROR(INDEX(Ratings!$I$5:$I$500,MATCH(A209,Ratings!$A$5:$A$500,0)),"")</f>
        <v/>
      </c>
    </row>
    <row r="210" ht="15.75" customHeight="1" s="95">
      <c r="A210" t="inlineStr">
        <is>
          <t>F0206</t>
        </is>
      </c>
      <c r="B210" t="inlineStr">
        <is>
          <t>Magic Mike</t>
        </is>
      </c>
      <c r="C210" s="63" t="inlineStr">
        <is>
          <t>2012</t>
        </is>
      </c>
      <c r="D210" t="inlineStr">
        <is>
          <t>Blu-ray</t>
        </is>
      </c>
      <c r="F210" s="64" t="n"/>
      <c r="I210" s="64" t="n"/>
      <c r="J210" s="64" t="inlineStr">
        <is>
          <t>Steven Soderbergh</t>
        </is>
      </c>
      <c r="K210" s="64" t="n">
        <v>110</v>
      </c>
      <c r="L210" s="64" t="inlineStr">
        <is>
          <t>Drama, Comedy</t>
        </is>
      </c>
      <c r="M210" s="64" t="inlineStr">
        <is>
          <t>Iron Horse Entertainment, Extension 765</t>
        </is>
      </c>
      <c r="N210" s="64" t="inlineStr">
        <is>
          <t>https://huggingface.co/datasets/HenryWaltson/TMDB-IMDB-Movies-Dataset</t>
        </is>
      </c>
      <c r="O210" s="64" t="inlineStr">
        <is>
          <t>https://huggingface.co/datasets/HenryWaltson/TMDB-IMDB-Movies-Dataset</t>
        </is>
      </c>
      <c r="P210" t="inlineStr">
        <is>
          <t>Channing Tatum</t>
        </is>
      </c>
      <c r="Q210" t="inlineStr">
        <is>
          <t>Matthew McConaughey</t>
        </is>
      </c>
      <c r="R210" t="inlineStr">
        <is>
          <t>Alex Pettyfer</t>
        </is>
      </c>
      <c r="S210" t="inlineStr">
        <is>
          <t>Cody H. Carolin</t>
        </is>
      </c>
      <c r="T210" t="inlineStr">
        <is>
          <t>Olivia Munn</t>
        </is>
      </c>
      <c r="U210" s="71" t="n">
        <v>0</v>
      </c>
      <c r="V210" s="71" t="n">
        <v>0</v>
      </c>
      <c r="X210" s="82">
        <f>IFERROR(INDEX(Ratings!$E$5:$E$500,MATCH(A210,Ratings!$A$5:$A$500,0)),"")</f>
        <v/>
      </c>
      <c r="Y210" s="71">
        <f>IFERROR(INDEX(Ratings!$G$5:$G$500,MATCH(A210,Ratings!$A$5:$A$500,0)),"")</f>
        <v/>
      </c>
      <c r="Z210" s="83">
        <f>IFERROR(INDEX(Ratings!$I$5:$I$500,MATCH(A210,Ratings!$A$5:$A$500,0)),"")</f>
        <v/>
      </c>
    </row>
    <row r="211" ht="15.75" customHeight="1" s="95">
      <c r="A211" t="inlineStr">
        <is>
          <t>F0207</t>
        </is>
      </c>
      <c r="B211" t="inlineStr">
        <is>
          <t>The Magnificent Seven</t>
        </is>
      </c>
      <c r="C211" s="63" t="inlineStr">
        <is>
          <t>2016</t>
        </is>
      </c>
      <c r="D211" t="inlineStr">
        <is>
          <t>Blu-ray</t>
        </is>
      </c>
      <c r="F211" s="64" t="n"/>
      <c r="I211" s="64" t="inlineStr">
        <is>
          <t>Best guess: 2016 remake.</t>
        </is>
      </c>
      <c r="J211" s="64" t="inlineStr">
        <is>
          <t>Antoine Fuqua</t>
        </is>
      </c>
      <c r="K211" s="64" t="n">
        <v>132</v>
      </c>
      <c r="L211" s="64" t="inlineStr">
        <is>
          <t>Adventure, Action, Western</t>
        </is>
      </c>
      <c r="M211" s="64" t="inlineStr">
        <is>
          <t>Escape Artists, Columbia Pictures, Village Roadshow Pictures</t>
        </is>
      </c>
      <c r="N211" s="64" t="inlineStr">
        <is>
          <t>https://huggingface.co/datasets/HenryWaltson/TMDB-IMDB-Movies-Dataset</t>
        </is>
      </c>
      <c r="O211" s="64" t="inlineStr">
        <is>
          <t>https://huggingface.co/datasets/HenryWaltson/TMDB-IMDB-Movies-Dataset</t>
        </is>
      </c>
      <c r="P211" t="inlineStr">
        <is>
          <t>Denzel Washington</t>
        </is>
      </c>
      <c r="Q211" t="inlineStr">
        <is>
          <t>Chris Pratt</t>
        </is>
      </c>
      <c r="R211" t="inlineStr">
        <is>
          <t>Ethan Hawke</t>
        </is>
      </c>
      <c r="S211" t="inlineStr">
        <is>
          <t>Vincent D'Onofrio</t>
        </is>
      </c>
      <c r="T211" t="inlineStr">
        <is>
          <t>Lee Byung-hun</t>
        </is>
      </c>
      <c r="U211" s="71" t="n">
        <v>0</v>
      </c>
      <c r="V211" s="71" t="n">
        <v>0</v>
      </c>
      <c r="X211" s="82">
        <f>IFERROR(INDEX(Ratings!$E$5:$E$500,MATCH(A211,Ratings!$A$5:$A$500,0)),"")</f>
        <v/>
      </c>
      <c r="Y211" s="71">
        <f>IFERROR(INDEX(Ratings!$G$5:$G$500,MATCH(A211,Ratings!$A$5:$A$500,0)),"")</f>
        <v/>
      </c>
      <c r="Z211" s="83">
        <f>IFERROR(INDEX(Ratings!$I$5:$I$500,MATCH(A211,Ratings!$A$5:$A$500,0)),"")</f>
        <v/>
      </c>
    </row>
    <row r="212" ht="15.75" customHeight="1" s="95">
      <c r="A212" t="inlineStr">
        <is>
          <t>F0208</t>
        </is>
      </c>
      <c r="B212" t="inlineStr">
        <is>
          <t>Maleficent</t>
        </is>
      </c>
      <c r="C212" s="63" t="inlineStr">
        <is>
          <t>2014</t>
        </is>
      </c>
      <c r="D212" t="inlineStr">
        <is>
          <t>Blu-ray</t>
        </is>
      </c>
      <c r="F212" s="64" t="n"/>
      <c r="I212" s="64" t="n"/>
      <c r="J212" s="64" t="inlineStr">
        <is>
          <t>Robert Stromberg</t>
        </is>
      </c>
      <c r="K212" s="64" t="n">
        <v>97</v>
      </c>
      <c r="L212" s="64" t="inlineStr">
        <is>
          <t>Fantasy, Adventure, Action, Family, Romance</t>
        </is>
      </c>
      <c r="M212" s="64" t="inlineStr">
        <is>
          <t>Walt Disney Pictures, Roth Films</t>
        </is>
      </c>
      <c r="N212" s="64" t="inlineStr">
        <is>
          <t>https://huggingface.co/datasets/HenryWaltson/TMDB-IMDB-Movies-Dataset</t>
        </is>
      </c>
      <c r="O212" s="64" t="inlineStr">
        <is>
          <t>https://huggingface.co/datasets/HenryWaltson/TMDB-IMDB-Movies-Dataset</t>
        </is>
      </c>
      <c r="P212" t="inlineStr">
        <is>
          <t>Angelina Jolie</t>
        </is>
      </c>
      <c r="Q212" t="inlineStr">
        <is>
          <t>Elle Fanning</t>
        </is>
      </c>
      <c r="R212" t="inlineStr">
        <is>
          <t>Imelda Staunton</t>
        </is>
      </c>
      <c r="S212" t="inlineStr">
        <is>
          <t>Sharlto Copley</t>
        </is>
      </c>
      <c r="T212" t="inlineStr">
        <is>
          <t>Lesley Manville</t>
        </is>
      </c>
      <c r="U212" s="71" t="n">
        <v>1</v>
      </c>
      <c r="V212" s="71" t="n">
        <v>0</v>
      </c>
      <c r="X212" s="82">
        <f>IFERROR(INDEX(Ratings!$E$5:$E$500,MATCH(A212,Ratings!$A$5:$A$500,0)),"")</f>
        <v/>
      </c>
      <c r="Y212" s="71">
        <f>IFERROR(INDEX(Ratings!$G$5:$G$500,MATCH(A212,Ratings!$A$5:$A$500,0)),"")</f>
        <v/>
      </c>
      <c r="Z212" s="83">
        <f>IFERROR(INDEX(Ratings!$I$5:$I$500,MATCH(A212,Ratings!$A$5:$A$500,0)),"")</f>
        <v/>
      </c>
    </row>
    <row r="213" ht="15.75" customHeight="1" s="95">
      <c r="A213" t="inlineStr">
        <is>
          <t>F0209</t>
        </is>
      </c>
      <c r="B213" t="inlineStr">
        <is>
          <t>Mamma Mia!</t>
        </is>
      </c>
      <c r="C213" s="63" t="inlineStr">
        <is>
          <t>2008</t>
        </is>
      </c>
      <c r="D213" t="inlineStr">
        <is>
          <t>Blu-ray</t>
        </is>
      </c>
      <c r="F213" s="64" t="n"/>
      <c r="I213" s="64" t="n"/>
      <c r="J213" s="64" t="inlineStr">
        <is>
          <t>Phyllida Lloyd</t>
        </is>
      </c>
      <c r="K213" s="64" t="n">
        <v>108</v>
      </c>
      <c r="L213" s="64" t="inlineStr">
        <is>
          <t>Comedy, Romance</t>
        </is>
      </c>
      <c r="M213" s="64" t="inlineStr">
        <is>
          <t>Littlestar, Playtone, Internationale Filmproduktion Richter</t>
        </is>
      </c>
      <c r="N213" s="64" t="inlineStr">
        <is>
          <t>https://huggingface.co/datasets/HenryWaltson/TMDB-IMDB-Movies-Dataset</t>
        </is>
      </c>
      <c r="O213" s="64" t="inlineStr">
        <is>
          <t>https://huggingface.co/datasets/HenryWaltson/TMDB-IMDB-Movies-Dataset</t>
        </is>
      </c>
      <c r="P213" t="inlineStr">
        <is>
          <t>Meryl Streep</t>
        </is>
      </c>
      <c r="Q213" t="inlineStr">
        <is>
          <t>Amanda Seyfried</t>
        </is>
      </c>
      <c r="R213" t="inlineStr">
        <is>
          <t>Pierce Brosnan</t>
        </is>
      </c>
      <c r="S213" t="inlineStr">
        <is>
          <t>Colin Firth</t>
        </is>
      </c>
      <c r="T213" t="inlineStr">
        <is>
          <t>Stellan Skarsgård</t>
        </is>
      </c>
      <c r="U213" s="71" t="n">
        <v>0</v>
      </c>
      <c r="V213" s="71" t="n">
        <v>0</v>
      </c>
      <c r="X213" s="82">
        <f>IFERROR(INDEX(Ratings!$E$5:$E$500,MATCH(A213,Ratings!$A$5:$A$500,0)),"")</f>
        <v/>
      </c>
      <c r="Y213" s="71">
        <f>IFERROR(INDEX(Ratings!$G$5:$G$500,MATCH(A213,Ratings!$A$5:$A$500,0)),"")</f>
        <v/>
      </c>
      <c r="Z213" s="83">
        <f>IFERROR(INDEX(Ratings!$I$5:$I$500,MATCH(A213,Ratings!$A$5:$A$500,0)),"")</f>
        <v/>
      </c>
    </row>
    <row r="214" ht="15.75" customHeight="1" s="95">
      <c r="A214" t="inlineStr">
        <is>
          <t>F0210</t>
        </is>
      </c>
      <c r="B214" t="inlineStr">
        <is>
          <t>Man on a Ledge</t>
        </is>
      </c>
      <c r="C214" s="63" t="inlineStr">
        <is>
          <t>2012</t>
        </is>
      </c>
      <c r="D214" t="inlineStr">
        <is>
          <t>Blu-ray</t>
        </is>
      </c>
      <c r="F214" s="64" t="n"/>
      <c r="I214" s="64" t="n"/>
      <c r="J214" s="64" t="inlineStr">
        <is>
          <t>Asger Leth</t>
        </is>
      </c>
      <c r="K214" s="64" t="n">
        <v>102</v>
      </c>
      <c r="L214" s="64" t="inlineStr">
        <is>
          <t>Action, Thriller, Crime</t>
        </is>
      </c>
      <c r="M214" s="64" t="inlineStr">
        <is>
          <t>Summit Entertainment, di Bonaventura Pictures</t>
        </is>
      </c>
      <c r="N214" s="64" t="inlineStr">
        <is>
          <t>https://huggingface.co/datasets/HenryWaltson/TMDB-IMDB-Movies-Dataset</t>
        </is>
      </c>
      <c r="O214" s="64" t="inlineStr">
        <is>
          <t>https://huggingface.co/datasets/HenryWaltson/TMDB-IMDB-Movies-Dataset</t>
        </is>
      </c>
      <c r="P214" t="inlineStr">
        <is>
          <t>Sam Worthington</t>
        </is>
      </c>
      <c r="Q214" t="inlineStr">
        <is>
          <t>Elizabeth Banks</t>
        </is>
      </c>
      <c r="R214" t="inlineStr">
        <is>
          <t>Jamie Bell</t>
        </is>
      </c>
      <c r="S214" t="inlineStr">
        <is>
          <t>Anthony Mackie</t>
        </is>
      </c>
      <c r="T214" t="inlineStr">
        <is>
          <t>Edward Burns</t>
        </is>
      </c>
      <c r="U214" s="71" t="n">
        <v>0</v>
      </c>
      <c r="V214" s="71" t="n">
        <v>0</v>
      </c>
      <c r="X214" s="82">
        <f>IFERROR(INDEX(Ratings!$E$5:$E$500,MATCH(A214,Ratings!$A$5:$A$500,0)),"")</f>
        <v/>
      </c>
      <c r="Y214" s="71">
        <f>IFERROR(INDEX(Ratings!$G$5:$G$500,MATCH(A214,Ratings!$A$5:$A$500,0)),"")</f>
        <v/>
      </c>
      <c r="Z214" s="83">
        <f>IFERROR(INDEX(Ratings!$I$5:$I$500,MATCH(A214,Ratings!$A$5:$A$500,0)),"")</f>
        <v/>
      </c>
    </row>
    <row r="215" ht="15.75" customHeight="1" s="95">
      <c r="A215" t="inlineStr">
        <is>
          <t>F0211</t>
        </is>
      </c>
      <c r="B215" t="inlineStr">
        <is>
          <t>Man of Steel</t>
        </is>
      </c>
      <c r="C215" s="63" t="inlineStr">
        <is>
          <t>2013</t>
        </is>
      </c>
      <c r="D215" t="inlineStr">
        <is>
          <t>Blu-ray</t>
        </is>
      </c>
      <c r="F215" s="64" t="n"/>
      <c r="I215" s="64" t="n"/>
      <c r="J215" s="64" t="inlineStr">
        <is>
          <t>Zack Snyder</t>
        </is>
      </c>
      <c r="K215" s="64" t="n">
        <v>143</v>
      </c>
      <c r="L215" s="64" t="inlineStr">
        <is>
          <t>Action, Adventure, Science Fiction</t>
        </is>
      </c>
      <c r="M215" s="64" t="inlineStr">
        <is>
          <t>DC Entertainment, Syncopy, Peters Entertainment</t>
        </is>
      </c>
      <c r="N215" s="64" t="inlineStr">
        <is>
          <t>https://huggingface.co/datasets/HenryWaltson/TMDB-IMDB-Movies-Dataset</t>
        </is>
      </c>
      <c r="O215" s="64" t="inlineStr">
        <is>
          <t>https://huggingface.co/datasets/HenryWaltson/TMDB-IMDB-Movies-Dataset</t>
        </is>
      </c>
      <c r="P215" t="inlineStr">
        <is>
          <t>Henry Cavill</t>
        </is>
      </c>
      <c r="Q215" t="inlineStr">
        <is>
          <t>Amy Adams</t>
        </is>
      </c>
      <c r="R215" t="inlineStr">
        <is>
          <t>Michael Shannon</t>
        </is>
      </c>
      <c r="S215" t="inlineStr">
        <is>
          <t>Diane Lane</t>
        </is>
      </c>
      <c r="T215" t="inlineStr">
        <is>
          <t>Russell Crowe</t>
        </is>
      </c>
      <c r="U215" s="71" t="n">
        <v>0</v>
      </c>
      <c r="V215" s="71" t="n">
        <v>0</v>
      </c>
      <c r="X215" s="82">
        <f>IFERROR(INDEX(Ratings!$E$5:$E$500,MATCH(A215,Ratings!$A$5:$A$500,0)),"")</f>
        <v/>
      </c>
      <c r="Y215" s="71">
        <f>IFERROR(INDEX(Ratings!$G$5:$G$500,MATCH(A215,Ratings!$A$5:$A$500,0)),"")</f>
        <v/>
      </c>
      <c r="Z215" s="83">
        <f>IFERROR(INDEX(Ratings!$I$5:$I$500,MATCH(A215,Ratings!$A$5:$A$500,0)),"")</f>
        <v/>
      </c>
    </row>
    <row r="216" ht="15.75" customHeight="1" s="95">
      <c r="A216" t="inlineStr">
        <is>
          <t>F0212</t>
        </is>
      </c>
      <c r="B216" t="inlineStr">
        <is>
          <t>The Super Mario Bros. Movie</t>
        </is>
      </c>
      <c r="C216" s="63" t="inlineStr">
        <is>
          <t>2023</t>
        </is>
      </c>
      <c r="D216" t="inlineStr">
        <is>
          <t>Blu-ray</t>
        </is>
      </c>
      <c r="F216" s="64" t="n"/>
      <c r="I216" s="64" t="n"/>
      <c r="J216" s="64" t="inlineStr">
        <is>
          <t>Aaron Horvath, Michael Jelenic, Pierre Leduc, Fabien Polack</t>
        </is>
      </c>
      <c r="K216" s="64" t="n">
        <v>93</v>
      </c>
      <c r="L216" s="64" t="inlineStr">
        <is>
          <t>Animation, Family, Adventure, Fantasy, Comedy</t>
        </is>
      </c>
      <c r="M216" s="64" t="inlineStr">
        <is>
          <t>Universal Pictures, Illumination, Nintendo</t>
        </is>
      </c>
      <c r="N216" s="64" t="inlineStr">
        <is>
          <t>https://huggingface.co/datasets/HenryWaltson/TMDB-IMDB-Movies-Dataset</t>
        </is>
      </c>
      <c r="O216" s="64" t="inlineStr">
        <is>
          <t>https://huggingface.co/datasets/HenryWaltson/TMDB-IMDB-Movies-Dataset</t>
        </is>
      </c>
      <c r="P216" t="inlineStr">
        <is>
          <t>Chris Pratt</t>
        </is>
      </c>
      <c r="Q216" t="inlineStr">
        <is>
          <t>Anya Taylor-Joy</t>
        </is>
      </c>
      <c r="R216" t="inlineStr">
        <is>
          <t>Charlie Day</t>
        </is>
      </c>
      <c r="S216" t="inlineStr">
        <is>
          <t>Jack Black</t>
        </is>
      </c>
      <c r="T216" t="inlineStr">
        <is>
          <t>Keegan-Michael Key</t>
        </is>
      </c>
      <c r="U216" s="71" t="n">
        <v>0</v>
      </c>
      <c r="V216" s="71" t="n">
        <v>0</v>
      </c>
      <c r="X216" s="82">
        <f>IFERROR(INDEX(Ratings!$E$5:$E$500,MATCH(A216,Ratings!$A$5:$A$500,0)),"")</f>
        <v/>
      </c>
      <c r="Y216" s="71">
        <f>IFERROR(INDEX(Ratings!$G$5:$G$500,MATCH(A216,Ratings!$A$5:$A$500,0)),"")</f>
        <v/>
      </c>
      <c r="Z216" s="83">
        <f>IFERROR(INDEX(Ratings!$I$5:$I$500,MATCH(A216,Ratings!$A$5:$A$500,0)),"")</f>
        <v/>
      </c>
    </row>
    <row r="217" ht="15.75" customHeight="1" s="95">
      <c r="A217" t="inlineStr">
        <is>
          <t>F0213</t>
        </is>
      </c>
      <c r="B217" t="inlineStr">
        <is>
          <t>The Martian</t>
        </is>
      </c>
      <c r="C217" s="63" t="inlineStr">
        <is>
          <t>2015</t>
        </is>
      </c>
      <c r="D217" t="inlineStr">
        <is>
          <t>Blu-ray</t>
        </is>
      </c>
      <c r="F217" s="64" t="n"/>
      <c r="I217" s="64" t="n"/>
      <c r="J217" s="64" t="inlineStr">
        <is>
          <t>Ridley Scott</t>
        </is>
      </c>
      <c r="K217" s="64" t="n">
        <v>141</v>
      </c>
      <c r="L217" s="64" t="inlineStr">
        <is>
          <t>Drama, Adventure, Science Fiction</t>
        </is>
      </c>
      <c r="M217" s="64" t="inlineStr">
        <is>
          <t>Scott Free Productions, Genre Films</t>
        </is>
      </c>
      <c r="N217" s="64" t="inlineStr">
        <is>
          <t>https://huggingface.co/datasets/HenryWaltson/TMDB-IMDB-Movies-Dataset</t>
        </is>
      </c>
      <c r="O217" s="64" t="inlineStr">
        <is>
          <t>https://huggingface.co/datasets/HenryWaltson/TMDB-IMDB-Movies-Dataset</t>
        </is>
      </c>
      <c r="P217" t="inlineStr">
        <is>
          <t>Matt Damon</t>
        </is>
      </c>
      <c r="Q217" t="inlineStr">
        <is>
          <t>Jessica Chastain</t>
        </is>
      </c>
      <c r="R217" t="inlineStr">
        <is>
          <t>Kristen Wiig</t>
        </is>
      </c>
      <c r="S217" t="inlineStr">
        <is>
          <t>Jeff Daniels</t>
        </is>
      </c>
      <c r="T217" t="inlineStr">
        <is>
          <t>Michael Peña</t>
        </is>
      </c>
      <c r="U217" s="71" t="n">
        <v>7</v>
      </c>
      <c r="V217" s="71" t="n">
        <v>0</v>
      </c>
      <c r="W217" t="inlineStr">
        <is>
          <t>Nominated</t>
        </is>
      </c>
      <c r="X217" s="82">
        <f>IFERROR(INDEX(Ratings!$E$5:$E$500,MATCH(A217,Ratings!$A$5:$A$500,0)),"")</f>
        <v/>
      </c>
      <c r="Y217" s="71">
        <f>IFERROR(INDEX(Ratings!$G$5:$G$500,MATCH(A217,Ratings!$A$5:$A$500,0)),"")</f>
        <v/>
      </c>
      <c r="Z217" s="83">
        <f>IFERROR(INDEX(Ratings!$I$5:$I$500,MATCH(A217,Ratings!$A$5:$A$500,0)),"")</f>
        <v/>
      </c>
    </row>
    <row r="218" ht="15.75" customHeight="1" s="95">
      <c r="A218" t="inlineStr">
        <is>
          <t>F0214</t>
        </is>
      </c>
      <c r="B218" t="inlineStr">
        <is>
          <t>The Matrix</t>
        </is>
      </c>
      <c r="C218" s="63" t="inlineStr">
        <is>
          <t>1999</t>
        </is>
      </c>
      <c r="D218" t="inlineStr">
        <is>
          <t>Blu-ray</t>
        </is>
      </c>
      <c r="E218" t="inlineStr">
        <is>
          <t>Matrix</t>
        </is>
      </c>
      <c r="F218" s="64" t="n"/>
      <c r="I218" s="64" t="n"/>
      <c r="J218" s="64" t="inlineStr">
        <is>
          <t>Lana Wachowski, Lilly Wachowski</t>
        </is>
      </c>
      <c r="K218" s="64" t="n">
        <v>136</v>
      </c>
      <c r="L218" s="64" t="inlineStr">
        <is>
          <t>Action, Science Fiction</t>
        </is>
      </c>
      <c r="M218" s="64" t="inlineStr">
        <is>
          <t>Village Roadshow Pictures, Groucho II Film Partnership, Silver Pictures</t>
        </is>
      </c>
      <c r="N218" s="64" t="inlineStr">
        <is>
          <t>https://huggingface.co/datasets/HenryWaltson/TMDB-IMDB-Movies-Dataset</t>
        </is>
      </c>
      <c r="O218" s="64" t="inlineStr">
        <is>
          <t>https://huggingface.co/datasets/HenryWaltson/TMDB-IMDB-Movies-Dataset</t>
        </is>
      </c>
      <c r="P218" t="inlineStr">
        <is>
          <t>Keanu Reeves</t>
        </is>
      </c>
      <c r="Q218" t="inlineStr">
        <is>
          <t>Laurence Fishburne</t>
        </is>
      </c>
      <c r="R218" t="inlineStr">
        <is>
          <t>Carrie-Anne Moss</t>
        </is>
      </c>
      <c r="S218" t="inlineStr">
        <is>
          <t>Hugo Weaving</t>
        </is>
      </c>
      <c r="T218" t="inlineStr">
        <is>
          <t>Gloria Foster</t>
        </is>
      </c>
      <c r="U218" s="71" t="n">
        <v>4</v>
      </c>
      <c r="V218" s="71" t="n">
        <v>4</v>
      </c>
      <c r="X218" s="82">
        <f>IFERROR(INDEX(Ratings!$E$5:$E$500,MATCH(A218,Ratings!$A$5:$A$500,0)),"")</f>
        <v/>
      </c>
      <c r="Y218" s="71">
        <f>IFERROR(INDEX(Ratings!$G$5:$G$500,MATCH(A218,Ratings!$A$5:$A$500,0)),"")</f>
        <v/>
      </c>
      <c r="Z218" s="83">
        <f>IFERROR(INDEX(Ratings!$I$5:$I$500,MATCH(A218,Ratings!$A$5:$A$500,0)),"")</f>
        <v/>
      </c>
    </row>
    <row r="219" ht="15.75" customHeight="1" s="95">
      <c r="A219" t="inlineStr">
        <is>
          <t>F0215</t>
        </is>
      </c>
      <c r="B219" t="inlineStr">
        <is>
          <t>The Matrix Reloaded</t>
        </is>
      </c>
      <c r="C219" s="63" t="inlineStr">
        <is>
          <t>2003</t>
        </is>
      </c>
      <c r="D219" t="inlineStr">
        <is>
          <t>Blu-ray</t>
        </is>
      </c>
      <c r="E219" t="inlineStr">
        <is>
          <t>Matrix</t>
        </is>
      </c>
      <c r="F219" s="64" t="n"/>
      <c r="I219" s="64" t="n"/>
      <c r="J219" s="64" t="inlineStr">
        <is>
          <t>Lana Wachowski, Lilly Wachowski</t>
        </is>
      </c>
      <c r="K219" s="64" t="n">
        <v>138</v>
      </c>
      <c r="L219" s="64" t="inlineStr">
        <is>
          <t>Adventure, Action, Thriller, Science Fiction</t>
        </is>
      </c>
      <c r="M219" s="64" t="inlineStr">
        <is>
          <t>Village Roadshow Pictures, Silver Pictures, NPV Entertainment</t>
        </is>
      </c>
      <c r="N219" s="64" t="inlineStr">
        <is>
          <t>https://huggingface.co/datasets/HenryWaltson/TMDB-IMDB-Movies-Dataset</t>
        </is>
      </c>
      <c r="O219" s="64" t="inlineStr">
        <is>
          <t>https://huggingface.co/datasets/HenryWaltson/TMDB-IMDB-Movies-Dataset</t>
        </is>
      </c>
      <c r="P219" t="inlineStr">
        <is>
          <t>Keanu Reeves</t>
        </is>
      </c>
      <c r="Q219" t="inlineStr">
        <is>
          <t>Laurence Fishburne</t>
        </is>
      </c>
      <c r="R219" t="inlineStr">
        <is>
          <t>Carrie-Anne Moss</t>
        </is>
      </c>
      <c r="S219" t="inlineStr">
        <is>
          <t>Hugo Weaving</t>
        </is>
      </c>
      <c r="T219" t="inlineStr">
        <is>
          <t>Jada Pinkett Smith</t>
        </is>
      </c>
      <c r="U219" s="71" t="n">
        <v>0</v>
      </c>
      <c r="V219" s="71" t="n">
        <v>0</v>
      </c>
      <c r="X219" s="82">
        <f>IFERROR(INDEX(Ratings!$E$5:$E$500,MATCH(A219,Ratings!$A$5:$A$500,0)),"")</f>
        <v/>
      </c>
      <c r="Y219" s="71">
        <f>IFERROR(INDEX(Ratings!$G$5:$G$500,MATCH(A219,Ratings!$A$5:$A$500,0)),"")</f>
        <v/>
      </c>
      <c r="Z219" s="83">
        <f>IFERROR(INDEX(Ratings!$I$5:$I$500,MATCH(A219,Ratings!$A$5:$A$500,0)),"")</f>
        <v/>
      </c>
    </row>
    <row r="220" ht="15.75" customHeight="1" s="95">
      <c r="A220" t="inlineStr">
        <is>
          <t>F0216</t>
        </is>
      </c>
      <c r="B220" t="inlineStr">
        <is>
          <t>The Matrix Revolutions</t>
        </is>
      </c>
      <c r="C220" s="63" t="inlineStr">
        <is>
          <t>2003</t>
        </is>
      </c>
      <c r="D220" t="inlineStr">
        <is>
          <t>Blu-ray</t>
        </is>
      </c>
      <c r="E220" t="inlineStr">
        <is>
          <t>Matrix</t>
        </is>
      </c>
      <c r="F220" s="64" t="n"/>
      <c r="I220" s="64" t="n"/>
      <c r="J220" s="64" t="inlineStr">
        <is>
          <t>Lana Wachowski, Lilly Wachowski</t>
        </is>
      </c>
      <c r="K220" s="64" t="n">
        <v>129</v>
      </c>
      <c r="L220" s="64" t="inlineStr">
        <is>
          <t>Adventure, Action, Thriller, Science Fiction</t>
        </is>
      </c>
      <c r="M220" s="64" t="inlineStr">
        <is>
          <t>Village Roadshow Pictures, NPV Entertainment, Silver Pictures</t>
        </is>
      </c>
      <c r="N220" s="64" t="inlineStr">
        <is>
          <t>https://huggingface.co/datasets/HenryWaltson/TMDB-IMDB-Movies-Dataset</t>
        </is>
      </c>
      <c r="O220" s="64" t="inlineStr">
        <is>
          <t>https://huggingface.co/datasets/HenryWaltson/TMDB-IMDB-Movies-Dataset</t>
        </is>
      </c>
      <c r="P220" t="inlineStr">
        <is>
          <t>Keanu Reeves</t>
        </is>
      </c>
      <c r="Q220" t="inlineStr">
        <is>
          <t>Laurence Fishburne</t>
        </is>
      </c>
      <c r="R220" t="inlineStr">
        <is>
          <t>Carrie-Anne Moss</t>
        </is>
      </c>
      <c r="S220" t="inlineStr">
        <is>
          <t>Hugo Weaving</t>
        </is>
      </c>
      <c r="T220" t="inlineStr">
        <is>
          <t>Jada Pinkett Smith</t>
        </is>
      </c>
      <c r="U220" s="71" t="n">
        <v>0</v>
      </c>
      <c r="V220" s="71" t="n">
        <v>0</v>
      </c>
      <c r="X220" s="82">
        <f>IFERROR(INDEX(Ratings!$E$5:$E$500,MATCH(A220,Ratings!$A$5:$A$500,0)),"")</f>
        <v/>
      </c>
      <c r="Y220" s="71">
        <f>IFERROR(INDEX(Ratings!$G$5:$G$500,MATCH(A220,Ratings!$A$5:$A$500,0)),"")</f>
        <v/>
      </c>
      <c r="Z220" s="83">
        <f>IFERROR(INDEX(Ratings!$I$5:$I$500,MATCH(A220,Ratings!$A$5:$A$500,0)),"")</f>
        <v/>
      </c>
    </row>
    <row r="221" ht="15.75" customHeight="1" s="95">
      <c r="A221" t="inlineStr">
        <is>
          <t>F0217</t>
        </is>
      </c>
      <c r="B221" t="inlineStr">
        <is>
          <t>The Maze Runner</t>
        </is>
      </c>
      <c r="C221" s="63" t="inlineStr">
        <is>
          <t>2014</t>
        </is>
      </c>
      <c r="D221" t="inlineStr">
        <is>
          <t>Blu-ray</t>
        </is>
      </c>
      <c r="F221" s="64" t="n"/>
      <c r="I221" s="64" t="n"/>
      <c r="J221" s="64" t="inlineStr">
        <is>
          <t>Wes Ball</t>
        </is>
      </c>
      <c r="K221" s="64" t="n">
        <v>113</v>
      </c>
      <c r="L221" s="64" t="inlineStr">
        <is>
          <t>Action, Mystery, Science Fiction, Thriller</t>
        </is>
      </c>
      <c r="M221" s="64" t="inlineStr">
        <is>
          <t>Ingenious Media, Gotham Group, Dayday Films</t>
        </is>
      </c>
      <c r="N221" s="64" t="inlineStr">
        <is>
          <t>https://huggingface.co/datasets/HenryWaltson/TMDB-IMDB-Movies-Dataset</t>
        </is>
      </c>
      <c r="O221" s="64" t="inlineStr">
        <is>
          <t>https://huggingface.co/datasets/HenryWaltson/TMDB-IMDB-Movies-Dataset</t>
        </is>
      </c>
      <c r="P221" t="inlineStr">
        <is>
          <t>Dylan O'Brien</t>
        </is>
      </c>
      <c r="Q221" t="inlineStr">
        <is>
          <t>Kaya Scodelario</t>
        </is>
      </c>
      <c r="R221" t="inlineStr">
        <is>
          <t>Aml Ameen</t>
        </is>
      </c>
      <c r="S221" t="inlineStr">
        <is>
          <t>Thomas Brodie-Sangster</t>
        </is>
      </c>
      <c r="T221" t="inlineStr">
        <is>
          <t>Ki Hong Lee</t>
        </is>
      </c>
      <c r="U221" s="71" t="n">
        <v>0</v>
      </c>
      <c r="V221" s="71" t="n">
        <v>0</v>
      </c>
      <c r="X221" s="82">
        <f>IFERROR(INDEX(Ratings!$E$5:$E$500,MATCH(A221,Ratings!$A$5:$A$500,0)),"")</f>
        <v/>
      </c>
      <c r="Y221" s="71">
        <f>IFERROR(INDEX(Ratings!$G$5:$G$500,MATCH(A221,Ratings!$A$5:$A$500,0)),"")</f>
        <v/>
      </c>
      <c r="Z221" s="83">
        <f>IFERROR(INDEX(Ratings!$I$5:$I$500,MATCH(A221,Ratings!$A$5:$A$500,0)),"")</f>
        <v/>
      </c>
    </row>
    <row r="222" ht="15.75" customHeight="1" s="95">
      <c r="A222" t="inlineStr">
        <is>
          <t>F0218</t>
        </is>
      </c>
      <c r="B222" t="inlineStr">
        <is>
          <t>Men in Black</t>
        </is>
      </c>
      <c r="C222" s="63" t="inlineStr">
        <is>
          <t>1997</t>
        </is>
      </c>
      <c r="D222" t="inlineStr">
        <is>
          <t>Blu-ray</t>
        </is>
      </c>
      <c r="E222" t="inlineStr">
        <is>
          <t>Men in Black</t>
        </is>
      </c>
      <c r="F222" s="64" t="n"/>
      <c r="I222" s="64" t="n"/>
      <c r="J222" s="64" t="inlineStr">
        <is>
          <t>Barry Sonnenfeld</t>
        </is>
      </c>
      <c r="K222" s="64" t="n">
        <v>98</v>
      </c>
      <c r="L222" s="64" t="inlineStr">
        <is>
          <t>Action, Adventure, Comedy, Science Fiction</t>
        </is>
      </c>
      <c r="M222" s="64" t="inlineStr">
        <is>
          <t>Columbia Pictures, Amblin Entertainment, Parkes+MacDonald Image Nation</t>
        </is>
      </c>
      <c r="N222" s="64" t="inlineStr">
        <is>
          <t>https://huggingface.co/datasets/HenryWaltson/TMDB-IMDB-Movies-Dataset</t>
        </is>
      </c>
      <c r="O222" s="64" t="inlineStr">
        <is>
          <t>https://huggingface.co/datasets/HenryWaltson/TMDB-IMDB-Movies-Dataset</t>
        </is>
      </c>
      <c r="P222" t="inlineStr">
        <is>
          <t>Tommy Lee Jones</t>
        </is>
      </c>
      <c r="Q222" t="inlineStr">
        <is>
          <t>Will Smith</t>
        </is>
      </c>
      <c r="R222" t="inlineStr">
        <is>
          <t>Linda Fiorentino</t>
        </is>
      </c>
      <c r="S222" t="inlineStr">
        <is>
          <t>Vincent D'Onofrio</t>
        </is>
      </c>
      <c r="T222" t="inlineStr">
        <is>
          <t>Rip Torn</t>
        </is>
      </c>
      <c r="U222" s="71" t="n">
        <v>3</v>
      </c>
      <c r="V222" s="71" t="n">
        <v>1</v>
      </c>
      <c r="X222" s="82">
        <f>IFERROR(INDEX(Ratings!$E$5:$E$500,MATCH(A222,Ratings!$A$5:$A$500,0)),"")</f>
        <v/>
      </c>
      <c r="Y222" s="71">
        <f>IFERROR(INDEX(Ratings!$G$5:$G$500,MATCH(A222,Ratings!$A$5:$A$500,0)),"")</f>
        <v/>
      </c>
      <c r="Z222" s="83">
        <f>IFERROR(INDEX(Ratings!$I$5:$I$500,MATCH(A222,Ratings!$A$5:$A$500,0)),"")</f>
        <v/>
      </c>
    </row>
    <row r="223" ht="15.75" customHeight="1" s="95">
      <c r="A223" t="inlineStr">
        <is>
          <t>F0219</t>
        </is>
      </c>
      <c r="B223" t="inlineStr">
        <is>
          <t>Men in Black 3</t>
        </is>
      </c>
      <c r="C223" s="63" t="inlineStr">
        <is>
          <t>2012</t>
        </is>
      </c>
      <c r="D223" t="inlineStr">
        <is>
          <t>Blu-ray</t>
        </is>
      </c>
      <c r="E223" t="inlineStr">
        <is>
          <t>Men in Black</t>
        </is>
      </c>
      <c r="F223" s="64" t="n"/>
      <c r="I223" s="64" t="n"/>
      <c r="J223" s="64" t="inlineStr">
        <is>
          <t>Barry Sonnenfeld</t>
        </is>
      </c>
      <c r="K223" s="64" t="n">
        <v>106</v>
      </c>
      <c r="L223" s="64" t="inlineStr">
        <is>
          <t>Action, Comedy, Science Fiction</t>
        </is>
      </c>
      <c r="M223" s="64" t="inlineStr">
        <is>
          <t>Columbia Pictures, Hemisphere Media Capital, Amblin Entertainment</t>
        </is>
      </c>
      <c r="N223" s="64" t="inlineStr">
        <is>
          <t>https://huggingface.co/datasets/HenryWaltson/TMDB-IMDB-Movies-Dataset</t>
        </is>
      </c>
      <c r="O223" s="64" t="inlineStr">
        <is>
          <t>https://huggingface.co/datasets/HenryWaltson/TMDB-IMDB-Movies-Dataset</t>
        </is>
      </c>
      <c r="P223" t="inlineStr">
        <is>
          <t>Will Smith</t>
        </is>
      </c>
      <c r="Q223" t="inlineStr">
        <is>
          <t>Tommy Lee Jones</t>
        </is>
      </c>
      <c r="R223" t="inlineStr">
        <is>
          <t>Josh Brolin</t>
        </is>
      </c>
      <c r="S223" t="inlineStr">
        <is>
          <t>Jemaine Clement</t>
        </is>
      </c>
      <c r="T223" t="inlineStr">
        <is>
          <t>Emma Thompson</t>
        </is>
      </c>
      <c r="U223" s="71" t="n">
        <v>0</v>
      </c>
      <c r="V223" s="71" t="n">
        <v>0</v>
      </c>
      <c r="X223" s="82">
        <f>IFERROR(INDEX(Ratings!$E$5:$E$500,MATCH(A223,Ratings!$A$5:$A$500,0)),"")</f>
        <v/>
      </c>
      <c r="Y223" s="71">
        <f>IFERROR(INDEX(Ratings!$G$5:$G$500,MATCH(A223,Ratings!$A$5:$A$500,0)),"")</f>
        <v/>
      </c>
      <c r="Z223" s="83">
        <f>IFERROR(INDEX(Ratings!$I$5:$I$500,MATCH(A223,Ratings!$A$5:$A$500,0)),"")</f>
        <v/>
      </c>
    </row>
    <row r="224" ht="15.75" customHeight="1" s="95">
      <c r="A224" t="inlineStr">
        <is>
          <t>F0220</t>
        </is>
      </c>
      <c r="B224" t="inlineStr">
        <is>
          <t>Minions</t>
        </is>
      </c>
      <c r="C224" s="63" t="inlineStr">
        <is>
          <t>2015</t>
        </is>
      </c>
      <c r="D224" t="inlineStr">
        <is>
          <t>Blu-ray</t>
        </is>
      </c>
      <c r="E224" t="inlineStr">
        <is>
          <t>Despicable Me / Minions</t>
        </is>
      </c>
      <c r="F224" s="64" t="n"/>
      <c r="I224" s="64" t="n"/>
      <c r="J224" s="64" t="inlineStr">
        <is>
          <t>Kyle Balda, Pierre Coffin</t>
        </is>
      </c>
      <c r="K224" s="64" t="n">
        <v>91</v>
      </c>
      <c r="L224" s="64" t="inlineStr">
        <is>
          <t>Family, Animation, Adventure, Comedy</t>
        </is>
      </c>
      <c r="M224" s="64" t="inlineStr">
        <is>
          <t>Illumination, Universal Pictures</t>
        </is>
      </c>
      <c r="N224" s="64" t="inlineStr">
        <is>
          <t>https://huggingface.co/datasets/HenryWaltson/TMDB-IMDB-Movies-Dataset</t>
        </is>
      </c>
      <c r="O224" s="64" t="inlineStr">
        <is>
          <t>https://huggingface.co/datasets/HenryWaltson/TMDB-IMDB-Movies-Dataset</t>
        </is>
      </c>
      <c r="P224" t="inlineStr">
        <is>
          <t>Sandra Bullock</t>
        </is>
      </c>
      <c r="Q224" t="inlineStr">
        <is>
          <t>Jon Hamm</t>
        </is>
      </c>
      <c r="R224" t="inlineStr">
        <is>
          <t>Michael Keaton</t>
        </is>
      </c>
      <c r="S224" t="inlineStr">
        <is>
          <t>Allison Janney</t>
        </is>
      </c>
      <c r="T224" t="inlineStr">
        <is>
          <t>Steve Coogan</t>
        </is>
      </c>
      <c r="U224" s="71" t="n">
        <v>0</v>
      </c>
      <c r="V224" s="71" t="n">
        <v>0</v>
      </c>
      <c r="X224" s="82">
        <f>IFERROR(INDEX(Ratings!$E$5:$E$500,MATCH(A224,Ratings!$A$5:$A$500,0)),"")</f>
        <v/>
      </c>
      <c r="Y224" s="71">
        <f>IFERROR(INDEX(Ratings!$G$5:$G$500,MATCH(A224,Ratings!$A$5:$A$500,0)),"")</f>
        <v/>
      </c>
      <c r="Z224" s="83">
        <f>IFERROR(INDEX(Ratings!$I$5:$I$500,MATCH(A224,Ratings!$A$5:$A$500,0)),"")</f>
        <v/>
      </c>
    </row>
    <row r="225" ht="15.75" customHeight="1" s="95">
      <c r="A225" t="inlineStr">
        <is>
          <t>F0221</t>
        </is>
      </c>
      <c r="B225" t="inlineStr">
        <is>
          <t>Mission: Impossible</t>
        </is>
      </c>
      <c r="C225" s="63" t="inlineStr">
        <is>
          <t>1996</t>
        </is>
      </c>
      <c r="D225" t="inlineStr">
        <is>
          <t>Blu-ray</t>
        </is>
      </c>
      <c r="E225" t="inlineStr">
        <is>
          <t>Mission: Impossible</t>
        </is>
      </c>
      <c r="F225" s="64" t="n"/>
      <c r="I225" s="64" t="n"/>
      <c r="J225" s="64" t="inlineStr">
        <is>
          <t>Brian De Palma</t>
        </is>
      </c>
      <c r="K225" s="64" t="n">
        <v>110</v>
      </c>
      <c r="L225" s="64" t="inlineStr">
        <is>
          <t>Adventure, Action, Thriller</t>
        </is>
      </c>
      <c r="M225" s="64" t="inlineStr">
        <is>
          <t>Paramount, Cruise/Wagner Productions</t>
        </is>
      </c>
      <c r="N225" s="64" t="inlineStr">
        <is>
          <t>https://huggingface.co/datasets/HenryWaltson/TMDB-IMDB-Movies-Dataset</t>
        </is>
      </c>
      <c r="O225" s="64" t="inlineStr">
        <is>
          <t>https://huggingface.co/datasets/HenryWaltson/TMDB-IMDB-Movies-Dataset</t>
        </is>
      </c>
      <c r="P225" t="inlineStr">
        <is>
          <t>Tom Cruise</t>
        </is>
      </c>
      <c r="Q225" t="inlineStr">
        <is>
          <t>Jon Voight</t>
        </is>
      </c>
      <c r="R225" t="inlineStr">
        <is>
          <t>Emmanuelle Béart</t>
        </is>
      </c>
      <c r="S225" t="inlineStr">
        <is>
          <t>Henry Czerny</t>
        </is>
      </c>
      <c r="T225" t="inlineStr">
        <is>
          <t>Jean Reno</t>
        </is>
      </c>
      <c r="U225" s="71" t="n">
        <v>0</v>
      </c>
      <c r="V225" s="71" t="n">
        <v>0</v>
      </c>
      <c r="X225" s="82">
        <f>IFERROR(INDEX(Ratings!$E$5:$E$500,MATCH(A225,Ratings!$A$5:$A$500,0)),"")</f>
        <v/>
      </c>
      <c r="Y225" s="71">
        <f>IFERROR(INDEX(Ratings!$G$5:$G$500,MATCH(A225,Ratings!$A$5:$A$500,0)),"")</f>
        <v/>
      </c>
      <c r="Z225" s="83">
        <f>IFERROR(INDEX(Ratings!$I$5:$I$500,MATCH(A225,Ratings!$A$5:$A$500,0)),"")</f>
        <v/>
      </c>
    </row>
    <row r="226" ht="15.75" customHeight="1" s="95">
      <c r="A226" t="inlineStr">
        <is>
          <t>F0222</t>
        </is>
      </c>
      <c r="B226" t="inlineStr">
        <is>
          <t>Mission: Impossible II</t>
        </is>
      </c>
      <c r="C226" s="63" t="inlineStr">
        <is>
          <t>2000</t>
        </is>
      </c>
      <c r="D226" t="inlineStr">
        <is>
          <t>Blu-ray</t>
        </is>
      </c>
      <c r="E226" t="inlineStr">
        <is>
          <t>Mission: Impossible</t>
        </is>
      </c>
      <c r="F226" s="64" t="n"/>
      <c r="I226" s="64" t="n"/>
      <c r="J226" s="64" t="inlineStr">
        <is>
          <t>John Woo</t>
        </is>
      </c>
      <c r="K226" s="64" t="n">
        <v>123</v>
      </c>
      <c r="L226" s="64" t="inlineStr">
        <is>
          <t>Adventure, Action, Thriller</t>
        </is>
      </c>
      <c r="M226" s="64" t="inlineStr">
        <is>
          <t>Paramount, Cruise/Wagner Productions</t>
        </is>
      </c>
      <c r="N226" s="64" t="inlineStr">
        <is>
          <t>https://huggingface.co/datasets/HenryWaltson/TMDB-IMDB-Movies-Dataset</t>
        </is>
      </c>
      <c r="O226" s="64" t="inlineStr">
        <is>
          <t>https://huggingface.co/datasets/HenryWaltson/TMDB-IMDB-Movies-Dataset</t>
        </is>
      </c>
      <c r="P226" t="inlineStr">
        <is>
          <t>Tom Cruise</t>
        </is>
      </c>
      <c r="Q226" t="inlineStr">
        <is>
          <t>Dougray Scott</t>
        </is>
      </c>
      <c r="R226" t="inlineStr">
        <is>
          <t>Thandiwe Newton</t>
        </is>
      </c>
      <c r="S226" t="inlineStr">
        <is>
          <t>Ving Rhames</t>
        </is>
      </c>
      <c r="T226" t="inlineStr">
        <is>
          <t>Richard Roxburgh</t>
        </is>
      </c>
      <c r="U226" s="71" t="n">
        <v>0</v>
      </c>
      <c r="V226" s="71" t="n">
        <v>0</v>
      </c>
      <c r="X226" s="82">
        <f>IFERROR(INDEX(Ratings!$E$5:$E$500,MATCH(A226,Ratings!$A$5:$A$500,0)),"")</f>
        <v/>
      </c>
      <c r="Y226" s="71">
        <f>IFERROR(INDEX(Ratings!$G$5:$G$500,MATCH(A226,Ratings!$A$5:$A$500,0)),"")</f>
        <v/>
      </c>
      <c r="Z226" s="83">
        <f>IFERROR(INDEX(Ratings!$I$5:$I$500,MATCH(A226,Ratings!$A$5:$A$500,0)),"")</f>
        <v/>
      </c>
    </row>
    <row r="227" ht="15.75" customHeight="1" s="95">
      <c r="A227" t="inlineStr">
        <is>
          <t>F0223</t>
        </is>
      </c>
      <c r="B227" t="inlineStr">
        <is>
          <t>Mission: Impossible III</t>
        </is>
      </c>
      <c r="C227" s="63" t="inlineStr">
        <is>
          <t>2006</t>
        </is>
      </c>
      <c r="D227" t="inlineStr">
        <is>
          <t>Blu-ray</t>
        </is>
      </c>
      <c r="E227" t="inlineStr">
        <is>
          <t>Mission: Impossible</t>
        </is>
      </c>
      <c r="F227" s="64" t="n"/>
      <c r="I227" s="64" t="n"/>
      <c r="J227" s="64" t="inlineStr">
        <is>
          <t>J.J. Abrams</t>
        </is>
      </c>
      <c r="K227" s="64" t="n">
        <v>126</v>
      </c>
      <c r="L227" s="64" t="inlineStr">
        <is>
          <t>Adventure, Action, Thriller</t>
        </is>
      </c>
      <c r="M227" s="64" t="inlineStr">
        <is>
          <t>Paramount, Cruise/Wagner Productions</t>
        </is>
      </c>
      <c r="N227" s="64" t="inlineStr">
        <is>
          <t>https://huggingface.co/datasets/HenryWaltson/TMDB-IMDB-Movies-Dataset</t>
        </is>
      </c>
      <c r="O227" s="64" t="inlineStr">
        <is>
          <t>https://huggingface.co/datasets/HenryWaltson/TMDB-IMDB-Movies-Dataset</t>
        </is>
      </c>
      <c r="P227" t="inlineStr">
        <is>
          <t>Tom Cruise</t>
        </is>
      </c>
      <c r="Q227" t="inlineStr">
        <is>
          <t>Philip Seymour Hoffman</t>
        </is>
      </c>
      <c r="R227" t="inlineStr">
        <is>
          <t>Ving Rhames</t>
        </is>
      </c>
      <c r="S227" t="inlineStr">
        <is>
          <t>Billy Crudup</t>
        </is>
      </c>
      <c r="T227" t="inlineStr">
        <is>
          <t>Michelle Monaghan</t>
        </is>
      </c>
      <c r="U227" s="71" t="n">
        <v>0</v>
      </c>
      <c r="V227" s="71" t="n">
        <v>0</v>
      </c>
      <c r="X227" s="82">
        <f>IFERROR(INDEX(Ratings!$E$5:$E$500,MATCH(A227,Ratings!$A$5:$A$500,0)),"")</f>
        <v/>
      </c>
      <c r="Y227" s="71">
        <f>IFERROR(INDEX(Ratings!$G$5:$G$500,MATCH(A227,Ratings!$A$5:$A$500,0)),"")</f>
        <v/>
      </c>
      <c r="Z227" s="83">
        <f>IFERROR(INDEX(Ratings!$I$5:$I$500,MATCH(A227,Ratings!$A$5:$A$500,0)),"")</f>
        <v/>
      </c>
    </row>
    <row r="228" ht="15.75" customHeight="1" s="95">
      <c r="A228" t="inlineStr">
        <is>
          <t>F0224</t>
        </is>
      </c>
      <c r="B228" t="inlineStr">
        <is>
          <t>Mission: Impossible - Ghost Protocol</t>
        </is>
      </c>
      <c r="C228" s="63" t="inlineStr">
        <is>
          <t>2011</t>
        </is>
      </c>
      <c r="D228" t="inlineStr">
        <is>
          <t>Blu-ray</t>
        </is>
      </c>
      <c r="E228" t="inlineStr">
        <is>
          <t>Mission: Impossible</t>
        </is>
      </c>
      <c r="F228" s="64" t="n"/>
      <c r="I228" s="64" t="n"/>
      <c r="J228" s="64" t="inlineStr">
        <is>
          <t>Brad Bird</t>
        </is>
      </c>
      <c r="K228" s="64" t="n">
        <v>133</v>
      </c>
      <c r="L228" s="64" t="inlineStr">
        <is>
          <t>Action, Thriller, Adventure</t>
        </is>
      </c>
      <c r="M228" s="64" t="inlineStr">
        <is>
          <t>Paramount, Bad Robot, TC Productions</t>
        </is>
      </c>
      <c r="N228" s="64" t="inlineStr">
        <is>
          <t>https://huggingface.co/datasets/HenryWaltson/TMDB-IMDB-Movies-Dataset</t>
        </is>
      </c>
      <c r="O228" s="64" t="inlineStr">
        <is>
          <t>https://huggingface.co/datasets/HenryWaltson/TMDB-IMDB-Movies-Dataset</t>
        </is>
      </c>
      <c r="P228" t="inlineStr">
        <is>
          <t>Tom Cruise</t>
        </is>
      </c>
      <c r="Q228" t="inlineStr">
        <is>
          <t>Paula Patton</t>
        </is>
      </c>
      <c r="R228" t="inlineStr">
        <is>
          <t>Simon Pegg</t>
        </is>
      </c>
      <c r="S228" t="inlineStr">
        <is>
          <t>Jeremy Renner</t>
        </is>
      </c>
      <c r="T228" t="inlineStr">
        <is>
          <t>Michael Nyqvist</t>
        </is>
      </c>
      <c r="U228" s="71" t="n">
        <v>0</v>
      </c>
      <c r="V228" s="71" t="n">
        <v>0</v>
      </c>
      <c r="X228" s="82">
        <f>IFERROR(INDEX(Ratings!$E$5:$E$500,MATCH(A228,Ratings!$A$5:$A$500,0)),"")</f>
        <v/>
      </c>
      <c r="Y228" s="71">
        <f>IFERROR(INDEX(Ratings!$G$5:$G$500,MATCH(A228,Ratings!$A$5:$A$500,0)),"")</f>
        <v/>
      </c>
      <c r="Z228" s="83">
        <f>IFERROR(INDEX(Ratings!$I$5:$I$500,MATCH(A228,Ratings!$A$5:$A$500,0)),"")</f>
        <v/>
      </c>
    </row>
    <row r="229" ht="15.75" customHeight="1" s="95">
      <c r="A229" t="inlineStr">
        <is>
          <t>F0225</t>
        </is>
      </c>
      <c r="B229" t="inlineStr">
        <is>
          <t>Mission: Impossible - Rogue Nation</t>
        </is>
      </c>
      <c r="C229" s="63" t="inlineStr">
        <is>
          <t>2015</t>
        </is>
      </c>
      <c r="D229" t="inlineStr">
        <is>
          <t>Blu-ray</t>
        </is>
      </c>
      <c r="E229" t="inlineStr">
        <is>
          <t>Mission: Impossible</t>
        </is>
      </c>
      <c r="F229" s="64" t="n"/>
      <c r="I229" s="64" t="n"/>
      <c r="J229" s="64" t="inlineStr">
        <is>
          <t>Christopher McQuarrie</t>
        </is>
      </c>
      <c r="K229" s="64" t="n">
        <v>131</v>
      </c>
      <c r="L229" s="64" t="inlineStr">
        <is>
          <t>Action, Adventure</t>
        </is>
      </c>
      <c r="M229" s="64" t="inlineStr">
        <is>
          <t>Paramount, Bad Robot, Odin</t>
        </is>
      </c>
      <c r="N229" s="64" t="inlineStr">
        <is>
          <t>https://huggingface.co/datasets/HenryWaltson/TMDB-IMDB-Movies-Dataset</t>
        </is>
      </c>
      <c r="O229" s="64" t="inlineStr">
        <is>
          <t>https://huggingface.co/datasets/HenryWaltson/TMDB-IMDB-Movies-Dataset</t>
        </is>
      </c>
      <c r="P229" t="inlineStr">
        <is>
          <t>Tom Cruise</t>
        </is>
      </c>
      <c r="Q229" t="inlineStr">
        <is>
          <t>Jeremy Renner</t>
        </is>
      </c>
      <c r="R229" t="inlineStr">
        <is>
          <t>Simon Pegg</t>
        </is>
      </c>
      <c r="S229" t="inlineStr">
        <is>
          <t>Rebecca Ferguson</t>
        </is>
      </c>
      <c r="T229" t="inlineStr">
        <is>
          <t>Ving Rhames</t>
        </is>
      </c>
      <c r="U229" s="71" t="n">
        <v>0</v>
      </c>
      <c r="V229" s="71" t="n">
        <v>0</v>
      </c>
      <c r="X229" s="82">
        <f>IFERROR(INDEX(Ratings!$E$5:$E$500,MATCH(A229,Ratings!$A$5:$A$500,0)),"")</f>
        <v/>
      </c>
      <c r="Y229" s="71">
        <f>IFERROR(INDEX(Ratings!$G$5:$G$500,MATCH(A229,Ratings!$A$5:$A$500,0)),"")</f>
        <v/>
      </c>
      <c r="Z229" s="83">
        <f>IFERROR(INDEX(Ratings!$I$5:$I$500,MATCH(A229,Ratings!$A$5:$A$500,0)),"")</f>
        <v/>
      </c>
    </row>
    <row r="230" ht="15.75" customHeight="1" s="95">
      <c r="A230" t="inlineStr">
        <is>
          <t>F0226</t>
        </is>
      </c>
      <c r="B230" t="inlineStr">
        <is>
          <t>Mission: Impossible - Fallout</t>
        </is>
      </c>
      <c r="C230" s="63" t="inlineStr">
        <is>
          <t>2018</t>
        </is>
      </c>
      <c r="D230" t="inlineStr">
        <is>
          <t>Blu-ray</t>
        </is>
      </c>
      <c r="E230" t="inlineStr">
        <is>
          <t>Mission: Impossible</t>
        </is>
      </c>
      <c r="F230" s="64" t="n"/>
      <c r="I230" s="64" t="n"/>
      <c r="J230" s="64" t="inlineStr">
        <is>
          <t>Christopher McQuarrie</t>
        </is>
      </c>
      <c r="K230" s="64" t="n">
        <v>147</v>
      </c>
      <c r="L230" s="64" t="inlineStr">
        <is>
          <t>Action, Adventure</t>
        </is>
      </c>
      <c r="M230" s="64" t="inlineStr">
        <is>
          <t>Paramount, Bad Robot, Skydance</t>
        </is>
      </c>
      <c r="N230" s="64" t="inlineStr">
        <is>
          <t>https://huggingface.co/datasets/HenryWaltson/TMDB-IMDB-Movies-Dataset</t>
        </is>
      </c>
      <c r="O230" s="64" t="inlineStr">
        <is>
          <t>https://huggingface.co/datasets/HenryWaltson/TMDB-IMDB-Movies-Dataset</t>
        </is>
      </c>
      <c r="P230" t="inlineStr">
        <is>
          <t>Tom Cruise</t>
        </is>
      </c>
      <c r="Q230" t="inlineStr">
        <is>
          <t>Henry Cavill</t>
        </is>
      </c>
      <c r="R230" t="inlineStr">
        <is>
          <t>Ving Rhames</t>
        </is>
      </c>
      <c r="S230" t="inlineStr">
        <is>
          <t>Simon Pegg</t>
        </is>
      </c>
      <c r="T230" t="inlineStr">
        <is>
          <t>Rebecca Ferguson</t>
        </is>
      </c>
      <c r="U230" s="71" t="n">
        <v>0</v>
      </c>
      <c r="V230" s="71" t="n">
        <v>0</v>
      </c>
      <c r="X230" s="82">
        <f>IFERROR(INDEX(Ratings!$E$5:$E$500,MATCH(A230,Ratings!$A$5:$A$500,0)),"")</f>
        <v/>
      </c>
      <c r="Y230" s="71">
        <f>IFERROR(INDEX(Ratings!$G$5:$G$500,MATCH(A230,Ratings!$A$5:$A$500,0)),"")</f>
        <v/>
      </c>
      <c r="Z230" s="83">
        <f>IFERROR(INDEX(Ratings!$I$5:$I$500,MATCH(A230,Ratings!$A$5:$A$500,0)),"")</f>
        <v/>
      </c>
    </row>
    <row r="231" ht="15.75" customHeight="1" s="95">
      <c r="A231" t="inlineStr">
        <is>
          <t>F0227</t>
        </is>
      </c>
      <c r="B231" t="inlineStr">
        <is>
          <t>Mission: Impossible - Dead Reckoning Part One</t>
        </is>
      </c>
      <c r="C231" s="63" t="inlineStr">
        <is>
          <t>2023</t>
        </is>
      </c>
      <c r="D231" t="inlineStr">
        <is>
          <t>Blu-ray</t>
        </is>
      </c>
      <c r="E231" t="inlineStr">
        <is>
          <t>Mission: Impossible</t>
        </is>
      </c>
      <c r="F231" s="64" t="n"/>
      <c r="I231" s="64" t="n"/>
      <c r="J231" s="64" t="inlineStr">
        <is>
          <t>Christopher McQuarrie</t>
        </is>
      </c>
      <c r="K231" s="64" t="n">
        <v>164</v>
      </c>
      <c r="L231" s="64" t="inlineStr">
        <is>
          <t>Action, Thriller</t>
        </is>
      </c>
      <c r="M231" s="64" t="inlineStr">
        <is>
          <t>Paramount, Skydance, TC Productions</t>
        </is>
      </c>
      <c r="N231" s="64" t="inlineStr">
        <is>
          <t>https://huggingface.co/datasets/HenryWaltson/TMDB-IMDB-Movies-Dataset</t>
        </is>
      </c>
      <c r="O231" s="64" t="inlineStr">
        <is>
          <t>https://huggingface.co/datasets/HenryWaltson/TMDB-IMDB-Movies-Dataset</t>
        </is>
      </c>
      <c r="P231" t="inlineStr">
        <is>
          <t>Tom Cruise</t>
        </is>
      </c>
      <c r="Q231" t="inlineStr">
        <is>
          <t>Hayley Atwell</t>
        </is>
      </c>
      <c r="R231" t="inlineStr">
        <is>
          <t>Ving Rhames</t>
        </is>
      </c>
      <c r="S231" t="inlineStr">
        <is>
          <t>Simon Pegg</t>
        </is>
      </c>
      <c r="T231" t="inlineStr">
        <is>
          <t>Rebecca Ferguson</t>
        </is>
      </c>
      <c r="U231" s="71" t="n">
        <v>2</v>
      </c>
      <c r="V231" s="71" t="n">
        <v>0</v>
      </c>
      <c r="X231" s="82">
        <f>IFERROR(INDEX(Ratings!$E$5:$E$500,MATCH(A231,Ratings!$A$5:$A$500,0)),"")</f>
        <v/>
      </c>
      <c r="Y231" s="71">
        <f>IFERROR(INDEX(Ratings!$G$5:$G$500,MATCH(A231,Ratings!$A$5:$A$500,0)),"")</f>
        <v/>
      </c>
      <c r="Z231" s="83">
        <f>IFERROR(INDEX(Ratings!$I$5:$I$500,MATCH(A231,Ratings!$A$5:$A$500,0)),"")</f>
        <v/>
      </c>
    </row>
    <row r="232" ht="15.75" customHeight="1" s="95">
      <c r="A232" t="inlineStr">
        <is>
          <t>F0228</t>
        </is>
      </c>
      <c r="B232" t="inlineStr">
        <is>
          <t>Mission: Impossible - The Final Reckoning</t>
        </is>
      </c>
      <c r="C232" s="63" t="inlineStr">
        <is>
          <t>2025</t>
        </is>
      </c>
      <c r="D232" t="inlineStr">
        <is>
          <t>Blu-ray</t>
        </is>
      </c>
      <c r="E232" t="inlineStr">
        <is>
          <t>Mission: Impossible</t>
        </is>
      </c>
      <c r="F232" s="64" t="n"/>
      <c r="I232" s="64" t="n"/>
      <c r="J232" s="64" t="inlineStr">
        <is>
          <t>Christopher McQuarrie</t>
        </is>
      </c>
      <c r="K232" s="64" t="n">
        <v>169</v>
      </c>
      <c r="L232" s="64" t="inlineStr">
        <is>
          <t>Action, Adventure, Thriller</t>
        </is>
      </c>
      <c r="M232" s="64" t="inlineStr">
        <is>
          <t>Paramount Pictures, Skydance Media</t>
        </is>
      </c>
      <c r="N232" s="64" t="inlineStr">
        <is>
          <t>https://huggingface.co/datasets/HenryWaltson/TMDB-IMDB-Movies-Dataset</t>
        </is>
      </c>
      <c r="O232" s="64" t="inlineStr">
        <is>
          <t>https://www.imdb.com/title/tt9603208/fullcredits/</t>
        </is>
      </c>
      <c r="P232" t="inlineStr">
        <is>
          <t>Tom Cruise</t>
        </is>
      </c>
      <c r="Q232" t="inlineStr">
        <is>
          <t>Hayley Atwell</t>
        </is>
      </c>
      <c r="R232" t="inlineStr">
        <is>
          <t>Ving Rhames</t>
        </is>
      </c>
      <c r="S232" t="inlineStr">
        <is>
          <t>Simon Pegg</t>
        </is>
      </c>
      <c r="T232" t="inlineStr">
        <is>
          <t>Esai Morales</t>
        </is>
      </c>
      <c r="U232" s="71" t="n">
        <v>0</v>
      </c>
      <c r="V232" s="71" t="n">
        <v>0</v>
      </c>
      <c r="X232" s="82">
        <f>IFERROR(INDEX(Ratings!$E$5:$E$500,MATCH(A232,Ratings!$A$5:$A$500,0)),"")</f>
        <v/>
      </c>
      <c r="Y232" s="71">
        <f>IFERROR(INDEX(Ratings!$G$5:$G$500,MATCH(A232,Ratings!$A$5:$A$500,0)),"")</f>
        <v/>
      </c>
      <c r="Z232" s="83">
        <f>IFERROR(INDEX(Ratings!$I$5:$I$500,MATCH(A232,Ratings!$A$5:$A$500,0)),"")</f>
        <v/>
      </c>
    </row>
    <row r="233" ht="15.75" customHeight="1" s="95">
      <c r="A233" t="inlineStr">
        <is>
          <t>F0229</t>
        </is>
      </c>
      <c r="B233" t="inlineStr">
        <is>
          <t>Monsters, Inc.</t>
        </is>
      </c>
      <c r="C233" s="63" t="inlineStr">
        <is>
          <t>2001</t>
        </is>
      </c>
      <c r="D233" t="inlineStr">
        <is>
          <t>Blu-ray</t>
        </is>
      </c>
      <c r="E233" t="inlineStr">
        <is>
          <t>Monsters, Inc.</t>
        </is>
      </c>
      <c r="F233" s="64" t="n"/>
      <c r="I233" s="64" t="n"/>
      <c r="J233" s="64" t="inlineStr">
        <is>
          <t>Pete Docter, David Silverman, Lee Unkrich</t>
        </is>
      </c>
      <c r="K233" s="64" t="n">
        <v>92</v>
      </c>
      <c r="L233" s="64" t="inlineStr">
        <is>
          <t>Animation, Comedy, Family</t>
        </is>
      </c>
      <c r="M233" s="64" t="inlineStr">
        <is>
          <t>Pixar</t>
        </is>
      </c>
      <c r="N233" s="64" t="inlineStr">
        <is>
          <t>https://huggingface.co/datasets/HenryWaltson/TMDB-IMDB-Movies-Dataset</t>
        </is>
      </c>
      <c r="O233" s="64" t="inlineStr">
        <is>
          <t>https://huggingface.co/datasets/HenryWaltson/TMDB-IMDB-Movies-Dataset</t>
        </is>
      </c>
      <c r="P233" t="inlineStr">
        <is>
          <t>John Goodman</t>
        </is>
      </c>
      <c r="Q233" t="inlineStr">
        <is>
          <t>Billy Crystal</t>
        </is>
      </c>
      <c r="R233" t="inlineStr">
        <is>
          <t>Mary Gibbs</t>
        </is>
      </c>
      <c r="S233" t="inlineStr">
        <is>
          <t>Steve Buscemi</t>
        </is>
      </c>
      <c r="T233" t="inlineStr">
        <is>
          <t>James Coburn</t>
        </is>
      </c>
      <c r="U233" s="71" t="n">
        <v>4</v>
      </c>
      <c r="V233" s="71" t="n">
        <v>1</v>
      </c>
      <c r="X233" s="82">
        <f>IFERROR(INDEX(Ratings!$E$5:$E$500,MATCH(A233,Ratings!$A$5:$A$500,0)),"")</f>
        <v/>
      </c>
      <c r="Y233" s="71">
        <f>IFERROR(INDEX(Ratings!$G$5:$G$500,MATCH(A233,Ratings!$A$5:$A$500,0)),"")</f>
        <v/>
      </c>
      <c r="Z233" s="83">
        <f>IFERROR(INDEX(Ratings!$I$5:$I$500,MATCH(A233,Ratings!$A$5:$A$500,0)),"")</f>
        <v/>
      </c>
    </row>
    <row r="234" ht="15.75" customHeight="1" s="95">
      <c r="A234" t="inlineStr">
        <is>
          <t>F0230</t>
        </is>
      </c>
      <c r="B234" t="inlineStr">
        <is>
          <t>Monsters University</t>
        </is>
      </c>
      <c r="C234" s="63" t="inlineStr">
        <is>
          <t>2013</t>
        </is>
      </c>
      <c r="D234" t="inlineStr">
        <is>
          <t>Blu-ray</t>
        </is>
      </c>
      <c r="E234" t="inlineStr">
        <is>
          <t>Monsters, Inc.</t>
        </is>
      </c>
      <c r="F234" s="64" t="n"/>
      <c r="I234" s="64" t="n"/>
      <c r="J234" s="64" t="inlineStr">
        <is>
          <t>Dan Scanlon</t>
        </is>
      </c>
      <c r="K234" s="64" t="n">
        <v>104</v>
      </c>
      <c r="L234" s="64" t="inlineStr">
        <is>
          <t>Animation, Family</t>
        </is>
      </c>
      <c r="M234" s="64" t="inlineStr">
        <is>
          <t>Pixar, Walt Disney Pictures</t>
        </is>
      </c>
      <c r="N234" s="64" t="inlineStr">
        <is>
          <t>https://huggingface.co/datasets/HenryWaltson/TMDB-IMDB-Movies-Dataset</t>
        </is>
      </c>
      <c r="O234" s="64" t="inlineStr">
        <is>
          <t>https://huggingface.co/datasets/HenryWaltson/TMDB-IMDB-Movies-Dataset</t>
        </is>
      </c>
      <c r="P234" t="inlineStr">
        <is>
          <t>Billy Crystal</t>
        </is>
      </c>
      <c r="Q234" t="inlineStr">
        <is>
          <t>John Goodman</t>
        </is>
      </c>
      <c r="R234" t="inlineStr">
        <is>
          <t>Steve Buscemi</t>
        </is>
      </c>
      <c r="S234" t="inlineStr">
        <is>
          <t>Helen Mirren</t>
        </is>
      </c>
      <c r="T234" t="inlineStr">
        <is>
          <t>Peter Sohn</t>
        </is>
      </c>
      <c r="U234" s="71" t="n">
        <v>0</v>
      </c>
      <c r="V234" s="71" t="n">
        <v>0</v>
      </c>
      <c r="X234" s="82">
        <f>IFERROR(INDEX(Ratings!$E$5:$E$500,MATCH(A234,Ratings!$A$5:$A$500,0)),"")</f>
        <v/>
      </c>
      <c r="Y234" s="71">
        <f>IFERROR(INDEX(Ratings!$G$5:$G$500,MATCH(A234,Ratings!$A$5:$A$500,0)),"")</f>
        <v/>
      </c>
      <c r="Z234" s="83">
        <f>IFERROR(INDEX(Ratings!$I$5:$I$500,MATCH(A234,Ratings!$A$5:$A$500,0)),"")</f>
        <v/>
      </c>
    </row>
    <row r="235" ht="15.75" customHeight="1" s="95">
      <c r="A235" t="inlineStr">
        <is>
          <t>F0231</t>
        </is>
      </c>
      <c r="B235" t="inlineStr">
        <is>
          <t>Mr. &amp; Mrs. Smith</t>
        </is>
      </c>
      <c r="C235" s="63" t="inlineStr">
        <is>
          <t>2005</t>
        </is>
      </c>
      <c r="D235" t="inlineStr">
        <is>
          <t>Blu-ray</t>
        </is>
      </c>
      <c r="F235" s="64" t="n"/>
      <c r="I235" s="64" t="n"/>
      <c r="J235" s="64" t="inlineStr">
        <is>
          <t>Doug Liman</t>
        </is>
      </c>
      <c r="K235" s="64" t="n">
        <v>120</v>
      </c>
      <c r="L235" s="64" t="inlineStr">
        <is>
          <t>Action, Comedy, Drama, Thriller</t>
        </is>
      </c>
      <c r="M235" s="64" t="inlineStr">
        <is>
          <t>Epsilon Motion Pictures, Weed Road Pictures, Regency Enterprises</t>
        </is>
      </c>
      <c r="N235" s="64" t="inlineStr">
        <is>
          <t>https://huggingface.co/datasets/HenryWaltson/TMDB-IMDB-Movies-Dataset</t>
        </is>
      </c>
      <c r="O235" s="64" t="inlineStr">
        <is>
          <t>https://huggingface.co/datasets/HenryWaltson/TMDB-IMDB-Movies-Dataset</t>
        </is>
      </c>
      <c r="P235" t="inlineStr">
        <is>
          <t>Brad Pitt</t>
        </is>
      </c>
      <c r="Q235" t="inlineStr">
        <is>
          <t>Angelina Jolie</t>
        </is>
      </c>
      <c r="R235" t="inlineStr">
        <is>
          <t>Vince Vaughn</t>
        </is>
      </c>
      <c r="S235" t="inlineStr">
        <is>
          <t>Adam Brody</t>
        </is>
      </c>
      <c r="T235" t="inlineStr">
        <is>
          <t>Kerry Washington</t>
        </is>
      </c>
      <c r="U235" s="71" t="n">
        <v>0</v>
      </c>
      <c r="V235" s="71" t="n">
        <v>0</v>
      </c>
      <c r="X235" s="82">
        <f>IFERROR(INDEX(Ratings!$E$5:$E$500,MATCH(A235,Ratings!$A$5:$A$500,0)),"")</f>
        <v/>
      </c>
      <c r="Y235" s="71">
        <f>IFERROR(INDEX(Ratings!$G$5:$G$500,MATCH(A235,Ratings!$A$5:$A$500,0)),"")</f>
        <v/>
      </c>
      <c r="Z235" s="83">
        <f>IFERROR(INDEX(Ratings!$I$5:$I$500,MATCH(A235,Ratings!$A$5:$A$500,0)),"")</f>
        <v/>
      </c>
    </row>
    <row r="236" ht="15.75" customHeight="1" s="95">
      <c r="A236" t="inlineStr">
        <is>
          <t>F0232</t>
        </is>
      </c>
      <c r="B236" t="inlineStr">
        <is>
          <t>Muppets Most Wanted</t>
        </is>
      </c>
      <c r="C236" s="63" t="inlineStr">
        <is>
          <t>2014</t>
        </is>
      </c>
      <c r="D236" t="inlineStr">
        <is>
          <t>Blu-ray</t>
        </is>
      </c>
      <c r="F236" s="64" t="n"/>
      <c r="I236" s="64" t="n"/>
      <c r="J236" s="64" t="inlineStr">
        <is>
          <t>James Bobin</t>
        </is>
      </c>
      <c r="K236" s="64" t="n">
        <v>107</v>
      </c>
      <c r="L236" s="64" t="inlineStr">
        <is>
          <t>Comedy, Adventure, Crime</t>
        </is>
      </c>
      <c r="M236" s="64" t="inlineStr">
        <is>
          <t>Walt Disney Pictures, Mandeville Films, The Muppets Studio</t>
        </is>
      </c>
      <c r="N236" s="64" t="inlineStr">
        <is>
          <t>https://huggingface.co/datasets/HenryWaltson/TMDB-IMDB-Movies-Dataset</t>
        </is>
      </c>
      <c r="O236" s="64" t="inlineStr">
        <is>
          <t>https://huggingface.co/datasets/HenryWaltson/TMDB-IMDB-Movies-Dataset</t>
        </is>
      </c>
      <c r="P236" t="inlineStr">
        <is>
          <t>Ricky Gervais</t>
        </is>
      </c>
      <c r="Q236" t="inlineStr">
        <is>
          <t>Ty Burrell</t>
        </is>
      </c>
      <c r="R236" t="inlineStr">
        <is>
          <t>Tina Fey</t>
        </is>
      </c>
      <c r="S236" t="inlineStr">
        <is>
          <t>Steve Whitmire</t>
        </is>
      </c>
      <c r="T236" t="inlineStr">
        <is>
          <t>Eric Jacobson</t>
        </is>
      </c>
      <c r="U236" s="71" t="n">
        <v>0</v>
      </c>
      <c r="V236" s="71" t="n">
        <v>0</v>
      </c>
      <c r="X236" s="82">
        <f>IFERROR(INDEX(Ratings!$E$5:$E$500,MATCH(A236,Ratings!$A$5:$A$500,0)),"")</f>
        <v/>
      </c>
      <c r="Y236" s="71">
        <f>IFERROR(INDEX(Ratings!$G$5:$G$500,MATCH(A236,Ratings!$A$5:$A$500,0)),"")</f>
        <v/>
      </c>
      <c r="Z236" s="83">
        <f>IFERROR(INDEX(Ratings!$I$5:$I$500,MATCH(A236,Ratings!$A$5:$A$500,0)),"")</f>
        <v/>
      </c>
    </row>
    <row r="237" ht="15.75" customHeight="1" s="95">
      <c r="A237" t="inlineStr">
        <is>
          <t>F0233</t>
        </is>
      </c>
      <c r="B237" t="inlineStr">
        <is>
          <t>National Treasure: Book of Secrets</t>
        </is>
      </c>
      <c r="C237" s="63" t="inlineStr">
        <is>
          <t>2007</t>
        </is>
      </c>
      <c r="D237" t="inlineStr">
        <is>
          <t>Blu-ray</t>
        </is>
      </c>
      <c r="F237" s="64" t="n"/>
      <c r="I237" s="64" t="n"/>
      <c r="J237" s="64" t="inlineStr">
        <is>
          <t>Jon Turteltaub</t>
        </is>
      </c>
      <c r="K237" s="64" t="n">
        <v>124</v>
      </c>
      <c r="L237" s="64" t="inlineStr">
        <is>
          <t>Action, Adventure, Mystery, Thriller</t>
        </is>
      </c>
      <c r="M237" s="64" t="inlineStr">
        <is>
          <t>Walt Disney Pictures, Jerry Bruckheimer Films, Saturn Films</t>
        </is>
      </c>
      <c r="N237" s="64" t="inlineStr">
        <is>
          <t>https://huggingface.co/datasets/HenryWaltson/TMDB-IMDB-Movies-Dataset</t>
        </is>
      </c>
      <c r="O237" s="64" t="inlineStr">
        <is>
          <t>https://huggingface.co/datasets/HenryWaltson/TMDB-IMDB-Movies-Dataset</t>
        </is>
      </c>
      <c r="P237" t="inlineStr">
        <is>
          <t>Nicolas Cage</t>
        </is>
      </c>
      <c r="Q237" t="inlineStr">
        <is>
          <t>Diane Kruger</t>
        </is>
      </c>
      <c r="R237" t="inlineStr">
        <is>
          <t>Justin Bartha</t>
        </is>
      </c>
      <c r="S237" t="inlineStr">
        <is>
          <t>Ed Harris</t>
        </is>
      </c>
      <c r="T237" t="inlineStr">
        <is>
          <t>Jon Voight</t>
        </is>
      </c>
      <c r="U237" s="71" t="n">
        <v>0</v>
      </c>
      <c r="V237" s="71" t="n">
        <v>0</v>
      </c>
      <c r="X237" s="82">
        <f>IFERROR(INDEX(Ratings!$E$5:$E$500,MATCH(A237,Ratings!$A$5:$A$500,0)),"")</f>
        <v/>
      </c>
      <c r="Y237" s="71">
        <f>IFERROR(INDEX(Ratings!$G$5:$G$500,MATCH(A237,Ratings!$A$5:$A$500,0)),"")</f>
        <v/>
      </c>
      <c r="Z237" s="83">
        <f>IFERROR(INDEX(Ratings!$I$5:$I$500,MATCH(A237,Ratings!$A$5:$A$500,0)),"")</f>
        <v/>
      </c>
    </row>
    <row r="238" ht="15.75" customHeight="1" s="95">
      <c r="A238" t="inlineStr">
        <is>
          <t>F0234</t>
        </is>
      </c>
      <c r="B238" t="inlineStr">
        <is>
          <t>Need for Speed</t>
        </is>
      </c>
      <c r="C238" s="63" t="inlineStr">
        <is>
          <t>2014</t>
        </is>
      </c>
      <c r="D238" t="inlineStr">
        <is>
          <t>Blu-ray</t>
        </is>
      </c>
      <c r="F238" s="64" t="n"/>
      <c r="I238" s="64" t="n"/>
      <c r="J238" s="64" t="inlineStr">
        <is>
          <t>Scott Waugh</t>
        </is>
      </c>
      <c r="K238" s="64" t="n">
        <v>132</v>
      </c>
      <c r="L238" s="64" t="inlineStr">
        <is>
          <t>Action, Crime, Drama, Thriller</t>
        </is>
      </c>
      <c r="M238" s="64" t="inlineStr">
        <is>
          <t>Revolution Sun Studios, Reliance Entertainment, Bandito Brothers</t>
        </is>
      </c>
      <c r="N238" s="64" t="inlineStr">
        <is>
          <t>https://huggingface.co/datasets/HenryWaltson/TMDB-IMDB-Movies-Dataset</t>
        </is>
      </c>
      <c r="O238" s="64" t="inlineStr">
        <is>
          <t>https://huggingface.co/datasets/HenryWaltson/TMDB-IMDB-Movies-Dataset</t>
        </is>
      </c>
      <c r="P238" t="inlineStr">
        <is>
          <t>Aaron Paul</t>
        </is>
      </c>
      <c r="Q238" t="inlineStr">
        <is>
          <t>Dominic Cooper</t>
        </is>
      </c>
      <c r="R238" t="inlineStr">
        <is>
          <t>Imogen Poots</t>
        </is>
      </c>
      <c r="S238" t="inlineStr">
        <is>
          <t>Kid Cudi</t>
        </is>
      </c>
      <c r="T238" t="inlineStr">
        <is>
          <t>Rami Malek</t>
        </is>
      </c>
      <c r="U238" s="71" t="n">
        <v>0</v>
      </c>
      <c r="V238" s="71" t="n">
        <v>0</v>
      </c>
      <c r="X238" s="82">
        <f>IFERROR(INDEX(Ratings!$E$5:$E$500,MATCH(A238,Ratings!$A$5:$A$500,0)),"")</f>
        <v/>
      </c>
      <c r="Y238" s="71">
        <f>IFERROR(INDEX(Ratings!$G$5:$G$500,MATCH(A238,Ratings!$A$5:$A$500,0)),"")</f>
        <v/>
      </c>
      <c r="Z238" s="83">
        <f>IFERROR(INDEX(Ratings!$I$5:$I$500,MATCH(A238,Ratings!$A$5:$A$500,0)),"")</f>
        <v/>
      </c>
    </row>
    <row r="239" ht="15.75" customHeight="1" s="95">
      <c r="A239" t="inlineStr">
        <is>
          <t>F0235</t>
        </is>
      </c>
      <c r="B239" t="inlineStr">
        <is>
          <t>The Nice Guys</t>
        </is>
      </c>
      <c r="C239" s="63" t="inlineStr">
        <is>
          <t>2016</t>
        </is>
      </c>
      <c r="D239" t="inlineStr">
        <is>
          <t>Blu-ray</t>
        </is>
      </c>
      <c r="F239" s="64" t="n"/>
      <c r="I239" s="64" t="n"/>
      <c r="J239" s="64" t="inlineStr">
        <is>
          <t>Shane Black</t>
        </is>
      </c>
      <c r="K239" s="64" t="n">
        <v>116</v>
      </c>
      <c r="L239" s="64" t="inlineStr">
        <is>
          <t>Comedy, Crime, Action</t>
        </is>
      </c>
      <c r="M239" s="64" t="inlineStr">
        <is>
          <t>Silver Pictures, Waypoint Entertainment, Bloom</t>
        </is>
      </c>
      <c r="N239" s="64" t="inlineStr">
        <is>
          <t>https://huggingface.co/datasets/HenryWaltson/TMDB-IMDB-Movies-Dataset</t>
        </is>
      </c>
      <c r="O239" s="64" t="inlineStr">
        <is>
          <t>https://huggingface.co/datasets/HenryWaltson/TMDB-IMDB-Movies-Dataset</t>
        </is>
      </c>
      <c r="P239" t="inlineStr">
        <is>
          <t>Russell Crowe</t>
        </is>
      </c>
      <c r="Q239" t="inlineStr">
        <is>
          <t>Ryan Gosling</t>
        </is>
      </c>
      <c r="R239" t="inlineStr">
        <is>
          <t>Angourie Rice</t>
        </is>
      </c>
      <c r="S239" t="inlineStr">
        <is>
          <t>Matt Bomer</t>
        </is>
      </c>
      <c r="T239" t="inlineStr">
        <is>
          <t>Margaret Qualley</t>
        </is>
      </c>
      <c r="U239" s="71" t="n">
        <v>0</v>
      </c>
      <c r="V239" s="71" t="n">
        <v>0</v>
      </c>
      <c r="X239" s="82">
        <f>IFERROR(INDEX(Ratings!$E$5:$E$500,MATCH(A239,Ratings!$A$5:$A$500,0)),"")</f>
        <v/>
      </c>
      <c r="Y239" s="71">
        <f>IFERROR(INDEX(Ratings!$G$5:$G$500,MATCH(A239,Ratings!$A$5:$A$500,0)),"")</f>
        <v/>
      </c>
      <c r="Z239" s="83">
        <f>IFERROR(INDEX(Ratings!$I$5:$I$500,MATCH(A239,Ratings!$A$5:$A$500,0)),"")</f>
        <v/>
      </c>
    </row>
    <row r="240" ht="15.75" customHeight="1" s="95">
      <c r="A240" t="inlineStr">
        <is>
          <t>F0236</t>
        </is>
      </c>
      <c r="B240" t="inlineStr">
        <is>
          <t>Night at the Museum: Battle of the Smithsonian</t>
        </is>
      </c>
      <c r="C240" s="63" t="inlineStr">
        <is>
          <t>2009</t>
        </is>
      </c>
      <c r="D240" t="inlineStr">
        <is>
          <t>Blu-ray</t>
        </is>
      </c>
      <c r="F240" s="64" t="n"/>
      <c r="I240" s="64" t="n"/>
      <c r="J240" s="64" t="inlineStr">
        <is>
          <t>Shawn Levy</t>
        </is>
      </c>
      <c r="K240" s="64" t="n">
        <v>105</v>
      </c>
      <c r="L240" s="64" t="inlineStr">
        <is>
          <t>Adventure, Fantasy, Action, Comedy, Family</t>
        </is>
      </c>
      <c r="M240" s="64" t="inlineStr">
        <is>
          <t>21 Laps Entertainment, 1492 Pictures, Dune Entertainment</t>
        </is>
      </c>
      <c r="N240" s="64" t="inlineStr">
        <is>
          <t>https://huggingface.co/datasets/HenryWaltson/TMDB-IMDB-Movies-Dataset</t>
        </is>
      </c>
      <c r="O240" s="64" t="inlineStr">
        <is>
          <t>https://huggingface.co/datasets/HenryWaltson/TMDB-IMDB-Movies-Dataset</t>
        </is>
      </c>
      <c r="P240" t="inlineStr">
        <is>
          <t>Ben Stiller</t>
        </is>
      </c>
      <c r="Q240" t="inlineStr">
        <is>
          <t>Amy Adams</t>
        </is>
      </c>
      <c r="R240" t="inlineStr">
        <is>
          <t>Owen Wilson</t>
        </is>
      </c>
      <c r="S240" t="inlineStr">
        <is>
          <t>Hank Azaria</t>
        </is>
      </c>
      <c r="T240" t="inlineStr">
        <is>
          <t>Robin Williams</t>
        </is>
      </c>
      <c r="U240" s="71" t="n">
        <v>0</v>
      </c>
      <c r="V240" s="71" t="n">
        <v>0</v>
      </c>
      <c r="X240" s="82">
        <f>IFERROR(INDEX(Ratings!$E$5:$E$500,MATCH(A240,Ratings!$A$5:$A$500,0)),"")</f>
        <v/>
      </c>
      <c r="Y240" s="71">
        <f>IFERROR(INDEX(Ratings!$G$5:$G$500,MATCH(A240,Ratings!$A$5:$A$500,0)),"")</f>
        <v/>
      </c>
      <c r="Z240" s="83">
        <f>IFERROR(INDEX(Ratings!$I$5:$I$500,MATCH(A240,Ratings!$A$5:$A$500,0)),"")</f>
        <v/>
      </c>
    </row>
    <row r="241" ht="15.75" customHeight="1" s="95">
      <c r="A241" t="inlineStr">
        <is>
          <t>F0237</t>
        </is>
      </c>
      <c r="B241" t="inlineStr">
        <is>
          <t>The Notebook</t>
        </is>
      </c>
      <c r="C241" s="63" t="inlineStr">
        <is>
          <t>2004</t>
        </is>
      </c>
      <c r="D241" t="inlineStr">
        <is>
          <t>Blu-ray</t>
        </is>
      </c>
      <c r="F241" s="64" t="n"/>
      <c r="I241" s="64" t="n"/>
      <c r="J241" s="64" t="inlineStr">
        <is>
          <t>Nick Cassavetes</t>
        </is>
      </c>
      <c r="K241" s="64" t="n">
        <v>123</v>
      </c>
      <c r="L241" s="64" t="inlineStr">
        <is>
          <t>Romance, Drama</t>
        </is>
      </c>
      <c r="M241" s="64" t="inlineStr">
        <is>
          <t>New Line Cinema, Avery Pix, Gran Via Productions</t>
        </is>
      </c>
      <c r="N241" s="64" t="inlineStr">
        <is>
          <t>https://huggingface.co/datasets/HenryWaltson/TMDB-IMDB-Movies-Dataset</t>
        </is>
      </c>
      <c r="O241" s="64" t="inlineStr">
        <is>
          <t>https://huggingface.co/datasets/HenryWaltson/TMDB-IMDB-Movies-Dataset</t>
        </is>
      </c>
      <c r="P241" t="inlineStr">
        <is>
          <t>Ryan Gosling</t>
        </is>
      </c>
      <c r="Q241" t="inlineStr">
        <is>
          <t>Rachel McAdams</t>
        </is>
      </c>
      <c r="R241" t="inlineStr">
        <is>
          <t>Gena Rowlands</t>
        </is>
      </c>
      <c r="S241" t="inlineStr">
        <is>
          <t>James Garner</t>
        </is>
      </c>
      <c r="T241" t="inlineStr">
        <is>
          <t>Joan Allen</t>
        </is>
      </c>
      <c r="U241" s="71" t="n">
        <v>0</v>
      </c>
      <c r="V241" s="71" t="n">
        <v>0</v>
      </c>
      <c r="X241" s="82">
        <f>IFERROR(INDEX(Ratings!$E$5:$E$500,MATCH(A241,Ratings!$A$5:$A$500,0)),"")</f>
        <v/>
      </c>
      <c r="Y241" s="71">
        <f>IFERROR(INDEX(Ratings!$G$5:$G$500,MATCH(A241,Ratings!$A$5:$A$500,0)),"")</f>
        <v/>
      </c>
      <c r="Z241" s="83">
        <f>IFERROR(INDEX(Ratings!$I$5:$I$500,MATCH(A241,Ratings!$A$5:$A$500,0)),"")</f>
        <v/>
      </c>
    </row>
    <row r="242" ht="15.75" customHeight="1" s="95">
      <c r="A242" t="inlineStr">
        <is>
          <t>F0238</t>
        </is>
      </c>
      <c r="B242" t="inlineStr">
        <is>
          <t>Noah</t>
        </is>
      </c>
      <c r="C242" s="63" t="inlineStr">
        <is>
          <t>2014</t>
        </is>
      </c>
      <c r="D242" t="inlineStr">
        <is>
          <t>Blu-ray</t>
        </is>
      </c>
      <c r="F242" s="64" t="n"/>
      <c r="I242" s="64" t="n"/>
      <c r="J242" s="64" t="inlineStr">
        <is>
          <t>Darren Aronofsky</t>
        </is>
      </c>
      <c r="K242" s="64" t="n">
        <v>138</v>
      </c>
      <c r="L242" s="64" t="inlineStr">
        <is>
          <t>Drama, Adventure</t>
        </is>
      </c>
      <c r="M242" s="64" t="inlineStr">
        <is>
          <t>Disruption Entertainment, Paramount, Regency Enterprises</t>
        </is>
      </c>
      <c r="N242" s="64" t="inlineStr">
        <is>
          <t>https://huggingface.co/datasets/HenryWaltson/TMDB-IMDB-Movies-Dataset</t>
        </is>
      </c>
      <c r="O242" s="64" t="inlineStr">
        <is>
          <t>https://huggingface.co/datasets/HenryWaltson/TMDB-IMDB-Movies-Dataset</t>
        </is>
      </c>
      <c r="P242" t="inlineStr">
        <is>
          <t>Russell Crowe</t>
        </is>
      </c>
      <c r="Q242" t="inlineStr">
        <is>
          <t>Jennifer Connelly</t>
        </is>
      </c>
      <c r="R242" t="inlineStr">
        <is>
          <t>Ray Winstone</t>
        </is>
      </c>
      <c r="S242" t="inlineStr">
        <is>
          <t>Anthony Hopkins</t>
        </is>
      </c>
      <c r="T242" t="inlineStr">
        <is>
          <t>Emma Watson</t>
        </is>
      </c>
      <c r="U242" s="71" t="n">
        <v>0</v>
      </c>
      <c r="V242" s="71" t="n">
        <v>0</v>
      </c>
      <c r="X242" s="82">
        <f>IFERROR(INDEX(Ratings!$E$5:$E$500,MATCH(A242,Ratings!$A$5:$A$500,0)),"")</f>
        <v/>
      </c>
      <c r="Y242" s="71">
        <f>IFERROR(INDEX(Ratings!$G$5:$G$500,MATCH(A242,Ratings!$A$5:$A$500,0)),"")</f>
        <v/>
      </c>
      <c r="Z242" s="83">
        <f>IFERROR(INDEX(Ratings!$I$5:$I$500,MATCH(A242,Ratings!$A$5:$A$500,0)),"")</f>
        <v/>
      </c>
    </row>
    <row r="243" ht="15.75" customHeight="1" s="95">
      <c r="A243" t="inlineStr">
        <is>
          <t>F0239</t>
        </is>
      </c>
      <c r="B243" t="inlineStr">
        <is>
          <t>Oblivion</t>
        </is>
      </c>
      <c r="C243" s="63" t="inlineStr">
        <is>
          <t>2013</t>
        </is>
      </c>
      <c r="D243" t="inlineStr">
        <is>
          <t>Blu-ray</t>
        </is>
      </c>
      <c r="F243" s="64" t="n"/>
      <c r="I243" s="64" t="n"/>
      <c r="J243" s="64" t="inlineStr">
        <is>
          <t>Joseph Kosinski</t>
        </is>
      </c>
      <c r="K243" s="64" t="n">
        <v>124</v>
      </c>
      <c r="L243" s="64" t="inlineStr">
        <is>
          <t>Action, Science Fiction, Adventure, Mystery</t>
        </is>
      </c>
      <c r="M243" s="64" t="inlineStr">
        <is>
          <t>Universal Pictures, Relativity Media, Monolith Pictures (III)</t>
        </is>
      </c>
      <c r="N243" s="64" t="inlineStr">
        <is>
          <t>https://huggingface.co/datasets/HenryWaltson/TMDB-IMDB-Movies-Dataset</t>
        </is>
      </c>
      <c r="O243" s="64" t="inlineStr">
        <is>
          <t>https://huggingface.co/datasets/HenryWaltson/TMDB-IMDB-Movies-Dataset</t>
        </is>
      </c>
      <c r="P243" t="inlineStr">
        <is>
          <t>Tom Cruise</t>
        </is>
      </c>
      <c r="Q243" t="inlineStr">
        <is>
          <t>Morgan Freeman</t>
        </is>
      </c>
      <c r="R243" t="inlineStr">
        <is>
          <t>Olga Kurylenko</t>
        </is>
      </c>
      <c r="S243" t="inlineStr">
        <is>
          <t>Andrea Riseborough</t>
        </is>
      </c>
      <c r="T243" t="inlineStr">
        <is>
          <t>Nikolaj Coster-Waldau</t>
        </is>
      </c>
      <c r="U243" s="71" t="n">
        <v>0</v>
      </c>
      <c r="V243" s="71" t="n">
        <v>0</v>
      </c>
      <c r="X243" s="82">
        <f>IFERROR(INDEX(Ratings!$E$5:$E$500,MATCH(A243,Ratings!$A$5:$A$500,0)),"")</f>
        <v/>
      </c>
      <c r="Y243" s="71">
        <f>IFERROR(INDEX(Ratings!$G$5:$G$500,MATCH(A243,Ratings!$A$5:$A$500,0)),"")</f>
        <v/>
      </c>
      <c r="Z243" s="83">
        <f>IFERROR(INDEX(Ratings!$I$5:$I$500,MATCH(A243,Ratings!$A$5:$A$500,0)),"")</f>
        <v/>
      </c>
    </row>
    <row r="244" ht="15.75" customHeight="1" s="95">
      <c r="A244" t="inlineStr">
        <is>
          <t>F0240</t>
        </is>
      </c>
      <c r="B244" t="inlineStr">
        <is>
          <t>Olympus Has Fallen</t>
        </is>
      </c>
      <c r="C244" s="63" t="inlineStr">
        <is>
          <t>2013</t>
        </is>
      </c>
      <c r="D244" t="inlineStr">
        <is>
          <t>Blu-ray</t>
        </is>
      </c>
      <c r="F244" s="64" t="n"/>
      <c r="I244" s="64" t="n"/>
      <c r="J244" s="64" t="inlineStr">
        <is>
          <t>Antoine Fuqua</t>
        </is>
      </c>
      <c r="K244" s="64" t="n">
        <v>120</v>
      </c>
      <c r="L244" s="64" t="inlineStr">
        <is>
          <t>Action, Thriller</t>
        </is>
      </c>
      <c r="M244" s="64" t="inlineStr">
        <is>
          <t>Millennium Media, G-BASE, Nu Image</t>
        </is>
      </c>
      <c r="N244" s="64" t="inlineStr">
        <is>
          <t>https://huggingface.co/datasets/HenryWaltson/TMDB-IMDB-Movies-Dataset</t>
        </is>
      </c>
      <c r="O244" s="64" t="inlineStr">
        <is>
          <t>https://huggingface.co/datasets/HenryWaltson/TMDB-IMDB-Movies-Dataset</t>
        </is>
      </c>
      <c r="P244" t="inlineStr">
        <is>
          <t>Gerard Butler</t>
        </is>
      </c>
      <c r="Q244" t="inlineStr">
        <is>
          <t>Aaron Eckhart</t>
        </is>
      </c>
      <c r="R244" t="inlineStr">
        <is>
          <t>Finley Jacobsen</t>
        </is>
      </c>
      <c r="S244" t="inlineStr">
        <is>
          <t>Dylan McDermott</t>
        </is>
      </c>
      <c r="T244" t="inlineStr">
        <is>
          <t>Rick Yune</t>
        </is>
      </c>
      <c r="U244" s="71" t="n">
        <v>0</v>
      </c>
      <c r="V244" s="71" t="n">
        <v>0</v>
      </c>
      <c r="X244" s="82">
        <f>IFERROR(INDEX(Ratings!$E$5:$E$500,MATCH(A244,Ratings!$A$5:$A$500,0)),"")</f>
        <v/>
      </c>
      <c r="Y244" s="71">
        <f>IFERROR(INDEX(Ratings!$G$5:$G$500,MATCH(A244,Ratings!$A$5:$A$500,0)),"")</f>
        <v/>
      </c>
      <c r="Z244" s="83">
        <f>IFERROR(INDEX(Ratings!$I$5:$I$500,MATCH(A244,Ratings!$A$5:$A$500,0)),"")</f>
        <v/>
      </c>
    </row>
    <row r="245" ht="15.75" customHeight="1" s="95">
      <c r="A245" t="inlineStr">
        <is>
          <t>F0241</t>
        </is>
      </c>
      <c r="B245" t="inlineStr">
        <is>
          <t>Once Upon a Time… in Hollywood</t>
        </is>
      </c>
      <c r="C245" s="63" t="inlineStr">
        <is>
          <t>2019</t>
        </is>
      </c>
      <c r="D245" t="inlineStr">
        <is>
          <t>Blu-ray</t>
        </is>
      </c>
      <c r="F245" s="64" t="n"/>
      <c r="I245" s="64" t="n"/>
      <c r="J245" s="64" t="inlineStr">
        <is>
          <t>Quentin Tarantino</t>
        </is>
      </c>
      <c r="K245" s="64" t="n">
        <v>162</v>
      </c>
      <c r="L245" s="64" t="inlineStr">
        <is>
          <t>Comedy, Drama, Thriller</t>
        </is>
      </c>
      <c r="M245" s="64" t="inlineStr">
        <is>
          <t>Heyday Films, Columbia Pictures, Bona Film Group</t>
        </is>
      </c>
      <c r="N245" s="64" t="inlineStr">
        <is>
          <t>https://huggingface.co/datasets/HenryWaltson/TMDB-IMDB-Movies-Dataset</t>
        </is>
      </c>
      <c r="O245" s="64" t="inlineStr">
        <is>
          <t>https://huggingface.co/datasets/HenryWaltson/TMDB-IMDB-Movies-Dataset</t>
        </is>
      </c>
      <c r="P245" t="inlineStr">
        <is>
          <t>Leonardo DiCaprio</t>
        </is>
      </c>
      <c r="Q245" t="inlineStr">
        <is>
          <t>Brad Pitt</t>
        </is>
      </c>
      <c r="R245" t="inlineStr">
        <is>
          <t>Margot Robbie</t>
        </is>
      </c>
      <c r="S245" t="inlineStr">
        <is>
          <t>Emile Hirsch</t>
        </is>
      </c>
      <c r="T245" t="inlineStr">
        <is>
          <t>Margaret Qualley</t>
        </is>
      </c>
      <c r="U245" s="71" t="n">
        <v>10</v>
      </c>
      <c r="V245" s="71" t="n">
        <v>2</v>
      </c>
      <c r="W245" t="inlineStr">
        <is>
          <t>Nominated</t>
        </is>
      </c>
      <c r="X245" s="82">
        <f>IFERROR(INDEX(Ratings!$E$5:$E$500,MATCH(A245,Ratings!$A$5:$A$500,0)),"")</f>
        <v/>
      </c>
      <c r="Y245" s="71">
        <f>IFERROR(INDEX(Ratings!$G$5:$G$500,MATCH(A245,Ratings!$A$5:$A$500,0)),"")</f>
        <v/>
      </c>
      <c r="Z245" s="83">
        <f>IFERROR(INDEX(Ratings!$I$5:$I$500,MATCH(A245,Ratings!$A$5:$A$500,0)),"")</f>
        <v/>
      </c>
    </row>
    <row r="246" ht="15.75" customHeight="1" s="95">
      <c r="A246" t="inlineStr">
        <is>
          <t>F0242</t>
        </is>
      </c>
      <c r="B246" t="inlineStr">
        <is>
          <t>Oppenheimer</t>
        </is>
      </c>
      <c r="C246" s="63" t="inlineStr">
        <is>
          <t>2023</t>
        </is>
      </c>
      <c r="D246" t="inlineStr">
        <is>
          <t>Blu-ray</t>
        </is>
      </c>
      <c r="F246" s="64" t="n"/>
      <c r="I246" s="64" t="n"/>
      <c r="J246" s="64" t="inlineStr">
        <is>
          <t>Christopher Nolan</t>
        </is>
      </c>
      <c r="K246" s="64" t="n">
        <v>181</v>
      </c>
      <c r="L246" s="64" t="inlineStr">
        <is>
          <t>Drama, History</t>
        </is>
      </c>
      <c r="M246" s="64" t="inlineStr">
        <is>
          <t>Syncopy, Universal Pictures, Atlas Entertainment</t>
        </is>
      </c>
      <c r="N246" s="64" t="inlineStr">
        <is>
          <t>https://huggingface.co/datasets/HenryWaltson/TMDB-IMDB-Movies-Dataset</t>
        </is>
      </c>
      <c r="O246" s="64" t="inlineStr">
        <is>
          <t>https://huggingface.co/datasets/HenryWaltson/TMDB-IMDB-Movies-Dataset</t>
        </is>
      </c>
      <c r="P246" t="inlineStr">
        <is>
          <t>Cillian Murphy</t>
        </is>
      </c>
      <c r="Q246" t="inlineStr">
        <is>
          <t>Emily Blunt</t>
        </is>
      </c>
      <c r="R246" t="inlineStr">
        <is>
          <t>Matt Damon</t>
        </is>
      </c>
      <c r="S246" t="inlineStr">
        <is>
          <t>Robert Downey Jr.</t>
        </is>
      </c>
      <c r="T246" t="inlineStr">
        <is>
          <t>Florence Pugh</t>
        </is>
      </c>
      <c r="U246" s="71" t="n">
        <v>13</v>
      </c>
      <c r="V246" s="71" t="n">
        <v>7</v>
      </c>
      <c r="W246" t="inlineStr">
        <is>
          <t>Winner</t>
        </is>
      </c>
      <c r="X246" s="82">
        <f>IFERROR(INDEX(Ratings!$E$5:$E$500,MATCH(A246,Ratings!$A$5:$A$500,0)),"")</f>
        <v/>
      </c>
      <c r="Y246" s="71">
        <f>IFERROR(INDEX(Ratings!$G$5:$G$500,MATCH(A246,Ratings!$A$5:$A$500,0)),"")</f>
        <v/>
      </c>
      <c r="Z246" s="83">
        <f>IFERROR(INDEX(Ratings!$I$5:$I$500,MATCH(A246,Ratings!$A$5:$A$500,0)),"")</f>
        <v/>
      </c>
    </row>
    <row r="247" ht="15.75" customHeight="1" s="95">
      <c r="A247" t="inlineStr">
        <is>
          <t>F0243</t>
        </is>
      </c>
      <c r="B247" t="inlineStr">
        <is>
          <t>Pacific Rim</t>
        </is>
      </c>
      <c r="C247" s="63" t="inlineStr">
        <is>
          <t>2013</t>
        </is>
      </c>
      <c r="D247" t="inlineStr">
        <is>
          <t>Blu-ray</t>
        </is>
      </c>
      <c r="F247" s="64" t="n"/>
      <c r="I247" s="64" t="n"/>
      <c r="J247" s="64" t="inlineStr">
        <is>
          <t>Guillermo del Toro</t>
        </is>
      </c>
      <c r="K247" s="64" t="n">
        <v>131</v>
      </c>
      <c r="L247" s="64" t="inlineStr">
        <is>
          <t>Action, Science Fiction, Adventure</t>
        </is>
      </c>
      <c r="M247" s="64" t="inlineStr">
        <is>
          <t>Double Dare You Productions, Legendary Pictures</t>
        </is>
      </c>
      <c r="N247" s="64" t="inlineStr">
        <is>
          <t>https://huggingface.co/datasets/HenryWaltson/TMDB-IMDB-Movies-Dataset</t>
        </is>
      </c>
      <c r="O247" s="64" t="inlineStr">
        <is>
          <t>https://huggingface.co/datasets/HenryWaltson/TMDB-IMDB-Movies-Dataset</t>
        </is>
      </c>
      <c r="P247" t="inlineStr">
        <is>
          <t>Charlie Hunnam</t>
        </is>
      </c>
      <c r="Q247" t="inlineStr">
        <is>
          <t>Rinko Kikuchi</t>
        </is>
      </c>
      <c r="R247" t="inlineStr">
        <is>
          <t>Idris Elba</t>
        </is>
      </c>
      <c r="S247" t="inlineStr">
        <is>
          <t>Max Martini</t>
        </is>
      </c>
      <c r="T247" t="inlineStr">
        <is>
          <t>Clifton Collins Jr.</t>
        </is>
      </c>
      <c r="U247" s="71" t="n">
        <v>0</v>
      </c>
      <c r="V247" s="71" t="n">
        <v>0</v>
      </c>
      <c r="X247" s="82">
        <f>IFERROR(INDEX(Ratings!$E$5:$E$500,MATCH(A247,Ratings!$A$5:$A$500,0)),"")</f>
        <v/>
      </c>
      <c r="Y247" s="71">
        <f>IFERROR(INDEX(Ratings!$G$5:$G$500,MATCH(A247,Ratings!$A$5:$A$500,0)),"")</f>
        <v/>
      </c>
      <c r="Z247" s="83">
        <f>IFERROR(INDEX(Ratings!$I$5:$I$500,MATCH(A247,Ratings!$A$5:$A$500,0)),"")</f>
        <v/>
      </c>
    </row>
    <row r="248" ht="15.75" customHeight="1" s="95">
      <c r="A248" t="inlineStr">
        <is>
          <t>F0244</t>
        </is>
      </c>
      <c r="B248" t="inlineStr">
        <is>
          <t>Paddington</t>
        </is>
      </c>
      <c r="C248" s="63" t="inlineStr">
        <is>
          <t>2014</t>
        </is>
      </c>
      <c r="D248" t="inlineStr">
        <is>
          <t>Blu-ray</t>
        </is>
      </c>
      <c r="F248" s="64" t="n"/>
      <c r="I248" s="64" t="n"/>
      <c r="J248" s="64" t="inlineStr">
        <is>
          <t>Paul King</t>
        </is>
      </c>
      <c r="K248" s="64" t="n">
        <v>96</v>
      </c>
      <c r="L248" s="64" t="inlineStr">
        <is>
          <t>Comedy, Adventure, Family</t>
        </is>
      </c>
      <c r="M248" s="64" t="inlineStr">
        <is>
          <t>Heyday Films, StudioCanal, Anton Capital Entertainment</t>
        </is>
      </c>
      <c r="N248" s="64" t="inlineStr">
        <is>
          <t>https://huggingface.co/datasets/HenryWaltson/TMDB-IMDB-Movies-Dataset</t>
        </is>
      </c>
      <c r="O248" s="64" t="inlineStr">
        <is>
          <t>https://huggingface.co/datasets/HenryWaltson/TMDB-IMDB-Movies-Dataset</t>
        </is>
      </c>
      <c r="P248" t="inlineStr">
        <is>
          <t>Ben Whishaw</t>
        </is>
      </c>
      <c r="Q248" t="inlineStr">
        <is>
          <t>Hugh Bonneville</t>
        </is>
      </c>
      <c r="R248" t="inlineStr">
        <is>
          <t>Sally Hawkins</t>
        </is>
      </c>
      <c r="S248" t="inlineStr">
        <is>
          <t>Madeleine Harris</t>
        </is>
      </c>
      <c r="T248" t="inlineStr">
        <is>
          <t>Samuel Joslin</t>
        </is>
      </c>
      <c r="U248" s="71" t="n">
        <v>0</v>
      </c>
      <c r="V248" s="71" t="n">
        <v>0</v>
      </c>
      <c r="X248" s="82">
        <f>IFERROR(INDEX(Ratings!$E$5:$E$500,MATCH(A248,Ratings!$A$5:$A$500,0)),"")</f>
        <v/>
      </c>
      <c r="Y248" s="71">
        <f>IFERROR(INDEX(Ratings!$G$5:$G$500,MATCH(A248,Ratings!$A$5:$A$500,0)),"")</f>
        <v/>
      </c>
      <c r="Z248" s="83">
        <f>IFERROR(INDEX(Ratings!$I$5:$I$500,MATCH(A248,Ratings!$A$5:$A$500,0)),"")</f>
        <v/>
      </c>
    </row>
    <row r="249" ht="15.75" customHeight="1" s="95">
      <c r="A249" t="inlineStr">
        <is>
          <t>F0245</t>
        </is>
      </c>
      <c r="B249" t="inlineStr">
        <is>
          <t>Paul</t>
        </is>
      </c>
      <c r="C249" s="63" t="inlineStr">
        <is>
          <t>2011</t>
        </is>
      </c>
      <c r="D249" t="inlineStr">
        <is>
          <t>Blu-ray</t>
        </is>
      </c>
      <c r="F249" s="64" t="n"/>
      <c r="I249" s="64" t="n"/>
      <c r="J249" s="64" t="inlineStr">
        <is>
          <t>Greg Mottola</t>
        </is>
      </c>
      <c r="K249" s="64" t="n">
        <v>104</v>
      </c>
      <c r="L249" s="64" t="inlineStr">
        <is>
          <t>Adventure, Comedy, Science Fiction</t>
        </is>
      </c>
      <c r="M249" s="64" t="inlineStr">
        <is>
          <t>Universal Pictures, Relativity Media, Working Title Films</t>
        </is>
      </c>
      <c r="N249" s="64" t="inlineStr">
        <is>
          <t>https://huggingface.co/datasets/HenryWaltson/TMDB-IMDB-Movies-Dataset</t>
        </is>
      </c>
      <c r="O249" s="64" t="inlineStr">
        <is>
          <t>https://huggingface.co/datasets/HenryWaltson/TMDB-IMDB-Movies-Dataset</t>
        </is>
      </c>
      <c r="P249" t="inlineStr">
        <is>
          <t>Simon Pegg</t>
        </is>
      </c>
      <c r="Q249" t="inlineStr">
        <is>
          <t>Nick Frost</t>
        </is>
      </c>
      <c r="R249" t="inlineStr">
        <is>
          <t>Seth Rogen</t>
        </is>
      </c>
      <c r="S249" t="inlineStr">
        <is>
          <t>Jason Bateman</t>
        </is>
      </c>
      <c r="T249" t="inlineStr">
        <is>
          <t>Kristen Wiig</t>
        </is>
      </c>
      <c r="U249" s="71" t="n">
        <v>0</v>
      </c>
      <c r="V249" s="71" t="n">
        <v>0</v>
      </c>
      <c r="X249" s="82">
        <f>IFERROR(INDEX(Ratings!$E$5:$E$500,MATCH(A249,Ratings!$A$5:$A$500,0)),"")</f>
        <v/>
      </c>
      <c r="Y249" s="71">
        <f>IFERROR(INDEX(Ratings!$G$5:$G$500,MATCH(A249,Ratings!$A$5:$A$500,0)),"")</f>
        <v/>
      </c>
      <c r="Z249" s="83">
        <f>IFERROR(INDEX(Ratings!$I$5:$I$500,MATCH(A249,Ratings!$A$5:$A$500,0)),"")</f>
        <v/>
      </c>
    </row>
    <row r="250" ht="15.75" customHeight="1" s="95">
      <c r="A250" t="inlineStr">
        <is>
          <t>F0246</t>
        </is>
      </c>
      <c r="B250" t="inlineStr">
        <is>
          <t>Pearl Harbor</t>
        </is>
      </c>
      <c r="C250" s="63" t="inlineStr">
        <is>
          <t>2001</t>
        </is>
      </c>
      <c r="D250" t="inlineStr">
        <is>
          <t>Blu-ray</t>
        </is>
      </c>
      <c r="F250" s="64" t="n"/>
      <c r="I250" s="64" t="n"/>
      <c r="J250" s="64" t="inlineStr">
        <is>
          <t>Michael Bay</t>
        </is>
      </c>
      <c r="K250" s="64" t="n">
        <v>183</v>
      </c>
      <c r="L250" s="64" t="inlineStr">
        <is>
          <t>War, History, Romance, Drama</t>
        </is>
      </c>
      <c r="M250" s="64" t="inlineStr">
        <is>
          <t>Jerry Bruckheimer Films, Touchstone Pictures</t>
        </is>
      </c>
      <c r="N250" s="64" t="inlineStr">
        <is>
          <t>https://huggingface.co/datasets/HenryWaltson/TMDB-IMDB-Movies-Dataset</t>
        </is>
      </c>
      <c r="O250" s="64" t="inlineStr">
        <is>
          <t>https://huggingface.co/datasets/HenryWaltson/TMDB-IMDB-Movies-Dataset</t>
        </is>
      </c>
      <c r="P250" t="inlineStr">
        <is>
          <t>Ben Affleck</t>
        </is>
      </c>
      <c r="Q250" t="inlineStr">
        <is>
          <t>Kate Beckinsale</t>
        </is>
      </c>
      <c r="R250" t="inlineStr">
        <is>
          <t>Josh Hartnett</t>
        </is>
      </c>
      <c r="S250" t="inlineStr">
        <is>
          <t>Cuba Gooding Jr.</t>
        </is>
      </c>
      <c r="T250" t="inlineStr">
        <is>
          <t>Jon Voight</t>
        </is>
      </c>
      <c r="U250" s="71" t="n">
        <v>4</v>
      </c>
      <c r="V250" s="71" t="n">
        <v>1</v>
      </c>
      <c r="X250" s="82">
        <f>IFERROR(INDEX(Ratings!$E$5:$E$500,MATCH(A250,Ratings!$A$5:$A$500,0)),"")</f>
        <v/>
      </c>
      <c r="Y250" s="71">
        <f>IFERROR(INDEX(Ratings!$G$5:$G$500,MATCH(A250,Ratings!$A$5:$A$500,0)),"")</f>
        <v/>
      </c>
      <c r="Z250" s="83">
        <f>IFERROR(INDEX(Ratings!$I$5:$I$500,MATCH(A250,Ratings!$A$5:$A$500,0)),"")</f>
        <v/>
      </c>
    </row>
    <row r="251" ht="15.75" customHeight="1" s="95">
      <c r="A251" t="inlineStr">
        <is>
          <t>F0247</t>
        </is>
      </c>
      <c r="B251" t="inlineStr">
        <is>
          <t>Pineapple Express</t>
        </is>
      </c>
      <c r="C251" s="63" t="inlineStr">
        <is>
          <t>2008</t>
        </is>
      </c>
      <c r="D251" t="inlineStr">
        <is>
          <t>Blu-ray</t>
        </is>
      </c>
      <c r="F251" s="64" t="n"/>
      <c r="I251" s="64" t="n"/>
      <c r="J251" s="64" t="inlineStr">
        <is>
          <t>David Gordon Green</t>
        </is>
      </c>
      <c r="K251" s="64" t="n">
        <v>111</v>
      </c>
      <c r="L251" s="64" t="inlineStr">
        <is>
          <t>Action, Comedy, Crime</t>
        </is>
      </c>
      <c r="M251" s="64" t="inlineStr">
        <is>
          <t>Columbia Pictures, Apatow Productions, Relativity Media</t>
        </is>
      </c>
      <c r="N251" s="64" t="inlineStr">
        <is>
          <t>https://huggingface.co/datasets/HenryWaltson/TMDB-IMDB-Movies-Dataset</t>
        </is>
      </c>
      <c r="O251" s="64" t="inlineStr">
        <is>
          <t>https://huggingface.co/datasets/HenryWaltson/TMDB-IMDB-Movies-Dataset</t>
        </is>
      </c>
      <c r="P251" t="inlineStr">
        <is>
          <t>Seth Rogen</t>
        </is>
      </c>
      <c r="Q251" t="inlineStr">
        <is>
          <t>James Franco</t>
        </is>
      </c>
      <c r="R251" t="inlineStr">
        <is>
          <t>Gary Cole</t>
        </is>
      </c>
      <c r="S251" t="inlineStr">
        <is>
          <t>Danny McBride</t>
        </is>
      </c>
      <c r="T251" t="inlineStr">
        <is>
          <t>Rosie Perez</t>
        </is>
      </c>
      <c r="U251" s="71" t="n">
        <v>0</v>
      </c>
      <c r="V251" s="71" t="n">
        <v>0</v>
      </c>
      <c r="X251" s="82">
        <f>IFERROR(INDEX(Ratings!$E$5:$E$500,MATCH(A251,Ratings!$A$5:$A$500,0)),"")</f>
        <v/>
      </c>
      <c r="Y251" s="71">
        <f>IFERROR(INDEX(Ratings!$G$5:$G$500,MATCH(A251,Ratings!$A$5:$A$500,0)),"")</f>
        <v/>
      </c>
      <c r="Z251" s="83">
        <f>IFERROR(INDEX(Ratings!$I$5:$I$500,MATCH(A251,Ratings!$A$5:$A$500,0)),"")</f>
        <v/>
      </c>
    </row>
    <row r="252" ht="15.75" customHeight="1" s="95">
      <c r="A252" t="inlineStr">
        <is>
          <t>F0248</t>
        </is>
      </c>
      <c r="B252" t="inlineStr">
        <is>
          <t>Pinocchio</t>
        </is>
      </c>
      <c r="C252" s="63" t="inlineStr">
        <is>
          <t>1940</t>
        </is>
      </c>
      <c r="D252" t="inlineStr">
        <is>
          <t>Blu-ray</t>
        </is>
      </c>
      <c r="F252" s="64" t="n"/>
      <c r="I252" s="64" t="inlineStr">
        <is>
          <t>Best guess: 1940 Disney animated version.</t>
        </is>
      </c>
      <c r="J252" s="64" t="inlineStr">
        <is>
          <t>Norman Ferguson, T. Hee, Wilfred Jackson, Jack Kinney, Hamilton Luske, Bill Roberts, Ben Sharpsteen</t>
        </is>
      </c>
      <c r="K252" s="64" t="n">
        <v>88</v>
      </c>
      <c r="L252" s="64" t="inlineStr">
        <is>
          <t>Animation, Family</t>
        </is>
      </c>
      <c r="M252" s="64" t="inlineStr">
        <is>
          <t>Walt Disney Productions</t>
        </is>
      </c>
      <c r="N252" s="64" t="inlineStr">
        <is>
          <t>https://huggingface.co/datasets/HenryWaltson/TMDB-IMDB-Movies-Dataset</t>
        </is>
      </c>
      <c r="O252" s="64" t="inlineStr">
        <is>
          <t>https://huggingface.co/datasets/HenryWaltson/TMDB-IMDB-Movies-Dataset</t>
        </is>
      </c>
      <c r="P252" t="inlineStr">
        <is>
          <t>Dickie Jones</t>
        </is>
      </c>
      <c r="Q252" t="inlineStr">
        <is>
          <t>Cliff Edwards</t>
        </is>
      </c>
      <c r="R252" t="inlineStr">
        <is>
          <t>Christian Rub</t>
        </is>
      </c>
      <c r="S252" t="inlineStr">
        <is>
          <t>Evelyn Venable</t>
        </is>
      </c>
      <c r="T252" t="inlineStr">
        <is>
          <t>Walter Catlett</t>
        </is>
      </c>
      <c r="U252" s="71" t="n">
        <v>2</v>
      </c>
      <c r="V252" s="71" t="n">
        <v>2</v>
      </c>
      <c r="X252" s="82">
        <f>IFERROR(INDEX(Ratings!$E$5:$E$500,MATCH(A252,Ratings!$A$5:$A$500,0)),"")</f>
        <v/>
      </c>
      <c r="Y252" s="71">
        <f>IFERROR(INDEX(Ratings!$G$5:$G$500,MATCH(A252,Ratings!$A$5:$A$500,0)),"")</f>
        <v/>
      </c>
      <c r="Z252" s="83">
        <f>IFERROR(INDEX(Ratings!$I$5:$I$500,MATCH(A252,Ratings!$A$5:$A$500,0)),"")</f>
        <v/>
      </c>
    </row>
    <row r="253" ht="15.75" customHeight="1" s="95">
      <c r="A253" t="inlineStr">
        <is>
          <t>F0249</t>
        </is>
      </c>
      <c r="B253" t="inlineStr">
        <is>
          <t>Pirates of the Caribbean: On Stranger Tides</t>
        </is>
      </c>
      <c r="C253" s="63" t="inlineStr">
        <is>
          <t>2011</t>
        </is>
      </c>
      <c r="D253" t="inlineStr">
        <is>
          <t>Blu-ray</t>
        </is>
      </c>
      <c r="F253" s="64" t="n"/>
      <c r="I253" s="64" t="n"/>
      <c r="J253" s="64" t="inlineStr">
        <is>
          <t>Rob Marshall</t>
        </is>
      </c>
      <c r="K253" s="64" t="n">
        <v>137</v>
      </c>
      <c r="L253" s="64" t="inlineStr">
        <is>
          <t>Adventure, Action, Fantasy</t>
        </is>
      </c>
      <c r="M253" s="64" t="inlineStr">
        <is>
          <t>Walt Disney Pictures, Jerry Bruckheimer Films, Moving Picture Company</t>
        </is>
      </c>
      <c r="N253" s="64" t="inlineStr">
        <is>
          <t>https://huggingface.co/datasets/HenryWaltson/TMDB-IMDB-Movies-Dataset</t>
        </is>
      </c>
      <c r="O253" s="64" t="inlineStr">
        <is>
          <t>https://huggingface.co/datasets/HenryWaltson/TMDB-IMDB-Movies-Dataset</t>
        </is>
      </c>
      <c r="P253" t="inlineStr">
        <is>
          <t>Johnny Depp</t>
        </is>
      </c>
      <c r="Q253" t="inlineStr">
        <is>
          <t>Penélope Cruz</t>
        </is>
      </c>
      <c r="R253" t="inlineStr">
        <is>
          <t>Geoffrey Rush</t>
        </is>
      </c>
      <c r="S253" t="inlineStr">
        <is>
          <t>Ian McShane</t>
        </is>
      </c>
      <c r="T253" t="inlineStr">
        <is>
          <t>Kevin McNally</t>
        </is>
      </c>
      <c r="U253" s="71" t="n">
        <v>0</v>
      </c>
      <c r="V253" s="71" t="n">
        <v>0</v>
      </c>
      <c r="X253" s="82">
        <f>IFERROR(INDEX(Ratings!$E$5:$E$500,MATCH(A253,Ratings!$A$5:$A$500,0)),"")</f>
        <v/>
      </c>
      <c r="Y253" s="71">
        <f>IFERROR(INDEX(Ratings!$G$5:$G$500,MATCH(A253,Ratings!$A$5:$A$500,0)),"")</f>
        <v/>
      </c>
      <c r="Z253" s="83">
        <f>IFERROR(INDEX(Ratings!$I$5:$I$500,MATCH(A253,Ratings!$A$5:$A$500,0)),"")</f>
        <v/>
      </c>
    </row>
    <row r="254" ht="15.75" customHeight="1" s="95">
      <c r="A254" t="inlineStr">
        <is>
          <t>F0250</t>
        </is>
      </c>
      <c r="B254" t="inlineStr">
        <is>
          <t>Pitch Perfect</t>
        </is>
      </c>
      <c r="C254" s="63" t="inlineStr">
        <is>
          <t>2012</t>
        </is>
      </c>
      <c r="D254" t="inlineStr">
        <is>
          <t>Blu-ray</t>
        </is>
      </c>
      <c r="E254" t="inlineStr">
        <is>
          <t>Pitch Perfect</t>
        </is>
      </c>
      <c r="F254" s="64" t="n"/>
      <c r="I254" s="64" t="n"/>
      <c r="J254" s="64" t="inlineStr">
        <is>
          <t>Jason Moore</t>
        </is>
      </c>
      <c r="K254" s="64" t="n">
        <v>112</v>
      </c>
      <c r="L254" s="64" t="inlineStr">
        <is>
          <t>Comedy, Music, Romance</t>
        </is>
      </c>
      <c r="M254" s="64" t="inlineStr">
        <is>
          <t>Brownstone Productions, Gold Circle Films, Universal Pictures</t>
        </is>
      </c>
      <c r="N254" s="64" t="inlineStr">
        <is>
          <t>https://huggingface.co/datasets/HenryWaltson/TMDB-IMDB-Movies-Dataset</t>
        </is>
      </c>
      <c r="O254" s="64" t="inlineStr">
        <is>
          <t>https://huggingface.co/datasets/HenryWaltson/TMDB-IMDB-Movies-Dataset</t>
        </is>
      </c>
      <c r="P254" t="inlineStr">
        <is>
          <t>Anna Kendrick</t>
        </is>
      </c>
      <c r="Q254" t="inlineStr">
        <is>
          <t>Brittany Snow</t>
        </is>
      </c>
      <c r="R254" t="inlineStr">
        <is>
          <t>Anna Camp</t>
        </is>
      </c>
      <c r="S254" t="inlineStr">
        <is>
          <t>Rebel Wilson</t>
        </is>
      </c>
      <c r="T254" t="inlineStr">
        <is>
          <t>Ester Dean</t>
        </is>
      </c>
      <c r="U254" s="71" t="n">
        <v>0</v>
      </c>
      <c r="V254" s="71" t="n">
        <v>0</v>
      </c>
      <c r="X254" s="82">
        <f>IFERROR(INDEX(Ratings!$E$5:$E$500,MATCH(A254,Ratings!$A$5:$A$500,0)),"")</f>
        <v/>
      </c>
      <c r="Y254" s="71">
        <f>IFERROR(INDEX(Ratings!$G$5:$G$500,MATCH(A254,Ratings!$A$5:$A$500,0)),"")</f>
        <v/>
      </c>
      <c r="Z254" s="83">
        <f>IFERROR(INDEX(Ratings!$I$5:$I$500,MATCH(A254,Ratings!$A$5:$A$500,0)),"")</f>
        <v/>
      </c>
    </row>
    <row r="255" ht="15.75" customHeight="1" s="95">
      <c r="A255" t="inlineStr">
        <is>
          <t>F0251</t>
        </is>
      </c>
      <c r="B255" t="inlineStr">
        <is>
          <t>Pitch Perfect 2</t>
        </is>
      </c>
      <c r="C255" s="63" t="inlineStr">
        <is>
          <t>2015</t>
        </is>
      </c>
      <c r="D255" t="inlineStr">
        <is>
          <t>Blu-ray</t>
        </is>
      </c>
      <c r="E255" t="inlineStr">
        <is>
          <t>Pitch Perfect</t>
        </is>
      </c>
      <c r="F255" s="64" t="n"/>
      <c r="I255" s="64" t="n"/>
      <c r="J255" s="64" t="inlineStr">
        <is>
          <t>Elizabeth Banks</t>
        </is>
      </c>
      <c r="K255" s="64" t="n">
        <v>115</v>
      </c>
      <c r="L255" s="64" t="inlineStr">
        <is>
          <t>Comedy, Music</t>
        </is>
      </c>
      <c r="M255" s="64" t="inlineStr">
        <is>
          <t>Brownstone Productions, Gold Circle Films, Universal Pictures</t>
        </is>
      </c>
      <c r="N255" s="64" t="inlineStr">
        <is>
          <t>https://huggingface.co/datasets/HenryWaltson/TMDB-IMDB-Movies-Dataset</t>
        </is>
      </c>
      <c r="O255" s="64" t="inlineStr">
        <is>
          <t>https://huggingface.co/datasets/HenryWaltson/TMDB-IMDB-Movies-Dataset</t>
        </is>
      </c>
      <c r="P255" t="inlineStr">
        <is>
          <t>Anna Kendrick</t>
        </is>
      </c>
      <c r="Q255" t="inlineStr">
        <is>
          <t>Brittany Snow</t>
        </is>
      </c>
      <c r="R255" t="inlineStr">
        <is>
          <t>Hailee Steinfeld</t>
        </is>
      </c>
      <c r="S255" t="inlineStr">
        <is>
          <t>Rebel Wilson</t>
        </is>
      </c>
      <c r="T255" t="inlineStr">
        <is>
          <t>Ester Dean</t>
        </is>
      </c>
      <c r="U255" s="71" t="n">
        <v>0</v>
      </c>
      <c r="V255" s="71" t="n">
        <v>0</v>
      </c>
      <c r="X255" s="82">
        <f>IFERROR(INDEX(Ratings!$E$5:$E$500,MATCH(A255,Ratings!$A$5:$A$500,0)),"")</f>
        <v/>
      </c>
      <c r="Y255" s="71">
        <f>IFERROR(INDEX(Ratings!$G$5:$G$500,MATCH(A255,Ratings!$A$5:$A$500,0)),"")</f>
        <v/>
      </c>
      <c r="Z255" s="83">
        <f>IFERROR(INDEX(Ratings!$I$5:$I$500,MATCH(A255,Ratings!$A$5:$A$500,0)),"")</f>
        <v/>
      </c>
    </row>
    <row r="256" ht="15.75" customHeight="1" s="95">
      <c r="A256" t="inlineStr">
        <is>
          <t>F0252</t>
        </is>
      </c>
      <c r="B256" t="inlineStr">
        <is>
          <t>Pitch Perfect 3</t>
        </is>
      </c>
      <c r="C256" s="63" t="inlineStr">
        <is>
          <t>2017</t>
        </is>
      </c>
      <c r="D256" t="inlineStr">
        <is>
          <t>Blu-ray</t>
        </is>
      </c>
      <c r="E256" t="inlineStr">
        <is>
          <t>Pitch Perfect</t>
        </is>
      </c>
      <c r="F256" s="64" t="n"/>
      <c r="I256" s="64" t="n"/>
      <c r="J256" s="64" t="inlineStr">
        <is>
          <t>Trish Sie</t>
        </is>
      </c>
      <c r="K256" s="64" t="n">
        <v>93</v>
      </c>
      <c r="L256" s="64" t="inlineStr">
        <is>
          <t>Comedy, Music</t>
        </is>
      </c>
      <c r="M256" s="64" t="inlineStr">
        <is>
          <t>Gold Circle Films, Perfect World Pictures, Universal Pictures</t>
        </is>
      </c>
      <c r="N256" s="64" t="inlineStr">
        <is>
          <t>https://huggingface.co/datasets/HenryWaltson/TMDB-IMDB-Movies-Dataset</t>
        </is>
      </c>
      <c r="O256" s="64" t="inlineStr">
        <is>
          <t>https://huggingface.co/datasets/HenryWaltson/TMDB-IMDB-Movies-Dataset</t>
        </is>
      </c>
      <c r="P256" t="inlineStr">
        <is>
          <t>Anna Kendrick</t>
        </is>
      </c>
      <c r="Q256" t="inlineStr">
        <is>
          <t>Rebel Wilson</t>
        </is>
      </c>
      <c r="R256" t="inlineStr">
        <is>
          <t>Brittany Snow</t>
        </is>
      </c>
      <c r="S256" t="inlineStr">
        <is>
          <t>Hailee Steinfeld</t>
        </is>
      </c>
      <c r="T256" t="inlineStr">
        <is>
          <t>Elizabeth Banks</t>
        </is>
      </c>
      <c r="U256" s="71" t="n">
        <v>0</v>
      </c>
      <c r="V256" s="71" t="n">
        <v>0</v>
      </c>
      <c r="X256" s="82">
        <f>IFERROR(INDEX(Ratings!$E$5:$E$500,MATCH(A256,Ratings!$A$5:$A$500,0)),"")</f>
        <v/>
      </c>
      <c r="Y256" s="71">
        <f>IFERROR(INDEX(Ratings!$G$5:$G$500,MATCH(A256,Ratings!$A$5:$A$500,0)),"")</f>
        <v/>
      </c>
      <c r="Z256" s="83">
        <f>IFERROR(INDEX(Ratings!$I$5:$I$500,MATCH(A256,Ratings!$A$5:$A$500,0)),"")</f>
        <v/>
      </c>
    </row>
    <row r="257" ht="15.75" customHeight="1" s="95">
      <c r="A257" t="inlineStr">
        <is>
          <t>F0253</t>
        </is>
      </c>
      <c r="B257" t="inlineStr">
        <is>
          <t>Rise of the Planet of the Apes</t>
        </is>
      </c>
      <c r="C257" s="63" t="inlineStr">
        <is>
          <t>2011</t>
        </is>
      </c>
      <c r="D257" t="inlineStr">
        <is>
          <t>Blu-ray</t>
        </is>
      </c>
      <c r="E257" t="inlineStr">
        <is>
          <t>Planet of the Apes (reboot)</t>
        </is>
      </c>
      <c r="F257" s="64" t="n"/>
      <c r="I257" s="64" t="n"/>
      <c r="J257" s="64" t="inlineStr">
        <is>
          <t>Rupert Wyatt</t>
        </is>
      </c>
      <c r="K257" s="64" t="n">
        <v>105</v>
      </c>
      <c r="L257" s="64" t="inlineStr">
        <is>
          <t>Thriller, Action, Drama, Science Fiction</t>
        </is>
      </c>
      <c r="M257" s="64" t="inlineStr">
        <is>
          <t>Dune Entertainment III, Dune Entertainment, Chernin Entertainment</t>
        </is>
      </c>
      <c r="N257" s="64" t="inlineStr">
        <is>
          <t>https://huggingface.co/datasets/HenryWaltson/TMDB-IMDB-Movies-Dataset</t>
        </is>
      </c>
      <c r="O257" s="64" t="inlineStr">
        <is>
          <t>https://huggingface.co/datasets/HenryWaltson/TMDB-IMDB-Movies-Dataset</t>
        </is>
      </c>
      <c r="P257" t="inlineStr">
        <is>
          <t>Andy Serkis</t>
        </is>
      </c>
      <c r="Q257" t="inlineStr">
        <is>
          <t>James Franco</t>
        </is>
      </c>
      <c r="R257" t="inlineStr">
        <is>
          <t>Freida Pinto</t>
        </is>
      </c>
      <c r="S257" t="inlineStr">
        <is>
          <t>John Lithgow</t>
        </is>
      </c>
      <c r="T257" t="inlineStr">
        <is>
          <t>Brian Cox</t>
        </is>
      </c>
      <c r="U257" s="71" t="n">
        <v>1</v>
      </c>
      <c r="V257" s="71" t="n">
        <v>0</v>
      </c>
      <c r="X257" s="82">
        <f>IFERROR(INDEX(Ratings!$E$5:$E$500,MATCH(A257,Ratings!$A$5:$A$500,0)),"")</f>
        <v/>
      </c>
      <c r="Y257" s="71">
        <f>IFERROR(INDEX(Ratings!$G$5:$G$500,MATCH(A257,Ratings!$A$5:$A$500,0)),"")</f>
        <v/>
      </c>
      <c r="Z257" s="83">
        <f>IFERROR(INDEX(Ratings!$I$5:$I$500,MATCH(A257,Ratings!$A$5:$A$500,0)),"")</f>
        <v/>
      </c>
    </row>
    <row r="258" ht="15.75" customHeight="1" s="95">
      <c r="A258" t="inlineStr">
        <is>
          <t>F0254</t>
        </is>
      </c>
      <c r="B258" t="inlineStr">
        <is>
          <t>Dawn of the Planet of the Apes</t>
        </is>
      </c>
      <c r="C258" s="63" t="inlineStr">
        <is>
          <t>2014</t>
        </is>
      </c>
      <c r="D258" t="inlineStr">
        <is>
          <t>Blu-ray</t>
        </is>
      </c>
      <c r="E258" t="inlineStr">
        <is>
          <t>Planet of the Apes (reboot)</t>
        </is>
      </c>
      <c r="F258" s="64" t="n"/>
      <c r="I258" s="64" t="n"/>
      <c r="J258" s="64" t="inlineStr">
        <is>
          <t>Matt Reeves</t>
        </is>
      </c>
      <c r="K258" s="64" t="n">
        <v>130</v>
      </c>
      <c r="L258" s="64" t="inlineStr">
        <is>
          <t>Science Fiction, Action, Drama, Thriller</t>
        </is>
      </c>
      <c r="M258" s="64" t="inlineStr">
        <is>
          <t>TSG Entertainment, Chernin Entertainment, Ingenious Media</t>
        </is>
      </c>
      <c r="N258" s="64" t="inlineStr">
        <is>
          <t>https://huggingface.co/datasets/HenryWaltson/TMDB-IMDB-Movies-Dataset</t>
        </is>
      </c>
      <c r="O258" s="64" t="inlineStr">
        <is>
          <t>https://huggingface.co/datasets/HenryWaltson/TMDB-IMDB-Movies-Dataset</t>
        </is>
      </c>
      <c r="P258" t="inlineStr">
        <is>
          <t>Andy Serkis</t>
        </is>
      </c>
      <c r="Q258" t="inlineStr">
        <is>
          <t>Jason Clarke</t>
        </is>
      </c>
      <c r="R258" t="inlineStr">
        <is>
          <t>Toby Kebbell</t>
        </is>
      </c>
      <c r="S258" t="inlineStr">
        <is>
          <t>Gary Oldman</t>
        </is>
      </c>
      <c r="T258" t="inlineStr">
        <is>
          <t>Keri Russell</t>
        </is>
      </c>
      <c r="U258" s="71" t="n">
        <v>1</v>
      </c>
      <c r="V258" s="71" t="n">
        <v>0</v>
      </c>
      <c r="X258" s="82">
        <f>IFERROR(INDEX(Ratings!$E$5:$E$500,MATCH(A258,Ratings!$A$5:$A$500,0)),"")</f>
        <v/>
      </c>
      <c r="Y258" s="71">
        <f>IFERROR(INDEX(Ratings!$G$5:$G$500,MATCH(A258,Ratings!$A$5:$A$500,0)),"")</f>
        <v/>
      </c>
      <c r="Z258" s="83">
        <f>IFERROR(INDEX(Ratings!$I$5:$I$500,MATCH(A258,Ratings!$A$5:$A$500,0)),"")</f>
        <v/>
      </c>
    </row>
    <row r="259" ht="15.75" customHeight="1" s="95">
      <c r="A259" t="inlineStr">
        <is>
          <t>F0255</t>
        </is>
      </c>
      <c r="B259" t="inlineStr">
        <is>
          <t>War for the Planet of the Apes</t>
        </is>
      </c>
      <c r="C259" s="63" t="inlineStr">
        <is>
          <t>2017</t>
        </is>
      </c>
      <c r="D259" t="inlineStr">
        <is>
          <t>Blu-ray</t>
        </is>
      </c>
      <c r="E259" t="inlineStr">
        <is>
          <t>Planet of the Apes (reboot)</t>
        </is>
      </c>
      <c r="F259" s="64" t="n"/>
      <c r="I259" s="64" t="n"/>
      <c r="J259" s="64" t="inlineStr">
        <is>
          <t>Matt Reeves</t>
        </is>
      </c>
      <c r="K259" s="64" t="n">
        <v>140</v>
      </c>
      <c r="L259" s="64" t="inlineStr">
        <is>
          <t>Drama, Science Fiction, War</t>
        </is>
      </c>
      <c r="M259" s="64" t="inlineStr">
        <is>
          <t>20th Century Fox, TSG Entertainment, Chernin Entertainment</t>
        </is>
      </c>
      <c r="N259" s="64" t="inlineStr">
        <is>
          <t>https://huggingface.co/datasets/HenryWaltson/TMDB-IMDB-Movies-Dataset</t>
        </is>
      </c>
      <c r="O259" s="64" t="inlineStr">
        <is>
          <t>https://huggingface.co/datasets/HenryWaltson/TMDB-IMDB-Movies-Dataset</t>
        </is>
      </c>
      <c r="P259" t="inlineStr">
        <is>
          <t>Andy Serkis</t>
        </is>
      </c>
      <c r="Q259" t="inlineStr">
        <is>
          <t>Woody Harrelson</t>
        </is>
      </c>
      <c r="R259" t="inlineStr">
        <is>
          <t>Karin Konoval</t>
        </is>
      </c>
      <c r="S259" t="inlineStr">
        <is>
          <t>Terry Notary</t>
        </is>
      </c>
      <c r="T259" t="inlineStr">
        <is>
          <t>Steve Zahn</t>
        </is>
      </c>
      <c r="U259" s="71" t="n">
        <v>1</v>
      </c>
      <c r="V259" s="71" t="n">
        <v>0</v>
      </c>
      <c r="X259" s="82">
        <f>IFERROR(INDEX(Ratings!$E$5:$E$500,MATCH(A259,Ratings!$A$5:$A$500,0)),"")</f>
        <v/>
      </c>
      <c r="Y259" s="71">
        <f>IFERROR(INDEX(Ratings!$G$5:$G$500,MATCH(A259,Ratings!$A$5:$A$500,0)),"")</f>
        <v/>
      </c>
      <c r="Z259" s="83">
        <f>IFERROR(INDEX(Ratings!$I$5:$I$500,MATCH(A259,Ratings!$A$5:$A$500,0)),"")</f>
        <v/>
      </c>
    </row>
    <row r="260" ht="15.75" customHeight="1" s="95">
      <c r="A260" t="inlineStr">
        <is>
          <t>F0256</t>
        </is>
      </c>
      <c r="B260" t="inlineStr">
        <is>
          <t>Kingdom of the Planet of the Apes</t>
        </is>
      </c>
      <c r="C260" s="63" t="inlineStr">
        <is>
          <t>2024</t>
        </is>
      </c>
      <c r="D260" t="inlineStr">
        <is>
          <t>Blu-ray</t>
        </is>
      </c>
      <c r="E260" t="inlineStr">
        <is>
          <t>Planet of the Apes (reboot)</t>
        </is>
      </c>
      <c r="F260" s="64" t="n"/>
      <c r="I260" s="64" t="n"/>
      <c r="J260" s="64" t="inlineStr">
        <is>
          <t>Wes Ball</t>
        </is>
      </c>
      <c r="K260" s="64" t="n"/>
      <c r="L260" s="64" t="inlineStr">
        <is>
          <t>Action, Science Fiction</t>
        </is>
      </c>
      <c r="M260" s="64" t="inlineStr">
        <is>
          <t>20th Century Studios, Chernin Entertainment</t>
        </is>
      </c>
      <c r="N260" s="64" t="inlineStr">
        <is>
          <t>https://huggingface.co/datasets/HenryWaltson/TMDB-IMDB-Movies-Dataset</t>
        </is>
      </c>
      <c r="O260" s="64" t="inlineStr">
        <is>
          <t>https://huggingface.co/datasets/HenryWaltson/TMDB-IMDB-Movies-Dataset</t>
        </is>
      </c>
      <c r="P260" t="inlineStr">
        <is>
          <t>Owen Teague</t>
        </is>
      </c>
      <c r="Q260" t="inlineStr">
        <is>
          <t>Freya Allan</t>
        </is>
      </c>
      <c r="R260" t="inlineStr">
        <is>
          <t>Kevin Durand</t>
        </is>
      </c>
      <c r="S260" t="inlineStr">
        <is>
          <t>Peter Macon</t>
        </is>
      </c>
      <c r="T260" t="inlineStr">
        <is>
          <t>William H. Macy</t>
        </is>
      </c>
      <c r="U260" s="71" t="n">
        <v>1</v>
      </c>
      <c r="V260" s="71" t="n">
        <v>0</v>
      </c>
      <c r="X260" s="82">
        <f>IFERROR(INDEX(Ratings!$E$5:$E$500,MATCH(A260,Ratings!$A$5:$A$500,0)),"")</f>
        <v/>
      </c>
      <c r="Y260" s="71">
        <f>IFERROR(INDEX(Ratings!$G$5:$G$500,MATCH(A260,Ratings!$A$5:$A$500,0)),"")</f>
        <v/>
      </c>
      <c r="Z260" s="83">
        <f>IFERROR(INDEX(Ratings!$I$5:$I$500,MATCH(A260,Ratings!$A$5:$A$500,0)),"")</f>
        <v/>
      </c>
    </row>
    <row r="261" ht="15.75" customHeight="1" s="95">
      <c r="A261" t="inlineStr">
        <is>
          <t>F0257</t>
        </is>
      </c>
      <c r="B261" t="inlineStr">
        <is>
          <t>The Prestige</t>
        </is>
      </c>
      <c r="C261" s="63" t="inlineStr">
        <is>
          <t>2006</t>
        </is>
      </c>
      <c r="D261" t="inlineStr">
        <is>
          <t>Blu-ray</t>
        </is>
      </c>
      <c r="F261" s="64" t="n"/>
      <c r="I261" s="64" t="n"/>
      <c r="J261" s="64" t="inlineStr">
        <is>
          <t>Christopher Nolan</t>
        </is>
      </c>
      <c r="K261" s="64" t="n">
        <v>130</v>
      </c>
      <c r="L261" s="64" t="inlineStr">
        <is>
          <t>Drama, Mystery, Science Fiction</t>
        </is>
      </c>
      <c r="M261" s="64" t="inlineStr">
        <is>
          <t>Warner Bros. Pictures, Touchstone Pictures, Newmarket Films</t>
        </is>
      </c>
      <c r="N261" s="64" t="inlineStr">
        <is>
          <t>https://huggingface.co/datasets/HenryWaltson/TMDB-IMDB-Movies-Dataset</t>
        </is>
      </c>
      <c r="O261" s="64" t="inlineStr">
        <is>
          <t>https://huggingface.co/datasets/HenryWaltson/TMDB-IMDB-Movies-Dataset</t>
        </is>
      </c>
      <c r="P261" t="inlineStr">
        <is>
          <t>Hugh Jackman</t>
        </is>
      </c>
      <c r="Q261" t="inlineStr">
        <is>
          <t>Christian Bale</t>
        </is>
      </c>
      <c r="R261" t="inlineStr">
        <is>
          <t>Michael Caine</t>
        </is>
      </c>
      <c r="S261" t="inlineStr">
        <is>
          <t>Piper Perabo</t>
        </is>
      </c>
      <c r="T261" t="inlineStr">
        <is>
          <t>Rebecca Hall</t>
        </is>
      </c>
      <c r="U261" s="71" t="n">
        <v>2</v>
      </c>
      <c r="V261" s="71" t="n">
        <v>0</v>
      </c>
      <c r="X261" s="82">
        <f>IFERROR(INDEX(Ratings!$E$5:$E$500,MATCH(A261,Ratings!$A$5:$A$500,0)),"")</f>
        <v/>
      </c>
      <c r="Y261" s="71">
        <f>IFERROR(INDEX(Ratings!$G$5:$G$500,MATCH(A261,Ratings!$A$5:$A$500,0)),"")</f>
        <v/>
      </c>
      <c r="Z261" s="83">
        <f>IFERROR(INDEX(Ratings!$I$5:$I$500,MATCH(A261,Ratings!$A$5:$A$500,0)),"")</f>
        <v/>
      </c>
    </row>
    <row r="262" ht="15.75" customHeight="1" s="95">
      <c r="A262" t="inlineStr">
        <is>
          <t>F0258</t>
        </is>
      </c>
      <c r="B262" t="inlineStr">
        <is>
          <t>Prisoners</t>
        </is>
      </c>
      <c r="C262" s="63" t="inlineStr">
        <is>
          <t>2013</t>
        </is>
      </c>
      <c r="D262" t="inlineStr">
        <is>
          <t>Blu-ray</t>
        </is>
      </c>
      <c r="F262" s="64" t="n"/>
      <c r="I262" s="64" t="n"/>
      <c r="J262" s="64" t="inlineStr">
        <is>
          <t>Denis Villeneuve</t>
        </is>
      </c>
      <c r="K262" s="64" t="n">
        <v>153</v>
      </c>
      <c r="L262" s="64" t="inlineStr">
        <is>
          <t>Drama, Thriller, Crime</t>
        </is>
      </c>
      <c r="M262" s="64" t="inlineStr">
        <is>
          <t>Madhouse Entertainment, Alcon Entertainment, 8:38 Productions</t>
        </is>
      </c>
      <c r="N262" s="64" t="inlineStr">
        <is>
          <t>https://huggingface.co/datasets/HenryWaltson/TMDB-IMDB-Movies-Dataset</t>
        </is>
      </c>
      <c r="O262" s="64" t="inlineStr">
        <is>
          <t>https://huggingface.co/datasets/HenryWaltson/TMDB-IMDB-Movies-Dataset</t>
        </is>
      </c>
      <c r="P262" t="inlineStr">
        <is>
          <t>Hugh Jackman</t>
        </is>
      </c>
      <c r="Q262" t="inlineStr">
        <is>
          <t>Jake Gyllenhaal</t>
        </is>
      </c>
      <c r="R262" t="inlineStr">
        <is>
          <t>Viola Davis</t>
        </is>
      </c>
      <c r="S262" t="inlineStr">
        <is>
          <t>Maria Bello</t>
        </is>
      </c>
      <c r="T262" t="inlineStr">
        <is>
          <t>Terrence Howard</t>
        </is>
      </c>
      <c r="U262" s="71" t="n">
        <v>1</v>
      </c>
      <c r="V262" s="71" t="n">
        <v>0</v>
      </c>
      <c r="X262" s="82">
        <f>IFERROR(INDEX(Ratings!$E$5:$E$500,MATCH(A262,Ratings!$A$5:$A$500,0)),"")</f>
        <v/>
      </c>
      <c r="Y262" s="71">
        <f>IFERROR(INDEX(Ratings!$G$5:$G$500,MATCH(A262,Ratings!$A$5:$A$500,0)),"")</f>
        <v/>
      </c>
      <c r="Z262" s="83">
        <f>IFERROR(INDEX(Ratings!$I$5:$I$500,MATCH(A262,Ratings!$A$5:$A$500,0)),"")</f>
        <v/>
      </c>
    </row>
    <row r="263" ht="15.75" customHeight="1" s="95">
      <c r="A263" t="inlineStr">
        <is>
          <t>F0259</t>
        </is>
      </c>
      <c r="B263" t="inlineStr">
        <is>
          <t>Prometheus</t>
        </is>
      </c>
      <c r="C263" s="63" t="inlineStr">
        <is>
          <t>2012</t>
        </is>
      </c>
      <c r="D263" t="inlineStr">
        <is>
          <t>Blu-ray</t>
        </is>
      </c>
      <c r="E263" t="inlineStr">
        <is>
          <t>Alien</t>
        </is>
      </c>
      <c r="F263" s="64" t="n"/>
      <c r="I263" s="64" t="n"/>
      <c r="J263" s="64" t="inlineStr">
        <is>
          <t>Ridley Scott</t>
        </is>
      </c>
      <c r="K263" s="64" t="n">
        <v>124</v>
      </c>
      <c r="L263" s="64" t="inlineStr">
        <is>
          <t>Science Fiction, Adventure, Mystery</t>
        </is>
      </c>
      <c r="M263" s="64" t="inlineStr">
        <is>
          <t>Dune Entertainment, Scott Free Productions, Brandywine Productions</t>
        </is>
      </c>
      <c r="N263" s="64" t="inlineStr">
        <is>
          <t>https://huggingface.co/datasets/HenryWaltson/TMDB-IMDB-Movies-Dataset</t>
        </is>
      </c>
      <c r="O263" s="64" t="inlineStr">
        <is>
          <t>https://huggingface.co/datasets/HenryWaltson/TMDB-IMDB-Movies-Dataset</t>
        </is>
      </c>
      <c r="P263" t="inlineStr">
        <is>
          <t>Noomi Rapace</t>
        </is>
      </c>
      <c r="Q263" t="inlineStr">
        <is>
          <t>Michael Fassbender</t>
        </is>
      </c>
      <c r="R263" t="inlineStr">
        <is>
          <t>Charlize Theron</t>
        </is>
      </c>
      <c r="S263" t="inlineStr">
        <is>
          <t>Idris Elba</t>
        </is>
      </c>
      <c r="T263" t="inlineStr">
        <is>
          <t>Guy Pearce</t>
        </is>
      </c>
      <c r="U263" s="71" t="n">
        <v>1</v>
      </c>
      <c r="V263" s="71" t="n">
        <v>0</v>
      </c>
      <c r="X263" s="82">
        <f>IFERROR(INDEX(Ratings!$E$5:$E$500,MATCH(A263,Ratings!$A$5:$A$500,0)),"")</f>
        <v/>
      </c>
      <c r="Y263" s="71">
        <f>IFERROR(INDEX(Ratings!$G$5:$G$500,MATCH(A263,Ratings!$A$5:$A$500,0)),"")</f>
        <v/>
      </c>
      <c r="Z263" s="83">
        <f>IFERROR(INDEX(Ratings!$I$5:$I$500,MATCH(A263,Ratings!$A$5:$A$500,0)),"")</f>
        <v/>
      </c>
    </row>
    <row r="264" ht="15.75" customHeight="1" s="95">
      <c r="A264" t="inlineStr">
        <is>
          <t>F0260</t>
        </is>
      </c>
      <c r="B264" t="inlineStr">
        <is>
          <t>The Pursuit of Happyness</t>
        </is>
      </c>
      <c r="C264" s="63" t="inlineStr">
        <is>
          <t>2006</t>
        </is>
      </c>
      <c r="D264" t="inlineStr">
        <is>
          <t>Blu-ray</t>
        </is>
      </c>
      <c r="F264" s="64" t="n"/>
      <c r="I264" s="64" t="n"/>
      <c r="J264" s="64" t="inlineStr">
        <is>
          <t>Gabriele Muccino</t>
        </is>
      </c>
      <c r="K264" s="64" t="n">
        <v>117</v>
      </c>
      <c r="L264" s="64" t="inlineStr">
        <is>
          <t>Drama</t>
        </is>
      </c>
      <c r="M264" s="64" t="inlineStr">
        <is>
          <t>Escape Artists, Relativity Media, Columbia Pictures</t>
        </is>
      </c>
      <c r="N264" s="64" t="inlineStr">
        <is>
          <t>https://huggingface.co/datasets/HenryWaltson/TMDB-IMDB-Movies-Dataset</t>
        </is>
      </c>
      <c r="O264" s="64" t="inlineStr">
        <is>
          <t>https://huggingface.co/datasets/HenryWaltson/TMDB-IMDB-Movies-Dataset</t>
        </is>
      </c>
      <c r="P264" t="inlineStr">
        <is>
          <t>Will Smith</t>
        </is>
      </c>
      <c r="Q264" t="inlineStr">
        <is>
          <t>Jaden Smith</t>
        </is>
      </c>
      <c r="R264" t="inlineStr">
        <is>
          <t>Thandiwe Newton</t>
        </is>
      </c>
      <c r="S264" t="inlineStr">
        <is>
          <t>Brian Howe</t>
        </is>
      </c>
      <c r="T264" t="inlineStr">
        <is>
          <t>James Karen</t>
        </is>
      </c>
      <c r="U264" s="71" t="n">
        <v>1</v>
      </c>
      <c r="V264" s="71" t="n">
        <v>0</v>
      </c>
      <c r="X264" s="82">
        <f>IFERROR(INDEX(Ratings!$E$5:$E$500,MATCH(A264,Ratings!$A$5:$A$500,0)),"")</f>
        <v/>
      </c>
      <c r="Y264" s="71">
        <f>IFERROR(INDEX(Ratings!$G$5:$G$500,MATCH(A264,Ratings!$A$5:$A$500,0)),"")</f>
        <v/>
      </c>
      <c r="Z264" s="83">
        <f>IFERROR(INDEX(Ratings!$I$5:$I$500,MATCH(A264,Ratings!$A$5:$A$500,0)),"")</f>
        <v/>
      </c>
    </row>
    <row r="265" ht="15.75" customHeight="1" s="95">
      <c r="A265" t="inlineStr">
        <is>
          <t>F0261</t>
        </is>
      </c>
      <c r="B265" t="inlineStr">
        <is>
          <t>Rambo</t>
        </is>
      </c>
      <c r="C265" s="63" t="inlineStr">
        <is>
          <t>2008</t>
        </is>
      </c>
      <c r="D265" t="inlineStr">
        <is>
          <t>Blu-ray</t>
        </is>
      </c>
      <c r="F265" s="64" t="n"/>
      <c r="I265" s="64" t="n"/>
      <c r="J265" s="64" t="inlineStr">
        <is>
          <t>Sylvester Stallone</t>
        </is>
      </c>
      <c r="K265" s="64" t="n">
        <v>92</v>
      </c>
      <c r="L265" s="64" t="inlineStr">
        <is>
          <t>Action, Thriller, War</t>
        </is>
      </c>
      <c r="M265" s="64" t="inlineStr">
        <is>
          <t>Nu Image, Lionsgate, EFO Films</t>
        </is>
      </c>
      <c r="N265" s="64" t="inlineStr">
        <is>
          <t>https://huggingface.co/datasets/HenryWaltson/TMDB-IMDB-Movies-Dataset</t>
        </is>
      </c>
      <c r="O265" s="64" t="inlineStr">
        <is>
          <t>https://huggingface.co/datasets/HenryWaltson/TMDB-IMDB-Movies-Dataset</t>
        </is>
      </c>
      <c r="P265" t="inlineStr">
        <is>
          <t>Sylvester Stallone</t>
        </is>
      </c>
      <c r="Q265" t="inlineStr">
        <is>
          <t>Julie Benz</t>
        </is>
      </c>
      <c r="R265" t="inlineStr">
        <is>
          <t>Matthew Marsden</t>
        </is>
      </c>
      <c r="S265" t="inlineStr">
        <is>
          <t>Graham McTavish</t>
        </is>
      </c>
      <c r="T265" t="inlineStr">
        <is>
          <t>Reynaldo Gallegos</t>
        </is>
      </c>
      <c r="U265" s="71" t="n">
        <v>0</v>
      </c>
      <c r="V265" s="71" t="n">
        <v>0</v>
      </c>
      <c r="X265" s="82">
        <f>IFERROR(INDEX(Ratings!$E$5:$E$500,MATCH(A265,Ratings!$A$5:$A$500,0)),"")</f>
        <v/>
      </c>
      <c r="Y265" s="71">
        <f>IFERROR(INDEX(Ratings!$G$5:$G$500,MATCH(A265,Ratings!$A$5:$A$500,0)),"")</f>
        <v/>
      </c>
      <c r="Z265" s="83">
        <f>IFERROR(INDEX(Ratings!$I$5:$I$500,MATCH(A265,Ratings!$A$5:$A$500,0)),"")</f>
        <v/>
      </c>
    </row>
    <row r="266" ht="15.75" customHeight="1" s="95">
      <c r="A266" t="inlineStr">
        <is>
          <t>F0262</t>
        </is>
      </c>
      <c r="B266" t="inlineStr">
        <is>
          <t>RED</t>
        </is>
      </c>
      <c r="C266" s="63" t="inlineStr">
        <is>
          <t>2010</t>
        </is>
      </c>
      <c r="D266" t="inlineStr">
        <is>
          <t>Blu-ray</t>
        </is>
      </c>
      <c r="F266" s="64" t="n"/>
      <c r="I266" s="64" t="n"/>
      <c r="J266" s="64" t="inlineStr">
        <is>
          <t>Robert Schwentke</t>
        </is>
      </c>
      <c r="K266" s="64" t="n">
        <v>111</v>
      </c>
      <c r="L266" s="64" t="inlineStr">
        <is>
          <t>Action, Adventure, Comedy, Crime, Thriller</t>
        </is>
      </c>
      <c r="M266" s="64" t="inlineStr">
        <is>
          <t>di Bonaventura Pictures, DC Comics, Summit Entertainment</t>
        </is>
      </c>
      <c r="N266" s="64" t="inlineStr">
        <is>
          <t>https://huggingface.co/datasets/HenryWaltson/TMDB-IMDB-Movies-Dataset</t>
        </is>
      </c>
      <c r="O266" s="64" t="inlineStr">
        <is>
          <t>https://huggingface.co/datasets/HenryWaltson/TMDB-IMDB-Movies-Dataset</t>
        </is>
      </c>
      <c r="P266" t="inlineStr">
        <is>
          <t>Bruce Willis</t>
        </is>
      </c>
      <c r="Q266" t="inlineStr">
        <is>
          <t>John Malkovich</t>
        </is>
      </c>
      <c r="R266" t="inlineStr">
        <is>
          <t>Morgan Freeman</t>
        </is>
      </c>
      <c r="S266" t="inlineStr">
        <is>
          <t>Helen Mirren</t>
        </is>
      </c>
      <c r="T266" t="inlineStr">
        <is>
          <t>Mary-Louise Parker</t>
        </is>
      </c>
      <c r="U266" s="71" t="n">
        <v>0</v>
      </c>
      <c r="V266" s="71" t="n">
        <v>0</v>
      </c>
      <c r="X266" s="82">
        <f>IFERROR(INDEX(Ratings!$E$5:$E$500,MATCH(A266,Ratings!$A$5:$A$500,0)),"")</f>
        <v/>
      </c>
      <c r="Y266" s="71">
        <f>IFERROR(INDEX(Ratings!$G$5:$G$500,MATCH(A266,Ratings!$A$5:$A$500,0)),"")</f>
        <v/>
      </c>
      <c r="Z266" s="83">
        <f>IFERROR(INDEX(Ratings!$I$5:$I$500,MATCH(A266,Ratings!$A$5:$A$500,0)),"")</f>
        <v/>
      </c>
    </row>
    <row r="267" ht="15.75" customHeight="1" s="95">
      <c r="A267" t="inlineStr">
        <is>
          <t>F0263</t>
        </is>
      </c>
      <c r="B267" t="inlineStr">
        <is>
          <t>Reign of Fire</t>
        </is>
      </c>
      <c r="C267" s="63" t="inlineStr">
        <is>
          <t>2002</t>
        </is>
      </c>
      <c r="D267" t="inlineStr">
        <is>
          <t>Blu-ray</t>
        </is>
      </c>
      <c r="F267" s="64" t="n"/>
      <c r="I267" s="64" t="n"/>
      <c r="J267" s="64" t="inlineStr">
        <is>
          <t>Rob Bowman</t>
        </is>
      </c>
      <c r="K267" s="64" t="n">
        <v>101</v>
      </c>
      <c r="L267" s="64" t="inlineStr">
        <is>
          <t>Adventure, Action, Fantasy</t>
        </is>
      </c>
      <c r="M267" s="64" t="inlineStr">
        <is>
          <t>The Zanuck Company, Spyglass Entertainment, World 2000 Entertainment</t>
        </is>
      </c>
      <c r="N267" s="64" t="inlineStr">
        <is>
          <t>https://huggingface.co/datasets/HenryWaltson/TMDB-IMDB-Movies-Dataset</t>
        </is>
      </c>
      <c r="O267" s="64" t="inlineStr">
        <is>
          <t>https://huggingface.co/datasets/HenryWaltson/TMDB-IMDB-Movies-Dataset</t>
        </is>
      </c>
      <c r="P267" t="inlineStr">
        <is>
          <t>Christian Bale</t>
        </is>
      </c>
      <c r="Q267" t="inlineStr">
        <is>
          <t>Matthew McConaughey</t>
        </is>
      </c>
      <c r="R267" t="inlineStr">
        <is>
          <t>Izabella Scorupco</t>
        </is>
      </c>
      <c r="S267" t="inlineStr">
        <is>
          <t>Gerard Butler</t>
        </is>
      </c>
      <c r="T267" t="inlineStr">
        <is>
          <t>Alexander Siddig</t>
        </is>
      </c>
      <c r="U267" s="71" t="n">
        <v>0</v>
      </c>
      <c r="V267" s="71" t="n">
        <v>0</v>
      </c>
      <c r="X267" s="82">
        <f>IFERROR(INDEX(Ratings!$E$5:$E$500,MATCH(A267,Ratings!$A$5:$A$500,0)),"")</f>
        <v/>
      </c>
      <c r="Y267" s="71">
        <f>IFERROR(INDEX(Ratings!$G$5:$G$500,MATCH(A267,Ratings!$A$5:$A$500,0)),"")</f>
        <v/>
      </c>
      <c r="Z267" s="83">
        <f>IFERROR(INDEX(Ratings!$I$5:$I$500,MATCH(A267,Ratings!$A$5:$A$500,0)),"")</f>
        <v/>
      </c>
    </row>
    <row r="268" ht="15.75" customHeight="1" s="95">
      <c r="A268" t="inlineStr">
        <is>
          <t>F0264</t>
        </is>
      </c>
      <c r="B268" t="inlineStr">
        <is>
          <t>Riddick</t>
        </is>
      </c>
      <c r="C268" s="63" t="inlineStr">
        <is>
          <t>2013</t>
        </is>
      </c>
      <c r="D268" t="inlineStr">
        <is>
          <t>Blu-ray</t>
        </is>
      </c>
      <c r="F268" s="64" t="n"/>
      <c r="I268" s="64" t="n"/>
      <c r="J268" s="64" t="inlineStr">
        <is>
          <t>David Twohy</t>
        </is>
      </c>
      <c r="K268" s="64" t="n">
        <v>119</v>
      </c>
      <c r="L268" s="64" t="inlineStr">
        <is>
          <t>Science Fiction, Action, Thriller</t>
        </is>
      </c>
      <c r="M268" s="64" t="inlineStr">
        <is>
          <t>One Race, Riddick Canada Productions, Radar Pictures</t>
        </is>
      </c>
      <c r="N268" s="64" t="inlineStr">
        <is>
          <t>https://huggingface.co/datasets/HenryWaltson/TMDB-IMDB-Movies-Dataset</t>
        </is>
      </c>
      <c r="O268" s="64" t="inlineStr">
        <is>
          <t>https://huggingface.co/datasets/HenryWaltson/TMDB-IMDB-Movies-Dataset</t>
        </is>
      </c>
      <c r="P268" t="inlineStr">
        <is>
          <t>Vin Diesel</t>
        </is>
      </c>
      <c r="Q268" t="inlineStr">
        <is>
          <t>Matt Nable</t>
        </is>
      </c>
      <c r="R268" t="inlineStr">
        <is>
          <t>Katee Sackhoff</t>
        </is>
      </c>
      <c r="S268" t="inlineStr">
        <is>
          <t>Jordi Mollà</t>
        </is>
      </c>
      <c r="T268" t="inlineStr">
        <is>
          <t>Dave Bautista</t>
        </is>
      </c>
      <c r="U268" s="71" t="n">
        <v>0</v>
      </c>
      <c r="V268" s="71" t="n">
        <v>0</v>
      </c>
      <c r="X268" s="82">
        <f>IFERROR(INDEX(Ratings!$E$5:$E$500,MATCH(A268,Ratings!$A$5:$A$500,0)),"")</f>
        <v/>
      </c>
      <c r="Y268" s="71">
        <f>IFERROR(INDEX(Ratings!$G$5:$G$500,MATCH(A268,Ratings!$A$5:$A$500,0)),"")</f>
        <v/>
      </c>
      <c r="Z268" s="83">
        <f>IFERROR(INDEX(Ratings!$I$5:$I$500,MATCH(A268,Ratings!$A$5:$A$500,0)),"")</f>
        <v/>
      </c>
    </row>
    <row r="269" ht="15.75" customHeight="1" s="95">
      <c r="A269" t="inlineStr">
        <is>
          <t>F0265</t>
        </is>
      </c>
      <c r="B269" t="inlineStr">
        <is>
          <t>Rio</t>
        </is>
      </c>
      <c r="C269" s="63" t="inlineStr">
        <is>
          <t>2011</t>
        </is>
      </c>
      <c r="D269" t="inlineStr">
        <is>
          <t>Blu-ray</t>
        </is>
      </c>
      <c r="E269" t="inlineStr">
        <is>
          <t>Rio</t>
        </is>
      </c>
      <c r="F269" s="64" t="n"/>
      <c r="I269" s="64" t="n"/>
      <c r="J269" s="64" t="inlineStr">
        <is>
          <t>Carlos Saldanha</t>
        </is>
      </c>
      <c r="K269" s="64" t="n">
        <v>96</v>
      </c>
      <c r="L269" s="64" t="inlineStr">
        <is>
          <t>Animation, Adventure, Comedy, Family</t>
        </is>
      </c>
      <c r="M269" s="64" t="inlineStr">
        <is>
          <t>Blue Sky Studios, 20th Century Fox Animation, 20th Century Fox</t>
        </is>
      </c>
      <c r="N269" s="64" t="inlineStr">
        <is>
          <t>https://huggingface.co/datasets/HenryWaltson/TMDB-IMDB-Movies-Dataset</t>
        </is>
      </c>
      <c r="O269" s="64" t="inlineStr">
        <is>
          <t>https://huggingface.co/datasets/HenryWaltson/TMDB-IMDB-Movies-Dataset</t>
        </is>
      </c>
      <c r="P269" t="inlineStr">
        <is>
          <t>Jesse Eisenberg</t>
        </is>
      </c>
      <c r="Q269" t="inlineStr">
        <is>
          <t>Anne Hathaway</t>
        </is>
      </c>
      <c r="R269" t="inlineStr">
        <is>
          <t>Leslie Mann</t>
        </is>
      </c>
      <c r="S269" t="inlineStr">
        <is>
          <t>Jane Lynch</t>
        </is>
      </c>
      <c r="T269" t="inlineStr">
        <is>
          <t>will.i.am</t>
        </is>
      </c>
      <c r="U269" s="71" t="n">
        <v>1</v>
      </c>
      <c r="V269" s="71" t="n">
        <v>0</v>
      </c>
      <c r="X269" s="82">
        <f>IFERROR(INDEX(Ratings!$E$5:$E$500,MATCH(A269,Ratings!$A$5:$A$500,0)),"")</f>
        <v/>
      </c>
      <c r="Y269" s="71">
        <f>IFERROR(INDEX(Ratings!$G$5:$G$500,MATCH(A269,Ratings!$A$5:$A$500,0)),"")</f>
        <v/>
      </c>
      <c r="Z269" s="83">
        <f>IFERROR(INDEX(Ratings!$I$5:$I$500,MATCH(A269,Ratings!$A$5:$A$500,0)),"")</f>
        <v/>
      </c>
    </row>
    <row r="270" ht="15.75" customHeight="1" s="95">
      <c r="A270" t="inlineStr">
        <is>
          <t>F0266</t>
        </is>
      </c>
      <c r="B270" t="inlineStr">
        <is>
          <t>Rio 2</t>
        </is>
      </c>
      <c r="C270" s="63" t="inlineStr">
        <is>
          <t>2014</t>
        </is>
      </c>
      <c r="D270" t="inlineStr">
        <is>
          <t>Blu-ray</t>
        </is>
      </c>
      <c r="E270" t="inlineStr">
        <is>
          <t>Rio</t>
        </is>
      </c>
      <c r="F270" s="64" t="n"/>
      <c r="I270" s="64" t="n"/>
      <c r="J270" s="64" t="inlineStr">
        <is>
          <t>Carlos Saldanha</t>
        </is>
      </c>
      <c r="K270" s="64" t="n">
        <v>101</v>
      </c>
      <c r="L270" s="64" t="inlineStr">
        <is>
          <t>Animation, Adventure, Comedy, Family</t>
        </is>
      </c>
      <c r="M270" s="64" t="inlineStr">
        <is>
          <t>Blue Sky Studios, 20th Century Fox Animation, 20th Century Fox</t>
        </is>
      </c>
      <c r="N270" s="64" t="inlineStr">
        <is>
          <t>https://huggingface.co/datasets/HenryWaltson/TMDB-IMDB-Movies-Dataset</t>
        </is>
      </c>
      <c r="O270" s="64" t="inlineStr">
        <is>
          <t>https://huggingface.co/datasets/HenryWaltson/TMDB-IMDB-Movies-Dataset</t>
        </is>
      </c>
      <c r="P270" t="inlineStr">
        <is>
          <t>Jesse Eisenberg</t>
        </is>
      </c>
      <c r="Q270" t="inlineStr">
        <is>
          <t>Anne Hathaway</t>
        </is>
      </c>
      <c r="R270" t="inlineStr">
        <is>
          <t>will.i.am</t>
        </is>
      </c>
      <c r="S270" t="inlineStr">
        <is>
          <t>Jamie Foxx</t>
        </is>
      </c>
      <c r="T270" t="inlineStr">
        <is>
          <t>Leslie Mann</t>
        </is>
      </c>
      <c r="U270" s="71" t="n">
        <v>0</v>
      </c>
      <c r="V270" s="71" t="n">
        <v>0</v>
      </c>
      <c r="X270" s="82">
        <f>IFERROR(INDEX(Ratings!$E$5:$E$500,MATCH(A270,Ratings!$A$5:$A$500,0)),"")</f>
        <v/>
      </c>
      <c r="Y270" s="71">
        <f>IFERROR(INDEX(Ratings!$G$5:$G$500,MATCH(A270,Ratings!$A$5:$A$500,0)),"")</f>
        <v/>
      </c>
      <c r="Z270" s="83">
        <f>IFERROR(INDEX(Ratings!$I$5:$I$500,MATCH(A270,Ratings!$A$5:$A$500,0)),"")</f>
        <v/>
      </c>
    </row>
    <row r="271" ht="15.75" customHeight="1" s="95">
      <c r="A271" t="inlineStr">
        <is>
          <t>F0267</t>
        </is>
      </c>
      <c r="B271" t="inlineStr">
        <is>
          <t>Robin Hood</t>
        </is>
      </c>
      <c r="C271" s="63" t="inlineStr">
        <is>
          <t>2010</t>
        </is>
      </c>
      <c r="D271" t="inlineStr">
        <is>
          <t>Blu-ray</t>
        </is>
      </c>
      <c r="F271" s="64" t="n"/>
      <c r="I271" s="64" t="inlineStr">
        <is>
          <t>Best guess: 2010 Ridley Scott version.</t>
        </is>
      </c>
      <c r="J271" s="64" t="inlineStr">
        <is>
          <t>Ridley Scott</t>
        </is>
      </c>
      <c r="K271" s="64" t="n">
        <v>140</v>
      </c>
      <c r="L271" s="64" t="inlineStr">
        <is>
          <t>Action, Adventure, Drama</t>
        </is>
      </c>
      <c r="M271" s="64" t="inlineStr">
        <is>
          <t>Scott Free Productions, Imagine Entertainment, Relativity Media</t>
        </is>
      </c>
      <c r="N271" s="64" t="inlineStr">
        <is>
          <t>https://huggingface.co/datasets/HenryWaltson/TMDB-IMDB-Movies-Dataset</t>
        </is>
      </c>
      <c r="O271" s="64" t="inlineStr">
        <is>
          <t>https://huggingface.co/datasets/HenryWaltson/TMDB-IMDB-Movies-Dataset</t>
        </is>
      </c>
      <c r="P271" t="inlineStr">
        <is>
          <t>Russell Crowe</t>
        </is>
      </c>
      <c r="Q271" t="inlineStr">
        <is>
          <t>Cate Blanchett</t>
        </is>
      </c>
      <c r="R271" t="inlineStr">
        <is>
          <t>Max von Sydow</t>
        </is>
      </c>
      <c r="S271" t="inlineStr">
        <is>
          <t>William Hurt</t>
        </is>
      </c>
      <c r="T271" t="inlineStr">
        <is>
          <t>Mark Strong</t>
        </is>
      </c>
      <c r="U271" s="71" t="n">
        <v>0</v>
      </c>
      <c r="V271" s="71" t="n">
        <v>0</v>
      </c>
      <c r="X271" s="82">
        <f>IFERROR(INDEX(Ratings!$E$5:$E$500,MATCH(A271,Ratings!$A$5:$A$500,0)),"")</f>
        <v/>
      </c>
      <c r="Y271" s="71">
        <f>IFERROR(INDEX(Ratings!$G$5:$G$500,MATCH(A271,Ratings!$A$5:$A$500,0)),"")</f>
        <v/>
      </c>
      <c r="Z271" s="83">
        <f>IFERROR(INDEX(Ratings!$I$5:$I$500,MATCH(A271,Ratings!$A$5:$A$500,0)),"")</f>
        <v/>
      </c>
    </row>
    <row r="272" ht="15.75" customHeight="1" s="95">
      <c r="A272" t="inlineStr">
        <is>
          <t>F0268</t>
        </is>
      </c>
      <c r="B272" t="inlineStr">
        <is>
          <t>RoboCop</t>
        </is>
      </c>
      <c r="C272" s="63" t="n"/>
      <c r="D272" t="inlineStr">
        <is>
          <t>Blu-ray</t>
        </is>
      </c>
      <c r="F272" s="64" t="n"/>
      <c r="I272" s="64" t="inlineStr">
        <is>
          <t>Best guess: 1987 original.</t>
        </is>
      </c>
      <c r="J272" s="64" t="inlineStr">
        <is>
          <t>Paul Verhoeven</t>
        </is>
      </c>
      <c r="K272" s="64" t="n">
        <v>102</v>
      </c>
      <c r="L272" s="64" t="inlineStr">
        <is>
          <t>Action, Thriller, Science Fiction</t>
        </is>
      </c>
      <c r="M272" s="64" t="inlineStr">
        <is>
          <t>Orion Pictures</t>
        </is>
      </c>
      <c r="N272" s="64" t="inlineStr">
        <is>
          <t>https://huggingface.co/datasets/HenryWaltson/TMDB-IMDB-Movies-Dataset</t>
        </is>
      </c>
      <c r="O272" s="64" t="inlineStr">
        <is>
          <t>https://huggingface.co/datasets/HenryWaltson/TMDB-IMDB-Movies-Dataset</t>
        </is>
      </c>
      <c r="P272" t="inlineStr">
        <is>
          <t>Peter Weller</t>
        </is>
      </c>
      <c r="Q272" t="inlineStr">
        <is>
          <t>Nancy Allen</t>
        </is>
      </c>
      <c r="R272" t="inlineStr">
        <is>
          <t>Dan O'Herlihy</t>
        </is>
      </c>
      <c r="S272" t="inlineStr">
        <is>
          <t>Ronny Cox</t>
        </is>
      </c>
      <c r="T272" t="inlineStr">
        <is>
          <t>Kurtwood Smith</t>
        </is>
      </c>
      <c r="U272" s="71" t="n">
        <v>0</v>
      </c>
      <c r="V272" s="71" t="n">
        <v>0</v>
      </c>
      <c r="X272" s="82">
        <f>IFERROR(INDEX(Ratings!$E$5:$E$500,MATCH(A272,Ratings!$A$5:$A$500,0)),"")</f>
        <v/>
      </c>
      <c r="Y272" s="71">
        <f>IFERROR(INDEX(Ratings!$G$5:$G$500,MATCH(A272,Ratings!$A$5:$A$500,0)),"")</f>
        <v/>
      </c>
      <c r="Z272" s="83">
        <f>IFERROR(INDEX(Ratings!$I$5:$I$500,MATCH(A272,Ratings!$A$5:$A$500,0)),"")</f>
        <v/>
      </c>
    </row>
    <row r="273" ht="15.75" customHeight="1" s="95">
      <c r="A273" t="inlineStr">
        <is>
          <t>F0269</t>
        </is>
      </c>
      <c r="B273" t="inlineStr">
        <is>
          <t>Rocketman</t>
        </is>
      </c>
      <c r="C273" s="63" t="inlineStr">
        <is>
          <t>2019</t>
        </is>
      </c>
      <c r="D273" t="inlineStr">
        <is>
          <t>Blu-ray</t>
        </is>
      </c>
      <c r="F273" s="64" t="n"/>
      <c r="I273" s="64" t="n"/>
      <c r="J273" s="64" t="inlineStr">
        <is>
          <t>Dexter Fletcher</t>
        </is>
      </c>
      <c r="K273" s="64" t="n">
        <v>121</v>
      </c>
      <c r="L273" s="64" t="inlineStr">
        <is>
          <t>Music, Drama, History</t>
        </is>
      </c>
      <c r="M273" s="64" t="inlineStr">
        <is>
          <t>Paramount, New Republic Pictures, Marv Films</t>
        </is>
      </c>
      <c r="N273" s="64" t="inlineStr">
        <is>
          <t>https://huggingface.co/datasets/HenryWaltson/TMDB-IMDB-Movies-Dataset</t>
        </is>
      </c>
      <c r="O273" s="64" t="inlineStr">
        <is>
          <t>https://huggingface.co/datasets/HenryWaltson/TMDB-IMDB-Movies-Dataset</t>
        </is>
      </c>
      <c r="P273" t="inlineStr">
        <is>
          <t>Taron Egerton</t>
        </is>
      </c>
      <c r="Q273" t="inlineStr">
        <is>
          <t>Jamie Bell</t>
        </is>
      </c>
      <c r="R273" t="inlineStr">
        <is>
          <t>Richard Madden</t>
        </is>
      </c>
      <c r="S273" t="inlineStr">
        <is>
          <t>Bryce Dallas Howard</t>
        </is>
      </c>
      <c r="T273" t="inlineStr">
        <is>
          <t>Gemma Jones</t>
        </is>
      </c>
      <c r="U273" s="71" t="n">
        <v>1</v>
      </c>
      <c r="V273" s="71" t="n">
        <v>1</v>
      </c>
      <c r="X273" s="82">
        <f>IFERROR(INDEX(Ratings!$E$5:$E$500,MATCH(A273,Ratings!$A$5:$A$500,0)),"")</f>
        <v/>
      </c>
      <c r="Y273" s="71">
        <f>IFERROR(INDEX(Ratings!$G$5:$G$500,MATCH(A273,Ratings!$A$5:$A$500,0)),"")</f>
        <v/>
      </c>
      <c r="Z273" s="83">
        <f>IFERROR(INDEX(Ratings!$I$5:$I$500,MATCH(A273,Ratings!$A$5:$A$500,0)),"")</f>
        <v/>
      </c>
    </row>
    <row r="274" ht="15.75" customHeight="1" s="95">
      <c r="A274" t="inlineStr">
        <is>
          <t>F0270</t>
        </is>
      </c>
      <c r="B274" t="inlineStr">
        <is>
          <t>Rush</t>
        </is>
      </c>
      <c r="C274" s="63" t="inlineStr">
        <is>
          <t>2013</t>
        </is>
      </c>
      <c r="D274" t="inlineStr">
        <is>
          <t>Blu-ray</t>
        </is>
      </c>
      <c r="F274" s="64" t="n"/>
      <c r="I274" s="64" t="n"/>
      <c r="J274" s="64" t="inlineStr">
        <is>
          <t>Ron Howard</t>
        </is>
      </c>
      <c r="K274" s="64" t="n">
        <v>123</v>
      </c>
      <c r="L274" s="64" t="inlineStr">
        <is>
          <t>Drama, Action</t>
        </is>
      </c>
      <c r="M274" s="64" t="inlineStr">
        <is>
          <t>Revolution Films, Working Title Films, Imagine Entertainment</t>
        </is>
      </c>
      <c r="N274" s="64" t="inlineStr">
        <is>
          <t>https://huggingface.co/datasets/HenryWaltson/TMDB-IMDB-Movies-Dataset</t>
        </is>
      </c>
      <c r="O274" s="64" t="inlineStr">
        <is>
          <t>https://huggingface.co/datasets/HenryWaltson/TMDB-IMDB-Movies-Dataset</t>
        </is>
      </c>
      <c r="P274" t="inlineStr">
        <is>
          <t>Chris Hemsworth</t>
        </is>
      </c>
      <c r="Q274" t="inlineStr">
        <is>
          <t>Daniel Brühl</t>
        </is>
      </c>
      <c r="R274" t="inlineStr">
        <is>
          <t>Olivia Wilde</t>
        </is>
      </c>
      <c r="S274" t="inlineStr">
        <is>
          <t>Alexandra Maria Lara</t>
        </is>
      </c>
      <c r="T274" t="inlineStr">
        <is>
          <t>Pierfrancesco Favino</t>
        </is>
      </c>
      <c r="U274" s="71" t="n">
        <v>0</v>
      </c>
      <c r="V274" s="71" t="n">
        <v>0</v>
      </c>
      <c r="X274" s="82">
        <f>IFERROR(INDEX(Ratings!$E$5:$E$500,MATCH(A274,Ratings!$A$5:$A$500,0)),"")</f>
        <v/>
      </c>
      <c r="Y274" s="71">
        <f>IFERROR(INDEX(Ratings!$G$5:$G$500,MATCH(A274,Ratings!$A$5:$A$500,0)),"")</f>
        <v/>
      </c>
      <c r="Z274" s="83">
        <f>IFERROR(INDEX(Ratings!$I$5:$I$500,MATCH(A274,Ratings!$A$5:$A$500,0)),"")</f>
        <v/>
      </c>
    </row>
    <row r="275" ht="15.75" customHeight="1" s="95">
      <c r="A275" t="inlineStr">
        <is>
          <t>F0271</t>
        </is>
      </c>
      <c r="B275" t="inlineStr">
        <is>
          <t>Rush Hour 3</t>
        </is>
      </c>
      <c r="C275" s="63" t="inlineStr">
        <is>
          <t>2007</t>
        </is>
      </c>
      <c r="D275" t="inlineStr">
        <is>
          <t>Blu-ray</t>
        </is>
      </c>
      <c r="F275" s="64" t="n"/>
      <c r="I275" s="64" t="n"/>
      <c r="J275" s="64" t="inlineStr">
        <is>
          <t>Brett Ratner</t>
        </is>
      </c>
      <c r="K275" s="64" t="n">
        <v>91</v>
      </c>
      <c r="L275" s="64" t="inlineStr">
        <is>
          <t>Action, Comedy, Crime</t>
        </is>
      </c>
      <c r="M275" s="64" t="inlineStr">
        <is>
          <t>New Line Cinema, Roger Birnbaum Productions, Arthur Sarkissian Productions</t>
        </is>
      </c>
      <c r="N275" s="64" t="inlineStr">
        <is>
          <t>https://huggingface.co/datasets/HenryWaltson/TMDB-IMDB-Movies-Dataset</t>
        </is>
      </c>
      <c r="O275" s="64" t="inlineStr">
        <is>
          <t>https://huggingface.co/datasets/HenryWaltson/TMDB-IMDB-Movies-Dataset</t>
        </is>
      </c>
      <c r="P275" t="inlineStr">
        <is>
          <t>Jackie Chan</t>
        </is>
      </c>
      <c r="Q275" t="inlineStr">
        <is>
          <t>Chris Tucker</t>
        </is>
      </c>
      <c r="R275" t="inlineStr">
        <is>
          <t>Hiroyuki Sanada</t>
        </is>
      </c>
      <c r="S275" t="inlineStr">
        <is>
          <t>Max von Sydow</t>
        </is>
      </c>
      <c r="T275" t="inlineStr">
        <is>
          <t>Yvan Attal</t>
        </is>
      </c>
      <c r="U275" s="71" t="n">
        <v>0</v>
      </c>
      <c r="V275" s="71" t="n">
        <v>0</v>
      </c>
      <c r="X275" s="82">
        <f>IFERROR(INDEX(Ratings!$E$5:$E$500,MATCH(A275,Ratings!$A$5:$A$500,0)),"")</f>
        <v/>
      </c>
      <c r="Y275" s="71">
        <f>IFERROR(INDEX(Ratings!$G$5:$G$500,MATCH(A275,Ratings!$A$5:$A$500,0)),"")</f>
        <v/>
      </c>
      <c r="Z275" s="83">
        <f>IFERROR(INDEX(Ratings!$I$5:$I$500,MATCH(A275,Ratings!$A$5:$A$500,0)),"")</f>
        <v/>
      </c>
    </row>
    <row r="276" ht="15.75" customHeight="1" s="95">
      <c r="A276" t="inlineStr">
        <is>
          <t>F0272</t>
        </is>
      </c>
      <c r="B276" t="inlineStr">
        <is>
          <t>Safe House</t>
        </is>
      </c>
      <c r="C276" s="63" t="inlineStr">
        <is>
          <t>2012</t>
        </is>
      </c>
      <c r="D276" t="inlineStr">
        <is>
          <t>Blu-ray</t>
        </is>
      </c>
      <c r="F276" s="64" t="n"/>
      <c r="I276" s="64" t="n"/>
      <c r="J276" s="64" t="inlineStr">
        <is>
          <t>Daniel Espinosa</t>
        </is>
      </c>
      <c r="K276" s="64" t="n">
        <v>115</v>
      </c>
      <c r="L276" s="64" t="inlineStr">
        <is>
          <t>Action, Thriller</t>
        </is>
      </c>
      <c r="M276" s="64" t="inlineStr">
        <is>
          <t>Universal Pictures, Relativity Media, Bluegrass Films</t>
        </is>
      </c>
      <c r="N276" s="64" t="inlineStr">
        <is>
          <t>https://huggingface.co/datasets/HenryWaltson/TMDB-IMDB-Movies-Dataset</t>
        </is>
      </c>
      <c r="O276" s="64" t="inlineStr">
        <is>
          <t>https://huggingface.co/datasets/HenryWaltson/TMDB-IMDB-Movies-Dataset</t>
        </is>
      </c>
      <c r="P276" t="inlineStr">
        <is>
          <t>Denzel Washington</t>
        </is>
      </c>
      <c r="Q276" t="inlineStr">
        <is>
          <t>Ryan Reynolds</t>
        </is>
      </c>
      <c r="R276" t="inlineStr">
        <is>
          <t>Vera Farmiga</t>
        </is>
      </c>
      <c r="S276" t="inlineStr">
        <is>
          <t>Brendan Gleeson</t>
        </is>
      </c>
      <c r="T276" t="inlineStr">
        <is>
          <t>Sam Shepard</t>
        </is>
      </c>
      <c r="U276" s="71" t="n">
        <v>0</v>
      </c>
      <c r="V276" s="71" t="n">
        <v>0</v>
      </c>
      <c r="X276" s="82">
        <f>IFERROR(INDEX(Ratings!$E$5:$E$500,MATCH(A276,Ratings!$A$5:$A$500,0)),"")</f>
        <v/>
      </c>
      <c r="Y276" s="71">
        <f>IFERROR(INDEX(Ratings!$G$5:$G$500,MATCH(A276,Ratings!$A$5:$A$500,0)),"")</f>
        <v/>
      </c>
      <c r="Z276" s="83">
        <f>IFERROR(INDEX(Ratings!$I$5:$I$500,MATCH(A276,Ratings!$A$5:$A$500,0)),"")</f>
        <v/>
      </c>
    </row>
    <row r="277" ht="15.75" customHeight="1" s="95">
      <c r="A277" t="inlineStr">
        <is>
          <t>F0273</t>
        </is>
      </c>
      <c r="B277" t="inlineStr">
        <is>
          <t>Salt</t>
        </is>
      </c>
      <c r="C277" s="63" t="inlineStr">
        <is>
          <t>2010</t>
        </is>
      </c>
      <c r="D277" t="inlineStr">
        <is>
          <t>Blu-ray</t>
        </is>
      </c>
      <c r="F277" s="64" t="n"/>
      <c r="I277" s="64" t="n"/>
      <c r="J277" s="64" t="inlineStr">
        <is>
          <t>Phillip Noyce</t>
        </is>
      </c>
      <c r="K277" s="64" t="n">
        <v>100</v>
      </c>
      <c r="L277" s="64" t="inlineStr">
        <is>
          <t>Action, Mystery, Thriller</t>
        </is>
      </c>
      <c r="M277" s="64" t="inlineStr">
        <is>
          <t>Wintergreen Productions, Columbia Pictures, Relativity Media</t>
        </is>
      </c>
      <c r="N277" s="64" t="inlineStr">
        <is>
          <t>https://huggingface.co/datasets/HenryWaltson/TMDB-IMDB-Movies-Dataset</t>
        </is>
      </c>
      <c r="O277" s="64" t="inlineStr">
        <is>
          <t>https://huggingface.co/datasets/HenryWaltson/TMDB-IMDB-Movies-Dataset</t>
        </is>
      </c>
      <c r="P277" t="inlineStr">
        <is>
          <t>Angelina Jolie</t>
        </is>
      </c>
      <c r="Q277" t="inlineStr">
        <is>
          <t>Liev Schreiber</t>
        </is>
      </c>
      <c r="R277" t="inlineStr">
        <is>
          <t>Chiwetel Ejiofor</t>
        </is>
      </c>
      <c r="S277" t="inlineStr">
        <is>
          <t>Daniel Olbrychski</t>
        </is>
      </c>
      <c r="T277" t="inlineStr">
        <is>
          <t>August Diehl</t>
        </is>
      </c>
      <c r="U277" s="71" t="n">
        <v>1</v>
      </c>
      <c r="V277" s="71" t="n">
        <v>0</v>
      </c>
      <c r="X277" s="82">
        <f>IFERROR(INDEX(Ratings!$E$5:$E$500,MATCH(A277,Ratings!$A$5:$A$500,0)),"")</f>
        <v/>
      </c>
      <c r="Y277" s="71">
        <f>IFERROR(INDEX(Ratings!$G$5:$G$500,MATCH(A277,Ratings!$A$5:$A$500,0)),"")</f>
        <v/>
      </c>
      <c r="Z277" s="83">
        <f>IFERROR(INDEX(Ratings!$I$5:$I$500,MATCH(A277,Ratings!$A$5:$A$500,0)),"")</f>
        <v/>
      </c>
    </row>
    <row r="278" ht="15.75" customHeight="1" s="95">
      <c r="A278" t="inlineStr">
        <is>
          <t>F0274</t>
        </is>
      </c>
      <c r="B278" t="inlineStr">
        <is>
          <t>The Secret Life of Pets</t>
        </is>
      </c>
      <c r="C278" s="63" t="inlineStr">
        <is>
          <t>2016</t>
        </is>
      </c>
      <c r="D278" t="inlineStr">
        <is>
          <t>Blu-ray</t>
        </is>
      </c>
      <c r="F278" s="64" t="n"/>
      <c r="I278" s="64" t="n"/>
      <c r="J278" s="64" t="inlineStr">
        <is>
          <t>Chris Renaud</t>
        </is>
      </c>
      <c r="K278" s="64" t="n">
        <v>86</v>
      </c>
      <c r="L278" s="64" t="inlineStr">
        <is>
          <t>Adventure, Comedy, Animation, Family</t>
        </is>
      </c>
      <c r="M278" s="64" t="inlineStr">
        <is>
          <t>Illumination, Universal Pictures</t>
        </is>
      </c>
      <c r="N278" s="64" t="inlineStr">
        <is>
          <t>https://huggingface.co/datasets/HenryWaltson/TMDB-IMDB-Movies-Dataset</t>
        </is>
      </c>
      <c r="O278" s="64" t="inlineStr">
        <is>
          <t>https://huggingface.co/datasets/HenryWaltson/TMDB-IMDB-Movies-Dataset</t>
        </is>
      </c>
      <c r="P278" t="inlineStr">
        <is>
          <t>Louis C.K.</t>
        </is>
      </c>
      <c r="Q278" t="inlineStr">
        <is>
          <t>Eric Stonestreet</t>
        </is>
      </c>
      <c r="R278" t="inlineStr">
        <is>
          <t>Kevin Hart</t>
        </is>
      </c>
      <c r="S278" t="inlineStr">
        <is>
          <t>Jenny Slate</t>
        </is>
      </c>
      <c r="T278" t="inlineStr">
        <is>
          <t>Ellie Kemper</t>
        </is>
      </c>
      <c r="U278" s="71" t="n">
        <v>0</v>
      </c>
      <c r="V278" s="71" t="n">
        <v>0</v>
      </c>
      <c r="X278" s="82">
        <f>IFERROR(INDEX(Ratings!$E$5:$E$500,MATCH(A278,Ratings!$A$5:$A$500,0)),"")</f>
        <v/>
      </c>
      <c r="Y278" s="71">
        <f>IFERROR(INDEX(Ratings!$G$5:$G$500,MATCH(A278,Ratings!$A$5:$A$500,0)),"")</f>
        <v/>
      </c>
      <c r="Z278" s="83">
        <f>IFERROR(INDEX(Ratings!$I$5:$I$500,MATCH(A278,Ratings!$A$5:$A$500,0)),"")</f>
        <v/>
      </c>
    </row>
    <row r="279" ht="15.75" customHeight="1" s="95">
      <c r="A279" t="inlineStr">
        <is>
          <t>F0275</t>
        </is>
      </c>
      <c r="B279" t="inlineStr">
        <is>
          <t>Senna</t>
        </is>
      </c>
      <c r="C279" s="63" t="inlineStr">
        <is>
          <t>2010</t>
        </is>
      </c>
      <c r="D279" t="inlineStr">
        <is>
          <t>Blu-ray</t>
        </is>
      </c>
      <c r="F279" s="64" t="n"/>
      <c r="I279" s="64" t="n"/>
      <c r="J279" s="64" t="inlineStr">
        <is>
          <t>Asif Kapadia</t>
        </is>
      </c>
      <c r="K279" s="64" t="n">
        <v>106</v>
      </c>
      <c r="L279" s="64" t="inlineStr">
        <is>
          <t>Documentary, History</t>
        </is>
      </c>
      <c r="M279" s="64" t="inlineStr">
        <is>
          <t>Universal Pictures, StudioCanal, Working Title Films</t>
        </is>
      </c>
      <c r="N279" s="64" t="inlineStr">
        <is>
          <t>https://huggingface.co/datasets/HenryWaltson/TMDB-IMDB-Movies-Dataset</t>
        </is>
      </c>
      <c r="O279" s="64" t="inlineStr">
        <is>
          <t>https://huggingface.co/datasets/HenryWaltson/TMDB-IMDB-Movies-Dataset</t>
        </is>
      </c>
      <c r="P279" t="inlineStr">
        <is>
          <t>Ayrton Senna</t>
        </is>
      </c>
      <c r="Q279" t="inlineStr">
        <is>
          <t>Alain Prost</t>
        </is>
      </c>
      <c r="R279" t="inlineStr">
        <is>
          <t>Frank Williams</t>
        </is>
      </c>
      <c r="S279" t="inlineStr">
        <is>
          <t>Ron Dennis</t>
        </is>
      </c>
      <c r="T279" t="inlineStr">
        <is>
          <t>Viviane Senna</t>
        </is>
      </c>
      <c r="U279" s="71" t="n">
        <v>0</v>
      </c>
      <c r="V279" s="71" t="n">
        <v>0</v>
      </c>
      <c r="X279" s="82">
        <f>IFERROR(INDEX(Ratings!$E$5:$E$500,MATCH(A279,Ratings!$A$5:$A$500,0)),"")</f>
        <v/>
      </c>
      <c r="Y279" s="71">
        <f>IFERROR(INDEX(Ratings!$G$5:$G$500,MATCH(A279,Ratings!$A$5:$A$500,0)),"")</f>
        <v/>
      </c>
      <c r="Z279" s="83">
        <f>IFERROR(INDEX(Ratings!$I$5:$I$500,MATCH(A279,Ratings!$A$5:$A$500,0)),"")</f>
        <v/>
      </c>
    </row>
    <row r="280" ht="15.75" customHeight="1" s="95">
      <c r="A280" t="inlineStr">
        <is>
          <t>F0276</t>
        </is>
      </c>
      <c r="B280" t="inlineStr">
        <is>
          <t>Se7en</t>
        </is>
      </c>
      <c r="C280" s="63" t="inlineStr">
        <is>
          <t>1995</t>
        </is>
      </c>
      <c r="D280" t="inlineStr">
        <is>
          <t>Blu-ray</t>
        </is>
      </c>
      <c r="F280" s="64" t="n"/>
      <c r="I280" s="64" t="n"/>
      <c r="J280" s="64" t="inlineStr">
        <is>
          <t>David Fincher</t>
        </is>
      </c>
      <c r="K280" s="64" t="n">
        <v>127</v>
      </c>
      <c r="L280" s="64" t="inlineStr">
        <is>
          <t>Crime, Mystery, Thriller</t>
        </is>
      </c>
      <c r="M280" s="64" t="inlineStr">
        <is>
          <t>New Line Cinema, Juno Pix, Cecchi Gori Pictures</t>
        </is>
      </c>
      <c r="N280" s="64" t="inlineStr">
        <is>
          <t>https://huggingface.co/datasets/HenryWaltson/TMDB-IMDB-Movies-Dataset</t>
        </is>
      </c>
      <c r="O280" s="64" t="inlineStr">
        <is>
          <t>https://huggingface.co/datasets/HenryWaltson/TMDB-IMDB-Movies-Dataset</t>
        </is>
      </c>
      <c r="P280" t="inlineStr">
        <is>
          <t>Morgan Freeman</t>
        </is>
      </c>
      <c r="Q280" t="inlineStr">
        <is>
          <t>Brad Pitt</t>
        </is>
      </c>
      <c r="R280" t="inlineStr">
        <is>
          <t>Gwyneth Paltrow</t>
        </is>
      </c>
      <c r="S280" t="inlineStr">
        <is>
          <t>John Cassini</t>
        </is>
      </c>
      <c r="T280" t="inlineStr">
        <is>
          <t>Peter Crombie</t>
        </is>
      </c>
      <c r="U280" s="71" t="n">
        <v>1</v>
      </c>
      <c r="V280" s="71" t="n">
        <v>0</v>
      </c>
      <c r="X280" s="82">
        <f>IFERROR(INDEX(Ratings!$E$5:$E$500,MATCH(A280,Ratings!$A$5:$A$500,0)),"")</f>
        <v/>
      </c>
      <c r="Y280" s="71">
        <f>IFERROR(INDEX(Ratings!$G$5:$G$500,MATCH(A280,Ratings!$A$5:$A$500,0)),"")</f>
        <v/>
      </c>
      <c r="Z280" s="83">
        <f>IFERROR(INDEX(Ratings!$I$5:$I$500,MATCH(A280,Ratings!$A$5:$A$500,0)),"")</f>
        <v/>
      </c>
    </row>
    <row r="281" ht="15.75" customHeight="1" s="95">
      <c r="A281" t="inlineStr">
        <is>
          <t>F0277</t>
        </is>
      </c>
      <c r="B281" t="inlineStr">
        <is>
          <t>Sex &amp; Drugs &amp; Rock &amp; Roll</t>
        </is>
      </c>
      <c r="C281" s="63" t="inlineStr">
        <is>
          <t>2010</t>
        </is>
      </c>
      <c r="D281" t="inlineStr">
        <is>
          <t>Blu-ray</t>
        </is>
      </c>
      <c r="F281" s="64" t="n"/>
      <c r="I281" s="64" t="n"/>
      <c r="J281" s="64" t="inlineStr">
        <is>
          <t>Mat Whitecross</t>
        </is>
      </c>
      <c r="K281" s="64" t="n">
        <v>115</v>
      </c>
      <c r="L281" s="64" t="inlineStr">
        <is>
          <t>Drama, Music</t>
        </is>
      </c>
      <c r="M281" s="64" t="inlineStr">
        <is>
          <t>Prescience Film Fund, UK Film Council</t>
        </is>
      </c>
      <c r="N281" s="64" t="inlineStr">
        <is>
          <t>https://huggingface.co/datasets/HenryWaltson/TMDB-IMDB-Movies-Dataset</t>
        </is>
      </c>
      <c r="O281" s="64" t="inlineStr">
        <is>
          <t>https://huggingface.co/datasets/HenryWaltson/TMDB-IMDB-Movies-Dataset</t>
        </is>
      </c>
      <c r="P281" t="inlineStr">
        <is>
          <t>Andy Serkis</t>
        </is>
      </c>
      <c r="Q281" t="inlineStr">
        <is>
          <t>Tom Hughes</t>
        </is>
      </c>
      <c r="R281" t="inlineStr">
        <is>
          <t>Olivia Williams</t>
        </is>
      </c>
      <c r="S281" t="inlineStr">
        <is>
          <t>Naomie Harris</t>
        </is>
      </c>
      <c r="T281" t="inlineStr">
        <is>
          <t>Bill Milner</t>
        </is>
      </c>
      <c r="U281" s="71" t="n">
        <v>0</v>
      </c>
      <c r="V281" s="71" t="n">
        <v>0</v>
      </c>
      <c r="X281" s="82">
        <f>IFERROR(INDEX(Ratings!$E$5:$E$500,MATCH(A281,Ratings!$A$5:$A$500,0)),"")</f>
        <v/>
      </c>
      <c r="Y281" s="71">
        <f>IFERROR(INDEX(Ratings!$G$5:$G$500,MATCH(A281,Ratings!$A$5:$A$500,0)),"")</f>
        <v/>
      </c>
      <c r="Z281" s="83">
        <f>IFERROR(INDEX(Ratings!$I$5:$I$500,MATCH(A281,Ratings!$A$5:$A$500,0)),"")</f>
        <v/>
      </c>
    </row>
    <row r="282" ht="15.75" customHeight="1" s="95">
      <c r="A282" t="inlineStr">
        <is>
          <t>F0278</t>
        </is>
      </c>
      <c r="B282" t="inlineStr">
        <is>
          <t>Sherlock Holmes</t>
        </is>
      </c>
      <c r="C282" s="63" t="inlineStr">
        <is>
          <t>2009</t>
        </is>
      </c>
      <c r="D282" t="inlineStr">
        <is>
          <t>Blu-ray</t>
        </is>
      </c>
      <c r="E282" t="inlineStr">
        <is>
          <t>Sherlock Holmes</t>
        </is>
      </c>
      <c r="F282" s="64" t="n"/>
      <c r="I282" s="64" t="n"/>
      <c r="J282" s="64" t="inlineStr">
        <is>
          <t>Guy Ritchie</t>
        </is>
      </c>
      <c r="K282" s="64" t="n">
        <v>129</v>
      </c>
      <c r="L282" s="64" t="inlineStr">
        <is>
          <t>Action, Adventure, Crime, Mystery</t>
        </is>
      </c>
      <c r="M282" s="64" t="inlineStr">
        <is>
          <t>Warner Bros. Pictures, Village Roadshow Pictures, Silver Pictures</t>
        </is>
      </c>
      <c r="N282" s="64" t="inlineStr">
        <is>
          <t>https://huggingface.co/datasets/HenryWaltson/TMDB-IMDB-Movies-Dataset</t>
        </is>
      </c>
      <c r="O282" s="64" t="inlineStr">
        <is>
          <t>https://huggingface.co/datasets/HenryWaltson/TMDB-IMDB-Movies-Dataset</t>
        </is>
      </c>
      <c r="P282" t="inlineStr">
        <is>
          <t>Robert Downey Jr.</t>
        </is>
      </c>
      <c r="Q282" t="inlineStr">
        <is>
          <t>Jude Law</t>
        </is>
      </c>
      <c r="R282" t="inlineStr">
        <is>
          <t>Rachel McAdams</t>
        </is>
      </c>
      <c r="S282" t="inlineStr">
        <is>
          <t>Mark Strong</t>
        </is>
      </c>
      <c r="T282" t="inlineStr">
        <is>
          <t>Eddie Marsan</t>
        </is>
      </c>
      <c r="U282" s="71" t="n">
        <v>2</v>
      </c>
      <c r="V282" s="71" t="n">
        <v>0</v>
      </c>
      <c r="X282" s="82">
        <f>IFERROR(INDEX(Ratings!$E$5:$E$500,MATCH(A282,Ratings!$A$5:$A$500,0)),"")</f>
        <v/>
      </c>
      <c r="Y282" s="71">
        <f>IFERROR(INDEX(Ratings!$G$5:$G$500,MATCH(A282,Ratings!$A$5:$A$500,0)),"")</f>
        <v/>
      </c>
      <c r="Z282" s="83">
        <f>IFERROR(INDEX(Ratings!$I$5:$I$500,MATCH(A282,Ratings!$A$5:$A$500,0)),"")</f>
        <v/>
      </c>
    </row>
    <row r="283" ht="15.75" customHeight="1" s="95">
      <c r="A283" t="inlineStr">
        <is>
          <t>F0279</t>
        </is>
      </c>
      <c r="B283" t="inlineStr">
        <is>
          <t>Sherlock Holmes: A Game of Shadows</t>
        </is>
      </c>
      <c r="C283" s="63" t="inlineStr">
        <is>
          <t>2011</t>
        </is>
      </c>
      <c r="D283" t="inlineStr">
        <is>
          <t>Blu-ray</t>
        </is>
      </c>
      <c r="E283" t="inlineStr">
        <is>
          <t>Sherlock Holmes</t>
        </is>
      </c>
      <c r="F283" s="64" t="n"/>
      <c r="I283" s="64" t="n"/>
      <c r="J283" s="64" t="inlineStr">
        <is>
          <t>Guy Ritchie</t>
        </is>
      </c>
      <c r="K283" s="64" t="n">
        <v>129</v>
      </c>
      <c r="L283" s="64" t="inlineStr">
        <is>
          <t>Adventure, Action, Crime</t>
        </is>
      </c>
      <c r="M283" s="64" t="inlineStr">
        <is>
          <t>Warner Bros. Pictures, Village Roadshow Pictures, Silver Pictures</t>
        </is>
      </c>
      <c r="N283" s="64" t="inlineStr">
        <is>
          <t>https://huggingface.co/datasets/HenryWaltson/TMDB-IMDB-Movies-Dataset</t>
        </is>
      </c>
      <c r="O283" s="64" t="inlineStr">
        <is>
          <t>https://huggingface.co/datasets/HenryWaltson/TMDB-IMDB-Movies-Dataset</t>
        </is>
      </c>
      <c r="P283" t="inlineStr">
        <is>
          <t>Robert Downey Jr.</t>
        </is>
      </c>
      <c r="Q283" t="inlineStr">
        <is>
          <t>Jude Law</t>
        </is>
      </c>
      <c r="R283" t="inlineStr">
        <is>
          <t>Noomi Rapace</t>
        </is>
      </c>
      <c r="S283" t="inlineStr">
        <is>
          <t>Jared Harris</t>
        </is>
      </c>
      <c r="T283" t="inlineStr">
        <is>
          <t>Rachel McAdams</t>
        </is>
      </c>
      <c r="U283" s="71" t="n">
        <v>0</v>
      </c>
      <c r="V283" s="71" t="n">
        <v>0</v>
      </c>
      <c r="X283" s="82">
        <f>IFERROR(INDEX(Ratings!$E$5:$E$500,MATCH(A283,Ratings!$A$5:$A$500,0)),"")</f>
        <v/>
      </c>
      <c r="Y283" s="71">
        <f>IFERROR(INDEX(Ratings!$G$5:$G$500,MATCH(A283,Ratings!$A$5:$A$500,0)),"")</f>
        <v/>
      </c>
      <c r="Z283" s="83">
        <f>IFERROR(INDEX(Ratings!$I$5:$I$500,MATCH(A283,Ratings!$A$5:$A$500,0)),"")</f>
        <v/>
      </c>
    </row>
    <row r="284" ht="15.75" customHeight="1" s="95">
      <c r="A284" t="inlineStr">
        <is>
          <t>F0280</t>
        </is>
      </c>
      <c r="B284" t="inlineStr">
        <is>
          <t>Sing</t>
        </is>
      </c>
      <c r="C284" s="63" t="inlineStr">
        <is>
          <t>2016</t>
        </is>
      </c>
      <c r="D284" t="inlineStr">
        <is>
          <t>Blu-ray</t>
        </is>
      </c>
      <c r="F284" s="64" t="n"/>
      <c r="I284" s="64" t="n"/>
      <c r="J284" s="64" t="inlineStr">
        <is>
          <t>Garth Jennings, Christophe Lourdelet</t>
        </is>
      </c>
      <c r="K284" s="64" t="n">
        <v>108</v>
      </c>
      <c r="L284" s="64" t="inlineStr">
        <is>
          <t>Animation, Comedy, Family, Music</t>
        </is>
      </c>
      <c r="M284" s="64" t="inlineStr">
        <is>
          <t>Illumination, Universal Pictures, Fuji Television Network</t>
        </is>
      </c>
      <c r="N284" s="64" t="inlineStr">
        <is>
          <t>https://huggingface.co/datasets/HenryWaltson/TMDB-IMDB-Movies-Dataset</t>
        </is>
      </c>
      <c r="O284" s="64" t="inlineStr">
        <is>
          <t>https://huggingface.co/datasets/HenryWaltson/TMDB-IMDB-Movies-Dataset</t>
        </is>
      </c>
      <c r="P284" t="inlineStr">
        <is>
          <t>Matthew McConaughey</t>
        </is>
      </c>
      <c r="Q284" t="inlineStr">
        <is>
          <t>Reese Witherspoon</t>
        </is>
      </c>
      <c r="R284" t="inlineStr">
        <is>
          <t>Seth MacFarlane</t>
        </is>
      </c>
      <c r="S284" t="inlineStr">
        <is>
          <t>Scarlett Johansson</t>
        </is>
      </c>
      <c r="T284" t="inlineStr">
        <is>
          <t>John C. Reilly</t>
        </is>
      </c>
      <c r="U284" s="71" t="n">
        <v>1</v>
      </c>
      <c r="V284" s="71" t="n">
        <v>1</v>
      </c>
      <c r="X284" s="82">
        <f>IFERROR(INDEX(Ratings!$E$5:$E$500,MATCH(A284,Ratings!$A$5:$A$500,0)),"")</f>
        <v/>
      </c>
      <c r="Y284" s="71">
        <f>IFERROR(INDEX(Ratings!$G$5:$G$500,MATCH(A284,Ratings!$A$5:$A$500,0)),"")</f>
        <v/>
      </c>
      <c r="Z284" s="83">
        <f>IFERROR(INDEX(Ratings!$I$5:$I$500,MATCH(A284,Ratings!$A$5:$A$500,0)),"")</f>
        <v/>
      </c>
    </row>
    <row r="285" ht="15.75" customHeight="1" s="95">
      <c r="A285" t="inlineStr">
        <is>
          <t>F0281</t>
        </is>
      </c>
      <c r="B285" t="inlineStr">
        <is>
          <t>Slumdog Millionaire</t>
        </is>
      </c>
      <c r="C285" s="63" t="inlineStr">
        <is>
          <t>2008</t>
        </is>
      </c>
      <c r="D285" t="inlineStr">
        <is>
          <t>Blu-ray</t>
        </is>
      </c>
      <c r="F285" s="64" t="n"/>
      <c r="I285" s="64" t="n"/>
      <c r="J285" s="64" t="inlineStr">
        <is>
          <t>Danny Boyle, Loveleen Tandan</t>
        </is>
      </c>
      <c r="K285" s="64" t="n">
        <v>120</v>
      </c>
      <c r="L285" s="64" t="inlineStr">
        <is>
          <t>Drama, Romance</t>
        </is>
      </c>
      <c r="M285" s="64" t="inlineStr">
        <is>
          <t>Celador Films, Film4 Productions</t>
        </is>
      </c>
      <c r="N285" s="64" t="inlineStr">
        <is>
          <t>https://huggingface.co/datasets/HenryWaltson/TMDB-IMDB-Movies-Dataset</t>
        </is>
      </c>
      <c r="O285" s="64" t="inlineStr">
        <is>
          <t>https://huggingface.co/datasets/HenryWaltson/TMDB-IMDB-Movies-Dataset</t>
        </is>
      </c>
      <c r="P285" t="inlineStr">
        <is>
          <t>Dev Patel</t>
        </is>
      </c>
      <c r="Q285" t="inlineStr">
        <is>
          <t>Freida Pinto</t>
        </is>
      </c>
      <c r="R285" t="inlineStr">
        <is>
          <t>Madhur Mittal</t>
        </is>
      </c>
      <c r="S285" t="inlineStr">
        <is>
          <t>Anil Kapoor</t>
        </is>
      </c>
      <c r="T285" t="inlineStr">
        <is>
          <t>Mahesh Manjrekar</t>
        </is>
      </c>
      <c r="U285" s="71" t="n">
        <v>10</v>
      </c>
      <c r="V285" s="71" t="n">
        <v>8</v>
      </c>
      <c r="W285" t="inlineStr">
        <is>
          <t>Winner</t>
        </is>
      </c>
      <c r="X285" s="82">
        <f>IFERROR(INDEX(Ratings!$E$5:$E$500,MATCH(A285,Ratings!$A$5:$A$500,0)),"")</f>
        <v/>
      </c>
      <c r="Y285" s="71">
        <f>IFERROR(INDEX(Ratings!$G$5:$G$500,MATCH(A285,Ratings!$A$5:$A$500,0)),"")</f>
        <v/>
      </c>
      <c r="Z285" s="83">
        <f>IFERROR(INDEX(Ratings!$I$5:$I$500,MATCH(A285,Ratings!$A$5:$A$500,0)),"")</f>
        <v/>
      </c>
    </row>
    <row r="286" ht="15.75" customHeight="1" s="95">
      <c r="A286" t="inlineStr">
        <is>
          <t>F0282</t>
        </is>
      </c>
      <c r="B286" t="inlineStr">
        <is>
          <t>The Smurfs 2</t>
        </is>
      </c>
      <c r="C286" s="63" t="inlineStr">
        <is>
          <t>2013</t>
        </is>
      </c>
      <c r="D286" t="inlineStr">
        <is>
          <t>Blu-ray</t>
        </is>
      </c>
      <c r="F286" s="64" t="n"/>
      <c r="I286" s="64" t="n"/>
      <c r="J286" s="64" t="inlineStr">
        <is>
          <t>Raja Gosnell</t>
        </is>
      </c>
      <c r="K286" s="64" t="n">
        <v>105</v>
      </c>
      <c r="L286" s="64" t="inlineStr">
        <is>
          <t>Fantasy, Family, Comedy, Animation</t>
        </is>
      </c>
      <c r="M286" s="64" t="inlineStr">
        <is>
          <t>NeoReel, Columbia Pictures, Sony Pictures Animation</t>
        </is>
      </c>
      <c r="N286" s="64" t="inlineStr">
        <is>
          <t>https://huggingface.co/datasets/HenryWaltson/TMDB-IMDB-Movies-Dataset</t>
        </is>
      </c>
      <c r="O286" s="64" t="inlineStr">
        <is>
          <t>https://huggingface.co/datasets/HenryWaltson/TMDB-IMDB-Movies-Dataset</t>
        </is>
      </c>
      <c r="P286" t="inlineStr">
        <is>
          <t>Hank Azaria</t>
        </is>
      </c>
      <c r="Q286" t="inlineStr">
        <is>
          <t>Neil Patrick Harris</t>
        </is>
      </c>
      <c r="R286" t="inlineStr">
        <is>
          <t>Jayma Mays</t>
        </is>
      </c>
      <c r="S286" t="inlineStr">
        <is>
          <t>Brendan Gleeson</t>
        </is>
      </c>
      <c r="T286" t="inlineStr">
        <is>
          <t>Katy Perry</t>
        </is>
      </c>
      <c r="U286" s="71" t="n">
        <v>0</v>
      </c>
      <c r="V286" s="71" t="n">
        <v>0</v>
      </c>
      <c r="X286" s="82">
        <f>IFERROR(INDEX(Ratings!$E$5:$E$500,MATCH(A286,Ratings!$A$5:$A$500,0)),"")</f>
        <v/>
      </c>
      <c r="Y286" s="71">
        <f>IFERROR(INDEX(Ratings!$G$5:$G$500,MATCH(A286,Ratings!$A$5:$A$500,0)),"")</f>
        <v/>
      </c>
      <c r="Z286" s="83">
        <f>IFERROR(INDEX(Ratings!$I$5:$I$500,MATCH(A286,Ratings!$A$5:$A$500,0)),"")</f>
        <v/>
      </c>
    </row>
    <row r="287" ht="15.75" customHeight="1" s="95">
      <c r="A287" t="inlineStr">
        <is>
          <t>F0283</t>
        </is>
      </c>
      <c r="B287" t="inlineStr">
        <is>
          <t>Snowpiercer</t>
        </is>
      </c>
      <c r="C287" s="63" t="inlineStr">
        <is>
          <t>2013</t>
        </is>
      </c>
      <c r="D287" t="inlineStr">
        <is>
          <t>Blu-ray</t>
        </is>
      </c>
      <c r="F287" s="64" t="n"/>
      <c r="I287" s="64" t="n"/>
      <c r="J287" s="64" t="inlineStr">
        <is>
          <t>Bong Joon Ho</t>
        </is>
      </c>
      <c r="K287" s="64" t="n">
        <v>127</v>
      </c>
      <c r="L287" s="64" t="inlineStr">
        <is>
          <t>Action, Science Fiction, Drama</t>
        </is>
      </c>
      <c r="M287" s="64" t="inlineStr">
        <is>
          <t>CJ Entertainment, Opus Pictures, Stillking Films</t>
        </is>
      </c>
      <c r="N287" s="64" t="inlineStr">
        <is>
          <t>https://huggingface.co/datasets/HenryWaltson/TMDB-IMDB-Movies-Dataset</t>
        </is>
      </c>
      <c r="O287" s="64" t="inlineStr">
        <is>
          <t>https://huggingface.co/datasets/HenryWaltson/TMDB-IMDB-Movies-Dataset</t>
        </is>
      </c>
      <c r="P287" t="inlineStr">
        <is>
          <t>Chris Evans</t>
        </is>
      </c>
      <c r="Q287" t="inlineStr">
        <is>
          <t>Song Kang-ho</t>
        </is>
      </c>
      <c r="R287" t="inlineStr">
        <is>
          <t>John Hurt</t>
        </is>
      </c>
      <c r="S287" t="inlineStr">
        <is>
          <t>Tilda Swinton</t>
        </is>
      </c>
      <c r="T287" t="inlineStr">
        <is>
          <t>Jamie Bell</t>
        </is>
      </c>
      <c r="U287" s="71" t="n">
        <v>0</v>
      </c>
      <c r="V287" s="71" t="n">
        <v>0</v>
      </c>
      <c r="X287" s="82">
        <f>IFERROR(INDEX(Ratings!$E$5:$E$500,MATCH(A287,Ratings!$A$5:$A$500,0)),"")</f>
        <v/>
      </c>
      <c r="Y287" s="71">
        <f>IFERROR(INDEX(Ratings!$G$5:$G$500,MATCH(A287,Ratings!$A$5:$A$500,0)),"")</f>
        <v/>
      </c>
      <c r="Z287" s="83">
        <f>IFERROR(INDEX(Ratings!$I$5:$I$500,MATCH(A287,Ratings!$A$5:$A$500,0)),"")</f>
        <v/>
      </c>
    </row>
    <row r="288" ht="15.75" customHeight="1" s="95">
      <c r="A288" t="inlineStr">
        <is>
          <t>F0284</t>
        </is>
      </c>
      <c r="B288" t="inlineStr">
        <is>
          <t>Snow White and the Huntsman</t>
        </is>
      </c>
      <c r="C288" s="63" t="inlineStr">
        <is>
          <t>2012</t>
        </is>
      </c>
      <c r="D288" t="inlineStr">
        <is>
          <t>Blu-ray</t>
        </is>
      </c>
      <c r="F288" s="64" t="n"/>
      <c r="I288" s="64" t="n"/>
      <c r="J288" s="64" t="inlineStr">
        <is>
          <t>Rupert Sanders</t>
        </is>
      </c>
      <c r="K288" s="64" t="n">
        <v>127</v>
      </c>
      <c r="L288" s="64" t="inlineStr">
        <is>
          <t>Adventure, Fantasy, Drama</t>
        </is>
      </c>
      <c r="M288" s="64" t="inlineStr">
        <is>
          <t>Universal Pictures, Roth Films</t>
        </is>
      </c>
      <c r="N288" s="64" t="inlineStr">
        <is>
          <t>https://huggingface.co/datasets/HenryWaltson/TMDB-IMDB-Movies-Dataset</t>
        </is>
      </c>
      <c r="O288" s="64" t="inlineStr">
        <is>
          <t>https://huggingface.co/datasets/HenryWaltson/TMDB-IMDB-Movies-Dataset</t>
        </is>
      </c>
      <c r="P288" t="inlineStr">
        <is>
          <t>Kristen Stewart</t>
        </is>
      </c>
      <c r="Q288" t="inlineStr">
        <is>
          <t>Chris Hemsworth</t>
        </is>
      </c>
      <c r="R288" t="inlineStr">
        <is>
          <t>Charlize Theron</t>
        </is>
      </c>
      <c r="S288" t="inlineStr">
        <is>
          <t>Sam Claflin</t>
        </is>
      </c>
      <c r="T288" t="inlineStr">
        <is>
          <t>Ian McShane</t>
        </is>
      </c>
      <c r="U288" s="71" t="n">
        <v>2</v>
      </c>
      <c r="V288" s="71" t="n">
        <v>0</v>
      </c>
      <c r="X288" s="82">
        <f>IFERROR(INDEX(Ratings!$E$5:$E$500,MATCH(A288,Ratings!$A$5:$A$500,0)),"")</f>
        <v/>
      </c>
      <c r="Y288" s="71">
        <f>IFERROR(INDEX(Ratings!$G$5:$G$500,MATCH(A288,Ratings!$A$5:$A$500,0)),"")</f>
        <v/>
      </c>
      <c r="Z288" s="83">
        <f>IFERROR(INDEX(Ratings!$I$5:$I$500,MATCH(A288,Ratings!$A$5:$A$500,0)),"")</f>
        <v/>
      </c>
    </row>
    <row r="289" ht="15.75" customHeight="1" s="95">
      <c r="A289" t="inlineStr">
        <is>
          <t>F0285</t>
        </is>
      </c>
      <c r="B289" t="inlineStr">
        <is>
          <t>Source Code</t>
        </is>
      </c>
      <c r="C289" s="63" t="inlineStr">
        <is>
          <t>2011</t>
        </is>
      </c>
      <c r="D289" t="inlineStr">
        <is>
          <t>Blu-ray</t>
        </is>
      </c>
      <c r="F289" s="64" t="n"/>
      <c r="I289" s="64" t="n"/>
      <c r="J289" s="64" t="inlineStr">
        <is>
          <t>Duncan Jones</t>
        </is>
      </c>
      <c r="K289" s="64" t="n">
        <v>94</v>
      </c>
      <c r="L289" s="64" t="inlineStr">
        <is>
          <t>Thriller, Science Fiction, Mystery</t>
        </is>
      </c>
      <c r="M289" s="64" t="inlineStr">
        <is>
          <t>The Mark Gordon Company, Vendôme Pictures, Summit Entertainment</t>
        </is>
      </c>
      <c r="N289" s="64" t="inlineStr">
        <is>
          <t>https://huggingface.co/datasets/HenryWaltson/TMDB-IMDB-Movies-Dataset</t>
        </is>
      </c>
      <c r="O289" s="64" t="inlineStr">
        <is>
          <t>https://huggingface.co/datasets/HenryWaltson/TMDB-IMDB-Movies-Dataset</t>
        </is>
      </c>
      <c r="P289" t="inlineStr">
        <is>
          <t>Jake Gyllenhaal</t>
        </is>
      </c>
      <c r="Q289" t="inlineStr">
        <is>
          <t>Michelle Monaghan</t>
        </is>
      </c>
      <c r="R289" t="inlineStr">
        <is>
          <t>Vera Farmiga</t>
        </is>
      </c>
      <c r="S289" t="inlineStr">
        <is>
          <t>Jeffrey Wright</t>
        </is>
      </c>
      <c r="T289" t="inlineStr">
        <is>
          <t>Michael Arden</t>
        </is>
      </c>
      <c r="U289" s="71" t="n">
        <v>0</v>
      </c>
      <c r="V289" s="71" t="n">
        <v>0</v>
      </c>
      <c r="X289" s="82">
        <f>IFERROR(INDEX(Ratings!$E$5:$E$500,MATCH(A289,Ratings!$A$5:$A$500,0)),"")</f>
        <v/>
      </c>
      <c r="Y289" s="71">
        <f>IFERROR(INDEX(Ratings!$G$5:$G$500,MATCH(A289,Ratings!$A$5:$A$500,0)),"")</f>
        <v/>
      </c>
      <c r="Z289" s="83">
        <f>IFERROR(INDEX(Ratings!$I$5:$I$500,MATCH(A289,Ratings!$A$5:$A$500,0)),"")</f>
        <v/>
      </c>
    </row>
    <row r="290" ht="15.75" customHeight="1" s="95">
      <c r="A290" t="inlineStr">
        <is>
          <t>F0286</t>
        </is>
      </c>
      <c r="B290" t="inlineStr">
        <is>
          <t>Southpaw</t>
        </is>
      </c>
      <c r="C290" s="63" t="inlineStr">
        <is>
          <t>2015</t>
        </is>
      </c>
      <c r="D290" t="inlineStr">
        <is>
          <t>Blu-ray</t>
        </is>
      </c>
      <c r="F290" s="64" t="n"/>
      <c r="I290" s="64" t="n"/>
      <c r="J290" s="64" t="inlineStr">
        <is>
          <t>Antoine Fuqua</t>
        </is>
      </c>
      <c r="K290" s="64" t="n">
        <v>123</v>
      </c>
      <c r="L290" s="64" t="inlineStr">
        <is>
          <t>Action, Drama</t>
        </is>
      </c>
      <c r="M290" s="64" t="inlineStr">
        <is>
          <t>Fuqua Films, Escape Artists, Riche-Ludwig Productions</t>
        </is>
      </c>
      <c r="N290" s="64" t="inlineStr">
        <is>
          <t>https://huggingface.co/datasets/HenryWaltson/TMDB-IMDB-Movies-Dataset</t>
        </is>
      </c>
      <c r="O290" s="64" t="inlineStr">
        <is>
          <t>https://huggingface.co/datasets/HenryWaltson/TMDB-IMDB-Movies-Dataset</t>
        </is>
      </c>
      <c r="P290" t="inlineStr">
        <is>
          <t>Jake Gyllenhaal</t>
        </is>
      </c>
      <c r="Q290" t="inlineStr">
        <is>
          <t>Rachel McAdams</t>
        </is>
      </c>
      <c r="R290" t="inlineStr">
        <is>
          <t>Forest Whitaker</t>
        </is>
      </c>
      <c r="S290" t="inlineStr">
        <is>
          <t>Oona Laurence</t>
        </is>
      </c>
      <c r="T290" t="inlineStr">
        <is>
          <t>50 Cent</t>
        </is>
      </c>
      <c r="U290" s="71" t="n">
        <v>0</v>
      </c>
      <c r="V290" s="71" t="n">
        <v>0</v>
      </c>
      <c r="X290" s="82">
        <f>IFERROR(INDEX(Ratings!$E$5:$E$500,MATCH(A290,Ratings!$A$5:$A$500,0)),"")</f>
        <v/>
      </c>
      <c r="Y290" s="71">
        <f>IFERROR(INDEX(Ratings!$G$5:$G$500,MATCH(A290,Ratings!$A$5:$A$500,0)),"")</f>
        <v/>
      </c>
      <c r="Z290" s="83">
        <f>IFERROR(INDEX(Ratings!$I$5:$I$500,MATCH(A290,Ratings!$A$5:$A$500,0)),"")</f>
        <v/>
      </c>
    </row>
    <row r="291" ht="15.75" customHeight="1" s="95">
      <c r="A291" t="inlineStr">
        <is>
          <t>F0287</t>
        </is>
      </c>
      <c r="B291" t="inlineStr">
        <is>
          <t>Spider-Man</t>
        </is>
      </c>
      <c r="C291" s="63" t="inlineStr">
        <is>
          <t>2002</t>
        </is>
      </c>
      <c r="D291" t="inlineStr">
        <is>
          <t>Blu-ray</t>
        </is>
      </c>
      <c r="E291" t="inlineStr">
        <is>
          <t>Spider-Man</t>
        </is>
      </c>
      <c r="F291" s="64" t="n"/>
      <c r="I291" s="64" t="n"/>
      <c r="J291" s="64" t="inlineStr">
        <is>
          <t>Sam Raimi</t>
        </is>
      </c>
      <c r="K291" s="64" t="n">
        <v>121</v>
      </c>
      <c r="L291" s="64" t="inlineStr">
        <is>
          <t>Fantasy, Action</t>
        </is>
      </c>
      <c r="M291" s="64" t="inlineStr">
        <is>
          <t>Marvel Enterprises, Laura Ziskin Productions, Columbia Pictures</t>
        </is>
      </c>
      <c r="N291" s="64" t="inlineStr">
        <is>
          <t>https://huggingface.co/datasets/HenryWaltson/TMDB-IMDB-Movies-Dataset</t>
        </is>
      </c>
      <c r="O291" s="64" t="inlineStr">
        <is>
          <t>https://huggingface.co/datasets/HenryWaltson/TMDB-IMDB-Movies-Dataset</t>
        </is>
      </c>
      <c r="P291" t="inlineStr">
        <is>
          <t>Tobey Maguire</t>
        </is>
      </c>
      <c r="Q291" t="inlineStr">
        <is>
          <t>Willem Dafoe</t>
        </is>
      </c>
      <c r="R291" t="inlineStr">
        <is>
          <t>Kirsten Dunst</t>
        </is>
      </c>
      <c r="S291" t="inlineStr">
        <is>
          <t>James Franco</t>
        </is>
      </c>
      <c r="T291" t="inlineStr">
        <is>
          <t>Cliff Robertson</t>
        </is>
      </c>
      <c r="U291" s="71" t="n">
        <v>2</v>
      </c>
      <c r="V291" s="71" t="n">
        <v>0</v>
      </c>
      <c r="X291" s="82">
        <f>IFERROR(INDEX(Ratings!$E$5:$E$500,MATCH(A291,Ratings!$A$5:$A$500,0)),"")</f>
        <v/>
      </c>
      <c r="Y291" s="71">
        <f>IFERROR(INDEX(Ratings!$G$5:$G$500,MATCH(A291,Ratings!$A$5:$A$500,0)),"")</f>
        <v/>
      </c>
      <c r="Z291" s="83">
        <f>IFERROR(INDEX(Ratings!$I$5:$I$500,MATCH(A291,Ratings!$A$5:$A$500,0)),"")</f>
        <v/>
      </c>
    </row>
    <row r="292" ht="15.75" customHeight="1" s="95">
      <c r="A292" t="inlineStr">
        <is>
          <t>F0288</t>
        </is>
      </c>
      <c r="B292" t="inlineStr">
        <is>
          <t>Spider-Man 2</t>
        </is>
      </c>
      <c r="C292" s="63" t="inlineStr">
        <is>
          <t>2004</t>
        </is>
      </c>
      <c r="D292" t="inlineStr">
        <is>
          <t>Blu-ray</t>
        </is>
      </c>
      <c r="E292" t="inlineStr">
        <is>
          <t>Spider-Man</t>
        </is>
      </c>
      <c r="F292" s="64" t="n"/>
      <c r="I292" s="64" t="n"/>
      <c r="J292" s="64" t="inlineStr">
        <is>
          <t>Sam Raimi</t>
        </is>
      </c>
      <c r="K292" s="64" t="n">
        <v>127</v>
      </c>
      <c r="L292" s="64" t="inlineStr">
        <is>
          <t>Action, Adventure, Fantasy</t>
        </is>
      </c>
      <c r="M292" s="64" t="inlineStr">
        <is>
          <t>Marvel Enterprises, Laura Ziskin Productions, Columbia Pictures</t>
        </is>
      </c>
      <c r="N292" s="64" t="inlineStr">
        <is>
          <t>https://huggingface.co/datasets/HenryWaltson/TMDB-IMDB-Movies-Dataset</t>
        </is>
      </c>
      <c r="O292" s="64" t="inlineStr">
        <is>
          <t>https://huggingface.co/datasets/HenryWaltson/TMDB-IMDB-Movies-Dataset</t>
        </is>
      </c>
      <c r="P292" t="inlineStr">
        <is>
          <t>Tobey Maguire</t>
        </is>
      </c>
      <c r="Q292" t="inlineStr">
        <is>
          <t>Kirsten Dunst</t>
        </is>
      </c>
      <c r="R292" t="inlineStr">
        <is>
          <t>James Franco</t>
        </is>
      </c>
      <c r="S292" t="inlineStr">
        <is>
          <t>Alfred Molina</t>
        </is>
      </c>
      <c r="T292" t="inlineStr">
        <is>
          <t>Rosemary Harris</t>
        </is>
      </c>
      <c r="U292" s="71" t="n">
        <v>3</v>
      </c>
      <c r="V292" s="71" t="n">
        <v>1</v>
      </c>
      <c r="X292" s="82">
        <f>IFERROR(INDEX(Ratings!$E$5:$E$500,MATCH(A292,Ratings!$A$5:$A$500,0)),"")</f>
        <v/>
      </c>
      <c r="Y292" s="71">
        <f>IFERROR(INDEX(Ratings!$G$5:$G$500,MATCH(A292,Ratings!$A$5:$A$500,0)),"")</f>
        <v/>
      </c>
      <c r="Z292" s="83">
        <f>IFERROR(INDEX(Ratings!$I$5:$I$500,MATCH(A292,Ratings!$A$5:$A$500,0)),"")</f>
        <v/>
      </c>
    </row>
    <row r="293" ht="15.75" customHeight="1" s="95">
      <c r="A293" t="inlineStr">
        <is>
          <t>F0289</t>
        </is>
      </c>
      <c r="B293" t="inlineStr">
        <is>
          <t>Spider-Man 3</t>
        </is>
      </c>
      <c r="C293" s="63" t="inlineStr">
        <is>
          <t>2007</t>
        </is>
      </c>
      <c r="D293" t="inlineStr">
        <is>
          <t>Blu-ray</t>
        </is>
      </c>
      <c r="E293" t="inlineStr">
        <is>
          <t>Spider-Man</t>
        </is>
      </c>
      <c r="F293" s="64" t="n"/>
      <c r="I293" s="64" t="n"/>
      <c r="J293" s="64" t="inlineStr">
        <is>
          <t>Sam Raimi</t>
        </is>
      </c>
      <c r="K293" s="64" t="n">
        <v>139</v>
      </c>
      <c r="L293" s="64" t="inlineStr">
        <is>
          <t>Fantasy, Action, Adventure</t>
        </is>
      </c>
      <c r="M293" s="64" t="inlineStr">
        <is>
          <t>Laura Ziskin Productions, Marvel Studios, Columbia Pictures</t>
        </is>
      </c>
      <c r="N293" s="64" t="inlineStr">
        <is>
          <t>https://huggingface.co/datasets/HenryWaltson/TMDB-IMDB-Movies-Dataset</t>
        </is>
      </c>
      <c r="O293" s="64" t="inlineStr">
        <is>
          <t>https://huggingface.co/datasets/HenryWaltson/TMDB-IMDB-Movies-Dataset</t>
        </is>
      </c>
      <c r="P293" t="inlineStr">
        <is>
          <t>Tobey Maguire</t>
        </is>
      </c>
      <c r="Q293" t="inlineStr">
        <is>
          <t>Kirsten Dunst</t>
        </is>
      </c>
      <c r="R293" t="inlineStr">
        <is>
          <t>James Franco</t>
        </is>
      </c>
      <c r="S293" t="inlineStr">
        <is>
          <t>Thomas Haden Church</t>
        </is>
      </c>
      <c r="T293" t="inlineStr">
        <is>
          <t>Topher Grace</t>
        </is>
      </c>
      <c r="U293" s="71" t="n">
        <v>0</v>
      </c>
      <c r="V293" s="71" t="n">
        <v>0</v>
      </c>
      <c r="X293" s="82">
        <f>IFERROR(INDEX(Ratings!$E$5:$E$500,MATCH(A293,Ratings!$A$5:$A$500,0)),"")</f>
        <v/>
      </c>
      <c r="Y293" s="71">
        <f>IFERROR(INDEX(Ratings!$G$5:$G$500,MATCH(A293,Ratings!$A$5:$A$500,0)),"")</f>
        <v/>
      </c>
      <c r="Z293" s="83">
        <f>IFERROR(INDEX(Ratings!$I$5:$I$500,MATCH(A293,Ratings!$A$5:$A$500,0)),"")</f>
        <v/>
      </c>
    </row>
    <row r="294" ht="15.75" customHeight="1" s="95">
      <c r="A294" t="inlineStr">
        <is>
          <t>F0290</t>
        </is>
      </c>
      <c r="B294" t="inlineStr">
        <is>
          <t>Spy</t>
        </is>
      </c>
      <c r="C294" s="63" t="inlineStr">
        <is>
          <t>2015</t>
        </is>
      </c>
      <c r="D294" t="inlineStr">
        <is>
          <t>Blu-ray</t>
        </is>
      </c>
      <c r="F294" s="64" t="n"/>
      <c r="I294" s="64" t="n"/>
      <c r="J294" s="64" t="inlineStr">
        <is>
          <t>Paul Feig</t>
        </is>
      </c>
      <c r="K294" s="64" t="n">
        <v>120</v>
      </c>
      <c r="L294" s="64" t="inlineStr">
        <is>
          <t>Action, Comedy, Crime</t>
        </is>
      </c>
      <c r="M294" s="64" t="inlineStr">
        <is>
          <t>Chernin Entertainment, Feigco Entertainment, TSG Entertainment</t>
        </is>
      </c>
      <c r="N294" s="64" t="inlineStr">
        <is>
          <t>https://huggingface.co/datasets/HenryWaltson/TMDB-IMDB-Movies-Dataset</t>
        </is>
      </c>
      <c r="O294" s="64" t="inlineStr">
        <is>
          <t>https://huggingface.co/datasets/HenryWaltson/TMDB-IMDB-Movies-Dataset</t>
        </is>
      </c>
      <c r="P294" t="inlineStr">
        <is>
          <t>Melissa McCarthy</t>
        </is>
      </c>
      <c r="Q294" t="inlineStr">
        <is>
          <t>Rose Byrne</t>
        </is>
      </c>
      <c r="R294" t="inlineStr">
        <is>
          <t>Jason Statham</t>
        </is>
      </c>
      <c r="S294" t="inlineStr">
        <is>
          <t>Jude Law</t>
        </is>
      </c>
      <c r="T294" t="inlineStr">
        <is>
          <t>Miranda Hart</t>
        </is>
      </c>
      <c r="U294" s="71" t="n">
        <v>0</v>
      </c>
      <c r="V294" s="71" t="n">
        <v>0</v>
      </c>
      <c r="X294" s="82">
        <f>IFERROR(INDEX(Ratings!$E$5:$E$500,MATCH(A294,Ratings!$A$5:$A$500,0)),"")</f>
        <v/>
      </c>
      <c r="Y294" s="71">
        <f>IFERROR(INDEX(Ratings!$G$5:$G$500,MATCH(A294,Ratings!$A$5:$A$500,0)),"")</f>
        <v/>
      </c>
      <c r="Z294" s="83">
        <f>IFERROR(INDEX(Ratings!$I$5:$I$500,MATCH(A294,Ratings!$A$5:$A$500,0)),"")</f>
        <v/>
      </c>
    </row>
    <row r="295" ht="15.75" customHeight="1" s="95">
      <c r="A295" t="inlineStr">
        <is>
          <t>F0291</t>
        </is>
      </c>
      <c r="B295" t="inlineStr">
        <is>
          <t>Star Trek</t>
        </is>
      </c>
      <c r="C295" s="63" t="inlineStr">
        <is>
          <t>2009</t>
        </is>
      </c>
      <c r="D295" t="inlineStr">
        <is>
          <t>Blu-ray</t>
        </is>
      </c>
      <c r="E295" t="inlineStr">
        <is>
          <t>Star Trek</t>
        </is>
      </c>
      <c r="F295" s="64" t="n"/>
      <c r="I295" s="64" t="n"/>
      <c r="J295" s="64" t="inlineStr">
        <is>
          <t>J.J. Abrams</t>
        </is>
      </c>
      <c r="K295" s="64" t="n">
        <v>127</v>
      </c>
      <c r="L295" s="64" t="inlineStr">
        <is>
          <t>Science Fiction, Action, Adventure</t>
        </is>
      </c>
      <c r="M295" s="64" t="inlineStr">
        <is>
          <t>Paramount, Spyglass Entertainment, Bad Robot</t>
        </is>
      </c>
      <c r="N295" s="64" t="inlineStr">
        <is>
          <t>https://huggingface.co/datasets/HenryWaltson/TMDB-IMDB-Movies-Dataset</t>
        </is>
      </c>
      <c r="O295" s="64" t="inlineStr">
        <is>
          <t>https://huggingface.co/datasets/HenryWaltson/TMDB-IMDB-Movies-Dataset</t>
        </is>
      </c>
      <c r="P295" t="inlineStr">
        <is>
          <t>Chris Pine</t>
        </is>
      </c>
      <c r="Q295" t="inlineStr">
        <is>
          <t>Zachary Quinto</t>
        </is>
      </c>
      <c r="R295" t="inlineStr">
        <is>
          <t>Leonard Nimoy</t>
        </is>
      </c>
      <c r="S295" t="inlineStr">
        <is>
          <t>Eric Bana</t>
        </is>
      </c>
      <c r="T295" t="inlineStr">
        <is>
          <t>Bruce Greenwood</t>
        </is>
      </c>
      <c r="U295" s="71" t="n">
        <v>4</v>
      </c>
      <c r="V295" s="71" t="n">
        <v>1</v>
      </c>
      <c r="X295" s="82">
        <f>IFERROR(INDEX(Ratings!$E$5:$E$500,MATCH(A295,Ratings!$A$5:$A$500,0)),"")</f>
        <v/>
      </c>
      <c r="Y295" s="71">
        <f>IFERROR(INDEX(Ratings!$G$5:$G$500,MATCH(A295,Ratings!$A$5:$A$500,0)),"")</f>
        <v/>
      </c>
      <c r="Z295" s="83">
        <f>IFERROR(INDEX(Ratings!$I$5:$I$500,MATCH(A295,Ratings!$A$5:$A$500,0)),"")</f>
        <v/>
      </c>
    </row>
    <row r="296" ht="15.75" customHeight="1" s="95">
      <c r="A296" t="inlineStr">
        <is>
          <t>F0292</t>
        </is>
      </c>
      <c r="B296" t="inlineStr">
        <is>
          <t>Star Wars: Episode I – The Phantom Menace</t>
        </is>
      </c>
      <c r="C296" s="63" t="inlineStr">
        <is>
          <t>1999</t>
        </is>
      </c>
      <c r="D296" t="inlineStr">
        <is>
          <t>Blu-ray</t>
        </is>
      </c>
      <c r="E296" t="inlineStr">
        <is>
          <t>Star Wars</t>
        </is>
      </c>
      <c r="F296" s="64" t="inlineStr">
        <is>
          <t>Star Wars Episodes I–VI (Box Set)</t>
        </is>
      </c>
      <c r="I296" s="64" t="inlineStr">
        <is>
          <t>Owned via Star Wars Episodes I–VI (Box Set).</t>
        </is>
      </c>
      <c r="J296" s="64" t="inlineStr">
        <is>
          <t>George Lucas</t>
        </is>
      </c>
      <c r="K296" s="64" t="n">
        <v>136</v>
      </c>
      <c r="L296" s="64" t="inlineStr">
        <is>
          <t>Action, Adventure, Fantasy, Science Fiction</t>
        </is>
      </c>
      <c r="M296" s="64" t="inlineStr">
        <is>
          <t>Lucasfilm</t>
        </is>
      </c>
      <c r="N296" s="64" t="inlineStr">
        <is>
          <t>https://huggingface.co/datasets/HenryWaltson/TMDB-IMDB-Movies-Dataset</t>
        </is>
      </c>
      <c r="O296" s="64" t="inlineStr">
        <is>
          <t>https://huggingface.co/datasets/HenryWaltson/TMDB-IMDB-Movies-Dataset</t>
        </is>
      </c>
      <c r="P296" t="inlineStr">
        <is>
          <t>Liam Neeson</t>
        </is>
      </c>
      <c r="Q296" t="inlineStr">
        <is>
          <t>Ewan McGregor</t>
        </is>
      </c>
      <c r="R296" t="inlineStr">
        <is>
          <t>Natalie Portman</t>
        </is>
      </c>
      <c r="S296" t="inlineStr">
        <is>
          <t>Jake Lloyd</t>
        </is>
      </c>
      <c r="T296" t="inlineStr">
        <is>
          <t>Ian McDiarmid</t>
        </is>
      </c>
      <c r="U296" s="71" t="n">
        <v>3</v>
      </c>
      <c r="V296" s="71" t="n">
        <v>0</v>
      </c>
      <c r="X296" s="82">
        <f>IFERROR(INDEX(Ratings!$E$5:$E$500,MATCH(A296,Ratings!$A$5:$A$500,0)),"")</f>
        <v/>
      </c>
      <c r="Y296" s="71">
        <f>IFERROR(INDEX(Ratings!$G$5:$G$500,MATCH(A296,Ratings!$A$5:$A$500,0)),"")</f>
        <v/>
      </c>
      <c r="Z296" s="83">
        <f>IFERROR(INDEX(Ratings!$I$5:$I$500,MATCH(A296,Ratings!$A$5:$A$500,0)),"")</f>
        <v/>
      </c>
    </row>
    <row r="297" ht="15.75" customHeight="1" s="95">
      <c r="A297" t="inlineStr">
        <is>
          <t>F0293</t>
        </is>
      </c>
      <c r="B297" t="inlineStr">
        <is>
          <t>Star Wars: Episode II – Attack of the Clones</t>
        </is>
      </c>
      <c r="C297" s="63" t="inlineStr">
        <is>
          <t>2002</t>
        </is>
      </c>
      <c r="D297" t="inlineStr">
        <is>
          <t>Blu-ray</t>
        </is>
      </c>
      <c r="E297" t="inlineStr">
        <is>
          <t>Star Wars</t>
        </is>
      </c>
      <c r="F297" s="64" t="inlineStr">
        <is>
          <t>Star Wars Episodes I–VI (Box Set)</t>
        </is>
      </c>
      <c r="I297" s="64" t="inlineStr">
        <is>
          <t>Owned via Star Wars Episodes I–VI (Box Set).</t>
        </is>
      </c>
      <c r="J297" s="64" t="inlineStr">
        <is>
          <t>George Lucas</t>
        </is>
      </c>
      <c r="K297" s="64" t="n">
        <v>142</v>
      </c>
      <c r="L297" s="64" t="inlineStr">
        <is>
          <t>Action, Adventure, Fantasy, Science Fiction</t>
        </is>
      </c>
      <c r="M297" s="64" t="inlineStr">
        <is>
          <t>Lucasfilm</t>
        </is>
      </c>
      <c r="N297" s="64" t="inlineStr">
        <is>
          <t>https://huggingface.co/datasets/HenryWaltson/TMDB-IMDB-Movies-Dataset</t>
        </is>
      </c>
      <c r="O297" s="64" t="inlineStr">
        <is>
          <t>https://huggingface.co/datasets/HenryWaltson/TMDB-IMDB-Movies-Dataset</t>
        </is>
      </c>
      <c r="P297" t="inlineStr">
        <is>
          <t>Hayden Christensen</t>
        </is>
      </c>
      <c r="Q297" t="inlineStr">
        <is>
          <t>Ewan McGregor</t>
        </is>
      </c>
      <c r="R297" t="inlineStr">
        <is>
          <t>Natalie Portman</t>
        </is>
      </c>
      <c r="S297" t="inlineStr">
        <is>
          <t>Christopher Lee</t>
        </is>
      </c>
      <c r="T297" t="inlineStr">
        <is>
          <t>Samuel L. Jackson</t>
        </is>
      </c>
      <c r="U297" s="71" t="n">
        <v>1</v>
      </c>
      <c r="V297" s="71" t="n">
        <v>0</v>
      </c>
      <c r="X297" s="82">
        <f>IFERROR(INDEX(Ratings!$E$5:$E$500,MATCH(A297,Ratings!$A$5:$A$500,0)),"")</f>
        <v/>
      </c>
      <c r="Y297" s="71">
        <f>IFERROR(INDEX(Ratings!$G$5:$G$500,MATCH(A297,Ratings!$A$5:$A$500,0)),"")</f>
        <v/>
      </c>
      <c r="Z297" s="83">
        <f>IFERROR(INDEX(Ratings!$I$5:$I$500,MATCH(A297,Ratings!$A$5:$A$500,0)),"")</f>
        <v/>
      </c>
    </row>
    <row r="298" ht="15.75" customHeight="1" s="95">
      <c r="A298" t="inlineStr">
        <is>
          <t>F0294</t>
        </is>
      </c>
      <c r="B298" t="inlineStr">
        <is>
          <t>Star Wars: Episode III – Revenge of the Sith</t>
        </is>
      </c>
      <c r="C298" s="63" t="inlineStr">
        <is>
          <t>2005</t>
        </is>
      </c>
      <c r="D298" t="inlineStr">
        <is>
          <t>Blu-ray</t>
        </is>
      </c>
      <c r="E298" t="inlineStr">
        <is>
          <t>Star Wars</t>
        </is>
      </c>
      <c r="F298" s="64" t="inlineStr">
        <is>
          <t>Star Wars Episodes I–VI (Box Set)</t>
        </is>
      </c>
      <c r="I298" s="64" t="inlineStr">
        <is>
          <t>Owned via Star Wars Episodes I–VI (Box Set).</t>
        </is>
      </c>
      <c r="J298" s="64" t="inlineStr">
        <is>
          <t>George Lucas</t>
        </is>
      </c>
      <c r="K298" s="64" t="n">
        <v>140</v>
      </c>
      <c r="L298" s="64" t="inlineStr">
        <is>
          <t>Action, Adventure, Fantasy, Science Fiction</t>
        </is>
      </c>
      <c r="M298" s="64" t="inlineStr">
        <is>
          <t>Lucasfilm</t>
        </is>
      </c>
      <c r="N298" s="64" t="inlineStr">
        <is>
          <t>https://huggingface.co/datasets/HenryWaltson/TMDB-IMDB-Movies-Dataset</t>
        </is>
      </c>
      <c r="O298" s="64" t="inlineStr">
        <is>
          <t>https://huggingface.co/datasets/HenryWaltson/TMDB-IMDB-Movies-Dataset</t>
        </is>
      </c>
      <c r="P298" t="inlineStr">
        <is>
          <t>Hayden Christensen</t>
        </is>
      </c>
      <c r="Q298" t="inlineStr">
        <is>
          <t>Ewan McGregor</t>
        </is>
      </c>
      <c r="R298" t="inlineStr">
        <is>
          <t>Natalie Portman</t>
        </is>
      </c>
      <c r="S298" t="inlineStr">
        <is>
          <t>Ian McDiarmid</t>
        </is>
      </c>
      <c r="T298" t="inlineStr">
        <is>
          <t>Samuel L. Jackson</t>
        </is>
      </c>
      <c r="U298" s="71" t="n">
        <v>1</v>
      </c>
      <c r="V298" s="71" t="n">
        <v>0</v>
      </c>
      <c r="X298" s="82">
        <f>IFERROR(INDEX(Ratings!$E$5:$E$500,MATCH(A298,Ratings!$A$5:$A$500,0)),"")</f>
        <v/>
      </c>
      <c r="Y298" s="71">
        <f>IFERROR(INDEX(Ratings!$G$5:$G$500,MATCH(A298,Ratings!$A$5:$A$500,0)),"")</f>
        <v/>
      </c>
      <c r="Z298" s="83">
        <f>IFERROR(INDEX(Ratings!$I$5:$I$500,MATCH(A298,Ratings!$A$5:$A$500,0)),"")</f>
        <v/>
      </c>
    </row>
    <row r="299" ht="15.75" customHeight="1" s="95">
      <c r="A299" t="inlineStr">
        <is>
          <t>F0295</t>
        </is>
      </c>
      <c r="B299" t="inlineStr">
        <is>
          <t>Star Wars: Episode IV – A New Hope</t>
        </is>
      </c>
      <c r="C299" s="63" t="inlineStr">
        <is>
          <t>1977</t>
        </is>
      </c>
      <c r="D299" t="inlineStr">
        <is>
          <t>Blu-ray</t>
        </is>
      </c>
      <c r="E299" t="inlineStr">
        <is>
          <t>Star Wars</t>
        </is>
      </c>
      <c r="F299" s="64" t="inlineStr">
        <is>
          <t>Star Wars Episodes I–VI (Box Set)</t>
        </is>
      </c>
      <c r="I299" s="64" t="inlineStr">
        <is>
          <t>Owned via Star Wars Episodes I–VI (Box Set).</t>
        </is>
      </c>
      <c r="J299" s="64" t="inlineStr">
        <is>
          <t>George Lucas</t>
        </is>
      </c>
      <c r="K299" s="64" t="n">
        <v>121</v>
      </c>
      <c r="L299" s="64" t="inlineStr">
        <is>
          <t>Action, Adventure, Fantasy, Science Fiction</t>
        </is>
      </c>
      <c r="M299" s="64" t="inlineStr">
        <is>
          <t>Lucasfilm, 20th Century Fox</t>
        </is>
      </c>
      <c r="N299" s="64" t="inlineStr">
        <is>
          <t>https://huggingface.co/datasets/HenryWaltson/TMDB-IMDB-Movies-Dataset</t>
        </is>
      </c>
      <c r="O299" s="64" t="inlineStr">
        <is>
          <t>https://huggingface.co/datasets/HenryWaltson/TMDB-IMDB-Movies-Dataset</t>
        </is>
      </c>
      <c r="P299" t="inlineStr">
        <is>
          <t>Mark Hamill</t>
        </is>
      </c>
      <c r="Q299" t="inlineStr">
        <is>
          <t>Harrison Ford</t>
        </is>
      </c>
      <c r="R299" t="inlineStr">
        <is>
          <t>Carrie Fisher</t>
        </is>
      </c>
      <c r="S299" t="inlineStr">
        <is>
          <t>Peter Cushing</t>
        </is>
      </c>
      <c r="T299" t="inlineStr">
        <is>
          <t>Alec Guinness</t>
        </is>
      </c>
      <c r="U299" s="71" t="n">
        <v>11</v>
      </c>
      <c r="V299" s="71" t="n">
        <v>7</v>
      </c>
      <c r="W299" t="inlineStr">
        <is>
          <t>Nominated</t>
        </is>
      </c>
      <c r="X299" s="82">
        <f>IFERROR(INDEX(Ratings!$E$5:$E$500,MATCH(A299,Ratings!$A$5:$A$500,0)),"")</f>
        <v/>
      </c>
      <c r="Y299" s="71">
        <f>IFERROR(INDEX(Ratings!$G$5:$G$500,MATCH(A299,Ratings!$A$5:$A$500,0)),"")</f>
        <v/>
      </c>
      <c r="Z299" s="83">
        <f>IFERROR(INDEX(Ratings!$I$5:$I$500,MATCH(A299,Ratings!$A$5:$A$500,0)),"")</f>
        <v/>
      </c>
    </row>
    <row r="300" ht="15.75" customHeight="1" s="95">
      <c r="A300" t="inlineStr">
        <is>
          <t>F0296</t>
        </is>
      </c>
      <c r="B300" t="inlineStr">
        <is>
          <t>Star Wars: Episode V – The Empire Strikes Back</t>
        </is>
      </c>
      <c r="C300" s="63" t="inlineStr">
        <is>
          <t>1980</t>
        </is>
      </c>
      <c r="D300" t="inlineStr">
        <is>
          <t>Blu-ray</t>
        </is>
      </c>
      <c r="E300" t="inlineStr">
        <is>
          <t>Star Wars</t>
        </is>
      </c>
      <c r="F300" s="64" t="inlineStr">
        <is>
          <t>Star Wars Episodes I–VI (Box Set)</t>
        </is>
      </c>
      <c r="I300" s="64" t="inlineStr">
        <is>
          <t>Owned via Star Wars Episodes I–VI (Box Set).</t>
        </is>
      </c>
      <c r="J300" s="64" t="inlineStr">
        <is>
          <t>Irvin Kershner</t>
        </is>
      </c>
      <c r="K300" s="64" t="n">
        <v>124</v>
      </c>
      <c r="L300" s="64" t="inlineStr">
        <is>
          <t>Action, Adventure, Fantasy, Science Fiction</t>
        </is>
      </c>
      <c r="M300" s="64" t="inlineStr">
        <is>
          <t>Lucasfilm, 20th Century Fox</t>
        </is>
      </c>
      <c r="N300" s="64" t="inlineStr">
        <is>
          <t>https://huggingface.co/datasets/HenryWaltson/TMDB-IMDB-Movies-Dataset</t>
        </is>
      </c>
      <c r="O300" s="64" t="inlineStr">
        <is>
          <t>https://huggingface.co/datasets/HenryWaltson/TMDB-IMDB-Movies-Dataset</t>
        </is>
      </c>
      <c r="P300" t="inlineStr">
        <is>
          <t>Mark Hamill</t>
        </is>
      </c>
      <c r="Q300" t="inlineStr">
        <is>
          <t>Harrison Ford</t>
        </is>
      </c>
      <c r="R300" t="inlineStr">
        <is>
          <t>Carrie Fisher</t>
        </is>
      </c>
      <c r="S300" t="inlineStr">
        <is>
          <t>Billy Dee Williams</t>
        </is>
      </c>
      <c r="T300" t="inlineStr">
        <is>
          <t>Anthony Daniels</t>
        </is>
      </c>
      <c r="U300" s="71" t="n">
        <v>0</v>
      </c>
      <c r="V300" s="71" t="n">
        <v>0</v>
      </c>
      <c r="X300" s="82">
        <f>IFERROR(INDEX(Ratings!$E$5:$E$500,MATCH(A300,Ratings!$A$5:$A$500,0)),"")</f>
        <v/>
      </c>
      <c r="Y300" s="71">
        <f>IFERROR(INDEX(Ratings!$G$5:$G$500,MATCH(A300,Ratings!$A$5:$A$500,0)),"")</f>
        <v/>
      </c>
      <c r="Z300" s="83">
        <f>IFERROR(INDEX(Ratings!$I$5:$I$500,MATCH(A300,Ratings!$A$5:$A$500,0)),"")</f>
        <v/>
      </c>
    </row>
    <row r="301" ht="15.75" customHeight="1" s="95">
      <c r="A301" t="inlineStr">
        <is>
          <t>F0297</t>
        </is>
      </c>
      <c r="B301" t="inlineStr">
        <is>
          <t>Star Wars: Episode VI – Return of the Jedi</t>
        </is>
      </c>
      <c r="C301" s="63" t="inlineStr">
        <is>
          <t>1983</t>
        </is>
      </c>
      <c r="D301" t="inlineStr">
        <is>
          <t>Blu-ray</t>
        </is>
      </c>
      <c r="E301" t="inlineStr">
        <is>
          <t>Star Wars</t>
        </is>
      </c>
      <c r="F301" s="64" t="inlineStr">
        <is>
          <t>Star Wars Episodes I–VI (Box Set)</t>
        </is>
      </c>
      <c r="I301" s="64" t="inlineStr">
        <is>
          <t>Owned via Star Wars Episodes I–VI (Box Set).</t>
        </is>
      </c>
      <c r="J301" s="64" t="inlineStr">
        <is>
          <t>Richard Marquand</t>
        </is>
      </c>
      <c r="K301" s="64" t="n">
        <v>131</v>
      </c>
      <c r="L301" s="64" t="inlineStr">
        <is>
          <t>Action, Adventure, Fantasy, Science Fiction</t>
        </is>
      </c>
      <c r="M301" s="64" t="inlineStr">
        <is>
          <t>Lucasfilm, 20th Century Fox</t>
        </is>
      </c>
      <c r="N301" s="64" t="inlineStr">
        <is>
          <t>https://huggingface.co/datasets/HenryWaltson/TMDB-IMDB-Movies-Dataset</t>
        </is>
      </c>
      <c r="O301" s="64" t="inlineStr">
        <is>
          <t>https://huggingface.co/datasets/HenryWaltson/TMDB-IMDB-Movies-Dataset</t>
        </is>
      </c>
      <c r="P301" t="inlineStr">
        <is>
          <t>Mark Hamill</t>
        </is>
      </c>
      <c r="Q301" t="inlineStr">
        <is>
          <t>Harrison Ford</t>
        </is>
      </c>
      <c r="R301" t="inlineStr">
        <is>
          <t>Carrie Fisher</t>
        </is>
      </c>
      <c r="S301" t="inlineStr">
        <is>
          <t>Billy Dee Williams</t>
        </is>
      </c>
      <c r="T301" t="inlineStr">
        <is>
          <t>Anthony Daniels</t>
        </is>
      </c>
      <c r="U301" s="71" t="n">
        <v>0</v>
      </c>
      <c r="V301" s="71" t="n">
        <v>0</v>
      </c>
      <c r="X301" s="82">
        <f>IFERROR(INDEX(Ratings!$E$5:$E$500,MATCH(A301,Ratings!$A$5:$A$500,0)),"")</f>
        <v/>
      </c>
      <c r="Y301" s="71">
        <f>IFERROR(INDEX(Ratings!$G$5:$G$500,MATCH(A301,Ratings!$A$5:$A$500,0)),"")</f>
        <v/>
      </c>
      <c r="Z301" s="83">
        <f>IFERROR(INDEX(Ratings!$I$5:$I$500,MATCH(A301,Ratings!$A$5:$A$500,0)),"")</f>
        <v/>
      </c>
    </row>
    <row r="302" ht="15.75" customHeight="1" s="95">
      <c r="A302" t="inlineStr">
        <is>
          <t>F0298</t>
        </is>
      </c>
      <c r="B302" t="inlineStr">
        <is>
          <t>Star Wars: The Force Awakens</t>
        </is>
      </c>
      <c r="C302" s="63" t="inlineStr">
        <is>
          <t>2015</t>
        </is>
      </c>
      <c r="D302" t="inlineStr">
        <is>
          <t>Blu-ray</t>
        </is>
      </c>
      <c r="E302" t="inlineStr">
        <is>
          <t>Star Wars</t>
        </is>
      </c>
      <c r="F302" s="64" t="n"/>
      <c r="I302" s="64" t="n"/>
      <c r="J302" s="64" t="inlineStr">
        <is>
          <t>J.J. Abrams</t>
        </is>
      </c>
      <c r="K302" s="64" t="n">
        <v>136</v>
      </c>
      <c r="L302" s="64" t="inlineStr">
        <is>
          <t>Adventure, Action, Science Fiction</t>
        </is>
      </c>
      <c r="M302" s="64" t="inlineStr">
        <is>
          <t>Lucasfilm Ltd., Bad Robot</t>
        </is>
      </c>
      <c r="N302" s="64" t="inlineStr">
        <is>
          <t>https://huggingface.co/datasets/HenryWaltson/TMDB-IMDB-Movies-Dataset</t>
        </is>
      </c>
      <c r="O302" s="64" t="inlineStr">
        <is>
          <t>https://huggingface.co/datasets/HenryWaltson/TMDB-IMDB-Movies-Dataset</t>
        </is>
      </c>
      <c r="P302" t="inlineStr">
        <is>
          <t>Harrison Ford</t>
        </is>
      </c>
      <c r="Q302" t="inlineStr">
        <is>
          <t>Mark Hamill</t>
        </is>
      </c>
      <c r="R302" t="inlineStr">
        <is>
          <t>Carrie Fisher</t>
        </is>
      </c>
      <c r="S302" t="inlineStr">
        <is>
          <t>Adam Driver</t>
        </is>
      </c>
      <c r="T302" t="inlineStr">
        <is>
          <t>Daisy Ridley</t>
        </is>
      </c>
      <c r="U302" s="71" t="n">
        <v>5</v>
      </c>
      <c r="V302" s="71" t="n">
        <v>0</v>
      </c>
      <c r="X302" s="82">
        <f>IFERROR(INDEX(Ratings!$E$5:$E$500,MATCH(A302,Ratings!$A$5:$A$500,0)),"")</f>
        <v/>
      </c>
      <c r="Y302" s="71">
        <f>IFERROR(INDEX(Ratings!$G$5:$G$500,MATCH(A302,Ratings!$A$5:$A$500,0)),"")</f>
        <v/>
      </c>
      <c r="Z302" s="83">
        <f>IFERROR(INDEX(Ratings!$I$5:$I$500,MATCH(A302,Ratings!$A$5:$A$500,0)),"")</f>
        <v/>
      </c>
    </row>
    <row r="303" ht="15.75" customHeight="1" s="95">
      <c r="A303" t="inlineStr">
        <is>
          <t>F0299</t>
        </is>
      </c>
      <c r="B303" t="inlineStr">
        <is>
          <t>Star Wars: The Last Jedi</t>
        </is>
      </c>
      <c r="C303" s="63" t="inlineStr">
        <is>
          <t>2017</t>
        </is>
      </c>
      <c r="D303" t="inlineStr">
        <is>
          <t>Blu-ray</t>
        </is>
      </c>
      <c r="E303" t="inlineStr">
        <is>
          <t>Star Wars</t>
        </is>
      </c>
      <c r="F303" s="64" t="n"/>
      <c r="I303" s="64" t="n"/>
      <c r="J303" s="64" t="inlineStr">
        <is>
          <t>Rian Johnson</t>
        </is>
      </c>
      <c r="K303" s="64" t="n">
        <v>152</v>
      </c>
      <c r="L303" s="64" t="inlineStr">
        <is>
          <t>Adventure, Action, Science Fiction</t>
        </is>
      </c>
      <c r="M303" s="64" t="inlineStr">
        <is>
          <t>Lucasfilm Ltd.</t>
        </is>
      </c>
      <c r="N303" s="64" t="inlineStr">
        <is>
          <t>https://huggingface.co/datasets/HenryWaltson/TMDB-IMDB-Movies-Dataset</t>
        </is>
      </c>
      <c r="O303" s="64" t="inlineStr">
        <is>
          <t>https://huggingface.co/datasets/HenryWaltson/TMDB-IMDB-Movies-Dataset</t>
        </is>
      </c>
      <c r="P303" t="inlineStr">
        <is>
          <t>Mark Hamill</t>
        </is>
      </c>
      <c r="Q303" t="inlineStr">
        <is>
          <t>Carrie Fisher</t>
        </is>
      </c>
      <c r="R303" t="inlineStr">
        <is>
          <t>Adam Driver</t>
        </is>
      </c>
      <c r="S303" t="inlineStr">
        <is>
          <t>Daisy Ridley</t>
        </is>
      </c>
      <c r="T303" t="inlineStr">
        <is>
          <t>John Boyega</t>
        </is>
      </c>
      <c r="U303" s="71" t="n">
        <v>4</v>
      </c>
      <c r="V303" s="71" t="n">
        <v>0</v>
      </c>
      <c r="X303" s="82">
        <f>IFERROR(INDEX(Ratings!$E$5:$E$500,MATCH(A303,Ratings!$A$5:$A$500,0)),"")</f>
        <v/>
      </c>
      <c r="Y303" s="71">
        <f>IFERROR(INDEX(Ratings!$G$5:$G$500,MATCH(A303,Ratings!$A$5:$A$500,0)),"")</f>
        <v/>
      </c>
      <c r="Z303" s="83">
        <f>IFERROR(INDEX(Ratings!$I$5:$I$500,MATCH(A303,Ratings!$A$5:$A$500,0)),"")</f>
        <v/>
      </c>
    </row>
    <row r="304" ht="15.75" customHeight="1" s="95">
      <c r="A304" t="inlineStr">
        <is>
          <t>F0300</t>
        </is>
      </c>
      <c r="B304" t="inlineStr">
        <is>
          <t>Star Wars: The Rise of Skywalker</t>
        </is>
      </c>
      <c r="C304" s="63" t="inlineStr">
        <is>
          <t>2019</t>
        </is>
      </c>
      <c r="D304" t="inlineStr">
        <is>
          <t>Blu-ray</t>
        </is>
      </c>
      <c r="E304" t="inlineStr">
        <is>
          <t>Star Wars</t>
        </is>
      </c>
      <c r="F304" s="64" t="n"/>
      <c r="I304" s="64" t="n"/>
      <c r="J304" s="64" t="inlineStr">
        <is>
          <t>J.J. Abrams</t>
        </is>
      </c>
      <c r="K304" s="64" t="n">
        <v>142</v>
      </c>
      <c r="L304" s="64" t="inlineStr">
        <is>
          <t>Adventure, Action, Science Fiction</t>
        </is>
      </c>
      <c r="M304" s="64" t="inlineStr">
        <is>
          <t>Lucasfilm Ltd., Bad Robot</t>
        </is>
      </c>
      <c r="N304" s="64" t="inlineStr">
        <is>
          <t>https://huggingface.co/datasets/HenryWaltson/TMDB-IMDB-Movies-Dataset</t>
        </is>
      </c>
      <c r="O304" s="64" t="inlineStr">
        <is>
          <t>https://huggingface.co/datasets/HenryWaltson/TMDB-IMDB-Movies-Dataset</t>
        </is>
      </c>
      <c r="P304" t="inlineStr">
        <is>
          <t>Carrie Fisher</t>
        </is>
      </c>
      <c r="Q304" t="inlineStr">
        <is>
          <t>Mark Hamill</t>
        </is>
      </c>
      <c r="R304" t="inlineStr">
        <is>
          <t>Daisy Ridley</t>
        </is>
      </c>
      <c r="S304" t="inlineStr">
        <is>
          <t>Adam Driver</t>
        </is>
      </c>
      <c r="T304" t="inlineStr">
        <is>
          <t>John Boyega</t>
        </is>
      </c>
      <c r="U304" s="71" t="n">
        <v>3</v>
      </c>
      <c r="V304" s="71" t="n">
        <v>0</v>
      </c>
      <c r="X304" s="82">
        <f>IFERROR(INDEX(Ratings!$E$5:$E$500,MATCH(A304,Ratings!$A$5:$A$500,0)),"")</f>
        <v/>
      </c>
      <c r="Y304" s="71">
        <f>IFERROR(INDEX(Ratings!$G$5:$G$500,MATCH(A304,Ratings!$A$5:$A$500,0)),"")</f>
        <v/>
      </c>
      <c r="Z304" s="83">
        <f>IFERROR(INDEX(Ratings!$I$5:$I$500,MATCH(A304,Ratings!$A$5:$A$500,0)),"")</f>
        <v/>
      </c>
    </row>
    <row r="305" ht="15.75" customHeight="1" s="95">
      <c r="A305" t="inlineStr">
        <is>
          <t>F0301</t>
        </is>
      </c>
      <c r="B305" t="inlineStr">
        <is>
          <t>Straight Outta Compton</t>
        </is>
      </c>
      <c r="C305" s="63" t="inlineStr">
        <is>
          <t>2015</t>
        </is>
      </c>
      <c r="D305" t="inlineStr">
        <is>
          <t>Blu-ray</t>
        </is>
      </c>
      <c r="F305" s="64" t="n"/>
      <c r="I305" s="64" t="n"/>
      <c r="J305" s="64" t="inlineStr">
        <is>
          <t>F. Gary Gray</t>
        </is>
      </c>
      <c r="K305" s="64" t="n">
        <v>147</v>
      </c>
      <c r="L305" s="64" t="inlineStr">
        <is>
          <t>Drama, Music, History</t>
        </is>
      </c>
      <c r="M305" s="64" t="inlineStr">
        <is>
          <t>Broken Chair Flickz, Universal Pictures, Legendary Pictures</t>
        </is>
      </c>
      <c r="N305" s="64" t="inlineStr">
        <is>
          <t>https://huggingface.co/datasets/HenryWaltson/TMDB-IMDB-Movies-Dataset</t>
        </is>
      </c>
      <c r="O305" s="64" t="inlineStr">
        <is>
          <t>https://huggingface.co/datasets/HenryWaltson/TMDB-IMDB-Movies-Dataset</t>
        </is>
      </c>
      <c r="P305" t="inlineStr">
        <is>
          <t>O'Shea Jackson Jr.</t>
        </is>
      </c>
      <c r="Q305" t="inlineStr">
        <is>
          <t>Corey Hawkins</t>
        </is>
      </c>
      <c r="R305" t="inlineStr">
        <is>
          <t>Jason Mitchell</t>
        </is>
      </c>
      <c r="S305" t="inlineStr">
        <is>
          <t>Neil Brown Jr.</t>
        </is>
      </c>
      <c r="T305" t="inlineStr">
        <is>
          <t>Aldis Hodge</t>
        </is>
      </c>
      <c r="U305" s="71" t="n">
        <v>1</v>
      </c>
      <c r="V305" s="71" t="n">
        <v>0</v>
      </c>
      <c r="X305" s="82">
        <f>IFERROR(INDEX(Ratings!$E$5:$E$500,MATCH(A305,Ratings!$A$5:$A$500,0)),"")</f>
        <v/>
      </c>
      <c r="Y305" s="71">
        <f>IFERROR(INDEX(Ratings!$G$5:$G$500,MATCH(A305,Ratings!$A$5:$A$500,0)),"")</f>
        <v/>
      </c>
      <c r="Z305" s="83">
        <f>IFERROR(INDEX(Ratings!$I$5:$I$500,MATCH(A305,Ratings!$A$5:$A$500,0)),"")</f>
        <v/>
      </c>
    </row>
    <row r="306" ht="15.75" customHeight="1" s="95">
      <c r="A306" t="inlineStr">
        <is>
          <t>F0302</t>
        </is>
      </c>
      <c r="B306" t="inlineStr">
        <is>
          <t>Super 8</t>
        </is>
      </c>
      <c r="C306" s="63" t="inlineStr">
        <is>
          <t>2011</t>
        </is>
      </c>
      <c r="D306" t="inlineStr">
        <is>
          <t>Blu-ray</t>
        </is>
      </c>
      <c r="F306" s="64" t="n"/>
      <c r="I306" s="64" t="n"/>
      <c r="J306" s="64" t="inlineStr">
        <is>
          <t>J.J. Abrams</t>
        </is>
      </c>
      <c r="K306" s="64" t="n">
        <v>112</v>
      </c>
      <c r="L306" s="64" t="inlineStr">
        <is>
          <t>Thriller, Science Fiction, Mystery</t>
        </is>
      </c>
      <c r="M306" s="64" t="inlineStr">
        <is>
          <t>Bad Robot, Amblin Entertainment, Paramount</t>
        </is>
      </c>
      <c r="N306" s="64" t="inlineStr">
        <is>
          <t>https://huggingface.co/datasets/HenryWaltson/TMDB-IMDB-Movies-Dataset</t>
        </is>
      </c>
      <c r="O306" s="64" t="inlineStr">
        <is>
          <t>https://huggingface.co/datasets/HenryWaltson/TMDB-IMDB-Movies-Dataset</t>
        </is>
      </c>
      <c r="P306" t="inlineStr">
        <is>
          <t>Joel Courtney</t>
        </is>
      </c>
      <c r="Q306" t="inlineStr">
        <is>
          <t>Elle Fanning</t>
        </is>
      </c>
      <c r="R306" t="inlineStr">
        <is>
          <t>Riley Griffiths</t>
        </is>
      </c>
      <c r="S306" t="inlineStr">
        <is>
          <t>Kyle Chandler</t>
        </is>
      </c>
      <c r="T306" t="inlineStr">
        <is>
          <t>Noah Emmerich</t>
        </is>
      </c>
      <c r="U306" s="71" t="n">
        <v>0</v>
      </c>
      <c r="V306" s="71" t="n">
        <v>0</v>
      </c>
      <c r="X306" s="82">
        <f>IFERROR(INDEX(Ratings!$E$5:$E$500,MATCH(A306,Ratings!$A$5:$A$500,0)),"")</f>
        <v/>
      </c>
      <c r="Y306" s="71">
        <f>IFERROR(INDEX(Ratings!$G$5:$G$500,MATCH(A306,Ratings!$A$5:$A$500,0)),"")</f>
        <v/>
      </c>
      <c r="Z306" s="83">
        <f>IFERROR(INDEX(Ratings!$I$5:$I$500,MATCH(A306,Ratings!$A$5:$A$500,0)),"")</f>
        <v/>
      </c>
    </row>
    <row r="307" ht="15.75" customHeight="1" s="95">
      <c r="A307" t="inlineStr">
        <is>
          <t>F0303</t>
        </is>
      </c>
      <c r="B307" t="inlineStr">
        <is>
          <t>Superbad</t>
        </is>
      </c>
      <c r="C307" s="63" t="inlineStr">
        <is>
          <t>2007</t>
        </is>
      </c>
      <c r="D307" t="inlineStr">
        <is>
          <t>Blu-ray</t>
        </is>
      </c>
      <c r="F307" s="64" t="n"/>
      <c r="I307" s="64" t="n"/>
      <c r="J307" s="64" t="inlineStr">
        <is>
          <t>Greg Mottola</t>
        </is>
      </c>
      <c r="K307" s="64" t="n">
        <v>113</v>
      </c>
      <c r="L307" s="64" t="inlineStr">
        <is>
          <t>Comedy</t>
        </is>
      </c>
      <c r="M307" s="64" t="inlineStr">
        <is>
          <t>Columbia Pictures, Apatow Productions</t>
        </is>
      </c>
      <c r="N307" s="64" t="inlineStr">
        <is>
          <t>https://huggingface.co/datasets/HenryWaltson/TMDB-IMDB-Movies-Dataset</t>
        </is>
      </c>
      <c r="O307" s="64" t="inlineStr">
        <is>
          <t>https://huggingface.co/datasets/HenryWaltson/TMDB-IMDB-Movies-Dataset</t>
        </is>
      </c>
      <c r="P307" t="inlineStr">
        <is>
          <t>Jonah Hill</t>
        </is>
      </c>
      <c r="Q307" t="inlineStr">
        <is>
          <t>Michael Cera</t>
        </is>
      </c>
      <c r="R307" t="inlineStr">
        <is>
          <t>Christopher Mintz-Plasse</t>
        </is>
      </c>
      <c r="S307" t="inlineStr">
        <is>
          <t>Bill Hader</t>
        </is>
      </c>
      <c r="T307" t="inlineStr">
        <is>
          <t>Seth Rogen</t>
        </is>
      </c>
      <c r="U307" s="71" t="n">
        <v>0</v>
      </c>
      <c r="V307" s="71" t="n">
        <v>0</v>
      </c>
      <c r="X307" s="82">
        <f>IFERROR(INDEX(Ratings!$E$5:$E$500,MATCH(A307,Ratings!$A$5:$A$500,0)),"")</f>
        <v/>
      </c>
      <c r="Y307" s="71">
        <f>IFERROR(INDEX(Ratings!$G$5:$G$500,MATCH(A307,Ratings!$A$5:$A$500,0)),"")</f>
        <v/>
      </c>
      <c r="Z307" s="83">
        <f>IFERROR(INDEX(Ratings!$I$5:$I$500,MATCH(A307,Ratings!$A$5:$A$500,0)),"")</f>
        <v/>
      </c>
    </row>
    <row r="308" ht="15.75" customHeight="1" s="95">
      <c r="A308" t="inlineStr">
        <is>
          <t>F0304</t>
        </is>
      </c>
      <c r="B308" t="inlineStr">
        <is>
          <t>Superman</t>
        </is>
      </c>
      <c r="C308" s="63" t="inlineStr">
        <is>
          <t>2025</t>
        </is>
      </c>
      <c r="D308" t="inlineStr">
        <is>
          <t>Blu-ray</t>
        </is>
      </c>
      <c r="F308" s="64" t="n"/>
      <c r="I308" s="64" t="inlineStr">
        <is>
          <t>Best guess: 1978 Christopher Reeve film.</t>
        </is>
      </c>
      <c r="J308" s="64" t="inlineStr">
        <is>
          <t>Richard Donner</t>
        </is>
      </c>
      <c r="K308" s="64" t="n">
        <v>143</v>
      </c>
      <c r="L308" s="64" t="inlineStr">
        <is>
          <t>Science Fiction, Action, Adventure</t>
        </is>
      </c>
      <c r="M308" s="64" t="inlineStr">
        <is>
          <t>Dovemead Films, Film Export A.G., Warner Bros. Pictures</t>
        </is>
      </c>
      <c r="N308" s="64" t="inlineStr">
        <is>
          <t>https://huggingface.co/datasets/HenryWaltson/TMDB-IMDB-Movies-Dataset</t>
        </is>
      </c>
      <c r="O308" s="64" t="inlineStr">
        <is>
          <t>https://www.superman.com/</t>
        </is>
      </c>
      <c r="P308" t="inlineStr">
        <is>
          <t>David Corenswet</t>
        </is>
      </c>
      <c r="Q308" t="inlineStr">
        <is>
          <t>Rachel Brosnahan</t>
        </is>
      </c>
      <c r="R308" t="inlineStr">
        <is>
          <t>Nicholas Hoult</t>
        </is>
      </c>
      <c r="S308" t="inlineStr">
        <is>
          <t>Edi Gathegi</t>
        </is>
      </c>
      <c r="T308" t="inlineStr">
        <is>
          <t>Anthony Carrigan</t>
        </is>
      </c>
      <c r="U308" s="71" t="n">
        <v>0</v>
      </c>
      <c r="V308" s="71" t="n">
        <v>0</v>
      </c>
      <c r="X308" s="82">
        <f>IFERROR(INDEX(Ratings!$E$5:$E$500,MATCH(A308,Ratings!$A$5:$A$500,0)),"")</f>
        <v/>
      </c>
      <c r="Y308" s="71">
        <f>IFERROR(INDEX(Ratings!$G$5:$G$500,MATCH(A308,Ratings!$A$5:$A$500,0)),"")</f>
        <v/>
      </c>
      <c r="Z308" s="83">
        <f>IFERROR(INDEX(Ratings!$I$5:$I$500,MATCH(A308,Ratings!$A$5:$A$500,0)),"")</f>
        <v/>
      </c>
    </row>
    <row r="309" ht="15.75" customHeight="1" s="95">
      <c r="A309" t="inlineStr">
        <is>
          <t>F0305</t>
        </is>
      </c>
      <c r="B309" t="inlineStr">
        <is>
          <t>The Sweeney</t>
        </is>
      </c>
      <c r="C309" s="63" t="inlineStr">
        <is>
          <t>2012</t>
        </is>
      </c>
      <c r="D309" t="inlineStr">
        <is>
          <t>Blu-ray</t>
        </is>
      </c>
      <c r="F309" s="64" t="n"/>
      <c r="I309" s="64" t="n"/>
      <c r="J309" s="64" t="inlineStr">
        <is>
          <t>Nick Love</t>
        </is>
      </c>
      <c r="K309" s="64" t="n">
        <v>112</v>
      </c>
      <c r="L309" s="64" t="inlineStr">
        <is>
          <t>Action, Crime</t>
        </is>
      </c>
      <c r="M309" s="64" t="inlineStr">
        <is>
          <t>Vertigo Films, Embargo Films, Exponential Films</t>
        </is>
      </c>
      <c r="N309" s="64" t="inlineStr">
        <is>
          <t>https://huggingface.co/datasets/HenryWaltson/TMDB-IMDB-Movies-Dataset</t>
        </is>
      </c>
      <c r="O309" s="64" t="inlineStr">
        <is>
          <t>https://huggingface.co/datasets/HenryWaltson/TMDB-IMDB-Movies-Dataset</t>
        </is>
      </c>
      <c r="P309" t="inlineStr">
        <is>
          <t>Ray Winstone</t>
        </is>
      </c>
      <c r="Q309" t="inlineStr">
        <is>
          <t>Plan B</t>
        </is>
      </c>
      <c r="R309" t="inlineStr">
        <is>
          <t>Hayley Atwell</t>
        </is>
      </c>
      <c r="S309" t="inlineStr">
        <is>
          <t>Damian Lewis</t>
        </is>
      </c>
      <c r="T309" t="inlineStr">
        <is>
          <t>Alan Ford</t>
        </is>
      </c>
      <c r="U309" s="71" t="n">
        <v>0</v>
      </c>
      <c r="V309" s="71" t="n">
        <v>0</v>
      </c>
      <c r="X309" s="82">
        <f>IFERROR(INDEX(Ratings!$E$5:$E$500,MATCH(A309,Ratings!$A$5:$A$500,0)),"")</f>
        <v/>
      </c>
      <c r="Y309" s="71">
        <f>IFERROR(INDEX(Ratings!$G$5:$G$500,MATCH(A309,Ratings!$A$5:$A$500,0)),"")</f>
        <v/>
      </c>
      <c r="Z309" s="83">
        <f>IFERROR(INDEX(Ratings!$I$5:$I$500,MATCH(A309,Ratings!$A$5:$A$500,0)),"")</f>
        <v/>
      </c>
    </row>
    <row r="310" ht="15.75" customHeight="1" s="95">
      <c r="A310" t="inlineStr">
        <is>
          <t>F0306</t>
        </is>
      </c>
      <c r="B310" t="inlineStr">
        <is>
          <t>Taken</t>
        </is>
      </c>
      <c r="C310" s="63" t="inlineStr">
        <is>
          <t>2008</t>
        </is>
      </c>
      <c r="D310" t="inlineStr">
        <is>
          <t>Blu-ray</t>
        </is>
      </c>
      <c r="E310" t="inlineStr">
        <is>
          <t>Taken</t>
        </is>
      </c>
      <c r="F310" s="64" t="n"/>
      <c r="I310" s="64" t="n"/>
      <c r="J310" s="64" t="inlineStr">
        <is>
          <t>Pierre Morel</t>
        </is>
      </c>
      <c r="K310" s="64" t="n">
        <v>94</v>
      </c>
      <c r="L310" s="64" t="inlineStr">
        <is>
          <t>Action, Thriller</t>
        </is>
      </c>
      <c r="M310" s="64" t="inlineStr">
        <is>
          <t>Wintergreen Productions, EuropaCorp, M6 Films</t>
        </is>
      </c>
      <c r="N310" s="64" t="inlineStr">
        <is>
          <t>https://huggingface.co/datasets/HenryWaltson/TMDB-IMDB-Movies-Dataset</t>
        </is>
      </c>
      <c r="O310" s="64" t="inlineStr">
        <is>
          <t>https://huggingface.co/datasets/HenryWaltson/TMDB-IMDB-Movies-Dataset</t>
        </is>
      </c>
      <c r="P310" t="inlineStr">
        <is>
          <t>Liam Neeson</t>
        </is>
      </c>
      <c r="Q310" t="inlineStr">
        <is>
          <t>Maggie Grace</t>
        </is>
      </c>
      <c r="R310" t="inlineStr">
        <is>
          <t>Leland Orser</t>
        </is>
      </c>
      <c r="S310" t="inlineStr">
        <is>
          <t>Famke Janssen</t>
        </is>
      </c>
      <c r="T310" t="inlineStr">
        <is>
          <t>Jon Gries</t>
        </is>
      </c>
      <c r="U310" s="71" t="n">
        <v>0</v>
      </c>
      <c r="V310" s="71" t="n">
        <v>0</v>
      </c>
      <c r="X310" s="82">
        <f>IFERROR(INDEX(Ratings!$E$5:$E$500,MATCH(A310,Ratings!$A$5:$A$500,0)),"")</f>
        <v/>
      </c>
      <c r="Y310" s="71">
        <f>IFERROR(INDEX(Ratings!$G$5:$G$500,MATCH(A310,Ratings!$A$5:$A$500,0)),"")</f>
        <v/>
      </c>
      <c r="Z310" s="83">
        <f>IFERROR(INDEX(Ratings!$I$5:$I$500,MATCH(A310,Ratings!$A$5:$A$500,0)),"")</f>
        <v/>
      </c>
    </row>
    <row r="311" ht="15.75" customHeight="1" s="95">
      <c r="A311" t="inlineStr">
        <is>
          <t>F0307</t>
        </is>
      </c>
      <c r="B311" t="inlineStr">
        <is>
          <t>Taken 2</t>
        </is>
      </c>
      <c r="C311" s="63" t="inlineStr">
        <is>
          <t>2012</t>
        </is>
      </c>
      <c r="D311" t="inlineStr">
        <is>
          <t>Blu-ray</t>
        </is>
      </c>
      <c r="E311" t="inlineStr">
        <is>
          <t>Taken</t>
        </is>
      </c>
      <c r="F311" s="64" t="n"/>
      <c r="I311" s="64" t="n"/>
      <c r="J311" s="64" t="inlineStr">
        <is>
          <t>Olivier Megaton</t>
        </is>
      </c>
      <c r="K311" s="64" t="n">
        <v>91</v>
      </c>
      <c r="L311" s="64" t="inlineStr">
        <is>
          <t>Action, Crime, Thriller</t>
        </is>
      </c>
      <c r="M311" s="64" t="inlineStr">
        <is>
          <t>EuropaCorp, Grive Productions, M6 Films</t>
        </is>
      </c>
      <c r="N311" s="64" t="inlineStr">
        <is>
          <t>https://huggingface.co/datasets/HenryWaltson/TMDB-IMDB-Movies-Dataset</t>
        </is>
      </c>
      <c r="O311" s="64" t="inlineStr">
        <is>
          <t>https://huggingface.co/datasets/HenryWaltson/TMDB-IMDB-Movies-Dataset</t>
        </is>
      </c>
      <c r="P311" t="inlineStr">
        <is>
          <t>Liam Neeson</t>
        </is>
      </c>
      <c r="Q311" t="inlineStr">
        <is>
          <t>Maggie Grace</t>
        </is>
      </c>
      <c r="R311" t="inlineStr">
        <is>
          <t>Famke Janssen</t>
        </is>
      </c>
      <c r="S311" t="inlineStr">
        <is>
          <t>Leland Orser</t>
        </is>
      </c>
      <c r="T311" t="inlineStr">
        <is>
          <t>D.B. Sweeney</t>
        </is>
      </c>
      <c r="U311" s="71" t="n">
        <v>0</v>
      </c>
      <c r="V311" s="71" t="n">
        <v>0</v>
      </c>
      <c r="X311" s="82">
        <f>IFERROR(INDEX(Ratings!$E$5:$E$500,MATCH(A311,Ratings!$A$5:$A$500,0)),"")</f>
        <v/>
      </c>
      <c r="Y311" s="71">
        <f>IFERROR(INDEX(Ratings!$G$5:$G$500,MATCH(A311,Ratings!$A$5:$A$500,0)),"")</f>
        <v/>
      </c>
      <c r="Z311" s="83">
        <f>IFERROR(INDEX(Ratings!$I$5:$I$500,MATCH(A311,Ratings!$A$5:$A$500,0)),"")</f>
        <v/>
      </c>
    </row>
    <row r="312" ht="15.75" customHeight="1" s="95">
      <c r="A312" t="inlineStr">
        <is>
          <t>F0308</t>
        </is>
      </c>
      <c r="B312" t="inlineStr">
        <is>
          <t>Ted</t>
        </is>
      </c>
      <c r="C312" s="63" t="inlineStr">
        <is>
          <t>2012</t>
        </is>
      </c>
      <c r="D312" t="inlineStr">
        <is>
          <t>Blu-ray</t>
        </is>
      </c>
      <c r="F312" s="64" t="n"/>
      <c r="I312" s="64" t="n"/>
      <c r="J312" s="64" t="inlineStr">
        <is>
          <t>Seth MacFarlane</t>
        </is>
      </c>
      <c r="K312" s="64" t="n">
        <v>107</v>
      </c>
      <c r="L312" s="64" t="inlineStr">
        <is>
          <t>Comedy, Fantasy</t>
        </is>
      </c>
      <c r="M312" s="64" t="inlineStr">
        <is>
          <t>Universal Pictures, MRC, Fuzzy Door Productions</t>
        </is>
      </c>
      <c r="N312" s="64" t="inlineStr">
        <is>
          <t>https://huggingface.co/datasets/HenryWaltson/TMDB-IMDB-Movies-Dataset</t>
        </is>
      </c>
      <c r="O312" s="64" t="inlineStr">
        <is>
          <t>https://huggingface.co/datasets/HenryWaltson/TMDB-IMDB-Movies-Dataset</t>
        </is>
      </c>
      <c r="P312" t="inlineStr">
        <is>
          <t>Mark Wahlberg</t>
        </is>
      </c>
      <c r="Q312" t="inlineStr">
        <is>
          <t>Mila Kunis</t>
        </is>
      </c>
      <c r="R312" t="inlineStr">
        <is>
          <t>Seth MacFarlane</t>
        </is>
      </c>
      <c r="S312" t="inlineStr">
        <is>
          <t>Joel McHale</t>
        </is>
      </c>
      <c r="T312" t="inlineStr">
        <is>
          <t>Giovanni Ribisi</t>
        </is>
      </c>
      <c r="U312" s="71" t="n">
        <v>1</v>
      </c>
      <c r="V312" s="71" t="n">
        <v>0</v>
      </c>
      <c r="X312" s="82">
        <f>IFERROR(INDEX(Ratings!$E$5:$E$500,MATCH(A312,Ratings!$A$5:$A$500,0)),"")</f>
        <v/>
      </c>
      <c r="Y312" s="71">
        <f>IFERROR(INDEX(Ratings!$G$5:$G$500,MATCH(A312,Ratings!$A$5:$A$500,0)),"")</f>
        <v/>
      </c>
      <c r="Z312" s="83">
        <f>IFERROR(INDEX(Ratings!$I$5:$I$500,MATCH(A312,Ratings!$A$5:$A$500,0)),"")</f>
        <v/>
      </c>
    </row>
    <row r="313" ht="15.75" customHeight="1" s="95">
      <c r="A313" t="inlineStr">
        <is>
          <t>F0309</t>
        </is>
      </c>
      <c r="B313" t="inlineStr">
        <is>
          <t>Teenage Mutant Ninja Turtles</t>
        </is>
      </c>
      <c r="C313" s="63" t="inlineStr">
        <is>
          <t>2014</t>
        </is>
      </c>
      <c r="D313" t="inlineStr">
        <is>
          <t>Blu-ray</t>
        </is>
      </c>
      <c r="F313" s="64" t="n"/>
      <c r="I313" s="64" t="inlineStr">
        <is>
          <t>Best guess: 2014 film.</t>
        </is>
      </c>
      <c r="J313" s="64" t="inlineStr">
        <is>
          <t>Jonathan Liebesman</t>
        </is>
      </c>
      <c r="K313" s="64" t="n">
        <v>101</v>
      </c>
      <c r="L313" s="64" t="inlineStr">
        <is>
          <t>Science Fiction, Action, Adventure, Comedy</t>
        </is>
      </c>
      <c r="M313" s="64" t="inlineStr">
        <is>
          <t>Nickelodeon Movies, Paramount, Platinum Dunes</t>
        </is>
      </c>
      <c r="N313" s="64" t="inlineStr">
        <is>
          <t>https://huggingface.co/datasets/HenryWaltson/TMDB-IMDB-Movies-Dataset</t>
        </is>
      </c>
      <c r="O313" s="64" t="inlineStr">
        <is>
          <t>https://huggingface.co/datasets/HenryWaltson/TMDB-IMDB-Movies-Dataset</t>
        </is>
      </c>
      <c r="P313" t="inlineStr">
        <is>
          <t>Pete Ploszek</t>
        </is>
      </c>
      <c r="Q313" t="inlineStr">
        <is>
          <t>Alan Ritchson</t>
        </is>
      </c>
      <c r="R313" t="inlineStr">
        <is>
          <t>Jeremy Howard</t>
        </is>
      </c>
      <c r="S313" t="inlineStr">
        <is>
          <t>Noel Fisher</t>
        </is>
      </c>
      <c r="T313" t="inlineStr">
        <is>
          <t>Megan Fox</t>
        </is>
      </c>
      <c r="U313" s="71" t="n">
        <v>0</v>
      </c>
      <c r="V313" s="71" t="n">
        <v>0</v>
      </c>
      <c r="X313" s="82">
        <f>IFERROR(INDEX(Ratings!$E$5:$E$500,MATCH(A313,Ratings!$A$5:$A$500,0)),"")</f>
        <v/>
      </c>
      <c r="Y313" s="71">
        <f>IFERROR(INDEX(Ratings!$G$5:$G$500,MATCH(A313,Ratings!$A$5:$A$500,0)),"")</f>
        <v/>
      </c>
      <c r="Z313" s="83">
        <f>IFERROR(INDEX(Ratings!$I$5:$I$500,MATCH(A313,Ratings!$A$5:$A$500,0)),"")</f>
        <v/>
      </c>
    </row>
    <row r="314" ht="15.75" customHeight="1" s="95">
      <c r="A314" t="inlineStr">
        <is>
          <t>F0310</t>
        </is>
      </c>
      <c r="B314" t="inlineStr">
        <is>
          <t>Terminator Salvation</t>
        </is>
      </c>
      <c r="C314" s="63" t="inlineStr">
        <is>
          <t>2009</t>
        </is>
      </c>
      <c r="D314" t="inlineStr">
        <is>
          <t>Blu-ray</t>
        </is>
      </c>
      <c r="F314" s="64" t="n"/>
      <c r="I314" s="64" t="n"/>
      <c r="J314" s="64" t="inlineStr">
        <is>
          <t>McG</t>
        </is>
      </c>
      <c r="K314" s="64" t="n">
        <v>115</v>
      </c>
      <c r="L314" s="64" t="inlineStr">
        <is>
          <t>Action, Science Fiction, Thriller</t>
        </is>
      </c>
      <c r="M314" s="64" t="inlineStr">
        <is>
          <t>Columbia Pictures, The Halcyon Company, Wonderland Sound and Vision</t>
        </is>
      </c>
      <c r="N314" s="64" t="inlineStr">
        <is>
          <t>https://huggingface.co/datasets/HenryWaltson/TMDB-IMDB-Movies-Dataset</t>
        </is>
      </c>
      <c r="O314" s="64" t="inlineStr">
        <is>
          <t>https://huggingface.co/datasets/HenryWaltson/TMDB-IMDB-Movies-Dataset</t>
        </is>
      </c>
      <c r="P314" t="inlineStr">
        <is>
          <t>Christian Bale</t>
        </is>
      </c>
      <c r="Q314" t="inlineStr">
        <is>
          <t>Sam Worthington</t>
        </is>
      </c>
      <c r="R314" t="inlineStr">
        <is>
          <t>Moon Bloodgood</t>
        </is>
      </c>
      <c r="S314" t="inlineStr">
        <is>
          <t>Helena Bonham Carter</t>
        </is>
      </c>
      <c r="T314" t="inlineStr">
        <is>
          <t>Anton Yelchin</t>
        </is>
      </c>
      <c r="U314" s="71" t="n">
        <v>0</v>
      </c>
      <c r="V314" s="71" t="n">
        <v>0</v>
      </c>
      <c r="X314" s="82">
        <f>IFERROR(INDEX(Ratings!$E$5:$E$500,MATCH(A314,Ratings!$A$5:$A$500,0)),"")</f>
        <v/>
      </c>
      <c r="Y314" s="71">
        <f>IFERROR(INDEX(Ratings!$G$5:$G$500,MATCH(A314,Ratings!$A$5:$A$500,0)),"")</f>
        <v/>
      </c>
      <c r="Z314" s="83">
        <f>IFERROR(INDEX(Ratings!$I$5:$I$500,MATCH(A314,Ratings!$A$5:$A$500,0)),"")</f>
        <v/>
      </c>
    </row>
    <row r="315" ht="15.75" customHeight="1" s="95">
      <c r="A315" t="inlineStr">
        <is>
          <t>F0311</t>
        </is>
      </c>
      <c r="B315" t="inlineStr">
        <is>
          <t>The Theory of Everything</t>
        </is>
      </c>
      <c r="C315" s="63" t="inlineStr">
        <is>
          <t>2014</t>
        </is>
      </c>
      <c r="D315" t="inlineStr">
        <is>
          <t>Blu-ray</t>
        </is>
      </c>
      <c r="F315" s="64" t="n"/>
      <c r="I315" s="64" t="n"/>
      <c r="J315" s="64" t="inlineStr">
        <is>
          <t>James Marsh</t>
        </is>
      </c>
      <c r="K315" s="64" t="n">
        <v>123</v>
      </c>
      <c r="L315" s="64" t="inlineStr">
        <is>
          <t>Drama, Romance</t>
        </is>
      </c>
      <c r="M315" s="64" t="inlineStr">
        <is>
          <t>Working Title Films</t>
        </is>
      </c>
      <c r="N315" s="64" t="inlineStr">
        <is>
          <t>https://huggingface.co/datasets/HenryWaltson/TMDB-IMDB-Movies-Dataset</t>
        </is>
      </c>
      <c r="O315" s="64" t="inlineStr">
        <is>
          <t>https://huggingface.co/datasets/HenryWaltson/TMDB-IMDB-Movies-Dataset</t>
        </is>
      </c>
      <c r="P315" t="inlineStr">
        <is>
          <t>Eddie Redmayne</t>
        </is>
      </c>
      <c r="Q315" t="inlineStr">
        <is>
          <t>Felicity Jones</t>
        </is>
      </c>
      <c r="R315" t="inlineStr">
        <is>
          <t>Charlie Cox</t>
        </is>
      </c>
      <c r="S315" t="inlineStr">
        <is>
          <t>Emily Watson</t>
        </is>
      </c>
      <c r="T315" t="inlineStr">
        <is>
          <t>Simon McBurney</t>
        </is>
      </c>
      <c r="U315" s="71" t="n">
        <v>5</v>
      </c>
      <c r="V315" s="71" t="n">
        <v>1</v>
      </c>
      <c r="W315" t="inlineStr">
        <is>
          <t>Nominated</t>
        </is>
      </c>
      <c r="X315" s="82">
        <f>IFERROR(INDEX(Ratings!$E$5:$E$500,MATCH(A315,Ratings!$A$5:$A$500,0)),"")</f>
        <v/>
      </c>
      <c r="Y315" s="71">
        <f>IFERROR(INDEX(Ratings!$G$5:$G$500,MATCH(A315,Ratings!$A$5:$A$500,0)),"")</f>
        <v/>
      </c>
      <c r="Z315" s="83">
        <f>IFERROR(INDEX(Ratings!$I$5:$I$500,MATCH(A315,Ratings!$A$5:$A$500,0)),"")</f>
        <v/>
      </c>
    </row>
    <row r="316" ht="15.75" customHeight="1" s="95">
      <c r="A316" t="inlineStr">
        <is>
          <t>F0312</t>
        </is>
      </c>
      <c r="B316" t="inlineStr">
        <is>
          <t>Toy Story</t>
        </is>
      </c>
      <c r="C316" s="63" t="inlineStr">
        <is>
          <t>1995</t>
        </is>
      </c>
      <c r="D316" t="inlineStr">
        <is>
          <t>Blu-ray</t>
        </is>
      </c>
      <c r="E316" t="inlineStr">
        <is>
          <t>Toy Story</t>
        </is>
      </c>
      <c r="F316" s="64" t="n"/>
      <c r="I316" s="64" t="n"/>
      <c r="J316" s="64" t="inlineStr">
        <is>
          <t>John Lasseter</t>
        </is>
      </c>
      <c r="K316" s="64" t="n">
        <v>81</v>
      </c>
      <c r="L316" s="64" t="inlineStr">
        <is>
          <t>Animation, Adventure, Family, Comedy</t>
        </is>
      </c>
      <c r="M316" s="64" t="inlineStr">
        <is>
          <t>Pixar</t>
        </is>
      </c>
      <c r="N316" s="64" t="inlineStr">
        <is>
          <t>https://huggingface.co/datasets/HenryWaltson/TMDB-IMDB-Movies-Dataset</t>
        </is>
      </c>
      <c r="O316" s="64" t="inlineStr">
        <is>
          <t>https://huggingface.co/datasets/HenryWaltson/TMDB-IMDB-Movies-Dataset</t>
        </is>
      </c>
      <c r="P316" t="inlineStr">
        <is>
          <t>Tom Hanks</t>
        </is>
      </c>
      <c r="Q316" t="inlineStr">
        <is>
          <t>Tim Allen</t>
        </is>
      </c>
      <c r="R316" t="inlineStr">
        <is>
          <t>Don Rickles</t>
        </is>
      </c>
      <c r="S316" t="inlineStr">
        <is>
          <t>Jim Varney</t>
        </is>
      </c>
      <c r="T316" t="inlineStr">
        <is>
          <t>Wallace Shawn</t>
        </is>
      </c>
      <c r="U316" s="71" t="n">
        <v>4</v>
      </c>
      <c r="V316" s="71" t="n">
        <v>1</v>
      </c>
      <c r="X316" s="82">
        <f>IFERROR(INDEX(Ratings!$E$5:$E$500,MATCH(A316,Ratings!$A$5:$A$500,0)),"")</f>
        <v/>
      </c>
      <c r="Y316" s="71">
        <f>IFERROR(INDEX(Ratings!$G$5:$G$500,MATCH(A316,Ratings!$A$5:$A$500,0)),"")</f>
        <v/>
      </c>
      <c r="Z316" s="83">
        <f>IFERROR(INDEX(Ratings!$I$5:$I$500,MATCH(A316,Ratings!$A$5:$A$500,0)),"")</f>
        <v/>
      </c>
    </row>
    <row r="317" ht="15.75" customHeight="1" s="95">
      <c r="A317" t="inlineStr">
        <is>
          <t>F0313</t>
        </is>
      </c>
      <c r="B317" t="inlineStr">
        <is>
          <t>Toy Story 2</t>
        </is>
      </c>
      <c r="C317" s="63" t="inlineStr">
        <is>
          <t>1999</t>
        </is>
      </c>
      <c r="D317" t="inlineStr">
        <is>
          <t>Blu-ray</t>
        </is>
      </c>
      <c r="E317" t="inlineStr">
        <is>
          <t>Toy Story</t>
        </is>
      </c>
      <c r="F317" s="64" t="n"/>
      <c r="I317" s="64" t="n"/>
      <c r="J317" s="64" t="inlineStr">
        <is>
          <t>John Lasseter, Ash Brannon, Lee Unkrich</t>
        </is>
      </c>
      <c r="K317" s="64" t="n">
        <v>92</v>
      </c>
      <c r="L317" s="64" t="inlineStr">
        <is>
          <t>Animation, Comedy, Family</t>
        </is>
      </c>
      <c r="M317" s="64" t="inlineStr">
        <is>
          <t>Pixar</t>
        </is>
      </c>
      <c r="N317" s="64" t="inlineStr">
        <is>
          <t>https://huggingface.co/datasets/HenryWaltson/TMDB-IMDB-Movies-Dataset</t>
        </is>
      </c>
      <c r="O317" s="64" t="inlineStr">
        <is>
          <t>https://huggingface.co/datasets/HenryWaltson/TMDB-IMDB-Movies-Dataset</t>
        </is>
      </c>
      <c r="P317" t="inlineStr">
        <is>
          <t>Tom Hanks</t>
        </is>
      </c>
      <c r="Q317" t="inlineStr">
        <is>
          <t>Tim Allen</t>
        </is>
      </c>
      <c r="R317" t="inlineStr">
        <is>
          <t>Joan Cusack</t>
        </is>
      </c>
      <c r="S317" t="inlineStr">
        <is>
          <t>Kelsey Grammer</t>
        </is>
      </c>
      <c r="T317" t="inlineStr">
        <is>
          <t>Don Rickles</t>
        </is>
      </c>
      <c r="U317" s="71" t="n">
        <v>1</v>
      </c>
      <c r="V317" s="71" t="n">
        <v>0</v>
      </c>
      <c r="X317" s="82">
        <f>IFERROR(INDEX(Ratings!$E$5:$E$500,MATCH(A317,Ratings!$A$5:$A$500,0)),"")</f>
        <v/>
      </c>
      <c r="Y317" s="71">
        <f>IFERROR(INDEX(Ratings!$G$5:$G$500,MATCH(A317,Ratings!$A$5:$A$500,0)),"")</f>
        <v/>
      </c>
      <c r="Z317" s="83">
        <f>IFERROR(INDEX(Ratings!$I$5:$I$500,MATCH(A317,Ratings!$A$5:$A$500,0)),"")</f>
        <v/>
      </c>
    </row>
    <row r="318" ht="15.75" customHeight="1" s="95">
      <c r="A318" t="inlineStr">
        <is>
          <t>F0314</t>
        </is>
      </c>
      <c r="B318" t="inlineStr">
        <is>
          <t>Toy Story 3</t>
        </is>
      </c>
      <c r="C318" s="63" t="inlineStr">
        <is>
          <t>2010</t>
        </is>
      </c>
      <c r="D318" t="inlineStr">
        <is>
          <t>Blu-ray</t>
        </is>
      </c>
      <c r="E318" t="inlineStr">
        <is>
          <t>Toy Story</t>
        </is>
      </c>
      <c r="F318" s="64" t="n"/>
      <c r="I318" s="64" t="n"/>
      <c r="J318" s="64" t="inlineStr">
        <is>
          <t>Lee Unkrich</t>
        </is>
      </c>
      <c r="K318" s="64" t="n">
        <v>103</v>
      </c>
      <c r="L318" s="64" t="inlineStr">
        <is>
          <t>Animation, Family, Comedy</t>
        </is>
      </c>
      <c r="M318" s="64" t="inlineStr">
        <is>
          <t>Pixar, Walt Disney Pictures</t>
        </is>
      </c>
      <c r="N318" s="64" t="inlineStr">
        <is>
          <t>https://huggingface.co/datasets/HenryWaltson/TMDB-IMDB-Movies-Dataset</t>
        </is>
      </c>
      <c r="O318" s="64" t="inlineStr">
        <is>
          <t>https://huggingface.co/datasets/HenryWaltson/TMDB-IMDB-Movies-Dataset</t>
        </is>
      </c>
      <c r="P318" t="inlineStr">
        <is>
          <t>Tom Hanks</t>
        </is>
      </c>
      <c r="Q318" t="inlineStr">
        <is>
          <t>Tim Allen</t>
        </is>
      </c>
      <c r="R318" t="inlineStr">
        <is>
          <t>Joan Cusack</t>
        </is>
      </c>
      <c r="S318" t="inlineStr">
        <is>
          <t>Don Rickles</t>
        </is>
      </c>
      <c r="T318" t="inlineStr">
        <is>
          <t>Wallace Shawn</t>
        </is>
      </c>
      <c r="U318" s="71" t="n">
        <v>5</v>
      </c>
      <c r="V318" s="71" t="n">
        <v>2</v>
      </c>
      <c r="W318" t="inlineStr">
        <is>
          <t>Nominated</t>
        </is>
      </c>
      <c r="X318" s="82">
        <f>IFERROR(INDEX(Ratings!$E$5:$E$500,MATCH(A318,Ratings!$A$5:$A$500,0)),"")</f>
        <v/>
      </c>
      <c r="Y318" s="71">
        <f>IFERROR(INDEX(Ratings!$G$5:$G$500,MATCH(A318,Ratings!$A$5:$A$500,0)),"")</f>
        <v/>
      </c>
      <c r="Z318" s="83">
        <f>IFERROR(INDEX(Ratings!$I$5:$I$500,MATCH(A318,Ratings!$A$5:$A$500,0)),"")</f>
        <v/>
      </c>
    </row>
    <row r="319" ht="15.75" customHeight="1" s="95">
      <c r="A319" t="inlineStr">
        <is>
          <t>F0315</t>
        </is>
      </c>
      <c r="B319" t="inlineStr">
        <is>
          <t>Toy Story 4</t>
        </is>
      </c>
      <c r="C319" s="63" t="inlineStr">
        <is>
          <t>2019</t>
        </is>
      </c>
      <c r="D319" t="inlineStr">
        <is>
          <t>Blu-ray</t>
        </is>
      </c>
      <c r="E319" t="inlineStr">
        <is>
          <t>Toy Story</t>
        </is>
      </c>
      <c r="F319" s="64" t="n"/>
      <c r="I319" s="64" t="n"/>
      <c r="J319" s="64" t="inlineStr">
        <is>
          <t>Josh Cooley</t>
        </is>
      </c>
      <c r="K319" s="64" t="n">
        <v>100</v>
      </c>
      <c r="L319" s="64" t="inlineStr">
        <is>
          <t>Family, Adventure, Animation, Comedy, Fantasy</t>
        </is>
      </c>
      <c r="M319" s="64" t="inlineStr">
        <is>
          <t>Walt Disney Pictures, Pixar</t>
        </is>
      </c>
      <c r="N319" s="64" t="inlineStr">
        <is>
          <t>https://huggingface.co/datasets/HenryWaltson/TMDB-IMDB-Movies-Dataset</t>
        </is>
      </c>
      <c r="O319" s="64" t="inlineStr">
        <is>
          <t>https://huggingface.co/datasets/HenryWaltson/TMDB-IMDB-Movies-Dataset</t>
        </is>
      </c>
      <c r="P319" t="inlineStr">
        <is>
          <t>Tom Hanks</t>
        </is>
      </c>
      <c r="Q319" t="inlineStr">
        <is>
          <t>Tim Allen</t>
        </is>
      </c>
      <c r="R319" t="inlineStr">
        <is>
          <t>Annie Potts</t>
        </is>
      </c>
      <c r="S319" t="inlineStr">
        <is>
          <t>Tony Hale</t>
        </is>
      </c>
      <c r="T319" t="inlineStr">
        <is>
          <t>Keegan-Michael Key</t>
        </is>
      </c>
      <c r="U319" s="71" t="n">
        <v>2</v>
      </c>
      <c r="V319" s="71" t="n">
        <v>1</v>
      </c>
      <c r="X319" s="82">
        <f>IFERROR(INDEX(Ratings!$E$5:$E$500,MATCH(A319,Ratings!$A$5:$A$500,0)),"")</f>
        <v/>
      </c>
      <c r="Y319" s="71">
        <f>IFERROR(INDEX(Ratings!$G$5:$G$500,MATCH(A319,Ratings!$A$5:$A$500,0)),"")</f>
        <v/>
      </c>
      <c r="Z319" s="83">
        <f>IFERROR(INDEX(Ratings!$I$5:$I$500,MATCH(A319,Ratings!$A$5:$A$500,0)),"")</f>
        <v/>
      </c>
    </row>
    <row r="320" ht="15.75" customHeight="1" s="95">
      <c r="A320" t="inlineStr">
        <is>
          <t>F0316</t>
        </is>
      </c>
      <c r="B320" t="inlineStr">
        <is>
          <t>Transformers</t>
        </is>
      </c>
      <c r="C320" s="63" t="inlineStr">
        <is>
          <t>2007</t>
        </is>
      </c>
      <c r="D320" t="inlineStr">
        <is>
          <t>Blu-ray</t>
        </is>
      </c>
      <c r="E320" t="inlineStr">
        <is>
          <t>Transformers</t>
        </is>
      </c>
      <c r="F320" s="64" t="n"/>
      <c r="I320" s="64" t="n"/>
      <c r="J320" s="64" t="inlineStr">
        <is>
          <t>Michael Bay</t>
        </is>
      </c>
      <c r="K320" s="64" t="n">
        <v>143</v>
      </c>
      <c r="L320" s="64" t="inlineStr">
        <is>
          <t>Adventure, Science Fiction, Action</t>
        </is>
      </c>
      <c r="M320" s="64" t="inlineStr">
        <is>
          <t>DreamWorks Pictures, di Bonaventura Pictures, Tom DeSanto/Don Murphy Production</t>
        </is>
      </c>
      <c r="N320" s="64" t="inlineStr">
        <is>
          <t>https://huggingface.co/datasets/HenryWaltson/TMDB-IMDB-Movies-Dataset</t>
        </is>
      </c>
      <c r="O320" s="64" t="inlineStr">
        <is>
          <t>https://huggingface.co/datasets/HenryWaltson/TMDB-IMDB-Movies-Dataset</t>
        </is>
      </c>
      <c r="P320" t="inlineStr">
        <is>
          <t>Shia LaBeouf</t>
        </is>
      </c>
      <c r="Q320" t="inlineStr">
        <is>
          <t>Megan Fox</t>
        </is>
      </c>
      <c r="R320" t="inlineStr">
        <is>
          <t>Mark Ryan</t>
        </is>
      </c>
      <c r="S320" t="inlineStr">
        <is>
          <t>Peter Cullen</t>
        </is>
      </c>
      <c r="T320" t="inlineStr">
        <is>
          <t>Hugo Weaving</t>
        </is>
      </c>
      <c r="U320" s="71" t="n">
        <v>3</v>
      </c>
      <c r="V320" s="71" t="n">
        <v>0</v>
      </c>
      <c r="X320" s="82">
        <f>IFERROR(INDEX(Ratings!$E$5:$E$500,MATCH(A320,Ratings!$A$5:$A$500,0)),"")</f>
        <v/>
      </c>
      <c r="Y320" s="71">
        <f>IFERROR(INDEX(Ratings!$G$5:$G$500,MATCH(A320,Ratings!$A$5:$A$500,0)),"")</f>
        <v/>
      </c>
      <c r="Z320" s="83">
        <f>IFERROR(INDEX(Ratings!$I$5:$I$500,MATCH(A320,Ratings!$A$5:$A$500,0)),"")</f>
        <v/>
      </c>
    </row>
    <row r="321" ht="15.75" customHeight="1" s="95">
      <c r="A321" t="inlineStr">
        <is>
          <t>F0317</t>
        </is>
      </c>
      <c r="B321" t="inlineStr">
        <is>
          <t>Transformers: Revenge of the Fallen</t>
        </is>
      </c>
      <c r="C321" s="63" t="inlineStr">
        <is>
          <t>2009</t>
        </is>
      </c>
      <c r="D321" t="inlineStr">
        <is>
          <t>Blu-ray</t>
        </is>
      </c>
      <c r="E321" t="inlineStr">
        <is>
          <t>Transformers</t>
        </is>
      </c>
      <c r="F321" s="64" t="n"/>
      <c r="I321" s="64" t="n"/>
      <c r="J321" s="64" t="inlineStr">
        <is>
          <t>Michael Bay</t>
        </is>
      </c>
      <c r="K321" s="64" t="n">
        <v>149</v>
      </c>
      <c r="L321" s="64" t="inlineStr">
        <is>
          <t>Science Fiction, Action, Adventure</t>
        </is>
      </c>
      <c r="M321" s="64" t="inlineStr">
        <is>
          <t>DreamWorks Pictures, Paramount, di Bonaventura Pictures</t>
        </is>
      </c>
      <c r="N321" s="64" t="inlineStr">
        <is>
          <t>https://huggingface.co/datasets/HenryWaltson/TMDB-IMDB-Movies-Dataset</t>
        </is>
      </c>
      <c r="O321" s="64" t="inlineStr">
        <is>
          <t>https://huggingface.co/datasets/HenryWaltson/TMDB-IMDB-Movies-Dataset</t>
        </is>
      </c>
      <c r="P321" t="inlineStr">
        <is>
          <t>Shia LaBeouf</t>
        </is>
      </c>
      <c r="Q321" t="inlineStr">
        <is>
          <t>Megan Fox</t>
        </is>
      </c>
      <c r="R321" t="inlineStr">
        <is>
          <t>Peter Cullen</t>
        </is>
      </c>
      <c r="S321" t="inlineStr">
        <is>
          <t>Hugo Weaving</t>
        </is>
      </c>
      <c r="T321" t="inlineStr">
        <is>
          <t>Tony Todd</t>
        </is>
      </c>
      <c r="U321" s="71" t="n">
        <v>1</v>
      </c>
      <c r="V321" s="71" t="n">
        <v>0</v>
      </c>
      <c r="X321" s="82">
        <f>IFERROR(INDEX(Ratings!$E$5:$E$500,MATCH(A321,Ratings!$A$5:$A$500,0)),"")</f>
        <v/>
      </c>
      <c r="Y321" s="71">
        <f>IFERROR(INDEX(Ratings!$G$5:$G$500,MATCH(A321,Ratings!$A$5:$A$500,0)),"")</f>
        <v/>
      </c>
      <c r="Z321" s="83">
        <f>IFERROR(INDEX(Ratings!$I$5:$I$500,MATCH(A321,Ratings!$A$5:$A$500,0)),"")</f>
        <v/>
      </c>
    </row>
    <row r="322" ht="15.75" customHeight="1" s="95">
      <c r="A322" t="inlineStr">
        <is>
          <t>F0318</t>
        </is>
      </c>
      <c r="B322" t="inlineStr">
        <is>
          <t>Transformers: Dark of the Moon</t>
        </is>
      </c>
      <c r="C322" s="63" t="inlineStr">
        <is>
          <t>2011</t>
        </is>
      </c>
      <c r="D322" t="inlineStr">
        <is>
          <t>Blu-ray</t>
        </is>
      </c>
      <c r="E322" t="inlineStr">
        <is>
          <t>Transformers</t>
        </is>
      </c>
      <c r="F322" s="64" t="n"/>
      <c r="I322" s="64" t="n"/>
      <c r="J322" s="64" t="inlineStr">
        <is>
          <t>Michael Bay</t>
        </is>
      </c>
      <c r="K322" s="64" t="n">
        <v>154</v>
      </c>
      <c r="L322" s="64" t="inlineStr">
        <is>
          <t>Action, Science Fiction, Adventure</t>
        </is>
      </c>
      <c r="M322" s="64" t="inlineStr">
        <is>
          <t>Paramount, di Bonaventura Pictures, Tom DeSanto/Don Murphy Production</t>
        </is>
      </c>
      <c r="N322" s="64" t="inlineStr">
        <is>
          <t>https://huggingface.co/datasets/HenryWaltson/TMDB-IMDB-Movies-Dataset</t>
        </is>
      </c>
      <c r="O322" s="64" t="inlineStr">
        <is>
          <t>https://huggingface.co/datasets/HenryWaltson/TMDB-IMDB-Movies-Dataset</t>
        </is>
      </c>
      <c r="P322" t="inlineStr">
        <is>
          <t>Shia LaBeouf</t>
        </is>
      </c>
      <c r="Q322" t="inlineStr">
        <is>
          <t>Rosie Huntington-Whiteley</t>
        </is>
      </c>
      <c r="R322" t="inlineStr">
        <is>
          <t>Peter Cullen</t>
        </is>
      </c>
      <c r="S322" t="inlineStr">
        <is>
          <t>Leonard Nimoy</t>
        </is>
      </c>
      <c r="T322" t="inlineStr">
        <is>
          <t>John Turturro</t>
        </is>
      </c>
      <c r="U322" s="71" t="n">
        <v>3</v>
      </c>
      <c r="V322" s="71" t="n">
        <v>0</v>
      </c>
      <c r="X322" s="82">
        <f>IFERROR(INDEX(Ratings!$E$5:$E$500,MATCH(A322,Ratings!$A$5:$A$500,0)),"")</f>
        <v/>
      </c>
      <c r="Y322" s="71">
        <f>IFERROR(INDEX(Ratings!$G$5:$G$500,MATCH(A322,Ratings!$A$5:$A$500,0)),"")</f>
        <v/>
      </c>
      <c r="Z322" s="83">
        <f>IFERROR(INDEX(Ratings!$I$5:$I$500,MATCH(A322,Ratings!$A$5:$A$500,0)),"")</f>
        <v/>
      </c>
    </row>
    <row r="323" ht="15.75" customHeight="1" s="95">
      <c r="A323" t="inlineStr">
        <is>
          <t>F0319</t>
        </is>
      </c>
      <c r="B323" t="inlineStr">
        <is>
          <t>Transformers: Age of Extinction</t>
        </is>
      </c>
      <c r="C323" s="63" t="inlineStr">
        <is>
          <t>2014</t>
        </is>
      </c>
      <c r="D323" t="inlineStr">
        <is>
          <t>Blu-ray</t>
        </is>
      </c>
      <c r="E323" t="inlineStr">
        <is>
          <t>Transformers</t>
        </is>
      </c>
      <c r="F323" s="64" t="n"/>
      <c r="I323" s="64" t="n"/>
      <c r="J323" s="64" t="inlineStr">
        <is>
          <t>Michael Bay</t>
        </is>
      </c>
      <c r="K323" s="64" t="n">
        <v>165</v>
      </c>
      <c r="L323" s="64" t="inlineStr">
        <is>
          <t>Science Fiction, Action, Adventure</t>
        </is>
      </c>
      <c r="M323" s="64" t="inlineStr">
        <is>
          <t>di Bonaventura Pictures, Tom DeSanto/Don Murphy Production, Ian Bryce Productions</t>
        </is>
      </c>
      <c r="N323" s="64" t="inlineStr">
        <is>
          <t>https://huggingface.co/datasets/HenryWaltson/TMDB-IMDB-Movies-Dataset</t>
        </is>
      </c>
      <c r="O323" s="64" t="inlineStr">
        <is>
          <t>https://huggingface.co/datasets/HenryWaltson/TMDB-IMDB-Movies-Dataset</t>
        </is>
      </c>
      <c r="P323" t="inlineStr">
        <is>
          <t>Mark Wahlberg</t>
        </is>
      </c>
      <c r="Q323" t="inlineStr">
        <is>
          <t>Peter Cullen</t>
        </is>
      </c>
      <c r="R323" t="inlineStr">
        <is>
          <t>Stanley Tucci</t>
        </is>
      </c>
      <c r="S323" t="inlineStr">
        <is>
          <t>Kelsey Grammer</t>
        </is>
      </c>
      <c r="T323" t="inlineStr">
        <is>
          <t>Nicola Peltz Beckham</t>
        </is>
      </c>
      <c r="U323" s="71" t="n">
        <v>0</v>
      </c>
      <c r="V323" s="71" t="n">
        <v>0</v>
      </c>
      <c r="X323" s="82">
        <f>IFERROR(INDEX(Ratings!$E$5:$E$500,MATCH(A323,Ratings!$A$5:$A$500,0)),"")</f>
        <v/>
      </c>
      <c r="Y323" s="71">
        <f>IFERROR(INDEX(Ratings!$G$5:$G$500,MATCH(A323,Ratings!$A$5:$A$500,0)),"")</f>
        <v/>
      </c>
      <c r="Z323" s="83">
        <f>IFERROR(INDEX(Ratings!$I$5:$I$500,MATCH(A323,Ratings!$A$5:$A$500,0)),"")</f>
        <v/>
      </c>
    </row>
    <row r="324" ht="15.75" customHeight="1" s="95">
      <c r="A324" t="inlineStr">
        <is>
          <t>F0320</t>
        </is>
      </c>
      <c r="B324" t="inlineStr">
        <is>
          <t>Transformers: The Last Knight</t>
        </is>
      </c>
      <c r="C324" s="63" t="inlineStr">
        <is>
          <t>2017</t>
        </is>
      </c>
      <c r="D324" t="inlineStr">
        <is>
          <t>Blu-ray</t>
        </is>
      </c>
      <c r="E324" t="inlineStr">
        <is>
          <t>Transformers</t>
        </is>
      </c>
      <c r="F324" s="64" t="n"/>
      <c r="I324" s="64" t="n"/>
      <c r="J324" s="64" t="inlineStr">
        <is>
          <t>Michael Bay</t>
        </is>
      </c>
      <c r="K324" s="64" t="n">
        <v>154</v>
      </c>
      <c r="L324" s="64" t="inlineStr">
        <is>
          <t>Action, Adventure, Science Fiction</t>
        </is>
      </c>
      <c r="M324" s="64" t="inlineStr">
        <is>
          <t>Paramount, di Bonaventura Pictures, Ian Bryce Productions</t>
        </is>
      </c>
      <c r="N324" s="64" t="inlineStr">
        <is>
          <t>https://huggingface.co/datasets/HenryWaltson/TMDB-IMDB-Movies-Dataset</t>
        </is>
      </c>
      <c r="O324" s="64" t="inlineStr">
        <is>
          <t>https://huggingface.co/datasets/HenryWaltson/TMDB-IMDB-Movies-Dataset</t>
        </is>
      </c>
      <c r="P324" t="inlineStr">
        <is>
          <t>Mark Wahlberg</t>
        </is>
      </c>
      <c r="Q324" t="inlineStr">
        <is>
          <t>Laura Haddock</t>
        </is>
      </c>
      <c r="R324" t="inlineStr">
        <is>
          <t>Peter Cullen</t>
        </is>
      </c>
      <c r="S324" t="inlineStr">
        <is>
          <t>Anthony Hopkins</t>
        </is>
      </c>
      <c r="T324" t="inlineStr">
        <is>
          <t>Josh Duhamel</t>
        </is>
      </c>
      <c r="U324" s="71" t="n">
        <v>0</v>
      </c>
      <c r="V324" s="71" t="n">
        <v>0</v>
      </c>
      <c r="X324" s="82">
        <f>IFERROR(INDEX(Ratings!$E$5:$E$500,MATCH(A324,Ratings!$A$5:$A$500,0)),"")</f>
        <v/>
      </c>
      <c r="Y324" s="71">
        <f>IFERROR(INDEX(Ratings!$G$5:$G$500,MATCH(A324,Ratings!$A$5:$A$500,0)),"")</f>
        <v/>
      </c>
      <c r="Z324" s="83">
        <f>IFERROR(INDEX(Ratings!$I$5:$I$500,MATCH(A324,Ratings!$A$5:$A$500,0)),"")</f>
        <v/>
      </c>
    </row>
    <row r="325" ht="15.75" customHeight="1" s="95">
      <c r="A325" t="inlineStr">
        <is>
          <t>F0321</t>
        </is>
      </c>
      <c r="B325" t="inlineStr">
        <is>
          <t>Transformers: Rise of the Beasts</t>
        </is>
      </c>
      <c r="C325" s="63" t="inlineStr">
        <is>
          <t>2023</t>
        </is>
      </c>
      <c r="D325" t="inlineStr">
        <is>
          <t>Blu-ray</t>
        </is>
      </c>
      <c r="E325" t="inlineStr">
        <is>
          <t>Transformers</t>
        </is>
      </c>
      <c r="F325" s="64" t="n"/>
      <c r="I325" s="64" t="n"/>
      <c r="J325" s="64" t="inlineStr">
        <is>
          <t>Steven Caple Jr.</t>
        </is>
      </c>
      <c r="K325" s="64" t="n">
        <v>127</v>
      </c>
      <c r="L325" s="64" t="inlineStr">
        <is>
          <t>Action, Adventure, Science Fiction</t>
        </is>
      </c>
      <c r="M325" s="64" t="inlineStr">
        <is>
          <t>Skydance, Paramount, di Bonaventura Pictures</t>
        </is>
      </c>
      <c r="N325" s="64" t="inlineStr">
        <is>
          <t>https://huggingface.co/datasets/HenryWaltson/TMDB-IMDB-Movies-Dataset</t>
        </is>
      </c>
      <c r="O325" s="64" t="inlineStr">
        <is>
          <t>https://huggingface.co/datasets/HenryWaltson/TMDB-IMDB-Movies-Dataset</t>
        </is>
      </c>
      <c r="P325" t="inlineStr">
        <is>
          <t>Anthony Ramos</t>
        </is>
      </c>
      <c r="Q325" t="inlineStr">
        <is>
          <t>Dominique Fishback</t>
        </is>
      </c>
      <c r="R325" t="inlineStr">
        <is>
          <t>Peter Cullen</t>
        </is>
      </c>
      <c r="S325" t="inlineStr">
        <is>
          <t>Ron Perlman</t>
        </is>
      </c>
      <c r="T325" t="inlineStr">
        <is>
          <t>Peter Dinklage</t>
        </is>
      </c>
      <c r="U325" s="71" t="n">
        <v>0</v>
      </c>
      <c r="V325" s="71" t="n">
        <v>0</v>
      </c>
      <c r="X325" s="82">
        <f>IFERROR(INDEX(Ratings!$E$5:$E$500,MATCH(A325,Ratings!$A$5:$A$500,0)),"")</f>
        <v/>
      </c>
      <c r="Y325" s="71">
        <f>IFERROR(INDEX(Ratings!$G$5:$G$500,MATCH(A325,Ratings!$A$5:$A$500,0)),"")</f>
        <v/>
      </c>
      <c r="Z325" s="83">
        <f>IFERROR(INDEX(Ratings!$I$5:$I$500,MATCH(A325,Ratings!$A$5:$A$500,0)),"")</f>
        <v/>
      </c>
    </row>
    <row r="326" ht="15.75" customHeight="1" s="95">
      <c r="A326" t="inlineStr">
        <is>
          <t>F0322</t>
        </is>
      </c>
      <c r="B326" t="inlineStr">
        <is>
          <t>The Transformers: The Movie</t>
        </is>
      </c>
      <c r="C326" s="63" t="inlineStr">
        <is>
          <t>1986</t>
        </is>
      </c>
      <c r="D326" t="inlineStr">
        <is>
          <t>Blu-ray</t>
        </is>
      </c>
      <c r="E326" t="inlineStr">
        <is>
          <t>Transformers</t>
        </is>
      </c>
      <c r="F326" s="64" t="n"/>
      <c r="I326" s="64" t="n"/>
      <c r="J326" s="64" t="inlineStr">
        <is>
          <t>Nelson Shin</t>
        </is>
      </c>
      <c r="K326" s="64" t="n">
        <v>84</v>
      </c>
      <c r="L326" s="64" t="inlineStr">
        <is>
          <t>Animation, Science Fiction, Action, Adventure, Family</t>
        </is>
      </c>
      <c r="M326" s="64" t="inlineStr">
        <is>
          <t>Hasbro, Marvel Productions, Sunbow Productions</t>
        </is>
      </c>
      <c r="N326" s="64" t="inlineStr">
        <is>
          <t>https://huggingface.co/datasets/HenryWaltson/TMDB-IMDB-Movies-Dataset</t>
        </is>
      </c>
      <c r="O326" s="64" t="inlineStr">
        <is>
          <t>https://huggingface.co/datasets/HenryWaltson/TMDB-IMDB-Movies-Dataset</t>
        </is>
      </c>
      <c r="P326" t="inlineStr">
        <is>
          <t>Judd Nelson</t>
        </is>
      </c>
      <c r="Q326" t="inlineStr">
        <is>
          <t>Peter Cullen</t>
        </is>
      </c>
      <c r="R326" t="inlineStr">
        <is>
          <t>Frank Welker</t>
        </is>
      </c>
      <c r="S326" t="inlineStr">
        <is>
          <t>Leonard Nimoy</t>
        </is>
      </c>
      <c r="T326" t="inlineStr">
        <is>
          <t>Casey Kasem</t>
        </is>
      </c>
      <c r="U326" s="71" t="n">
        <v>0</v>
      </c>
      <c r="V326" s="71" t="n">
        <v>0</v>
      </c>
      <c r="X326" s="82">
        <f>IFERROR(INDEX(Ratings!$E$5:$E$500,MATCH(A326,Ratings!$A$5:$A$500,0)),"")</f>
        <v/>
      </c>
      <c r="Y326" s="71">
        <f>IFERROR(INDEX(Ratings!$G$5:$G$500,MATCH(A326,Ratings!$A$5:$A$500,0)),"")</f>
        <v/>
      </c>
      <c r="Z326" s="83">
        <f>IFERROR(INDEX(Ratings!$I$5:$I$500,MATCH(A326,Ratings!$A$5:$A$500,0)),"")</f>
        <v/>
      </c>
    </row>
    <row r="327" ht="15.75" customHeight="1" s="95">
      <c r="A327" t="inlineStr">
        <is>
          <t>F0323</t>
        </is>
      </c>
      <c r="B327" t="inlineStr">
        <is>
          <t>The Transporter Refueled</t>
        </is>
      </c>
      <c r="C327" s="63" t="inlineStr">
        <is>
          <t>2015</t>
        </is>
      </c>
      <c r="D327" t="inlineStr">
        <is>
          <t>Blu-ray</t>
        </is>
      </c>
      <c r="F327" s="64" t="n"/>
      <c r="I327" s="64" t="n"/>
      <c r="J327" s="64" t="inlineStr">
        <is>
          <t>Camille Delamarre</t>
        </is>
      </c>
      <c r="K327" s="64" t="n">
        <v>95</v>
      </c>
      <c r="L327" s="64" t="inlineStr">
        <is>
          <t>Action, Thriller, Crime</t>
        </is>
      </c>
      <c r="M327" s="64" t="inlineStr">
        <is>
          <t>EuropaCorp, TF1 Films Production, Fundamental Films</t>
        </is>
      </c>
      <c r="N327" s="64" t="inlineStr">
        <is>
          <t>https://huggingface.co/datasets/HenryWaltson/TMDB-IMDB-Movies-Dataset</t>
        </is>
      </c>
      <c r="O327" s="64" t="inlineStr">
        <is>
          <t>https://huggingface.co/datasets/HenryWaltson/TMDB-IMDB-Movies-Dataset</t>
        </is>
      </c>
      <c r="P327" t="inlineStr">
        <is>
          <t>Ed Skrein</t>
        </is>
      </c>
      <c r="Q327" t="inlineStr">
        <is>
          <t>Ray Stevenson</t>
        </is>
      </c>
      <c r="R327" t="inlineStr">
        <is>
          <t>Loan Chabanol</t>
        </is>
      </c>
      <c r="S327" t="inlineStr">
        <is>
          <t>Gabriella Wright</t>
        </is>
      </c>
      <c r="T327" t="inlineStr">
        <is>
          <t>Tatiana Pajković</t>
        </is>
      </c>
      <c r="U327" s="71" t="n">
        <v>0</v>
      </c>
      <c r="V327" s="71" t="n">
        <v>0</v>
      </c>
      <c r="X327" s="82">
        <f>IFERROR(INDEX(Ratings!$E$5:$E$500,MATCH(A327,Ratings!$A$5:$A$500,0)),"")</f>
        <v/>
      </c>
      <c r="Y327" s="71">
        <f>IFERROR(INDEX(Ratings!$G$5:$G$500,MATCH(A327,Ratings!$A$5:$A$500,0)),"")</f>
        <v/>
      </c>
      <c r="Z327" s="83">
        <f>IFERROR(INDEX(Ratings!$I$5:$I$500,MATCH(A327,Ratings!$A$5:$A$500,0)),"")</f>
        <v/>
      </c>
    </row>
    <row r="328" ht="15.75" customHeight="1" s="95">
      <c r="A328" t="inlineStr">
        <is>
          <t>F0324</t>
        </is>
      </c>
      <c r="B328" t="inlineStr">
        <is>
          <t>Tropic Thunder</t>
        </is>
      </c>
      <c r="C328" s="63" t="inlineStr">
        <is>
          <t>2008</t>
        </is>
      </c>
      <c r="D328" t="inlineStr">
        <is>
          <t>Blu-ray</t>
        </is>
      </c>
      <c r="F328" s="64" t="n"/>
      <c r="I328" s="64" t="n"/>
      <c r="J328" s="64" t="inlineStr">
        <is>
          <t>Ben Stiller</t>
        </is>
      </c>
      <c r="K328" s="64" t="n">
        <v>107</v>
      </c>
      <c r="L328" s="64" t="inlineStr">
        <is>
          <t>Action, Comedy, Adventure, War</t>
        </is>
      </c>
      <c r="M328" s="64" t="inlineStr">
        <is>
          <t>Internationale Filmproduktion Stella-del-Sud Second, DreamWorks Pictures, Red Hour</t>
        </is>
      </c>
      <c r="N328" s="64" t="inlineStr">
        <is>
          <t>https://huggingface.co/datasets/HenryWaltson/TMDB-IMDB-Movies-Dataset</t>
        </is>
      </c>
      <c r="O328" s="64" t="inlineStr">
        <is>
          <t>https://huggingface.co/datasets/HenryWaltson/TMDB-IMDB-Movies-Dataset</t>
        </is>
      </c>
      <c r="P328" t="inlineStr">
        <is>
          <t>Ben Stiller</t>
        </is>
      </c>
      <c r="Q328" t="inlineStr">
        <is>
          <t>Robert Downey Jr.</t>
        </is>
      </c>
      <c r="R328" t="inlineStr">
        <is>
          <t>Jack Black</t>
        </is>
      </c>
      <c r="S328" t="inlineStr">
        <is>
          <t>Jay Baruchel</t>
        </is>
      </c>
      <c r="T328" t="inlineStr">
        <is>
          <t>Brandon T. Jackson</t>
        </is>
      </c>
      <c r="U328" s="71" t="n">
        <v>1</v>
      </c>
      <c r="V328" s="71" t="n">
        <v>0</v>
      </c>
      <c r="X328" s="82">
        <f>IFERROR(INDEX(Ratings!$E$5:$E$500,MATCH(A328,Ratings!$A$5:$A$500,0)),"")</f>
        <v/>
      </c>
      <c r="Y328" s="71">
        <f>IFERROR(INDEX(Ratings!$G$5:$G$500,MATCH(A328,Ratings!$A$5:$A$500,0)),"")</f>
        <v/>
      </c>
      <c r="Z328" s="83">
        <f>IFERROR(INDEX(Ratings!$I$5:$I$500,MATCH(A328,Ratings!$A$5:$A$500,0)),"")</f>
        <v/>
      </c>
    </row>
    <row r="329" ht="15.75" customHeight="1" s="95">
      <c r="A329" t="inlineStr">
        <is>
          <t>F0325</t>
        </is>
      </c>
      <c r="B329" t="inlineStr">
        <is>
          <t>True Grit</t>
        </is>
      </c>
      <c r="C329" s="63" t="inlineStr">
        <is>
          <t>2010</t>
        </is>
      </c>
      <c r="D329" t="inlineStr">
        <is>
          <t>Blu-ray</t>
        </is>
      </c>
      <c r="F329" s="64" t="n"/>
      <c r="I329" s="64" t="n"/>
      <c r="J329" s="64" t="inlineStr">
        <is>
          <t>Ethan Coen, Joel Coen</t>
        </is>
      </c>
      <c r="K329" s="64" t="n">
        <v>110</v>
      </c>
      <c r="L329" s="64" t="inlineStr">
        <is>
          <t>Drama, Adventure, Western</t>
        </is>
      </c>
      <c r="M329" s="64" t="inlineStr">
        <is>
          <t>Paramount, Scott Rudin Productions, Mike Zoss Productions</t>
        </is>
      </c>
      <c r="N329" s="64" t="inlineStr">
        <is>
          <t>https://huggingface.co/datasets/HenryWaltson/TMDB-IMDB-Movies-Dataset</t>
        </is>
      </c>
      <c r="O329" s="64" t="inlineStr">
        <is>
          <t>https://huggingface.co/datasets/HenryWaltson/TMDB-IMDB-Movies-Dataset</t>
        </is>
      </c>
      <c r="P329" t="inlineStr">
        <is>
          <t>Jeff Bridges</t>
        </is>
      </c>
      <c r="Q329" t="inlineStr">
        <is>
          <t>Hailee Steinfeld</t>
        </is>
      </c>
      <c r="R329" t="inlineStr">
        <is>
          <t>Matt Damon</t>
        </is>
      </c>
      <c r="S329" t="inlineStr">
        <is>
          <t>Josh Brolin</t>
        </is>
      </c>
      <c r="T329" t="inlineStr">
        <is>
          <t>Barry Pepper</t>
        </is>
      </c>
      <c r="U329" s="71" t="n">
        <v>10</v>
      </c>
      <c r="V329" s="71" t="n">
        <v>0</v>
      </c>
      <c r="W329" t="inlineStr">
        <is>
          <t>Nominated</t>
        </is>
      </c>
      <c r="X329" s="82">
        <f>IFERROR(INDEX(Ratings!$E$5:$E$500,MATCH(A329,Ratings!$A$5:$A$500,0)),"")</f>
        <v/>
      </c>
      <c r="Y329" s="71">
        <f>IFERROR(INDEX(Ratings!$G$5:$G$500,MATCH(A329,Ratings!$A$5:$A$500,0)),"")</f>
        <v/>
      </c>
      <c r="Z329" s="83">
        <f>IFERROR(INDEX(Ratings!$I$5:$I$500,MATCH(A329,Ratings!$A$5:$A$500,0)),"")</f>
        <v/>
      </c>
    </row>
    <row r="330" ht="15.75" customHeight="1" s="95">
      <c r="A330" t="inlineStr">
        <is>
          <t>F0326</t>
        </is>
      </c>
      <c r="B330" t="inlineStr">
        <is>
          <t>Underworld: Evolution</t>
        </is>
      </c>
      <c r="C330" s="63" t="inlineStr">
        <is>
          <t>2006</t>
        </is>
      </c>
      <c r="D330" t="inlineStr">
        <is>
          <t>Blu-ray</t>
        </is>
      </c>
      <c r="E330" t="inlineStr">
        <is>
          <t>Underworld</t>
        </is>
      </c>
      <c r="F330" s="64" t="n"/>
      <c r="I330" s="64" t="n"/>
      <c r="J330" s="64" t="inlineStr">
        <is>
          <t>Len Wiseman</t>
        </is>
      </c>
      <c r="K330" s="64" t="n">
        <v>106</v>
      </c>
      <c r="L330" s="64" t="inlineStr">
        <is>
          <t>Fantasy, Action, Thriller</t>
        </is>
      </c>
      <c r="M330" s="64" t="inlineStr">
        <is>
          <t>Screen Gems, Lakeshore Entertainment</t>
        </is>
      </c>
      <c r="N330" s="64" t="inlineStr">
        <is>
          <t>https://huggingface.co/datasets/HenryWaltson/TMDB-IMDB-Movies-Dataset</t>
        </is>
      </c>
      <c r="O330" s="64" t="inlineStr">
        <is>
          <t>https://huggingface.co/datasets/HenryWaltson/TMDB-IMDB-Movies-Dataset</t>
        </is>
      </c>
      <c r="P330" t="inlineStr">
        <is>
          <t>Kate Beckinsale</t>
        </is>
      </c>
      <c r="Q330" t="inlineStr">
        <is>
          <t>Scott Speedman</t>
        </is>
      </c>
      <c r="R330" t="inlineStr">
        <is>
          <t>Tony Curran</t>
        </is>
      </c>
      <c r="S330" t="inlineStr">
        <is>
          <t>Shane Brolly</t>
        </is>
      </c>
      <c r="T330" t="inlineStr">
        <is>
          <t>Derek Jacobi</t>
        </is>
      </c>
      <c r="U330" s="71" t="n">
        <v>0</v>
      </c>
      <c r="V330" s="71" t="n">
        <v>0</v>
      </c>
      <c r="X330" s="82">
        <f>IFERROR(INDEX(Ratings!$E$5:$E$500,MATCH(A330,Ratings!$A$5:$A$500,0)),"")</f>
        <v/>
      </c>
      <c r="Y330" s="71">
        <f>IFERROR(INDEX(Ratings!$G$5:$G$500,MATCH(A330,Ratings!$A$5:$A$500,0)),"")</f>
        <v/>
      </c>
      <c r="Z330" s="83">
        <f>IFERROR(INDEX(Ratings!$I$5:$I$500,MATCH(A330,Ratings!$A$5:$A$500,0)),"")</f>
        <v/>
      </c>
    </row>
    <row r="331" ht="15.75" customHeight="1" s="95">
      <c r="A331" t="inlineStr">
        <is>
          <t>F0327</t>
        </is>
      </c>
      <c r="B331" t="inlineStr">
        <is>
          <t>Underworld: Rise of the Lycans</t>
        </is>
      </c>
      <c r="C331" s="63" t="inlineStr">
        <is>
          <t>2009</t>
        </is>
      </c>
      <c r="D331" t="inlineStr">
        <is>
          <t>Blu-ray</t>
        </is>
      </c>
      <c r="E331" t="inlineStr">
        <is>
          <t>Underworld</t>
        </is>
      </c>
      <c r="F331" s="64" t="n"/>
      <c r="I331" s="64" t="n"/>
      <c r="J331" s="64" t="inlineStr">
        <is>
          <t>Patrick Tatopoulos</t>
        </is>
      </c>
      <c r="K331" s="64" t="n">
        <v>92</v>
      </c>
      <c r="L331" s="64" t="inlineStr">
        <is>
          <t>Fantasy, Action, Thriller</t>
        </is>
      </c>
      <c r="M331" s="64" t="inlineStr">
        <is>
          <t>Screen Gems, Lakeshore Entertainment, Sketch Films</t>
        </is>
      </c>
      <c r="N331" s="64" t="inlineStr">
        <is>
          <t>https://huggingface.co/datasets/HenryWaltson/TMDB-IMDB-Movies-Dataset</t>
        </is>
      </c>
      <c r="O331" s="64" t="inlineStr">
        <is>
          <t>https://huggingface.co/datasets/HenryWaltson/TMDB-IMDB-Movies-Dataset</t>
        </is>
      </c>
      <c r="P331" t="inlineStr">
        <is>
          <t>Rhona Mitra</t>
        </is>
      </c>
      <c r="Q331" t="inlineStr">
        <is>
          <t>Bill Nighy</t>
        </is>
      </c>
      <c r="R331" t="inlineStr">
        <is>
          <t>Michael Sheen</t>
        </is>
      </c>
      <c r="S331" t="inlineStr">
        <is>
          <t>Shane Brolly</t>
        </is>
      </c>
      <c r="T331" t="inlineStr">
        <is>
          <t>Steven Mackintosh</t>
        </is>
      </c>
      <c r="U331" s="71" t="n">
        <v>0</v>
      </c>
      <c r="V331" s="71" t="n">
        <v>0</v>
      </c>
      <c r="X331" s="82">
        <f>IFERROR(INDEX(Ratings!$E$5:$E$500,MATCH(A331,Ratings!$A$5:$A$500,0)),"")</f>
        <v/>
      </c>
      <c r="Y331" s="71">
        <f>IFERROR(INDEX(Ratings!$G$5:$G$500,MATCH(A331,Ratings!$A$5:$A$500,0)),"")</f>
        <v/>
      </c>
      <c r="Z331" s="83">
        <f>IFERROR(INDEX(Ratings!$I$5:$I$500,MATCH(A331,Ratings!$A$5:$A$500,0)),"")</f>
        <v/>
      </c>
    </row>
    <row r="332" ht="15.75" customHeight="1" s="95">
      <c r="A332" t="inlineStr">
        <is>
          <t>F0328</t>
        </is>
      </c>
      <c r="B332" t="inlineStr">
        <is>
          <t>Underworld: Awakening</t>
        </is>
      </c>
      <c r="C332" s="63" t="inlineStr">
        <is>
          <t>2012</t>
        </is>
      </c>
      <c r="D332" t="inlineStr">
        <is>
          <t>Blu-ray</t>
        </is>
      </c>
      <c r="E332" t="inlineStr">
        <is>
          <t>Underworld</t>
        </is>
      </c>
      <c r="F332" s="64" t="n"/>
      <c r="I332" s="64" t="n"/>
      <c r="J332" s="64" t="inlineStr">
        <is>
          <t>Måns Mårlind, Björn Stein</t>
        </is>
      </c>
      <c r="K332" s="64" t="n">
        <v>88</v>
      </c>
      <c r="L332" s="64" t="inlineStr">
        <is>
          <t>Fantasy, Action, Horror</t>
        </is>
      </c>
      <c r="M332" s="64" t="inlineStr">
        <is>
          <t>Screen Gems, Lakeshore Entertainment, Sketch Films</t>
        </is>
      </c>
      <c r="N332" s="64" t="inlineStr">
        <is>
          <t>https://huggingface.co/datasets/HenryWaltson/TMDB-IMDB-Movies-Dataset</t>
        </is>
      </c>
      <c r="O332" s="64" t="inlineStr">
        <is>
          <t>https://huggingface.co/datasets/HenryWaltson/TMDB-IMDB-Movies-Dataset</t>
        </is>
      </c>
      <c r="P332" t="inlineStr">
        <is>
          <t>Kate Beckinsale</t>
        </is>
      </c>
      <c r="Q332" t="inlineStr">
        <is>
          <t>Stephen Rea</t>
        </is>
      </c>
      <c r="R332" t="inlineStr">
        <is>
          <t>Michael Ealy</t>
        </is>
      </c>
      <c r="S332" t="inlineStr">
        <is>
          <t>Theo James</t>
        </is>
      </c>
      <c r="T332" t="inlineStr">
        <is>
          <t>India Eisley</t>
        </is>
      </c>
      <c r="U332" s="71" t="n">
        <v>0</v>
      </c>
      <c r="V332" s="71" t="n">
        <v>0</v>
      </c>
      <c r="X332" s="82">
        <f>IFERROR(INDEX(Ratings!$E$5:$E$500,MATCH(A332,Ratings!$A$5:$A$500,0)),"")</f>
        <v/>
      </c>
      <c r="Y332" s="71">
        <f>IFERROR(INDEX(Ratings!$G$5:$G$500,MATCH(A332,Ratings!$A$5:$A$500,0)),"")</f>
        <v/>
      </c>
      <c r="Z332" s="83">
        <f>IFERROR(INDEX(Ratings!$I$5:$I$500,MATCH(A332,Ratings!$A$5:$A$500,0)),"")</f>
        <v/>
      </c>
    </row>
    <row r="333" ht="15.75" customHeight="1" s="95">
      <c r="A333" t="inlineStr">
        <is>
          <t>F0329</t>
        </is>
      </c>
      <c r="B333" t="inlineStr">
        <is>
          <t>Unknown</t>
        </is>
      </c>
      <c r="C333" s="63" t="inlineStr">
        <is>
          <t>2011</t>
        </is>
      </c>
      <c r="D333" t="inlineStr">
        <is>
          <t>Blu-ray</t>
        </is>
      </c>
      <c r="F333" s="64" t="n"/>
      <c r="I333" s="64" t="n"/>
      <c r="J333" s="64" t="inlineStr">
        <is>
          <t>Jaume Collet-Serra</t>
        </is>
      </c>
      <c r="K333" s="64" t="n">
        <v>113</v>
      </c>
      <c r="L333" s="64" t="inlineStr">
        <is>
          <t>Action, Mystery, Thriller</t>
        </is>
      </c>
      <c r="M333" s="64" t="inlineStr">
        <is>
          <t>Studio Babelsberg, StudioCanal, Dark Castle Entertainment</t>
        </is>
      </c>
      <c r="N333" s="64" t="inlineStr">
        <is>
          <t>https://huggingface.co/datasets/HenryWaltson/TMDB-IMDB-Movies-Dataset</t>
        </is>
      </c>
      <c r="O333" s="64" t="inlineStr">
        <is>
          <t>https://huggingface.co/datasets/HenryWaltson/TMDB-IMDB-Movies-Dataset</t>
        </is>
      </c>
      <c r="P333" t="inlineStr">
        <is>
          <t>Liam Neeson</t>
        </is>
      </c>
      <c r="Q333" t="inlineStr">
        <is>
          <t>Diane Kruger</t>
        </is>
      </c>
      <c r="R333" t="inlineStr">
        <is>
          <t>January Jones</t>
        </is>
      </c>
      <c r="S333" t="inlineStr">
        <is>
          <t>Aidan Quinn</t>
        </is>
      </c>
      <c r="T333" t="inlineStr">
        <is>
          <t>Bruno Ganz</t>
        </is>
      </c>
      <c r="U333" s="71" t="n">
        <v>0</v>
      </c>
      <c r="V333" s="71" t="n">
        <v>0</v>
      </c>
      <c r="X333" s="82">
        <f>IFERROR(INDEX(Ratings!$E$5:$E$500,MATCH(A333,Ratings!$A$5:$A$500,0)),"")</f>
        <v/>
      </c>
      <c r="Y333" s="71">
        <f>IFERROR(INDEX(Ratings!$G$5:$G$500,MATCH(A333,Ratings!$A$5:$A$500,0)),"")</f>
        <v/>
      </c>
      <c r="Z333" s="83">
        <f>IFERROR(INDEX(Ratings!$I$5:$I$500,MATCH(A333,Ratings!$A$5:$A$500,0)),"")</f>
        <v/>
      </c>
    </row>
    <row r="334" ht="15.75" customHeight="1" s="95">
      <c r="A334" t="inlineStr">
        <is>
          <t>F0330</t>
        </is>
      </c>
      <c r="B334" t="inlineStr">
        <is>
          <t>Up</t>
        </is>
      </c>
      <c r="C334" s="63" t="inlineStr">
        <is>
          <t>2009</t>
        </is>
      </c>
      <c r="D334" t="inlineStr">
        <is>
          <t>Blu-ray</t>
        </is>
      </c>
      <c r="F334" s="64" t="n"/>
      <c r="I334" s="64" t="n"/>
      <c r="J334" s="64" t="inlineStr">
        <is>
          <t>Pete Docter, Bob Peterson</t>
        </is>
      </c>
      <c r="K334" s="64" t="n">
        <v>96</v>
      </c>
      <c r="L334" s="64" t="inlineStr">
        <is>
          <t>Animation, Comedy, Family, Adventure</t>
        </is>
      </c>
      <c r="M334" s="64" t="inlineStr">
        <is>
          <t>Pixar</t>
        </is>
      </c>
      <c r="N334" s="64" t="inlineStr">
        <is>
          <t>https://huggingface.co/datasets/HenryWaltson/TMDB-IMDB-Movies-Dataset</t>
        </is>
      </c>
      <c r="O334" s="64" t="inlineStr">
        <is>
          <t>https://huggingface.co/datasets/HenryWaltson/TMDB-IMDB-Movies-Dataset</t>
        </is>
      </c>
      <c r="P334" t="inlineStr">
        <is>
          <t>Ed Asner</t>
        </is>
      </c>
      <c r="Q334" t="inlineStr">
        <is>
          <t>Christopher Plummer</t>
        </is>
      </c>
      <c r="R334" t="inlineStr">
        <is>
          <t>Jordan Nagai</t>
        </is>
      </c>
      <c r="S334" t="inlineStr">
        <is>
          <t>Bob Peterson</t>
        </is>
      </c>
      <c r="T334" t="inlineStr">
        <is>
          <t>Delroy Lindo</t>
        </is>
      </c>
      <c r="U334" s="71" t="n">
        <v>5</v>
      </c>
      <c r="V334" s="71" t="n">
        <v>2</v>
      </c>
      <c r="W334" t="inlineStr">
        <is>
          <t>Nominated</t>
        </is>
      </c>
      <c r="X334" s="82">
        <f>IFERROR(INDEX(Ratings!$E$5:$E$500,MATCH(A334,Ratings!$A$5:$A$500,0)),"")</f>
        <v/>
      </c>
      <c r="Y334" s="71">
        <f>IFERROR(INDEX(Ratings!$G$5:$G$500,MATCH(A334,Ratings!$A$5:$A$500,0)),"")</f>
        <v/>
      </c>
      <c r="Z334" s="83">
        <f>IFERROR(INDEX(Ratings!$I$5:$I$500,MATCH(A334,Ratings!$A$5:$A$500,0)),"")</f>
        <v/>
      </c>
    </row>
    <row r="335" ht="15.75" customHeight="1" s="95">
      <c r="A335" t="inlineStr">
        <is>
          <t>F0331</t>
        </is>
      </c>
      <c r="B335" t="inlineStr">
        <is>
          <t>WALL·E</t>
        </is>
      </c>
      <c r="C335" s="63" t="inlineStr">
        <is>
          <t>2008</t>
        </is>
      </c>
      <c r="D335" t="inlineStr">
        <is>
          <t>Blu-ray</t>
        </is>
      </c>
      <c r="F335" s="64" t="n"/>
      <c r="I335" s="64" t="n"/>
      <c r="J335" s="64" t="inlineStr">
        <is>
          <t>Andrew Stanton</t>
        </is>
      </c>
      <c r="K335" s="64" t="n">
        <v>98</v>
      </c>
      <c r="L335" s="64" t="inlineStr">
        <is>
          <t>Animation, Family, Science Fiction</t>
        </is>
      </c>
      <c r="M335" s="64" t="inlineStr">
        <is>
          <t>Pixar, Walt Disney Pictures</t>
        </is>
      </c>
      <c r="N335" s="64" t="inlineStr">
        <is>
          <t>https://huggingface.co/datasets/HenryWaltson/TMDB-IMDB-Movies-Dataset</t>
        </is>
      </c>
      <c r="O335" s="64" t="inlineStr">
        <is>
          <t>https://huggingface.co/datasets/HenryWaltson/TMDB-IMDB-Movies-Dataset</t>
        </is>
      </c>
      <c r="P335" t="inlineStr">
        <is>
          <t>Elissa Knight</t>
        </is>
      </c>
      <c r="Q335" t="inlineStr">
        <is>
          <t>Jeff Garlin</t>
        </is>
      </c>
      <c r="R335" t="inlineStr">
        <is>
          <t>Fred Willard</t>
        </is>
      </c>
      <c r="S335" t="inlineStr">
        <is>
          <t>John Ratzenberger</t>
        </is>
      </c>
      <c r="T335" t="inlineStr">
        <is>
          <t>Kathy Najimy</t>
        </is>
      </c>
      <c r="U335" s="71" t="n">
        <v>6</v>
      </c>
      <c r="V335" s="71" t="n">
        <v>1</v>
      </c>
      <c r="X335" s="82">
        <f>IFERROR(INDEX(Ratings!$E$5:$E$500,MATCH(A335,Ratings!$A$5:$A$500,0)),"")</f>
        <v/>
      </c>
      <c r="Y335" s="71">
        <f>IFERROR(INDEX(Ratings!$G$5:$G$500,MATCH(A335,Ratings!$A$5:$A$500,0)),"")</f>
        <v/>
      </c>
      <c r="Z335" s="83">
        <f>IFERROR(INDEX(Ratings!$I$5:$I$500,MATCH(A335,Ratings!$A$5:$A$500,0)),"")</f>
        <v/>
      </c>
    </row>
    <row r="336" ht="15.75" customHeight="1" s="95">
      <c r="A336" t="inlineStr">
        <is>
          <t>F0332</t>
        </is>
      </c>
      <c r="B336" t="inlineStr">
        <is>
          <t>War of the Worlds</t>
        </is>
      </c>
      <c r="C336" s="63" t="inlineStr">
        <is>
          <t>2005</t>
        </is>
      </c>
      <c r="D336" t="inlineStr">
        <is>
          <t>Blu-ray</t>
        </is>
      </c>
      <c r="F336" s="64" t="n"/>
      <c r="I336" s="64" t="n"/>
      <c r="J336" s="64" t="inlineStr">
        <is>
          <t>Steven Spielberg</t>
        </is>
      </c>
      <c r="K336" s="64" t="n">
        <v>117</v>
      </c>
      <c r="L336" s="64" t="inlineStr">
        <is>
          <t>Adventure, Thriller, Science Fiction</t>
        </is>
      </c>
      <c r="M336" s="64" t="inlineStr">
        <is>
          <t>Paramount, Amblin Entertainment, Cruise/Wagner Productions</t>
        </is>
      </c>
      <c r="N336" s="64" t="inlineStr">
        <is>
          <t>https://huggingface.co/datasets/HenryWaltson/TMDB-IMDB-Movies-Dataset</t>
        </is>
      </c>
      <c r="O336" s="64" t="inlineStr">
        <is>
          <t>https://huggingface.co/datasets/HenryWaltson/TMDB-IMDB-Movies-Dataset</t>
        </is>
      </c>
      <c r="P336" t="inlineStr">
        <is>
          <t>Tom Cruise</t>
        </is>
      </c>
      <c r="Q336" t="inlineStr">
        <is>
          <t>Dakota Fanning</t>
        </is>
      </c>
      <c r="R336" t="inlineStr">
        <is>
          <t>Justin Chatwin</t>
        </is>
      </c>
      <c r="S336" t="inlineStr">
        <is>
          <t>Miranda Otto</t>
        </is>
      </c>
      <c r="T336" t="inlineStr">
        <is>
          <t>Tim Robbins</t>
        </is>
      </c>
      <c r="U336" s="71" t="n">
        <v>3</v>
      </c>
      <c r="V336" s="71" t="n">
        <v>0</v>
      </c>
      <c r="X336" s="82">
        <f>IFERROR(INDEX(Ratings!$E$5:$E$500,MATCH(A336,Ratings!$A$5:$A$500,0)),"")</f>
        <v/>
      </c>
      <c r="Y336" s="71">
        <f>IFERROR(INDEX(Ratings!$G$5:$G$500,MATCH(A336,Ratings!$A$5:$A$500,0)),"")</f>
        <v/>
      </c>
      <c r="Z336" s="83">
        <f>IFERROR(INDEX(Ratings!$I$5:$I$500,MATCH(A336,Ratings!$A$5:$A$500,0)),"")</f>
        <v/>
      </c>
    </row>
    <row r="337" ht="15.75" customHeight="1" s="95">
      <c r="A337" t="inlineStr">
        <is>
          <t>F0333</t>
        </is>
      </c>
      <c r="B337" t="inlineStr">
        <is>
          <t>Warrior</t>
        </is>
      </c>
      <c r="C337" s="63" t="inlineStr">
        <is>
          <t>2011</t>
        </is>
      </c>
      <c r="D337" t="inlineStr">
        <is>
          <t>Blu-ray</t>
        </is>
      </c>
      <c r="F337" s="64" t="n"/>
      <c r="I337" s="64" t="n"/>
      <c r="J337" s="64" t="inlineStr">
        <is>
          <t>Gavin O'Connor</t>
        </is>
      </c>
      <c r="K337" s="64" t="n">
        <v>140</v>
      </c>
      <c r="L337" s="64" t="inlineStr">
        <is>
          <t>Drama, Action</t>
        </is>
      </c>
      <c r="M337" s="64" t="inlineStr">
        <is>
          <t>Lionsgate, Mimran Schur Pictures, Solaris Film</t>
        </is>
      </c>
      <c r="N337" s="64" t="inlineStr">
        <is>
          <t>https://huggingface.co/datasets/HenryWaltson/TMDB-IMDB-Movies-Dataset</t>
        </is>
      </c>
      <c r="O337" s="64" t="inlineStr">
        <is>
          <t>https://huggingface.co/datasets/HenryWaltson/TMDB-IMDB-Movies-Dataset</t>
        </is>
      </c>
      <c r="P337" t="inlineStr">
        <is>
          <t>Joel Edgerton</t>
        </is>
      </c>
      <c r="Q337" t="inlineStr">
        <is>
          <t>Tom Hardy</t>
        </is>
      </c>
      <c r="R337" t="inlineStr">
        <is>
          <t>Nick Nolte</t>
        </is>
      </c>
      <c r="S337" t="inlineStr">
        <is>
          <t>Jennifer Morrison</t>
        </is>
      </c>
      <c r="T337" t="inlineStr">
        <is>
          <t>Frank Grillo</t>
        </is>
      </c>
      <c r="U337" s="71" t="n">
        <v>1</v>
      </c>
      <c r="V337" s="71" t="n">
        <v>0</v>
      </c>
      <c r="X337" s="82">
        <f>IFERROR(INDEX(Ratings!$E$5:$E$500,MATCH(A337,Ratings!$A$5:$A$500,0)),"")</f>
        <v/>
      </c>
      <c r="Y337" s="71">
        <f>IFERROR(INDEX(Ratings!$G$5:$G$500,MATCH(A337,Ratings!$A$5:$A$500,0)),"")</f>
        <v/>
      </c>
      <c r="Z337" s="83">
        <f>IFERROR(INDEX(Ratings!$I$5:$I$500,MATCH(A337,Ratings!$A$5:$A$500,0)),"")</f>
        <v/>
      </c>
    </row>
    <row r="338" ht="15.75" customHeight="1" s="95">
      <c r="A338" t="inlineStr">
        <is>
          <t>F0334</t>
        </is>
      </c>
      <c r="B338" t="inlineStr">
        <is>
          <t>The Warriors</t>
        </is>
      </c>
      <c r="C338" s="63" t="inlineStr">
        <is>
          <t>1979</t>
        </is>
      </c>
      <c r="D338" t="inlineStr">
        <is>
          <t>Blu-ray</t>
        </is>
      </c>
      <c r="F338" s="64" t="n"/>
      <c r="I338" s="64" t="n"/>
      <c r="J338" s="64" t="inlineStr">
        <is>
          <t>Walter Hill</t>
        </is>
      </c>
      <c r="K338" s="64" t="n">
        <v>94</v>
      </c>
      <c r="L338" s="64" t="inlineStr">
        <is>
          <t>Action, Thriller</t>
        </is>
      </c>
      <c r="M338" s="64" t="inlineStr">
        <is>
          <t>Paramount</t>
        </is>
      </c>
      <c r="N338" s="64" t="inlineStr">
        <is>
          <t>https://huggingface.co/datasets/HenryWaltson/TMDB-IMDB-Movies-Dataset</t>
        </is>
      </c>
      <c r="O338" s="64" t="inlineStr">
        <is>
          <t>https://huggingface.co/datasets/HenryWaltson/TMDB-IMDB-Movies-Dataset</t>
        </is>
      </c>
      <c r="P338" t="inlineStr">
        <is>
          <t>Michael Beck</t>
        </is>
      </c>
      <c r="Q338" t="inlineStr">
        <is>
          <t>James Remar</t>
        </is>
      </c>
      <c r="R338" t="inlineStr">
        <is>
          <t>David Patrick Kelly</t>
        </is>
      </c>
      <c r="S338" t="inlineStr">
        <is>
          <t>Dorsey Wright</t>
        </is>
      </c>
      <c r="T338" t="inlineStr">
        <is>
          <t>David Harris</t>
        </is>
      </c>
      <c r="U338" s="71" t="n">
        <v>0</v>
      </c>
      <c r="V338" s="71" t="n">
        <v>0</v>
      </c>
      <c r="X338" s="82">
        <f>IFERROR(INDEX(Ratings!$E$5:$E$500,MATCH(A338,Ratings!$A$5:$A$500,0)),"")</f>
        <v/>
      </c>
      <c r="Y338" s="71">
        <f>IFERROR(INDEX(Ratings!$G$5:$G$500,MATCH(A338,Ratings!$A$5:$A$500,0)),"")</f>
        <v/>
      </c>
      <c r="Z338" s="83">
        <f>IFERROR(INDEX(Ratings!$I$5:$I$500,MATCH(A338,Ratings!$A$5:$A$500,0)),"")</f>
        <v/>
      </c>
    </row>
    <row r="339" ht="15.75" customHeight="1" s="95">
      <c r="A339" t="inlineStr">
        <is>
          <t>F0335</t>
        </is>
      </c>
      <c r="B339" t="inlineStr">
        <is>
          <t>White House Down</t>
        </is>
      </c>
      <c r="C339" s="63" t="inlineStr">
        <is>
          <t>2013</t>
        </is>
      </c>
      <c r="D339" t="inlineStr">
        <is>
          <t>Blu-ray</t>
        </is>
      </c>
      <c r="F339" s="64" t="n"/>
      <c r="I339" s="64" t="n"/>
      <c r="J339" s="64" t="inlineStr">
        <is>
          <t>Roland Emmerich</t>
        </is>
      </c>
      <c r="K339" s="64" t="n">
        <v>131</v>
      </c>
      <c r="L339" s="64" t="inlineStr">
        <is>
          <t>Action, Drama, Thriller</t>
        </is>
      </c>
      <c r="M339" s="64" t="inlineStr">
        <is>
          <t>Iron Horse Entertainment, Columbia Pictures, Mythology Entertainment</t>
        </is>
      </c>
      <c r="N339" s="64" t="inlineStr">
        <is>
          <t>https://huggingface.co/datasets/HenryWaltson/TMDB-IMDB-Movies-Dataset</t>
        </is>
      </c>
      <c r="O339" s="64" t="inlineStr">
        <is>
          <t>https://huggingface.co/datasets/HenryWaltson/TMDB-IMDB-Movies-Dataset</t>
        </is>
      </c>
      <c r="P339" t="inlineStr">
        <is>
          <t>Channing Tatum</t>
        </is>
      </c>
      <c r="Q339" t="inlineStr">
        <is>
          <t>Jamie Foxx</t>
        </is>
      </c>
      <c r="R339" t="inlineStr">
        <is>
          <t>Joey King</t>
        </is>
      </c>
      <c r="S339" t="inlineStr">
        <is>
          <t>Maggie Gyllenhaal</t>
        </is>
      </c>
      <c r="T339" t="inlineStr">
        <is>
          <t>Richard Jenkins</t>
        </is>
      </c>
      <c r="U339" s="71" t="n">
        <v>0</v>
      </c>
      <c r="V339" s="71" t="n">
        <v>0</v>
      </c>
      <c r="X339" s="82">
        <f>IFERROR(INDEX(Ratings!$E$5:$E$500,MATCH(A339,Ratings!$A$5:$A$500,0)),"")</f>
        <v/>
      </c>
      <c r="Y339" s="71">
        <f>IFERROR(INDEX(Ratings!$G$5:$G$500,MATCH(A339,Ratings!$A$5:$A$500,0)),"")</f>
        <v/>
      </c>
      <c r="Z339" s="83">
        <f>IFERROR(INDEX(Ratings!$I$5:$I$500,MATCH(A339,Ratings!$A$5:$A$500,0)),"")</f>
        <v/>
      </c>
    </row>
    <row r="340" ht="15.75" customHeight="1" s="95">
      <c r="A340" t="inlineStr">
        <is>
          <t>F0336</t>
        </is>
      </c>
      <c r="B340" t="inlineStr">
        <is>
          <t>Wreck-It Ralph</t>
        </is>
      </c>
      <c r="C340" s="63" t="inlineStr">
        <is>
          <t>2012</t>
        </is>
      </c>
      <c r="D340" t="inlineStr">
        <is>
          <t>Blu-ray</t>
        </is>
      </c>
      <c r="E340" t="inlineStr">
        <is>
          <t>Wreck-It Ralph</t>
        </is>
      </c>
      <c r="F340" s="64" t="n"/>
      <c r="I340" s="64" t="n"/>
      <c r="J340" s="64" t="inlineStr">
        <is>
          <t>Rich Moore</t>
        </is>
      </c>
      <c r="K340" s="64" t="n">
        <v>101</v>
      </c>
      <c r="L340" s="64" t="inlineStr">
        <is>
          <t>Family, Animation, Comedy, Adventure</t>
        </is>
      </c>
      <c r="M340" s="64" t="inlineStr">
        <is>
          <t>Walt Disney Animation Studios, Walt Disney Pictures</t>
        </is>
      </c>
      <c r="N340" s="64" t="inlineStr">
        <is>
          <t>https://huggingface.co/datasets/HenryWaltson/TMDB-IMDB-Movies-Dataset</t>
        </is>
      </c>
      <c r="O340" s="64" t="inlineStr">
        <is>
          <t>https://huggingface.co/datasets/HenryWaltson/TMDB-IMDB-Movies-Dataset</t>
        </is>
      </c>
      <c r="P340" t="inlineStr">
        <is>
          <t>John C. Reilly</t>
        </is>
      </c>
      <c r="Q340" t="inlineStr">
        <is>
          <t>Sarah Silverman</t>
        </is>
      </c>
      <c r="R340" t="inlineStr">
        <is>
          <t>Jack McBrayer</t>
        </is>
      </c>
      <c r="S340" t="inlineStr">
        <is>
          <t>Alan Tudyk</t>
        </is>
      </c>
      <c r="T340" t="inlineStr">
        <is>
          <t>Jane Lynch</t>
        </is>
      </c>
      <c r="U340" s="71" t="n">
        <v>1</v>
      </c>
      <c r="V340" s="71" t="n">
        <v>0</v>
      </c>
      <c r="X340" s="82">
        <f>IFERROR(INDEX(Ratings!$E$5:$E$500,MATCH(A340,Ratings!$A$5:$A$500,0)),"")</f>
        <v/>
      </c>
      <c r="Y340" s="71">
        <f>IFERROR(INDEX(Ratings!$G$5:$G$500,MATCH(A340,Ratings!$A$5:$A$500,0)),"")</f>
        <v/>
      </c>
      <c r="Z340" s="83">
        <f>IFERROR(INDEX(Ratings!$I$5:$I$500,MATCH(A340,Ratings!$A$5:$A$500,0)),"")</f>
        <v/>
      </c>
    </row>
    <row r="341" ht="15.75" customHeight="1" s="95">
      <c r="A341" t="inlineStr">
        <is>
          <t>F0337</t>
        </is>
      </c>
      <c r="B341" t="inlineStr">
        <is>
          <t>Ralph Breaks the Internet</t>
        </is>
      </c>
      <c r="C341" s="63" t="inlineStr">
        <is>
          <t>2018</t>
        </is>
      </c>
      <c r="D341" t="inlineStr">
        <is>
          <t>Blu-ray</t>
        </is>
      </c>
      <c r="E341" t="inlineStr">
        <is>
          <t>Wreck-It Ralph</t>
        </is>
      </c>
      <c r="F341" s="64" t="n"/>
      <c r="I341" s="64" t="n"/>
      <c r="J341" s="64" t="inlineStr">
        <is>
          <t>Phil Johnston, Rich Moore</t>
        </is>
      </c>
      <c r="K341" s="64" t="n">
        <v>112</v>
      </c>
      <c r="L341" s="64" t="inlineStr">
        <is>
          <t>Family, Animation, Comedy, Adventure</t>
        </is>
      </c>
      <c r="M341" s="64" t="inlineStr">
        <is>
          <t>Walt Disney Pictures, Walt Disney Animation Studios</t>
        </is>
      </c>
      <c r="N341" s="64" t="inlineStr">
        <is>
          <t>https://huggingface.co/datasets/HenryWaltson/TMDB-IMDB-Movies-Dataset</t>
        </is>
      </c>
      <c r="O341" s="64" t="inlineStr">
        <is>
          <t>https://huggingface.co/datasets/HenryWaltson/TMDB-IMDB-Movies-Dataset</t>
        </is>
      </c>
      <c r="P341" t="inlineStr">
        <is>
          <t>John C. Reilly</t>
        </is>
      </c>
      <c r="Q341" t="inlineStr">
        <is>
          <t>Sarah Silverman</t>
        </is>
      </c>
      <c r="R341" t="inlineStr">
        <is>
          <t>Gal Gadot</t>
        </is>
      </c>
      <c r="S341" t="inlineStr">
        <is>
          <t>Taraji P. Henson</t>
        </is>
      </c>
      <c r="T341" t="inlineStr">
        <is>
          <t>Bill Hader</t>
        </is>
      </c>
      <c r="U341" s="71" t="n">
        <v>1</v>
      </c>
      <c r="V341" s="71" t="n">
        <v>0</v>
      </c>
      <c r="X341" s="82">
        <f>IFERROR(INDEX(Ratings!$E$5:$E$500,MATCH(A341,Ratings!$A$5:$A$500,0)),"")</f>
        <v/>
      </c>
      <c r="Y341" s="71">
        <f>IFERROR(INDEX(Ratings!$G$5:$G$500,MATCH(A341,Ratings!$A$5:$A$500,0)),"")</f>
        <v/>
      </c>
      <c r="Z341" s="83">
        <f>IFERROR(INDEX(Ratings!$I$5:$I$500,MATCH(A341,Ratings!$A$5:$A$500,0)),"")</f>
        <v/>
      </c>
    </row>
    <row r="342" ht="15.75" customHeight="1" s="95">
      <c r="A342" t="inlineStr">
        <is>
          <t>F0338</t>
        </is>
      </c>
      <c r="B342" t="inlineStr">
        <is>
          <t>Wonka</t>
        </is>
      </c>
      <c r="C342" s="63" t="inlineStr">
        <is>
          <t>2023</t>
        </is>
      </c>
      <c r="D342" t="inlineStr">
        <is>
          <t>Blu-ray</t>
        </is>
      </c>
      <c r="F342" s="64" t="n"/>
      <c r="I342" s="64" t="n"/>
      <c r="J342" s="64" t="inlineStr">
        <is>
          <t>Paul King</t>
        </is>
      </c>
      <c r="K342" s="64" t="n"/>
      <c r="L342" s="64" t="inlineStr">
        <is>
          <t>Adventure, Comedy, Family, Fantasy</t>
        </is>
      </c>
      <c r="M342" s="64" t="inlineStr">
        <is>
          <t>Warner Bros. Pictures, Heyday Films, Village Roadshow Pictures</t>
        </is>
      </c>
      <c r="N342" s="64" t="inlineStr">
        <is>
          <t>https://huggingface.co/datasets/HenryWaltson/TMDB-IMDB-Movies-Dataset</t>
        </is>
      </c>
      <c r="O342" s="64" t="inlineStr">
        <is>
          <t>https://huggingface.co/datasets/HenryWaltson/TMDB-IMDB-Movies-Dataset</t>
        </is>
      </c>
      <c r="P342" t="inlineStr">
        <is>
          <t>Timothée Chalamet</t>
        </is>
      </c>
      <c r="Q342" t="inlineStr">
        <is>
          <t>Calah Lane</t>
        </is>
      </c>
      <c r="R342" t="inlineStr">
        <is>
          <t>Keegan-Michael Key</t>
        </is>
      </c>
      <c r="S342" t="inlineStr">
        <is>
          <t>Hugh Grant</t>
        </is>
      </c>
      <c r="T342" t="inlineStr">
        <is>
          <t>Paterson Joseph</t>
        </is>
      </c>
      <c r="U342" s="71" t="n">
        <v>0</v>
      </c>
      <c r="V342" s="71" t="n">
        <v>0</v>
      </c>
      <c r="X342" s="82">
        <f>IFERROR(INDEX(Ratings!$E$5:$E$500,MATCH(A342,Ratings!$A$5:$A$500,0)),"")</f>
        <v/>
      </c>
      <c r="Y342" s="71">
        <f>IFERROR(INDEX(Ratings!$G$5:$G$500,MATCH(A342,Ratings!$A$5:$A$500,0)),"")</f>
        <v/>
      </c>
      <c r="Z342" s="83">
        <f>IFERROR(INDEX(Ratings!$I$5:$I$500,MATCH(A342,Ratings!$A$5:$A$500,0)),"")</f>
        <v/>
      </c>
    </row>
    <row r="343" ht="15.75" customHeight="1" s="95">
      <c r="A343" t="inlineStr">
        <is>
          <t>F0339</t>
        </is>
      </c>
      <c r="B343" t="inlineStr">
        <is>
          <t>Willy Wonka &amp; the Chocolate Factory</t>
        </is>
      </c>
      <c r="C343" s="63" t="inlineStr">
        <is>
          <t>1971</t>
        </is>
      </c>
      <c r="D343" t="inlineStr">
        <is>
          <t>Blu-ray</t>
        </is>
      </c>
      <c r="F343" s="64" t="n"/>
      <c r="I343" s="64" t="n"/>
      <c r="J343" s="64" t="inlineStr">
        <is>
          <t>Mel Stuart</t>
        </is>
      </c>
      <c r="K343" s="64" t="n">
        <v>99</v>
      </c>
      <c r="L343" s="64" t="inlineStr">
        <is>
          <t>Family, Fantasy, Comedy</t>
        </is>
      </c>
      <c r="M343" s="64" t="inlineStr">
        <is>
          <t>David L. Wolper Productions</t>
        </is>
      </c>
      <c r="N343" s="64" t="inlineStr">
        <is>
          <t>https://huggingface.co/datasets/HenryWaltson/TMDB-IMDB-Movies-Dataset</t>
        </is>
      </c>
      <c r="O343" s="64" t="inlineStr">
        <is>
          <t>https://huggingface.co/datasets/HenryWaltson/TMDB-IMDB-Movies-Dataset</t>
        </is>
      </c>
      <c r="P343" t="inlineStr">
        <is>
          <t>Gene Wilder</t>
        </is>
      </c>
      <c r="Q343" t="inlineStr">
        <is>
          <t>Peter Ostrum</t>
        </is>
      </c>
      <c r="R343" t="inlineStr">
        <is>
          <t>Jack Albertson</t>
        </is>
      </c>
      <c r="S343" t="inlineStr">
        <is>
          <t>Paris Themmen</t>
        </is>
      </c>
      <c r="T343" t="inlineStr">
        <is>
          <t>Nora Denney</t>
        </is>
      </c>
      <c r="U343" s="71" t="n">
        <v>1</v>
      </c>
      <c r="V343" s="71" t="n">
        <v>0</v>
      </c>
      <c r="X343" s="82">
        <f>IFERROR(INDEX(Ratings!$E$5:$E$500,MATCH(A343,Ratings!$A$5:$A$500,0)),"")</f>
        <v/>
      </c>
      <c r="Y343" s="71">
        <f>IFERROR(INDEX(Ratings!$G$5:$G$500,MATCH(A343,Ratings!$A$5:$A$500,0)),"")</f>
        <v/>
      </c>
      <c r="Z343" s="83">
        <f>IFERROR(INDEX(Ratings!$I$5:$I$500,MATCH(A343,Ratings!$A$5:$A$500,0)),"")</f>
        <v/>
      </c>
    </row>
    <row r="344" ht="15.75" customHeight="1" s="95">
      <c r="A344" t="inlineStr">
        <is>
          <t>F0340</t>
        </is>
      </c>
      <c r="B344" t="inlineStr">
        <is>
          <t>X-Men: First Class</t>
        </is>
      </c>
      <c r="C344" s="63" t="inlineStr">
        <is>
          <t>2011</t>
        </is>
      </c>
      <c r="D344" t="inlineStr">
        <is>
          <t>Blu-ray</t>
        </is>
      </c>
      <c r="E344" t="inlineStr">
        <is>
          <t>X-Men</t>
        </is>
      </c>
      <c r="F344" s="64" t="n"/>
      <c r="I344" s="64" t="n"/>
      <c r="J344" s="64" t="inlineStr">
        <is>
          <t>Matthew Vaughn</t>
        </is>
      </c>
      <c r="K344" s="64" t="n">
        <v>132</v>
      </c>
      <c r="L344" s="64" t="inlineStr">
        <is>
          <t>Action, Science Fiction, Adventure</t>
        </is>
      </c>
      <c r="M344" s="64" t="inlineStr">
        <is>
          <t>The Donners' Company, Bad Hat Harry Productions, 20th Century Fox</t>
        </is>
      </c>
      <c r="N344" s="64" t="inlineStr">
        <is>
          <t>https://huggingface.co/datasets/HenryWaltson/TMDB-IMDB-Movies-Dataset</t>
        </is>
      </c>
      <c r="O344" s="64" t="inlineStr">
        <is>
          <t>https://huggingface.co/datasets/HenryWaltson/TMDB-IMDB-Movies-Dataset</t>
        </is>
      </c>
      <c r="P344" t="inlineStr">
        <is>
          <t>James McAvoy</t>
        </is>
      </c>
      <c r="Q344" t="inlineStr">
        <is>
          <t>Michael Fassbender</t>
        </is>
      </c>
      <c r="R344" t="inlineStr">
        <is>
          <t>Jennifer Lawrence</t>
        </is>
      </c>
      <c r="S344" t="inlineStr">
        <is>
          <t>Rose Byrne</t>
        </is>
      </c>
      <c r="T344" t="inlineStr">
        <is>
          <t>Kevin Bacon</t>
        </is>
      </c>
      <c r="U344" s="71" t="n">
        <v>0</v>
      </c>
      <c r="V344" s="71" t="n">
        <v>0</v>
      </c>
      <c r="X344" s="82">
        <f>IFERROR(INDEX(Ratings!$E$5:$E$500,MATCH(A344,Ratings!$A$5:$A$500,0)),"")</f>
        <v/>
      </c>
      <c r="Y344" s="71">
        <f>IFERROR(INDEX(Ratings!$G$5:$G$500,MATCH(A344,Ratings!$A$5:$A$500,0)),"")</f>
        <v/>
      </c>
      <c r="Z344" s="83">
        <f>IFERROR(INDEX(Ratings!$I$5:$I$500,MATCH(A344,Ratings!$A$5:$A$500,0)),"")</f>
        <v/>
      </c>
    </row>
    <row r="345" ht="15.75" customHeight="1" s="95">
      <c r="A345" t="inlineStr">
        <is>
          <t>F0341</t>
        </is>
      </c>
      <c r="B345" t="inlineStr">
        <is>
          <t>X-Men: Days of Future Past</t>
        </is>
      </c>
      <c r="C345" s="63" t="inlineStr">
        <is>
          <t>2014</t>
        </is>
      </c>
      <c r="D345" t="inlineStr">
        <is>
          <t>Blu-ray</t>
        </is>
      </c>
      <c r="E345" t="inlineStr">
        <is>
          <t>X-Men</t>
        </is>
      </c>
      <c r="F345" s="64" t="n"/>
      <c r="I345" s="64" t="n"/>
      <c r="J345" s="64" t="inlineStr">
        <is>
          <t>Bryan Singer</t>
        </is>
      </c>
      <c r="K345" s="64" t="n">
        <v>132</v>
      </c>
      <c r="L345" s="64" t="inlineStr">
        <is>
          <t>Action, Adventure, Science Fiction</t>
        </is>
      </c>
      <c r="M345" s="64" t="inlineStr">
        <is>
          <t>Bad Hat Harry Productions, The Donners' Company, Simon Kinberg Productions</t>
        </is>
      </c>
      <c r="N345" s="64" t="inlineStr">
        <is>
          <t>https://huggingface.co/datasets/HenryWaltson/TMDB-IMDB-Movies-Dataset</t>
        </is>
      </c>
      <c r="O345" s="64" t="inlineStr">
        <is>
          <t>https://huggingface.co/datasets/HenryWaltson/TMDB-IMDB-Movies-Dataset</t>
        </is>
      </c>
      <c r="P345" t="inlineStr">
        <is>
          <t>Hugh Jackman</t>
        </is>
      </c>
      <c r="Q345" t="inlineStr">
        <is>
          <t>James McAvoy</t>
        </is>
      </c>
      <c r="R345" t="inlineStr">
        <is>
          <t>Michael Fassbender</t>
        </is>
      </c>
      <c r="S345" t="inlineStr">
        <is>
          <t>Patrick Stewart</t>
        </is>
      </c>
      <c r="T345" t="inlineStr">
        <is>
          <t>Ian McKellen</t>
        </is>
      </c>
      <c r="U345" s="71" t="n">
        <v>1</v>
      </c>
      <c r="V345" s="71" t="n">
        <v>0</v>
      </c>
      <c r="X345" s="82">
        <f>IFERROR(INDEX(Ratings!$E$5:$E$500,MATCH(A345,Ratings!$A$5:$A$500,0)),"")</f>
        <v/>
      </c>
      <c r="Y345" s="71">
        <f>IFERROR(INDEX(Ratings!$G$5:$G$500,MATCH(A345,Ratings!$A$5:$A$500,0)),"")</f>
        <v/>
      </c>
      <c r="Z345" s="83">
        <f>IFERROR(INDEX(Ratings!$I$5:$I$500,MATCH(A345,Ratings!$A$5:$A$500,0)),"")</f>
        <v/>
      </c>
    </row>
    <row r="346" ht="15.75" customHeight="1" s="95">
      <c r="A346" t="inlineStr">
        <is>
          <t>F0342</t>
        </is>
      </c>
      <c r="B346" t="inlineStr">
        <is>
          <t>X-Men: Apocalypse</t>
        </is>
      </c>
      <c r="C346" s="63" t="inlineStr">
        <is>
          <t>2016</t>
        </is>
      </c>
      <c r="D346" t="inlineStr">
        <is>
          <t>Blu-ray</t>
        </is>
      </c>
      <c r="E346" t="inlineStr">
        <is>
          <t>X-Men</t>
        </is>
      </c>
      <c r="F346" s="64" t="n"/>
      <c r="I346" s="64" t="n"/>
      <c r="J346" s="64" t="inlineStr">
        <is>
          <t>Bryan Singer</t>
        </is>
      </c>
      <c r="K346" s="64" t="n">
        <v>144</v>
      </c>
      <c r="L346" s="64" t="inlineStr">
        <is>
          <t>Action, Adventure, Science Fiction, Fantasy</t>
        </is>
      </c>
      <c r="M346" s="64" t="inlineStr">
        <is>
          <t>The Donners' Company, Bad Hat Harry Productions, Genre Films</t>
        </is>
      </c>
      <c r="N346" s="64" t="inlineStr">
        <is>
          <t>https://huggingface.co/datasets/HenryWaltson/TMDB-IMDB-Movies-Dataset</t>
        </is>
      </c>
      <c r="O346" s="64" t="inlineStr">
        <is>
          <t>https://huggingface.co/datasets/HenryWaltson/TMDB-IMDB-Movies-Dataset</t>
        </is>
      </c>
      <c r="P346" t="inlineStr">
        <is>
          <t>James McAvoy</t>
        </is>
      </c>
      <c r="Q346" t="inlineStr">
        <is>
          <t>Michael Fassbender</t>
        </is>
      </c>
      <c r="R346" t="inlineStr">
        <is>
          <t>Jennifer Lawrence</t>
        </is>
      </c>
      <c r="S346" t="inlineStr">
        <is>
          <t>Nicholas Hoult</t>
        </is>
      </c>
      <c r="T346" t="inlineStr">
        <is>
          <t>Oscar Isaac</t>
        </is>
      </c>
      <c r="U346" s="71" t="n">
        <v>0</v>
      </c>
      <c r="V346" s="71" t="n">
        <v>0</v>
      </c>
      <c r="X346" s="82">
        <f>IFERROR(INDEX(Ratings!$E$5:$E$500,MATCH(A346,Ratings!$A$5:$A$500,0)),"")</f>
        <v/>
      </c>
      <c r="Y346" s="71">
        <f>IFERROR(INDEX(Ratings!$G$5:$G$500,MATCH(A346,Ratings!$A$5:$A$500,0)),"")</f>
        <v/>
      </c>
      <c r="Z346" s="83">
        <f>IFERROR(INDEX(Ratings!$I$5:$I$500,MATCH(A346,Ratings!$A$5:$A$500,0)),"")</f>
        <v/>
      </c>
    </row>
    <row r="347" ht="15.75" customHeight="1" s="95">
      <c r="A347" t="inlineStr">
        <is>
          <t>F0343</t>
        </is>
      </c>
      <c r="B347" t="inlineStr">
        <is>
          <t>X-Men Origins: Wolverine</t>
        </is>
      </c>
      <c r="C347" s="63" t="inlineStr">
        <is>
          <t>2009</t>
        </is>
      </c>
      <c r="D347" t="inlineStr">
        <is>
          <t>Blu-ray</t>
        </is>
      </c>
      <c r="E347" t="inlineStr">
        <is>
          <t>X-Men</t>
        </is>
      </c>
      <c r="F347" s="64" t="n"/>
      <c r="I347" s="64" t="n"/>
      <c r="J347" s="64" t="inlineStr">
        <is>
          <t>Gavin Hood</t>
        </is>
      </c>
      <c r="K347" s="64" t="n">
        <v>107</v>
      </c>
      <c r="L347" s="64" t="inlineStr">
        <is>
          <t>Adventure, Action, Thriller, Science Fiction</t>
        </is>
      </c>
      <c r="M347" s="64" t="inlineStr">
        <is>
          <t>The Donners' Company, Seed Productions, 20th Century Fox</t>
        </is>
      </c>
      <c r="N347" s="64" t="inlineStr">
        <is>
          <t>https://huggingface.co/datasets/HenryWaltson/TMDB-IMDB-Movies-Dataset</t>
        </is>
      </c>
      <c r="O347" s="64" t="inlineStr">
        <is>
          <t>https://huggingface.co/datasets/HenryWaltson/TMDB-IMDB-Movies-Dataset</t>
        </is>
      </c>
      <c r="P347" t="inlineStr">
        <is>
          <t>Hugh Jackman</t>
        </is>
      </c>
      <c r="Q347" t="inlineStr">
        <is>
          <t>Liev Schreiber</t>
        </is>
      </c>
      <c r="R347" t="inlineStr">
        <is>
          <t>Danny Huston</t>
        </is>
      </c>
      <c r="S347" t="inlineStr">
        <is>
          <t>Lynn Collins</t>
        </is>
      </c>
      <c r="T347" t="inlineStr">
        <is>
          <t>Kevin Durand</t>
        </is>
      </c>
      <c r="U347" s="71" t="n">
        <v>0</v>
      </c>
      <c r="V347" s="71" t="n">
        <v>0</v>
      </c>
      <c r="X347" s="82">
        <f>IFERROR(INDEX(Ratings!$E$5:$E$500,MATCH(A347,Ratings!$A$5:$A$500,0)),"")</f>
        <v/>
      </c>
      <c r="Y347" s="71">
        <f>IFERROR(INDEX(Ratings!$G$5:$G$500,MATCH(A347,Ratings!$A$5:$A$500,0)),"")</f>
        <v/>
      </c>
      <c r="Z347" s="83">
        <f>IFERROR(INDEX(Ratings!$I$5:$I$500,MATCH(A347,Ratings!$A$5:$A$500,0)),"")</f>
        <v/>
      </c>
    </row>
    <row r="348" ht="15.75" customHeight="1" s="95">
      <c r="A348" t="inlineStr">
        <is>
          <t>F0344</t>
        </is>
      </c>
      <c r="B348" t="inlineStr">
        <is>
          <t>X-Men</t>
        </is>
      </c>
      <c r="C348" s="63" t="inlineStr">
        <is>
          <t>2000</t>
        </is>
      </c>
      <c r="D348" t="inlineStr">
        <is>
          <t>Blu-ray</t>
        </is>
      </c>
      <c r="E348" t="inlineStr">
        <is>
          <t>X-Men</t>
        </is>
      </c>
      <c r="F348" s="64" t="inlineStr">
        <is>
          <t>X-Men Trilogy (Box Set)</t>
        </is>
      </c>
      <c r="I348" s="64" t="inlineStr">
        <is>
          <t>Owned via X-Men Trilogy (Box Set).</t>
        </is>
      </c>
      <c r="J348" s="64" t="inlineStr">
        <is>
          <t>Bryan Singer</t>
        </is>
      </c>
      <c r="K348" s="64" t="n">
        <v>104</v>
      </c>
      <c r="L348" s="64" t="inlineStr">
        <is>
          <t>Action, Science Fiction</t>
        </is>
      </c>
      <c r="M348" s="64" t="inlineStr">
        <is>
          <t>20th Century Fox, Marvel Entertainment</t>
        </is>
      </c>
      <c r="N348" s="64" t="inlineStr">
        <is>
          <t>https://huggingface.co/datasets/HenryWaltson/TMDB-IMDB-Movies-Dataset</t>
        </is>
      </c>
      <c r="O348" s="64" t="inlineStr">
        <is>
          <t>https://huggingface.co/datasets/HenryWaltson/TMDB-IMDB-Movies-Dataset</t>
        </is>
      </c>
      <c r="P348" t="inlineStr">
        <is>
          <t>Hugh Jackman</t>
        </is>
      </c>
      <c r="Q348" t="inlineStr">
        <is>
          <t>Patrick Stewart</t>
        </is>
      </c>
      <c r="R348" t="inlineStr">
        <is>
          <t>Ian McKellen</t>
        </is>
      </c>
      <c r="S348" t="inlineStr">
        <is>
          <t>Famke Janssen</t>
        </is>
      </c>
      <c r="T348" t="inlineStr">
        <is>
          <t>James Marsden</t>
        </is>
      </c>
      <c r="U348" s="71" t="n">
        <v>0</v>
      </c>
      <c r="V348" s="71" t="n">
        <v>0</v>
      </c>
      <c r="X348" s="82">
        <f>IFERROR(INDEX(Ratings!$E$5:$E$500,MATCH(A348,Ratings!$A$5:$A$500,0)),"")</f>
        <v/>
      </c>
      <c r="Y348" s="71">
        <f>IFERROR(INDEX(Ratings!$G$5:$G$500,MATCH(A348,Ratings!$A$5:$A$500,0)),"")</f>
        <v/>
      </c>
      <c r="Z348" s="83">
        <f>IFERROR(INDEX(Ratings!$I$5:$I$500,MATCH(A348,Ratings!$A$5:$A$500,0)),"")</f>
        <v/>
      </c>
    </row>
    <row r="349" ht="15.75" customHeight="1" s="95">
      <c r="A349" t="inlineStr">
        <is>
          <t>F0345</t>
        </is>
      </c>
      <c r="B349" t="inlineStr">
        <is>
          <t>X2: X-Men United</t>
        </is>
      </c>
      <c r="C349" s="63" t="inlineStr">
        <is>
          <t>2003</t>
        </is>
      </c>
      <c r="D349" t="inlineStr">
        <is>
          <t>Blu-ray</t>
        </is>
      </c>
      <c r="E349" t="inlineStr">
        <is>
          <t>X-Men</t>
        </is>
      </c>
      <c r="F349" s="64" t="inlineStr">
        <is>
          <t>X-Men Trilogy (Box Set)</t>
        </is>
      </c>
      <c r="I349" s="64" t="inlineStr">
        <is>
          <t>Owned via X-Men Trilogy (Box Set).</t>
        </is>
      </c>
      <c r="J349" s="64" t="inlineStr">
        <is>
          <t>Bryan Singer</t>
        </is>
      </c>
      <c r="K349" s="64" t="n">
        <v>133</v>
      </c>
      <c r="L349" s="64" t="inlineStr">
        <is>
          <t>Action, Science Fiction, Thriller</t>
        </is>
      </c>
      <c r="M349" s="64" t="inlineStr">
        <is>
          <t>20th Century Fox, Marvel Entertainment</t>
        </is>
      </c>
      <c r="N349" s="64" t="inlineStr">
        <is>
          <t>https://huggingface.co/datasets/HenryWaltson/TMDB-IMDB-Movies-Dataset</t>
        </is>
      </c>
      <c r="O349" s="64" t="inlineStr">
        <is>
          <t>https://huggingface.co/datasets/HenryWaltson/TMDB-IMDB-Movies-Dataset</t>
        </is>
      </c>
      <c r="P349" t="inlineStr">
        <is>
          <t>Patrick Stewart</t>
        </is>
      </c>
      <c r="Q349" t="inlineStr">
        <is>
          <t>Hugh Jackman</t>
        </is>
      </c>
      <c r="R349" t="inlineStr">
        <is>
          <t>Ian McKellen</t>
        </is>
      </c>
      <c r="S349" t="inlineStr">
        <is>
          <t>Halle Berry</t>
        </is>
      </c>
      <c r="T349" t="inlineStr">
        <is>
          <t>Famke Janssen</t>
        </is>
      </c>
      <c r="U349" s="71" t="n">
        <v>0</v>
      </c>
      <c r="V349" s="71" t="n">
        <v>0</v>
      </c>
      <c r="X349" s="82">
        <f>IFERROR(INDEX(Ratings!$E$5:$E$500,MATCH(A349,Ratings!$A$5:$A$500,0)),"")</f>
        <v/>
      </c>
      <c r="Y349" s="71">
        <f>IFERROR(INDEX(Ratings!$G$5:$G$500,MATCH(A349,Ratings!$A$5:$A$500,0)),"")</f>
        <v/>
      </c>
      <c r="Z349" s="83">
        <f>IFERROR(INDEX(Ratings!$I$5:$I$500,MATCH(A349,Ratings!$A$5:$A$500,0)),"")</f>
        <v/>
      </c>
    </row>
    <row r="350" ht="15.75" customHeight="1" s="95">
      <c r="A350" t="inlineStr">
        <is>
          <t>F0346</t>
        </is>
      </c>
      <c r="B350" t="inlineStr">
        <is>
          <t>X-Men: The Last Stand</t>
        </is>
      </c>
      <c r="C350" s="63" t="inlineStr">
        <is>
          <t>2006</t>
        </is>
      </c>
      <c r="D350" t="inlineStr">
        <is>
          <t>Blu-ray</t>
        </is>
      </c>
      <c r="E350" t="inlineStr">
        <is>
          <t>X-Men</t>
        </is>
      </c>
      <c r="F350" s="64" t="inlineStr">
        <is>
          <t>X-Men Trilogy (Box Set)</t>
        </is>
      </c>
      <c r="I350" s="64" t="inlineStr">
        <is>
          <t>Owned via X-Men Trilogy (Box Set).</t>
        </is>
      </c>
      <c r="J350" s="64" t="inlineStr">
        <is>
          <t>Brett Ratner</t>
        </is>
      </c>
      <c r="K350" s="64" t="n">
        <v>104</v>
      </c>
      <c r="L350" s="64" t="inlineStr">
        <is>
          <t>Action, Science Fiction, Thriller</t>
        </is>
      </c>
      <c r="M350" s="64" t="inlineStr">
        <is>
          <t>20th Century Fox, Marvel Entertainment</t>
        </is>
      </c>
      <c r="N350" s="64" t="inlineStr">
        <is>
          <t>https://huggingface.co/datasets/HenryWaltson/TMDB-IMDB-Movies-Dataset</t>
        </is>
      </c>
      <c r="O350" s="64" t="inlineStr">
        <is>
          <t>https://huggingface.co/datasets/HenryWaltson/TMDB-IMDB-Movies-Dataset</t>
        </is>
      </c>
      <c r="P350" t="inlineStr">
        <is>
          <t>Hugh Jackman</t>
        </is>
      </c>
      <c r="Q350" t="inlineStr">
        <is>
          <t>Halle Berry</t>
        </is>
      </c>
      <c r="R350" t="inlineStr">
        <is>
          <t>Ian McKellen</t>
        </is>
      </c>
      <c r="S350" t="inlineStr">
        <is>
          <t>Patrick Stewart</t>
        </is>
      </c>
      <c r="T350" t="inlineStr">
        <is>
          <t>Famke Janssen</t>
        </is>
      </c>
      <c r="U350" s="71" t="n">
        <v>0</v>
      </c>
      <c r="V350" s="71" t="n">
        <v>0</v>
      </c>
      <c r="X350" s="82">
        <f>IFERROR(INDEX(Ratings!$E$5:$E$500,MATCH(A350,Ratings!$A$5:$A$500,0)),"")</f>
        <v/>
      </c>
      <c r="Y350" s="71">
        <f>IFERROR(INDEX(Ratings!$G$5:$G$500,MATCH(A350,Ratings!$A$5:$A$500,0)),"")</f>
        <v/>
      </c>
      <c r="Z350" s="83">
        <f>IFERROR(INDEX(Ratings!$I$5:$I$500,MATCH(A350,Ratings!$A$5:$A$500,0)),"")</f>
        <v/>
      </c>
    </row>
    <row r="351" ht="15.75" customHeight="1" s="95">
      <c r="A351" t="inlineStr">
        <is>
          <t>F0347</t>
        </is>
      </c>
      <c r="B351" t="inlineStr">
        <is>
          <t>The Wolverine</t>
        </is>
      </c>
      <c r="C351" s="63" t="inlineStr">
        <is>
          <t>2013</t>
        </is>
      </c>
      <c r="D351" t="inlineStr">
        <is>
          <t>Blu-ray</t>
        </is>
      </c>
      <c r="E351" t="inlineStr">
        <is>
          <t>X-Men</t>
        </is>
      </c>
      <c r="F351" s="64" t="n"/>
      <c r="I351" s="64" t="n"/>
      <c r="J351" s="64" t="inlineStr">
        <is>
          <t>James Mangold</t>
        </is>
      </c>
      <c r="K351" s="64" t="n">
        <v>126</v>
      </c>
      <c r="L351" s="64" t="inlineStr">
        <is>
          <t>Action, Science Fiction, Adventure, Fantasy</t>
        </is>
      </c>
      <c r="M351" s="64" t="inlineStr">
        <is>
          <t>The Donners' Company, 20th Century Fox</t>
        </is>
      </c>
      <c r="N351" s="64" t="inlineStr">
        <is>
          <t>https://huggingface.co/datasets/HenryWaltson/TMDB-IMDB-Movies-Dataset</t>
        </is>
      </c>
      <c r="O351" s="64" t="inlineStr">
        <is>
          <t>https://huggingface.co/datasets/HenryWaltson/TMDB-IMDB-Movies-Dataset</t>
        </is>
      </c>
      <c r="P351" t="inlineStr">
        <is>
          <t>Hugh Jackman</t>
        </is>
      </c>
      <c r="Q351" t="inlineStr">
        <is>
          <t>Hiroyuki Sanada</t>
        </is>
      </c>
      <c r="R351" t="inlineStr">
        <is>
          <t>Tao Okamoto</t>
        </is>
      </c>
      <c r="S351" t="inlineStr">
        <is>
          <t>Rila Fukushima</t>
        </is>
      </c>
      <c r="T351" t="inlineStr">
        <is>
          <t>Famke Janssen</t>
        </is>
      </c>
      <c r="U351" s="71" t="n">
        <v>0</v>
      </c>
      <c r="V351" s="71" t="n">
        <v>0</v>
      </c>
      <c r="X351" s="82">
        <f>IFERROR(INDEX(Ratings!$E$5:$E$500,MATCH(A351,Ratings!$A$5:$A$500,0)),"")</f>
        <v/>
      </c>
      <c r="Y351" s="71">
        <f>IFERROR(INDEX(Ratings!$G$5:$G$500,MATCH(A351,Ratings!$A$5:$A$500,0)),"")</f>
        <v/>
      </c>
      <c r="Z351" s="83">
        <f>IFERROR(INDEX(Ratings!$I$5:$I$500,MATCH(A351,Ratings!$A$5:$A$500,0)),"")</f>
        <v/>
      </c>
    </row>
    <row r="352" ht="15.75" customHeight="1" s="95">
      <c r="A352" t="inlineStr">
        <is>
          <t>F0348</t>
        </is>
      </c>
      <c r="B352" t="inlineStr">
        <is>
          <t>Yogi Bear</t>
        </is>
      </c>
      <c r="C352" s="63" t="inlineStr">
        <is>
          <t>2010</t>
        </is>
      </c>
      <c r="D352" t="inlineStr">
        <is>
          <t>Blu-ray</t>
        </is>
      </c>
      <c r="F352" s="64" t="n"/>
      <c r="I352" s="64" t="n"/>
      <c r="J352" s="64" t="inlineStr">
        <is>
          <t>Eric Brevig</t>
        </is>
      </c>
      <c r="K352" s="64" t="n">
        <v>80</v>
      </c>
      <c r="L352" s="64" t="inlineStr">
        <is>
          <t>Comedy, Family, Animation, Adventure</t>
        </is>
      </c>
      <c r="M352" s="64" t="inlineStr">
        <is>
          <t>Sunswept Entertainment, De Line Pictures, Rhythm and Hues</t>
        </is>
      </c>
      <c r="N352" s="64" t="inlineStr">
        <is>
          <t>https://huggingface.co/datasets/HenryWaltson/TMDB-IMDB-Movies-Dataset</t>
        </is>
      </c>
      <c r="O352" s="64" t="inlineStr">
        <is>
          <t>https://huggingface.co/datasets/HenryWaltson/TMDB-IMDB-Movies-Dataset</t>
        </is>
      </c>
      <c r="P352" t="inlineStr">
        <is>
          <t>Dan Aykroyd</t>
        </is>
      </c>
      <c r="Q352" t="inlineStr">
        <is>
          <t>Justin Timberlake</t>
        </is>
      </c>
      <c r="R352" t="inlineStr">
        <is>
          <t>Anna Faris</t>
        </is>
      </c>
      <c r="S352" t="inlineStr">
        <is>
          <t>Tom Cavanagh</t>
        </is>
      </c>
      <c r="T352" t="inlineStr">
        <is>
          <t>T.J. Miller</t>
        </is>
      </c>
      <c r="U352" s="71" t="n">
        <v>0</v>
      </c>
      <c r="V352" s="71" t="n">
        <v>0</v>
      </c>
      <c r="X352" s="82">
        <f>IFERROR(INDEX(Ratings!$E$5:$E$500,MATCH(A352,Ratings!$A$5:$A$500,0)),"")</f>
        <v/>
      </c>
      <c r="Y352" s="71">
        <f>IFERROR(INDEX(Ratings!$G$5:$G$500,MATCH(A352,Ratings!$A$5:$A$500,0)),"")</f>
        <v/>
      </c>
      <c r="Z352" s="83">
        <f>IFERROR(INDEX(Ratings!$I$5:$I$500,MATCH(A352,Ratings!$A$5:$A$500,0)),"")</f>
        <v/>
      </c>
    </row>
    <row r="353" ht="15.75" customHeight="1" s="95">
      <c r="A353" t="inlineStr">
        <is>
          <t>F0349</t>
        </is>
      </c>
      <c r="B353" t="inlineStr">
        <is>
          <t>Zero Dark Thirty</t>
        </is>
      </c>
      <c r="C353" s="63" t="inlineStr">
        <is>
          <t>2012</t>
        </is>
      </c>
      <c r="D353" t="inlineStr">
        <is>
          <t>Blu-ray</t>
        </is>
      </c>
      <c r="F353" s="64" t="n"/>
      <c r="I353" s="64" t="n"/>
      <c r="J353" s="64" t="inlineStr">
        <is>
          <t>Kathryn Bigelow</t>
        </is>
      </c>
      <c r="K353" s="64" t="n">
        <v>157</v>
      </c>
      <c r="L353" s="64" t="inlineStr">
        <is>
          <t>Thriller, Drama, History</t>
        </is>
      </c>
      <c r="M353" s="64" t="inlineStr">
        <is>
          <t>Columbia Pictures, Annapurna Pictures, First Light</t>
        </is>
      </c>
      <c r="N353" s="64" t="inlineStr">
        <is>
          <t>https://huggingface.co/datasets/HenryWaltson/TMDB-IMDB-Movies-Dataset</t>
        </is>
      </c>
      <c r="O353" s="64" t="inlineStr">
        <is>
          <t>https://huggingface.co/datasets/HenryWaltson/TMDB-IMDB-Movies-Dataset</t>
        </is>
      </c>
      <c r="P353" t="inlineStr">
        <is>
          <t>Jessica Chastain</t>
        </is>
      </c>
      <c r="Q353" t="inlineStr">
        <is>
          <t>Jason Clarke</t>
        </is>
      </c>
      <c r="R353" t="inlineStr">
        <is>
          <t>Kyle Chandler</t>
        </is>
      </c>
      <c r="S353" t="inlineStr">
        <is>
          <t>Jennifer Ehle</t>
        </is>
      </c>
      <c r="T353" t="inlineStr">
        <is>
          <t>Mark Strong</t>
        </is>
      </c>
      <c r="U353" s="71" t="n">
        <v>5</v>
      </c>
      <c r="V353" s="71" t="n">
        <v>1</v>
      </c>
      <c r="W353" t="inlineStr">
        <is>
          <t>Nominated</t>
        </is>
      </c>
      <c r="X353" s="82">
        <f>IFERROR(INDEX(Ratings!$E$5:$E$500,MATCH(A353,Ratings!$A$5:$A$500,0)),"")</f>
        <v/>
      </c>
      <c r="Y353" s="71">
        <f>IFERROR(INDEX(Ratings!$G$5:$G$500,MATCH(A353,Ratings!$A$5:$A$500,0)),"")</f>
        <v/>
      </c>
      <c r="Z353" s="83">
        <f>IFERROR(INDEX(Ratings!$I$5:$I$500,MATCH(A353,Ratings!$A$5:$A$500,0)),"")</f>
        <v/>
      </c>
    </row>
    <row r="354" ht="15.75" customHeight="1" s="95">
      <c r="A354" s="65" t="inlineStr">
        <is>
          <t>F0350</t>
        </is>
      </c>
      <c r="B354" s="65" t="inlineStr">
        <is>
          <t>Zodiac</t>
        </is>
      </c>
      <c r="C354" s="69" t="inlineStr">
        <is>
          <t>2007</t>
        </is>
      </c>
      <c r="D354" s="65" t="inlineStr">
        <is>
          <t>Blu-ray</t>
        </is>
      </c>
      <c r="E354" s="65" t="n"/>
      <c r="F354" s="68" t="n"/>
      <c r="G354" s="65" t="n"/>
      <c r="H354" s="65" t="n"/>
      <c r="I354" s="68" t="n"/>
      <c r="J354" s="68" t="inlineStr">
        <is>
          <t>David Fincher</t>
        </is>
      </c>
      <c r="K354" s="68" t="n">
        <v>157</v>
      </c>
      <c r="L354" s="68" t="inlineStr">
        <is>
          <t>Crime, Drama, Mystery, Thriller</t>
        </is>
      </c>
      <c r="M354" s="68" t="inlineStr">
        <is>
          <t>Paramount, Phoenix Pictures, Warner Bros. Pictures</t>
        </is>
      </c>
      <c r="N354" s="68" t="inlineStr">
        <is>
          <t>https://huggingface.co/datasets/HenryWaltson/TMDB-IMDB-Movies-Dataset</t>
        </is>
      </c>
      <c r="O354" s="68" t="inlineStr">
        <is>
          <t>https://huggingface.co/datasets/HenryWaltson/TMDB-IMDB-Movies-Dataset</t>
        </is>
      </c>
      <c r="P354" s="65" t="inlineStr">
        <is>
          <t>Jake Gyllenhaal</t>
        </is>
      </c>
      <c r="Q354" s="65" t="inlineStr">
        <is>
          <t>Mark Ruffalo</t>
        </is>
      </c>
      <c r="R354" s="65" t="inlineStr">
        <is>
          <t>Anthony Edwards</t>
        </is>
      </c>
      <c r="S354" s="65" t="inlineStr">
        <is>
          <t>Robert Downey Jr.</t>
        </is>
      </c>
      <c r="T354" s="65" t="inlineStr">
        <is>
          <t>Chloë Sevigny</t>
        </is>
      </c>
      <c r="U354" s="72" t="n">
        <v>0</v>
      </c>
      <c r="V354" s="72" t="n">
        <v>0</v>
      </c>
      <c r="W354" s="65" t="n"/>
      <c r="X354" s="82">
        <f>IFERROR(INDEX(Ratings!$E$5:$E$500,MATCH(A354,Ratings!$A$5:$A$500,0)),"")</f>
        <v/>
      </c>
      <c r="Y354" s="71">
        <f>IFERROR(INDEX(Ratings!$G$5:$G$500,MATCH(A354,Ratings!$A$5:$A$500,0)),"")</f>
        <v/>
      </c>
      <c r="Z354" s="83">
        <f>IFERROR(INDEX(Ratings!$I$5:$I$500,MATCH(A354,Ratings!$A$5:$A$500,0)),"")</f>
        <v/>
      </c>
    </row>
    <row r="355" ht="15.75" customHeight="1" s="95">
      <c r="C355" s="3" t="n"/>
      <c r="D355" s="56" t="n"/>
      <c r="E355" s="56" t="n"/>
      <c r="F355" s="56" t="n"/>
      <c r="G355" s="56" t="n"/>
      <c r="H355" s="56" t="n"/>
    </row>
    <row r="356" ht="15.75" customHeight="1" s="95">
      <c r="C356" s="3" t="n"/>
      <c r="D356" s="56" t="n"/>
      <c r="E356" s="56" t="n"/>
      <c r="F356" s="56" t="n"/>
      <c r="G356" s="56" t="n"/>
      <c r="H356" s="56" t="n"/>
    </row>
    <row r="357" ht="15.75" customHeight="1" s="95">
      <c r="C357" s="3" t="n"/>
      <c r="D357" s="56" t="n"/>
      <c r="E357" s="56" t="n"/>
      <c r="F357" s="56" t="n"/>
      <c r="G357" s="56" t="n"/>
      <c r="H357" s="56" t="n"/>
    </row>
    <row r="358" ht="15.75" customHeight="1" s="95">
      <c r="C358" s="3" t="n"/>
      <c r="D358" s="56" t="n"/>
      <c r="E358" s="56" t="n"/>
      <c r="F358" s="56" t="n"/>
      <c r="G358" s="56" t="n"/>
      <c r="H358" s="56" t="n"/>
    </row>
    <row r="359" ht="15.75" customHeight="1" s="95">
      <c r="C359" s="3" t="n"/>
      <c r="D359" s="56" t="n"/>
      <c r="E359" s="56" t="n"/>
      <c r="F359" s="56" t="n"/>
      <c r="G359" s="56" t="n"/>
      <c r="H359" s="56" t="n"/>
    </row>
    <row r="360" ht="15.75" customHeight="1" s="95">
      <c r="C360" s="3" t="n"/>
      <c r="D360" s="56" t="n"/>
      <c r="E360" s="56" t="n"/>
      <c r="F360" s="56" t="n"/>
      <c r="G360" s="56" t="n"/>
      <c r="H360" s="56" t="n"/>
    </row>
    <row r="361" ht="15.75" customHeight="1" s="95">
      <c r="C361" s="3" t="n"/>
      <c r="D361" s="56" t="n"/>
      <c r="E361" s="56" t="n"/>
      <c r="F361" s="56" t="n"/>
      <c r="G361" s="56" t="n"/>
      <c r="H361" s="56" t="n"/>
    </row>
    <row r="362" ht="15.75" customHeight="1" s="95">
      <c r="C362" s="3" t="n"/>
      <c r="D362" s="56" t="n"/>
      <c r="E362" s="56" t="n"/>
      <c r="F362" s="56" t="n"/>
      <c r="G362" s="56" t="n"/>
      <c r="H362" s="56" t="n"/>
    </row>
    <row r="363" ht="15.75" customHeight="1" s="95">
      <c r="C363" s="3" t="n"/>
      <c r="D363" s="56" t="n"/>
      <c r="E363" s="56" t="n"/>
      <c r="F363" s="56" t="n"/>
      <c r="G363" s="56" t="n"/>
      <c r="H363" s="56" t="n"/>
    </row>
    <row r="364" ht="15.75" customHeight="1" s="95">
      <c r="C364" s="3" t="n"/>
      <c r="D364" s="56" t="n"/>
      <c r="E364" s="56" t="n"/>
      <c r="F364" s="56" t="n"/>
      <c r="G364" s="56" t="n"/>
      <c r="H364" s="56" t="n"/>
    </row>
    <row r="365" ht="15.75" customHeight="1" s="95">
      <c r="C365" s="3" t="n"/>
      <c r="D365" s="56" t="n"/>
      <c r="E365" s="56" t="n"/>
      <c r="F365" s="56" t="n"/>
      <c r="G365" s="56" t="n"/>
      <c r="H365" s="56" t="n"/>
    </row>
    <row r="366" ht="15.75" customHeight="1" s="95">
      <c r="C366" s="3" t="n"/>
      <c r="D366" s="56" t="n"/>
      <c r="E366" s="56" t="n"/>
      <c r="F366" s="56" t="n"/>
      <c r="G366" s="56" t="n"/>
      <c r="H366" s="56" t="n"/>
    </row>
    <row r="367" ht="15.75" customHeight="1" s="95">
      <c r="C367" s="3" t="n"/>
      <c r="D367" s="56" t="n"/>
      <c r="E367" s="56" t="n"/>
      <c r="F367" s="56" t="n"/>
      <c r="G367" s="56" t="n"/>
      <c r="H367" s="56" t="n"/>
    </row>
    <row r="368" ht="15.75" customHeight="1" s="95">
      <c r="C368" s="3" t="n"/>
      <c r="D368" s="56" t="n"/>
      <c r="E368" s="56" t="n"/>
      <c r="F368" s="56" t="n"/>
      <c r="G368" s="56" t="n"/>
      <c r="H368" s="56" t="n"/>
    </row>
    <row r="369" ht="15.75" customHeight="1" s="95">
      <c r="C369" s="3" t="n"/>
      <c r="D369" s="56" t="n"/>
      <c r="E369" s="56" t="n"/>
      <c r="F369" s="56" t="n"/>
      <c r="G369" s="56" t="n"/>
      <c r="H369" s="56" t="n"/>
    </row>
    <row r="370" ht="15.75" customHeight="1" s="95">
      <c r="C370" s="3" t="n"/>
      <c r="D370" s="56" t="n"/>
      <c r="E370" s="56" t="n"/>
      <c r="F370" s="56" t="n"/>
      <c r="G370" s="56" t="n"/>
      <c r="H370" s="56" t="n"/>
    </row>
    <row r="371" ht="15.75" customHeight="1" s="95">
      <c r="C371" s="3" t="n"/>
      <c r="D371" s="56" t="n"/>
      <c r="E371" s="56" t="n"/>
      <c r="F371" s="56" t="n"/>
      <c r="G371" s="56" t="n"/>
      <c r="H371" s="56" t="n"/>
    </row>
    <row r="372" ht="15.75" customHeight="1" s="95">
      <c r="C372" s="3" t="n"/>
      <c r="D372" s="56" t="n"/>
      <c r="E372" s="56" t="n"/>
      <c r="F372" s="56" t="n"/>
      <c r="G372" s="56" t="n"/>
      <c r="H372" s="56" t="n"/>
    </row>
    <row r="373" ht="15.75" customHeight="1" s="95">
      <c r="C373" s="3" t="n"/>
      <c r="D373" s="56" t="n"/>
      <c r="E373" s="56" t="n"/>
      <c r="F373" s="56" t="n"/>
      <c r="G373" s="56" t="n"/>
      <c r="H373" s="56" t="n"/>
    </row>
    <row r="374" ht="15.75" customHeight="1" s="95">
      <c r="C374" s="3" t="n"/>
      <c r="D374" s="56" t="n"/>
      <c r="E374" s="56" t="n"/>
      <c r="F374" s="56" t="n"/>
      <c r="G374" s="56" t="n"/>
      <c r="H374" s="56" t="n"/>
    </row>
    <row r="375" ht="15.75" customHeight="1" s="95">
      <c r="C375" s="3" t="n"/>
      <c r="D375" s="56" t="n"/>
      <c r="E375" s="56" t="n"/>
      <c r="F375" s="56" t="n"/>
      <c r="G375" s="56" t="n"/>
      <c r="H375" s="56" t="n"/>
    </row>
    <row r="376" ht="15.75" customHeight="1" s="95">
      <c r="C376" s="3" t="n"/>
      <c r="D376" s="56" t="n"/>
      <c r="E376" s="56" t="n"/>
      <c r="F376" s="56" t="n"/>
      <c r="G376" s="56" t="n"/>
      <c r="H376" s="56" t="n"/>
    </row>
    <row r="377" ht="15.75" customHeight="1" s="95">
      <c r="C377" s="3" t="n"/>
      <c r="D377" s="56" t="n"/>
      <c r="E377" s="56" t="n"/>
      <c r="F377" s="56" t="n"/>
      <c r="G377" s="56" t="n"/>
      <c r="H377" s="56" t="n"/>
    </row>
    <row r="378" ht="15.75" customHeight="1" s="95">
      <c r="C378" s="3" t="n"/>
      <c r="D378" s="56" t="n"/>
      <c r="E378" s="56" t="n"/>
      <c r="F378" s="56" t="n"/>
      <c r="G378" s="56" t="n"/>
      <c r="H378" s="56" t="n"/>
    </row>
    <row r="379" ht="15.75" customHeight="1" s="95">
      <c r="C379" s="3" t="n"/>
      <c r="D379" s="56" t="n"/>
      <c r="E379" s="56" t="n"/>
      <c r="F379" s="56" t="n"/>
      <c r="G379" s="56" t="n"/>
      <c r="H379" s="56" t="n"/>
    </row>
    <row r="380" ht="15.75" customHeight="1" s="95">
      <c r="C380" s="3" t="n"/>
      <c r="D380" s="56" t="n"/>
      <c r="E380" s="56" t="n"/>
      <c r="F380" s="56" t="n"/>
      <c r="G380" s="56" t="n"/>
      <c r="H380" s="56" t="n"/>
    </row>
    <row r="381" ht="15.75" customHeight="1" s="95">
      <c r="C381" s="3" t="n"/>
      <c r="D381" s="56" t="n"/>
      <c r="E381" s="56" t="n"/>
      <c r="F381" s="56" t="n"/>
      <c r="G381" s="56" t="n"/>
      <c r="H381" s="56" t="n"/>
    </row>
    <row r="382" ht="15.75" customHeight="1" s="95">
      <c r="C382" s="3" t="n"/>
      <c r="D382" s="56" t="n"/>
      <c r="E382" s="56" t="n"/>
      <c r="F382" s="56" t="n"/>
      <c r="G382" s="56" t="n"/>
      <c r="H382" s="56" t="n"/>
    </row>
    <row r="383" ht="15.75" customHeight="1" s="95">
      <c r="C383" s="3" t="n"/>
      <c r="D383" s="56" t="n"/>
      <c r="E383" s="56" t="n"/>
      <c r="F383" s="56" t="n"/>
      <c r="G383" s="56" t="n"/>
      <c r="H383" s="56" t="n"/>
    </row>
    <row r="384" ht="15.75" customHeight="1" s="95">
      <c r="C384" s="3" t="n"/>
      <c r="D384" s="56" t="n"/>
      <c r="E384" s="56" t="n"/>
      <c r="F384" s="56" t="n"/>
      <c r="G384" s="56" t="n"/>
      <c r="H384" s="56" t="n"/>
    </row>
    <row r="385" ht="15.75" customHeight="1" s="95">
      <c r="C385" s="3" t="n"/>
      <c r="D385" s="56" t="n"/>
      <c r="E385" s="56" t="n"/>
      <c r="F385" s="56" t="n"/>
      <c r="G385" s="56" t="n"/>
      <c r="H385" s="56" t="n"/>
    </row>
    <row r="386" ht="15.75" customHeight="1" s="95">
      <c r="C386" s="3" t="n"/>
      <c r="D386" s="56" t="n"/>
      <c r="E386" s="56" t="n"/>
      <c r="F386" s="56" t="n"/>
      <c r="G386" s="56" t="n"/>
      <c r="H386" s="56" t="n"/>
    </row>
    <row r="387" ht="15.75" customHeight="1" s="95">
      <c r="C387" s="3" t="n"/>
      <c r="D387" s="56" t="n"/>
      <c r="E387" s="56" t="n"/>
      <c r="F387" s="56" t="n"/>
      <c r="G387" s="56" t="n"/>
      <c r="H387" s="56" t="n"/>
    </row>
    <row r="388" ht="15.75" customHeight="1" s="95">
      <c r="C388" s="3" t="n"/>
      <c r="D388" s="56" t="n"/>
      <c r="E388" s="56" t="n"/>
      <c r="F388" s="56" t="n"/>
      <c r="G388" s="56" t="n"/>
      <c r="H388" s="56" t="n"/>
    </row>
    <row r="389" ht="15.75" customHeight="1" s="95">
      <c r="C389" s="3" t="n"/>
      <c r="D389" s="56" t="n"/>
      <c r="E389" s="56" t="n"/>
      <c r="F389" s="56" t="n"/>
      <c r="G389" s="56" t="n"/>
      <c r="H389" s="56" t="n"/>
    </row>
    <row r="390" ht="15.75" customHeight="1" s="95">
      <c r="C390" s="3" t="n"/>
      <c r="D390" s="56" t="n"/>
      <c r="E390" s="56" t="n"/>
      <c r="F390" s="56" t="n"/>
      <c r="G390" s="56" t="n"/>
      <c r="H390" s="56" t="n"/>
    </row>
    <row r="391" ht="15.75" customHeight="1" s="95">
      <c r="C391" s="3" t="n"/>
      <c r="D391" s="56" t="n"/>
      <c r="E391" s="56" t="n"/>
      <c r="F391" s="56" t="n"/>
      <c r="G391" s="56" t="n"/>
      <c r="H391" s="56" t="n"/>
    </row>
    <row r="392" ht="15.75" customHeight="1" s="95">
      <c r="C392" s="3" t="n"/>
      <c r="D392" s="56" t="n"/>
      <c r="E392" s="56" t="n"/>
      <c r="F392" s="56" t="n"/>
      <c r="G392" s="56" t="n"/>
      <c r="H392" s="56" t="n"/>
    </row>
    <row r="393" ht="15.75" customHeight="1" s="95">
      <c r="C393" s="3" t="n"/>
      <c r="D393" s="56" t="n"/>
      <c r="E393" s="56" t="n"/>
      <c r="F393" s="56" t="n"/>
      <c r="G393" s="56" t="n"/>
      <c r="H393" s="56" t="n"/>
    </row>
    <row r="394" ht="15.75" customHeight="1" s="95">
      <c r="C394" s="3" t="n"/>
      <c r="D394" s="56" t="n"/>
      <c r="E394" s="56" t="n"/>
      <c r="F394" s="56" t="n"/>
      <c r="G394" s="56" t="n"/>
      <c r="H394" s="56" t="n"/>
    </row>
    <row r="395" ht="15.75" customHeight="1" s="95">
      <c r="C395" s="3" t="n"/>
      <c r="D395" s="56" t="n"/>
      <c r="E395" s="56" t="n"/>
      <c r="F395" s="56" t="n"/>
      <c r="G395" s="56" t="n"/>
      <c r="H395" s="56" t="n"/>
    </row>
    <row r="396" ht="15.75" customHeight="1" s="95">
      <c r="C396" s="3" t="n"/>
      <c r="D396" s="56" t="n"/>
      <c r="E396" s="56" t="n"/>
      <c r="F396" s="56" t="n"/>
      <c r="G396" s="56" t="n"/>
      <c r="H396" s="56" t="n"/>
    </row>
    <row r="397" ht="15.75" customHeight="1" s="95">
      <c r="C397" s="3" t="n"/>
      <c r="D397" s="56" t="n"/>
      <c r="E397" s="56" t="n"/>
      <c r="F397" s="56" t="n"/>
      <c r="G397" s="56" t="n"/>
      <c r="H397" s="56" t="n"/>
    </row>
    <row r="398" ht="15.75" customHeight="1" s="95">
      <c r="C398" s="3" t="n"/>
      <c r="D398" s="56" t="n"/>
      <c r="E398" s="56" t="n"/>
      <c r="F398" s="56" t="n"/>
      <c r="G398" s="56" t="n"/>
      <c r="H398" s="56" t="n"/>
    </row>
    <row r="399" ht="15.75" customHeight="1" s="95">
      <c r="C399" s="3" t="n"/>
      <c r="D399" s="56" t="n"/>
      <c r="E399" s="56" t="n"/>
      <c r="F399" s="56" t="n"/>
      <c r="G399" s="56" t="n"/>
      <c r="H399" s="56" t="n"/>
    </row>
    <row r="400" ht="15.75" customHeight="1" s="95">
      <c r="C400" s="3" t="n"/>
      <c r="D400" s="56" t="n"/>
      <c r="E400" s="56" t="n"/>
      <c r="F400" s="56" t="n"/>
      <c r="G400" s="56" t="n"/>
      <c r="H400" s="56" t="n"/>
    </row>
    <row r="401" ht="15.75" customHeight="1" s="95">
      <c r="C401" s="3" t="n"/>
      <c r="D401" s="56" t="n"/>
      <c r="E401" s="56" t="n"/>
      <c r="F401" s="56" t="n"/>
      <c r="G401" s="56" t="n"/>
      <c r="H401" s="56" t="n"/>
    </row>
    <row r="402" ht="15.75" customHeight="1" s="95">
      <c r="C402" s="3" t="n"/>
      <c r="D402" s="56" t="n"/>
      <c r="E402" s="56" t="n"/>
      <c r="F402" s="56" t="n"/>
      <c r="G402" s="56" t="n"/>
      <c r="H402" s="56" t="n"/>
    </row>
    <row r="403" ht="15.75" customHeight="1" s="95">
      <c r="C403" s="3" t="n"/>
      <c r="D403" s="56" t="n"/>
      <c r="E403" s="56" t="n"/>
      <c r="F403" s="56" t="n"/>
      <c r="G403" s="56" t="n"/>
      <c r="H403" s="56" t="n"/>
    </row>
    <row r="404" ht="15.75" customHeight="1" s="95">
      <c r="C404" s="3" t="n"/>
      <c r="D404" s="56" t="n"/>
      <c r="E404" s="56" t="n"/>
      <c r="F404" s="56" t="n"/>
      <c r="G404" s="56" t="n"/>
      <c r="H404" s="56" t="n"/>
    </row>
    <row r="405" ht="15.75" customHeight="1" s="95">
      <c r="C405" s="3" t="n"/>
      <c r="D405" s="56" t="n"/>
      <c r="E405" s="56" t="n"/>
      <c r="F405" s="56" t="n"/>
      <c r="G405" s="56" t="n"/>
      <c r="H405" s="56" t="n"/>
    </row>
    <row r="406" ht="15.75" customHeight="1" s="95">
      <c r="C406" s="3" t="n"/>
      <c r="D406" s="56" t="n"/>
      <c r="E406" s="56" t="n"/>
      <c r="F406" s="56" t="n"/>
      <c r="G406" s="56" t="n"/>
      <c r="H406" s="56" t="n"/>
    </row>
    <row r="407" ht="15.75" customHeight="1" s="95">
      <c r="C407" s="3" t="n"/>
      <c r="D407" s="56" t="n"/>
      <c r="E407" s="56" t="n"/>
      <c r="F407" s="56" t="n"/>
      <c r="G407" s="56" t="n"/>
      <c r="H407" s="56" t="n"/>
    </row>
    <row r="408" ht="15.75" customHeight="1" s="95">
      <c r="C408" s="3" t="n"/>
      <c r="D408" s="56" t="n"/>
      <c r="E408" s="56" t="n"/>
      <c r="F408" s="56" t="n"/>
      <c r="G408" s="56" t="n"/>
      <c r="H408" s="56" t="n"/>
    </row>
    <row r="409" ht="15.75" customHeight="1" s="95">
      <c r="C409" s="3" t="n"/>
      <c r="D409" s="56" t="n"/>
      <c r="E409" s="56" t="n"/>
      <c r="F409" s="56" t="n"/>
      <c r="G409" s="56" t="n"/>
      <c r="H409" s="56" t="n"/>
    </row>
    <row r="410" ht="15.75" customHeight="1" s="95">
      <c r="C410" s="3" t="n"/>
      <c r="D410" s="56" t="n"/>
      <c r="E410" s="56" t="n"/>
      <c r="F410" s="56" t="n"/>
      <c r="G410" s="56" t="n"/>
      <c r="H410" s="56" t="n"/>
    </row>
    <row r="411" ht="15.75" customHeight="1" s="95">
      <c r="C411" s="3" t="n"/>
      <c r="D411" s="56" t="n"/>
      <c r="E411" s="56" t="n"/>
      <c r="F411" s="56" t="n"/>
      <c r="G411" s="56" t="n"/>
      <c r="H411" s="56" t="n"/>
    </row>
    <row r="412" ht="15.75" customHeight="1" s="95">
      <c r="C412" s="3" t="n"/>
      <c r="D412" s="56" t="n"/>
      <c r="E412" s="56" t="n"/>
      <c r="F412" s="56" t="n"/>
      <c r="G412" s="56" t="n"/>
      <c r="H412" s="56" t="n"/>
    </row>
    <row r="413" ht="15.75" customHeight="1" s="95">
      <c r="C413" s="3" t="n"/>
      <c r="D413" s="56" t="n"/>
      <c r="E413" s="56" t="n"/>
      <c r="F413" s="56" t="n"/>
      <c r="G413" s="56" t="n"/>
      <c r="H413" s="56" t="n"/>
    </row>
    <row r="414" ht="15.75" customHeight="1" s="95">
      <c r="C414" s="3" t="n"/>
      <c r="D414" s="56" t="n"/>
      <c r="E414" s="56" t="n"/>
      <c r="F414" s="56" t="n"/>
      <c r="G414" s="56" t="n"/>
      <c r="H414" s="56" t="n"/>
    </row>
    <row r="415" ht="15.75" customHeight="1" s="95">
      <c r="C415" s="3" t="n"/>
      <c r="D415" s="56" t="n"/>
      <c r="E415" s="56" t="n"/>
      <c r="F415" s="56" t="n"/>
      <c r="G415" s="56" t="n"/>
      <c r="H415" s="56" t="n"/>
    </row>
    <row r="416" ht="15.75" customHeight="1" s="95">
      <c r="C416" s="3" t="n"/>
      <c r="D416" s="56" t="n"/>
      <c r="E416" s="56" t="n"/>
      <c r="F416" s="56" t="n"/>
      <c r="G416" s="56" t="n"/>
      <c r="H416" s="56" t="n"/>
    </row>
    <row r="417" ht="15.75" customHeight="1" s="95">
      <c r="C417" s="3" t="n"/>
      <c r="D417" s="56" t="n"/>
      <c r="E417" s="56" t="n"/>
      <c r="F417" s="56" t="n"/>
      <c r="G417" s="56" t="n"/>
      <c r="H417" s="56" t="n"/>
    </row>
    <row r="418" ht="15.75" customHeight="1" s="95">
      <c r="C418" s="3" t="n"/>
      <c r="D418" s="56" t="n"/>
      <c r="E418" s="56" t="n"/>
      <c r="F418" s="56" t="n"/>
      <c r="G418" s="56" t="n"/>
      <c r="H418" s="56" t="n"/>
    </row>
    <row r="419" ht="15.75" customHeight="1" s="95">
      <c r="C419" s="3" t="n"/>
      <c r="D419" s="56" t="n"/>
      <c r="E419" s="56" t="n"/>
      <c r="F419" s="56" t="n"/>
      <c r="G419" s="56" t="n"/>
      <c r="H419" s="56" t="n"/>
    </row>
    <row r="420" ht="15.75" customHeight="1" s="95">
      <c r="C420" s="3" t="n"/>
      <c r="D420" s="56" t="n"/>
      <c r="E420" s="56" t="n"/>
      <c r="F420" s="56" t="n"/>
      <c r="G420" s="56" t="n"/>
      <c r="H420" s="56" t="n"/>
    </row>
    <row r="421" ht="15.75" customHeight="1" s="95">
      <c r="C421" s="3" t="n"/>
      <c r="D421" s="56" t="n"/>
      <c r="E421" s="56" t="n"/>
      <c r="F421" s="56" t="n"/>
      <c r="G421" s="56" t="n"/>
      <c r="H421" s="56" t="n"/>
    </row>
    <row r="422" ht="15.75" customHeight="1" s="95">
      <c r="C422" s="3" t="n"/>
      <c r="D422" s="56" t="n"/>
      <c r="E422" s="56" t="n"/>
      <c r="F422" s="56" t="n"/>
      <c r="G422" s="56" t="n"/>
      <c r="H422" s="56" t="n"/>
    </row>
    <row r="423" ht="15.75" customHeight="1" s="95">
      <c r="C423" s="3" t="n"/>
      <c r="D423" s="56" t="n"/>
      <c r="E423" s="56" t="n"/>
      <c r="F423" s="56" t="n"/>
      <c r="G423" s="56" t="n"/>
      <c r="H423" s="56" t="n"/>
    </row>
    <row r="424" ht="15.75" customHeight="1" s="95">
      <c r="C424" s="3" t="n"/>
      <c r="D424" s="56" t="n"/>
      <c r="E424" s="56" t="n"/>
      <c r="F424" s="56" t="n"/>
      <c r="G424" s="56" t="n"/>
      <c r="H424" s="56" t="n"/>
    </row>
    <row r="425" ht="15.75" customHeight="1" s="95">
      <c r="C425" s="3" t="n"/>
      <c r="D425" s="56" t="n"/>
      <c r="E425" s="56" t="n"/>
      <c r="F425" s="56" t="n"/>
      <c r="G425" s="56" t="n"/>
      <c r="H425" s="56" t="n"/>
    </row>
    <row r="426" ht="15.75" customHeight="1" s="95">
      <c r="C426" s="3" t="n"/>
      <c r="D426" s="56" t="n"/>
      <c r="E426" s="56" t="n"/>
      <c r="F426" s="56" t="n"/>
      <c r="G426" s="56" t="n"/>
      <c r="H426" s="56" t="n"/>
    </row>
    <row r="427" ht="15.75" customHeight="1" s="95">
      <c r="C427" s="3" t="n"/>
      <c r="D427" s="56" t="n"/>
      <c r="E427" s="56" t="n"/>
      <c r="F427" s="56" t="n"/>
      <c r="G427" s="56" t="n"/>
      <c r="H427" s="56" t="n"/>
    </row>
    <row r="428" ht="15.75" customHeight="1" s="95">
      <c r="C428" s="3" t="n"/>
      <c r="D428" s="56" t="n"/>
      <c r="E428" s="56" t="n"/>
      <c r="F428" s="56" t="n"/>
      <c r="G428" s="56" t="n"/>
      <c r="H428" s="56" t="n"/>
    </row>
    <row r="429" ht="15.75" customHeight="1" s="95">
      <c r="C429" s="3" t="n"/>
      <c r="D429" s="56" t="n"/>
      <c r="E429" s="56" t="n"/>
      <c r="F429" s="56" t="n"/>
      <c r="G429" s="56" t="n"/>
      <c r="H429" s="56" t="n"/>
    </row>
    <row r="430" ht="15.75" customHeight="1" s="95">
      <c r="C430" s="3" t="n"/>
      <c r="D430" s="56" t="n"/>
      <c r="E430" s="56" t="n"/>
      <c r="F430" s="56" t="n"/>
      <c r="G430" s="56" t="n"/>
      <c r="H430" s="56" t="n"/>
    </row>
    <row r="431" ht="15.75" customHeight="1" s="95">
      <c r="C431" s="3" t="n"/>
      <c r="D431" s="56" t="n"/>
      <c r="E431" s="56" t="n"/>
      <c r="F431" s="56" t="n"/>
      <c r="G431" s="56" t="n"/>
      <c r="H431" s="56" t="n"/>
    </row>
    <row r="432" ht="15.75" customHeight="1" s="95">
      <c r="C432" s="3" t="n"/>
      <c r="D432" s="56" t="n"/>
      <c r="E432" s="56" t="n"/>
      <c r="F432" s="56" t="n"/>
      <c r="G432" s="56" t="n"/>
      <c r="H432" s="56" t="n"/>
    </row>
    <row r="433" ht="15.75" customHeight="1" s="95">
      <c r="C433" s="3" t="n"/>
      <c r="D433" s="56" t="n"/>
      <c r="E433" s="56" t="n"/>
      <c r="F433" s="56" t="n"/>
      <c r="G433" s="56" t="n"/>
      <c r="H433" s="56" t="n"/>
    </row>
    <row r="434" ht="15.75" customHeight="1" s="95">
      <c r="C434" s="3" t="n"/>
      <c r="D434" s="56" t="n"/>
      <c r="E434" s="56" t="n"/>
      <c r="F434" s="56" t="n"/>
      <c r="G434" s="56" t="n"/>
      <c r="H434" s="56" t="n"/>
    </row>
    <row r="435" ht="15.75" customHeight="1" s="95">
      <c r="C435" s="3" t="n"/>
      <c r="D435" s="56" t="n"/>
      <c r="E435" s="56" t="n"/>
      <c r="F435" s="56" t="n"/>
      <c r="G435" s="56" t="n"/>
      <c r="H435" s="56" t="n"/>
    </row>
    <row r="436" ht="15.75" customHeight="1" s="95">
      <c r="C436" s="3" t="n"/>
      <c r="D436" s="56" t="n"/>
      <c r="E436" s="56" t="n"/>
      <c r="F436" s="56" t="n"/>
      <c r="G436" s="56" t="n"/>
      <c r="H436" s="56" t="n"/>
    </row>
    <row r="437" ht="15.75" customHeight="1" s="95">
      <c r="C437" s="3" t="n"/>
      <c r="D437" s="56" t="n"/>
      <c r="E437" s="56" t="n"/>
      <c r="F437" s="56" t="n"/>
      <c r="G437" s="56" t="n"/>
      <c r="H437" s="56" t="n"/>
    </row>
    <row r="438" ht="15.75" customHeight="1" s="95">
      <c r="C438" s="3" t="n"/>
      <c r="D438" s="56" t="n"/>
      <c r="E438" s="56" t="n"/>
      <c r="F438" s="56" t="n"/>
      <c r="G438" s="56" t="n"/>
      <c r="H438" s="56" t="n"/>
    </row>
    <row r="439" ht="15.75" customHeight="1" s="95">
      <c r="C439" s="3" t="n"/>
      <c r="D439" s="56" t="n"/>
      <c r="E439" s="56" t="n"/>
      <c r="F439" s="56" t="n"/>
      <c r="G439" s="56" t="n"/>
      <c r="H439" s="56" t="n"/>
    </row>
    <row r="440" ht="15.75" customHeight="1" s="95">
      <c r="C440" s="3" t="n"/>
      <c r="D440" s="56" t="n"/>
      <c r="E440" s="56" t="n"/>
      <c r="F440" s="56" t="n"/>
      <c r="G440" s="56" t="n"/>
      <c r="H440" s="56" t="n"/>
    </row>
    <row r="441" ht="15.75" customHeight="1" s="95">
      <c r="C441" s="3" t="n"/>
      <c r="D441" s="56" t="n"/>
      <c r="E441" s="56" t="n"/>
      <c r="F441" s="56" t="n"/>
      <c r="G441" s="56" t="n"/>
      <c r="H441" s="56" t="n"/>
    </row>
    <row r="442" ht="15.75" customHeight="1" s="95">
      <c r="C442" s="3" t="n"/>
      <c r="D442" s="56" t="n"/>
      <c r="E442" s="56" t="n"/>
      <c r="F442" s="56" t="n"/>
      <c r="G442" s="56" t="n"/>
      <c r="H442" s="56" t="n"/>
    </row>
    <row r="443" ht="15.75" customHeight="1" s="95">
      <c r="C443" s="3" t="n"/>
      <c r="D443" s="56" t="n"/>
      <c r="E443" s="56" t="n"/>
      <c r="F443" s="56" t="n"/>
      <c r="G443" s="56" t="n"/>
      <c r="H443" s="56" t="n"/>
    </row>
    <row r="444" ht="15.75" customHeight="1" s="95">
      <c r="C444" s="3" t="n"/>
      <c r="D444" s="56" t="n"/>
      <c r="E444" s="56" t="n"/>
      <c r="F444" s="56" t="n"/>
      <c r="G444" s="56" t="n"/>
      <c r="H444" s="56" t="n"/>
    </row>
    <row r="445" ht="15.75" customHeight="1" s="95">
      <c r="C445" s="3" t="n"/>
      <c r="D445" s="56" t="n"/>
      <c r="E445" s="56" t="n"/>
      <c r="F445" s="56" t="n"/>
      <c r="G445" s="56" t="n"/>
      <c r="H445" s="56" t="n"/>
    </row>
    <row r="446" ht="15.75" customHeight="1" s="95">
      <c r="C446" s="3" t="n"/>
      <c r="D446" s="56" t="n"/>
      <c r="E446" s="56" t="n"/>
      <c r="F446" s="56" t="n"/>
      <c r="G446" s="56" t="n"/>
      <c r="H446" s="56" t="n"/>
    </row>
    <row r="447" ht="15.75" customHeight="1" s="95">
      <c r="C447" s="3" t="n"/>
      <c r="D447" s="56" t="n"/>
      <c r="E447" s="56" t="n"/>
      <c r="F447" s="56" t="n"/>
      <c r="G447" s="56" t="n"/>
      <c r="H447" s="56" t="n"/>
    </row>
    <row r="448" ht="15.75" customHeight="1" s="95">
      <c r="C448" s="3" t="n"/>
      <c r="D448" s="56" t="n"/>
      <c r="E448" s="56" t="n"/>
      <c r="F448" s="56" t="n"/>
      <c r="G448" s="56" t="n"/>
      <c r="H448" s="56" t="n"/>
    </row>
    <row r="449" ht="15.75" customHeight="1" s="95">
      <c r="C449" s="3" t="n"/>
      <c r="D449" s="56" t="n"/>
      <c r="E449" s="56" t="n"/>
      <c r="F449" s="56" t="n"/>
      <c r="G449" s="56" t="n"/>
      <c r="H449" s="56" t="n"/>
    </row>
    <row r="450" ht="15.75" customHeight="1" s="95">
      <c r="C450" s="3" t="n"/>
      <c r="D450" s="56" t="n"/>
      <c r="E450" s="56" t="n"/>
      <c r="F450" s="56" t="n"/>
      <c r="G450" s="56" t="n"/>
      <c r="H450" s="56" t="n"/>
    </row>
    <row r="451" ht="15.75" customHeight="1" s="95">
      <c r="C451" s="3" t="n"/>
      <c r="D451" s="56" t="n"/>
      <c r="E451" s="56" t="n"/>
      <c r="F451" s="56" t="n"/>
      <c r="G451" s="56" t="n"/>
      <c r="H451" s="56" t="n"/>
    </row>
    <row r="452" ht="15.75" customHeight="1" s="95">
      <c r="C452" s="3" t="n"/>
      <c r="D452" s="56" t="n"/>
      <c r="E452" s="56" t="n"/>
      <c r="F452" s="56" t="n"/>
      <c r="G452" s="56" t="n"/>
      <c r="H452" s="56" t="n"/>
    </row>
    <row r="453" ht="15.75" customHeight="1" s="95">
      <c r="C453" s="3" t="n"/>
      <c r="D453" s="56" t="n"/>
      <c r="E453" s="56" t="n"/>
      <c r="F453" s="56" t="n"/>
      <c r="G453" s="56" t="n"/>
      <c r="H453" s="56" t="n"/>
    </row>
    <row r="454" ht="15.75" customHeight="1" s="95">
      <c r="C454" s="3" t="n"/>
      <c r="D454" s="56" t="n"/>
      <c r="E454" s="56" t="n"/>
      <c r="F454" s="56" t="n"/>
      <c r="G454" s="56" t="n"/>
      <c r="H454" s="56" t="n"/>
    </row>
    <row r="455" ht="15.75" customHeight="1" s="95">
      <c r="C455" s="3" t="n"/>
      <c r="D455" s="56" t="n"/>
      <c r="E455" s="56" t="n"/>
      <c r="F455" s="56" t="n"/>
      <c r="G455" s="56" t="n"/>
      <c r="H455" s="56" t="n"/>
    </row>
    <row r="456" ht="15.75" customHeight="1" s="95">
      <c r="C456" s="3" t="n"/>
      <c r="D456" s="56" t="n"/>
      <c r="E456" s="56" t="n"/>
      <c r="F456" s="56" t="n"/>
      <c r="G456" s="56" t="n"/>
      <c r="H456" s="56" t="n"/>
    </row>
    <row r="457" ht="15.75" customHeight="1" s="95">
      <c r="C457" s="3" t="n"/>
      <c r="D457" s="56" t="n"/>
      <c r="E457" s="56" t="n"/>
      <c r="F457" s="56" t="n"/>
      <c r="G457" s="56" t="n"/>
      <c r="H457" s="56" t="n"/>
    </row>
    <row r="458" ht="15.75" customHeight="1" s="95">
      <c r="C458" s="3" t="n"/>
      <c r="D458" s="56" t="n"/>
      <c r="E458" s="56" t="n"/>
      <c r="F458" s="56" t="n"/>
      <c r="G458" s="56" t="n"/>
      <c r="H458" s="56" t="n"/>
    </row>
    <row r="459" ht="15.75" customHeight="1" s="95">
      <c r="C459" s="3" t="n"/>
      <c r="D459" s="56" t="n"/>
      <c r="E459" s="56" t="n"/>
      <c r="F459" s="56" t="n"/>
      <c r="G459" s="56" t="n"/>
      <c r="H459" s="56" t="n"/>
    </row>
    <row r="460" ht="15.75" customHeight="1" s="95">
      <c r="C460" s="3" t="n"/>
      <c r="D460" s="56" t="n"/>
      <c r="E460" s="56" t="n"/>
      <c r="F460" s="56" t="n"/>
      <c r="G460" s="56" t="n"/>
      <c r="H460" s="56" t="n"/>
    </row>
    <row r="461" ht="15.75" customHeight="1" s="95">
      <c r="C461" s="3" t="n"/>
      <c r="D461" s="56" t="n"/>
      <c r="E461" s="56" t="n"/>
      <c r="F461" s="56" t="n"/>
      <c r="G461" s="56" t="n"/>
      <c r="H461" s="56" t="n"/>
    </row>
    <row r="462" ht="15.75" customHeight="1" s="95">
      <c r="C462" s="3" t="n"/>
      <c r="D462" s="56" t="n"/>
      <c r="E462" s="56" t="n"/>
      <c r="F462" s="56" t="n"/>
      <c r="G462" s="56" t="n"/>
      <c r="H462" s="56" t="n"/>
    </row>
    <row r="463" ht="15.75" customHeight="1" s="95">
      <c r="C463" s="3" t="n"/>
      <c r="D463" s="56" t="n"/>
      <c r="E463" s="56" t="n"/>
      <c r="F463" s="56" t="n"/>
      <c r="G463" s="56" t="n"/>
      <c r="H463" s="56" t="n"/>
    </row>
    <row r="464" ht="15.75" customHeight="1" s="95">
      <c r="C464" s="3" t="n"/>
      <c r="D464" s="56" t="n"/>
      <c r="E464" s="56" t="n"/>
      <c r="F464" s="56" t="n"/>
      <c r="G464" s="56" t="n"/>
      <c r="H464" s="56" t="n"/>
    </row>
    <row r="465" ht="15.75" customHeight="1" s="95">
      <c r="C465" s="3" t="n"/>
      <c r="D465" s="56" t="n"/>
      <c r="E465" s="56" t="n"/>
      <c r="F465" s="56" t="n"/>
      <c r="G465" s="56" t="n"/>
      <c r="H465" s="56" t="n"/>
    </row>
    <row r="466" ht="15.75" customHeight="1" s="95">
      <c r="C466" s="3" t="n"/>
      <c r="D466" s="56" t="n"/>
      <c r="E466" s="56" t="n"/>
      <c r="F466" s="56" t="n"/>
      <c r="G466" s="56" t="n"/>
      <c r="H466" s="56" t="n"/>
    </row>
    <row r="467" ht="15.75" customHeight="1" s="95">
      <c r="C467" s="3" t="n"/>
      <c r="D467" s="56" t="n"/>
      <c r="E467" s="56" t="n"/>
      <c r="F467" s="56" t="n"/>
      <c r="G467" s="56" t="n"/>
      <c r="H467" s="56" t="n"/>
    </row>
    <row r="468" ht="15.75" customHeight="1" s="95">
      <c r="C468" s="3" t="n"/>
      <c r="D468" s="56" t="n"/>
      <c r="E468" s="56" t="n"/>
      <c r="F468" s="56" t="n"/>
      <c r="G468" s="56" t="n"/>
      <c r="H468" s="56" t="n"/>
    </row>
    <row r="469" ht="15.75" customHeight="1" s="95">
      <c r="C469" s="3" t="n"/>
      <c r="D469" s="56" t="n"/>
      <c r="E469" s="56" t="n"/>
      <c r="F469" s="56" t="n"/>
      <c r="G469" s="56" t="n"/>
      <c r="H469" s="56" t="n"/>
    </row>
    <row r="470" ht="15.75" customHeight="1" s="95">
      <c r="C470" s="3" t="n"/>
      <c r="D470" s="56" t="n"/>
      <c r="E470" s="56" t="n"/>
      <c r="F470" s="56" t="n"/>
      <c r="G470" s="56" t="n"/>
      <c r="H470" s="56" t="n"/>
    </row>
    <row r="471" ht="15.75" customHeight="1" s="95">
      <c r="C471" s="3" t="n"/>
      <c r="D471" s="56" t="n"/>
      <c r="E471" s="56" t="n"/>
      <c r="F471" s="56" t="n"/>
      <c r="G471" s="56" t="n"/>
      <c r="H471" s="56" t="n"/>
    </row>
    <row r="472" ht="15.75" customHeight="1" s="95">
      <c r="C472" s="3" t="n"/>
      <c r="D472" s="56" t="n"/>
      <c r="E472" s="56" t="n"/>
      <c r="F472" s="56" t="n"/>
      <c r="G472" s="56" t="n"/>
      <c r="H472" s="56" t="n"/>
    </row>
    <row r="473" ht="15.75" customHeight="1" s="95">
      <c r="C473" s="3" t="n"/>
      <c r="D473" s="56" t="n"/>
      <c r="E473" s="56" t="n"/>
      <c r="F473" s="56" t="n"/>
      <c r="G473" s="56" t="n"/>
      <c r="H473" s="56" t="n"/>
    </row>
    <row r="474" ht="15.75" customHeight="1" s="95">
      <c r="C474" s="3" t="n"/>
      <c r="D474" s="56" t="n"/>
      <c r="E474" s="56" t="n"/>
      <c r="F474" s="56" t="n"/>
      <c r="G474" s="56" t="n"/>
      <c r="H474" s="56" t="n"/>
    </row>
    <row r="475" ht="15.75" customHeight="1" s="95">
      <c r="C475" s="3" t="n"/>
      <c r="D475" s="56" t="n"/>
      <c r="E475" s="56" t="n"/>
      <c r="F475" s="56" t="n"/>
      <c r="G475" s="56" t="n"/>
      <c r="H475" s="56" t="n"/>
    </row>
    <row r="476" ht="15.75" customHeight="1" s="95">
      <c r="C476" s="3" t="n"/>
      <c r="D476" s="56" t="n"/>
      <c r="E476" s="56" t="n"/>
      <c r="F476" s="56" t="n"/>
      <c r="G476" s="56" t="n"/>
      <c r="H476" s="56" t="n"/>
    </row>
    <row r="477" ht="15.75" customHeight="1" s="95">
      <c r="C477" s="3" t="n"/>
      <c r="D477" s="56" t="n"/>
      <c r="E477" s="56" t="n"/>
      <c r="F477" s="56" t="n"/>
      <c r="G477" s="56" t="n"/>
      <c r="H477" s="56" t="n"/>
    </row>
    <row r="478" ht="15.75" customHeight="1" s="95">
      <c r="C478" s="3" t="n"/>
      <c r="D478" s="56" t="n"/>
      <c r="E478" s="56" t="n"/>
      <c r="F478" s="56" t="n"/>
      <c r="G478" s="56" t="n"/>
      <c r="H478" s="56" t="n"/>
    </row>
    <row r="479" ht="15.75" customHeight="1" s="95">
      <c r="C479" s="3" t="n"/>
      <c r="D479" s="56" t="n"/>
      <c r="E479" s="56" t="n"/>
      <c r="F479" s="56" t="n"/>
      <c r="G479" s="56" t="n"/>
      <c r="H479" s="56" t="n"/>
    </row>
    <row r="480" ht="15.75" customHeight="1" s="95">
      <c r="C480" s="3" t="n"/>
      <c r="D480" s="56" t="n"/>
      <c r="E480" s="56" t="n"/>
      <c r="F480" s="56" t="n"/>
      <c r="G480" s="56" t="n"/>
      <c r="H480" s="56" t="n"/>
    </row>
    <row r="481" ht="15.75" customHeight="1" s="95">
      <c r="C481" s="3" t="n"/>
      <c r="D481" s="56" t="n"/>
      <c r="E481" s="56" t="n"/>
      <c r="F481" s="56" t="n"/>
      <c r="G481" s="56" t="n"/>
      <c r="H481" s="56" t="n"/>
    </row>
    <row r="482" ht="15.75" customHeight="1" s="95">
      <c r="C482" s="3" t="n"/>
      <c r="D482" s="56" t="n"/>
      <c r="E482" s="56" t="n"/>
      <c r="F482" s="56" t="n"/>
      <c r="G482" s="56" t="n"/>
      <c r="H482" s="56" t="n"/>
    </row>
    <row r="483" ht="15.75" customHeight="1" s="95">
      <c r="C483" s="3" t="n"/>
      <c r="D483" s="56" t="n"/>
      <c r="E483" s="56" t="n"/>
      <c r="F483" s="56" t="n"/>
      <c r="G483" s="56" t="n"/>
      <c r="H483" s="56" t="n"/>
    </row>
    <row r="484" ht="15.75" customHeight="1" s="95">
      <c r="C484" s="3" t="n"/>
      <c r="D484" s="56" t="n"/>
      <c r="E484" s="56" t="n"/>
      <c r="F484" s="56" t="n"/>
      <c r="G484" s="56" t="n"/>
      <c r="H484" s="56" t="n"/>
    </row>
    <row r="485" ht="15.75" customHeight="1" s="95">
      <c r="C485" s="3" t="n"/>
      <c r="D485" s="56" t="n"/>
      <c r="E485" s="56" t="n"/>
      <c r="F485" s="56" t="n"/>
      <c r="G485" s="56" t="n"/>
      <c r="H485" s="56" t="n"/>
    </row>
    <row r="486" ht="15.75" customHeight="1" s="95">
      <c r="C486" s="3" t="n"/>
      <c r="D486" s="56" t="n"/>
      <c r="E486" s="56" t="n"/>
      <c r="F486" s="56" t="n"/>
      <c r="G486" s="56" t="n"/>
      <c r="H486" s="56" t="n"/>
    </row>
    <row r="487" ht="15.75" customHeight="1" s="95">
      <c r="C487" s="3" t="n"/>
      <c r="D487" s="56" t="n"/>
      <c r="E487" s="56" t="n"/>
      <c r="F487" s="56" t="n"/>
      <c r="G487" s="56" t="n"/>
      <c r="H487" s="56" t="n"/>
    </row>
    <row r="488" ht="15.75" customHeight="1" s="95">
      <c r="C488" s="3" t="n"/>
      <c r="D488" s="56" t="n"/>
      <c r="E488" s="56" t="n"/>
      <c r="F488" s="56" t="n"/>
      <c r="G488" s="56" t="n"/>
      <c r="H488" s="56" t="n"/>
    </row>
    <row r="489" ht="15.75" customHeight="1" s="95">
      <c r="C489" s="3" t="n"/>
      <c r="D489" s="56" t="n"/>
      <c r="E489" s="56" t="n"/>
      <c r="F489" s="56" t="n"/>
      <c r="G489" s="56" t="n"/>
      <c r="H489" s="56" t="n"/>
    </row>
    <row r="490" ht="15.75" customHeight="1" s="95">
      <c r="C490" s="3" t="n"/>
      <c r="D490" s="56" t="n"/>
      <c r="E490" s="56" t="n"/>
      <c r="F490" s="56" t="n"/>
      <c r="G490" s="56" t="n"/>
      <c r="H490" s="56" t="n"/>
    </row>
    <row r="491" ht="15.75" customHeight="1" s="95">
      <c r="C491" s="3" t="n"/>
      <c r="D491" s="56" t="n"/>
      <c r="E491" s="56" t="n"/>
      <c r="F491" s="56" t="n"/>
      <c r="G491" s="56" t="n"/>
      <c r="H491" s="56" t="n"/>
    </row>
    <row r="492" ht="15.75" customHeight="1" s="95">
      <c r="C492" s="3" t="n"/>
      <c r="D492" s="56" t="n"/>
      <c r="E492" s="56" t="n"/>
      <c r="F492" s="56" t="n"/>
      <c r="G492" s="56" t="n"/>
      <c r="H492" s="56" t="n"/>
    </row>
    <row r="493" ht="15.75" customHeight="1" s="95">
      <c r="C493" s="3" t="n"/>
      <c r="D493" s="56" t="n"/>
      <c r="E493" s="56" t="n"/>
      <c r="F493" s="56" t="n"/>
      <c r="G493" s="56" t="n"/>
      <c r="H493" s="56" t="n"/>
    </row>
    <row r="494" ht="15.75" customHeight="1" s="95">
      <c r="C494" s="3" t="n"/>
      <c r="D494" s="56" t="n"/>
      <c r="E494" s="56" t="n"/>
      <c r="F494" s="56" t="n"/>
      <c r="G494" s="56" t="n"/>
      <c r="H494" s="56" t="n"/>
    </row>
    <row r="495" ht="15.75" customHeight="1" s="95">
      <c r="C495" s="3" t="n"/>
      <c r="D495" s="56" t="n"/>
      <c r="E495" s="56" t="n"/>
      <c r="F495" s="56" t="n"/>
      <c r="G495" s="56" t="n"/>
      <c r="H495" s="56" t="n"/>
    </row>
    <row r="496" ht="15.75" customHeight="1" s="95">
      <c r="C496" s="3" t="n"/>
      <c r="D496" s="56" t="n"/>
      <c r="E496" s="56" t="n"/>
      <c r="F496" s="56" t="n"/>
      <c r="G496" s="56" t="n"/>
      <c r="H496" s="56" t="n"/>
    </row>
    <row r="497" ht="15.75" customHeight="1" s="95">
      <c r="C497" s="3" t="n"/>
      <c r="D497" s="56" t="n"/>
      <c r="E497" s="56" t="n"/>
      <c r="F497" s="56" t="n"/>
      <c r="G497" s="56" t="n"/>
      <c r="H497" s="56" t="n"/>
    </row>
    <row r="498" ht="15.75" customHeight="1" s="95">
      <c r="C498" s="3" t="n"/>
      <c r="D498" s="56" t="n"/>
      <c r="E498" s="56" t="n"/>
      <c r="F498" s="56" t="n"/>
      <c r="G498" s="56" t="n"/>
      <c r="H498" s="56" t="n"/>
    </row>
    <row r="499" ht="15.75" customHeight="1" s="95">
      <c r="C499" s="3" t="n"/>
      <c r="D499" s="56" t="n"/>
      <c r="E499" s="56" t="n"/>
      <c r="F499" s="56" t="n"/>
      <c r="G499" s="56" t="n"/>
      <c r="H499" s="56" t="n"/>
    </row>
    <row r="500" ht="15.75" customHeight="1" s="95">
      <c r="C500" s="3" t="n"/>
      <c r="D500" s="56" t="n"/>
      <c r="E500" s="56" t="n"/>
      <c r="F500" s="56" t="n"/>
      <c r="G500" s="56" t="n"/>
      <c r="H500" s="56" t="n"/>
    </row>
    <row r="501" ht="15.75" customHeight="1" s="95">
      <c r="A501" s="57" t="n"/>
      <c r="B501" s="58" t="n"/>
      <c r="C501" s="58" t="n"/>
      <c r="D501" s="58" t="n"/>
      <c r="E501" s="58" t="n"/>
      <c r="F501" s="58" t="n"/>
      <c r="G501" s="58" t="n"/>
      <c r="H501" s="59" t="n"/>
    </row>
    <row r="502" ht="15.75" customHeight="1" s="95">
      <c r="A502" s="57" t="n"/>
      <c r="B502" s="58" t="n"/>
      <c r="C502" s="58" t="n"/>
      <c r="D502" s="58" t="n"/>
      <c r="E502" s="58" t="n"/>
      <c r="F502" s="58" t="n"/>
      <c r="G502" s="58" t="n"/>
      <c r="H502" s="59" t="n"/>
    </row>
    <row r="503" ht="15.75" customHeight="1" s="95">
      <c r="A503" s="57" t="n"/>
      <c r="B503" s="58" t="n"/>
      <c r="C503" s="58" t="n"/>
      <c r="D503" s="58" t="n"/>
      <c r="E503" s="58" t="n"/>
      <c r="F503" s="58" t="n"/>
      <c r="G503" s="58" t="n"/>
      <c r="H503" s="59" t="n"/>
    </row>
    <row r="504" ht="15.75" customHeight="1" s="95">
      <c r="A504" s="60" t="n"/>
      <c r="B504" s="61" t="n"/>
      <c r="C504" s="61" t="n"/>
      <c r="D504" s="61" t="n"/>
      <c r="E504" s="61" t="n"/>
      <c r="F504" s="61" t="n"/>
      <c r="G504" s="61" t="n"/>
      <c r="H504" s="62" t="n"/>
    </row>
    <row r="505" ht="15.75" customHeight="1" s="95"/>
    <row r="506" ht="15.75" customHeight="1" s="95"/>
    <row r="507" ht="15.75" customHeight="1" s="95"/>
    <row r="508" ht="15.75" customHeight="1" s="95"/>
    <row r="509" ht="15.75" customHeight="1" s="95"/>
    <row r="510" ht="15.75" customHeight="1" s="95"/>
    <row r="511" ht="15.75" customHeight="1" s="95"/>
    <row r="512" ht="15.75" customHeight="1" s="95"/>
    <row r="513" ht="15.75" customHeight="1" s="95"/>
    <row r="514" ht="15.75" customHeight="1" s="95"/>
    <row r="515" ht="15.75" customHeight="1" s="95"/>
    <row r="516" ht="15.75" customHeight="1" s="95"/>
    <row r="517" ht="15.75" customHeight="1" s="95"/>
    <row r="518" ht="15.75" customHeight="1" s="95"/>
    <row r="519" ht="15.75" customHeight="1" s="95"/>
    <row r="520" ht="15.75" customHeight="1" s="95"/>
    <row r="521" ht="15.75" customHeight="1" s="95"/>
    <row r="522" ht="15.75" customHeight="1" s="95"/>
    <row r="523" ht="15.75" customHeight="1" s="95"/>
    <row r="524" ht="15.75" customHeight="1" s="95"/>
    <row r="525" ht="15.75" customHeight="1" s="95"/>
    <row r="526" ht="15.75" customHeight="1" s="95"/>
    <row r="527" ht="15.75" customHeight="1" s="95"/>
    <row r="528" ht="15.75" customHeight="1" s="95"/>
    <row r="529" ht="15.75" customHeight="1" s="95"/>
    <row r="530" ht="15.75" customHeight="1" s="95"/>
    <row r="531" ht="15.75" customHeight="1" s="95"/>
    <row r="532" ht="15.75" customHeight="1" s="95"/>
    <row r="533" ht="15.75" customHeight="1" s="95"/>
    <row r="534" ht="15.75" customHeight="1" s="95"/>
    <row r="535" ht="15.75" customHeight="1" s="95"/>
    <row r="536" ht="15.75" customHeight="1" s="95"/>
    <row r="537" ht="15.75" customHeight="1" s="95"/>
    <row r="538" ht="15.75" customHeight="1" s="95"/>
    <row r="539" ht="15.75" customHeight="1" s="95"/>
    <row r="540" ht="15.75" customHeight="1" s="95"/>
    <row r="541" ht="15.75" customHeight="1" s="95"/>
    <row r="542" ht="15.75" customHeight="1" s="95"/>
    <row r="543" ht="15.75" customHeight="1" s="95"/>
    <row r="544" ht="15.75" customHeight="1" s="95"/>
    <row r="545" ht="15.75" customHeight="1" s="95"/>
    <row r="546" ht="15.75" customHeight="1" s="95"/>
    <row r="547" ht="15.75" customHeight="1" s="95"/>
    <row r="548" ht="15.75" customHeight="1" s="95"/>
    <row r="549" ht="15.75" customHeight="1" s="95"/>
    <row r="550" ht="15.75" customHeight="1" s="95"/>
    <row r="551" ht="15.75" customHeight="1" s="95"/>
    <row r="552" ht="15.75" customHeight="1" s="95"/>
    <row r="553" ht="15.75" customHeight="1" s="95"/>
    <row r="554" ht="15.75" customHeight="1" s="95"/>
    <row r="555" ht="15.75" customHeight="1" s="95"/>
    <row r="556" ht="15.75" customHeight="1" s="95"/>
    <row r="557" ht="15.75" customHeight="1" s="95"/>
    <row r="558" ht="15.75" customHeight="1" s="95"/>
    <row r="559" ht="15.75" customHeight="1" s="95"/>
    <row r="560" ht="15.75" customHeight="1" s="95"/>
    <row r="561" ht="15.75" customHeight="1" s="95"/>
    <row r="562" ht="15.75" customHeight="1" s="95"/>
    <row r="563" ht="15.75" customHeight="1" s="95"/>
    <row r="564" ht="15.75" customHeight="1" s="95"/>
    <row r="565" ht="15.75" customHeight="1" s="95"/>
    <row r="566" ht="15.75" customHeight="1" s="95"/>
    <row r="567" ht="15.75" customHeight="1" s="95"/>
    <row r="568" ht="15.75" customHeight="1" s="95"/>
    <row r="569" ht="15.75" customHeight="1" s="95"/>
    <row r="570" ht="15.75" customHeight="1" s="95"/>
    <row r="571" ht="15.75" customHeight="1" s="95"/>
    <row r="572" ht="15.75" customHeight="1" s="95"/>
    <row r="573" ht="15.75" customHeight="1" s="95"/>
    <row r="574" ht="15.75" customHeight="1" s="95"/>
    <row r="575" ht="15.75" customHeight="1" s="95"/>
    <row r="576" ht="15.75" customHeight="1" s="95"/>
    <row r="577" ht="15.75" customHeight="1" s="95"/>
    <row r="578" ht="15.75" customHeight="1" s="95"/>
    <row r="579" ht="15.75" customHeight="1" s="95"/>
    <row r="580" ht="15.75" customHeight="1" s="95"/>
    <row r="581" ht="15.75" customHeight="1" s="95"/>
    <row r="582" ht="15.75" customHeight="1" s="95"/>
    <row r="583" ht="15.75" customHeight="1" s="95"/>
    <row r="584" ht="15.75" customHeight="1" s="95"/>
    <row r="585" ht="15.75" customHeight="1" s="95"/>
    <row r="586" ht="15.75" customHeight="1" s="95"/>
    <row r="587" ht="15.75" customHeight="1" s="95"/>
    <row r="588" ht="15.75" customHeight="1" s="95"/>
    <row r="589" ht="15.75" customHeight="1" s="95"/>
    <row r="590" ht="15.75" customHeight="1" s="95"/>
    <row r="591" ht="15.75" customHeight="1" s="95"/>
    <row r="592" ht="15.75" customHeight="1" s="95"/>
    <row r="593" ht="15.75" customHeight="1" s="95"/>
    <row r="594" ht="15.75" customHeight="1" s="95"/>
    <row r="595" ht="15.75" customHeight="1" s="95"/>
    <row r="596" ht="15.75" customHeight="1" s="95"/>
    <row r="597" ht="15.75" customHeight="1" s="95"/>
    <row r="598" ht="15.75" customHeight="1" s="95"/>
    <row r="599" ht="15.75" customHeight="1" s="95"/>
    <row r="600" ht="15.75" customHeight="1" s="95"/>
    <row r="601" ht="15.75" customHeight="1" s="95"/>
    <row r="602" ht="15.75" customHeight="1" s="95"/>
    <row r="603" ht="15.75" customHeight="1" s="95"/>
    <row r="604" ht="15.75" customHeight="1" s="95"/>
    <row r="605" ht="15.75" customHeight="1" s="95"/>
    <row r="606" ht="15.75" customHeight="1" s="95"/>
    <row r="607" ht="15.75" customHeight="1" s="95"/>
    <row r="608" ht="15.75" customHeight="1" s="95"/>
    <row r="609" ht="15.75" customHeight="1" s="95"/>
    <row r="610" ht="15.75" customHeight="1" s="95"/>
    <row r="611" ht="15.75" customHeight="1" s="95"/>
    <row r="612" ht="15.75" customHeight="1" s="95"/>
    <row r="613" ht="15.75" customHeight="1" s="95"/>
    <row r="614" ht="15.75" customHeight="1" s="95"/>
    <row r="615" ht="15.75" customHeight="1" s="95"/>
    <row r="616" ht="15.75" customHeight="1" s="95"/>
    <row r="617" ht="15.75" customHeight="1" s="95"/>
    <row r="618" ht="15.75" customHeight="1" s="95"/>
    <row r="619" ht="15.75" customHeight="1" s="95"/>
    <row r="620" ht="15.75" customHeight="1" s="95"/>
    <row r="621" ht="15.75" customHeight="1" s="95"/>
    <row r="622" ht="15.75" customHeight="1" s="95"/>
    <row r="623" ht="15.75" customHeight="1" s="95"/>
    <row r="624" ht="15.75" customHeight="1" s="95"/>
    <row r="625" ht="15.75" customHeight="1" s="95"/>
    <row r="626" ht="15.75" customHeight="1" s="95"/>
    <row r="627" ht="15.75" customHeight="1" s="95"/>
    <row r="628" ht="15.75" customHeight="1" s="95"/>
    <row r="629" ht="15.75" customHeight="1" s="95"/>
    <row r="630" ht="15.75" customHeight="1" s="95"/>
    <row r="631" ht="15.75" customHeight="1" s="95"/>
    <row r="632" ht="15.75" customHeight="1" s="95"/>
    <row r="633" ht="15.75" customHeight="1" s="95"/>
    <row r="634" ht="15.75" customHeight="1" s="95"/>
    <row r="635" ht="15.75" customHeight="1" s="95"/>
    <row r="636" ht="15.75" customHeight="1" s="95"/>
    <row r="637" ht="15.75" customHeight="1" s="95"/>
    <row r="638" ht="15.75" customHeight="1" s="95"/>
    <row r="639" ht="15.75" customHeight="1" s="95"/>
    <row r="640" ht="15.75" customHeight="1" s="95"/>
    <row r="641" ht="15.75" customHeight="1" s="95"/>
    <row r="642" ht="15.75" customHeight="1" s="95"/>
    <row r="643" ht="15.75" customHeight="1" s="95"/>
    <row r="644" ht="15.75" customHeight="1" s="95"/>
    <row r="645" ht="15.75" customHeight="1" s="95"/>
    <row r="646" ht="15.75" customHeight="1" s="95"/>
    <row r="647" ht="15.75" customHeight="1" s="95"/>
    <row r="648" ht="15.75" customHeight="1" s="95"/>
    <row r="649" ht="15.75" customHeight="1" s="95"/>
    <row r="650" ht="15.75" customHeight="1" s="95"/>
    <row r="651" ht="15.75" customHeight="1" s="95"/>
    <row r="652" ht="15.75" customHeight="1" s="95"/>
    <row r="653" ht="15.75" customHeight="1" s="95"/>
    <row r="654" ht="15.75" customHeight="1" s="95"/>
    <row r="655" ht="15.75" customHeight="1" s="95"/>
    <row r="656" ht="15.75" customHeight="1" s="95"/>
    <row r="657" ht="15.75" customHeight="1" s="95"/>
    <row r="658" ht="15.75" customHeight="1" s="95"/>
    <row r="659" ht="15.75" customHeight="1" s="95"/>
    <row r="660" ht="15.75" customHeight="1" s="95"/>
    <row r="661" ht="15.75" customHeight="1" s="95"/>
    <row r="662" ht="15.75" customHeight="1" s="95"/>
    <row r="663" ht="15.75" customHeight="1" s="95"/>
    <row r="664" ht="15.75" customHeight="1" s="95"/>
    <row r="665" ht="15.75" customHeight="1" s="95"/>
    <row r="666" ht="15.75" customHeight="1" s="95"/>
    <row r="667" ht="15.75" customHeight="1" s="95"/>
    <row r="668" ht="15.75" customHeight="1" s="95"/>
    <row r="669" ht="15.75" customHeight="1" s="95"/>
    <row r="670" ht="15.75" customHeight="1" s="95"/>
    <row r="671" ht="15.75" customHeight="1" s="95"/>
    <row r="672" ht="15.75" customHeight="1" s="95"/>
    <row r="673" ht="15.75" customHeight="1" s="95"/>
    <row r="674" ht="15.75" customHeight="1" s="95"/>
    <row r="675" ht="15.75" customHeight="1" s="95"/>
    <row r="676" ht="15.75" customHeight="1" s="95"/>
    <row r="677" ht="15.75" customHeight="1" s="95"/>
    <row r="678" ht="15.75" customHeight="1" s="95"/>
    <row r="679" ht="15.75" customHeight="1" s="95"/>
    <row r="680" ht="15.75" customHeight="1" s="95"/>
    <row r="681" ht="15.75" customHeight="1" s="95"/>
    <row r="682" ht="15.75" customHeight="1" s="95"/>
    <row r="683" ht="15.75" customHeight="1" s="95"/>
    <row r="684" ht="15.75" customHeight="1" s="95"/>
    <row r="685" ht="15.75" customHeight="1" s="95"/>
    <row r="686" ht="15.75" customHeight="1" s="95"/>
    <row r="687" ht="15.75" customHeight="1" s="95"/>
    <row r="688" ht="15.75" customHeight="1" s="95"/>
    <row r="689" ht="15.75" customHeight="1" s="95"/>
    <row r="690" ht="15.75" customHeight="1" s="95"/>
    <row r="691" ht="15.75" customHeight="1" s="95"/>
    <row r="692" ht="15.75" customHeight="1" s="95"/>
    <row r="693" ht="15.75" customHeight="1" s="95"/>
    <row r="694" ht="15.75" customHeight="1" s="95"/>
    <row r="695" ht="15.75" customHeight="1" s="95"/>
    <row r="696" ht="15.75" customHeight="1" s="95"/>
    <row r="697" ht="15.75" customHeight="1" s="95"/>
    <row r="698" ht="15.75" customHeight="1" s="95"/>
    <row r="699" ht="15.75" customHeight="1" s="95"/>
    <row r="700" ht="15.75" customHeight="1" s="95"/>
    <row r="701" ht="15.75" customHeight="1" s="95"/>
    <row r="702" ht="15.75" customHeight="1" s="95"/>
    <row r="703" ht="15.75" customHeight="1" s="95"/>
    <row r="704" ht="15.75" customHeight="1" s="95"/>
    <row r="705" ht="15.75" customHeight="1" s="95"/>
    <row r="706" ht="15.75" customHeight="1" s="95"/>
    <row r="707" ht="15.75" customHeight="1" s="95"/>
    <row r="708" ht="15.75" customHeight="1" s="95"/>
    <row r="709" ht="15.75" customHeight="1" s="95"/>
    <row r="710" ht="15.75" customHeight="1" s="95"/>
    <row r="711" ht="15.75" customHeight="1" s="95"/>
    <row r="712" ht="15.75" customHeight="1" s="95"/>
    <row r="713" ht="15.75" customHeight="1" s="95"/>
    <row r="714" ht="15.75" customHeight="1" s="95"/>
    <row r="715" ht="15.75" customHeight="1" s="95"/>
    <row r="716" ht="15.75" customHeight="1" s="95"/>
    <row r="717" ht="15.75" customHeight="1" s="95"/>
    <row r="718" ht="15.75" customHeight="1" s="95"/>
    <row r="719" ht="15.75" customHeight="1" s="95"/>
    <row r="720" ht="15.75" customHeight="1" s="95"/>
    <row r="721" ht="15.75" customHeight="1" s="95"/>
    <row r="722" ht="15.75" customHeight="1" s="95"/>
    <row r="723" ht="15.75" customHeight="1" s="95"/>
    <row r="724" ht="15.75" customHeight="1" s="95"/>
    <row r="725" ht="15.75" customHeight="1" s="95"/>
    <row r="726" ht="15.75" customHeight="1" s="95"/>
    <row r="727" ht="15.75" customHeight="1" s="95"/>
    <row r="728" ht="15.75" customHeight="1" s="95"/>
    <row r="729" ht="15.75" customHeight="1" s="95"/>
    <row r="730" ht="15.75" customHeight="1" s="95"/>
    <row r="731" ht="15.75" customHeight="1" s="95"/>
    <row r="732" ht="15.75" customHeight="1" s="95"/>
    <row r="733" ht="15.75" customHeight="1" s="95"/>
    <row r="734" ht="15.75" customHeight="1" s="95"/>
    <row r="735" ht="15.75" customHeight="1" s="95"/>
    <row r="736" ht="15.75" customHeight="1" s="95"/>
    <row r="737" ht="15.75" customHeight="1" s="95"/>
    <row r="738" ht="15.75" customHeight="1" s="95"/>
    <row r="739" ht="15.75" customHeight="1" s="95"/>
    <row r="740" ht="15.75" customHeight="1" s="95"/>
    <row r="741" ht="15.75" customHeight="1" s="95"/>
    <row r="742" ht="15.75" customHeight="1" s="95"/>
    <row r="743" ht="15.75" customHeight="1" s="95"/>
    <row r="744" ht="15.75" customHeight="1" s="95"/>
    <row r="745" ht="15.75" customHeight="1" s="95"/>
    <row r="746" ht="15.75" customHeight="1" s="95"/>
    <row r="747" ht="15.75" customHeight="1" s="95"/>
    <row r="748" ht="15.75" customHeight="1" s="95"/>
    <row r="749" ht="15.75" customHeight="1" s="95"/>
    <row r="750" ht="15.75" customHeight="1" s="95"/>
    <row r="751" ht="15.75" customHeight="1" s="95"/>
    <row r="752" ht="15.75" customHeight="1" s="95"/>
    <row r="753" ht="15.75" customHeight="1" s="95"/>
    <row r="754" ht="15.75" customHeight="1" s="95"/>
    <row r="755" ht="15.75" customHeight="1" s="95"/>
    <row r="756" ht="15.75" customHeight="1" s="95"/>
    <row r="757" ht="15.75" customHeight="1" s="95"/>
    <row r="758" ht="15.75" customHeight="1" s="95"/>
    <row r="759" ht="15.75" customHeight="1" s="95"/>
    <row r="760" ht="15.75" customHeight="1" s="95"/>
    <row r="761" ht="15.75" customHeight="1" s="95"/>
    <row r="762" ht="15.75" customHeight="1" s="95"/>
    <row r="763" ht="15.75" customHeight="1" s="95"/>
    <row r="764" ht="15.75" customHeight="1" s="95"/>
    <row r="765" ht="15.75" customHeight="1" s="95"/>
    <row r="766" ht="15.75" customHeight="1" s="95"/>
    <row r="767" ht="15.75" customHeight="1" s="95"/>
    <row r="768" ht="15.75" customHeight="1" s="95"/>
    <row r="769" ht="15.75" customHeight="1" s="95"/>
    <row r="770" ht="15.75" customHeight="1" s="95"/>
    <row r="771" ht="15.75" customHeight="1" s="95"/>
    <row r="772" ht="15.75" customHeight="1" s="95"/>
    <row r="773" ht="15.75" customHeight="1" s="95"/>
    <row r="774" ht="15.75" customHeight="1" s="95"/>
    <row r="775" ht="15.75" customHeight="1" s="95"/>
    <row r="776" ht="15.75" customHeight="1" s="95"/>
    <row r="777" ht="15.75" customHeight="1" s="95"/>
    <row r="778" ht="15.75" customHeight="1" s="95"/>
    <row r="779" ht="15.75" customHeight="1" s="95"/>
    <row r="780" ht="15.75" customHeight="1" s="95"/>
    <row r="781" ht="15.75" customHeight="1" s="95"/>
    <row r="782" ht="15.75" customHeight="1" s="95"/>
    <row r="783" ht="15.75" customHeight="1" s="95"/>
    <row r="784" ht="15.75" customHeight="1" s="95"/>
    <row r="785" ht="15.75" customHeight="1" s="95"/>
    <row r="786" ht="15.75" customHeight="1" s="95"/>
    <row r="787" ht="15.75" customHeight="1" s="95"/>
    <row r="788" ht="15.75" customHeight="1" s="95"/>
    <row r="789" ht="15.75" customHeight="1" s="95"/>
    <row r="790" ht="15.75" customHeight="1" s="95"/>
    <row r="791" ht="15.75" customHeight="1" s="95"/>
    <row r="792" ht="15.75" customHeight="1" s="95"/>
    <row r="793" ht="15.75" customHeight="1" s="95"/>
    <row r="794" ht="15.75" customHeight="1" s="95"/>
    <row r="795" ht="15.75" customHeight="1" s="95"/>
    <row r="796" ht="15.75" customHeight="1" s="95"/>
    <row r="797" ht="15.75" customHeight="1" s="95"/>
    <row r="798" ht="15.75" customHeight="1" s="95"/>
    <row r="799" ht="15.75" customHeight="1" s="95"/>
    <row r="800" ht="15.75" customHeight="1" s="95"/>
    <row r="801" ht="15.75" customHeight="1" s="95"/>
    <row r="802" ht="15.75" customHeight="1" s="95"/>
    <row r="803" ht="15.75" customHeight="1" s="95"/>
    <row r="804" ht="15.75" customHeight="1" s="95"/>
    <row r="805" ht="15.75" customHeight="1" s="95"/>
    <row r="806" ht="15.75" customHeight="1" s="95"/>
    <row r="807" ht="15.75" customHeight="1" s="95"/>
    <row r="808" ht="15.75" customHeight="1" s="95"/>
    <row r="809" ht="15.75" customHeight="1" s="95"/>
    <row r="810" ht="15.75" customHeight="1" s="95"/>
    <row r="811" ht="15.75" customHeight="1" s="95"/>
    <row r="812" ht="15.75" customHeight="1" s="95"/>
    <row r="813" ht="15.75" customHeight="1" s="95"/>
    <row r="814" ht="15.75" customHeight="1" s="95"/>
    <row r="815" ht="15.75" customHeight="1" s="95"/>
    <row r="816" ht="15.75" customHeight="1" s="95"/>
    <row r="817" ht="15.75" customHeight="1" s="95"/>
    <row r="818" ht="15.75" customHeight="1" s="95"/>
    <row r="819" ht="15.75" customHeight="1" s="95"/>
    <row r="820" ht="15.75" customHeight="1" s="95"/>
    <row r="821" ht="15.75" customHeight="1" s="95"/>
    <row r="822" ht="15.75" customHeight="1" s="95"/>
    <row r="823" ht="15.75" customHeight="1" s="95"/>
    <row r="824" ht="15.75" customHeight="1" s="95"/>
    <row r="825" ht="15.75" customHeight="1" s="95"/>
    <row r="826" ht="15.75" customHeight="1" s="95"/>
    <row r="827" ht="15.75" customHeight="1" s="95"/>
    <row r="828" ht="15.75" customHeight="1" s="95"/>
    <row r="829" ht="15.75" customHeight="1" s="95"/>
    <row r="830" ht="15.75" customHeight="1" s="95"/>
    <row r="831" ht="15.75" customHeight="1" s="95"/>
    <row r="832" ht="15.75" customHeight="1" s="95"/>
    <row r="833" ht="15.75" customHeight="1" s="95"/>
    <row r="834" ht="15.75" customHeight="1" s="95"/>
    <row r="835" ht="15.75" customHeight="1" s="95"/>
    <row r="836" ht="15.75" customHeight="1" s="95"/>
    <row r="837" ht="15.75" customHeight="1" s="95"/>
    <row r="838" ht="15.75" customHeight="1" s="95"/>
    <row r="839" ht="15.75" customHeight="1" s="95"/>
    <row r="840" ht="15.75" customHeight="1" s="95"/>
    <row r="841" ht="15.75" customHeight="1" s="95"/>
    <row r="842" ht="15.75" customHeight="1" s="95"/>
    <row r="843" ht="15.75" customHeight="1" s="95"/>
    <row r="844" ht="15.75" customHeight="1" s="95"/>
    <row r="845" ht="15.75" customHeight="1" s="95"/>
    <row r="846" ht="15.75" customHeight="1" s="95"/>
    <row r="847" ht="15.75" customHeight="1" s="95"/>
    <row r="848" ht="15.75" customHeight="1" s="95"/>
    <row r="849" ht="15.75" customHeight="1" s="95"/>
    <row r="850" ht="15.75" customHeight="1" s="95"/>
    <row r="851" ht="15.75" customHeight="1" s="95"/>
    <row r="852" ht="15.75" customHeight="1" s="95"/>
    <row r="853" ht="15.75" customHeight="1" s="95"/>
    <row r="854" ht="15.75" customHeight="1" s="95"/>
    <row r="855" ht="15.75" customHeight="1" s="95"/>
    <row r="856" ht="15.75" customHeight="1" s="95"/>
    <row r="857" ht="15.75" customHeight="1" s="95"/>
    <row r="858" ht="15.75" customHeight="1" s="95"/>
    <row r="859" ht="15.75" customHeight="1" s="95"/>
    <row r="860" ht="15.75" customHeight="1" s="95"/>
    <row r="861" ht="15.75" customHeight="1" s="95"/>
    <row r="862" ht="15.75" customHeight="1" s="95"/>
    <row r="863" ht="15.75" customHeight="1" s="95"/>
    <row r="864" ht="15.75" customHeight="1" s="95"/>
    <row r="865" ht="15.75" customHeight="1" s="95"/>
    <row r="866" ht="15.75" customHeight="1" s="95"/>
    <row r="867" ht="15.75" customHeight="1" s="95"/>
    <row r="868" ht="15.75" customHeight="1" s="95"/>
    <row r="869" ht="15.75" customHeight="1" s="95"/>
    <row r="870" ht="15.75" customHeight="1" s="95"/>
    <row r="871" ht="15.75" customHeight="1" s="95"/>
    <row r="872" ht="15.75" customHeight="1" s="95"/>
    <row r="873" ht="15.75" customHeight="1" s="95"/>
    <row r="874" ht="15.75" customHeight="1" s="95"/>
    <row r="875" ht="15.75" customHeight="1" s="95"/>
    <row r="876" ht="15.75" customHeight="1" s="95"/>
    <row r="877" ht="15.75" customHeight="1" s="95"/>
    <row r="878" ht="15.75" customHeight="1" s="95"/>
    <row r="879" ht="15.75" customHeight="1" s="95"/>
    <row r="880" ht="15.75" customHeight="1" s="95"/>
    <row r="881" ht="15.75" customHeight="1" s="95"/>
    <row r="882" ht="15.75" customHeight="1" s="95"/>
    <row r="883" ht="15.75" customHeight="1" s="95"/>
    <row r="884" ht="15.75" customHeight="1" s="95"/>
    <row r="885" ht="15.75" customHeight="1" s="95"/>
    <row r="886" ht="15.75" customHeight="1" s="95"/>
    <row r="887" ht="15.75" customHeight="1" s="95"/>
    <row r="888" ht="15.75" customHeight="1" s="95"/>
    <row r="889" ht="15.75" customHeight="1" s="95"/>
    <row r="890" ht="15.75" customHeight="1" s="95"/>
    <row r="891" ht="15.75" customHeight="1" s="95"/>
    <row r="892" ht="15.75" customHeight="1" s="95"/>
    <row r="893" ht="15.75" customHeight="1" s="95"/>
    <row r="894" ht="15.75" customHeight="1" s="95"/>
    <row r="895" ht="15.75" customHeight="1" s="95"/>
    <row r="896" ht="15.75" customHeight="1" s="95"/>
    <row r="897" ht="15.75" customHeight="1" s="95"/>
    <row r="898" ht="15.75" customHeight="1" s="95"/>
    <row r="899" ht="15.75" customHeight="1" s="95"/>
    <row r="900" ht="15.75" customHeight="1" s="95"/>
    <row r="901" ht="15.75" customHeight="1" s="95"/>
    <row r="902" ht="15.75" customHeight="1" s="95"/>
    <row r="903" ht="15.75" customHeight="1" s="95"/>
    <row r="904" ht="15.75" customHeight="1" s="95"/>
    <row r="905" ht="15.75" customHeight="1" s="95"/>
    <row r="906" ht="15.75" customHeight="1" s="95"/>
    <row r="907" ht="15.75" customHeight="1" s="95"/>
    <row r="908" ht="15.75" customHeight="1" s="95"/>
    <row r="909" ht="15.75" customHeight="1" s="95"/>
    <row r="910" ht="15.75" customHeight="1" s="95"/>
    <row r="911" ht="15.75" customHeight="1" s="95"/>
    <row r="912" ht="15.75" customHeight="1" s="95"/>
    <row r="913" ht="15.75" customHeight="1" s="95"/>
    <row r="914" ht="15.75" customHeight="1" s="95"/>
    <row r="915" ht="15.75" customHeight="1" s="95"/>
    <row r="916" ht="15.75" customHeight="1" s="95"/>
    <row r="917" ht="15.75" customHeight="1" s="95"/>
    <row r="918" ht="15.75" customHeight="1" s="95"/>
    <row r="919" ht="15.75" customHeight="1" s="95"/>
    <row r="920" ht="15.75" customHeight="1" s="95"/>
    <row r="921" ht="15.75" customHeight="1" s="95"/>
    <row r="922" ht="15.75" customHeight="1" s="95"/>
    <row r="923" ht="15.75" customHeight="1" s="95"/>
    <row r="924" ht="15.75" customHeight="1" s="95"/>
    <row r="925" ht="15.75" customHeight="1" s="95"/>
    <row r="926" ht="15.75" customHeight="1" s="95"/>
    <row r="927" ht="15.75" customHeight="1" s="95"/>
    <row r="928" ht="15.75" customHeight="1" s="95"/>
    <row r="929" ht="15.75" customHeight="1" s="95"/>
    <row r="930" ht="15.75" customHeight="1" s="95"/>
    <row r="931" ht="15.75" customHeight="1" s="95"/>
    <row r="932" ht="15.75" customHeight="1" s="95"/>
    <row r="933" ht="15.75" customHeight="1" s="95"/>
    <row r="934" ht="15.75" customHeight="1" s="95"/>
    <row r="935" ht="15.75" customHeight="1" s="95"/>
    <row r="936" ht="15.75" customHeight="1" s="95"/>
    <row r="937" ht="15.75" customHeight="1" s="95"/>
    <row r="938" ht="15.75" customHeight="1" s="95"/>
    <row r="939" ht="15.75" customHeight="1" s="95"/>
    <row r="940" ht="15.75" customHeight="1" s="95"/>
    <row r="941" ht="15.75" customHeight="1" s="95"/>
    <row r="942" ht="15.75" customHeight="1" s="95"/>
    <row r="943" ht="15.75" customHeight="1" s="95"/>
    <row r="944" ht="15.75" customHeight="1" s="95"/>
    <row r="945" ht="15.75" customHeight="1" s="95"/>
    <row r="946" ht="15.75" customHeight="1" s="95"/>
    <row r="947" ht="15.75" customHeight="1" s="95"/>
    <row r="948" ht="15.75" customHeight="1" s="95"/>
    <row r="949" ht="15.75" customHeight="1" s="95"/>
    <row r="950" ht="15.75" customHeight="1" s="95"/>
    <row r="951" ht="15.75" customHeight="1" s="95"/>
    <row r="952" ht="15.75" customHeight="1" s="95"/>
    <row r="953" ht="15.75" customHeight="1" s="95"/>
    <row r="954" ht="15.75" customHeight="1" s="95"/>
    <row r="955" ht="15.75" customHeight="1" s="95"/>
    <row r="956" ht="15.75" customHeight="1" s="95"/>
    <row r="957" ht="15.75" customHeight="1" s="95"/>
    <row r="958" ht="15.75" customHeight="1" s="95"/>
    <row r="959" ht="15.75" customHeight="1" s="95"/>
    <row r="960" ht="15.75" customHeight="1" s="95"/>
    <row r="961" ht="15.75" customHeight="1" s="95"/>
    <row r="962" ht="15.75" customHeight="1" s="95"/>
    <row r="963" ht="15.75" customHeight="1" s="95"/>
    <row r="964" ht="15.75" customHeight="1" s="95"/>
    <row r="965" ht="15.75" customHeight="1" s="95"/>
    <row r="966" ht="15.75" customHeight="1" s="95"/>
    <row r="967" ht="15.75" customHeight="1" s="95"/>
    <row r="968" ht="15.75" customHeight="1" s="95"/>
    <row r="969" ht="15.75" customHeight="1" s="95"/>
    <row r="970" ht="15.75" customHeight="1" s="95"/>
    <row r="971" ht="15.75" customHeight="1" s="95"/>
    <row r="972" ht="15.75" customHeight="1" s="95"/>
    <row r="973" ht="15.75" customHeight="1" s="95"/>
    <row r="974" ht="15.75" customHeight="1" s="95"/>
    <row r="975" ht="15.75" customHeight="1" s="95"/>
    <row r="976" ht="15.75" customHeight="1" s="95"/>
    <row r="977" ht="15.75" customHeight="1" s="95"/>
    <row r="978" ht="15.75" customHeight="1" s="95"/>
    <row r="979" ht="15.75" customHeight="1" s="95"/>
    <row r="980" ht="15.75" customHeight="1" s="95"/>
    <row r="981" ht="15.75" customHeight="1" s="95"/>
    <row r="982" ht="15.75" customHeight="1" s="95"/>
    <row r="983" ht="15.75" customHeight="1" s="95"/>
    <row r="984" ht="15.75" customHeight="1" s="95"/>
    <row r="985" ht="15.75" customHeight="1" s="95"/>
    <row r="986" ht="15.75" customHeight="1" s="95"/>
    <row r="987" ht="15.75" customHeight="1" s="95"/>
    <row r="988" ht="15.75" customHeight="1" s="95"/>
    <row r="989" ht="15.75" customHeight="1" s="95"/>
    <row r="990" ht="15.75" customHeight="1" s="95"/>
    <row r="991" ht="15.75" customHeight="1" s="95"/>
    <row r="992" ht="15.75" customHeight="1" s="95"/>
    <row r="993" ht="15.75" customHeight="1" s="95"/>
    <row r="994" ht="15.75" customHeight="1" s="95"/>
    <row r="995" ht="15.75" customHeight="1" s="95"/>
    <row r="996" ht="15.75" customHeight="1" s="95"/>
    <row r="997" ht="15.75" customHeight="1" s="95"/>
    <row r="998" ht="15.75" customHeight="1" s="95"/>
    <row r="999" ht="15.75" customHeight="1" s="95"/>
    <row r="1000" ht="15.75" customHeight="1" s="95"/>
  </sheetData>
  <mergeCells count="2">
    <mergeCell ref="A1:Z1"/>
    <mergeCell ref="A2:Z2"/>
  </mergeCells>
  <conditionalFormatting sqref="E5:E504">
    <cfRule type="expression" priority="1" dxfId="13">
      <formula>E5="Yes"</formula>
    </cfRule>
  </conditionalFormatting>
  <conditionalFormatting sqref="F5:F354">
    <cfRule type="expression" priority="5" dxfId="15">
      <formula>F5&lt;&gt;""</formula>
    </cfRule>
  </conditionalFormatting>
  <conditionalFormatting sqref="F5:F504">
    <cfRule type="colorScale" priority="2">
      <colorScale>
        <cfvo type="min"/>
        <cfvo type="percentile" val="50"/>
        <cfvo type="max"/>
        <color rgb="FFFCE8E6"/>
        <color rgb="FFFFF1B8"/>
        <color rgb="FFD9EAD3"/>
      </colorScale>
    </cfRule>
  </conditionalFormatting>
  <conditionalFormatting sqref="G5:G500">
    <cfRule type="expression" priority="3" dxfId="12">
      <formula>ISNUMBER(SEARCH("Best guess",G5))</formula>
    </cfRule>
    <cfRule type="expression" priority="4" dxfId="13">
      <formula>G5="Yes"</formula>
    </cfRule>
  </conditionalFormatting>
  <conditionalFormatting sqref="H5:H500">
    <cfRule type="colorScale" priority="7">
      <colorScale>
        <cfvo type="min"/>
        <cfvo type="percentile" val="50"/>
        <cfvo type="max"/>
        <color rgb="FFFCE8E6"/>
        <color rgb="FFFFF1B8"/>
        <color rgb="FFD9EAD3"/>
      </colorScale>
    </cfRule>
  </conditionalFormatting>
  <conditionalFormatting sqref="I5:I354">
    <cfRule type="expression" priority="6" dxfId="12">
      <formula>ISNUMBER(SEARCH("verify",I5))</formula>
    </cfRule>
  </conditionalFormatting>
  <conditionalFormatting sqref="V5:V354">
    <cfRule type="dataBar" priority="8">
      <dataBar>
        <cfvo type="min"/>
        <cfvo type="max"/>
        <color rgb="FFD7B56D"/>
      </dataBar>
    </cfRule>
  </conditionalFormatting>
  <conditionalFormatting sqref="W5:W354">
    <cfRule type="expression" priority="9" dxfId="4">
      <formula>W5="Winner"</formula>
    </cfRule>
    <cfRule type="expression" priority="10" dxfId="5">
      <formula>W5="Nominated"</formula>
    </cfRule>
  </conditionalFormatting>
  <conditionalFormatting sqref="X5:X354">
    <cfRule type="colorScale" priority="11">
      <colorScale>
        <cfvo type="min"/>
        <cfvo type="percentile" val="50"/>
        <cfvo type="max"/>
        <color rgb="FFFCE8E6"/>
        <color rgb="FFFFF1B8"/>
        <color rgb="FFD9EAD3"/>
      </colorScale>
    </cfRule>
  </conditionalFormatting>
  <conditionalFormatting sqref="Y5:Y354">
    <cfRule type="colorScale" priority="12">
      <colorScale>
        <cfvo type="min"/>
        <cfvo type="percentile" val="50"/>
        <cfvo type="max"/>
        <color rgb="FFFCE8E6"/>
        <color rgb="FFFFF1B8"/>
        <color rgb="FFD9EAD3"/>
      </colorScale>
    </cfRule>
  </conditionalFormatting>
  <conditionalFormatting sqref="Z5:Z354">
    <cfRule type="colorScale" priority="13">
      <colorScale>
        <cfvo type="min"/>
        <cfvo type="percentile" val="50"/>
        <cfvo type="max"/>
        <color rgb="FFFCE8E6"/>
        <color rgb="FFFFF1B8"/>
        <color rgb="FFD9EAD3"/>
      </colorScale>
    </cfRule>
  </conditionalFormatting>
  <dataValidations count="3">
    <dataValidation sqref="C5:D500 C501:C504" showDropDown="0" showInputMessage="0" showErrorMessage="0" allowBlank="1" type="list">
      <formula1>"Blu-ray,4K UHD,Steelbook,Blu-ray + DVD"</formula1>
    </dataValidation>
    <dataValidation sqref="F5:F504 H5:H500" showDropDown="0" showInputMessage="0" showErrorMessage="0" allowBlank="1" type="decimal">
      <formula1>1</formula1>
      <formula2>5</formula2>
    </dataValidation>
    <dataValidation sqref="E5:E504 G5:G500" showDropDown="0" showInputMessage="0" showErrorMessage="0" allowBlank="1" type="list">
      <formula1>"Yes,No"</formula1>
    </dataValidation>
  </dataValidations>
  <pageMargins left="0.7" right="0.7" top="0.75" bottom="0.75" header="0.3" footer="0.3"/>
</worksheet>
</file>

<file path=xl/worksheets/sheet3.xml><?xml version="1.0" encoding="utf-8"?>
<worksheet xmlns="http://schemas.openxmlformats.org/spreadsheetml/2006/main">
  <sheetPr>
    <outlinePr summaryBelow="1" summaryRight="1"/>
    <pageSetUpPr/>
  </sheetPr>
  <dimension ref="A1:I101"/>
  <sheetViews>
    <sheetView tabSelected="1" topLeftCell="A23" workbookViewId="0">
      <selection activeCell="L107" sqref="L107"/>
    </sheetView>
  </sheetViews>
  <sheetFormatPr baseColWidth="8" defaultColWidth="14.42578125" defaultRowHeight="15"/>
  <cols>
    <col width="42" customWidth="1" style="95" min="1" max="1"/>
    <col width="14" customWidth="1" style="95" min="2" max="3"/>
    <col width="15" customWidth="1" style="95" min="4" max="4"/>
    <col width="14" customWidth="1" style="95" min="5" max="7"/>
    <col width="8.7109375" customWidth="1" style="95" min="8" max="8"/>
    <col width="94" bestFit="1" customWidth="1" style="95" min="9" max="9"/>
  </cols>
  <sheetData>
    <row r="1" ht="23.25" customHeight="1" s="95">
      <c r="A1" s="101" t="inlineStr">
        <is>
          <t>🛒 WISHLIST &amp; NEXT BUYS</t>
        </is>
      </c>
    </row>
    <row r="2">
      <c r="A2" s="97" t="inlineStr">
        <is>
          <t>Your original wanted films plus recommendations based on the collection. Prices can be filled in as we hunt for bargains.</t>
        </is>
      </c>
    </row>
    <row r="4" ht="30" customHeight="1" s="95">
      <c r="A4" s="2" t="inlineStr">
        <is>
          <t>Title</t>
        </is>
      </c>
      <c r="B4" s="2" t="inlineStr">
        <is>
          <t>Type</t>
        </is>
      </c>
      <c r="C4" s="2" t="inlineStr">
        <is>
          <t>Priority (1-5)</t>
        </is>
      </c>
      <c r="D4" s="2" t="inlineStr">
        <is>
          <t>Target Price (£)</t>
        </is>
      </c>
      <c r="E4" s="2" t="inlineStr">
        <is>
          <t>Cheapest Found (£)</t>
        </is>
      </c>
      <c r="F4" s="2" t="inlineStr">
        <is>
          <t>Where</t>
        </is>
      </c>
      <c r="G4" s="2" t="inlineStr">
        <is>
          <t>Date Checked</t>
        </is>
      </c>
      <c r="H4" s="6" t="inlineStr">
        <is>
          <t>Already Owned?</t>
        </is>
      </c>
      <c r="I4" s="6" t="inlineStr">
        <is>
          <t>Notes</t>
        </is>
      </c>
    </row>
    <row r="5" ht="60" customHeight="1" s="95">
      <c r="A5" s="7" t="inlineStr">
        <is>
          <t>One Battle After Another</t>
        </is>
      </c>
      <c r="B5" s="7" t="inlineStr">
        <is>
          <t>Your list</t>
        </is>
      </c>
      <c r="C5" s="7" t="n">
        <v>5</v>
      </c>
      <c r="D5" s="8" t="n"/>
      <c r="E5" s="8" t="n"/>
      <c r="F5" s="7" t="n"/>
      <c r="G5" s="9" t="n"/>
      <c r="H5" s="1">
        <f>IF(A5="","",IF(COUNTIF(Collection!$B$5:$B$500,A5)&gt;0,"Yes","No"))</f>
        <v/>
      </c>
      <c r="I5" s="4" t="inlineStr">
        <is>
          <t>From your original wishlist</t>
        </is>
      </c>
    </row>
    <row r="6" ht="60" customHeight="1" s="95">
      <c r="A6" s="11" t="inlineStr">
        <is>
          <t>Everything Everywhere All at Once</t>
        </is>
      </c>
      <c r="B6" s="11" t="inlineStr">
        <is>
          <t>Your list</t>
        </is>
      </c>
      <c r="C6" s="11" t="n">
        <v>5</v>
      </c>
      <c r="D6" s="12" t="n"/>
      <c r="E6" s="12" t="n"/>
      <c r="F6" s="11" t="n"/>
      <c r="G6" s="14" t="n"/>
      <c r="H6" s="1">
        <f>IF(A6="","",IF(COUNTIF(Collection!$B$5:$B$500,A6)&gt;0,"Yes","No"))</f>
        <v/>
      </c>
      <c r="I6" s="4" t="inlineStr">
        <is>
          <t>From your original wishlist</t>
        </is>
      </c>
    </row>
    <row r="7" ht="60" customHeight="1" s="95">
      <c r="A7" s="11" t="inlineStr">
        <is>
          <t>CODA</t>
        </is>
      </c>
      <c r="B7" s="11" t="inlineStr">
        <is>
          <t>Your list</t>
        </is>
      </c>
      <c r="C7" s="11" t="n">
        <v>5</v>
      </c>
      <c r="D7" s="12" t="n"/>
      <c r="E7" s="12" t="n"/>
      <c r="F7" s="11" t="n"/>
      <c r="G7" s="14" t="n"/>
      <c r="H7" s="1">
        <f>IF(A7="","",IF(COUNTIF(Collection!$B$5:$B$500,A7)&gt;0,"Yes","No"))</f>
        <v/>
      </c>
      <c r="I7" s="4" t="inlineStr">
        <is>
          <t>From your original wishlist</t>
        </is>
      </c>
    </row>
    <row r="8" ht="60" customHeight="1" s="95">
      <c r="A8" s="11" t="inlineStr">
        <is>
          <t>Parasite</t>
        </is>
      </c>
      <c r="B8" s="11" t="inlineStr">
        <is>
          <t>Your list</t>
        </is>
      </c>
      <c r="C8" s="11" t="n">
        <v>5</v>
      </c>
      <c r="D8" s="12" t="n"/>
      <c r="E8" s="12" t="n"/>
      <c r="F8" s="11" t="n"/>
      <c r="G8" s="14" t="n"/>
      <c r="H8" s="1">
        <f>IF(A8="","",IF(COUNTIF(Collection!$B$5:$B$500,A8)&gt;0,"Yes","No"))</f>
        <v/>
      </c>
      <c r="I8" s="4" t="inlineStr">
        <is>
          <t>From your original wishlist</t>
        </is>
      </c>
    </row>
    <row r="9" ht="60" customHeight="1" s="95">
      <c r="A9" s="11" t="inlineStr">
        <is>
          <t>Green Book</t>
        </is>
      </c>
      <c r="B9" s="11" t="inlineStr">
        <is>
          <t>Your list</t>
        </is>
      </c>
      <c r="C9" s="11" t="n">
        <v>5</v>
      </c>
      <c r="D9" s="12" t="n"/>
      <c r="E9" s="12" t="n"/>
      <c r="F9" s="11" t="n"/>
      <c r="G9" s="14" t="n"/>
      <c r="H9" s="1">
        <f>IF(A9="","",IF(COUNTIF(Collection!$B$5:$B$500,A9)&gt;0,"Yes","No"))</f>
        <v/>
      </c>
      <c r="I9" s="4" t="inlineStr">
        <is>
          <t>From your original wishlist</t>
        </is>
      </c>
    </row>
    <row r="10" ht="60" customHeight="1" s="95">
      <c r="A10" s="11" t="inlineStr">
        <is>
          <t>The Shape of Water</t>
        </is>
      </c>
      <c r="B10" s="11" t="inlineStr">
        <is>
          <t>Your list</t>
        </is>
      </c>
      <c r="C10" s="11" t="n">
        <v>5</v>
      </c>
      <c r="D10" s="12" t="n"/>
      <c r="E10" s="12" t="n"/>
      <c r="F10" s="11" t="n"/>
      <c r="G10" s="14" t="n"/>
      <c r="H10" s="1">
        <f>IF(A10="","",IF(COUNTIF(Collection!$B$5:$B$500,A10)&gt;0,"Yes","No"))</f>
        <v/>
      </c>
      <c r="I10" s="4" t="inlineStr">
        <is>
          <t>From your original wishlist</t>
        </is>
      </c>
    </row>
    <row r="11" ht="60" customHeight="1" s="95">
      <c r="A11" s="11" t="inlineStr">
        <is>
          <t>Moonlight</t>
        </is>
      </c>
      <c r="B11" s="11" t="inlineStr">
        <is>
          <t>Your list</t>
        </is>
      </c>
      <c r="C11" s="11" t="n">
        <v>5</v>
      </c>
      <c r="D11" s="12" t="n"/>
      <c r="E11" s="12" t="n"/>
      <c r="F11" s="11" t="n"/>
      <c r="G11" s="14" t="n"/>
      <c r="H11" s="1">
        <f>IF(A11="","",IF(COUNTIF(Collection!$B$5:$B$500,A11)&gt;0,"Yes","No"))</f>
        <v/>
      </c>
      <c r="I11" s="4" t="inlineStr">
        <is>
          <t>From your original wishlist</t>
        </is>
      </c>
    </row>
    <row r="12" ht="60" customHeight="1" s="95">
      <c r="A12" s="11" t="inlineStr">
        <is>
          <t>Spotlight</t>
        </is>
      </c>
      <c r="B12" s="11" t="inlineStr">
        <is>
          <t>Your list</t>
        </is>
      </c>
      <c r="C12" s="11" t="n">
        <v>5</v>
      </c>
      <c r="D12" s="12" t="n"/>
      <c r="E12" s="12" t="n"/>
      <c r="F12" s="11" t="n"/>
      <c r="G12" s="14" t="n"/>
      <c r="H12" s="1">
        <f>IF(A12="","",IF(COUNTIF(Collection!$B$5:$B$500,A12)&gt;0,"Yes","No"))</f>
        <v/>
      </c>
      <c r="I12" s="4" t="inlineStr">
        <is>
          <t>From your original wishlist</t>
        </is>
      </c>
    </row>
    <row r="13" ht="60" customHeight="1" s="95">
      <c r="A13" s="11" t="inlineStr">
        <is>
          <t>Birdman or (The Unexpected Virtue of Ignorance)</t>
        </is>
      </c>
      <c r="B13" s="11" t="inlineStr">
        <is>
          <t>Your list</t>
        </is>
      </c>
      <c r="C13" s="11" t="n">
        <v>5</v>
      </c>
      <c r="D13" s="12" t="n"/>
      <c r="E13" s="12" t="n"/>
      <c r="F13" s="11" t="n"/>
      <c r="G13" s="14" t="n"/>
      <c r="H13" s="1">
        <f>IF(A13="","",IF(COUNTIF(Collection!$B$5:$B$500,A13)&gt;0,"Yes","No"))</f>
        <v/>
      </c>
      <c r="I13" s="4" t="inlineStr">
        <is>
          <t>From your original wishlist</t>
        </is>
      </c>
    </row>
    <row r="14" ht="60" customHeight="1" s="95">
      <c r="A14" s="11" t="inlineStr">
        <is>
          <t>12 Years a Slave</t>
        </is>
      </c>
      <c r="B14" s="11" t="inlineStr">
        <is>
          <t>Your list</t>
        </is>
      </c>
      <c r="C14" s="11" t="n">
        <v>5</v>
      </c>
      <c r="D14" s="12" t="n"/>
      <c r="E14" s="12" t="n"/>
      <c r="F14" s="11" t="n"/>
      <c r="G14" s="14" t="n"/>
      <c r="H14" s="1">
        <f>IF(A14="","",IF(COUNTIF(Collection!$B$5:$B$500,A14)&gt;0,"Yes","No"))</f>
        <v/>
      </c>
      <c r="I14" s="4" t="inlineStr">
        <is>
          <t>From your original wishlist</t>
        </is>
      </c>
    </row>
    <row r="15" ht="60" customHeight="1" s="95">
      <c r="A15" s="11" t="inlineStr">
        <is>
          <t>The Artist</t>
        </is>
      </c>
      <c r="B15" s="11" t="inlineStr">
        <is>
          <t>Your list</t>
        </is>
      </c>
      <c r="C15" s="11" t="n">
        <v>5</v>
      </c>
      <c r="D15" s="12" t="n"/>
      <c r="E15" s="12" t="n"/>
      <c r="F15" s="11" t="n"/>
      <c r="G15" s="14" t="n"/>
      <c r="H15" s="1">
        <f>IF(A15="","",IF(COUNTIF(Collection!$B$5:$B$500,A15)&gt;0,"Yes","No"))</f>
        <v/>
      </c>
      <c r="I15" s="4" t="inlineStr">
        <is>
          <t>From your original wishlist</t>
        </is>
      </c>
    </row>
    <row r="16" ht="60" customHeight="1" s="95">
      <c r="A16" s="11" t="inlineStr">
        <is>
          <t>The Hurt Locker</t>
        </is>
      </c>
      <c r="B16" s="11" t="inlineStr">
        <is>
          <t>Your list</t>
        </is>
      </c>
      <c r="C16" s="11" t="n">
        <v>5</v>
      </c>
      <c r="D16" s="12" t="n"/>
      <c r="E16" s="12" t="n"/>
      <c r="F16" s="11" t="n"/>
      <c r="G16" s="14" t="n"/>
      <c r="H16" s="1">
        <f>IF(A16="","",IF(COUNTIF(Collection!$B$5:$B$500,A16)&gt;0,"Yes","No"))</f>
        <v/>
      </c>
      <c r="I16" s="4" t="inlineStr">
        <is>
          <t>From your original wishlist</t>
        </is>
      </c>
    </row>
    <row r="17" ht="60" customHeight="1" s="95">
      <c r="A17" s="11" t="inlineStr">
        <is>
          <t>No Country for Old Men</t>
        </is>
      </c>
      <c r="B17" s="11" t="inlineStr">
        <is>
          <t>Your list</t>
        </is>
      </c>
      <c r="C17" s="11" t="n">
        <v>5</v>
      </c>
      <c r="D17" s="12" t="n"/>
      <c r="E17" s="12" t="n"/>
      <c r="F17" s="11" t="n"/>
      <c r="G17" s="14" t="n"/>
      <c r="H17" s="1">
        <f>IF(A17="","",IF(COUNTIF(Collection!$B$5:$B$500,A17)&gt;0,"Yes","No"))</f>
        <v/>
      </c>
      <c r="I17" s="4" t="inlineStr">
        <is>
          <t>From your original wishlist</t>
        </is>
      </c>
    </row>
    <row r="18" ht="60" customHeight="1" s="95">
      <c r="A18" s="11" t="inlineStr">
        <is>
          <t>Gladiator</t>
        </is>
      </c>
      <c r="B18" s="11" t="inlineStr">
        <is>
          <t>Your list</t>
        </is>
      </c>
      <c r="C18" s="11" t="n">
        <v>5</v>
      </c>
      <c r="D18" s="12" t="n"/>
      <c r="E18" s="12" t="n"/>
      <c r="F18" s="11" t="n"/>
      <c r="G18" s="14" t="n"/>
      <c r="H18" s="1">
        <f>IF(A18="","",IF(COUNTIF(Collection!$B$5:$B$500,A18)&gt;0,"Yes","No"))</f>
        <v/>
      </c>
      <c r="I18" s="4" t="inlineStr">
        <is>
          <t>From your original wishlist</t>
        </is>
      </c>
    </row>
    <row r="19" ht="60" customHeight="1" s="95">
      <c r="A19" s="11" t="inlineStr">
        <is>
          <t>A Beautiful Mind</t>
        </is>
      </c>
      <c r="B19" s="11" t="inlineStr">
        <is>
          <t>Your list</t>
        </is>
      </c>
      <c r="C19" s="11" t="n">
        <v>5</v>
      </c>
      <c r="D19" s="12" t="n"/>
      <c r="E19" s="12" t="n"/>
      <c r="F19" s="11" t="n"/>
      <c r="G19" s="14" t="n"/>
      <c r="H19" s="1">
        <f>IF(A19="","",IF(COUNTIF(Collection!$B$5:$B$500,A19)&gt;0,"Yes","No"))</f>
        <v/>
      </c>
      <c r="I19" s="4" t="inlineStr">
        <is>
          <t>From your original wishlist</t>
        </is>
      </c>
    </row>
    <row r="20" ht="60" customHeight="1" s="95">
      <c r="A20" s="11" t="inlineStr">
        <is>
          <t>Braveheart</t>
        </is>
      </c>
      <c r="B20" s="11" t="inlineStr">
        <is>
          <t>Your list</t>
        </is>
      </c>
      <c r="C20" s="11" t="n">
        <v>5</v>
      </c>
      <c r="D20" s="12" t="n"/>
      <c r="E20" s="12" t="n"/>
      <c r="F20" s="11" t="n"/>
      <c r="G20" s="14" t="n"/>
      <c r="H20" s="1">
        <f>IF(A20="","",IF(COUNTIF(Collection!$B$5:$B$500,A20)&gt;0,"Yes","No"))</f>
        <v/>
      </c>
      <c r="I20" s="4" t="inlineStr">
        <is>
          <t>From your original wishlist</t>
        </is>
      </c>
    </row>
    <row r="21" ht="15.75" customHeight="1" s="95">
      <c r="A21" s="11" t="inlineStr">
        <is>
          <t>The Silence of the Lambs</t>
        </is>
      </c>
      <c r="B21" s="11" t="inlineStr">
        <is>
          <t>Your list</t>
        </is>
      </c>
      <c r="C21" s="11" t="n">
        <v>5</v>
      </c>
      <c r="D21" s="12" t="n"/>
      <c r="E21" s="12" t="n"/>
      <c r="F21" s="11" t="n"/>
      <c r="G21" s="14" t="n"/>
      <c r="H21" s="1">
        <f>IF(A21="","",IF(COUNTIF(Collection!$B$5:$B$500,A21)&gt;0,"Yes","No"))</f>
        <v/>
      </c>
      <c r="I21" s="4" t="inlineStr">
        <is>
          <t>From your original wishlist</t>
        </is>
      </c>
    </row>
    <row r="22" ht="15.75" customHeight="1" s="95">
      <c r="A22" s="11" t="inlineStr">
        <is>
          <t>Le Mans '66 (Ford v Ferrari)</t>
        </is>
      </c>
      <c r="B22" s="11" t="inlineStr">
        <is>
          <t>Your list</t>
        </is>
      </c>
      <c r="C22" s="11" t="n">
        <v>5</v>
      </c>
      <c r="D22" s="12" t="n"/>
      <c r="E22" s="12" t="n"/>
      <c r="F22" s="11" t="n"/>
      <c r="G22" s="14" t="n"/>
      <c r="H22" s="1">
        <f>IF(A22="","",IF(COUNTIF(Collection!$B$5:$B$500,A22)&gt;0,"Yes","No"))</f>
        <v/>
      </c>
      <c r="I22" s="4" t="inlineStr">
        <is>
          <t>From your original wishlist</t>
        </is>
      </c>
    </row>
    <row r="23" ht="15.75" customHeight="1" s="95">
      <c r="A23" s="11" t="inlineStr">
        <is>
          <t>Million Dollar Baby</t>
        </is>
      </c>
      <c r="B23" s="11" t="inlineStr">
        <is>
          <t>Your list</t>
        </is>
      </c>
      <c r="C23" s="11" t="n">
        <v>5</v>
      </c>
      <c r="D23" s="12" t="n"/>
      <c r="E23" s="12" t="n"/>
      <c r="F23" s="11" t="n"/>
      <c r="G23" s="14" t="n"/>
      <c r="H23" s="1">
        <f>IF(A23="","",IF(COUNTIF(Collection!$B$5:$B$500,A23)&gt;0,"Yes","No"))</f>
        <v/>
      </c>
      <c r="I23" s="4" t="inlineStr">
        <is>
          <t>From your original wishlist</t>
        </is>
      </c>
    </row>
    <row r="24" ht="15.75" customHeight="1" s="95">
      <c r="A24" s="11" t="inlineStr">
        <is>
          <t>American Beauty</t>
        </is>
      </c>
      <c r="B24" s="11" t="inlineStr">
        <is>
          <t>Your list</t>
        </is>
      </c>
      <c r="C24" s="11" t="n">
        <v>5</v>
      </c>
      <c r="D24" s="12" t="n"/>
      <c r="E24" s="12" t="n"/>
      <c r="F24" s="11" t="n"/>
      <c r="G24" s="14" t="n"/>
      <c r="H24" s="1">
        <f>IF(A24="","",IF(COUNTIF(Collection!$B$5:$B$500,A24)&gt;0,"Yes","No"))</f>
        <v/>
      </c>
      <c r="I24" s="4" t="inlineStr">
        <is>
          <t>From your original wishlist</t>
        </is>
      </c>
    </row>
    <row r="25" ht="15.75" customHeight="1" s="95">
      <c r="A25" s="11" t="inlineStr">
        <is>
          <t>Rocky</t>
        </is>
      </c>
      <c r="B25" s="11" t="inlineStr">
        <is>
          <t>Your list</t>
        </is>
      </c>
      <c r="C25" s="11" t="n">
        <v>5</v>
      </c>
      <c r="D25" s="12" t="n"/>
      <c r="E25" s="12" t="n"/>
      <c r="F25" s="11" t="n"/>
      <c r="G25" s="14" t="n"/>
      <c r="H25" s="1">
        <f>IF(A25="","",IF(COUNTIF(Collection!$B$5:$B$500,A25)&gt;0,"Yes","No"))</f>
        <v/>
      </c>
      <c r="I25" s="4" t="inlineStr">
        <is>
          <t>From your original wishlist</t>
        </is>
      </c>
    </row>
    <row r="26" ht="15.75" customHeight="1" s="95">
      <c r="A26" s="11" t="inlineStr">
        <is>
          <t>One Flew Over the Cuckoo's Nest</t>
        </is>
      </c>
      <c r="B26" s="11" t="inlineStr">
        <is>
          <t>Your list</t>
        </is>
      </c>
      <c r="C26" s="11" t="n">
        <v>5</v>
      </c>
      <c r="D26" s="12" t="n"/>
      <c r="E26" s="12" t="n"/>
      <c r="F26" s="11" t="n"/>
      <c r="G26" s="14" t="n"/>
      <c r="H26" s="1">
        <f>IF(A26="","",IF(COUNTIF(Collection!$B$5:$B$500,A26)&gt;0,"Yes","No"))</f>
        <v/>
      </c>
      <c r="I26" s="4" t="inlineStr">
        <is>
          <t>From your original wishlist</t>
        </is>
      </c>
    </row>
    <row r="27" ht="15.75" customHeight="1" s="95">
      <c r="A27" s="11" t="inlineStr">
        <is>
          <t>Sinners</t>
        </is>
      </c>
      <c r="B27" s="11" t="inlineStr">
        <is>
          <t>Your list</t>
        </is>
      </c>
      <c r="C27" s="11" t="n">
        <v>5</v>
      </c>
      <c r="D27" s="12" t="n"/>
      <c r="E27" s="12" t="n"/>
      <c r="F27" s="11" t="n"/>
      <c r="G27" s="14" t="n"/>
      <c r="H27" s="1">
        <f>IF(A27="","",IF(COUNTIF(Collection!$B$5:$B$500,A27)&gt;0,"Yes","No"))</f>
        <v/>
      </c>
      <c r="I27" s="4" t="inlineStr">
        <is>
          <t>From your original wishlist</t>
        </is>
      </c>
    </row>
    <row r="28" ht="15.75" customHeight="1" s="95">
      <c r="A28" s="11" t="inlineStr">
        <is>
          <t>Marty Supreme</t>
        </is>
      </c>
      <c r="B28" s="11" t="inlineStr">
        <is>
          <t>Your list</t>
        </is>
      </c>
      <c r="C28" s="11" t="n">
        <v>5</v>
      </c>
      <c r="D28" s="12" t="n"/>
      <c r="E28" s="12" t="n"/>
      <c r="F28" s="11" t="n"/>
      <c r="G28" s="14" t="n"/>
      <c r="H28" s="1">
        <f>IF(A28="","",IF(COUNTIF(Collection!$B$5:$B$500,A28)&gt;0,"Yes","No"))</f>
        <v/>
      </c>
      <c r="I28" s="4" t="inlineStr">
        <is>
          <t>From your original wishlist</t>
        </is>
      </c>
    </row>
    <row r="29" ht="15.75" customHeight="1" s="95">
      <c r="A29" s="11" t="inlineStr">
        <is>
          <t>Whiplash</t>
        </is>
      </c>
      <c r="B29" s="11" t="inlineStr">
        <is>
          <t>Recommended</t>
        </is>
      </c>
      <c r="C29" s="11" t="n">
        <v>5</v>
      </c>
      <c r="D29" s="12" t="n"/>
      <c r="E29" s="12" t="n"/>
      <c r="F29" s="11" t="n"/>
      <c r="G29" s="14" t="n"/>
      <c r="H29" s="1">
        <f>IF(A29="","",IF(COUNTIF(Collection!$B$5:$B$500,A29)&gt;0,"Yes","No"))</f>
        <v/>
      </c>
      <c r="I29" s="4" t="inlineStr">
        <is>
          <t>Strong fit with your taste for intense, acclaimed dramas.</t>
        </is>
      </c>
    </row>
    <row r="30" ht="15.75" customHeight="1" s="95">
      <c r="A30" s="11" t="inlineStr">
        <is>
          <t>The Social Network</t>
        </is>
      </c>
      <c r="B30" s="11" t="inlineStr">
        <is>
          <t>Recommended</t>
        </is>
      </c>
      <c r="C30" s="11" t="n">
        <v>5</v>
      </c>
      <c r="D30" s="12" t="n"/>
      <c r="E30" s="12" t="n"/>
      <c r="F30" s="11" t="n"/>
      <c r="G30" s="14" t="n"/>
      <c r="H30" s="1">
        <f>IF(A30="","",IF(COUNTIF(Collection!$B$5:$B$500,A30)&gt;0,"Yes","No"))</f>
        <v/>
      </c>
      <c r="I30" s="4" t="inlineStr">
        <is>
          <t>Sharp modern classic; fits alongside Fincher, prestige drama and biopics in your collection.</t>
        </is>
      </c>
    </row>
    <row r="31" ht="15.75" customHeight="1" s="95">
      <c r="A31" s="11" t="inlineStr">
        <is>
          <t>Arrival</t>
        </is>
      </c>
      <c r="B31" s="11" t="inlineStr">
        <is>
          <t>Recommended</t>
        </is>
      </c>
      <c r="C31" s="11" t="n">
        <v>5</v>
      </c>
      <c r="D31" s="12" t="n"/>
      <c r="E31" s="12" t="n"/>
      <c r="F31" s="11" t="n"/>
      <c r="G31" s="14" t="n"/>
      <c r="H31" s="1">
        <f>IF(A31="","",IF(COUNTIF(Collection!$B$5:$B$500,A31)&gt;0,"Yes","No"))</f>
        <v/>
      </c>
      <c r="I31" s="4" t="inlineStr">
        <is>
          <t>Smart sci-fi that should land well if you like Interstellar, Inception and District 9.</t>
        </is>
      </c>
    </row>
    <row r="32" ht="15.75" customHeight="1" s="95">
      <c r="A32" s="11" t="inlineStr">
        <is>
          <t>Blade Runner 2049</t>
        </is>
      </c>
      <c r="B32" s="11" t="inlineStr">
        <is>
          <t>Recommended</t>
        </is>
      </c>
      <c r="C32" s="11" t="n">
        <v>5</v>
      </c>
      <c r="D32" s="12" t="n"/>
      <c r="E32" s="12" t="n"/>
      <c r="F32" s="11" t="n"/>
      <c r="G32" s="14" t="n"/>
      <c r="H32" s="1">
        <f>IF(A32="","",IF(COUNTIF(Collection!$B$5:$B$500,A32)&gt;0,"Yes","No"))</f>
        <v/>
      </c>
      <c r="I32" s="4" t="inlineStr">
        <is>
          <t>A natural pick from your sci-fi shelf; visually superb on Blu-ray/4K.</t>
        </is>
      </c>
    </row>
    <row r="33" ht="15.75" customHeight="1" s="95">
      <c r="A33" s="11" t="inlineStr">
        <is>
          <t>Mad Max: Fury Road</t>
        </is>
      </c>
      <c r="B33" s="11" t="inlineStr">
        <is>
          <t>Recommended</t>
        </is>
      </c>
      <c r="C33" s="11" t="n">
        <v>5</v>
      </c>
      <c r="D33" s="12" t="n"/>
      <c r="E33" s="12" t="n"/>
      <c r="F33" s="11" t="n"/>
      <c r="G33" s="14" t="n"/>
      <c r="H33" s="1">
        <f>IF(A33="","",IF(COUNTIF(Collection!$B$5:$B$500,A33)&gt;0,"Yes","No"))</f>
        <v/>
      </c>
      <c r="I33" s="4" t="inlineStr">
        <is>
          <t>High-energy action with the craft/scale of films like Fury, Rush and Mission: Impossible.</t>
        </is>
      </c>
    </row>
    <row r="34" ht="15.75" customHeight="1" s="95">
      <c r="A34" s="11" t="inlineStr">
        <is>
          <t>Dune</t>
        </is>
      </c>
      <c r="B34" s="11" t="inlineStr">
        <is>
          <t>Recommended</t>
        </is>
      </c>
      <c r="C34" s="11" t="n">
        <v>5</v>
      </c>
      <c r="D34" s="12" t="n"/>
      <c r="E34" s="12" t="n"/>
      <c r="F34" s="11" t="n"/>
      <c r="G34" s="14" t="n"/>
      <c r="H34" s="1">
        <f>IF(A34="","",IF(COUNTIF(Collection!$B$5:$B$500,A34)&gt;0,"Yes","No"))</f>
        <v/>
      </c>
      <c r="I34" s="4" t="inlineStr">
        <is>
          <t>Big-scale modern sci-fi; an obvious gap beside your Nolan and blockbuster titles.</t>
        </is>
      </c>
    </row>
    <row r="35" ht="15.75" customHeight="1" s="95">
      <c r="A35" s="11" t="inlineStr">
        <is>
          <t>Dune: Part Two</t>
        </is>
      </c>
      <c r="B35" s="11" t="inlineStr">
        <is>
          <t>Recommended</t>
        </is>
      </c>
      <c r="C35" s="11" t="n">
        <v>5</v>
      </c>
      <c r="D35" s="12" t="n"/>
      <c r="E35" s="12" t="n"/>
      <c r="F35" s="11" t="n"/>
      <c r="G35" s="14" t="n"/>
      <c r="H35" s="1">
        <f>IF(A35="","",IF(COUNTIF(Collection!$B$5:$B$500,A35)&gt;0,"Yes","No"))</f>
        <v/>
      </c>
      <c r="I35" s="4" t="inlineStr">
        <is>
          <t>Worth pairing with Dune as a mini-collection.</t>
        </is>
      </c>
    </row>
    <row r="36" ht="15.75" customHeight="1" s="95">
      <c r="A36" s="1" t="inlineStr">
        <is>
          <t>Sicario</t>
        </is>
      </c>
      <c r="B36" s="1" t="inlineStr">
        <is>
          <t>Recommended</t>
        </is>
      </c>
      <c r="C36" s="1" t="n">
        <v>4</v>
      </c>
      <c r="D36" s="50" t="n"/>
      <c r="E36" s="50" t="n"/>
      <c r="F36" s="1" t="n"/>
      <c r="G36" s="51" t="n"/>
      <c r="H36" s="1">
        <f>IF(A36="","",IF(COUNTIF(Collection!$B$5:$B$500,A36)&gt;0,"Yes","No"))</f>
        <v/>
      </c>
      <c r="I36" s="4" t="inlineStr">
        <is>
          <t>Tense crime thriller from Denis Villeneuve; fits Prisoners and your darker thrillers.</t>
        </is>
      </c>
    </row>
    <row r="37" ht="15.75" customHeight="1" s="95">
      <c r="A37" s="1" t="inlineStr">
        <is>
          <t>The Nice Guys</t>
        </is>
      </c>
      <c r="B37" s="1" t="inlineStr">
        <is>
          <t>Recommended</t>
        </is>
      </c>
      <c r="C37" s="1" t="n">
        <v>4</v>
      </c>
      <c r="D37" s="50" t="n"/>
      <c r="E37" s="50" t="n"/>
      <c r="F37" s="1" t="n"/>
      <c r="G37" s="51" t="n"/>
      <c r="H37" s="1">
        <f>IF(A37="","",IF(COUNTIF(Collection!$B$5:$B$500,A37)&gt;0,"Yes","No"))</f>
        <v/>
      </c>
      <c r="I37" s="4" t="inlineStr">
        <is>
          <t>Crime/comedy with a very rewatchable tone; should fit your comedy/action mix.</t>
        </is>
      </c>
    </row>
    <row r="38" ht="15.75" customHeight="1" s="95">
      <c r="A38" s="1" t="inlineStr">
        <is>
          <t>Nightcrawler</t>
        </is>
      </c>
      <c r="B38" s="1" t="inlineStr">
        <is>
          <t>Recommended</t>
        </is>
      </c>
      <c r="C38" s="1" t="n">
        <v>4</v>
      </c>
      <c r="D38" s="50" t="n"/>
      <c r="E38" s="50" t="n"/>
      <c r="F38" s="1" t="n"/>
      <c r="G38" s="51" t="n"/>
      <c r="H38" s="1">
        <f>IF(A38="","",IF(COUNTIF(Collection!$B$5:$B$500,A38)&gt;0,"Yes","No"))</f>
        <v/>
      </c>
      <c r="I38" s="4" t="inlineStr">
        <is>
          <t>Dark, slick thriller that pairs nicely with Zodiac, Se7en and Prisoners.</t>
        </is>
      </c>
    </row>
    <row r="39" ht="15.75" customHeight="1" s="95">
      <c r="A39" s="1" t="inlineStr">
        <is>
          <t>The Grand Budapest Hotel</t>
        </is>
      </c>
      <c r="B39" s="1" t="inlineStr">
        <is>
          <t>Recommended</t>
        </is>
      </c>
      <c r="C39" s="1" t="n">
        <v>4</v>
      </c>
      <c r="D39" s="50" t="n"/>
      <c r="E39" s="50" t="n"/>
      <c r="F39" s="1" t="n"/>
      <c r="G39" s="51" t="n"/>
      <c r="H39" s="1">
        <f>IF(A39="","",IF(COUNTIF(Collection!$B$5:$B$500,A39)&gt;0,"Yes","No"))</f>
        <v/>
      </c>
      <c r="I39" s="4" t="inlineStr">
        <is>
          <t>Acclaimed, distinctive and very rewatchable; broadens the prestige side of the shelf.</t>
        </is>
      </c>
    </row>
    <row r="40" ht="15.75" customHeight="1" s="95">
      <c r="A40" s="1" t="inlineStr">
        <is>
          <t>The Revenant</t>
        </is>
      </c>
      <c r="B40" s="1" t="inlineStr">
        <is>
          <t>Recommended</t>
        </is>
      </c>
      <c r="C40" s="1" t="n">
        <v>4</v>
      </c>
      <c r="D40" s="50" t="n"/>
      <c r="E40" s="50" t="n"/>
      <c r="F40" s="1" t="n"/>
      <c r="G40" s="51" t="n"/>
      <c r="H40" s="1">
        <f>IF(A40="","",IF(COUNTIF(Collection!$B$5:$B$500,A40)&gt;0,"Yes","No"))</f>
        <v/>
      </c>
      <c r="I40" s="4" t="inlineStr">
        <is>
          <t>Large-scale survival drama with strong cinematography and awards pedigree.</t>
        </is>
      </c>
    </row>
    <row r="41" ht="15.75" customHeight="1" s="95">
      <c r="A41" s="1" t="inlineStr">
        <is>
          <t>There Will Be Blood</t>
        </is>
      </c>
      <c r="B41" s="1" t="inlineStr">
        <is>
          <t>Recommended</t>
        </is>
      </c>
      <c r="C41" s="1" t="n">
        <v>4</v>
      </c>
      <c r="D41" s="50" t="n"/>
      <c r="E41" s="50" t="n"/>
      <c r="F41" s="1" t="n"/>
      <c r="G41" s="51" t="n"/>
      <c r="H41" s="1">
        <f>IF(A41="","",IF(COUNTIF(Collection!$B$5:$B$500,A41)&gt;0,"Yes","No"))</f>
        <v/>
      </c>
      <c r="I41" s="4" t="inlineStr">
        <is>
          <t>Modern classic and a strong Best Picture-era addition.</t>
        </is>
      </c>
    </row>
    <row r="42" ht="15.75" customHeight="1" s="95">
      <c r="A42" s="1" t="inlineStr">
        <is>
          <t>The Banshees of Inisherin</t>
        </is>
      </c>
      <c r="B42" s="1" t="inlineStr">
        <is>
          <t>Recommended</t>
        </is>
      </c>
      <c r="C42" s="1" t="n">
        <v>4</v>
      </c>
      <c r="D42" s="50" t="n"/>
      <c r="E42" s="50" t="n"/>
      <c r="F42" s="1" t="n"/>
      <c r="G42" s="51" t="n"/>
      <c r="H42" s="1">
        <f>IF(A42="","",IF(COUNTIF(Collection!$B$5:$B$500,A42)&gt;0,"Yes","No"))</f>
        <v/>
      </c>
      <c r="I42" s="4" t="inlineStr">
        <is>
          <t>Excellent recent awards film with dark humour.</t>
        </is>
      </c>
    </row>
    <row r="43" ht="15.75" customHeight="1" s="95">
      <c r="A43" s="1" t="inlineStr">
        <is>
          <t>The Holdovers</t>
        </is>
      </c>
      <c r="B43" s="1" t="inlineStr">
        <is>
          <t>Recommended</t>
        </is>
      </c>
      <c r="C43" s="1" t="n">
        <v>4</v>
      </c>
      <c r="D43" s="50" t="n"/>
      <c r="E43" s="50" t="n"/>
      <c r="F43" s="1" t="n"/>
      <c r="G43" s="51" t="n"/>
      <c r="H43" s="1">
        <f>IF(A43="","",IF(COUNTIF(Collection!$B$5:$B$500,A43)&gt;0,"Yes","No"))</f>
        <v/>
      </c>
      <c r="I43" s="4" t="inlineStr">
        <is>
          <t>Warm, funny modern drama with a classic feel.</t>
        </is>
      </c>
    </row>
    <row r="44" ht="15.75" customHeight="1" s="95">
      <c r="A44" s="1" t="inlineStr">
        <is>
          <t>1917</t>
        </is>
      </c>
      <c r="B44" s="1" t="inlineStr">
        <is>
          <t>Recommended</t>
        </is>
      </c>
      <c r="C44" s="1" t="n">
        <v>4</v>
      </c>
      <c r="D44" s="50" t="n"/>
      <c r="E44" s="50" t="n"/>
      <c r="F44" s="1" t="n"/>
      <c r="G44" s="51" t="n"/>
      <c r="H44" s="1">
        <f>IF(A44="","",IF(COUNTIF(Collection!$B$5:$B$500,A44)&gt;0,"Yes","No"))</f>
        <v/>
      </c>
      <c r="I44" s="4" t="inlineStr">
        <is>
          <t>Technically impressive war film that fits alongside Dunkirk, Hacksaw Ridge and Saving Private Ryan.</t>
        </is>
      </c>
    </row>
    <row r="45" ht="15.75" customHeight="1" s="95">
      <c r="A45" s="1" t="inlineStr">
        <is>
          <t>The Irishman</t>
        </is>
      </c>
      <c r="B45" s="1" t="inlineStr">
        <is>
          <t>Recommended</t>
        </is>
      </c>
      <c r="C45" s="1" t="n">
        <v>3</v>
      </c>
      <c r="D45" s="50" t="n"/>
      <c r="E45" s="50" t="n"/>
      <c r="F45" s="1" t="n"/>
      <c r="G45" s="51" t="n"/>
      <c r="H45" s="1">
        <f>IF(A45="","",IF(COUNTIF(Collection!$B$5:$B$500,A45)&gt;0,"Yes","No"))</f>
        <v/>
      </c>
      <c r="I45" s="4" t="inlineStr">
        <is>
          <t>A natural crime-epic addition if you enjoy Scorsese-style prestige films.</t>
        </is>
      </c>
    </row>
    <row r="46" ht="15.75" customHeight="1" s="95">
      <c r="A46" s="47" t="inlineStr">
        <is>
          <t>The Wolf of Wall Street</t>
        </is>
      </c>
      <c r="B46" s="47" t="inlineStr">
        <is>
          <t>Recommended</t>
        </is>
      </c>
      <c r="C46" s="47" t="n">
        <v>3</v>
      </c>
      <c r="D46" s="52" t="n"/>
      <c r="E46" s="52" t="n"/>
      <c r="F46" s="47" t="n"/>
      <c r="G46" s="53" t="n"/>
      <c r="H46" s="47">
        <f>IF(A46="","",IF(COUNTIF(Collection!$B$5:$B$500,A46)&gt;0,"Yes","No"))</f>
        <v/>
      </c>
      <c r="I46" s="54" t="inlineStr">
        <is>
          <t>If your existing copy turns out not to be in the catalogue, this is worth confirming rather than rebuying.</t>
        </is>
      </c>
    </row>
    <row r="47" ht="15.75" customHeight="1" s="95">
      <c r="H47" s="55">
        <f>IF(A47="","",IF(COUNTIF(Collection!$B$5:$B$500,A47)&gt;0,"Yes","No"))</f>
        <v/>
      </c>
    </row>
    <row r="48" ht="15.75" customHeight="1" s="95">
      <c r="H48" s="55">
        <f>IF(A48="","",IF(COUNTIF(Collection!$B$5:$B$500,A48)&gt;0,"Yes","No"))</f>
        <v/>
      </c>
    </row>
    <row r="49" ht="15.75" customHeight="1" s="95">
      <c r="H49" s="55">
        <f>IF(A49="","",IF(COUNTIF(Collection!$B$5:$B$500,A49)&gt;0,"Yes","No"))</f>
        <v/>
      </c>
    </row>
    <row r="50" ht="15.75" customHeight="1" s="95">
      <c r="H50" s="55">
        <f>IF(A50="","",IF(COUNTIF(Collection!$B$5:$B$500,A50)&gt;0,"Yes","No"))</f>
        <v/>
      </c>
    </row>
    <row r="51" ht="15.75" customHeight="1" s="95">
      <c r="H51" s="55">
        <f>IF(A51="","",IF(COUNTIF(Collection!$B$5:$B$500,A51)&gt;0,"Yes","No"))</f>
        <v/>
      </c>
    </row>
    <row r="52" ht="15.75" customHeight="1" s="95">
      <c r="H52" s="55">
        <f>IF(A52="","",IF(COUNTIF(Collection!$B$5:$B$500,A52)&gt;0,"Yes","No"))</f>
        <v/>
      </c>
    </row>
    <row r="53" ht="15.75" customHeight="1" s="95">
      <c r="H53" s="55">
        <f>IF(A53="","",IF(COUNTIF(Collection!$B$5:$B$500,A53)&gt;0,"Yes","No"))</f>
        <v/>
      </c>
    </row>
    <row r="54" ht="15.75" customHeight="1" s="95">
      <c r="H54" s="55">
        <f>IF(A54="","",IF(COUNTIF(Collection!$B$5:$B$500,A54)&gt;0,"Yes","No"))</f>
        <v/>
      </c>
    </row>
    <row r="55" ht="15.75" customHeight="1" s="95">
      <c r="H55" s="55">
        <f>IF(A55="","",IF(COUNTIF(Collection!$B$5:$B$500,A55)&gt;0,"Yes","No"))</f>
        <v/>
      </c>
    </row>
    <row r="56" ht="15.75" customHeight="1" s="95">
      <c r="H56" s="55">
        <f>IF(A56="","",IF(COUNTIF(Collection!$B$5:$B$500,A56)&gt;0,"Yes","No"))</f>
        <v/>
      </c>
    </row>
    <row r="57" ht="15.75" customHeight="1" s="95">
      <c r="H57" s="55">
        <f>IF(A57="","",IF(COUNTIF(Collection!$B$5:$B$500,A57)&gt;0,"Yes","No"))</f>
        <v/>
      </c>
    </row>
    <row r="58" ht="15.75" customHeight="1" s="95">
      <c r="H58" s="55">
        <f>IF(A58="","",IF(COUNTIF(Collection!$B$5:$B$500,A58)&gt;0,"Yes","No"))</f>
        <v/>
      </c>
    </row>
    <row r="59" ht="15.75" customHeight="1" s="95">
      <c r="H59" s="55">
        <f>IF(A59="","",IF(COUNTIF(Collection!$B$5:$B$500,A59)&gt;0,"Yes","No"))</f>
        <v/>
      </c>
    </row>
    <row r="60" ht="15.75" customHeight="1" s="95">
      <c r="H60" s="55">
        <f>IF(A60="","",IF(COUNTIF(Collection!$B$5:$B$500,A60)&gt;0,"Yes","No"))</f>
        <v/>
      </c>
    </row>
    <row r="61" ht="15.75" customHeight="1" s="95">
      <c r="H61" s="55">
        <f>IF(A61="","",IF(COUNTIF(Collection!$B$5:$B$500,A61)&gt;0,"Yes","No"))</f>
        <v/>
      </c>
    </row>
    <row r="62" ht="15.75" customHeight="1" s="95">
      <c r="H62" s="55">
        <f>IF(A62="","",IF(COUNTIF(Collection!$B$5:$B$500,A62)&gt;0,"Yes","No"))</f>
        <v/>
      </c>
    </row>
    <row r="63" ht="15.75" customHeight="1" s="95">
      <c r="H63" s="55">
        <f>IF(A63="","",IF(COUNTIF(Collection!$B$5:$B$500,A63)&gt;0,"Yes","No"))</f>
        <v/>
      </c>
    </row>
    <row r="64" ht="15.75" customHeight="1" s="95">
      <c r="H64" s="55">
        <f>IF(A64="","",IF(COUNTIF(Collection!$B$5:$B$500,A64)&gt;0,"Yes","No"))</f>
        <v/>
      </c>
    </row>
    <row r="65" ht="15.75" customHeight="1" s="95">
      <c r="H65" s="55">
        <f>IF(A65="","",IF(COUNTIF(Collection!$B$5:$B$500,A65)&gt;0,"Yes","No"))</f>
        <v/>
      </c>
    </row>
    <row r="66" ht="15.75" customHeight="1" s="95">
      <c r="H66" s="55">
        <f>IF(A66="","",IF(COUNTIF(Collection!$B$5:$B$500,A66)&gt;0,"Yes","No"))</f>
        <v/>
      </c>
    </row>
    <row r="67" ht="15.75" customHeight="1" s="95">
      <c r="H67" s="55">
        <f>IF(A67="","",IF(COUNTIF(Collection!$B$5:$B$500,A67)&gt;0,"Yes","No"))</f>
        <v/>
      </c>
    </row>
    <row r="68" ht="15.75" customHeight="1" s="95">
      <c r="H68" s="55">
        <f>IF(A68="","",IF(COUNTIF(Collection!$B$5:$B$500,A68)&gt;0,"Yes","No"))</f>
        <v/>
      </c>
    </row>
    <row r="69" ht="15.75" customHeight="1" s="95">
      <c r="H69" s="55">
        <f>IF(A69="","",IF(COUNTIF(Collection!$B$5:$B$500,A69)&gt;0,"Yes","No"))</f>
        <v/>
      </c>
    </row>
    <row r="70" ht="15.75" customHeight="1" s="95">
      <c r="H70" s="55">
        <f>IF(A70="","",IF(COUNTIF(Collection!$B$5:$B$500,A70)&gt;0,"Yes","No"))</f>
        <v/>
      </c>
    </row>
    <row r="71" ht="15.75" customHeight="1" s="95">
      <c r="H71" s="55">
        <f>IF(A71="","",IF(COUNTIF(Collection!$B$5:$B$500,A71)&gt;0,"Yes","No"))</f>
        <v/>
      </c>
    </row>
    <row r="72" ht="15.75" customHeight="1" s="95">
      <c r="H72" s="55">
        <f>IF(A72="","",IF(COUNTIF(Collection!$B$5:$B$500,A72)&gt;0,"Yes","No"))</f>
        <v/>
      </c>
    </row>
    <row r="73" ht="15.75" customHeight="1" s="95">
      <c r="H73" s="55">
        <f>IF(A73="","",IF(COUNTIF(Collection!$B$5:$B$500,A73)&gt;0,"Yes","No"))</f>
        <v/>
      </c>
    </row>
    <row r="74" ht="15.75" customHeight="1" s="95">
      <c r="H74" s="55">
        <f>IF(A74="","",IF(COUNTIF(Collection!$B$5:$B$500,A74)&gt;0,"Yes","No"))</f>
        <v/>
      </c>
    </row>
    <row r="75" ht="15.75" customHeight="1" s="95">
      <c r="H75" s="55">
        <f>IF(A75="","",IF(COUNTIF(Collection!$B$5:$B$500,A75)&gt;0,"Yes","No"))</f>
        <v/>
      </c>
    </row>
    <row r="76" ht="15.75" customHeight="1" s="95">
      <c r="H76" s="55">
        <f>IF(A76="","",IF(COUNTIF(Collection!$B$5:$B$500,A76)&gt;0,"Yes","No"))</f>
        <v/>
      </c>
    </row>
    <row r="77" ht="15.75" customHeight="1" s="95">
      <c r="H77" s="55">
        <f>IF(A77="","",IF(COUNTIF(Collection!$B$5:$B$500,A77)&gt;0,"Yes","No"))</f>
        <v/>
      </c>
    </row>
    <row r="78" ht="15.75" customHeight="1" s="95">
      <c r="H78" s="55">
        <f>IF(A78="","",IF(COUNTIF(Collection!$B$5:$B$500,A78)&gt;0,"Yes","No"))</f>
        <v/>
      </c>
    </row>
    <row r="79" ht="15.75" customHeight="1" s="95">
      <c r="H79" s="55">
        <f>IF(A79="","",IF(COUNTIF(Collection!$B$5:$B$500,A79)&gt;0,"Yes","No"))</f>
        <v/>
      </c>
    </row>
    <row r="80" ht="15.75" customHeight="1" s="95">
      <c r="H80" s="55">
        <f>IF(A80="","",IF(COUNTIF(Collection!$B$5:$B$500,A80)&gt;0,"Yes","No"))</f>
        <v/>
      </c>
    </row>
    <row r="81" ht="15.75" customHeight="1" s="95">
      <c r="H81" s="55">
        <f>IF(A81="","",IF(COUNTIF(Collection!$B$5:$B$500,A81)&gt;0,"Yes","No"))</f>
        <v/>
      </c>
    </row>
    <row r="82" ht="15.75" customHeight="1" s="95">
      <c r="H82" s="55">
        <f>IF(A82="","",IF(COUNTIF(Collection!$B$5:$B$500,A82)&gt;0,"Yes","No"))</f>
        <v/>
      </c>
    </row>
    <row r="83" ht="15.75" customHeight="1" s="95">
      <c r="H83" s="55">
        <f>IF(A83="","",IF(COUNTIF(Collection!$B$5:$B$500,A83)&gt;0,"Yes","No"))</f>
        <v/>
      </c>
    </row>
    <row r="84" ht="15.75" customHeight="1" s="95">
      <c r="H84" s="55">
        <f>IF(A84="","",IF(COUNTIF(Collection!$B$5:$B$500,A84)&gt;0,"Yes","No"))</f>
        <v/>
      </c>
    </row>
    <row r="85" ht="15.75" customHeight="1" s="95">
      <c r="H85" s="55">
        <f>IF(A85="","",IF(COUNTIF(Collection!$B$5:$B$500,A85)&gt;0,"Yes","No"))</f>
        <v/>
      </c>
    </row>
    <row r="86" ht="15.75" customHeight="1" s="95">
      <c r="H86" s="55">
        <f>IF(A86="","",IF(COUNTIF(Collection!$B$5:$B$500,A86)&gt;0,"Yes","No"))</f>
        <v/>
      </c>
    </row>
    <row r="87" ht="15.75" customHeight="1" s="95">
      <c r="H87" s="55">
        <f>IF(A87="","",IF(COUNTIF(Collection!$B$5:$B$500,A87)&gt;0,"Yes","No"))</f>
        <v/>
      </c>
    </row>
    <row r="88" ht="15.75" customHeight="1" s="95">
      <c r="H88" s="55">
        <f>IF(A88="","",IF(COUNTIF(Collection!$B$5:$B$500,A88)&gt;0,"Yes","No"))</f>
        <v/>
      </c>
    </row>
    <row r="89" ht="15.75" customHeight="1" s="95">
      <c r="H89" s="55">
        <f>IF(A89="","",IF(COUNTIF(Collection!$B$5:$B$500,A89)&gt;0,"Yes","No"))</f>
        <v/>
      </c>
    </row>
    <row r="90" ht="15.75" customHeight="1" s="95">
      <c r="H90" s="55">
        <f>IF(A90="","",IF(COUNTIF(Collection!$B$5:$B$500,A90)&gt;0,"Yes","No"))</f>
        <v/>
      </c>
    </row>
    <row r="91" ht="15.75" customHeight="1" s="95">
      <c r="H91" s="55">
        <f>IF(A91="","",IF(COUNTIF(Collection!$B$5:$B$500,A91)&gt;0,"Yes","No"))</f>
        <v/>
      </c>
    </row>
    <row r="92" ht="15.75" customHeight="1" s="95">
      <c r="H92" s="55">
        <f>IF(A92="","",IF(COUNTIF(Collection!$B$5:$B$500,A92)&gt;0,"Yes","No"))</f>
        <v/>
      </c>
    </row>
    <row r="93" ht="15.75" customHeight="1" s="95">
      <c r="H93" s="55">
        <f>IF(A93="","",IF(COUNTIF(Collection!$B$5:$B$500,A93)&gt;0,"Yes","No"))</f>
        <v/>
      </c>
    </row>
    <row r="94" ht="15.75" customHeight="1" s="95">
      <c r="H94" s="55">
        <f>IF(A94="","",IF(COUNTIF(Collection!$B$5:$B$500,A94)&gt;0,"Yes","No"))</f>
        <v/>
      </c>
    </row>
    <row r="95" ht="15.75" customHeight="1" s="95">
      <c r="H95" s="55">
        <f>IF(A95="","",IF(COUNTIF(Collection!$B$5:$B$500,A95)&gt;0,"Yes","No"))</f>
        <v/>
      </c>
    </row>
    <row r="96" ht="15.75" customHeight="1" s="95">
      <c r="H96" s="55">
        <f>IF(A96="","",IF(COUNTIF(Collection!$B$5:$B$500,A96)&gt;0,"Yes","No"))</f>
        <v/>
      </c>
    </row>
    <row r="97" ht="15.75" customHeight="1" s="95">
      <c r="H97" s="55">
        <f>IF(A97="","",IF(COUNTIF(Collection!$B$5:$B$500,A97)&gt;0,"Yes","No"))</f>
        <v/>
      </c>
    </row>
    <row r="98" ht="15.75" customHeight="1" s="95">
      <c r="H98" s="55" t="n"/>
    </row>
    <row r="99" ht="15.75" customHeight="1" s="95">
      <c r="H99" s="55" t="n"/>
    </row>
    <row r="100" ht="15.75" customHeight="1" s="95">
      <c r="H100" s="55" t="n"/>
    </row>
    <row r="101" ht="15.75" customHeight="1" s="95">
      <c r="A101" t="inlineStr">
        <is>
          <t>Pulp Fiction</t>
        </is>
      </c>
      <c r="C101" t="n">
        <v>2</v>
      </c>
      <c r="D101" t="n">
        <v>8</v>
      </c>
      <c r="H101" t="inlineStr">
        <is>
          <t>No</t>
        </is>
      </c>
    </row>
    <row r="102" ht="15.75" customHeight="1" s="95"/>
    <row r="103" ht="15.75" customHeight="1" s="95"/>
    <row r="104" ht="15.75" customHeight="1" s="95"/>
    <row r="105" ht="15.75" customHeight="1" s="95"/>
    <row r="106" ht="15.75" customHeight="1" s="95"/>
    <row r="107" ht="15.75" customHeight="1" s="95"/>
    <row r="108" ht="15.75" customHeight="1" s="95"/>
    <row r="109" ht="15.75" customHeight="1" s="95"/>
    <row r="110" ht="15.75" customHeight="1" s="95"/>
    <row r="111" ht="15.75" customHeight="1" s="95"/>
    <row r="112" ht="15.75" customHeight="1" s="95"/>
    <row r="113" ht="15.75" customHeight="1" s="95"/>
    <row r="114" ht="15.75" customHeight="1" s="95"/>
    <row r="115" ht="15.75" customHeight="1" s="95"/>
    <row r="116" ht="15.75" customHeight="1" s="95"/>
    <row r="117" ht="15.75" customHeight="1" s="95"/>
    <row r="118" ht="15.75" customHeight="1" s="95"/>
    <row r="119" ht="15.75" customHeight="1" s="95"/>
    <row r="120" ht="15.75" customHeight="1" s="95"/>
    <row r="121" ht="15.75" customHeight="1" s="95"/>
    <row r="122" ht="15.75" customHeight="1" s="95"/>
    <row r="123" ht="15.75" customHeight="1" s="95"/>
    <row r="124" ht="15.75" customHeight="1" s="95"/>
    <row r="125" ht="15.75" customHeight="1" s="95"/>
    <row r="126" ht="15.75" customHeight="1" s="95"/>
    <row r="127" ht="15.75" customHeight="1" s="95"/>
    <row r="128" ht="15.75" customHeight="1" s="95"/>
    <row r="129" ht="15.75" customHeight="1" s="95"/>
    <row r="130" ht="15.75" customHeight="1" s="95"/>
    <row r="131" ht="15.75" customHeight="1" s="95"/>
    <row r="132" ht="15.75" customHeight="1" s="95"/>
    <row r="133" ht="15.75" customHeight="1" s="95"/>
    <row r="134" ht="15.75" customHeight="1" s="95"/>
    <row r="135" ht="15.75" customHeight="1" s="95"/>
    <row r="136" ht="15.75" customHeight="1" s="95"/>
    <row r="137" ht="15.75" customHeight="1" s="95"/>
    <row r="138" ht="15.75" customHeight="1" s="95"/>
    <row r="139" ht="15.75" customHeight="1" s="95"/>
    <row r="140" ht="15.75" customHeight="1" s="95"/>
    <row r="141" ht="15.75" customHeight="1" s="95"/>
    <row r="142" ht="15.75" customHeight="1" s="95"/>
    <row r="143" ht="15.75" customHeight="1" s="95"/>
    <row r="144" ht="15.75" customHeight="1" s="95"/>
    <row r="145" ht="15.75" customHeight="1" s="95"/>
    <row r="146" ht="15.75" customHeight="1" s="95"/>
    <row r="147" ht="15.75" customHeight="1" s="95"/>
    <row r="148" ht="15.75" customHeight="1" s="95"/>
    <row r="149" ht="15.75" customHeight="1" s="95"/>
    <row r="150" ht="15.75" customHeight="1" s="95"/>
    <row r="151" ht="15.75" customHeight="1" s="95"/>
    <row r="152" ht="15.75" customHeight="1" s="95"/>
    <row r="153" ht="15.75" customHeight="1" s="95"/>
    <row r="154" ht="15.75" customHeight="1" s="95"/>
    <row r="155" ht="15.75" customHeight="1" s="95"/>
    <row r="156" ht="15.75" customHeight="1" s="95"/>
    <row r="157" ht="15.75" customHeight="1" s="95"/>
    <row r="158" ht="15.75" customHeight="1" s="95"/>
    <row r="159" ht="15.75" customHeight="1" s="95"/>
    <row r="160" ht="15.75" customHeight="1" s="95"/>
    <row r="161" ht="15.75" customHeight="1" s="95"/>
    <row r="162" ht="15.75" customHeight="1" s="95"/>
    <row r="163" ht="15.75" customHeight="1" s="95"/>
    <row r="164" ht="15.75" customHeight="1" s="95"/>
    <row r="165" ht="15.75" customHeight="1" s="95"/>
    <row r="166" ht="15.75" customHeight="1" s="95"/>
    <row r="167" ht="15.75" customHeight="1" s="95"/>
    <row r="168" ht="15.75" customHeight="1" s="95"/>
    <row r="169" ht="15.75" customHeight="1" s="95"/>
    <row r="170" ht="15.75" customHeight="1" s="95"/>
    <row r="171" ht="15.75" customHeight="1" s="95"/>
    <row r="172" ht="15.75" customHeight="1" s="95"/>
    <row r="173" ht="15.75" customHeight="1" s="95"/>
    <row r="174" ht="15.75" customHeight="1" s="95"/>
    <row r="175" ht="15.75" customHeight="1" s="95"/>
    <row r="176" ht="15.75" customHeight="1" s="95"/>
    <row r="177" ht="15.75" customHeight="1" s="95"/>
    <row r="178" ht="15.75" customHeight="1" s="95"/>
    <row r="179" ht="15.75" customHeight="1" s="95"/>
    <row r="180" ht="15.75" customHeight="1" s="95"/>
    <row r="181" ht="15.75" customHeight="1" s="95"/>
    <row r="182" ht="15.75" customHeight="1" s="95"/>
    <row r="183" ht="15.75" customHeight="1" s="95"/>
    <row r="184" ht="15.75" customHeight="1" s="95"/>
    <row r="185" ht="15.75" customHeight="1" s="95"/>
    <row r="186" ht="15.75" customHeight="1" s="95"/>
    <row r="187" ht="15.75" customHeight="1" s="95"/>
    <row r="188" ht="15.75" customHeight="1" s="95"/>
    <row r="189" ht="15.75" customHeight="1" s="95"/>
    <row r="190" ht="15.75" customHeight="1" s="95"/>
    <row r="191" ht="15.75" customHeight="1" s="95"/>
    <row r="192" ht="15.75" customHeight="1" s="95"/>
    <row r="193" ht="15.75" customHeight="1" s="95"/>
    <row r="194" ht="15.75" customHeight="1" s="95"/>
    <row r="195" ht="15.75" customHeight="1" s="95"/>
    <row r="196" ht="15.75" customHeight="1" s="95"/>
    <row r="197" ht="15.75" customHeight="1" s="95"/>
    <row r="198" ht="15.75" customHeight="1" s="95"/>
    <row r="199" ht="15.75" customHeight="1" s="95"/>
    <row r="200" ht="15.75" customHeight="1" s="95"/>
    <row r="201" ht="15.75" customHeight="1" s="95"/>
    <row r="202" ht="15.75" customHeight="1" s="95"/>
    <row r="203" ht="15.75" customHeight="1" s="95"/>
    <row r="204" ht="15.75" customHeight="1" s="95"/>
    <row r="205" ht="15.75" customHeight="1" s="95"/>
    <row r="206" ht="15.75" customHeight="1" s="95"/>
    <row r="207" ht="15.75" customHeight="1" s="95"/>
    <row r="208" ht="15.75" customHeight="1" s="95"/>
    <row r="209" ht="15.75" customHeight="1" s="95"/>
    <row r="210" ht="15.75" customHeight="1" s="95"/>
    <row r="211" ht="15.75" customHeight="1" s="95"/>
    <row r="212" ht="15.75" customHeight="1" s="95"/>
    <row r="213" ht="15.75" customHeight="1" s="95"/>
    <row r="214" ht="15.75" customHeight="1" s="95"/>
    <row r="215" ht="15.75" customHeight="1" s="95"/>
    <row r="216" ht="15.75" customHeight="1" s="95"/>
    <row r="217" ht="15.75" customHeight="1" s="95"/>
    <row r="218" ht="15.75" customHeight="1" s="95"/>
    <row r="219" ht="15.75" customHeight="1" s="95"/>
    <row r="220" ht="15.75" customHeight="1" s="95"/>
    <row r="221" ht="15.75" customHeight="1" s="95"/>
    <row r="222" ht="15.75" customHeight="1" s="95"/>
    <row r="223" ht="15.75" customHeight="1" s="95"/>
    <row r="224" ht="15.75" customHeight="1" s="95"/>
    <row r="225" ht="15.75" customHeight="1" s="95"/>
    <row r="226" ht="15.75" customHeight="1" s="95"/>
    <row r="227" ht="15.75" customHeight="1" s="95"/>
    <row r="228" ht="15.75" customHeight="1" s="95"/>
    <row r="229" ht="15.75" customHeight="1" s="95"/>
    <row r="230" ht="15.75" customHeight="1" s="95"/>
    <row r="231" ht="15.75" customHeight="1" s="95"/>
    <row r="232" ht="15.75" customHeight="1" s="95"/>
    <row r="233" ht="15.75" customHeight="1" s="95"/>
    <row r="234" ht="15.75" customHeight="1" s="95"/>
    <row r="235" ht="15.75" customHeight="1" s="95"/>
    <row r="236" ht="15.75" customHeight="1" s="95"/>
    <row r="237" ht="15.75" customHeight="1" s="95"/>
    <row r="238" ht="15.75" customHeight="1" s="95"/>
    <row r="239" ht="15.75" customHeight="1" s="95"/>
    <row r="240" ht="15.75" customHeight="1" s="95"/>
    <row r="241" ht="15.75" customHeight="1" s="95"/>
    <row r="242" ht="15.75" customHeight="1" s="95"/>
    <row r="243" ht="15.75" customHeight="1" s="95"/>
    <row r="244" ht="15.75" customHeight="1" s="95"/>
    <row r="245" ht="15.75" customHeight="1" s="95"/>
    <row r="246" ht="15.75" customHeight="1" s="95"/>
    <row r="247" ht="15.75" customHeight="1" s="95"/>
    <row r="248" ht="15.75" customHeight="1" s="95"/>
    <row r="249" ht="15.75" customHeight="1" s="95"/>
    <row r="250" ht="15.75" customHeight="1" s="95"/>
    <row r="251" ht="15.75" customHeight="1" s="95"/>
    <row r="252" ht="15.75" customHeight="1" s="95"/>
    <row r="253" ht="15.75" customHeight="1" s="95"/>
    <row r="254" ht="15.75" customHeight="1" s="95"/>
    <row r="255" ht="15.75" customHeight="1" s="95"/>
    <row r="256" ht="15.75" customHeight="1" s="95"/>
    <row r="257" ht="15.75" customHeight="1" s="95"/>
    <row r="258" ht="15.75" customHeight="1" s="95"/>
    <row r="259" ht="15.75" customHeight="1" s="95"/>
    <row r="260" ht="15.75" customHeight="1" s="95"/>
    <row r="261" ht="15.75" customHeight="1" s="95"/>
    <row r="262" ht="15.75" customHeight="1" s="95"/>
    <row r="263" ht="15.75" customHeight="1" s="95"/>
    <row r="264" ht="15.75" customHeight="1" s="95"/>
    <row r="265" ht="15.75" customHeight="1" s="95"/>
    <row r="266" ht="15.75" customHeight="1" s="95"/>
    <row r="267" ht="15.75" customHeight="1" s="95"/>
    <row r="268" ht="15.75" customHeight="1" s="95"/>
    <row r="269" ht="15.75" customHeight="1" s="95"/>
    <row r="270" ht="15.75" customHeight="1" s="95"/>
    <row r="271" ht="15.75" customHeight="1" s="95"/>
    <row r="272" ht="15.75" customHeight="1" s="95"/>
    <row r="273" ht="15.75" customHeight="1" s="95"/>
    <row r="274" ht="15.75" customHeight="1" s="95"/>
    <row r="275" ht="15.75" customHeight="1" s="95"/>
    <row r="276" ht="15.75" customHeight="1" s="95"/>
    <row r="277" ht="15.75" customHeight="1" s="95"/>
    <row r="278" ht="15.75" customHeight="1" s="95"/>
    <row r="279" ht="15.75" customHeight="1" s="95"/>
    <row r="280" ht="15.75" customHeight="1" s="95"/>
    <row r="281" ht="15.75" customHeight="1" s="95"/>
    <row r="282" ht="15.75" customHeight="1" s="95"/>
    <row r="283" ht="15.75" customHeight="1" s="95"/>
    <row r="284" ht="15.75" customHeight="1" s="95"/>
    <row r="285" ht="15.75" customHeight="1" s="95"/>
    <row r="286" ht="15.75" customHeight="1" s="95"/>
    <row r="287" ht="15.75" customHeight="1" s="95"/>
    <row r="288" ht="15.75" customHeight="1" s="95"/>
    <row r="289" ht="15.75" customHeight="1" s="95"/>
    <row r="290" ht="15.75" customHeight="1" s="95"/>
    <row r="291" ht="15.75" customHeight="1" s="95"/>
    <row r="292" ht="15.75" customHeight="1" s="95"/>
    <row r="293" ht="15.75" customHeight="1" s="95"/>
    <row r="294" ht="15.75" customHeight="1" s="95"/>
    <row r="295" ht="15.75" customHeight="1" s="95"/>
    <row r="296" ht="15.75" customHeight="1" s="95"/>
    <row r="297" ht="15.75" customHeight="1" s="95"/>
    <row r="298" ht="15.75" customHeight="1" s="95"/>
    <row r="299" ht="15.75" customHeight="1" s="95"/>
    <row r="300" ht="15.75" customHeight="1" s="95"/>
    <row r="301" ht="15.75" customHeight="1" s="95"/>
    <row r="302" ht="15.75" customHeight="1" s="95"/>
    <row r="303" ht="15.75" customHeight="1" s="95"/>
    <row r="304" ht="15.75" customHeight="1" s="95"/>
    <row r="305" ht="15.75" customHeight="1" s="95"/>
    <row r="306" ht="15.75" customHeight="1" s="95"/>
    <row r="307" ht="15.75" customHeight="1" s="95"/>
    <row r="308" ht="15.75" customHeight="1" s="95"/>
    <row r="309" ht="15.75" customHeight="1" s="95"/>
    <row r="310" ht="15.75" customHeight="1" s="95"/>
    <row r="311" ht="15.75" customHeight="1" s="95"/>
    <row r="312" ht="15.75" customHeight="1" s="95"/>
    <row r="313" ht="15.75" customHeight="1" s="95"/>
    <row r="314" ht="15.75" customHeight="1" s="95"/>
    <row r="315" ht="15.75" customHeight="1" s="95"/>
    <row r="316" ht="15.75" customHeight="1" s="95"/>
    <row r="317" ht="15.75" customHeight="1" s="95"/>
    <row r="318" ht="15.75" customHeight="1" s="95"/>
    <row r="319" ht="15.75" customHeight="1" s="95"/>
    <row r="320" ht="15.75" customHeight="1" s="95"/>
    <row r="321" ht="15.75" customHeight="1" s="95"/>
    <row r="322" ht="15.75" customHeight="1" s="95"/>
    <row r="323" ht="15.75" customHeight="1" s="95"/>
    <row r="324" ht="15.75" customHeight="1" s="95"/>
    <row r="325" ht="15.75" customHeight="1" s="95"/>
    <row r="326" ht="15.75" customHeight="1" s="95"/>
    <row r="327" ht="15.75" customHeight="1" s="95"/>
    <row r="328" ht="15.75" customHeight="1" s="95"/>
    <row r="329" ht="15.75" customHeight="1" s="95"/>
    <row r="330" ht="15.75" customHeight="1" s="95"/>
    <row r="331" ht="15.75" customHeight="1" s="95"/>
    <row r="332" ht="15.75" customHeight="1" s="95"/>
    <row r="333" ht="15.75" customHeight="1" s="95"/>
    <row r="334" ht="15.75" customHeight="1" s="95"/>
    <row r="335" ht="15.75" customHeight="1" s="95"/>
    <row r="336" ht="15.75" customHeight="1" s="95"/>
    <row r="337" ht="15.75" customHeight="1" s="95"/>
    <row r="338" ht="15.75" customHeight="1" s="95"/>
    <row r="339" ht="15.75" customHeight="1" s="95"/>
    <row r="340" ht="15.75" customHeight="1" s="95"/>
    <row r="341" ht="15.75" customHeight="1" s="95"/>
    <row r="342" ht="15.75" customHeight="1" s="95"/>
    <row r="343" ht="15.75" customHeight="1" s="95"/>
    <row r="344" ht="15.75" customHeight="1" s="95"/>
    <row r="345" ht="15.75" customHeight="1" s="95"/>
    <row r="346" ht="15.75" customHeight="1" s="95"/>
    <row r="347" ht="15.75" customHeight="1" s="95"/>
    <row r="348" ht="15.75" customHeight="1" s="95"/>
    <row r="349" ht="15.75" customHeight="1" s="95"/>
    <row r="350" ht="15.75" customHeight="1" s="95"/>
    <row r="351" ht="15.75" customHeight="1" s="95"/>
    <row r="352" ht="15.75" customHeight="1" s="95"/>
    <row r="353" ht="15.75" customHeight="1" s="95"/>
    <row r="354" ht="15.75" customHeight="1" s="95"/>
    <row r="355" ht="15.75" customHeight="1" s="95"/>
    <row r="356" ht="15.75" customHeight="1" s="95"/>
    <row r="357" ht="15.75" customHeight="1" s="95"/>
    <row r="358" ht="15.75" customHeight="1" s="95"/>
    <row r="359" ht="15.75" customHeight="1" s="95"/>
    <row r="360" ht="15.75" customHeight="1" s="95"/>
    <row r="361" ht="15.75" customHeight="1" s="95"/>
    <row r="362" ht="15.75" customHeight="1" s="95"/>
    <row r="363" ht="15.75" customHeight="1" s="95"/>
    <row r="364" ht="15.75" customHeight="1" s="95"/>
    <row r="365" ht="15.75" customHeight="1" s="95"/>
    <row r="366" ht="15.75" customHeight="1" s="95"/>
    <row r="367" ht="15.75" customHeight="1" s="95"/>
    <row r="368" ht="15.75" customHeight="1" s="95"/>
    <row r="369" ht="15.75" customHeight="1" s="95"/>
    <row r="370" ht="15.75" customHeight="1" s="95"/>
    <row r="371" ht="15.75" customHeight="1" s="95"/>
    <row r="372" ht="15.75" customHeight="1" s="95"/>
    <row r="373" ht="15.75" customHeight="1" s="95"/>
    <row r="374" ht="15.75" customHeight="1" s="95"/>
    <row r="375" ht="15.75" customHeight="1" s="95"/>
    <row r="376" ht="15.75" customHeight="1" s="95"/>
    <row r="377" ht="15.75" customHeight="1" s="95"/>
    <row r="378" ht="15.75" customHeight="1" s="95"/>
    <row r="379" ht="15.75" customHeight="1" s="95"/>
    <row r="380" ht="15.75" customHeight="1" s="95"/>
    <row r="381" ht="15.75" customHeight="1" s="95"/>
    <row r="382" ht="15.75" customHeight="1" s="95"/>
    <row r="383" ht="15.75" customHeight="1" s="95"/>
    <row r="384" ht="15.75" customHeight="1" s="95"/>
    <row r="385" ht="15.75" customHeight="1" s="95"/>
    <row r="386" ht="15.75" customHeight="1" s="95"/>
    <row r="387" ht="15.75" customHeight="1" s="95"/>
    <row r="388" ht="15.75" customHeight="1" s="95"/>
    <row r="389" ht="15.75" customHeight="1" s="95"/>
    <row r="390" ht="15.75" customHeight="1" s="95"/>
    <row r="391" ht="15.75" customHeight="1" s="95"/>
    <row r="392" ht="15.75" customHeight="1" s="95"/>
    <row r="393" ht="15.75" customHeight="1" s="95"/>
    <row r="394" ht="15.75" customHeight="1" s="95"/>
    <row r="395" ht="15.75" customHeight="1" s="95"/>
    <row r="396" ht="15.75" customHeight="1" s="95"/>
    <row r="397" ht="15.75" customHeight="1" s="95"/>
    <row r="398" ht="15.75" customHeight="1" s="95"/>
    <row r="399" ht="15.75" customHeight="1" s="95"/>
    <row r="400" ht="15.75" customHeight="1" s="95"/>
    <row r="401" ht="15.75" customHeight="1" s="95"/>
    <row r="402" ht="15.75" customHeight="1" s="95"/>
    <row r="403" ht="15.75" customHeight="1" s="95"/>
    <row r="404" ht="15.75" customHeight="1" s="95"/>
    <row r="405" ht="15.75" customHeight="1" s="95"/>
    <row r="406" ht="15.75" customHeight="1" s="95"/>
    <row r="407" ht="15.75" customHeight="1" s="95"/>
    <row r="408" ht="15.75" customHeight="1" s="95"/>
    <row r="409" ht="15.75" customHeight="1" s="95"/>
    <row r="410" ht="15.75" customHeight="1" s="95"/>
    <row r="411" ht="15.75" customHeight="1" s="95"/>
    <row r="412" ht="15.75" customHeight="1" s="95"/>
    <row r="413" ht="15.75" customHeight="1" s="95"/>
    <row r="414" ht="15.75" customHeight="1" s="95"/>
    <row r="415" ht="15.75" customHeight="1" s="95"/>
    <row r="416" ht="15.75" customHeight="1" s="95"/>
    <row r="417" ht="15.75" customHeight="1" s="95"/>
    <row r="418" ht="15.75" customHeight="1" s="95"/>
    <row r="419" ht="15.75" customHeight="1" s="95"/>
    <row r="420" ht="15.75" customHeight="1" s="95"/>
    <row r="421" ht="15.75" customHeight="1" s="95"/>
    <row r="422" ht="15.75" customHeight="1" s="95"/>
    <row r="423" ht="15.75" customHeight="1" s="95"/>
    <row r="424" ht="15.75" customHeight="1" s="95"/>
    <row r="425" ht="15.75" customHeight="1" s="95"/>
    <row r="426" ht="15.75" customHeight="1" s="95"/>
    <row r="427" ht="15.75" customHeight="1" s="95"/>
    <row r="428" ht="15.75" customHeight="1" s="95"/>
    <row r="429" ht="15.75" customHeight="1" s="95"/>
    <row r="430" ht="15.75" customHeight="1" s="95"/>
    <row r="431" ht="15.75" customHeight="1" s="95"/>
    <row r="432" ht="15.75" customHeight="1" s="95"/>
    <row r="433" ht="15.75" customHeight="1" s="95"/>
    <row r="434" ht="15.75" customHeight="1" s="95"/>
    <row r="435" ht="15.75" customHeight="1" s="95"/>
    <row r="436" ht="15.75" customHeight="1" s="95"/>
    <row r="437" ht="15.75" customHeight="1" s="95"/>
    <row r="438" ht="15.75" customHeight="1" s="95"/>
    <row r="439" ht="15.75" customHeight="1" s="95"/>
    <row r="440" ht="15.75" customHeight="1" s="95"/>
    <row r="441" ht="15.75" customHeight="1" s="95"/>
    <row r="442" ht="15.75" customHeight="1" s="95"/>
    <row r="443" ht="15.75" customHeight="1" s="95"/>
    <row r="444" ht="15.75" customHeight="1" s="95"/>
    <row r="445" ht="15.75" customHeight="1" s="95"/>
    <row r="446" ht="15.75" customHeight="1" s="95"/>
    <row r="447" ht="15.75" customHeight="1" s="95"/>
    <row r="448" ht="15.75" customHeight="1" s="95"/>
    <row r="449" ht="15.75" customHeight="1" s="95"/>
    <row r="450" ht="15.75" customHeight="1" s="95"/>
    <row r="451" ht="15.75" customHeight="1" s="95"/>
    <row r="452" ht="15.75" customHeight="1" s="95"/>
    <row r="453" ht="15.75" customHeight="1" s="95"/>
    <row r="454" ht="15.75" customHeight="1" s="95"/>
    <row r="455" ht="15.75" customHeight="1" s="95"/>
    <row r="456" ht="15.75" customHeight="1" s="95"/>
    <row r="457" ht="15.75" customHeight="1" s="95"/>
    <row r="458" ht="15.75" customHeight="1" s="95"/>
    <row r="459" ht="15.75" customHeight="1" s="95"/>
    <row r="460" ht="15.75" customHeight="1" s="95"/>
    <row r="461" ht="15.75" customHeight="1" s="95"/>
    <row r="462" ht="15.75" customHeight="1" s="95"/>
    <row r="463" ht="15.75" customHeight="1" s="95"/>
    <row r="464" ht="15.75" customHeight="1" s="95"/>
    <row r="465" ht="15.75" customHeight="1" s="95"/>
    <row r="466" ht="15.75" customHeight="1" s="95"/>
    <row r="467" ht="15.75" customHeight="1" s="95"/>
    <row r="468" ht="15.75" customHeight="1" s="95"/>
    <row r="469" ht="15.75" customHeight="1" s="95"/>
    <row r="470" ht="15.75" customHeight="1" s="95"/>
    <row r="471" ht="15.75" customHeight="1" s="95"/>
    <row r="472" ht="15.75" customHeight="1" s="95"/>
    <row r="473" ht="15.75" customHeight="1" s="95"/>
    <row r="474" ht="15.75" customHeight="1" s="95"/>
    <row r="475" ht="15.75" customHeight="1" s="95"/>
    <row r="476" ht="15.75" customHeight="1" s="95"/>
    <row r="477" ht="15.75" customHeight="1" s="95"/>
    <row r="478" ht="15.75" customHeight="1" s="95"/>
    <row r="479" ht="15.75" customHeight="1" s="95"/>
    <row r="480" ht="15.75" customHeight="1" s="95"/>
    <row r="481" ht="15.75" customHeight="1" s="95"/>
    <row r="482" ht="15.75" customHeight="1" s="95"/>
    <row r="483" ht="15.75" customHeight="1" s="95"/>
    <row r="484" ht="15.75" customHeight="1" s="95"/>
    <row r="485" ht="15.75" customHeight="1" s="95"/>
    <row r="486" ht="15.75" customHeight="1" s="95"/>
    <row r="487" ht="15.75" customHeight="1" s="95"/>
    <row r="488" ht="15.75" customHeight="1" s="95"/>
    <row r="489" ht="15.75" customHeight="1" s="95"/>
    <row r="490" ht="15.75" customHeight="1" s="95"/>
    <row r="491" ht="15.75" customHeight="1" s="95"/>
    <row r="492" ht="15.75" customHeight="1" s="95"/>
    <row r="493" ht="15.75" customHeight="1" s="95"/>
    <row r="494" ht="15.75" customHeight="1" s="95"/>
    <row r="495" ht="15.75" customHeight="1" s="95"/>
    <row r="496" ht="15.75" customHeight="1" s="95"/>
    <row r="497" ht="15.75" customHeight="1" s="95"/>
    <row r="498" ht="15.75" customHeight="1" s="95"/>
    <row r="499" ht="15.75" customHeight="1" s="95"/>
    <row r="500" ht="15.75" customHeight="1" s="95"/>
    <row r="501" ht="15.75" customHeight="1" s="95"/>
    <row r="502" ht="15.75" customHeight="1" s="95"/>
    <row r="503" ht="15.75" customHeight="1" s="95"/>
    <row r="504" ht="15.75" customHeight="1" s="95"/>
    <row r="505" ht="15.75" customHeight="1" s="95"/>
    <row r="506" ht="15.75" customHeight="1" s="95"/>
    <row r="507" ht="15.75" customHeight="1" s="95"/>
    <row r="508" ht="15.75" customHeight="1" s="95"/>
    <row r="509" ht="15.75" customHeight="1" s="95"/>
    <row r="510" ht="15.75" customHeight="1" s="95"/>
    <row r="511" ht="15.75" customHeight="1" s="95"/>
    <row r="512" ht="15.75" customHeight="1" s="95"/>
    <row r="513" ht="15.75" customHeight="1" s="95"/>
    <row r="514" ht="15.75" customHeight="1" s="95"/>
    <row r="515" ht="15.75" customHeight="1" s="95"/>
    <row r="516" ht="15.75" customHeight="1" s="95"/>
    <row r="517" ht="15.75" customHeight="1" s="95"/>
    <row r="518" ht="15.75" customHeight="1" s="95"/>
    <row r="519" ht="15.75" customHeight="1" s="95"/>
    <row r="520" ht="15.75" customHeight="1" s="95"/>
    <row r="521" ht="15.75" customHeight="1" s="95"/>
    <row r="522" ht="15.75" customHeight="1" s="95"/>
    <row r="523" ht="15.75" customHeight="1" s="95"/>
    <row r="524" ht="15.75" customHeight="1" s="95"/>
    <row r="525" ht="15.75" customHeight="1" s="95"/>
    <row r="526" ht="15.75" customHeight="1" s="95"/>
    <row r="527" ht="15.75" customHeight="1" s="95"/>
    <row r="528" ht="15.75" customHeight="1" s="95"/>
    <row r="529" ht="15.75" customHeight="1" s="95"/>
    <row r="530" ht="15.75" customHeight="1" s="95"/>
    <row r="531" ht="15.75" customHeight="1" s="95"/>
    <row r="532" ht="15.75" customHeight="1" s="95"/>
    <row r="533" ht="15.75" customHeight="1" s="95"/>
    <row r="534" ht="15.75" customHeight="1" s="95"/>
    <row r="535" ht="15.75" customHeight="1" s="95"/>
    <row r="536" ht="15.75" customHeight="1" s="95"/>
    <row r="537" ht="15.75" customHeight="1" s="95"/>
    <row r="538" ht="15.75" customHeight="1" s="95"/>
    <row r="539" ht="15.75" customHeight="1" s="95"/>
    <row r="540" ht="15.75" customHeight="1" s="95"/>
    <row r="541" ht="15.75" customHeight="1" s="95"/>
    <row r="542" ht="15.75" customHeight="1" s="95"/>
    <row r="543" ht="15.75" customHeight="1" s="95"/>
    <row r="544" ht="15.75" customHeight="1" s="95"/>
    <row r="545" ht="15.75" customHeight="1" s="95"/>
    <row r="546" ht="15.75" customHeight="1" s="95"/>
    <row r="547" ht="15.75" customHeight="1" s="95"/>
    <row r="548" ht="15.75" customHeight="1" s="95"/>
    <row r="549" ht="15.75" customHeight="1" s="95"/>
    <row r="550" ht="15.75" customHeight="1" s="95"/>
    <row r="551" ht="15.75" customHeight="1" s="95"/>
    <row r="552" ht="15.75" customHeight="1" s="95"/>
    <row r="553" ht="15.75" customHeight="1" s="95"/>
    <row r="554" ht="15.75" customHeight="1" s="95"/>
    <row r="555" ht="15.75" customHeight="1" s="95"/>
    <row r="556" ht="15.75" customHeight="1" s="95"/>
    <row r="557" ht="15.75" customHeight="1" s="95"/>
    <row r="558" ht="15.75" customHeight="1" s="95"/>
    <row r="559" ht="15.75" customHeight="1" s="95"/>
    <row r="560" ht="15.75" customHeight="1" s="95"/>
    <row r="561" ht="15.75" customHeight="1" s="95"/>
    <row r="562" ht="15.75" customHeight="1" s="95"/>
    <row r="563" ht="15.75" customHeight="1" s="95"/>
    <row r="564" ht="15.75" customHeight="1" s="95"/>
    <row r="565" ht="15.75" customHeight="1" s="95"/>
    <row r="566" ht="15.75" customHeight="1" s="95"/>
    <row r="567" ht="15.75" customHeight="1" s="95"/>
    <row r="568" ht="15.75" customHeight="1" s="95"/>
    <row r="569" ht="15.75" customHeight="1" s="95"/>
    <row r="570" ht="15.75" customHeight="1" s="95"/>
    <row r="571" ht="15.75" customHeight="1" s="95"/>
    <row r="572" ht="15.75" customHeight="1" s="95"/>
    <row r="573" ht="15.75" customHeight="1" s="95"/>
    <row r="574" ht="15.75" customHeight="1" s="95"/>
    <row r="575" ht="15.75" customHeight="1" s="95"/>
    <row r="576" ht="15.75" customHeight="1" s="95"/>
    <row r="577" ht="15.75" customHeight="1" s="95"/>
    <row r="578" ht="15.75" customHeight="1" s="95"/>
    <row r="579" ht="15.75" customHeight="1" s="95"/>
    <row r="580" ht="15.75" customHeight="1" s="95"/>
    <row r="581" ht="15.75" customHeight="1" s="95"/>
    <row r="582" ht="15.75" customHeight="1" s="95"/>
    <row r="583" ht="15.75" customHeight="1" s="95"/>
    <row r="584" ht="15.75" customHeight="1" s="95"/>
    <row r="585" ht="15.75" customHeight="1" s="95"/>
    <row r="586" ht="15.75" customHeight="1" s="95"/>
    <row r="587" ht="15.75" customHeight="1" s="95"/>
    <row r="588" ht="15.75" customHeight="1" s="95"/>
    <row r="589" ht="15.75" customHeight="1" s="95"/>
    <row r="590" ht="15.75" customHeight="1" s="95"/>
    <row r="591" ht="15.75" customHeight="1" s="95"/>
    <row r="592" ht="15.75" customHeight="1" s="95"/>
    <row r="593" ht="15.75" customHeight="1" s="95"/>
    <row r="594" ht="15.75" customHeight="1" s="95"/>
    <row r="595" ht="15.75" customHeight="1" s="95"/>
    <row r="596" ht="15.75" customHeight="1" s="95"/>
    <row r="597" ht="15.75" customHeight="1" s="95"/>
    <row r="598" ht="15.75" customHeight="1" s="95"/>
    <row r="599" ht="15.75" customHeight="1" s="95"/>
    <row r="600" ht="15.75" customHeight="1" s="95"/>
    <row r="601" ht="15.75" customHeight="1" s="95"/>
    <row r="602" ht="15.75" customHeight="1" s="95"/>
    <row r="603" ht="15.75" customHeight="1" s="95"/>
    <row r="604" ht="15.75" customHeight="1" s="95"/>
    <row r="605" ht="15.75" customHeight="1" s="95"/>
    <row r="606" ht="15.75" customHeight="1" s="95"/>
    <row r="607" ht="15.75" customHeight="1" s="95"/>
    <row r="608" ht="15.75" customHeight="1" s="95"/>
    <row r="609" ht="15.75" customHeight="1" s="95"/>
    <row r="610" ht="15.75" customHeight="1" s="95"/>
    <row r="611" ht="15.75" customHeight="1" s="95"/>
    <row r="612" ht="15.75" customHeight="1" s="95"/>
    <row r="613" ht="15.75" customHeight="1" s="95"/>
    <row r="614" ht="15.75" customHeight="1" s="95"/>
    <row r="615" ht="15.75" customHeight="1" s="95"/>
    <row r="616" ht="15.75" customHeight="1" s="95"/>
    <row r="617" ht="15.75" customHeight="1" s="95"/>
    <row r="618" ht="15.75" customHeight="1" s="95"/>
    <row r="619" ht="15.75" customHeight="1" s="95"/>
    <row r="620" ht="15.75" customHeight="1" s="95"/>
    <row r="621" ht="15.75" customHeight="1" s="95"/>
    <row r="622" ht="15.75" customHeight="1" s="95"/>
    <row r="623" ht="15.75" customHeight="1" s="95"/>
    <row r="624" ht="15.75" customHeight="1" s="95"/>
    <row r="625" ht="15.75" customHeight="1" s="95"/>
    <row r="626" ht="15.75" customHeight="1" s="95"/>
    <row r="627" ht="15.75" customHeight="1" s="95"/>
    <row r="628" ht="15.75" customHeight="1" s="95"/>
    <row r="629" ht="15.75" customHeight="1" s="95"/>
    <row r="630" ht="15.75" customHeight="1" s="95"/>
    <row r="631" ht="15.75" customHeight="1" s="95"/>
    <row r="632" ht="15.75" customHeight="1" s="95"/>
    <row r="633" ht="15.75" customHeight="1" s="95"/>
    <row r="634" ht="15.75" customHeight="1" s="95"/>
    <row r="635" ht="15.75" customHeight="1" s="95"/>
    <row r="636" ht="15.75" customHeight="1" s="95"/>
    <row r="637" ht="15.75" customHeight="1" s="95"/>
    <row r="638" ht="15.75" customHeight="1" s="95"/>
    <row r="639" ht="15.75" customHeight="1" s="95"/>
    <row r="640" ht="15.75" customHeight="1" s="95"/>
    <row r="641" ht="15.75" customHeight="1" s="95"/>
    <row r="642" ht="15.75" customHeight="1" s="95"/>
    <row r="643" ht="15.75" customHeight="1" s="95"/>
    <row r="644" ht="15.75" customHeight="1" s="95"/>
    <row r="645" ht="15.75" customHeight="1" s="95"/>
    <row r="646" ht="15.75" customHeight="1" s="95"/>
    <row r="647" ht="15.75" customHeight="1" s="95"/>
    <row r="648" ht="15.75" customHeight="1" s="95"/>
    <row r="649" ht="15.75" customHeight="1" s="95"/>
    <row r="650" ht="15.75" customHeight="1" s="95"/>
    <row r="651" ht="15.75" customHeight="1" s="95"/>
    <row r="652" ht="15.75" customHeight="1" s="95"/>
    <row r="653" ht="15.75" customHeight="1" s="95"/>
    <row r="654" ht="15.75" customHeight="1" s="95"/>
    <row r="655" ht="15.75" customHeight="1" s="95"/>
    <row r="656" ht="15.75" customHeight="1" s="95"/>
    <row r="657" ht="15.75" customHeight="1" s="95"/>
    <row r="658" ht="15.75" customHeight="1" s="95"/>
    <row r="659" ht="15.75" customHeight="1" s="95"/>
    <row r="660" ht="15.75" customHeight="1" s="95"/>
    <row r="661" ht="15.75" customHeight="1" s="95"/>
    <row r="662" ht="15.75" customHeight="1" s="95"/>
    <row r="663" ht="15.75" customHeight="1" s="95"/>
    <row r="664" ht="15.75" customHeight="1" s="95"/>
    <row r="665" ht="15.75" customHeight="1" s="95"/>
    <row r="666" ht="15.75" customHeight="1" s="95"/>
    <row r="667" ht="15.75" customHeight="1" s="95"/>
    <row r="668" ht="15.75" customHeight="1" s="95"/>
    <row r="669" ht="15.75" customHeight="1" s="95"/>
    <row r="670" ht="15.75" customHeight="1" s="95"/>
    <row r="671" ht="15.75" customHeight="1" s="95"/>
    <row r="672" ht="15.75" customHeight="1" s="95"/>
    <row r="673" ht="15.75" customHeight="1" s="95"/>
    <row r="674" ht="15.75" customHeight="1" s="95"/>
    <row r="675" ht="15.75" customHeight="1" s="95"/>
    <row r="676" ht="15.75" customHeight="1" s="95"/>
    <row r="677" ht="15.75" customHeight="1" s="95"/>
    <row r="678" ht="15.75" customHeight="1" s="95"/>
    <row r="679" ht="15.75" customHeight="1" s="95"/>
    <row r="680" ht="15.75" customHeight="1" s="95"/>
    <row r="681" ht="15.75" customHeight="1" s="95"/>
    <row r="682" ht="15.75" customHeight="1" s="95"/>
    <row r="683" ht="15.75" customHeight="1" s="95"/>
    <row r="684" ht="15.75" customHeight="1" s="95"/>
    <row r="685" ht="15.75" customHeight="1" s="95"/>
    <row r="686" ht="15.75" customHeight="1" s="95"/>
    <row r="687" ht="15.75" customHeight="1" s="95"/>
    <row r="688" ht="15.75" customHeight="1" s="95"/>
    <row r="689" ht="15.75" customHeight="1" s="95"/>
    <row r="690" ht="15.75" customHeight="1" s="95"/>
    <row r="691" ht="15.75" customHeight="1" s="95"/>
    <row r="692" ht="15.75" customHeight="1" s="95"/>
    <row r="693" ht="15.75" customHeight="1" s="95"/>
    <row r="694" ht="15.75" customHeight="1" s="95"/>
    <row r="695" ht="15.75" customHeight="1" s="95"/>
    <row r="696" ht="15.75" customHeight="1" s="95"/>
    <row r="697" ht="15.75" customHeight="1" s="95"/>
    <row r="698" ht="15.75" customHeight="1" s="95"/>
    <row r="699" ht="15.75" customHeight="1" s="95"/>
    <row r="700" ht="15.75" customHeight="1" s="95"/>
    <row r="701" ht="15.75" customHeight="1" s="95"/>
    <row r="702" ht="15.75" customHeight="1" s="95"/>
    <row r="703" ht="15.75" customHeight="1" s="95"/>
    <row r="704" ht="15.75" customHeight="1" s="95"/>
    <row r="705" ht="15.75" customHeight="1" s="95"/>
    <row r="706" ht="15.75" customHeight="1" s="95"/>
    <row r="707" ht="15.75" customHeight="1" s="95"/>
    <row r="708" ht="15.75" customHeight="1" s="95"/>
    <row r="709" ht="15.75" customHeight="1" s="95"/>
    <row r="710" ht="15.75" customHeight="1" s="95"/>
    <row r="711" ht="15.75" customHeight="1" s="95"/>
    <row r="712" ht="15.75" customHeight="1" s="95"/>
    <row r="713" ht="15.75" customHeight="1" s="95"/>
    <row r="714" ht="15.75" customHeight="1" s="95"/>
    <row r="715" ht="15.75" customHeight="1" s="95"/>
    <row r="716" ht="15.75" customHeight="1" s="95"/>
    <row r="717" ht="15.75" customHeight="1" s="95"/>
    <row r="718" ht="15.75" customHeight="1" s="95"/>
    <row r="719" ht="15.75" customHeight="1" s="95"/>
    <row r="720" ht="15.75" customHeight="1" s="95"/>
    <row r="721" ht="15.75" customHeight="1" s="95"/>
    <row r="722" ht="15.75" customHeight="1" s="95"/>
    <row r="723" ht="15.75" customHeight="1" s="95"/>
    <row r="724" ht="15.75" customHeight="1" s="95"/>
    <row r="725" ht="15.75" customHeight="1" s="95"/>
    <row r="726" ht="15.75" customHeight="1" s="95"/>
    <row r="727" ht="15.75" customHeight="1" s="95"/>
    <row r="728" ht="15.75" customHeight="1" s="95"/>
    <row r="729" ht="15.75" customHeight="1" s="95"/>
    <row r="730" ht="15.75" customHeight="1" s="95"/>
    <row r="731" ht="15.75" customHeight="1" s="95"/>
    <row r="732" ht="15.75" customHeight="1" s="95"/>
    <row r="733" ht="15.75" customHeight="1" s="95"/>
    <row r="734" ht="15.75" customHeight="1" s="95"/>
    <row r="735" ht="15.75" customHeight="1" s="95"/>
    <row r="736" ht="15.75" customHeight="1" s="95"/>
    <row r="737" ht="15.75" customHeight="1" s="95"/>
    <row r="738" ht="15.75" customHeight="1" s="95"/>
    <row r="739" ht="15.75" customHeight="1" s="95"/>
    <row r="740" ht="15.75" customHeight="1" s="95"/>
    <row r="741" ht="15.75" customHeight="1" s="95"/>
    <row r="742" ht="15.75" customHeight="1" s="95"/>
    <row r="743" ht="15.75" customHeight="1" s="95"/>
    <row r="744" ht="15.75" customHeight="1" s="95"/>
    <row r="745" ht="15.75" customHeight="1" s="95"/>
    <row r="746" ht="15.75" customHeight="1" s="95"/>
    <row r="747" ht="15.75" customHeight="1" s="95"/>
    <row r="748" ht="15.75" customHeight="1" s="95"/>
    <row r="749" ht="15.75" customHeight="1" s="95"/>
    <row r="750" ht="15.75" customHeight="1" s="95"/>
    <row r="751" ht="15.75" customHeight="1" s="95"/>
    <row r="752" ht="15.75" customHeight="1" s="95"/>
    <row r="753" ht="15.75" customHeight="1" s="95"/>
    <row r="754" ht="15.75" customHeight="1" s="95"/>
    <row r="755" ht="15.75" customHeight="1" s="95"/>
    <row r="756" ht="15.75" customHeight="1" s="95"/>
    <row r="757" ht="15.75" customHeight="1" s="95"/>
    <row r="758" ht="15.75" customHeight="1" s="95"/>
    <row r="759" ht="15.75" customHeight="1" s="95"/>
    <row r="760" ht="15.75" customHeight="1" s="95"/>
    <row r="761" ht="15.75" customHeight="1" s="95"/>
    <row r="762" ht="15.75" customHeight="1" s="95"/>
    <row r="763" ht="15.75" customHeight="1" s="95"/>
    <row r="764" ht="15.75" customHeight="1" s="95"/>
    <row r="765" ht="15.75" customHeight="1" s="95"/>
    <row r="766" ht="15.75" customHeight="1" s="95"/>
    <row r="767" ht="15.75" customHeight="1" s="95"/>
    <row r="768" ht="15.75" customHeight="1" s="95"/>
    <row r="769" ht="15.75" customHeight="1" s="95"/>
    <row r="770" ht="15.75" customHeight="1" s="95"/>
    <row r="771" ht="15.75" customHeight="1" s="95"/>
    <row r="772" ht="15.75" customHeight="1" s="95"/>
    <row r="773" ht="15.75" customHeight="1" s="95"/>
    <row r="774" ht="15.75" customHeight="1" s="95"/>
    <row r="775" ht="15.75" customHeight="1" s="95"/>
    <row r="776" ht="15.75" customHeight="1" s="95"/>
    <row r="777" ht="15.75" customHeight="1" s="95"/>
    <row r="778" ht="15.75" customHeight="1" s="95"/>
    <row r="779" ht="15.75" customHeight="1" s="95"/>
    <row r="780" ht="15.75" customHeight="1" s="95"/>
    <row r="781" ht="15.75" customHeight="1" s="95"/>
    <row r="782" ht="15.75" customHeight="1" s="95"/>
    <row r="783" ht="15.75" customHeight="1" s="95"/>
    <row r="784" ht="15.75" customHeight="1" s="95"/>
    <row r="785" ht="15.75" customHeight="1" s="95"/>
    <row r="786" ht="15.75" customHeight="1" s="95"/>
    <row r="787" ht="15.75" customHeight="1" s="95"/>
    <row r="788" ht="15.75" customHeight="1" s="95"/>
    <row r="789" ht="15.75" customHeight="1" s="95"/>
    <row r="790" ht="15.75" customHeight="1" s="95"/>
    <row r="791" ht="15.75" customHeight="1" s="95"/>
    <row r="792" ht="15.75" customHeight="1" s="95"/>
    <row r="793" ht="15.75" customHeight="1" s="95"/>
    <row r="794" ht="15.75" customHeight="1" s="95"/>
    <row r="795" ht="15.75" customHeight="1" s="95"/>
    <row r="796" ht="15.75" customHeight="1" s="95"/>
    <row r="797" ht="15.75" customHeight="1" s="95"/>
    <row r="798" ht="15.75" customHeight="1" s="95"/>
    <row r="799" ht="15.75" customHeight="1" s="95"/>
    <row r="800" ht="15.75" customHeight="1" s="95"/>
    <row r="801" ht="15.75" customHeight="1" s="95"/>
    <row r="802" ht="15.75" customHeight="1" s="95"/>
    <row r="803" ht="15.75" customHeight="1" s="95"/>
    <row r="804" ht="15.75" customHeight="1" s="95"/>
    <row r="805" ht="15.75" customHeight="1" s="95"/>
    <row r="806" ht="15.75" customHeight="1" s="95"/>
    <row r="807" ht="15.75" customHeight="1" s="95"/>
    <row r="808" ht="15.75" customHeight="1" s="95"/>
    <row r="809" ht="15.75" customHeight="1" s="95"/>
    <row r="810" ht="15.75" customHeight="1" s="95"/>
    <row r="811" ht="15.75" customHeight="1" s="95"/>
    <row r="812" ht="15.75" customHeight="1" s="95"/>
    <row r="813" ht="15.75" customHeight="1" s="95"/>
    <row r="814" ht="15.75" customHeight="1" s="95"/>
    <row r="815" ht="15.75" customHeight="1" s="95"/>
    <row r="816" ht="15.75" customHeight="1" s="95"/>
    <row r="817" ht="15.75" customHeight="1" s="95"/>
    <row r="818" ht="15.75" customHeight="1" s="95"/>
    <row r="819" ht="15.75" customHeight="1" s="95"/>
    <row r="820" ht="15.75" customHeight="1" s="95"/>
    <row r="821" ht="15.75" customHeight="1" s="95"/>
    <row r="822" ht="15.75" customHeight="1" s="95"/>
    <row r="823" ht="15.75" customHeight="1" s="95"/>
    <row r="824" ht="15.75" customHeight="1" s="95"/>
    <row r="825" ht="15.75" customHeight="1" s="95"/>
    <row r="826" ht="15.75" customHeight="1" s="95"/>
    <row r="827" ht="15.75" customHeight="1" s="95"/>
    <row r="828" ht="15.75" customHeight="1" s="95"/>
    <row r="829" ht="15.75" customHeight="1" s="95"/>
    <row r="830" ht="15.75" customHeight="1" s="95"/>
    <row r="831" ht="15.75" customHeight="1" s="95"/>
    <row r="832" ht="15.75" customHeight="1" s="95"/>
    <row r="833" ht="15.75" customHeight="1" s="95"/>
    <row r="834" ht="15.75" customHeight="1" s="95"/>
    <row r="835" ht="15.75" customHeight="1" s="95"/>
    <row r="836" ht="15.75" customHeight="1" s="95"/>
    <row r="837" ht="15.75" customHeight="1" s="95"/>
    <row r="838" ht="15.75" customHeight="1" s="95"/>
    <row r="839" ht="15.75" customHeight="1" s="95"/>
    <row r="840" ht="15.75" customHeight="1" s="95"/>
    <row r="841" ht="15.75" customHeight="1" s="95"/>
    <row r="842" ht="15.75" customHeight="1" s="95"/>
    <row r="843" ht="15.75" customHeight="1" s="95"/>
    <row r="844" ht="15.75" customHeight="1" s="95"/>
    <row r="845" ht="15.75" customHeight="1" s="95"/>
    <row r="846" ht="15.75" customHeight="1" s="95"/>
    <row r="847" ht="15.75" customHeight="1" s="95"/>
    <row r="848" ht="15.75" customHeight="1" s="95"/>
    <row r="849" ht="15.75" customHeight="1" s="95"/>
    <row r="850" ht="15.75" customHeight="1" s="95"/>
    <row r="851" ht="15.75" customHeight="1" s="95"/>
    <row r="852" ht="15.75" customHeight="1" s="95"/>
    <row r="853" ht="15.75" customHeight="1" s="95"/>
    <row r="854" ht="15.75" customHeight="1" s="95"/>
    <row r="855" ht="15.75" customHeight="1" s="95"/>
    <row r="856" ht="15.75" customHeight="1" s="95"/>
    <row r="857" ht="15.75" customHeight="1" s="95"/>
    <row r="858" ht="15.75" customHeight="1" s="95"/>
    <row r="859" ht="15.75" customHeight="1" s="95"/>
    <row r="860" ht="15.75" customHeight="1" s="95"/>
    <row r="861" ht="15.75" customHeight="1" s="95"/>
    <row r="862" ht="15.75" customHeight="1" s="95"/>
    <row r="863" ht="15.75" customHeight="1" s="95"/>
    <row r="864" ht="15.75" customHeight="1" s="95"/>
    <row r="865" ht="15.75" customHeight="1" s="95"/>
    <row r="866" ht="15.75" customHeight="1" s="95"/>
    <row r="867" ht="15.75" customHeight="1" s="95"/>
    <row r="868" ht="15.75" customHeight="1" s="95"/>
    <row r="869" ht="15.75" customHeight="1" s="95"/>
    <row r="870" ht="15.75" customHeight="1" s="95"/>
    <row r="871" ht="15.75" customHeight="1" s="95"/>
    <row r="872" ht="15.75" customHeight="1" s="95"/>
    <row r="873" ht="15.75" customHeight="1" s="95"/>
    <row r="874" ht="15.75" customHeight="1" s="95"/>
    <row r="875" ht="15.75" customHeight="1" s="95"/>
    <row r="876" ht="15.75" customHeight="1" s="95"/>
    <row r="877" ht="15.75" customHeight="1" s="95"/>
    <row r="878" ht="15.75" customHeight="1" s="95"/>
    <row r="879" ht="15.75" customHeight="1" s="95"/>
    <row r="880" ht="15.75" customHeight="1" s="95"/>
    <row r="881" ht="15.75" customHeight="1" s="95"/>
    <row r="882" ht="15.75" customHeight="1" s="95"/>
    <row r="883" ht="15.75" customHeight="1" s="95"/>
    <row r="884" ht="15.75" customHeight="1" s="95"/>
    <row r="885" ht="15.75" customHeight="1" s="95"/>
    <row r="886" ht="15.75" customHeight="1" s="95"/>
    <row r="887" ht="15.75" customHeight="1" s="95"/>
    <row r="888" ht="15.75" customHeight="1" s="95"/>
    <row r="889" ht="15.75" customHeight="1" s="95"/>
    <row r="890" ht="15.75" customHeight="1" s="95"/>
    <row r="891" ht="15.75" customHeight="1" s="95"/>
    <row r="892" ht="15.75" customHeight="1" s="95"/>
    <row r="893" ht="15.75" customHeight="1" s="95"/>
    <row r="894" ht="15.75" customHeight="1" s="95"/>
    <row r="895" ht="15.75" customHeight="1" s="95"/>
    <row r="896" ht="15.75" customHeight="1" s="95"/>
    <row r="897" ht="15.75" customHeight="1" s="95"/>
    <row r="898" ht="15.75" customHeight="1" s="95"/>
    <row r="899" ht="15.75" customHeight="1" s="95"/>
    <row r="900" ht="15.75" customHeight="1" s="95"/>
    <row r="901" ht="15.75" customHeight="1" s="95"/>
    <row r="902" ht="15.75" customHeight="1" s="95"/>
    <row r="903" ht="15.75" customHeight="1" s="95"/>
    <row r="904" ht="15.75" customHeight="1" s="95"/>
    <row r="905" ht="15.75" customHeight="1" s="95"/>
    <row r="906" ht="15.75" customHeight="1" s="95"/>
    <row r="907" ht="15.75" customHeight="1" s="95"/>
    <row r="908" ht="15.75" customHeight="1" s="95"/>
    <row r="909" ht="15.75" customHeight="1" s="95"/>
    <row r="910" ht="15.75" customHeight="1" s="95"/>
    <row r="911" ht="15.75" customHeight="1" s="95"/>
    <row r="912" ht="15.75" customHeight="1" s="95"/>
    <row r="913" ht="15.75" customHeight="1" s="95"/>
    <row r="914" ht="15.75" customHeight="1" s="95"/>
    <row r="915" ht="15.75" customHeight="1" s="95"/>
    <row r="916" ht="15.75" customHeight="1" s="95"/>
    <row r="917" ht="15.75" customHeight="1" s="95"/>
    <row r="918" ht="15.75" customHeight="1" s="95"/>
    <row r="919" ht="15.75" customHeight="1" s="95"/>
    <row r="920" ht="15.75" customHeight="1" s="95"/>
    <row r="921" ht="15.75" customHeight="1" s="95"/>
    <row r="922" ht="15.75" customHeight="1" s="95"/>
    <row r="923" ht="15.75" customHeight="1" s="95"/>
    <row r="924" ht="15.75" customHeight="1" s="95"/>
    <row r="925" ht="15.75" customHeight="1" s="95"/>
    <row r="926" ht="15.75" customHeight="1" s="95"/>
    <row r="927" ht="15.75" customHeight="1" s="95"/>
    <row r="928" ht="15.75" customHeight="1" s="95"/>
    <row r="929" ht="15.75" customHeight="1" s="95"/>
    <row r="930" ht="15.75" customHeight="1" s="95"/>
    <row r="931" ht="15.75" customHeight="1" s="95"/>
    <row r="932" ht="15.75" customHeight="1" s="95"/>
    <row r="933" ht="15.75" customHeight="1" s="95"/>
    <row r="934" ht="15.75" customHeight="1" s="95"/>
    <row r="935" ht="15.75" customHeight="1" s="95"/>
    <row r="936" ht="15.75" customHeight="1" s="95"/>
    <row r="937" ht="15.75" customHeight="1" s="95"/>
    <row r="938" ht="15.75" customHeight="1" s="95"/>
    <row r="939" ht="15.75" customHeight="1" s="95"/>
    <row r="940" ht="15.75" customHeight="1" s="95"/>
    <row r="941" ht="15.75" customHeight="1" s="95"/>
    <row r="942" ht="15.75" customHeight="1" s="95"/>
    <row r="943" ht="15.75" customHeight="1" s="95"/>
    <row r="944" ht="15.75" customHeight="1" s="95"/>
    <row r="945" ht="15.75" customHeight="1" s="95"/>
    <row r="946" ht="15.75" customHeight="1" s="95"/>
    <row r="947" ht="15.75" customHeight="1" s="95"/>
    <row r="948" ht="15.75" customHeight="1" s="95"/>
    <row r="949" ht="15.75" customHeight="1" s="95"/>
    <row r="950" ht="15.75" customHeight="1" s="95"/>
    <row r="951" ht="15.75" customHeight="1" s="95"/>
    <row r="952" ht="15.75" customHeight="1" s="95"/>
    <row r="953" ht="15.75" customHeight="1" s="95"/>
    <row r="954" ht="15.75" customHeight="1" s="95"/>
    <row r="955" ht="15.75" customHeight="1" s="95"/>
    <row r="956" ht="15.75" customHeight="1" s="95"/>
    <row r="957" ht="15.75" customHeight="1" s="95"/>
    <row r="958" ht="15.75" customHeight="1" s="95"/>
    <row r="959" ht="15.75" customHeight="1" s="95"/>
    <row r="960" ht="15.75" customHeight="1" s="95"/>
    <row r="961" ht="15.75" customHeight="1" s="95"/>
    <row r="962" ht="15.75" customHeight="1" s="95"/>
    <row r="963" ht="15.75" customHeight="1" s="95"/>
    <row r="964" ht="15.75" customHeight="1" s="95"/>
    <row r="965" ht="15.75" customHeight="1" s="95"/>
    <row r="966" ht="15.75" customHeight="1" s="95"/>
    <row r="967" ht="15.75" customHeight="1" s="95"/>
    <row r="968" ht="15.75" customHeight="1" s="95"/>
    <row r="969" ht="15.75" customHeight="1" s="95"/>
    <row r="970" ht="15.75" customHeight="1" s="95"/>
    <row r="971" ht="15.75" customHeight="1" s="95"/>
    <row r="972" ht="15.75" customHeight="1" s="95"/>
    <row r="973" ht="15.75" customHeight="1" s="95"/>
    <row r="974" ht="15.75" customHeight="1" s="95"/>
    <row r="975" ht="15.75" customHeight="1" s="95"/>
    <row r="976" ht="15.75" customHeight="1" s="95"/>
    <row r="977" ht="15.75" customHeight="1" s="95"/>
    <row r="978" ht="15.75" customHeight="1" s="95"/>
    <row r="979" ht="15.75" customHeight="1" s="95"/>
    <row r="980" ht="15.75" customHeight="1" s="95"/>
    <row r="981" ht="15.75" customHeight="1" s="95"/>
    <row r="982" ht="15.75" customHeight="1" s="95"/>
    <row r="983" ht="15.75" customHeight="1" s="95"/>
    <row r="984" ht="15.75" customHeight="1" s="95"/>
    <row r="985" ht="15.75" customHeight="1" s="95"/>
    <row r="986" ht="15.75" customHeight="1" s="95"/>
    <row r="987" ht="15.75" customHeight="1" s="95"/>
    <row r="988" ht="15.75" customHeight="1" s="95"/>
    <row r="989" ht="15.75" customHeight="1" s="95"/>
    <row r="990" ht="15.75" customHeight="1" s="95"/>
    <row r="991" ht="15.75" customHeight="1" s="95"/>
    <row r="992" ht="15.75" customHeight="1" s="95"/>
    <row r="993" ht="15.75" customHeight="1" s="95"/>
    <row r="994" ht="15.75" customHeight="1" s="95"/>
    <row r="995" ht="15.75" customHeight="1" s="95"/>
    <row r="996" ht="15.75" customHeight="1" s="95"/>
    <row r="997" ht="15.75" customHeight="1" s="95"/>
    <row r="998" ht="15.75" customHeight="1" s="95"/>
    <row r="999" ht="15.75" customHeight="1" s="95"/>
    <row r="1000" ht="15.75" customHeight="1" s="95"/>
  </sheetData>
  <mergeCells count="2">
    <mergeCell ref="A1:I1"/>
    <mergeCell ref="A2:I2"/>
  </mergeCells>
  <conditionalFormatting sqref="B5:B46">
    <cfRule type="expression" priority="1" dxfId="9">
      <formula>B5="Your list"</formula>
    </cfRule>
    <cfRule type="expression" priority="2" dxfId="8">
      <formula>B5="Recommended"</formula>
    </cfRule>
  </conditionalFormatting>
  <conditionalFormatting sqref="H5:H46">
    <cfRule type="expression" priority="3" dxfId="4">
      <formula>H5="Yes"</formula>
    </cfRule>
  </conditionalFormatting>
  <pageMargins left="0.7" right="0.7" top="0.75" bottom="0.75" header="0.3" footer="0.3"/>
</worksheet>
</file>

<file path=xl/worksheets/sheet4.xml><?xml version="1.0" encoding="utf-8"?>
<worksheet xmlns="http://schemas.openxmlformats.org/spreadsheetml/2006/main">
  <sheetPr>
    <outlinePr summaryBelow="1" summaryRight="1"/>
    <pageSetUpPr/>
  </sheetPr>
  <dimension ref="A1:E47"/>
  <sheetViews>
    <sheetView workbookViewId="0">
      <selection activeCell="A1" sqref="A1"/>
    </sheetView>
  </sheetViews>
  <sheetFormatPr baseColWidth="8" defaultColWidth="14.42578125" defaultRowHeight="15"/>
  <cols>
    <col width="26" customWidth="1" style="95" min="1" max="2"/>
    <col width="14" customWidth="1" style="95" min="3" max="3"/>
    <col width="12" customWidth="1" style="95" min="4" max="5"/>
    <col width="8.7109375" customWidth="1" style="95" min="6" max="6"/>
  </cols>
  <sheetData>
    <row r="1" ht="23.25" customHeight="1" s="95">
      <c r="A1" s="101" t="inlineStr">
        <is>
          <t>🏆 COLLECTION / FRANCHISE TRACKER</t>
        </is>
      </c>
    </row>
    <row r="2">
      <c r="A2" s="102" t="inlineStr">
        <is>
          <t>Owned counts are calculated from the Collection tab. Target totals are editable so you can define exactly what 'complete' means to you.</t>
        </is>
      </c>
    </row>
    <row r="4" ht="30" customHeight="1" s="95">
      <c r="A4" s="2" t="inlineStr">
        <is>
          <t>Collection</t>
        </is>
      </c>
      <c r="B4" s="2" t="inlineStr">
        <is>
          <t>Owned Films</t>
        </is>
      </c>
      <c r="C4" s="2" t="inlineStr">
        <is>
          <t>Target Films</t>
        </is>
      </c>
      <c r="D4" s="2" t="inlineStr">
        <is>
          <t>Missing</t>
        </is>
      </c>
      <c r="E4" s="2" t="inlineStr">
        <is>
          <t>% Complete</t>
        </is>
      </c>
    </row>
    <row r="5">
      <c r="A5" s="5" t="inlineStr">
        <is>
          <t>James Bond</t>
        </is>
      </c>
      <c r="B5" s="5">
        <f>COUNTIF(Collection!$E$5:$E$500,A5)</f>
        <v/>
      </c>
      <c r="C5" s="10" t="n">
        <v>5</v>
      </c>
      <c r="D5" s="5">
        <f>IF(C5="","",MAX(C5-B5,0))</f>
        <v/>
      </c>
      <c r="E5" s="13">
        <f>IF(C5="","",MIN(B5/C5,1))</f>
        <v/>
      </c>
    </row>
    <row r="6">
      <c r="A6" s="5" t="inlineStr">
        <is>
          <t>Alien</t>
        </is>
      </c>
      <c r="B6" s="5">
        <f>COUNTIF(Collection!$E$5:$E$500,A6)</f>
        <v/>
      </c>
      <c r="C6" s="10" t="n">
        <v>7</v>
      </c>
      <c r="D6" s="5">
        <f>IF(C6="","",MAX(C6-B6,0))</f>
        <v/>
      </c>
      <c r="E6" s="13">
        <f>IF(C6="","",MIN(B6/C6,1))</f>
        <v/>
      </c>
    </row>
    <row r="7">
      <c r="A7" s="5" t="inlineStr">
        <is>
          <t>Bourne</t>
        </is>
      </c>
      <c r="B7" s="5">
        <f>COUNTIF(Collection!$E$5:$E$500,A7)</f>
        <v/>
      </c>
      <c r="C7" s="10" t="n">
        <v>5</v>
      </c>
      <c r="D7" s="5">
        <f>IF(C7="","",MAX(C7-B7,0))</f>
        <v/>
      </c>
      <c r="E7" s="13">
        <f>IF(C7="","",MIN(B7/C7,1))</f>
        <v/>
      </c>
    </row>
    <row r="8">
      <c r="A8" s="5" t="inlineStr">
        <is>
          <t>Fast &amp; Furious</t>
        </is>
      </c>
      <c r="B8" s="5">
        <f>COUNTIF(Collection!$E$5:$E$500,A8)</f>
        <v/>
      </c>
      <c r="C8" s="10" t="n">
        <v>11</v>
      </c>
      <c r="D8" s="5">
        <f>IF(C8="","",MAX(C8-B8,0))</f>
        <v/>
      </c>
      <c r="E8" s="13">
        <f>IF(C8="","",MIN(B8/C8,1))</f>
        <v/>
      </c>
    </row>
    <row r="9">
      <c r="A9" s="5" t="inlineStr">
        <is>
          <t>Harry Potter</t>
        </is>
      </c>
      <c r="B9" s="5">
        <f>COUNTIF(Collection!$E$5:$E$500,A9)</f>
        <v/>
      </c>
      <c r="C9" s="10" t="n">
        <v>8</v>
      </c>
      <c r="D9" s="5">
        <f>IF(C9="","",MAX(C9-B9,0))</f>
        <v/>
      </c>
      <c r="E9" s="13">
        <f>IF(C9="","",MIN(B9/C9,1))</f>
        <v/>
      </c>
    </row>
    <row r="10">
      <c r="A10" s="5" t="inlineStr">
        <is>
          <t>Wizarding World</t>
        </is>
      </c>
      <c r="B10" s="5">
        <f>COUNTIF(Collection!$E$5:$E$500,A10)</f>
        <v/>
      </c>
      <c r="C10" s="10" t="n">
        <v>3</v>
      </c>
      <c r="D10" s="5">
        <f>IF(C10="","",MAX(C10-B10,0))</f>
        <v/>
      </c>
      <c r="E10" s="13">
        <f>IF(C10="","",MIN(B10/C10,1))</f>
        <v/>
      </c>
    </row>
    <row r="11">
      <c r="A11" s="5" t="inlineStr">
        <is>
          <t>Hobbit</t>
        </is>
      </c>
      <c r="B11" s="5">
        <f>COUNTIF(Collection!$E$5:$E$500,A11)</f>
        <v/>
      </c>
      <c r="C11" s="10" t="n">
        <v>3</v>
      </c>
      <c r="D11" s="5">
        <f>IF(C11="","",MAX(C11-B11,0))</f>
        <v/>
      </c>
      <c r="E11" s="13">
        <f>IF(C11="","",MIN(B11/C11,1))</f>
        <v/>
      </c>
    </row>
    <row r="12">
      <c r="A12" s="5" t="inlineStr">
        <is>
          <t>Lord of the Rings</t>
        </is>
      </c>
      <c r="B12" s="5">
        <f>COUNTIF(Collection!$E$5:$E$500,A12)</f>
        <v/>
      </c>
      <c r="C12" s="10" t="n">
        <v>3</v>
      </c>
      <c r="D12" s="5">
        <f>IF(C12="","",MAX(C12-B12,0))</f>
        <v/>
      </c>
      <c r="E12" s="13">
        <f>IF(C12="","",MIN(B12/C12,1))</f>
        <v/>
      </c>
    </row>
    <row r="13">
      <c r="A13" s="5" t="inlineStr">
        <is>
          <t>Mission: Impossible</t>
        </is>
      </c>
      <c r="B13" s="5">
        <f>COUNTIF(Collection!$E$5:$E$500,A13)</f>
        <v/>
      </c>
      <c r="C13" s="10" t="n">
        <v>8</v>
      </c>
      <c r="D13" s="5">
        <f>IF(C13="","",MAX(C13-B13,0))</f>
        <v/>
      </c>
      <c r="E13" s="13">
        <f>IF(C13="","",MIN(B13/C13,1))</f>
        <v/>
      </c>
    </row>
    <row r="14">
      <c r="A14" s="5" t="inlineStr">
        <is>
          <t>X-Men</t>
        </is>
      </c>
      <c r="B14" s="5">
        <f>COUNTIF(Collection!$E$5:$E$500,A14)</f>
        <v/>
      </c>
      <c r="C14" s="10" t="n">
        <v>10</v>
      </c>
      <c r="D14" s="5">
        <f>IF(C14="","",MAX(C14-B14,0))</f>
        <v/>
      </c>
      <c r="E14" s="13">
        <f>IF(C14="","",MIN(B14/C14,1))</f>
        <v/>
      </c>
    </row>
    <row r="15">
      <c r="A15" s="5" t="inlineStr">
        <is>
          <t>Deadpool / X-Men</t>
        </is>
      </c>
      <c r="B15" s="5">
        <f>COUNTIF(Collection!$E$5:$E$500,A15)</f>
        <v/>
      </c>
      <c r="C15" s="10" t="n">
        <v>3</v>
      </c>
      <c r="D15" s="5">
        <f>IF(C15="","",MAX(C15-B15,0))</f>
        <v/>
      </c>
      <c r="E15" s="13">
        <f>IF(C15="","",MIN(B15/C15,1))</f>
        <v/>
      </c>
    </row>
    <row r="16">
      <c r="A16" s="5" t="inlineStr">
        <is>
          <t>Transformers</t>
        </is>
      </c>
      <c r="B16" s="5">
        <f>COUNTIF(Collection!$E$5:$E$500,A16)</f>
        <v/>
      </c>
      <c r="C16" s="10" t="n">
        <v>8</v>
      </c>
      <c r="D16" s="5">
        <f>IF(C16="","",MAX(C16-B16,0))</f>
        <v/>
      </c>
      <c r="E16" s="13">
        <f>IF(C16="","",MIN(B16/C16,1))</f>
        <v/>
      </c>
    </row>
    <row r="17">
      <c r="A17" s="5" t="inlineStr">
        <is>
          <t>Despicable Me / Minions</t>
        </is>
      </c>
      <c r="B17" s="5">
        <f>COUNTIF(Collection!$E$5:$E$500,A17)</f>
        <v/>
      </c>
      <c r="C17" s="10" t="n">
        <v>6</v>
      </c>
      <c r="D17" s="5">
        <f>IF(C17="","",MAX(C17-B17,0))</f>
        <v/>
      </c>
      <c r="E17" s="13">
        <f>IF(C17="","",MIN(B17/C17,1))</f>
        <v/>
      </c>
    </row>
    <row r="18">
      <c r="A18" s="5" t="inlineStr">
        <is>
          <t>Planet of the Apes (reboot)</t>
        </is>
      </c>
      <c r="B18" s="5">
        <f>COUNTIF(Collection!$E$5:$E$500,A18)</f>
        <v/>
      </c>
      <c r="C18" s="10" t="n">
        <v>4</v>
      </c>
      <c r="D18" s="5">
        <f>IF(C18="","",MAX(C18-B18,0))</f>
        <v/>
      </c>
      <c r="E18" s="13">
        <f>IF(C18="","",MIN(B18/C18,1))</f>
        <v/>
      </c>
    </row>
    <row r="19">
      <c r="A19" s="5" t="inlineStr">
        <is>
          <t>Toy Story</t>
        </is>
      </c>
      <c r="B19" s="5">
        <f>COUNTIF(Collection!$E$5:$E$500,A19)</f>
        <v/>
      </c>
      <c r="C19" s="10" t="n">
        <v>4</v>
      </c>
      <c r="D19" s="5">
        <f>IF(C19="","",MAX(C19-B19,0))</f>
        <v/>
      </c>
      <c r="E19" s="13">
        <f>IF(C19="","",MIN(B19/C19,1))</f>
        <v/>
      </c>
    </row>
    <row r="20">
      <c r="A20" s="5" t="inlineStr">
        <is>
          <t>Underworld</t>
        </is>
      </c>
      <c r="B20" s="5">
        <f>COUNTIF(Collection!$E$5:$E$500,A20)</f>
        <v/>
      </c>
      <c r="C20" s="10" t="n">
        <v>5</v>
      </c>
      <c r="D20" s="5">
        <f>IF(C20="","",MAX(C20-B20,0))</f>
        <v/>
      </c>
      <c r="E20" s="13">
        <f>IF(C20="","",MIN(B20/C20,1))</f>
        <v/>
      </c>
    </row>
    <row r="21" ht="15.75" customHeight="1" s="95">
      <c r="A21" s="5" t="inlineStr">
        <is>
          <t>Star Wars</t>
        </is>
      </c>
      <c r="B21" s="5">
        <f>COUNTIF(Collection!$E$5:$E$500,A21)</f>
        <v/>
      </c>
      <c r="C21" s="10" t="n">
        <v>11</v>
      </c>
      <c r="D21" s="5">
        <f>IF(C21="","",MAX(C21-B21,0))</f>
        <v/>
      </c>
      <c r="E21" s="13">
        <f>IF(C21="","",MIN(B21/C21,1))</f>
        <v/>
      </c>
    </row>
    <row r="22" ht="15.75" customHeight="1" s="95">
      <c r="A22" s="5" t="inlineStr">
        <is>
          <t>Star Trek</t>
        </is>
      </c>
      <c r="B22" s="5">
        <f>COUNTIF(Collection!$E$5:$E$500,A22)</f>
        <v/>
      </c>
      <c r="C22" s="10" t="n">
        <v>13</v>
      </c>
      <c r="D22" s="5">
        <f>IF(C22="","",MAX(C22-B22,0))</f>
        <v/>
      </c>
      <c r="E22" s="13">
        <f>IF(C22="","",MIN(B22/C22,1))</f>
        <v/>
      </c>
    </row>
    <row r="23" ht="15.75" customHeight="1" s="95">
      <c r="A23" s="5" t="inlineStr">
        <is>
          <t>Ice Age</t>
        </is>
      </c>
      <c r="B23" s="5">
        <f>COUNTIF(Collection!$E$5:$E$500,A23)</f>
        <v/>
      </c>
      <c r="C23" s="10" t="n">
        <v>5</v>
      </c>
      <c r="D23" s="5">
        <f>IF(C23="","",MAX(C23-B23,0))</f>
        <v/>
      </c>
      <c r="E23" s="13">
        <f>IF(C23="","",MIN(B23/C23,1))</f>
        <v/>
      </c>
    </row>
    <row r="24" ht="15.75" customHeight="1" s="95">
      <c r="A24" s="5" t="inlineStr">
        <is>
          <t>Hangover</t>
        </is>
      </c>
      <c r="B24" s="5">
        <f>COUNTIF(Collection!$E$5:$E$500,A24)</f>
        <v/>
      </c>
      <c r="C24" s="10" t="n">
        <v>3</v>
      </c>
      <c r="D24" s="5">
        <f>IF(C24="","",MAX(C24-B24,0))</f>
        <v/>
      </c>
      <c r="E24" s="13">
        <f>IF(C24="","",MIN(B24/C24,1))</f>
        <v/>
      </c>
    </row>
    <row r="25" ht="15.75" customHeight="1" s="95">
      <c r="A25" s="5" t="inlineStr">
        <is>
          <t>Expendables</t>
        </is>
      </c>
      <c r="B25" s="5">
        <f>COUNTIF(Collection!$E$5:$E$500,A25)</f>
        <v/>
      </c>
      <c r="C25" s="10" t="n">
        <v>4</v>
      </c>
      <c r="D25" s="5">
        <f>IF(C25="","",MAX(C25-B25,0))</f>
        <v/>
      </c>
      <c r="E25" s="13">
        <f>IF(C25="","",MIN(B25/C25,1))</f>
        <v/>
      </c>
    </row>
    <row r="26" ht="15.75" customHeight="1" s="95">
      <c r="A26" s="5" t="inlineStr">
        <is>
          <t>Men in Black</t>
        </is>
      </c>
      <c r="B26" s="5">
        <f>COUNTIF(Collection!$E$5:$E$500,A26)</f>
        <v/>
      </c>
      <c r="C26" s="10" t="n">
        <v>4</v>
      </c>
      <c r="D26" s="5">
        <f>IF(C26="","",MAX(C26-B26,0))</f>
        <v/>
      </c>
      <c r="E26" s="13">
        <f>IF(C26="","",MIN(B26/C26,1))</f>
        <v/>
      </c>
    </row>
    <row r="27" ht="15.75" customHeight="1" s="95">
      <c r="A27" s="5" t="inlineStr">
        <is>
          <t>Spider-Man</t>
        </is>
      </c>
      <c r="B27" s="5">
        <f>COUNTIF(Collection!$E$5:$E$500,A27)</f>
        <v/>
      </c>
      <c r="C27" s="10" t="n">
        <v>5</v>
      </c>
      <c r="D27" s="5">
        <f>IF(C27="","",MAX(C27-B27,0))</f>
        <v/>
      </c>
      <c r="E27" s="13">
        <f>IF(C27="","",MIN(B27/C27,1))</f>
        <v/>
      </c>
    </row>
    <row r="28" ht="15.75" customHeight="1" s="95">
      <c r="A28" s="5" t="inlineStr">
        <is>
          <t>Matrix</t>
        </is>
      </c>
      <c r="B28" s="5">
        <f>COUNTIF(Collection!$E$5:$E$500,A28)</f>
        <v/>
      </c>
      <c r="C28" s="10" t="n">
        <v>4</v>
      </c>
      <c r="D28" s="5">
        <f>IF(C28="","",MAX(C28-B28,0))</f>
        <v/>
      </c>
      <c r="E28" s="13">
        <f>IF(C28="","",MIN(B28/C28,1))</f>
        <v/>
      </c>
    </row>
    <row r="29" ht="15.75" customHeight="1" s="95">
      <c r="A29" s="36" t="inlineStr">
        <is>
          <t>Rio</t>
        </is>
      </c>
      <c r="B29" s="1">
        <f>COUNTIF(Collection!$E$5:$E$500,A29)</f>
        <v/>
      </c>
      <c r="C29" s="38" t="n">
        <v>2</v>
      </c>
      <c r="D29" s="1">
        <f>IF(C29="","",MAX(C29-B29,0))</f>
        <v/>
      </c>
      <c r="E29" s="40">
        <f>IF(C29="","",MIN(B29/C29,1))</f>
        <v/>
      </c>
    </row>
    <row r="30" ht="15.75" customHeight="1" s="95">
      <c r="A30" s="103" t="inlineStr">
        <is>
          <t>Pitch Perfect</t>
        </is>
      </c>
      <c r="E30" s="104" t="n"/>
    </row>
    <row r="31" ht="15.75" customHeight="1" s="95">
      <c r="A31" s="36" t="inlineStr">
        <is>
          <t>Jurassic Park / World</t>
        </is>
      </c>
      <c r="B31" s="1">
        <f>COUNTIF(Collection!$E$5:$E$500,A31)</f>
        <v/>
      </c>
      <c r="C31" s="38" t="n">
        <v>7</v>
      </c>
      <c r="D31" s="1">
        <f>IF(C31="","",MAX(C31-B31,0))</f>
        <v/>
      </c>
      <c r="E31" s="40">
        <f>IF(C31="","",MIN(B31/C31,1))</f>
        <v/>
      </c>
    </row>
    <row r="32" ht="15.75" customHeight="1" s="95">
      <c r="A32" s="36" t="inlineStr">
        <is>
          <t>Kick-Ass</t>
        </is>
      </c>
      <c r="B32" s="1">
        <f>COUNTIF(Collection!$E$5:$E$500,A32)</f>
        <v/>
      </c>
      <c r="C32" s="38" t="n">
        <v>2</v>
      </c>
      <c r="D32" s="1">
        <f>IF(C32="","",MAX(C32-B32,0))</f>
        <v/>
      </c>
      <c r="E32" s="40">
        <f>IF(C32="","",MIN(B32/C32,1))</f>
        <v/>
      </c>
    </row>
    <row r="33" ht="15.75" customHeight="1" s="95">
      <c r="A33" s="36" t="inlineStr">
        <is>
          <t>LEGO Movie</t>
        </is>
      </c>
      <c r="B33" s="1">
        <f>COUNTIF(Collection!$E$5:$E$500,A33)</f>
        <v/>
      </c>
      <c r="C33" s="38" t="n">
        <v>4</v>
      </c>
      <c r="D33" s="1">
        <f>IF(C33="","",MAX(C33-B33,0))</f>
        <v/>
      </c>
      <c r="E33" s="40">
        <f>IF(C33="","",MIN(B33/C33,1))</f>
        <v/>
      </c>
    </row>
    <row r="34" ht="15.75" customHeight="1" s="95">
      <c r="A34" s="36" t="inlineStr">
        <is>
          <t>How to Train Your Dragon</t>
        </is>
      </c>
      <c r="B34" s="1">
        <f>COUNTIF(Collection!$E$5:$E$500,A34)</f>
        <v/>
      </c>
      <c r="C34" s="38" t="n">
        <v>3</v>
      </c>
      <c r="D34" s="1">
        <f>IF(C34="","",MAX(C34-B34,0))</f>
        <v/>
      </c>
      <c r="E34" s="40">
        <f>IF(C34="","",MIN(B34/C34,1))</f>
        <v/>
      </c>
    </row>
    <row r="35" ht="15.75" customHeight="1" s="95">
      <c r="A35" s="36" t="inlineStr">
        <is>
          <t>Grown Ups</t>
        </is>
      </c>
      <c r="B35" s="1">
        <f>COUNTIF(Collection!$E$5:$E$500,A35)</f>
        <v/>
      </c>
      <c r="C35" s="38" t="n">
        <v>2</v>
      </c>
      <c r="D35" s="1">
        <f>IF(C35="","",MAX(C35-B35,0))</f>
        <v/>
      </c>
      <c r="E35" s="40">
        <f>IF(C35="","",MIN(B35/C35,1))</f>
        <v/>
      </c>
    </row>
    <row r="36" ht="15.75" customHeight="1" s="95">
      <c r="A36" s="36" t="inlineStr">
        <is>
          <t>Sherlock Holmes</t>
        </is>
      </c>
      <c r="B36" s="1">
        <f>COUNTIF(Collection!$E$5:$E$500,A36)</f>
        <v/>
      </c>
      <c r="C36" s="38" t="n">
        <v>2</v>
      </c>
      <c r="D36" s="1">
        <f>IF(C36="","",MAX(C36-B36,0))</f>
        <v/>
      </c>
      <c r="E36" s="40">
        <f>IF(C36="","",MIN(B36/C36,1))</f>
        <v/>
      </c>
    </row>
    <row r="37" ht="15.75" customHeight="1" s="95">
      <c r="A37" s="36" t="inlineStr">
        <is>
          <t>Taken</t>
        </is>
      </c>
      <c r="B37" s="1">
        <f>COUNTIF(Collection!$E$5:$E$500,A37)</f>
        <v/>
      </c>
      <c r="C37" s="38" t="n">
        <v>3</v>
      </c>
      <c r="D37" s="1">
        <f>IF(C37="","",MAX(C37-B37,0))</f>
        <v/>
      </c>
      <c r="E37" s="40">
        <f>IF(C37="","",MIN(B37/C37,1))</f>
        <v/>
      </c>
    </row>
    <row r="38" ht="15.75" customHeight="1" s="95">
      <c r="A38" s="36" t="inlineStr">
        <is>
          <t>Wreck-It Ralph</t>
        </is>
      </c>
      <c r="B38" s="1">
        <f>COUNTIF(Collection!$E$5:$E$500,A38)</f>
        <v/>
      </c>
      <c r="C38" s="38" t="n">
        <v>2</v>
      </c>
      <c r="D38" s="1">
        <f>IF(C38="","",MAX(C38-B38,0))</f>
        <v/>
      </c>
      <c r="E38" s="40">
        <f>IF(C38="","",MIN(B38/C38,1))</f>
        <v/>
      </c>
    </row>
    <row r="39" ht="15.75" customHeight="1" s="95">
      <c r="A39" s="36" t="inlineStr">
        <is>
          <t>Monsters, Inc.</t>
        </is>
      </c>
      <c r="B39" s="1">
        <f>COUNTIF(Collection!$E$5:$E$500,A39)</f>
        <v/>
      </c>
      <c r="C39" s="38" t="n">
        <v>2</v>
      </c>
      <c r="D39" s="1">
        <f>IF(C39="","",MAX(C39-B39,0))</f>
        <v/>
      </c>
      <c r="E39" s="40">
        <f>IF(C39="","",MIN(B39/C39,1))</f>
        <v/>
      </c>
    </row>
    <row r="40" ht="15.75" customHeight="1" s="95">
      <c r="A40" s="36" t="inlineStr">
        <is>
          <t>MonsterVerse</t>
        </is>
      </c>
      <c r="B40" s="1">
        <f>COUNTIF(Collection!$E$5:$E$500,A40)</f>
        <v/>
      </c>
      <c r="C40" s="38" t="n">
        <v>5</v>
      </c>
      <c r="D40" s="1">
        <f>IF(C40="","",MAX(C40-B40,0))</f>
        <v/>
      </c>
      <c r="E40" s="40">
        <f>IF(C40="","",MIN(B40/C40,1))</f>
        <v/>
      </c>
    </row>
    <row r="41" ht="15.75" customHeight="1" s="95">
      <c r="A41" s="36" t="inlineStr">
        <is>
          <t>The Inbetweeners</t>
        </is>
      </c>
      <c r="B41" s="1">
        <f>COUNTIF(Collection!$E$5:$E$500,A41)</f>
        <v/>
      </c>
      <c r="C41" s="38" t="n">
        <v>2</v>
      </c>
      <c r="D41" s="1">
        <f>IF(C41="","",MAX(C41-B41,0))</f>
        <v/>
      </c>
      <c r="E41" s="40">
        <f>IF(C41="","",MIN(B41/C41,1))</f>
        <v/>
      </c>
    </row>
    <row r="42" ht="15.75" customHeight="1" s="95">
      <c r="A42" s="36" t="inlineStr">
        <is>
          <t>Anchorman</t>
        </is>
      </c>
      <c r="B42" s="1">
        <f>COUNTIF(Collection!$E$5:$E$500,A42)</f>
        <v/>
      </c>
      <c r="C42" s="38" t="n">
        <v>2</v>
      </c>
      <c r="D42" s="1">
        <f>IF(C42="","",MAX(C42-B42,0))</f>
        <v/>
      </c>
      <c r="E42" s="40">
        <f>IF(C42="","",MIN(B42/C42,1))</f>
        <v/>
      </c>
    </row>
    <row r="43" ht="15.75" customHeight="1" s="95">
      <c r="A43" s="36" t="inlineStr">
        <is>
          <t>Bad Boys</t>
        </is>
      </c>
      <c r="B43" s="1">
        <f>COUNTIF(Collection!$E$5:$E$500,A43)</f>
        <v/>
      </c>
      <c r="C43" s="38" t="n">
        <v>4</v>
      </c>
      <c r="D43" s="1">
        <f>IF(C43="","",MAX(C43-B43,0))</f>
        <v/>
      </c>
      <c r="E43" s="40">
        <f>IF(C43="","",MIN(B43/C43,1))</f>
        <v/>
      </c>
    </row>
    <row r="44" ht="15.75" customHeight="1" s="95">
      <c r="A44" s="36" t="inlineStr">
        <is>
          <t>Cloudy with a Chance of Meatballs</t>
        </is>
      </c>
      <c r="B44" s="1">
        <f>COUNTIF(Collection!$E$5:$E$500,A44)</f>
        <v/>
      </c>
      <c r="C44" s="38" t="n">
        <v>2</v>
      </c>
      <c r="D44" s="1">
        <f>IF(C44="","",MAX(C44-B44,0))</f>
        <v/>
      </c>
      <c r="E44" s="40">
        <f>IF(C44="","",MIN(B44/C44,1))</f>
        <v/>
      </c>
    </row>
    <row r="45" ht="15.75" customHeight="1" s="95">
      <c r="A45" s="36" t="inlineStr">
        <is>
          <t>Back to the Future</t>
        </is>
      </c>
      <c r="B45" s="1">
        <f>COUNTIF(Collection!$E$5:$E$500,A45)</f>
        <v/>
      </c>
      <c r="C45" s="38" t="n">
        <v>3</v>
      </c>
      <c r="D45" s="1">
        <f>IF(C45="","",MAX(C45-B45,0))</f>
        <v/>
      </c>
      <c r="E45" s="40">
        <f>IF(C45="","",MIN(B45/C45,1))</f>
        <v/>
      </c>
    </row>
    <row r="46" ht="15.75" customHeight="1" s="95">
      <c r="A46" s="36" t="inlineStr">
        <is>
          <t>MCU</t>
        </is>
      </c>
      <c r="B46" s="1">
        <f>COUNTIF(Collection!$E$5:$E$500,A46)</f>
        <v/>
      </c>
      <c r="C46" s="38" t="n"/>
      <c r="D46" s="1">
        <f>IF(C46="","",MAX(C46-B46,0))</f>
        <v/>
      </c>
      <c r="E46" s="40">
        <f>IF(C46="","",MIN(B46/C46,1))</f>
        <v/>
      </c>
    </row>
    <row r="47" ht="15.75" customHeight="1" s="95">
      <c r="A47" s="46" t="inlineStr">
        <is>
          <t>The Dark Knight Trilogy</t>
        </is>
      </c>
      <c r="B47" s="47">
        <f>COUNTIF(Collection!$E$5:$E$500,A47)</f>
        <v/>
      </c>
      <c r="C47" s="48" t="n">
        <v>3</v>
      </c>
      <c r="D47" s="47">
        <f>IF(C47="","",MAX(C47-B47,0))</f>
        <v/>
      </c>
      <c r="E47" s="49">
        <f>IF(C47="","",MIN(B47/C47,1))</f>
        <v/>
      </c>
    </row>
    <row r="48" ht="15.75" customHeight="1" s="95"/>
    <row r="49" ht="15.75" customHeight="1" s="95"/>
    <row r="50" ht="15.75" customHeight="1" s="95"/>
    <row r="51" ht="15.75" customHeight="1" s="95"/>
    <row r="52" ht="15.75" customHeight="1" s="95"/>
    <row r="53" ht="15.75" customHeight="1" s="95"/>
    <row r="54" ht="15.75" customHeight="1" s="95"/>
    <row r="55" ht="15.75" customHeight="1" s="95"/>
    <row r="56" ht="15.75" customHeight="1" s="95"/>
    <row r="57" ht="15.75" customHeight="1" s="95"/>
    <row r="58" ht="15.75" customHeight="1" s="95"/>
    <row r="59" ht="15.75" customHeight="1" s="95"/>
    <row r="60" ht="15.75" customHeight="1" s="95"/>
    <row r="61" ht="15.75" customHeight="1" s="95"/>
    <row r="62" ht="15.75" customHeight="1" s="95"/>
    <row r="63" ht="15.75" customHeight="1" s="95"/>
    <row r="64" ht="15.75" customHeight="1" s="95"/>
    <row r="65" ht="15.75" customHeight="1" s="95"/>
    <row r="66" ht="15.75" customHeight="1" s="95"/>
    <row r="67" ht="15.75" customHeight="1" s="95"/>
    <row r="68" ht="15.75" customHeight="1" s="95"/>
    <row r="69" ht="15.75" customHeight="1" s="95"/>
    <row r="70" ht="15.75" customHeight="1" s="95"/>
    <row r="71" ht="15.75" customHeight="1" s="95"/>
    <row r="72" ht="15.75" customHeight="1" s="95"/>
    <row r="73" ht="15.75" customHeight="1" s="95"/>
    <row r="74" ht="15.75" customHeight="1" s="95"/>
    <row r="75" ht="15.75" customHeight="1" s="95"/>
    <row r="76" ht="15.75" customHeight="1" s="95"/>
    <row r="77" ht="15.75" customHeight="1" s="95"/>
    <row r="78" ht="15.75" customHeight="1" s="95"/>
    <row r="79" ht="15.75" customHeight="1" s="95"/>
    <row r="80" ht="15.75" customHeight="1" s="95"/>
    <row r="81" ht="15.75" customHeight="1" s="95"/>
    <row r="82" ht="15.75" customHeight="1" s="95"/>
    <row r="83" ht="15.75" customHeight="1" s="95"/>
    <row r="84" ht="15.75" customHeight="1" s="95"/>
    <row r="85" ht="15.75" customHeight="1" s="95"/>
    <row r="86" ht="15.75" customHeight="1" s="95"/>
    <row r="87" ht="15.75" customHeight="1" s="95"/>
    <row r="88" ht="15.75" customHeight="1" s="95"/>
    <row r="89" ht="15.75" customHeight="1" s="95"/>
    <row r="90" ht="15.75" customHeight="1" s="95"/>
    <row r="91" ht="15.75" customHeight="1" s="95"/>
    <row r="92" ht="15.75" customHeight="1" s="95"/>
    <row r="93" ht="15.75" customHeight="1" s="95"/>
    <row r="94" ht="15.75" customHeight="1" s="95"/>
    <row r="95" ht="15.75" customHeight="1" s="95"/>
    <row r="96" ht="15.75" customHeight="1" s="95"/>
    <row r="97" ht="15.75" customHeight="1" s="95"/>
    <row r="98" ht="15.75" customHeight="1" s="95"/>
    <row r="99" ht="15.75" customHeight="1" s="95"/>
    <row r="100" ht="15.75" customHeight="1" s="95"/>
    <row r="101" ht="15.75" customHeight="1" s="95"/>
    <row r="102" ht="15.75" customHeight="1" s="95"/>
    <row r="103" ht="15.75" customHeight="1" s="95"/>
    <row r="104" ht="15.75" customHeight="1" s="95"/>
    <row r="105" ht="15.75" customHeight="1" s="95"/>
    <row r="106" ht="15.75" customHeight="1" s="95"/>
    <row r="107" ht="15.75" customHeight="1" s="95"/>
    <row r="108" ht="15.75" customHeight="1" s="95"/>
    <row r="109" ht="15.75" customHeight="1" s="95"/>
    <row r="110" ht="15.75" customHeight="1" s="95"/>
    <row r="111" ht="15.75" customHeight="1" s="95"/>
    <row r="112" ht="15.75" customHeight="1" s="95"/>
    <row r="113" ht="15.75" customHeight="1" s="95"/>
    <row r="114" ht="15.75" customHeight="1" s="95"/>
    <row r="115" ht="15.75" customHeight="1" s="95"/>
    <row r="116" ht="15.75" customHeight="1" s="95"/>
    <row r="117" ht="15.75" customHeight="1" s="95"/>
    <row r="118" ht="15.75" customHeight="1" s="95"/>
    <row r="119" ht="15.75" customHeight="1" s="95"/>
    <row r="120" ht="15.75" customHeight="1" s="95"/>
    <row r="121" ht="15.75" customHeight="1" s="95"/>
    <row r="122" ht="15.75" customHeight="1" s="95"/>
    <row r="123" ht="15.75" customHeight="1" s="95"/>
    <row r="124" ht="15.75" customHeight="1" s="95"/>
    <row r="125" ht="15.75" customHeight="1" s="95"/>
    <row r="126" ht="15.75" customHeight="1" s="95"/>
    <row r="127" ht="15.75" customHeight="1" s="95"/>
    <row r="128" ht="15.75" customHeight="1" s="95"/>
    <row r="129" ht="15.75" customHeight="1" s="95"/>
    <row r="130" ht="15.75" customHeight="1" s="95"/>
    <row r="131" ht="15.75" customHeight="1" s="95"/>
    <row r="132" ht="15.75" customHeight="1" s="95"/>
    <row r="133" ht="15.75" customHeight="1" s="95"/>
    <row r="134" ht="15.75" customHeight="1" s="95"/>
    <row r="135" ht="15.75" customHeight="1" s="95"/>
    <row r="136" ht="15.75" customHeight="1" s="95"/>
    <row r="137" ht="15.75" customHeight="1" s="95"/>
    <row r="138" ht="15.75" customHeight="1" s="95"/>
    <row r="139" ht="15.75" customHeight="1" s="95"/>
    <row r="140" ht="15.75" customHeight="1" s="95"/>
    <row r="141" ht="15.75" customHeight="1" s="95"/>
    <row r="142" ht="15.75" customHeight="1" s="95"/>
    <row r="143" ht="15.75" customHeight="1" s="95"/>
    <row r="144" ht="15.75" customHeight="1" s="95"/>
    <row r="145" ht="15.75" customHeight="1" s="95"/>
    <row r="146" ht="15.75" customHeight="1" s="95"/>
    <row r="147" ht="15.75" customHeight="1" s="95"/>
    <row r="148" ht="15.75" customHeight="1" s="95"/>
    <row r="149" ht="15.75" customHeight="1" s="95"/>
    <row r="150" ht="15.75" customHeight="1" s="95"/>
    <row r="151" ht="15.75" customHeight="1" s="95"/>
    <row r="152" ht="15.75" customHeight="1" s="95"/>
    <row r="153" ht="15.75" customHeight="1" s="95"/>
    <row r="154" ht="15.75" customHeight="1" s="95"/>
    <row r="155" ht="15.75" customHeight="1" s="95"/>
    <row r="156" ht="15.75" customHeight="1" s="95"/>
    <row r="157" ht="15.75" customHeight="1" s="95"/>
    <row r="158" ht="15.75" customHeight="1" s="95"/>
    <row r="159" ht="15.75" customHeight="1" s="95"/>
    <row r="160" ht="15.75" customHeight="1" s="95"/>
    <row r="161" ht="15.75" customHeight="1" s="95"/>
    <row r="162" ht="15.75" customHeight="1" s="95"/>
    <row r="163" ht="15.75" customHeight="1" s="95"/>
    <row r="164" ht="15.75" customHeight="1" s="95"/>
    <row r="165" ht="15.75" customHeight="1" s="95"/>
    <row r="166" ht="15.75" customHeight="1" s="95"/>
    <row r="167" ht="15.75" customHeight="1" s="95"/>
    <row r="168" ht="15.75" customHeight="1" s="95"/>
    <row r="169" ht="15.75" customHeight="1" s="95"/>
    <row r="170" ht="15.75" customHeight="1" s="95"/>
    <row r="171" ht="15.75" customHeight="1" s="95"/>
    <row r="172" ht="15.75" customHeight="1" s="95"/>
    <row r="173" ht="15.75" customHeight="1" s="95"/>
    <row r="174" ht="15.75" customHeight="1" s="95"/>
    <row r="175" ht="15.75" customHeight="1" s="95"/>
    <row r="176" ht="15.75" customHeight="1" s="95"/>
    <row r="177" ht="15.75" customHeight="1" s="95"/>
    <row r="178" ht="15.75" customHeight="1" s="95"/>
    <row r="179" ht="15.75" customHeight="1" s="95"/>
    <row r="180" ht="15.75" customHeight="1" s="95"/>
    <row r="181" ht="15.75" customHeight="1" s="95"/>
    <row r="182" ht="15.75" customHeight="1" s="95"/>
    <row r="183" ht="15.75" customHeight="1" s="95"/>
    <row r="184" ht="15.75" customHeight="1" s="95"/>
    <row r="185" ht="15.75" customHeight="1" s="95"/>
    <row r="186" ht="15.75" customHeight="1" s="95"/>
    <row r="187" ht="15.75" customHeight="1" s="95"/>
    <row r="188" ht="15.75" customHeight="1" s="95"/>
    <row r="189" ht="15.75" customHeight="1" s="95"/>
    <row r="190" ht="15.75" customHeight="1" s="95"/>
    <row r="191" ht="15.75" customHeight="1" s="95"/>
    <row r="192" ht="15.75" customHeight="1" s="95"/>
    <row r="193" ht="15.75" customHeight="1" s="95"/>
    <row r="194" ht="15.75" customHeight="1" s="95"/>
    <row r="195" ht="15.75" customHeight="1" s="95"/>
    <row r="196" ht="15.75" customHeight="1" s="95"/>
    <row r="197" ht="15.75" customHeight="1" s="95"/>
    <row r="198" ht="15.75" customHeight="1" s="95"/>
    <row r="199" ht="15.75" customHeight="1" s="95"/>
    <row r="200" ht="15.75" customHeight="1" s="95"/>
    <row r="201" ht="15.75" customHeight="1" s="95"/>
    <row r="202" ht="15.75" customHeight="1" s="95"/>
    <row r="203" ht="15.75" customHeight="1" s="95"/>
    <row r="204" ht="15.75" customHeight="1" s="95"/>
    <row r="205" ht="15.75" customHeight="1" s="95"/>
    <row r="206" ht="15.75" customHeight="1" s="95"/>
    <row r="207" ht="15.75" customHeight="1" s="95"/>
    <row r="208" ht="15.75" customHeight="1" s="95"/>
    <row r="209" ht="15.75" customHeight="1" s="95"/>
    <row r="210" ht="15.75" customHeight="1" s="95"/>
    <row r="211" ht="15.75" customHeight="1" s="95"/>
    <row r="212" ht="15.75" customHeight="1" s="95"/>
    <row r="213" ht="15.75" customHeight="1" s="95"/>
    <row r="214" ht="15.75" customHeight="1" s="95"/>
    <row r="215" ht="15.75" customHeight="1" s="95"/>
    <row r="216" ht="15.75" customHeight="1" s="95"/>
    <row r="217" ht="15.75" customHeight="1" s="95"/>
    <row r="218" ht="15.75" customHeight="1" s="95"/>
    <row r="219" ht="15.75" customHeight="1" s="95"/>
    <row r="220" ht="15.75" customHeight="1" s="95"/>
    <row r="221" ht="15.75" customHeight="1" s="95"/>
    <row r="222" ht="15.75" customHeight="1" s="95"/>
    <row r="223" ht="15.75" customHeight="1" s="95"/>
    <row r="224" ht="15.75" customHeight="1" s="95"/>
    <row r="225" ht="15.75" customHeight="1" s="95"/>
    <row r="226" ht="15.75" customHeight="1" s="95"/>
    <row r="227" ht="15.75" customHeight="1" s="95"/>
    <row r="228" ht="15.75" customHeight="1" s="95"/>
    <row r="229" ht="15.75" customHeight="1" s="95"/>
    <row r="230" ht="15.75" customHeight="1" s="95"/>
    <row r="231" ht="15.75" customHeight="1" s="95"/>
    <row r="232" ht="15.75" customHeight="1" s="95"/>
    <row r="233" ht="15.75" customHeight="1" s="95"/>
    <row r="234" ht="15.75" customHeight="1" s="95"/>
    <row r="235" ht="15.75" customHeight="1" s="95"/>
    <row r="236" ht="15.75" customHeight="1" s="95"/>
    <row r="237" ht="15.75" customHeight="1" s="95"/>
    <row r="238" ht="15.75" customHeight="1" s="95"/>
    <row r="239" ht="15.75" customHeight="1" s="95"/>
    <row r="240" ht="15.75" customHeight="1" s="95"/>
    <row r="241" ht="15.75" customHeight="1" s="95"/>
    <row r="242" ht="15.75" customHeight="1" s="95"/>
    <row r="243" ht="15.75" customHeight="1" s="95"/>
    <row r="244" ht="15.75" customHeight="1" s="95"/>
    <row r="245" ht="15.75" customHeight="1" s="95"/>
    <row r="246" ht="15.75" customHeight="1" s="95"/>
    <row r="247" ht="15.75" customHeight="1" s="95"/>
    <row r="248" ht="15.75" customHeight="1" s="95"/>
    <row r="249" ht="15.75" customHeight="1" s="95"/>
    <row r="250" ht="15.75" customHeight="1" s="95"/>
    <row r="251" ht="15.75" customHeight="1" s="95"/>
    <row r="252" ht="15.75" customHeight="1" s="95"/>
    <row r="253" ht="15.75" customHeight="1" s="95"/>
    <row r="254" ht="15.75" customHeight="1" s="95"/>
    <row r="255" ht="15.75" customHeight="1" s="95"/>
    <row r="256" ht="15.75" customHeight="1" s="95"/>
    <row r="257" ht="15.75" customHeight="1" s="95"/>
    <row r="258" ht="15.75" customHeight="1" s="95"/>
    <row r="259" ht="15.75" customHeight="1" s="95"/>
    <row r="260" ht="15.75" customHeight="1" s="95"/>
    <row r="261" ht="15.75" customHeight="1" s="95"/>
    <row r="262" ht="15.75" customHeight="1" s="95"/>
    <row r="263" ht="15.75" customHeight="1" s="95"/>
    <row r="264" ht="15.75" customHeight="1" s="95"/>
    <row r="265" ht="15.75" customHeight="1" s="95"/>
    <row r="266" ht="15.75" customHeight="1" s="95"/>
    <row r="267" ht="15.75" customHeight="1" s="95"/>
    <row r="268" ht="15.75" customHeight="1" s="95"/>
    <row r="269" ht="15.75" customHeight="1" s="95"/>
    <row r="270" ht="15.75" customHeight="1" s="95"/>
    <row r="271" ht="15.75" customHeight="1" s="95"/>
    <row r="272" ht="15.75" customHeight="1" s="95"/>
    <row r="273" ht="15.75" customHeight="1" s="95"/>
    <row r="274" ht="15.75" customHeight="1" s="95"/>
    <row r="275" ht="15.75" customHeight="1" s="95"/>
    <row r="276" ht="15.75" customHeight="1" s="95"/>
    <row r="277" ht="15.75" customHeight="1" s="95"/>
    <row r="278" ht="15.75" customHeight="1" s="95"/>
    <row r="279" ht="15.75" customHeight="1" s="95"/>
    <row r="280" ht="15.75" customHeight="1" s="95"/>
    <row r="281" ht="15.75" customHeight="1" s="95"/>
    <row r="282" ht="15.75" customHeight="1" s="95"/>
    <row r="283" ht="15.75" customHeight="1" s="95"/>
    <row r="284" ht="15.75" customHeight="1" s="95"/>
    <row r="285" ht="15.75" customHeight="1" s="95"/>
    <row r="286" ht="15.75" customHeight="1" s="95"/>
    <row r="287" ht="15.75" customHeight="1" s="95"/>
    <row r="288" ht="15.75" customHeight="1" s="95"/>
    <row r="289" ht="15.75" customHeight="1" s="95"/>
    <row r="290" ht="15.75" customHeight="1" s="95"/>
    <row r="291" ht="15.75" customHeight="1" s="95"/>
    <row r="292" ht="15.75" customHeight="1" s="95"/>
    <row r="293" ht="15.75" customHeight="1" s="95"/>
    <row r="294" ht="15.75" customHeight="1" s="95"/>
    <row r="295" ht="15.75" customHeight="1" s="95"/>
    <row r="296" ht="15.75" customHeight="1" s="95"/>
    <row r="297" ht="15.75" customHeight="1" s="95"/>
    <row r="298" ht="15.75" customHeight="1" s="95"/>
    <row r="299" ht="15.75" customHeight="1" s="95"/>
    <row r="300" ht="15.75" customHeight="1" s="95"/>
    <row r="301" ht="15.75" customHeight="1" s="95"/>
    <row r="302" ht="15.75" customHeight="1" s="95"/>
    <row r="303" ht="15.75" customHeight="1" s="95"/>
    <row r="304" ht="15.75" customHeight="1" s="95"/>
    <row r="305" ht="15.75" customHeight="1" s="95"/>
    <row r="306" ht="15.75" customHeight="1" s="95"/>
    <row r="307" ht="15.75" customHeight="1" s="95"/>
    <row r="308" ht="15.75" customHeight="1" s="95"/>
    <row r="309" ht="15.75" customHeight="1" s="95"/>
    <row r="310" ht="15.75" customHeight="1" s="95"/>
    <row r="311" ht="15.75" customHeight="1" s="95"/>
    <row r="312" ht="15.75" customHeight="1" s="95"/>
    <row r="313" ht="15.75" customHeight="1" s="95"/>
    <row r="314" ht="15.75" customHeight="1" s="95"/>
    <row r="315" ht="15.75" customHeight="1" s="95"/>
    <row r="316" ht="15.75" customHeight="1" s="95"/>
    <row r="317" ht="15.75" customHeight="1" s="95"/>
    <row r="318" ht="15.75" customHeight="1" s="95"/>
    <row r="319" ht="15.75" customHeight="1" s="95"/>
    <row r="320" ht="15.75" customHeight="1" s="95"/>
    <row r="321" ht="15.75" customHeight="1" s="95"/>
    <row r="322" ht="15.75" customHeight="1" s="95"/>
    <row r="323" ht="15.75" customHeight="1" s="95"/>
    <row r="324" ht="15.75" customHeight="1" s="95"/>
    <row r="325" ht="15.75" customHeight="1" s="95"/>
    <row r="326" ht="15.75" customHeight="1" s="95"/>
    <row r="327" ht="15.75" customHeight="1" s="95"/>
    <row r="328" ht="15.75" customHeight="1" s="95"/>
    <row r="329" ht="15.75" customHeight="1" s="95"/>
    <row r="330" ht="15.75" customHeight="1" s="95"/>
    <row r="331" ht="15.75" customHeight="1" s="95"/>
    <row r="332" ht="15.75" customHeight="1" s="95"/>
    <row r="333" ht="15.75" customHeight="1" s="95"/>
    <row r="334" ht="15.75" customHeight="1" s="95"/>
    <row r="335" ht="15.75" customHeight="1" s="95"/>
    <row r="336" ht="15.75" customHeight="1" s="95"/>
    <row r="337" ht="15.75" customHeight="1" s="95"/>
    <row r="338" ht="15.75" customHeight="1" s="95"/>
    <row r="339" ht="15.75" customHeight="1" s="95"/>
    <row r="340" ht="15.75" customHeight="1" s="95"/>
    <row r="341" ht="15.75" customHeight="1" s="95"/>
    <row r="342" ht="15.75" customHeight="1" s="95"/>
    <row r="343" ht="15.75" customHeight="1" s="95"/>
    <row r="344" ht="15.75" customHeight="1" s="95"/>
    <row r="345" ht="15.75" customHeight="1" s="95"/>
    <row r="346" ht="15.75" customHeight="1" s="95"/>
    <row r="347" ht="15.75" customHeight="1" s="95"/>
    <row r="348" ht="15.75" customHeight="1" s="95"/>
    <row r="349" ht="15.75" customHeight="1" s="95"/>
    <row r="350" ht="15.75" customHeight="1" s="95"/>
    <row r="351" ht="15.75" customHeight="1" s="95"/>
    <row r="352" ht="15.75" customHeight="1" s="95"/>
    <row r="353" ht="15.75" customHeight="1" s="95"/>
    <row r="354" ht="15.75" customHeight="1" s="95"/>
    <row r="355" ht="15.75" customHeight="1" s="95"/>
    <row r="356" ht="15.75" customHeight="1" s="95"/>
    <row r="357" ht="15.75" customHeight="1" s="95"/>
    <row r="358" ht="15.75" customHeight="1" s="95"/>
    <row r="359" ht="15.75" customHeight="1" s="95"/>
    <row r="360" ht="15.75" customHeight="1" s="95"/>
    <row r="361" ht="15.75" customHeight="1" s="95"/>
    <row r="362" ht="15.75" customHeight="1" s="95"/>
    <row r="363" ht="15.75" customHeight="1" s="95"/>
    <row r="364" ht="15.75" customHeight="1" s="95"/>
    <row r="365" ht="15.75" customHeight="1" s="95"/>
    <row r="366" ht="15.75" customHeight="1" s="95"/>
    <row r="367" ht="15.75" customHeight="1" s="95"/>
    <row r="368" ht="15.75" customHeight="1" s="95"/>
    <row r="369" ht="15.75" customHeight="1" s="95"/>
    <row r="370" ht="15.75" customHeight="1" s="95"/>
    <row r="371" ht="15.75" customHeight="1" s="95"/>
    <row r="372" ht="15.75" customHeight="1" s="95"/>
    <row r="373" ht="15.75" customHeight="1" s="95"/>
    <row r="374" ht="15.75" customHeight="1" s="95"/>
    <row r="375" ht="15.75" customHeight="1" s="95"/>
    <row r="376" ht="15.75" customHeight="1" s="95"/>
    <row r="377" ht="15.75" customHeight="1" s="95"/>
    <row r="378" ht="15.75" customHeight="1" s="95"/>
    <row r="379" ht="15.75" customHeight="1" s="95"/>
    <row r="380" ht="15.75" customHeight="1" s="95"/>
    <row r="381" ht="15.75" customHeight="1" s="95"/>
    <row r="382" ht="15.75" customHeight="1" s="95"/>
    <row r="383" ht="15.75" customHeight="1" s="95"/>
    <row r="384" ht="15.75" customHeight="1" s="95"/>
    <row r="385" ht="15.75" customHeight="1" s="95"/>
    <row r="386" ht="15.75" customHeight="1" s="95"/>
    <row r="387" ht="15.75" customHeight="1" s="95"/>
    <row r="388" ht="15.75" customHeight="1" s="95"/>
    <row r="389" ht="15.75" customHeight="1" s="95"/>
    <row r="390" ht="15.75" customHeight="1" s="95"/>
    <row r="391" ht="15.75" customHeight="1" s="95"/>
    <row r="392" ht="15.75" customHeight="1" s="95"/>
    <row r="393" ht="15.75" customHeight="1" s="95"/>
    <row r="394" ht="15.75" customHeight="1" s="95"/>
    <row r="395" ht="15.75" customHeight="1" s="95"/>
    <row r="396" ht="15.75" customHeight="1" s="95"/>
    <row r="397" ht="15.75" customHeight="1" s="95"/>
    <row r="398" ht="15.75" customHeight="1" s="95"/>
    <row r="399" ht="15.75" customHeight="1" s="95"/>
    <row r="400" ht="15.75" customHeight="1" s="95"/>
    <row r="401" ht="15.75" customHeight="1" s="95"/>
    <row r="402" ht="15.75" customHeight="1" s="95"/>
    <row r="403" ht="15.75" customHeight="1" s="95"/>
    <row r="404" ht="15.75" customHeight="1" s="95"/>
    <row r="405" ht="15.75" customHeight="1" s="95"/>
    <row r="406" ht="15.75" customHeight="1" s="95"/>
    <row r="407" ht="15.75" customHeight="1" s="95"/>
    <row r="408" ht="15.75" customHeight="1" s="95"/>
    <row r="409" ht="15.75" customHeight="1" s="95"/>
    <row r="410" ht="15.75" customHeight="1" s="95"/>
    <row r="411" ht="15.75" customHeight="1" s="95"/>
    <row r="412" ht="15.75" customHeight="1" s="95"/>
    <row r="413" ht="15.75" customHeight="1" s="95"/>
    <row r="414" ht="15.75" customHeight="1" s="95"/>
    <row r="415" ht="15.75" customHeight="1" s="95"/>
    <row r="416" ht="15.75" customHeight="1" s="95"/>
    <row r="417" ht="15.75" customHeight="1" s="95"/>
    <row r="418" ht="15.75" customHeight="1" s="95"/>
    <row r="419" ht="15.75" customHeight="1" s="95"/>
    <row r="420" ht="15.75" customHeight="1" s="95"/>
    <row r="421" ht="15.75" customHeight="1" s="95"/>
    <row r="422" ht="15.75" customHeight="1" s="95"/>
    <row r="423" ht="15.75" customHeight="1" s="95"/>
    <row r="424" ht="15.75" customHeight="1" s="95"/>
    <row r="425" ht="15.75" customHeight="1" s="95"/>
    <row r="426" ht="15.75" customHeight="1" s="95"/>
    <row r="427" ht="15.75" customHeight="1" s="95"/>
    <row r="428" ht="15.75" customHeight="1" s="95"/>
    <row r="429" ht="15.75" customHeight="1" s="95"/>
    <row r="430" ht="15.75" customHeight="1" s="95"/>
    <row r="431" ht="15.75" customHeight="1" s="95"/>
    <row r="432" ht="15.75" customHeight="1" s="95"/>
    <row r="433" ht="15.75" customHeight="1" s="95"/>
    <row r="434" ht="15.75" customHeight="1" s="95"/>
    <row r="435" ht="15.75" customHeight="1" s="95"/>
    <row r="436" ht="15.75" customHeight="1" s="95"/>
    <row r="437" ht="15.75" customHeight="1" s="95"/>
    <row r="438" ht="15.75" customHeight="1" s="95"/>
    <row r="439" ht="15.75" customHeight="1" s="95"/>
    <row r="440" ht="15.75" customHeight="1" s="95"/>
    <row r="441" ht="15.75" customHeight="1" s="95"/>
    <row r="442" ht="15.75" customHeight="1" s="95"/>
    <row r="443" ht="15.75" customHeight="1" s="95"/>
    <row r="444" ht="15.75" customHeight="1" s="95"/>
    <row r="445" ht="15.75" customHeight="1" s="95"/>
    <row r="446" ht="15.75" customHeight="1" s="95"/>
    <row r="447" ht="15.75" customHeight="1" s="95"/>
    <row r="448" ht="15.75" customHeight="1" s="95"/>
    <row r="449" ht="15.75" customHeight="1" s="95"/>
    <row r="450" ht="15.75" customHeight="1" s="95"/>
    <row r="451" ht="15.75" customHeight="1" s="95"/>
    <row r="452" ht="15.75" customHeight="1" s="95"/>
    <row r="453" ht="15.75" customHeight="1" s="95"/>
    <row r="454" ht="15.75" customHeight="1" s="95"/>
    <row r="455" ht="15.75" customHeight="1" s="95"/>
    <row r="456" ht="15.75" customHeight="1" s="95"/>
    <row r="457" ht="15.75" customHeight="1" s="95"/>
    <row r="458" ht="15.75" customHeight="1" s="95"/>
    <row r="459" ht="15.75" customHeight="1" s="95"/>
    <row r="460" ht="15.75" customHeight="1" s="95"/>
    <row r="461" ht="15.75" customHeight="1" s="95"/>
    <row r="462" ht="15.75" customHeight="1" s="95"/>
    <row r="463" ht="15.75" customHeight="1" s="95"/>
    <row r="464" ht="15.75" customHeight="1" s="95"/>
    <row r="465" ht="15.75" customHeight="1" s="95"/>
    <row r="466" ht="15.75" customHeight="1" s="95"/>
    <row r="467" ht="15.75" customHeight="1" s="95"/>
    <row r="468" ht="15.75" customHeight="1" s="95"/>
    <row r="469" ht="15.75" customHeight="1" s="95"/>
    <row r="470" ht="15.75" customHeight="1" s="95"/>
    <row r="471" ht="15.75" customHeight="1" s="95"/>
    <row r="472" ht="15.75" customHeight="1" s="95"/>
    <row r="473" ht="15.75" customHeight="1" s="95"/>
    <row r="474" ht="15.75" customHeight="1" s="95"/>
    <row r="475" ht="15.75" customHeight="1" s="95"/>
    <row r="476" ht="15.75" customHeight="1" s="95"/>
    <row r="477" ht="15.75" customHeight="1" s="95"/>
    <row r="478" ht="15.75" customHeight="1" s="95"/>
    <row r="479" ht="15.75" customHeight="1" s="95"/>
    <row r="480" ht="15.75" customHeight="1" s="95"/>
    <row r="481" ht="15.75" customHeight="1" s="95"/>
    <row r="482" ht="15.75" customHeight="1" s="95"/>
    <row r="483" ht="15.75" customHeight="1" s="95"/>
    <row r="484" ht="15.75" customHeight="1" s="95"/>
    <row r="485" ht="15.75" customHeight="1" s="95"/>
    <row r="486" ht="15.75" customHeight="1" s="95"/>
    <row r="487" ht="15.75" customHeight="1" s="95"/>
    <row r="488" ht="15.75" customHeight="1" s="95"/>
    <row r="489" ht="15.75" customHeight="1" s="95"/>
    <row r="490" ht="15.75" customHeight="1" s="95"/>
    <row r="491" ht="15.75" customHeight="1" s="95"/>
    <row r="492" ht="15.75" customHeight="1" s="95"/>
    <row r="493" ht="15.75" customHeight="1" s="95"/>
    <row r="494" ht="15.75" customHeight="1" s="95"/>
    <row r="495" ht="15.75" customHeight="1" s="95"/>
    <row r="496" ht="15.75" customHeight="1" s="95"/>
    <row r="497" ht="15.75" customHeight="1" s="95"/>
    <row r="498" ht="15.75" customHeight="1" s="95"/>
    <row r="499" ht="15.75" customHeight="1" s="95"/>
    <row r="500" ht="15.75" customHeight="1" s="95"/>
    <row r="501" ht="15.75" customHeight="1" s="95"/>
    <row r="502" ht="15.75" customHeight="1" s="95"/>
    <row r="503" ht="15.75" customHeight="1" s="95"/>
    <row r="504" ht="15.75" customHeight="1" s="95"/>
    <row r="505" ht="15.75" customHeight="1" s="95"/>
    <row r="506" ht="15.75" customHeight="1" s="95"/>
    <row r="507" ht="15.75" customHeight="1" s="95"/>
    <row r="508" ht="15.75" customHeight="1" s="95"/>
    <row r="509" ht="15.75" customHeight="1" s="95"/>
    <row r="510" ht="15.75" customHeight="1" s="95"/>
    <row r="511" ht="15.75" customHeight="1" s="95"/>
    <row r="512" ht="15.75" customHeight="1" s="95"/>
    <row r="513" ht="15.75" customHeight="1" s="95"/>
    <row r="514" ht="15.75" customHeight="1" s="95"/>
    <row r="515" ht="15.75" customHeight="1" s="95"/>
    <row r="516" ht="15.75" customHeight="1" s="95"/>
    <row r="517" ht="15.75" customHeight="1" s="95"/>
    <row r="518" ht="15.75" customHeight="1" s="95"/>
    <row r="519" ht="15.75" customHeight="1" s="95"/>
    <row r="520" ht="15.75" customHeight="1" s="95"/>
    <row r="521" ht="15.75" customHeight="1" s="95"/>
    <row r="522" ht="15.75" customHeight="1" s="95"/>
    <row r="523" ht="15.75" customHeight="1" s="95"/>
    <row r="524" ht="15.75" customHeight="1" s="95"/>
    <row r="525" ht="15.75" customHeight="1" s="95"/>
    <row r="526" ht="15.75" customHeight="1" s="95"/>
    <row r="527" ht="15.75" customHeight="1" s="95"/>
    <row r="528" ht="15.75" customHeight="1" s="95"/>
    <row r="529" ht="15.75" customHeight="1" s="95"/>
    <row r="530" ht="15.75" customHeight="1" s="95"/>
    <row r="531" ht="15.75" customHeight="1" s="95"/>
    <row r="532" ht="15.75" customHeight="1" s="95"/>
    <row r="533" ht="15.75" customHeight="1" s="95"/>
    <row r="534" ht="15.75" customHeight="1" s="95"/>
    <row r="535" ht="15.75" customHeight="1" s="95"/>
    <row r="536" ht="15.75" customHeight="1" s="95"/>
    <row r="537" ht="15.75" customHeight="1" s="95"/>
    <row r="538" ht="15.75" customHeight="1" s="95"/>
    <row r="539" ht="15.75" customHeight="1" s="95"/>
    <row r="540" ht="15.75" customHeight="1" s="95"/>
    <row r="541" ht="15.75" customHeight="1" s="95"/>
    <row r="542" ht="15.75" customHeight="1" s="95"/>
    <row r="543" ht="15.75" customHeight="1" s="95"/>
    <row r="544" ht="15.75" customHeight="1" s="95"/>
    <row r="545" ht="15.75" customHeight="1" s="95"/>
    <row r="546" ht="15.75" customHeight="1" s="95"/>
    <row r="547" ht="15.75" customHeight="1" s="95"/>
    <row r="548" ht="15.75" customHeight="1" s="95"/>
    <row r="549" ht="15.75" customHeight="1" s="95"/>
    <row r="550" ht="15.75" customHeight="1" s="95"/>
    <row r="551" ht="15.75" customHeight="1" s="95"/>
    <row r="552" ht="15.75" customHeight="1" s="95"/>
    <row r="553" ht="15.75" customHeight="1" s="95"/>
    <row r="554" ht="15.75" customHeight="1" s="95"/>
    <row r="555" ht="15.75" customHeight="1" s="95"/>
    <row r="556" ht="15.75" customHeight="1" s="95"/>
    <row r="557" ht="15.75" customHeight="1" s="95"/>
    <row r="558" ht="15.75" customHeight="1" s="95"/>
    <row r="559" ht="15.75" customHeight="1" s="95"/>
    <row r="560" ht="15.75" customHeight="1" s="95"/>
    <row r="561" ht="15.75" customHeight="1" s="95"/>
    <row r="562" ht="15.75" customHeight="1" s="95"/>
    <row r="563" ht="15.75" customHeight="1" s="95"/>
    <row r="564" ht="15.75" customHeight="1" s="95"/>
    <row r="565" ht="15.75" customHeight="1" s="95"/>
    <row r="566" ht="15.75" customHeight="1" s="95"/>
    <row r="567" ht="15.75" customHeight="1" s="95"/>
    <row r="568" ht="15.75" customHeight="1" s="95"/>
    <row r="569" ht="15.75" customHeight="1" s="95"/>
    <row r="570" ht="15.75" customHeight="1" s="95"/>
    <row r="571" ht="15.75" customHeight="1" s="95"/>
    <row r="572" ht="15.75" customHeight="1" s="95"/>
    <row r="573" ht="15.75" customHeight="1" s="95"/>
    <row r="574" ht="15.75" customHeight="1" s="95"/>
    <row r="575" ht="15.75" customHeight="1" s="95"/>
    <row r="576" ht="15.75" customHeight="1" s="95"/>
    <row r="577" ht="15.75" customHeight="1" s="95"/>
    <row r="578" ht="15.75" customHeight="1" s="95"/>
    <row r="579" ht="15.75" customHeight="1" s="95"/>
    <row r="580" ht="15.75" customHeight="1" s="95"/>
    <row r="581" ht="15.75" customHeight="1" s="95"/>
    <row r="582" ht="15.75" customHeight="1" s="95"/>
    <row r="583" ht="15.75" customHeight="1" s="95"/>
    <row r="584" ht="15.75" customHeight="1" s="95"/>
    <row r="585" ht="15.75" customHeight="1" s="95"/>
    <row r="586" ht="15.75" customHeight="1" s="95"/>
    <row r="587" ht="15.75" customHeight="1" s="95"/>
    <row r="588" ht="15.75" customHeight="1" s="95"/>
    <row r="589" ht="15.75" customHeight="1" s="95"/>
    <row r="590" ht="15.75" customHeight="1" s="95"/>
    <row r="591" ht="15.75" customHeight="1" s="95"/>
    <row r="592" ht="15.75" customHeight="1" s="95"/>
    <row r="593" ht="15.75" customHeight="1" s="95"/>
    <row r="594" ht="15.75" customHeight="1" s="95"/>
    <row r="595" ht="15.75" customHeight="1" s="95"/>
    <row r="596" ht="15.75" customHeight="1" s="95"/>
    <row r="597" ht="15.75" customHeight="1" s="95"/>
    <row r="598" ht="15.75" customHeight="1" s="95"/>
    <row r="599" ht="15.75" customHeight="1" s="95"/>
    <row r="600" ht="15.75" customHeight="1" s="95"/>
    <row r="601" ht="15.75" customHeight="1" s="95"/>
    <row r="602" ht="15.75" customHeight="1" s="95"/>
    <row r="603" ht="15.75" customHeight="1" s="95"/>
    <row r="604" ht="15.75" customHeight="1" s="95"/>
    <row r="605" ht="15.75" customHeight="1" s="95"/>
    <row r="606" ht="15.75" customHeight="1" s="95"/>
    <row r="607" ht="15.75" customHeight="1" s="95"/>
    <row r="608" ht="15.75" customHeight="1" s="95"/>
    <row r="609" ht="15.75" customHeight="1" s="95"/>
    <row r="610" ht="15.75" customHeight="1" s="95"/>
    <row r="611" ht="15.75" customHeight="1" s="95"/>
    <row r="612" ht="15.75" customHeight="1" s="95"/>
    <row r="613" ht="15.75" customHeight="1" s="95"/>
    <row r="614" ht="15.75" customHeight="1" s="95"/>
    <row r="615" ht="15.75" customHeight="1" s="95"/>
    <row r="616" ht="15.75" customHeight="1" s="95"/>
    <row r="617" ht="15.75" customHeight="1" s="95"/>
    <row r="618" ht="15.75" customHeight="1" s="95"/>
    <row r="619" ht="15.75" customHeight="1" s="95"/>
    <row r="620" ht="15.75" customHeight="1" s="95"/>
    <row r="621" ht="15.75" customHeight="1" s="95"/>
    <row r="622" ht="15.75" customHeight="1" s="95"/>
    <row r="623" ht="15.75" customHeight="1" s="95"/>
    <row r="624" ht="15.75" customHeight="1" s="95"/>
    <row r="625" ht="15.75" customHeight="1" s="95"/>
    <row r="626" ht="15.75" customHeight="1" s="95"/>
    <row r="627" ht="15.75" customHeight="1" s="95"/>
    <row r="628" ht="15.75" customHeight="1" s="95"/>
    <row r="629" ht="15.75" customHeight="1" s="95"/>
    <row r="630" ht="15.75" customHeight="1" s="95"/>
    <row r="631" ht="15.75" customHeight="1" s="95"/>
    <row r="632" ht="15.75" customHeight="1" s="95"/>
    <row r="633" ht="15.75" customHeight="1" s="95"/>
    <row r="634" ht="15.75" customHeight="1" s="95"/>
    <row r="635" ht="15.75" customHeight="1" s="95"/>
    <row r="636" ht="15.75" customHeight="1" s="95"/>
    <row r="637" ht="15.75" customHeight="1" s="95"/>
    <row r="638" ht="15.75" customHeight="1" s="95"/>
    <row r="639" ht="15.75" customHeight="1" s="95"/>
    <row r="640" ht="15.75" customHeight="1" s="95"/>
    <row r="641" ht="15.75" customHeight="1" s="95"/>
    <row r="642" ht="15.75" customHeight="1" s="95"/>
    <row r="643" ht="15.75" customHeight="1" s="95"/>
    <row r="644" ht="15.75" customHeight="1" s="95"/>
    <row r="645" ht="15.75" customHeight="1" s="95"/>
    <row r="646" ht="15.75" customHeight="1" s="95"/>
    <row r="647" ht="15.75" customHeight="1" s="95"/>
    <row r="648" ht="15.75" customHeight="1" s="95"/>
    <row r="649" ht="15.75" customHeight="1" s="95"/>
    <row r="650" ht="15.75" customHeight="1" s="95"/>
    <row r="651" ht="15.75" customHeight="1" s="95"/>
    <row r="652" ht="15.75" customHeight="1" s="95"/>
    <row r="653" ht="15.75" customHeight="1" s="95"/>
    <row r="654" ht="15.75" customHeight="1" s="95"/>
    <row r="655" ht="15.75" customHeight="1" s="95"/>
    <row r="656" ht="15.75" customHeight="1" s="95"/>
    <row r="657" ht="15.75" customHeight="1" s="95"/>
    <row r="658" ht="15.75" customHeight="1" s="95"/>
    <row r="659" ht="15.75" customHeight="1" s="95"/>
    <row r="660" ht="15.75" customHeight="1" s="95"/>
    <row r="661" ht="15.75" customHeight="1" s="95"/>
    <row r="662" ht="15.75" customHeight="1" s="95"/>
    <row r="663" ht="15.75" customHeight="1" s="95"/>
    <row r="664" ht="15.75" customHeight="1" s="95"/>
    <row r="665" ht="15.75" customHeight="1" s="95"/>
    <row r="666" ht="15.75" customHeight="1" s="95"/>
    <row r="667" ht="15.75" customHeight="1" s="95"/>
    <row r="668" ht="15.75" customHeight="1" s="95"/>
    <row r="669" ht="15.75" customHeight="1" s="95"/>
    <row r="670" ht="15.75" customHeight="1" s="95"/>
    <row r="671" ht="15.75" customHeight="1" s="95"/>
    <row r="672" ht="15.75" customHeight="1" s="95"/>
    <row r="673" ht="15.75" customHeight="1" s="95"/>
    <row r="674" ht="15.75" customHeight="1" s="95"/>
    <row r="675" ht="15.75" customHeight="1" s="95"/>
    <row r="676" ht="15.75" customHeight="1" s="95"/>
    <row r="677" ht="15.75" customHeight="1" s="95"/>
    <row r="678" ht="15.75" customHeight="1" s="95"/>
    <row r="679" ht="15.75" customHeight="1" s="95"/>
    <row r="680" ht="15.75" customHeight="1" s="95"/>
    <row r="681" ht="15.75" customHeight="1" s="95"/>
    <row r="682" ht="15.75" customHeight="1" s="95"/>
    <row r="683" ht="15.75" customHeight="1" s="95"/>
    <row r="684" ht="15.75" customHeight="1" s="95"/>
    <row r="685" ht="15.75" customHeight="1" s="95"/>
    <row r="686" ht="15.75" customHeight="1" s="95"/>
    <row r="687" ht="15.75" customHeight="1" s="95"/>
    <row r="688" ht="15.75" customHeight="1" s="95"/>
    <row r="689" ht="15.75" customHeight="1" s="95"/>
    <row r="690" ht="15.75" customHeight="1" s="95"/>
    <row r="691" ht="15.75" customHeight="1" s="95"/>
    <row r="692" ht="15.75" customHeight="1" s="95"/>
    <row r="693" ht="15.75" customHeight="1" s="95"/>
    <row r="694" ht="15.75" customHeight="1" s="95"/>
    <row r="695" ht="15.75" customHeight="1" s="95"/>
    <row r="696" ht="15.75" customHeight="1" s="95"/>
    <row r="697" ht="15.75" customHeight="1" s="95"/>
    <row r="698" ht="15.75" customHeight="1" s="95"/>
    <row r="699" ht="15.75" customHeight="1" s="95"/>
    <row r="700" ht="15.75" customHeight="1" s="95"/>
    <row r="701" ht="15.75" customHeight="1" s="95"/>
    <row r="702" ht="15.75" customHeight="1" s="95"/>
    <row r="703" ht="15.75" customHeight="1" s="95"/>
    <row r="704" ht="15.75" customHeight="1" s="95"/>
    <row r="705" ht="15.75" customHeight="1" s="95"/>
    <row r="706" ht="15.75" customHeight="1" s="95"/>
    <row r="707" ht="15.75" customHeight="1" s="95"/>
    <row r="708" ht="15.75" customHeight="1" s="95"/>
    <row r="709" ht="15.75" customHeight="1" s="95"/>
    <row r="710" ht="15.75" customHeight="1" s="95"/>
    <row r="711" ht="15.75" customHeight="1" s="95"/>
    <row r="712" ht="15.75" customHeight="1" s="95"/>
    <row r="713" ht="15.75" customHeight="1" s="95"/>
    <row r="714" ht="15.75" customHeight="1" s="95"/>
    <row r="715" ht="15.75" customHeight="1" s="95"/>
    <row r="716" ht="15.75" customHeight="1" s="95"/>
    <row r="717" ht="15.75" customHeight="1" s="95"/>
    <row r="718" ht="15.75" customHeight="1" s="95"/>
    <row r="719" ht="15.75" customHeight="1" s="95"/>
    <row r="720" ht="15.75" customHeight="1" s="95"/>
    <row r="721" ht="15.75" customHeight="1" s="95"/>
    <row r="722" ht="15.75" customHeight="1" s="95"/>
    <row r="723" ht="15.75" customHeight="1" s="95"/>
    <row r="724" ht="15.75" customHeight="1" s="95"/>
    <row r="725" ht="15.75" customHeight="1" s="95"/>
    <row r="726" ht="15.75" customHeight="1" s="95"/>
    <row r="727" ht="15.75" customHeight="1" s="95"/>
    <row r="728" ht="15.75" customHeight="1" s="95"/>
    <row r="729" ht="15.75" customHeight="1" s="95"/>
    <row r="730" ht="15.75" customHeight="1" s="95"/>
    <row r="731" ht="15.75" customHeight="1" s="95"/>
    <row r="732" ht="15.75" customHeight="1" s="95"/>
    <row r="733" ht="15.75" customHeight="1" s="95"/>
    <row r="734" ht="15.75" customHeight="1" s="95"/>
    <row r="735" ht="15.75" customHeight="1" s="95"/>
    <row r="736" ht="15.75" customHeight="1" s="95"/>
    <row r="737" ht="15.75" customHeight="1" s="95"/>
    <row r="738" ht="15.75" customHeight="1" s="95"/>
    <row r="739" ht="15.75" customHeight="1" s="95"/>
    <row r="740" ht="15.75" customHeight="1" s="95"/>
    <row r="741" ht="15.75" customHeight="1" s="95"/>
    <row r="742" ht="15.75" customHeight="1" s="95"/>
    <row r="743" ht="15.75" customHeight="1" s="95"/>
    <row r="744" ht="15.75" customHeight="1" s="95"/>
    <row r="745" ht="15.75" customHeight="1" s="95"/>
    <row r="746" ht="15.75" customHeight="1" s="95"/>
    <row r="747" ht="15.75" customHeight="1" s="95"/>
    <row r="748" ht="15.75" customHeight="1" s="95"/>
    <row r="749" ht="15.75" customHeight="1" s="95"/>
    <row r="750" ht="15.75" customHeight="1" s="95"/>
    <row r="751" ht="15.75" customHeight="1" s="95"/>
    <row r="752" ht="15.75" customHeight="1" s="95"/>
    <row r="753" ht="15.75" customHeight="1" s="95"/>
    <row r="754" ht="15.75" customHeight="1" s="95"/>
    <row r="755" ht="15.75" customHeight="1" s="95"/>
    <row r="756" ht="15.75" customHeight="1" s="95"/>
    <row r="757" ht="15.75" customHeight="1" s="95"/>
    <row r="758" ht="15.75" customHeight="1" s="95"/>
    <row r="759" ht="15.75" customHeight="1" s="95"/>
    <row r="760" ht="15.75" customHeight="1" s="95"/>
    <row r="761" ht="15.75" customHeight="1" s="95"/>
    <row r="762" ht="15.75" customHeight="1" s="95"/>
    <row r="763" ht="15.75" customHeight="1" s="95"/>
    <row r="764" ht="15.75" customHeight="1" s="95"/>
    <row r="765" ht="15.75" customHeight="1" s="95"/>
    <row r="766" ht="15.75" customHeight="1" s="95"/>
    <row r="767" ht="15.75" customHeight="1" s="95"/>
    <row r="768" ht="15.75" customHeight="1" s="95"/>
    <row r="769" ht="15.75" customHeight="1" s="95"/>
    <row r="770" ht="15.75" customHeight="1" s="95"/>
    <row r="771" ht="15.75" customHeight="1" s="95"/>
    <row r="772" ht="15.75" customHeight="1" s="95"/>
    <row r="773" ht="15.75" customHeight="1" s="95"/>
    <row r="774" ht="15.75" customHeight="1" s="95"/>
    <row r="775" ht="15.75" customHeight="1" s="95"/>
    <row r="776" ht="15.75" customHeight="1" s="95"/>
    <row r="777" ht="15.75" customHeight="1" s="95"/>
    <row r="778" ht="15.75" customHeight="1" s="95"/>
    <row r="779" ht="15.75" customHeight="1" s="95"/>
    <row r="780" ht="15.75" customHeight="1" s="95"/>
    <row r="781" ht="15.75" customHeight="1" s="95"/>
    <row r="782" ht="15.75" customHeight="1" s="95"/>
    <row r="783" ht="15.75" customHeight="1" s="95"/>
    <row r="784" ht="15.75" customHeight="1" s="95"/>
    <row r="785" ht="15.75" customHeight="1" s="95"/>
    <row r="786" ht="15.75" customHeight="1" s="95"/>
    <row r="787" ht="15.75" customHeight="1" s="95"/>
    <row r="788" ht="15.75" customHeight="1" s="95"/>
    <row r="789" ht="15.75" customHeight="1" s="95"/>
    <row r="790" ht="15.75" customHeight="1" s="95"/>
    <row r="791" ht="15.75" customHeight="1" s="95"/>
    <row r="792" ht="15.75" customHeight="1" s="95"/>
    <row r="793" ht="15.75" customHeight="1" s="95"/>
    <row r="794" ht="15.75" customHeight="1" s="95"/>
    <row r="795" ht="15.75" customHeight="1" s="95"/>
    <row r="796" ht="15.75" customHeight="1" s="95"/>
    <row r="797" ht="15.75" customHeight="1" s="95"/>
    <row r="798" ht="15.75" customHeight="1" s="95"/>
    <row r="799" ht="15.75" customHeight="1" s="95"/>
    <row r="800" ht="15.75" customHeight="1" s="95"/>
    <row r="801" ht="15.75" customHeight="1" s="95"/>
    <row r="802" ht="15.75" customHeight="1" s="95"/>
    <row r="803" ht="15.75" customHeight="1" s="95"/>
    <row r="804" ht="15.75" customHeight="1" s="95"/>
    <row r="805" ht="15.75" customHeight="1" s="95"/>
    <row r="806" ht="15.75" customHeight="1" s="95"/>
    <row r="807" ht="15.75" customHeight="1" s="95"/>
    <row r="808" ht="15.75" customHeight="1" s="95"/>
    <row r="809" ht="15.75" customHeight="1" s="95"/>
    <row r="810" ht="15.75" customHeight="1" s="95"/>
    <row r="811" ht="15.75" customHeight="1" s="95"/>
    <row r="812" ht="15.75" customHeight="1" s="95"/>
    <row r="813" ht="15.75" customHeight="1" s="95"/>
    <row r="814" ht="15.75" customHeight="1" s="95"/>
    <row r="815" ht="15.75" customHeight="1" s="95"/>
    <row r="816" ht="15.75" customHeight="1" s="95"/>
    <row r="817" ht="15.75" customHeight="1" s="95"/>
    <row r="818" ht="15.75" customHeight="1" s="95"/>
    <row r="819" ht="15.75" customHeight="1" s="95"/>
    <row r="820" ht="15.75" customHeight="1" s="95"/>
    <row r="821" ht="15.75" customHeight="1" s="95"/>
    <row r="822" ht="15.75" customHeight="1" s="95"/>
    <row r="823" ht="15.75" customHeight="1" s="95"/>
    <row r="824" ht="15.75" customHeight="1" s="95"/>
    <row r="825" ht="15.75" customHeight="1" s="95"/>
    <row r="826" ht="15.75" customHeight="1" s="95"/>
    <row r="827" ht="15.75" customHeight="1" s="95"/>
    <row r="828" ht="15.75" customHeight="1" s="95"/>
    <row r="829" ht="15.75" customHeight="1" s="95"/>
    <row r="830" ht="15.75" customHeight="1" s="95"/>
    <row r="831" ht="15.75" customHeight="1" s="95"/>
    <row r="832" ht="15.75" customHeight="1" s="95"/>
    <row r="833" ht="15.75" customHeight="1" s="95"/>
    <row r="834" ht="15.75" customHeight="1" s="95"/>
    <row r="835" ht="15.75" customHeight="1" s="95"/>
    <row r="836" ht="15.75" customHeight="1" s="95"/>
    <row r="837" ht="15.75" customHeight="1" s="95"/>
    <row r="838" ht="15.75" customHeight="1" s="95"/>
    <row r="839" ht="15.75" customHeight="1" s="95"/>
    <row r="840" ht="15.75" customHeight="1" s="95"/>
    <row r="841" ht="15.75" customHeight="1" s="95"/>
    <row r="842" ht="15.75" customHeight="1" s="95"/>
    <row r="843" ht="15.75" customHeight="1" s="95"/>
    <row r="844" ht="15.75" customHeight="1" s="95"/>
    <row r="845" ht="15.75" customHeight="1" s="95"/>
    <row r="846" ht="15.75" customHeight="1" s="95"/>
    <row r="847" ht="15.75" customHeight="1" s="95"/>
    <row r="848" ht="15.75" customHeight="1" s="95"/>
    <row r="849" ht="15.75" customHeight="1" s="95"/>
    <row r="850" ht="15.75" customHeight="1" s="95"/>
    <row r="851" ht="15.75" customHeight="1" s="95"/>
    <row r="852" ht="15.75" customHeight="1" s="95"/>
    <row r="853" ht="15.75" customHeight="1" s="95"/>
    <row r="854" ht="15.75" customHeight="1" s="95"/>
    <row r="855" ht="15.75" customHeight="1" s="95"/>
    <row r="856" ht="15.75" customHeight="1" s="95"/>
    <row r="857" ht="15.75" customHeight="1" s="95"/>
    <row r="858" ht="15.75" customHeight="1" s="95"/>
    <row r="859" ht="15.75" customHeight="1" s="95"/>
    <row r="860" ht="15.75" customHeight="1" s="95"/>
    <row r="861" ht="15.75" customHeight="1" s="95"/>
    <row r="862" ht="15.75" customHeight="1" s="95"/>
    <row r="863" ht="15.75" customHeight="1" s="95"/>
    <row r="864" ht="15.75" customHeight="1" s="95"/>
    <row r="865" ht="15.75" customHeight="1" s="95"/>
    <row r="866" ht="15.75" customHeight="1" s="95"/>
    <row r="867" ht="15.75" customHeight="1" s="95"/>
    <row r="868" ht="15.75" customHeight="1" s="95"/>
    <row r="869" ht="15.75" customHeight="1" s="95"/>
    <row r="870" ht="15.75" customHeight="1" s="95"/>
    <row r="871" ht="15.75" customHeight="1" s="95"/>
    <row r="872" ht="15.75" customHeight="1" s="95"/>
    <row r="873" ht="15.75" customHeight="1" s="95"/>
    <row r="874" ht="15.75" customHeight="1" s="95"/>
    <row r="875" ht="15.75" customHeight="1" s="95"/>
    <row r="876" ht="15.75" customHeight="1" s="95"/>
    <row r="877" ht="15.75" customHeight="1" s="95"/>
    <row r="878" ht="15.75" customHeight="1" s="95"/>
    <row r="879" ht="15.75" customHeight="1" s="95"/>
    <row r="880" ht="15.75" customHeight="1" s="95"/>
    <row r="881" ht="15.75" customHeight="1" s="95"/>
    <row r="882" ht="15.75" customHeight="1" s="95"/>
    <row r="883" ht="15.75" customHeight="1" s="95"/>
    <row r="884" ht="15.75" customHeight="1" s="95"/>
    <row r="885" ht="15.75" customHeight="1" s="95"/>
    <row r="886" ht="15.75" customHeight="1" s="95"/>
    <row r="887" ht="15.75" customHeight="1" s="95"/>
    <row r="888" ht="15.75" customHeight="1" s="95"/>
    <row r="889" ht="15.75" customHeight="1" s="95"/>
    <row r="890" ht="15.75" customHeight="1" s="95"/>
    <row r="891" ht="15.75" customHeight="1" s="95"/>
    <row r="892" ht="15.75" customHeight="1" s="95"/>
    <row r="893" ht="15.75" customHeight="1" s="95"/>
    <row r="894" ht="15.75" customHeight="1" s="95"/>
    <row r="895" ht="15.75" customHeight="1" s="95"/>
    <row r="896" ht="15.75" customHeight="1" s="95"/>
    <row r="897" ht="15.75" customHeight="1" s="95"/>
    <row r="898" ht="15.75" customHeight="1" s="95"/>
    <row r="899" ht="15.75" customHeight="1" s="95"/>
    <row r="900" ht="15.75" customHeight="1" s="95"/>
    <row r="901" ht="15.75" customHeight="1" s="95"/>
    <row r="902" ht="15.75" customHeight="1" s="95"/>
    <row r="903" ht="15.75" customHeight="1" s="95"/>
    <row r="904" ht="15.75" customHeight="1" s="95"/>
    <row r="905" ht="15.75" customHeight="1" s="95"/>
    <row r="906" ht="15.75" customHeight="1" s="95"/>
    <row r="907" ht="15.75" customHeight="1" s="95"/>
    <row r="908" ht="15.75" customHeight="1" s="95"/>
    <row r="909" ht="15.75" customHeight="1" s="95"/>
    <row r="910" ht="15.75" customHeight="1" s="95"/>
    <row r="911" ht="15.75" customHeight="1" s="95"/>
    <row r="912" ht="15.75" customHeight="1" s="95"/>
    <row r="913" ht="15.75" customHeight="1" s="95"/>
    <row r="914" ht="15.75" customHeight="1" s="95"/>
    <row r="915" ht="15.75" customHeight="1" s="95"/>
    <row r="916" ht="15.75" customHeight="1" s="95"/>
    <row r="917" ht="15.75" customHeight="1" s="95"/>
    <row r="918" ht="15.75" customHeight="1" s="95"/>
    <row r="919" ht="15.75" customHeight="1" s="95"/>
    <row r="920" ht="15.75" customHeight="1" s="95"/>
    <row r="921" ht="15.75" customHeight="1" s="95"/>
    <row r="922" ht="15.75" customHeight="1" s="95"/>
    <row r="923" ht="15.75" customHeight="1" s="95"/>
    <row r="924" ht="15.75" customHeight="1" s="95"/>
    <row r="925" ht="15.75" customHeight="1" s="95"/>
    <row r="926" ht="15.75" customHeight="1" s="95"/>
    <row r="927" ht="15.75" customHeight="1" s="95"/>
    <row r="928" ht="15.75" customHeight="1" s="95"/>
    <row r="929" ht="15.75" customHeight="1" s="95"/>
    <row r="930" ht="15.75" customHeight="1" s="95"/>
    <row r="931" ht="15.75" customHeight="1" s="95"/>
    <row r="932" ht="15.75" customHeight="1" s="95"/>
    <row r="933" ht="15.75" customHeight="1" s="95"/>
    <row r="934" ht="15.75" customHeight="1" s="95"/>
    <row r="935" ht="15.75" customHeight="1" s="95"/>
    <row r="936" ht="15.75" customHeight="1" s="95"/>
    <row r="937" ht="15.75" customHeight="1" s="95"/>
    <row r="938" ht="15.75" customHeight="1" s="95"/>
    <row r="939" ht="15.75" customHeight="1" s="95"/>
    <row r="940" ht="15.75" customHeight="1" s="95"/>
    <row r="941" ht="15.75" customHeight="1" s="95"/>
    <row r="942" ht="15.75" customHeight="1" s="95"/>
    <row r="943" ht="15.75" customHeight="1" s="95"/>
    <row r="944" ht="15.75" customHeight="1" s="95"/>
    <row r="945" ht="15.75" customHeight="1" s="95"/>
    <row r="946" ht="15.75" customHeight="1" s="95"/>
    <row r="947" ht="15.75" customHeight="1" s="95"/>
    <row r="948" ht="15.75" customHeight="1" s="95"/>
    <row r="949" ht="15.75" customHeight="1" s="95"/>
    <row r="950" ht="15.75" customHeight="1" s="95"/>
    <row r="951" ht="15.75" customHeight="1" s="95"/>
    <row r="952" ht="15.75" customHeight="1" s="95"/>
    <row r="953" ht="15.75" customHeight="1" s="95"/>
    <row r="954" ht="15.75" customHeight="1" s="95"/>
    <row r="955" ht="15.75" customHeight="1" s="95"/>
    <row r="956" ht="15.75" customHeight="1" s="95"/>
    <row r="957" ht="15.75" customHeight="1" s="95"/>
    <row r="958" ht="15.75" customHeight="1" s="95"/>
    <row r="959" ht="15.75" customHeight="1" s="95"/>
    <row r="960" ht="15.75" customHeight="1" s="95"/>
    <row r="961" ht="15.75" customHeight="1" s="95"/>
    <row r="962" ht="15.75" customHeight="1" s="95"/>
    <row r="963" ht="15.75" customHeight="1" s="95"/>
    <row r="964" ht="15.75" customHeight="1" s="95"/>
    <row r="965" ht="15.75" customHeight="1" s="95"/>
    <row r="966" ht="15.75" customHeight="1" s="95"/>
    <row r="967" ht="15.75" customHeight="1" s="95"/>
    <row r="968" ht="15.75" customHeight="1" s="95"/>
    <row r="969" ht="15.75" customHeight="1" s="95"/>
    <row r="970" ht="15.75" customHeight="1" s="95"/>
    <row r="971" ht="15.75" customHeight="1" s="95"/>
    <row r="972" ht="15.75" customHeight="1" s="95"/>
    <row r="973" ht="15.75" customHeight="1" s="95"/>
    <row r="974" ht="15.75" customHeight="1" s="95"/>
    <row r="975" ht="15.75" customHeight="1" s="95"/>
    <row r="976" ht="15.75" customHeight="1" s="95"/>
    <row r="977" ht="15.75" customHeight="1" s="95"/>
    <row r="978" ht="15.75" customHeight="1" s="95"/>
    <row r="979" ht="15.75" customHeight="1" s="95"/>
    <row r="980" ht="15.75" customHeight="1" s="95"/>
    <row r="981" ht="15.75" customHeight="1" s="95"/>
    <row r="982" ht="15.75" customHeight="1" s="95"/>
    <row r="983" ht="15.75" customHeight="1" s="95"/>
    <row r="984" ht="15.75" customHeight="1" s="95"/>
    <row r="985" ht="15.75" customHeight="1" s="95"/>
    <row r="986" ht="15.75" customHeight="1" s="95"/>
    <row r="987" ht="15.75" customHeight="1" s="95"/>
    <row r="988" ht="15.75" customHeight="1" s="95"/>
    <row r="989" ht="15.75" customHeight="1" s="95"/>
    <row r="990" ht="15.75" customHeight="1" s="95"/>
    <row r="991" ht="15.75" customHeight="1" s="95"/>
    <row r="992" ht="15.75" customHeight="1" s="95"/>
    <row r="993" ht="15.75" customHeight="1" s="95"/>
    <row r="994" ht="15.75" customHeight="1" s="95"/>
    <row r="995" ht="15.75" customHeight="1" s="95"/>
    <row r="996" ht="15.75" customHeight="1" s="95"/>
    <row r="997" ht="15.75" customHeight="1" s="95"/>
    <row r="998" ht="15.75" customHeight="1" s="95"/>
    <row r="999" ht="15.75" customHeight="1" s="95"/>
    <row r="1000" ht="15.75" customHeight="1" s="95"/>
  </sheetData>
  <mergeCells count="3">
    <mergeCell ref="A2:E2"/>
    <mergeCell ref="A1:E1"/>
    <mergeCell ref="A30:E30"/>
  </mergeCells>
  <conditionalFormatting sqref="E5:E47">
    <cfRule type="colorScale" priority="1">
      <colorScale>
        <cfvo type="min"/>
        <cfvo type="percentile" val="50"/>
        <cfvo type="max"/>
        <color rgb="FFF8CBAD"/>
        <color rgb="FFFFE699"/>
        <color rgb="FFA9D18E"/>
      </colorScale>
    </cfRule>
  </conditionalFormatting>
  <pageMargins left="0.7" right="0.7" top="0.75" bottom="0.75" header="0.3" footer="0.3"/>
</worksheet>
</file>

<file path=xl/worksheets/sheet5.xml><?xml version="1.0" encoding="utf-8"?>
<worksheet xmlns="http://schemas.openxmlformats.org/spreadsheetml/2006/main">
  <sheetPr>
    <outlinePr summaryBelow="1" summaryRight="1"/>
    <pageSetUpPr/>
  </sheetPr>
  <dimension ref="A1:F975"/>
  <sheetViews>
    <sheetView workbookViewId="0">
      <selection activeCell="A1" sqref="A1"/>
    </sheetView>
  </sheetViews>
  <sheetFormatPr baseColWidth="8" defaultColWidth="14.42578125" defaultRowHeight="15"/>
  <cols>
    <col width="28" customWidth="1" style="95" min="1" max="1"/>
    <col width="12" customWidth="1" style="95" min="2" max="2"/>
    <col width="13" customWidth="1" style="95" min="3" max="4"/>
    <col width="65" customWidth="1" style="95" min="5" max="5"/>
    <col width="35" customWidth="1" style="95" min="6" max="6"/>
    <col width="8.7109375" customWidth="1" style="95" min="7" max="26"/>
  </cols>
  <sheetData>
    <row r="1" ht="23.25" customHeight="1" s="95">
      <c r="A1" s="106" t="inlineStr">
        <is>
          <t>🎭 ACTORS</t>
        </is>
      </c>
    </row>
    <row r="2">
      <c r="A2" s="105" t="inlineStr">
        <is>
          <t>Search or filter this sheet by actor name to see every film in your collection where they appear in the top five billed cast.</t>
        </is>
      </c>
    </row>
    <row r="4">
      <c r="A4" s="37" t="inlineStr">
        <is>
          <t>Actor</t>
        </is>
      </c>
      <c r="B4" s="37" t="inlineStr">
        <is>
          <t>Films Owned</t>
        </is>
      </c>
      <c r="C4" s="37" t="inlineStr">
        <is>
          <t>Earliest Film</t>
        </is>
      </c>
      <c r="D4" s="37" t="inlineStr">
        <is>
          <t>Latest Film</t>
        </is>
      </c>
      <c r="E4" s="37" t="inlineStr">
        <is>
          <t>Films in Collection</t>
        </is>
      </c>
      <c r="F4" s="37" t="inlineStr">
        <is>
          <t>Film IDs</t>
        </is>
      </c>
    </row>
    <row r="5" ht="60" customHeight="1" s="95">
      <c r="A5" s="1" t="inlineStr">
        <is>
          <t>Hugh Jackman</t>
        </is>
      </c>
      <c r="B5" s="1" t="n">
        <v>12</v>
      </c>
      <c r="C5" s="1" t="n">
        <v>2000</v>
      </c>
      <c r="D5" s="1" t="n">
        <v>2024</v>
      </c>
      <c r="E5" s="4" t="inlineStr">
        <is>
          <t>Deadpool &amp; Wolverine, The Greatest Showman, Les Misérables, Logan, The Prestige, Prisoners, X-Men: Days of Future Past, X-Men Origins: Wolverine, X-Men, X2: X-Men United, X-Men: The Last Stand, The Wolverine</t>
        </is>
      </c>
      <c r="F5" s="1" t="inlineStr">
        <is>
          <t>F0078, F0127, F0199, F0201, F0257, F0258, F0341, F0343, F0344, F0345, F0346, F0347</t>
        </is>
      </c>
    </row>
    <row r="6" ht="75" customHeight="1" s="95">
      <c r="A6" s="1" t="inlineStr">
        <is>
          <t>Tom Cruise</t>
        </is>
      </c>
      <c r="B6" s="1" t="n">
        <v>11</v>
      </c>
      <c r="C6" s="1" t="n">
        <v>1996</v>
      </c>
      <c r="D6" s="1" t="n">
        <v>2025</v>
      </c>
      <c r="E6" s="4" t="inlineStr">
        <is>
          <t>Jack Reacher, Mission: Impossible, Mission: Impossible II, Mission: Impossible III, Mission: Impossible - Ghost Protocol, Mission: Impossible - Rogue Nation, Mission: Impossible - Fallout, Mission: Impossible - Dead Reckoning Part One, Mission: Impossible - The Final Reckoning, Oblivion, War of the Worlds</t>
        </is>
      </c>
      <c r="F6" s="1" t="inlineStr">
        <is>
          <t>F0171, F0221, F0222, F0223, F0224, F0225, F0226, F0227, F0228, F0239, F0332</t>
        </is>
      </c>
    </row>
    <row r="7" ht="75" customHeight="1" s="95">
      <c r="A7" s="1" t="inlineStr">
        <is>
          <t>Ian McKellen</t>
        </is>
      </c>
      <c r="B7" s="1" t="n">
        <v>10</v>
      </c>
      <c r="C7" s="1" t="n">
        <v>2000</v>
      </c>
      <c r="D7" s="1" t="n">
        <v>2014</v>
      </c>
      <c r="E7" s="4" t="inlineStr">
        <is>
          <t>The Hobbit: An Unexpected Journey, The Hobbit: The Desolation of Smaug, The Hobbit: The Battle of the Five Armies, The Lord of the Rings: The Fellowship of the Ring, The Lord of the Rings: The Two Towers, The Lord of the Rings: The Return of the King, X-Men: Days of Future Past, X-Men, X2: X-Men United, X-Men: The Last Stand</t>
        </is>
      </c>
      <c r="F7" s="1" t="inlineStr">
        <is>
          <t>F0150, F0151, F0152, F0203, F0204, F0205, F0341, F0344, F0345, F0346</t>
        </is>
      </c>
    </row>
    <row r="8" ht="45" customHeight="1" s="95">
      <c r="A8" s="1" t="inlineStr">
        <is>
          <t>Matt Damon</t>
        </is>
      </c>
      <c r="B8" s="1" t="n">
        <v>10</v>
      </c>
      <c r="C8" s="1" t="n">
        <v>1997</v>
      </c>
      <c r="D8" s="1" t="n">
        <v>2023</v>
      </c>
      <c r="E8" s="4" t="inlineStr">
        <is>
          <t>The Bourne Identity, The Bourne Supremacy, The Bourne Ultimatum, The Departed, Elysium, Good Will Hunting, Green Zone, The Martian, Oppenheimer, True Grit</t>
        </is>
      </c>
      <c r="F8" s="1" t="inlineStr">
        <is>
          <t>F0053, F0054, F0055, F0081, F0093, F0124, F0129, F0213, F0242, F0325</t>
        </is>
      </c>
    </row>
    <row r="9" ht="45" customHeight="1" s="95">
      <c r="A9" s="1" t="inlineStr">
        <is>
          <t>Robert Downey Jr.</t>
        </is>
      </c>
      <c r="B9" s="1" t="n">
        <v>10</v>
      </c>
      <c r="C9" s="1" t="n">
        <v>2007</v>
      </c>
      <c r="D9" s="1" t="n">
        <v>2023</v>
      </c>
      <c r="E9" s="4" t="inlineStr">
        <is>
          <t>The Avengers, Avengers: Infinity War, Avengers: Endgame, Due Date, Iron Man 3, Oppenheimer, Sherlock Holmes, Sherlock Holmes: A Game of Shadows, Tropic Thunder, Zodiac</t>
        </is>
      </c>
      <c r="F9" s="1" t="inlineStr">
        <is>
          <t>F0029, F0030, F0031, F0091, F0169, F0242, F0278, F0279, F0324, F0350</t>
        </is>
      </c>
    </row>
    <row r="10" ht="75" customHeight="1" s="95">
      <c r="A10" s="1" t="inlineStr">
        <is>
          <t>Simon Pegg</t>
        </is>
      </c>
      <c r="B10" s="1" t="n">
        <v>10</v>
      </c>
      <c r="C10" s="1" t="n">
        <v>2004</v>
      </c>
      <c r="D10" s="1" t="n">
        <v>2025</v>
      </c>
      <c r="E10" s="4" t="inlineStr">
        <is>
          <t>Shaun of the Dead, Hot Fuzz, The World's End, Ice Age: Dawn of the Dinosaurs, Mission: Impossible - Ghost Protocol, Mission: Impossible - Rogue Nation, Mission: Impossible - Fallout, Mission: Impossible - Dead Reckoning Part One, Mission: Impossible - The Final Reckoning, Paul</t>
        </is>
      </c>
      <c r="F10" s="1" t="inlineStr">
        <is>
          <t>F0070, F0071, F0072, F0161, F0224, F0225, F0226, F0227, F0228, F0245</t>
        </is>
      </c>
    </row>
    <row r="11" ht="90" customHeight="1" s="95">
      <c r="A11" s="1" t="inlineStr">
        <is>
          <t>Emma Watson</t>
        </is>
      </c>
      <c r="B11" s="1" t="n">
        <v>9</v>
      </c>
      <c r="C11" s="1" t="n">
        <v>2001</v>
      </c>
      <c r="D11" s="1" t="n">
        <v>2014</v>
      </c>
      <c r="E11" s="4" t="inlineStr">
        <is>
          <t>Harry Potter and the Philosopher's Stone, Harry Potter and the Chamber of Secrets, Harry Potter and the Prisoner of Azkaban, Harry Potter and the Goblet of Fire, Harry Potter and the Order of the Phoenix, Harry Potter and the Half-Blood Prince, Harry Potter and the Deathly Hallows: Part 1, Harry Potter and the Deathly Hallows: Part 2, Noah</t>
        </is>
      </c>
      <c r="F11" s="1" t="inlineStr">
        <is>
          <t>F0137, F0138, F0139, F0140, F0141, F0142, F0143, F0144, F0238</t>
        </is>
      </c>
    </row>
    <row r="12" ht="45" customHeight="1" s="95">
      <c r="A12" s="1" t="inlineStr">
        <is>
          <t>Jason Statham</t>
        </is>
      </c>
      <c r="B12" s="1" t="n">
        <v>9</v>
      </c>
      <c r="C12" s="1" t="n">
        <v>2008</v>
      </c>
      <c r="D12" s="1" t="n">
        <v>2019</v>
      </c>
      <c r="E12" s="4" t="inlineStr">
        <is>
          <t>The Bank Job, The Expendables, The Expendables 2, The Expendables 3, Furious 7, The Fate of the Furious, Fast &amp; Furious Presents: Hobbs &amp; Shaw, Hummingbird, Spy</t>
        </is>
      </c>
      <c r="F12" s="1" t="inlineStr">
        <is>
          <t>F0040, F0095, F0096, F0097, F0107, F0108, F0111, F0156, F0290</t>
        </is>
      </c>
    </row>
    <row r="13" ht="30" customHeight="1" s="95">
      <c r="A13" s="1" t="inlineStr">
        <is>
          <t>Vin Diesel</t>
        </is>
      </c>
      <c r="B13" s="1" t="n">
        <v>9</v>
      </c>
      <c r="C13" s="1" t="n">
        <v>2001</v>
      </c>
      <c r="D13" s="1" t="n">
        <v>2023</v>
      </c>
      <c r="E13" s="4" t="inlineStr">
        <is>
          <t>The Fast and the Furious, Fast &amp; Furious, Fast Five, Fast &amp; Furious 6, Furious 7, The Fate of the Furious, F9: The Fast Saga, Fast X, Riddick</t>
        </is>
      </c>
      <c r="F13" s="1" t="inlineStr">
        <is>
          <t>F0101, F0104, F0105, F0106, F0107, F0108, F0109, F0110, F0264</t>
        </is>
      </c>
    </row>
    <row r="14" ht="30" customHeight="1" s="95">
      <c r="A14" s="1" t="inlineStr">
        <is>
          <t>Brad Pitt</t>
        </is>
      </c>
      <c r="B14" s="1" t="n">
        <v>8</v>
      </c>
      <c r="C14" s="1" t="n">
        <v>1995</v>
      </c>
      <c r="D14" s="1" t="n">
        <v>2025</v>
      </c>
      <c r="E14" s="4" t="inlineStr">
        <is>
          <t>F1, Fight Club, Fury, Inglourious Basterds, Killing Them Softly, Mr. &amp; Mrs. Smith, Once Upon a Time… in Hollywood, Se7en</t>
        </is>
      </c>
      <c r="F14" s="1" t="inlineStr">
        <is>
          <t>F0098, F0112, F0117, F0166, F0187, F0231, F0241, F0276</t>
        </is>
      </c>
    </row>
    <row r="15" ht="45" customHeight="1" s="95">
      <c r="A15" s="1" t="inlineStr">
        <is>
          <t>Chris Pratt</t>
        </is>
      </c>
      <c r="B15" s="1" t="n">
        <v>8</v>
      </c>
      <c r="C15" s="1" t="n">
        <v>2013</v>
      </c>
      <c r="D15" s="1" t="n">
        <v>2023</v>
      </c>
      <c r="E15" s="4" t="inlineStr">
        <is>
          <t>Delivery Man, Jurassic World, Jurassic World: Fallen Kingdom, Jurassic World Dominion, The Lego Movie, The Lego Movie 2: The Second Part, The Magnificent Seven, The Super Mario Bros. Movie</t>
        </is>
      </c>
      <c r="F15" s="1" t="inlineStr">
        <is>
          <t>F0080, F0179, F0180, F0181, F0195, F0196, F0207, F0212</t>
        </is>
      </c>
    </row>
    <row r="16" ht="75" customHeight="1" s="95">
      <c r="A16" s="1" t="inlineStr">
        <is>
          <t>Daniel Radcliffe</t>
        </is>
      </c>
      <c r="B16" s="1" t="n">
        <v>8</v>
      </c>
      <c r="C16" s="1" t="n">
        <v>2001</v>
      </c>
      <c r="D16" s="1" t="n">
        <v>2011</v>
      </c>
      <c r="E16" s="4" t="inlineStr">
        <is>
          <t>Harry Potter and the Philosopher's Stone, Harry Potter and the Chamber of Secrets, Harry Potter and the Prisoner of Azkaban, Harry Potter and the Goblet of Fire, Harry Potter and the Order of the Phoenix, Harry Potter and the Half-Blood Prince, Harry Potter and the Deathly Hallows: Part 1, Harry Potter and the Deathly Hallows: Part 2</t>
        </is>
      </c>
      <c r="F16" s="1" t="inlineStr">
        <is>
          <t>F0137, F0138, F0139, F0140, F0141, F0142, F0143, F0144</t>
        </is>
      </c>
    </row>
    <row r="17" ht="30" customHeight="1" s="95">
      <c r="A17" s="1" t="inlineStr">
        <is>
          <t>Michelle Rodriguez</t>
        </is>
      </c>
      <c r="B17" s="1" t="n">
        <v>8</v>
      </c>
      <c r="C17" s="1" t="n">
        <v>2001</v>
      </c>
      <c r="D17" s="1" t="n">
        <v>2023</v>
      </c>
      <c r="E17" s="4" t="inlineStr">
        <is>
          <t>Avatar, The Fast and the Furious, Fast &amp; Furious, Fast &amp; Furious 6, Furious 7, The Fate of the Furious, F9: The Fast Saga, Fast X</t>
        </is>
      </c>
      <c r="F17" s="1" t="inlineStr">
        <is>
          <t>F0028, F0101, F0104, F0106, F0107, F0108, F0109, F0110</t>
        </is>
      </c>
    </row>
    <row r="18" ht="75" customHeight="1" s="95">
      <c r="A18" s="1" t="inlineStr">
        <is>
          <t>Rupert Grint</t>
        </is>
      </c>
      <c r="B18" s="1" t="n">
        <v>8</v>
      </c>
      <c r="C18" s="1" t="n">
        <v>2001</v>
      </c>
      <c r="D18" s="1" t="n">
        <v>2011</v>
      </c>
      <c r="E18" s="4" t="inlineStr">
        <is>
          <t>Harry Potter and the Philosopher's Stone, Harry Potter and the Chamber of Secrets, Harry Potter and the Prisoner of Azkaban, Harry Potter and the Goblet of Fire, Harry Potter and the Order of the Phoenix, Harry Potter and the Half-Blood Prince, Harry Potter and the Deathly Hallows: Part 1, Harry Potter and the Deathly Hallows: Part 2</t>
        </is>
      </c>
      <c r="F18" s="1" t="inlineStr">
        <is>
          <t>F0137, F0138, F0139, F0140, F0141, F0142, F0143, F0144</t>
        </is>
      </c>
    </row>
    <row r="19" ht="60" customHeight="1" s="95">
      <c r="A19" s="1" t="inlineStr">
        <is>
          <t>Andy Serkis</t>
        </is>
      </c>
      <c r="B19" s="1" t="n">
        <v>7</v>
      </c>
      <c r="C19" s="1" t="n">
        <v>2002</v>
      </c>
      <c r="D19" s="1" t="n">
        <v>2017</v>
      </c>
      <c r="E19" s="4" t="inlineStr">
        <is>
          <t>King Kong, The Lord of the Rings: The Two Towers, The Lord of the Rings: The Return of the King, Rise of the Planet of the Apes, Dawn of the Planet of the Apes, War for the Planet of the Apes, Sex &amp; Drugs &amp; Rock &amp; Roll</t>
        </is>
      </c>
      <c r="F19" s="1" t="inlineStr">
        <is>
          <t>F0188, F0204, F0205, F0253, F0254, F0255, F0277</t>
        </is>
      </c>
    </row>
    <row r="20" ht="30" customHeight="1" s="95">
      <c r="A20" s="1" t="inlineStr">
        <is>
          <t>Christian Bale</t>
        </is>
      </c>
      <c r="B20" s="1" t="n">
        <v>7</v>
      </c>
      <c r="C20" s="1" t="n">
        <v>2002</v>
      </c>
      <c r="D20" s="1" t="n">
        <v>2013</v>
      </c>
      <c r="E20" s="4" t="inlineStr">
        <is>
          <t>American Hustle, Batman Begins, The Dark Knight, The Dark Knight Rises, The Prestige, Reign of Fire, Terminator Salvation</t>
        </is>
      </c>
      <c r="F20" s="1" t="inlineStr">
        <is>
          <t>F0020, F0043, F0044, F0045, F0257, F0263, F0310</t>
        </is>
      </c>
    </row>
    <row r="21" ht="15.75" customHeight="1" s="95">
      <c r="A21" s="1" t="inlineStr">
        <is>
          <t>Daniel Craig</t>
        </is>
      </c>
      <c r="B21" s="1" t="n">
        <v>7</v>
      </c>
      <c r="C21" s="1" t="n">
        <v>2006</v>
      </c>
      <c r="D21" s="1" t="n">
        <v>2021</v>
      </c>
      <c r="E21" s="4" t="inlineStr">
        <is>
          <t>Casino Royale, Quantum of Solace, Skyfall, Spectre, No Time to Die, Cowboys &amp; Aliens, The Girl with the Dragon Tattoo</t>
        </is>
      </c>
      <c r="F21" s="1" t="inlineStr">
        <is>
          <t>F0001, F0002, F0003, F0004, F0005, F0073, F0120</t>
        </is>
      </c>
    </row>
    <row r="22" ht="15.75" customHeight="1" s="95">
      <c r="A22" s="1" t="inlineStr">
        <is>
          <t>Harrison Ford</t>
        </is>
      </c>
      <c r="B22" s="1" t="n">
        <v>7</v>
      </c>
      <c r="C22" s="1" t="n">
        <v>1977</v>
      </c>
      <c r="D22" s="1" t="n">
        <v>2015</v>
      </c>
      <c r="E22" s="4" t="inlineStr">
        <is>
          <t>Cowboys &amp; Aliens, The Expendables 3, Firewall, Star Wars: Episode IV – A New Hope, Star Wars: Episode V – The Empire Strikes Back, Star Wars: Episode VI – Return of the Jedi, Star Wars: The Force Awakens</t>
        </is>
      </c>
      <c r="F22" s="1" t="inlineStr">
        <is>
          <t>F0073, F0097, F0114, F0295, F0296, F0297, F0298</t>
        </is>
      </c>
    </row>
    <row r="23" ht="15.75" customHeight="1" s="95">
      <c r="A23" s="1" t="inlineStr">
        <is>
          <t>Leonardo DiCaprio</t>
        </is>
      </c>
      <c r="B23" s="1" t="n">
        <v>7</v>
      </c>
      <c r="C23" s="1" t="n">
        <v>2002</v>
      </c>
      <c r="D23" s="1" t="n">
        <v>2019</v>
      </c>
      <c r="E23" s="4" t="inlineStr">
        <is>
          <t>Body of Lies, Catch Me If You Can, The Departed, Django Unchained, The Great Gatsby, Inception, Once Upon a Time… in Hollywood</t>
        </is>
      </c>
      <c r="F23" s="1" t="inlineStr">
        <is>
          <t>F0051, F0064, F0081, F0090, F0126, F0165, F0241</t>
        </is>
      </c>
    </row>
    <row r="24" ht="15.75" customHeight="1" s="95">
      <c r="A24" s="1" t="inlineStr">
        <is>
          <t>Liam Neeson</t>
        </is>
      </c>
      <c r="B24" s="1" t="n">
        <v>7</v>
      </c>
      <c r="C24" s="1" t="n">
        <v>1999</v>
      </c>
      <c r="D24" s="1" t="n">
        <v>2014</v>
      </c>
      <c r="E24" s="4" t="inlineStr">
        <is>
          <t>A Million Ways to Die in the West, The A-Team, Batman Begins, Star Wars: Episode I – The Phantom Menace, Taken, Taken 2, Unknown</t>
        </is>
      </c>
      <c r="F24" s="1" t="inlineStr">
        <is>
          <t>F0021, F0026, F0043, F0292, F0306, F0307, F0329</t>
        </is>
      </c>
    </row>
    <row r="25" ht="15.75" customHeight="1" s="95">
      <c r="A25" s="1" t="inlineStr">
        <is>
          <t>Mark Strong</t>
        </is>
      </c>
      <c r="B25" s="1" t="n">
        <v>7</v>
      </c>
      <c r="C25" s="1" t="n">
        <v>2008</v>
      </c>
      <c r="D25" s="1" t="n">
        <v>2016</v>
      </c>
      <c r="E25" s="4" t="inlineStr">
        <is>
          <t>Body of Lies, Green Lantern, Grimsby, Kick-Ass, Robin Hood, Sherlock Holmes, Zero Dark Thirty</t>
        </is>
      </c>
      <c r="F25" s="1" t="inlineStr">
        <is>
          <t>F0051, F0128, F0130, F0185, F0267, F0278, F0349</t>
        </is>
      </c>
    </row>
    <row r="26" ht="15.75" customHeight="1" s="95">
      <c r="A26" s="1" t="inlineStr">
        <is>
          <t>Peter Cullen</t>
        </is>
      </c>
      <c r="B26" s="1" t="n">
        <v>7</v>
      </c>
      <c r="C26" s="1" t="n">
        <v>1986</v>
      </c>
      <c r="D26" s="1" t="n">
        <v>2023</v>
      </c>
      <c r="E26" s="4" t="inlineStr">
        <is>
          <t>Transformers, Transformers: Revenge of the Fallen, Transformers: Dark of the Moon, Transformers: Age of Extinction, Transformers: The Last Knight, Transformers: Rise of the Beasts, The Transformers: The Movie</t>
        </is>
      </c>
      <c r="F26" s="1" t="inlineStr">
        <is>
          <t>F0316, F0317, F0318, F0319, F0320, F0321, F0322</t>
        </is>
      </c>
    </row>
    <row r="27" ht="15.75" customHeight="1" s="95">
      <c r="A27" s="1" t="inlineStr">
        <is>
          <t>Ryan Reynolds</t>
        </is>
      </c>
      <c r="B27" s="1" t="n">
        <v>7</v>
      </c>
      <c r="C27" s="1" t="n">
        <v>2011</v>
      </c>
      <c r="D27" s="1" t="n">
        <v>2024</v>
      </c>
      <c r="E27" s="4" t="inlineStr">
        <is>
          <t>The Croods, Deadpool, Deadpool 2, Deadpool &amp; Wolverine, Green Lantern, The Hitman's Bodyguard, Safe House</t>
        </is>
      </c>
      <c r="F27" s="1" t="inlineStr">
        <is>
          <t>F0075, F0076, F0077, F0078, F0128, F0149, F0272</t>
        </is>
      </c>
    </row>
    <row r="28" ht="15.75" customHeight="1" s="95">
      <c r="A28" s="1" t="inlineStr">
        <is>
          <t>Tom Hanks</t>
        </is>
      </c>
      <c r="B28" s="1" t="n">
        <v>7</v>
      </c>
      <c r="C28" s="1" t="n">
        <v>1995</v>
      </c>
      <c r="D28" s="1" t="n">
        <v>2019</v>
      </c>
      <c r="E28" s="4" t="inlineStr">
        <is>
          <t>Angels &amp; Demons, Captain Phillips, Catch Me If You Can, Toy Story, Toy Story 2, Toy Story 3, Toy Story 4</t>
        </is>
      </c>
      <c r="F28" s="1" t="inlineStr">
        <is>
          <t>F0023, F0062, F0064, F0312, F0313, F0314, F0315</t>
        </is>
      </c>
    </row>
    <row r="29" ht="15.75" customHeight="1" s="95">
      <c r="A29" s="1" t="inlineStr">
        <is>
          <t>Ving Rhames</t>
        </is>
      </c>
      <c r="B29" s="1" t="n">
        <v>7</v>
      </c>
      <c r="C29" s="1" t="n">
        <v>1997</v>
      </c>
      <c r="D29" s="1" t="n">
        <v>2025</v>
      </c>
      <c r="E29" s="4" t="inlineStr">
        <is>
          <t>Con Air, Mission: Impossible II, Mission: Impossible III, Mission: Impossible - Rogue Nation, Mission: Impossible - Fallout, Mission: Impossible - Dead Reckoning Part One, Mission: Impossible - The Final Reckoning</t>
        </is>
      </c>
      <c r="F29" s="1" t="inlineStr">
        <is>
          <t>F0068, F0222, F0223, F0225, F0226, F0227, F0228</t>
        </is>
      </c>
    </row>
    <row r="30" ht="15.75" customHeight="1" s="95">
      <c r="A30" s="1" t="inlineStr">
        <is>
          <t>Bill Hader</t>
        </is>
      </c>
      <c r="B30" s="1" t="n">
        <v>6</v>
      </c>
      <c r="C30" s="1" t="n">
        <v>2007</v>
      </c>
      <c r="D30" s="1" t="n">
        <v>2018</v>
      </c>
      <c r="E30" s="4" t="inlineStr">
        <is>
          <t>The BFG, Cloudy with a Chance of Meatballs 2, Forgetting Sarah Marshall, Inside Out, Superbad, Ralph Breaks the Internet</t>
        </is>
      </c>
      <c r="F30" s="1" t="inlineStr">
        <is>
          <t>F0047, F0067, F0115, F0167, F0303, F0337</t>
        </is>
      </c>
    </row>
    <row r="31" ht="15.75" customHeight="1" s="95">
      <c r="A31" s="1" t="inlineStr">
        <is>
          <t>Carrie Fisher</t>
        </is>
      </c>
      <c r="B31" s="1" t="n">
        <v>6</v>
      </c>
      <c r="C31" s="1" t="n">
        <v>1977</v>
      </c>
      <c r="D31" s="1" t="n">
        <v>2019</v>
      </c>
      <c r="E31" s="4" t="inlineStr">
        <is>
          <t>Star Wars: Episode IV – A New Hope, Star Wars: Episode V – The Empire Strikes Back, Star Wars: Episode VI – Return of the Jedi, Star Wars: The Force Awakens, Star Wars: The Last Jedi, Star Wars: The Rise of Skywalker</t>
        </is>
      </c>
      <c r="F31" s="1" t="inlineStr">
        <is>
          <t>F0295, F0296, F0297, F0298, F0299, F0300</t>
        </is>
      </c>
    </row>
    <row r="32" ht="15.75" customHeight="1" s="95">
      <c r="A32" s="1" t="inlineStr">
        <is>
          <t>Elizabeth Banks</t>
        </is>
      </c>
      <c r="B32" s="1" t="n">
        <v>6</v>
      </c>
      <c r="C32" s="1" t="n">
        <v>2012</v>
      </c>
      <c r="D32" s="1" t="n">
        <v>2019</v>
      </c>
      <c r="E32" s="4" t="inlineStr">
        <is>
          <t>The Hunger Games, The Hunger Games: Mockingjay - Part 1, The Lego Movie, The Lego Movie 2: The Second Part, Man on a Ledge, Pitch Perfect 3</t>
        </is>
      </c>
      <c r="F32" s="1" t="inlineStr">
        <is>
          <t>F0157, F0158, F0195, F0196, F0210, F0252</t>
        </is>
      </c>
    </row>
    <row r="33" ht="15.75" customHeight="1" s="95">
      <c r="A33" s="1" t="inlineStr">
        <is>
          <t>Famke Janssen</t>
        </is>
      </c>
      <c r="B33" s="1" t="n">
        <v>6</v>
      </c>
      <c r="C33" s="1" t="n">
        <v>2000</v>
      </c>
      <c r="D33" s="1" t="n">
        <v>2013</v>
      </c>
      <c r="E33" s="4" t="inlineStr">
        <is>
          <t>Taken, Taken 2, X-Men, X2: X-Men United, X-Men: The Last Stand, The Wolverine</t>
        </is>
      </c>
      <c r="F33" s="1" t="inlineStr">
        <is>
          <t>F0306, F0307, F0344, F0345, F0346, F0347</t>
        </is>
      </c>
    </row>
    <row r="34" ht="15.75" customHeight="1" s="95">
      <c r="A34" s="1" t="inlineStr">
        <is>
          <t>Jamie Foxx</t>
        </is>
      </c>
      <c r="B34" s="1" t="n">
        <v>6</v>
      </c>
      <c r="C34" s="1" t="n">
        <v>2009</v>
      </c>
      <c r="D34" s="1" t="n">
        <v>2017</v>
      </c>
      <c r="E34" s="4" t="inlineStr">
        <is>
          <t>Baby Driver, Django Unchained, Due Date, Law Abiding Citizen, Rio 2, White House Down</t>
        </is>
      </c>
      <c r="F34" s="1" t="inlineStr">
        <is>
          <t>F0032, F0090, F0091, F0191, F0266, F0335</t>
        </is>
      </c>
    </row>
    <row r="35" ht="15.75" customHeight="1" s="95">
      <c r="A35" s="1" t="inlineStr">
        <is>
          <t>Mark Hamill</t>
        </is>
      </c>
      <c r="B35" s="1" t="n">
        <v>6</v>
      </c>
      <c r="C35" s="1" t="n">
        <v>1977</v>
      </c>
      <c r="D35" s="1" t="n">
        <v>2019</v>
      </c>
      <c r="E35" s="4" t="inlineStr">
        <is>
          <t>Star Wars: Episode IV – A New Hope, Star Wars: Episode V – The Empire Strikes Back, Star Wars: Episode VI – Return of the Jedi, Star Wars: The Force Awakens, Star Wars: The Last Jedi, Star Wars: The Rise of Skywalker</t>
        </is>
      </c>
      <c r="F35" s="1" t="inlineStr">
        <is>
          <t>F0295, F0296, F0297, F0298, F0299, F0300</t>
        </is>
      </c>
    </row>
    <row r="36" ht="15.75" customHeight="1" s="95">
      <c r="A36" s="1" t="inlineStr">
        <is>
          <t>Michael Fassbender</t>
        </is>
      </c>
      <c r="B36" s="1" t="n">
        <v>6</v>
      </c>
      <c r="C36" s="1" t="n">
        <v>2009</v>
      </c>
      <c r="D36" s="1" t="n">
        <v>2016</v>
      </c>
      <c r="E36" s="4" t="inlineStr">
        <is>
          <t>Inglourious Basterds, Jonah Hex, Prometheus, X-Men: First Class, X-Men: Days of Future Past, X-Men: Apocalypse</t>
        </is>
      </c>
      <c r="F36" s="1" t="inlineStr">
        <is>
          <t>F0166, F0173, F0259, F0340, F0341, F0342</t>
        </is>
      </c>
    </row>
    <row r="37" ht="15.75" customHeight="1" s="95">
      <c r="A37" s="1" t="inlineStr">
        <is>
          <t>Paul Walker</t>
        </is>
      </c>
      <c r="B37" s="1" t="n">
        <v>6</v>
      </c>
      <c r="C37" s="1" t="n">
        <v>2001</v>
      </c>
      <c r="D37" s="1" t="n">
        <v>2015</v>
      </c>
      <c r="E37" s="4" t="inlineStr">
        <is>
          <t>The Fast and the Furious, 2 Fast 2 Furious, Fast &amp; Furious, Fast Five, Fast &amp; Furious 6, Furious 7</t>
        </is>
      </c>
      <c r="F37" s="1" t="inlineStr">
        <is>
          <t>F0101, F0102, F0104, F0105, F0106, F0107</t>
        </is>
      </c>
    </row>
    <row r="38" ht="15.75" customHeight="1" s="95">
      <c r="A38" s="1" t="inlineStr">
        <is>
          <t>Russell Crowe</t>
        </is>
      </c>
      <c r="B38" s="1" t="n">
        <v>6</v>
      </c>
      <c r="C38" s="1" t="n">
        <v>2008</v>
      </c>
      <c r="D38" s="1" t="n">
        <v>2016</v>
      </c>
      <c r="E38" s="4" t="inlineStr">
        <is>
          <t>Body of Lies, Les Misérables, Man of Steel, The Nice Guys, Noah, Robin Hood</t>
        </is>
      </c>
      <c r="F38" s="1" t="inlineStr">
        <is>
          <t>F0051, F0199, F0211, F0235, F0238, F0267</t>
        </is>
      </c>
    </row>
    <row r="39" ht="15.75" customHeight="1" s="95">
      <c r="A39" s="1" t="inlineStr">
        <is>
          <t>Samuel L. Jackson</t>
        </is>
      </c>
      <c r="B39" s="1" t="n">
        <v>6</v>
      </c>
      <c r="C39" s="1" t="n">
        <v>2002</v>
      </c>
      <c r="D39" s="1" t="n">
        <v>2017</v>
      </c>
      <c r="E39" s="4" t="inlineStr">
        <is>
          <t>Django Unchained, The Hitman's Bodyguard, Jumper, Kong: Skull Island, Star Wars: Episode II – Attack of the Clones, Star Wars: Episode III – Revenge of the Sith</t>
        </is>
      </c>
      <c r="F39" s="1" t="inlineStr">
        <is>
          <t>F0090, F0149, F0175, F0190, F0293, F0294</t>
        </is>
      </c>
    </row>
    <row r="40" ht="15.75" customHeight="1" s="95">
      <c r="A40" s="1" t="inlineStr">
        <is>
          <t>Scarlett Johansson</t>
        </is>
      </c>
      <c r="B40" s="1" t="n">
        <v>6</v>
      </c>
      <c r="C40" s="1" t="n">
        <v>2012</v>
      </c>
      <c r="D40" s="1" t="n">
        <v>2025</v>
      </c>
      <c r="E40" s="4" t="inlineStr">
        <is>
          <t>The Avengers, Avengers: Endgame, Chef, Jojo Rabbit, Jurassic World Rebirth, Sing</t>
        </is>
      </c>
      <c r="F40" s="1" t="inlineStr">
        <is>
          <t>F0029, F0031, F0065, F0170, F0182, F0280</t>
        </is>
      </c>
    </row>
    <row r="41" ht="15.75" customHeight="1" s="95">
      <c r="A41" s="1" t="inlineStr">
        <is>
          <t>Will Smith</t>
        </is>
      </c>
      <c r="B41" s="1" t="n">
        <v>6</v>
      </c>
      <c r="C41" s="1" t="n">
        <v>1995</v>
      </c>
      <c r="D41" s="1" t="n">
        <v>2012</v>
      </c>
      <c r="E41" s="4" t="inlineStr">
        <is>
          <t>Bad Boys, Bad Boys II, Enemy of the State, Men in Black, Men in Black 3, The Pursuit of Happyness</t>
        </is>
      </c>
      <c r="F41" s="1" t="inlineStr">
        <is>
          <t>F0036, F0037, F0094, F0218, F0219, F0260</t>
        </is>
      </c>
    </row>
    <row r="42" ht="15.75" customHeight="1" s="95">
      <c r="A42" s="1" t="inlineStr">
        <is>
          <t>Anna Kendrick</t>
        </is>
      </c>
      <c r="B42" s="1" t="n">
        <v>5</v>
      </c>
      <c r="C42" s="1" t="n">
        <v>2011</v>
      </c>
      <c r="D42" s="1" t="n">
        <v>2017</v>
      </c>
      <c r="E42" s="4" t="inlineStr">
        <is>
          <t>50/50, The Accountant, Pitch Perfect, Pitch Perfect 2, Pitch Perfect 3</t>
        </is>
      </c>
      <c r="F42" s="1" t="inlineStr">
        <is>
          <t>F0011, F0013, F0250, F0251, F0252</t>
        </is>
      </c>
    </row>
    <row r="43" ht="15.75" customHeight="1" s="95">
      <c r="A43" s="1" t="inlineStr">
        <is>
          <t>Anne Hathaway</t>
        </is>
      </c>
      <c r="B43" s="1" t="n">
        <v>5</v>
      </c>
      <c r="C43" s="1" t="n">
        <v>2011</v>
      </c>
      <c r="D43" s="1" t="n">
        <v>2014</v>
      </c>
      <c r="E43" s="4" t="inlineStr">
        <is>
          <t>The Dark Knight Rises, Interstellar, Les Misérables, Rio, Rio 2</t>
        </is>
      </c>
      <c r="F43" s="1" t="inlineStr">
        <is>
          <t>F0045, F0168, F0199, F0265, F0266</t>
        </is>
      </c>
    </row>
    <row r="44" ht="15.75" customHeight="1" s="95">
      <c r="A44" s="1" t="inlineStr">
        <is>
          <t>Bradley Cooper</t>
        </is>
      </c>
      <c r="B44" s="1" t="n">
        <v>5</v>
      </c>
      <c r="C44" s="1" t="n">
        <v>2009</v>
      </c>
      <c r="D44" s="1" t="n">
        <v>2013</v>
      </c>
      <c r="E44" s="4" t="inlineStr">
        <is>
          <t>American Hustle, The A-Team, The Hangover, The Hangover Part II, The Hangover Part III</t>
        </is>
      </c>
      <c r="F44" s="1" t="inlineStr">
        <is>
          <t>F0020, F0026, F0134, F0135, F0136</t>
        </is>
      </c>
    </row>
    <row r="45" ht="15.75" customHeight="1" s="95">
      <c r="A45" s="1" t="inlineStr">
        <is>
          <t>Bryce Dallas Howard</t>
        </is>
      </c>
      <c r="B45" s="1" t="n">
        <v>5</v>
      </c>
      <c r="C45" s="1" t="n">
        <v>2011</v>
      </c>
      <c r="D45" s="1" t="n">
        <v>2022</v>
      </c>
      <c r="E45" s="4" t="inlineStr">
        <is>
          <t>50/50, Jurassic World, Jurassic World: Fallen Kingdom, Jurassic World Dominion, Rocketman</t>
        </is>
      </c>
      <c r="F45" s="1" t="inlineStr">
        <is>
          <t>F0011, F0179, F0180, F0181, F0269</t>
        </is>
      </c>
    </row>
    <row r="46" ht="15.75" customHeight="1" s="95">
      <c r="A46" s="1" t="inlineStr">
        <is>
          <t>Channing Tatum</t>
        </is>
      </c>
      <c r="B46" s="1" t="n">
        <v>5</v>
      </c>
      <c r="C46" s="1" t="n">
        <v>2010</v>
      </c>
      <c r="D46" s="1" t="n">
        <v>2014</v>
      </c>
      <c r="E46" s="4" t="inlineStr">
        <is>
          <t>21 Jump Street, 22 Jump Street, Dear John, Magic Mike, White House Down</t>
        </is>
      </c>
      <c r="F46" s="1" t="inlineStr">
        <is>
          <t>F0007, F0008, F0079, F0206, F0335</t>
        </is>
      </c>
    </row>
    <row r="47" ht="15.75" customHeight="1" s="95">
      <c r="A47" s="1" t="inlineStr">
        <is>
          <t>Chris Hemsworth</t>
        </is>
      </c>
      <c r="B47" s="1" t="n">
        <v>5</v>
      </c>
      <c r="C47" s="1" t="n">
        <v>2012</v>
      </c>
      <c r="D47" s="1" t="n">
        <v>2019</v>
      </c>
      <c r="E47" s="4" t="inlineStr">
        <is>
          <t>The Avengers, Avengers: Infinity War, Avengers: Endgame, Rush, Snow White and the Huntsman</t>
        </is>
      </c>
      <c r="F47" s="1" t="inlineStr">
        <is>
          <t>F0029, F0030, F0031, F0270, F0284</t>
        </is>
      </c>
    </row>
    <row r="48" ht="15.75" customHeight="1" s="95">
      <c r="A48" s="1" t="inlineStr">
        <is>
          <t>Dwayne Johnson</t>
        </is>
      </c>
      <c r="B48" s="1" t="n">
        <v>5</v>
      </c>
      <c r="C48" s="1" t="n">
        <v>2011</v>
      </c>
      <c r="D48" s="1" t="n">
        <v>2019</v>
      </c>
      <c r="E48" s="4" t="inlineStr">
        <is>
          <t>Fast Five, Fast &amp; Furious 6, The Fate of the Furious, Fast &amp; Furious Presents: Hobbs &amp; Shaw, Hercules</t>
        </is>
      </c>
      <c r="F48" s="1" t="inlineStr">
        <is>
          <t>F0105, F0106, F0108, F0111, F0147</t>
        </is>
      </c>
    </row>
    <row r="49" ht="15.75" customHeight="1" s="95">
      <c r="A49" s="1" t="inlineStr">
        <is>
          <t>Ewan McGregor</t>
        </is>
      </c>
      <c r="B49" s="1" t="n">
        <v>5</v>
      </c>
      <c r="C49" s="1" t="n">
        <v>1999</v>
      </c>
      <c r="D49" s="1" t="n">
        <v>2009</v>
      </c>
      <c r="E49" s="4" t="inlineStr">
        <is>
          <t>Angels &amp; Demons, Black Hawk Down, Star Wars: Episode I – The Phantom Menace, Star Wars: Episode II – Attack of the Clones, Star Wars: Episode III – Revenge of the Sith</t>
        </is>
      </c>
      <c r="F49" s="1" t="inlineStr">
        <is>
          <t>F0023, F0050, F0292, F0293, F0294</t>
        </is>
      </c>
    </row>
    <row r="50" ht="15.75" customHeight="1" s="95">
      <c r="A50" s="1" t="inlineStr">
        <is>
          <t>Gary Oldman</t>
        </is>
      </c>
      <c r="B50" s="1" t="n">
        <v>5</v>
      </c>
      <c r="C50" s="1" t="n">
        <v>2005</v>
      </c>
      <c r="D50" s="1" t="n">
        <v>2017</v>
      </c>
      <c r="E50" s="4" t="inlineStr">
        <is>
          <t>Batman Begins, The Dark Knight Rises, The Hitman's Bodyguard, Lawless, Dawn of the Planet of the Apes</t>
        </is>
      </c>
      <c r="F50" s="1" t="inlineStr">
        <is>
          <t>F0043, F0045, F0149, F0192, F0254</t>
        </is>
      </c>
    </row>
    <row r="51" ht="15.75" customHeight="1" s="95">
      <c r="A51" s="1" t="inlineStr">
        <is>
          <t>Gerard Butler</t>
        </is>
      </c>
      <c r="B51" s="1" t="n">
        <v>5</v>
      </c>
      <c r="C51" s="1" t="n">
        <v>2002</v>
      </c>
      <c r="D51" s="1" t="n">
        <v>2014</v>
      </c>
      <c r="E51" s="4" t="inlineStr">
        <is>
          <t>How to Train Your Dragon, How to Train Your Dragon 2, Law Abiding Citizen, Olympus Has Fallen, Reign of Fire</t>
        </is>
      </c>
      <c r="F51" s="1" t="inlineStr">
        <is>
          <t>F0154, F0155, F0191, F0240, F0263</t>
        </is>
      </c>
    </row>
    <row r="52" ht="15.75" customHeight="1" s="95">
      <c r="A52" s="1" t="inlineStr">
        <is>
          <t>Helena Bonham Carter</t>
        </is>
      </c>
      <c r="B52" s="1" t="n">
        <v>5</v>
      </c>
      <c r="C52" s="1" t="n">
        <v>1999</v>
      </c>
      <c r="D52" s="1" t="n">
        <v>2010</v>
      </c>
      <c r="E52" s="4" t="inlineStr">
        <is>
          <t>Fight Club, Harry Potter and the Order of the Phoenix, Harry Potter and the Deathly Hallows: Part 1, The King's Speech, Terminator Salvation</t>
        </is>
      </c>
      <c r="F52" s="1" t="inlineStr">
        <is>
          <t>F0112, F0141, F0143, F0189, F0310</t>
        </is>
      </c>
    </row>
    <row r="53" ht="15.75" customHeight="1" s="95">
      <c r="A53" s="1" t="inlineStr">
        <is>
          <t>Hugo Weaving</t>
        </is>
      </c>
      <c r="B53" s="1" t="n">
        <v>5</v>
      </c>
      <c r="C53" s="1" t="n">
        <v>1999</v>
      </c>
      <c r="D53" s="1" t="n">
        <v>2009</v>
      </c>
      <c r="E53" s="4" t="inlineStr">
        <is>
          <t>The Matrix, The Matrix Reloaded, The Matrix Revolutions, Transformers, Transformers: Revenge of the Fallen</t>
        </is>
      </c>
      <c r="F53" s="1" t="inlineStr">
        <is>
          <t>F0214, F0215, F0216, F0316, F0317</t>
        </is>
      </c>
    </row>
    <row r="54" ht="15.75" customHeight="1" s="95">
      <c r="A54" s="1" t="inlineStr">
        <is>
          <t>James Franco</t>
        </is>
      </c>
      <c r="B54" s="1" t="n">
        <v>5</v>
      </c>
      <c r="C54" s="1" t="n">
        <v>2002</v>
      </c>
      <c r="D54" s="1" t="n">
        <v>2011</v>
      </c>
      <c r="E54" s="4" t="inlineStr">
        <is>
          <t>Pineapple Express, Rise of the Planet of the Apes, Spider-Man, Spider-Man 2, Spider-Man 3</t>
        </is>
      </c>
      <c r="F54" s="1" t="inlineStr">
        <is>
          <t>F0247, F0253, F0287, F0288, F0289</t>
        </is>
      </c>
    </row>
    <row r="55" ht="15.75" customHeight="1" s="95">
      <c r="A55" s="1" t="inlineStr">
        <is>
          <t>Jennifer Lawrence</t>
        </is>
      </c>
      <c r="B55" s="1" t="n">
        <v>5</v>
      </c>
      <c r="C55" s="1" t="n">
        <v>2011</v>
      </c>
      <c r="D55" s="1" t="n">
        <v>2016</v>
      </c>
      <c r="E55" s="4" t="inlineStr">
        <is>
          <t>American Hustle, The Hunger Games, The Hunger Games: Mockingjay - Part 1, X-Men: First Class, X-Men: Apocalypse</t>
        </is>
      </c>
      <c r="F55" s="1" t="inlineStr">
        <is>
          <t>F0020, F0157, F0158, F0340, F0342</t>
        </is>
      </c>
    </row>
    <row r="56" ht="15.75" customHeight="1" s="95">
      <c r="A56" s="1" t="inlineStr">
        <is>
          <t>John Goodman</t>
        </is>
      </c>
      <c r="B56" s="1" t="n">
        <v>5</v>
      </c>
      <c r="C56" s="1" t="n">
        <v>1998</v>
      </c>
      <c r="D56" s="1" t="n">
        <v>2017</v>
      </c>
      <c r="E56" s="4" t="inlineStr">
        <is>
          <t>Argo, The Big Lebowski, Kong: Skull Island, Monsters, Inc., Monsters University</t>
        </is>
      </c>
      <c r="F56" s="1" t="inlineStr">
        <is>
          <t>F0025, F0049, F0190, F0229, F0230</t>
        </is>
      </c>
    </row>
    <row r="57" ht="15.75" customHeight="1" s="95">
      <c r="A57" s="1" t="inlineStr">
        <is>
          <t>Jordana Brewster</t>
        </is>
      </c>
      <c r="B57" s="1" t="n">
        <v>5</v>
      </c>
      <c r="C57" s="1" t="n">
        <v>2001</v>
      </c>
      <c r="D57" s="1" t="n">
        <v>2015</v>
      </c>
      <c r="E57" s="4" t="inlineStr">
        <is>
          <t>The Fast and the Furious, Fast &amp; Furious, Fast Five, Fast &amp; Furious 6, Furious 7</t>
        </is>
      </c>
      <c r="F57" s="1" t="inlineStr">
        <is>
          <t>F0101, F0104, F0105, F0106, F0107</t>
        </is>
      </c>
    </row>
    <row r="58" ht="15.75" customHeight="1" s="95">
      <c r="A58" s="1" t="inlineStr">
        <is>
          <t>Josh Brolin</t>
        </is>
      </c>
      <c r="B58" s="1" t="n">
        <v>5</v>
      </c>
      <c r="C58" s="1" t="n">
        <v>2010</v>
      </c>
      <c r="D58" s="1" t="n">
        <v>2018</v>
      </c>
      <c r="E58" s="4" t="inlineStr">
        <is>
          <t>Avengers: Infinity War, Deadpool 2, Jonah Hex, Men in Black 3, True Grit</t>
        </is>
      </c>
      <c r="F58" s="1" t="inlineStr">
        <is>
          <t>F0030, F0077, F0173, F0219, F0325</t>
        </is>
      </c>
    </row>
    <row r="59" ht="15.75" customHeight="1" s="95">
      <c r="A59" s="1" t="inlineStr">
        <is>
          <t>Kristen Wiig</t>
        </is>
      </c>
      <c r="B59" s="1" t="n">
        <v>5</v>
      </c>
      <c r="C59" s="1" t="n">
        <v>2011</v>
      </c>
      <c r="D59" s="1" t="n">
        <v>2017</v>
      </c>
      <c r="E59" s="4" t="inlineStr">
        <is>
          <t>Bridesmaids, Despicable Me 2, Despicable Me 3, The Martian, Paul</t>
        </is>
      </c>
      <c r="F59" s="1" t="inlineStr">
        <is>
          <t>F0058, F0083, F0084, F0213, F0245</t>
        </is>
      </c>
    </row>
    <row r="60" ht="15.75" customHeight="1" s="95">
      <c r="A60" s="1" t="inlineStr">
        <is>
          <t>Mark Wahlberg</t>
        </is>
      </c>
      <c r="B60" s="1" t="n">
        <v>5</v>
      </c>
      <c r="C60" s="1" t="n">
        <v>2006</v>
      </c>
      <c r="D60" s="1" t="n">
        <v>2017</v>
      </c>
      <c r="E60" s="4" t="inlineStr">
        <is>
          <t>The Departed, Lone Survivor, Ted, Transformers: Age of Extinction, Transformers: The Last Knight</t>
        </is>
      </c>
      <c r="F60" s="1" t="inlineStr">
        <is>
          <t>F0081, F0202, F0308, F0319, F0320</t>
        </is>
      </c>
    </row>
    <row r="61" ht="15.75" customHeight="1" s="95">
      <c r="A61" s="1" t="inlineStr">
        <is>
          <t>Matthew McConaughey</t>
        </is>
      </c>
      <c r="B61" s="1" t="n">
        <v>5</v>
      </c>
      <c r="C61" s="1" t="n">
        <v>2002</v>
      </c>
      <c r="D61" s="1" t="n">
        <v>2020</v>
      </c>
      <c r="E61" s="4" t="inlineStr">
        <is>
          <t>The Gentlemen, Interstellar, Magic Mike, Reign of Fire, Sing</t>
        </is>
      </c>
      <c r="F61" s="1" t="inlineStr">
        <is>
          <t>F0119, F0168, F0206, F0263, F0280</t>
        </is>
      </c>
    </row>
    <row r="62" ht="15.75" customHeight="1" s="95">
      <c r="A62" s="1" t="inlineStr">
        <is>
          <t>Morgan Freeman</t>
        </is>
      </c>
      <c r="B62" s="1" t="n">
        <v>5</v>
      </c>
      <c r="C62" s="1" t="n">
        <v>1995</v>
      </c>
      <c r="D62" s="1" t="n">
        <v>2014</v>
      </c>
      <c r="E62" s="4" t="inlineStr">
        <is>
          <t>The Bucket List, The Lego Movie, Oblivion, RED, Se7en</t>
        </is>
      </c>
      <c r="F62" s="1" t="inlineStr">
        <is>
          <t>F0060, F0195, F0239, F0262, F0276</t>
        </is>
      </c>
    </row>
    <row r="63" ht="15.75" customHeight="1" s="95">
      <c r="A63" s="1" t="inlineStr">
        <is>
          <t>Nick Frost</t>
        </is>
      </c>
      <c r="B63" s="1" t="n">
        <v>5</v>
      </c>
      <c r="C63" s="1" t="n">
        <v>2004</v>
      </c>
      <c r="D63" s="1" t="n">
        <v>2013</v>
      </c>
      <c r="E63" s="4" t="inlineStr">
        <is>
          <t>Attack the Block, Shaun of the Dead, Hot Fuzz, The World's End, Paul</t>
        </is>
      </c>
      <c r="F63" s="1" t="inlineStr">
        <is>
          <t>F0027, F0070, F0071, F0072, F0245</t>
        </is>
      </c>
    </row>
    <row r="64" ht="15.75" customHeight="1" s="95">
      <c r="A64" s="1" t="inlineStr">
        <is>
          <t>Patrick Stewart</t>
        </is>
      </c>
      <c r="B64" s="1" t="n">
        <v>5</v>
      </c>
      <c r="C64" s="1" t="n">
        <v>2000</v>
      </c>
      <c r="D64" s="1" t="n">
        <v>2017</v>
      </c>
      <c r="E64" s="4" t="inlineStr">
        <is>
          <t>Logan, X-Men: Days of Future Past, X-Men, X2: X-Men United, X-Men: The Last Stand</t>
        </is>
      </c>
      <c r="F64" s="1" t="inlineStr">
        <is>
          <t>F0201, F0341, F0344, F0345, F0346</t>
        </is>
      </c>
    </row>
    <row r="65" ht="15.75" customHeight="1" s="95">
      <c r="A65" s="1" t="inlineStr">
        <is>
          <t>Ralph Fiennes</t>
        </is>
      </c>
      <c r="B65" s="1" t="n">
        <v>5</v>
      </c>
      <c r="C65" s="1" t="n">
        <v>2011</v>
      </c>
      <c r="D65" s="1" t="n">
        <v>2021</v>
      </c>
      <c r="E65" s="4" t="inlineStr">
        <is>
          <t>Skyfall, Spectre, No Time to Die, Harry Potter and the Deathly Hallows: Part 2, The Lego Batman Movie</t>
        </is>
      </c>
      <c r="F65" s="1" t="inlineStr">
        <is>
          <t>F0003, F0004, F0005, F0144, F0193</t>
        </is>
      </c>
    </row>
    <row r="66" ht="15.75" customHeight="1" s="95">
      <c r="A66" s="1" t="inlineStr">
        <is>
          <t>Rebel Wilson</t>
        </is>
      </c>
      <c r="B66" s="1" t="n">
        <v>5</v>
      </c>
      <c r="C66" s="1" t="n">
        <v>2012</v>
      </c>
      <c r="D66" s="1" t="n">
        <v>2019</v>
      </c>
      <c r="E66" s="4" t="inlineStr">
        <is>
          <t>Grimsby, Jojo Rabbit, Pitch Perfect, Pitch Perfect 2, Pitch Perfect 3</t>
        </is>
      </c>
      <c r="F66" s="1" t="inlineStr">
        <is>
          <t>F0130, F0170, F0250, F0251, F0252</t>
        </is>
      </c>
    </row>
    <row r="67" ht="15.75" customHeight="1" s="95">
      <c r="A67" s="1" t="inlineStr">
        <is>
          <t>Sam Worthington</t>
        </is>
      </c>
      <c r="B67" s="1" t="n">
        <v>5</v>
      </c>
      <c r="C67" s="1" t="n">
        <v>2009</v>
      </c>
      <c r="D67" s="1" t="n">
        <v>2016</v>
      </c>
      <c r="E67" s="4" t="inlineStr">
        <is>
          <t>Avatar, Clash of the Titans, Hacksaw Ridge, Man on a Ledge, Terminator Salvation</t>
        </is>
      </c>
      <c r="F67" s="1" t="inlineStr">
        <is>
          <t>F0028, F0066, F0133, F0210, F0310</t>
        </is>
      </c>
    </row>
    <row r="68" ht="15.75" customHeight="1" s="95">
      <c r="A68" s="1" t="inlineStr">
        <is>
          <t>Shia LaBeouf</t>
        </is>
      </c>
      <c r="B68" s="1" t="n">
        <v>5</v>
      </c>
      <c r="C68" s="1" t="n">
        <v>2007</v>
      </c>
      <c r="D68" s="1" t="n">
        <v>2014</v>
      </c>
      <c r="E68" s="4" t="inlineStr">
        <is>
          <t>Fury, Lawless, Transformers, Transformers: Revenge of the Fallen, Transformers: Dark of the Moon</t>
        </is>
      </c>
      <c r="F68" s="1" t="inlineStr">
        <is>
          <t>F0117, F0192, F0316, F0317, F0318</t>
        </is>
      </c>
    </row>
    <row r="69" ht="15.75" customHeight="1" s="95">
      <c r="A69" s="1" t="inlineStr">
        <is>
          <t>Sigourney Weaver</t>
        </is>
      </c>
      <c r="B69" s="1" t="n">
        <v>5</v>
      </c>
      <c r="C69" s="1" t="n">
        <v>1979</v>
      </c>
      <c r="D69" s="1" t="n">
        <v>2009</v>
      </c>
      <c r="E69" s="4" t="inlineStr">
        <is>
          <t>Alien, Aliens, Alien³, Alien Resurrection, Avatar</t>
        </is>
      </c>
      <c r="F69" s="1" t="inlineStr">
        <is>
          <t>F0015, F0016, F0017, F0018, F0028</t>
        </is>
      </c>
    </row>
    <row r="70" ht="15.75" customHeight="1" s="95">
      <c r="A70" s="1" t="inlineStr">
        <is>
          <t>Sylvester Stallone</t>
        </is>
      </c>
      <c r="B70" s="1" t="n">
        <v>5</v>
      </c>
      <c r="C70" s="1" t="n">
        <v>2008</v>
      </c>
      <c r="D70" s="1" t="n">
        <v>2015</v>
      </c>
      <c r="E70" s="4" t="inlineStr">
        <is>
          <t>Creed, The Expendables, The Expendables 2, The Expendables 3, Rambo</t>
        </is>
      </c>
      <c r="F70" s="1" t="inlineStr">
        <is>
          <t>F0074, F0095, F0096, F0097, F0261</t>
        </is>
      </c>
    </row>
    <row r="71" ht="15.75" customHeight="1" s="95">
      <c r="A71" s="1" t="inlineStr">
        <is>
          <t>Tyrese Gibson</t>
        </is>
      </c>
      <c r="B71" s="1" t="n">
        <v>5</v>
      </c>
      <c r="C71" s="1" t="n">
        <v>2003</v>
      </c>
      <c r="D71" s="1" t="n">
        <v>2023</v>
      </c>
      <c r="E71" s="4" t="inlineStr">
        <is>
          <t>2 Fast 2 Furious, Fast Five, The Fate of the Furious, F9: The Fast Saga, Fast X</t>
        </is>
      </c>
      <c r="F71" s="1" t="inlineStr">
        <is>
          <t>F0102, F0105, F0108, F0109, F0110</t>
        </is>
      </c>
    </row>
    <row r="72" ht="15.75" customHeight="1" s="95">
      <c r="A72" s="1" t="inlineStr">
        <is>
          <t>Zach Galifianakis</t>
        </is>
      </c>
      <c r="B72" s="1" t="n">
        <v>5</v>
      </c>
      <c r="C72" s="1" t="n">
        <v>2009</v>
      </c>
      <c r="D72" s="1" t="n">
        <v>2017</v>
      </c>
      <c r="E72" s="4" t="inlineStr">
        <is>
          <t>Due Date, The Hangover, The Hangover Part II, The Hangover Part III, The Lego Batman Movie</t>
        </is>
      </c>
      <c r="F72" s="1" t="inlineStr">
        <is>
          <t>F0091, F0134, F0135, F0136, F0193</t>
        </is>
      </c>
    </row>
    <row r="73" ht="15.75" customHeight="1" s="95">
      <c r="A73" s="1" t="inlineStr">
        <is>
          <t>Aaron Eckhart</t>
        </is>
      </c>
      <c r="B73" s="1" t="n">
        <v>4</v>
      </c>
      <c r="C73" s="1" t="n">
        <v>2008</v>
      </c>
      <c r="D73" s="1" t="n">
        <v>2014</v>
      </c>
      <c r="E73" s="4" t="inlineStr">
        <is>
          <t>The Dark Knight, Battle: Los Angeles, I, Frankenstein, Olympus Has Fallen</t>
        </is>
      </c>
      <c r="F73" s="1" t="inlineStr">
        <is>
          <t>F0044, F0046, F0159, F0240</t>
        </is>
      </c>
    </row>
    <row r="74" ht="15.75" customHeight="1" s="95">
      <c r="A74" s="1" t="inlineStr">
        <is>
          <t>Aaron Taylor-Johnson</t>
        </is>
      </c>
      <c r="B74" s="1" t="n">
        <v>4</v>
      </c>
      <c r="C74" s="1" t="n">
        <v>2010</v>
      </c>
      <c r="D74" s="1" t="n">
        <v>2024</v>
      </c>
      <c r="E74" s="4" t="inlineStr">
        <is>
          <t>The Fall Guy, Godzilla, Kick-Ass, Kick-Ass 2</t>
        </is>
      </c>
      <c r="F74" s="1" t="inlineStr">
        <is>
          <t>F0099, F0121, F0185, F0186</t>
        </is>
      </c>
    </row>
    <row r="75" ht="15.75" customHeight="1" s="95">
      <c r="A75" s="1" t="inlineStr">
        <is>
          <t>Amanda Seyfried</t>
        </is>
      </c>
      <c r="B75" s="1" t="n">
        <v>4</v>
      </c>
      <c r="C75" s="1" t="n">
        <v>2008</v>
      </c>
      <c r="D75" s="1" t="n">
        <v>2014</v>
      </c>
      <c r="E75" s="4" t="inlineStr">
        <is>
          <t>A Million Ways to Die in the West, Dear John, Les Misérables, Mamma Mia!</t>
        </is>
      </c>
      <c r="F75" s="1" t="inlineStr">
        <is>
          <t>F0021, F0079, F0199, F0209</t>
        </is>
      </c>
    </row>
    <row r="76" ht="15.75" customHeight="1" s="95">
      <c r="A76" s="1" t="inlineStr">
        <is>
          <t>Ben Affleck</t>
        </is>
      </c>
      <c r="B76" s="1" t="n">
        <v>4</v>
      </c>
      <c r="C76" s="1" t="n">
        <v>1997</v>
      </c>
      <c r="D76" s="1" t="n">
        <v>2016</v>
      </c>
      <c r="E76" s="4" t="inlineStr">
        <is>
          <t>The Accountant, Argo, Good Will Hunting, Pearl Harbor</t>
        </is>
      </c>
      <c r="F76" s="1" t="inlineStr">
        <is>
          <t>F0013, F0025, F0124, F0246</t>
        </is>
      </c>
    </row>
    <row r="77" ht="15.75" customHeight="1" s="95">
      <c r="A77" s="1" t="inlineStr">
        <is>
          <t>Brendan Gleeson</t>
        </is>
      </c>
      <c r="B77" s="1" t="n">
        <v>4</v>
      </c>
      <c r="C77" s="1" t="n">
        <v>2005</v>
      </c>
      <c r="D77" s="1" t="n">
        <v>2013</v>
      </c>
      <c r="E77" s="4" t="inlineStr">
        <is>
          <t>Green Zone, Harry Potter and the Goblet of Fire, Safe House, The Smurfs 2</t>
        </is>
      </c>
      <c r="F77" s="1" t="inlineStr">
        <is>
          <t>F0129, F0140, F0272, F0282</t>
        </is>
      </c>
    </row>
    <row r="78" ht="15.75" customHeight="1" s="95">
      <c r="A78" s="1" t="inlineStr">
        <is>
          <t>Bruce Willis</t>
        </is>
      </c>
      <c r="B78" s="1" t="n">
        <v>4</v>
      </c>
      <c r="C78" s="1" t="n">
        <v>2007</v>
      </c>
      <c r="D78" s="1" t="n">
        <v>2011</v>
      </c>
      <c r="E78" s="4" t="inlineStr">
        <is>
          <t>Catch.44, Cop Out, Live Free or Die Hard, RED</t>
        </is>
      </c>
      <c r="F78" s="1" t="inlineStr">
        <is>
          <t>F0063, F0069, F0086, F0262</t>
        </is>
      </c>
    </row>
    <row r="79" ht="15.75" customHeight="1" s="95">
      <c r="A79" s="1" t="inlineStr">
        <is>
          <t>Chris Evans</t>
        </is>
      </c>
      <c r="B79" s="1" t="n">
        <v>4</v>
      </c>
      <c r="C79" s="1" t="n">
        <v>2012</v>
      </c>
      <c r="D79" s="1" t="n">
        <v>2019</v>
      </c>
      <c r="E79" s="4" t="inlineStr">
        <is>
          <t>The Avengers, Avengers: Infinity War, Avengers: Endgame, Snowpiercer</t>
        </is>
      </c>
      <c r="F79" s="1" t="inlineStr">
        <is>
          <t>F0029, F0030, F0031, F0283</t>
        </is>
      </c>
    </row>
    <row r="80" ht="15.75" customHeight="1" s="95">
      <c r="A80" s="1" t="inlineStr">
        <is>
          <t>Elijah Wood</t>
        </is>
      </c>
      <c r="B80" s="1" t="n">
        <v>4</v>
      </c>
      <c r="C80" s="1" t="n">
        <v>2001</v>
      </c>
      <c r="D80" s="1" t="n">
        <v>2011</v>
      </c>
      <c r="E80" s="4" t="inlineStr">
        <is>
          <t>Happy Feet Two, The Lord of the Rings: The Fellowship of the Ring, The Lord of the Rings: The Two Towers, The Lord of the Rings: The Return of the King</t>
        </is>
      </c>
      <c r="F80" s="1" t="inlineStr">
        <is>
          <t>F0145, F0203, F0204, F0205</t>
        </is>
      </c>
    </row>
    <row r="81" ht="15.75" customHeight="1" s="95">
      <c r="A81" s="1" t="inlineStr">
        <is>
          <t>Guy Pearce</t>
        </is>
      </c>
      <c r="B81" s="1" t="n">
        <v>4</v>
      </c>
      <c r="C81" s="1" t="n">
        <v>2010</v>
      </c>
      <c r="D81" s="1" t="n">
        <v>2013</v>
      </c>
      <c r="E81" s="4" t="inlineStr">
        <is>
          <t>Iron Man 3, The King's Speech, Lawless, Prometheus</t>
        </is>
      </c>
      <c r="F81" s="1" t="inlineStr">
        <is>
          <t>F0169, F0189, F0192, F0259</t>
        </is>
      </c>
    </row>
    <row r="82" ht="15.75" customHeight="1" s="95">
      <c r="A82" s="1" t="inlineStr">
        <is>
          <t>Hailee Steinfeld</t>
        </is>
      </c>
      <c r="B82" s="1" t="n">
        <v>4</v>
      </c>
      <c r="C82" s="1" t="n">
        <v>2010</v>
      </c>
      <c r="D82" s="1" t="n">
        <v>2018</v>
      </c>
      <c r="E82" s="4" t="inlineStr">
        <is>
          <t>Bumblebee, Pitch Perfect 2, Pitch Perfect 3, True Grit</t>
        </is>
      </c>
      <c r="F82" s="1" t="inlineStr">
        <is>
          <t>F0061, F0251, F0252, F0325</t>
        </is>
      </c>
    </row>
    <row r="83" ht="15.75" customHeight="1" s="95">
      <c r="A83" s="1" t="inlineStr">
        <is>
          <t>Ian McShane</t>
        </is>
      </c>
      <c r="B83" s="1" t="n">
        <v>4</v>
      </c>
      <c r="C83" s="1" t="n">
        <v>2009</v>
      </c>
      <c r="D83" s="1" t="n">
        <v>2014</v>
      </c>
      <c r="E83" s="4" t="inlineStr">
        <is>
          <t>44 Inch Chest, Hercules, Pirates of the Caribbean: On Stranger Tides, Snow White and the Huntsman</t>
        </is>
      </c>
      <c r="F83" s="1" t="inlineStr">
        <is>
          <t>F0010, F0147, F0249, F0284</t>
        </is>
      </c>
    </row>
    <row r="84" ht="15.75" customHeight="1" s="95">
      <c r="A84" s="1" t="inlineStr">
        <is>
          <t>Jake Gyllenhaal</t>
        </is>
      </c>
      <c r="B84" s="1" t="n">
        <v>4</v>
      </c>
      <c r="C84" s="1" t="n">
        <v>2007</v>
      </c>
      <c r="D84" s="1" t="n">
        <v>2015</v>
      </c>
      <c r="E84" s="4" t="inlineStr">
        <is>
          <t>Prisoners, Source Code, Southpaw, Zodiac</t>
        </is>
      </c>
      <c r="F84" s="1" t="inlineStr">
        <is>
          <t>F0258, F0285, F0286, F0350</t>
        </is>
      </c>
    </row>
    <row r="85" ht="15.75" customHeight="1" s="95">
      <c r="A85" s="1" t="inlineStr">
        <is>
          <t>Jamie Bell</t>
        </is>
      </c>
      <c r="B85" s="1" t="n">
        <v>4</v>
      </c>
      <c r="C85" s="1" t="n">
        <v>2008</v>
      </c>
      <c r="D85" s="1" t="n">
        <v>2019</v>
      </c>
      <c r="E85" s="4" t="inlineStr">
        <is>
          <t>Jumper, Man on a Ledge, Rocketman, Snowpiercer</t>
        </is>
      </c>
      <c r="F85" s="1" t="inlineStr">
        <is>
          <t>F0175, F0210, F0269, F0283</t>
        </is>
      </c>
    </row>
    <row r="86" ht="15.75" customHeight="1" s="95">
      <c r="A86" s="1" t="inlineStr">
        <is>
          <t>Jeremy Renner</t>
        </is>
      </c>
      <c r="B86" s="1" t="n">
        <v>4</v>
      </c>
      <c r="C86" s="1" t="n">
        <v>2011</v>
      </c>
      <c r="D86" s="1" t="n">
        <v>2015</v>
      </c>
      <c r="E86" s="4" t="inlineStr">
        <is>
          <t>American Hustle, The Bourne Legacy, Mission: Impossible - Ghost Protocol, Mission: Impossible - Rogue Nation</t>
        </is>
      </c>
      <c r="F86" s="1" t="inlineStr">
        <is>
          <t>F0020, F0056, F0224, F0225</t>
        </is>
      </c>
    </row>
    <row r="87" ht="15.75" customHeight="1" s="95">
      <c r="A87" s="1" t="inlineStr">
        <is>
          <t>John Hurt</t>
        </is>
      </c>
      <c r="B87" s="1" t="n">
        <v>4</v>
      </c>
      <c r="C87" s="1" t="n">
        <v>1979</v>
      </c>
      <c r="D87" s="1" t="n">
        <v>2014</v>
      </c>
      <c r="E87" s="4" t="inlineStr">
        <is>
          <t>44 Inch Chest, Alien, Hercules, Snowpiercer</t>
        </is>
      </c>
      <c r="F87" s="1" t="inlineStr">
        <is>
          <t>F0010, F0015, F0147, F0283</t>
        </is>
      </c>
    </row>
    <row r="88" ht="15.75" customHeight="1" s="95">
      <c r="A88" s="1" t="inlineStr">
        <is>
          <t>Jon Voight</t>
        </is>
      </c>
      <c r="B88" s="1" t="n">
        <v>4</v>
      </c>
      <c r="C88" s="1" t="n">
        <v>1996</v>
      </c>
      <c r="D88" s="1" t="n">
        <v>2007</v>
      </c>
      <c r="E88" s="4" t="inlineStr">
        <is>
          <t>Enemy of the State, Mission: Impossible, National Treasure: Book of Secrets, Pearl Harbor</t>
        </is>
      </c>
      <c r="F88" s="1" t="inlineStr">
        <is>
          <t>F0094, F0221, F0233, F0246</t>
        </is>
      </c>
    </row>
    <row r="89" ht="15.75" customHeight="1" s="95">
      <c r="A89" s="1" t="inlineStr">
        <is>
          <t>Jonah Hill</t>
        </is>
      </c>
      <c r="B89" s="1" t="n">
        <v>4</v>
      </c>
      <c r="C89" s="1" t="n">
        <v>2007</v>
      </c>
      <c r="D89" s="1" t="n">
        <v>2014</v>
      </c>
      <c r="E89" s="4" t="inlineStr">
        <is>
          <t>21 Jump Street, 22 Jump Street, How to Train Your Dragon, Superbad</t>
        </is>
      </c>
      <c r="F89" s="1" t="inlineStr">
        <is>
          <t>F0007, F0008, F0154, F0303</t>
        </is>
      </c>
    </row>
    <row r="90" ht="15.75" customHeight="1" s="95">
      <c r="A90" s="1" t="inlineStr">
        <is>
          <t>Joseph Gordon-Levitt</t>
        </is>
      </c>
      <c r="B90" s="1" t="n">
        <v>4</v>
      </c>
      <c r="C90" s="1" t="n">
        <v>2009</v>
      </c>
      <c r="D90" s="1" t="n">
        <v>2012</v>
      </c>
      <c r="E90" s="4" t="inlineStr">
        <is>
          <t>50/50, The Dark Knight Rises, G.I. Joe: The Rise of Cobra, Inception</t>
        </is>
      </c>
      <c r="F90" s="1" t="inlineStr">
        <is>
          <t>F0011, F0045, F0118, F0165</t>
        </is>
      </c>
    </row>
    <row r="91" ht="15.75" customHeight="1" s="95">
      <c r="A91" s="1" t="inlineStr">
        <is>
          <t>Justin Bartha</t>
        </is>
      </c>
      <c r="B91" s="1" t="n">
        <v>4</v>
      </c>
      <c r="C91" s="1" t="n">
        <v>2007</v>
      </c>
      <c r="D91" s="1" t="n">
        <v>2013</v>
      </c>
      <c r="E91" s="4" t="inlineStr">
        <is>
          <t>The Hangover, The Hangover Part II, The Hangover Part III, National Treasure: Book of Secrets</t>
        </is>
      </c>
      <c r="F91" s="1" t="inlineStr">
        <is>
          <t>F0134, F0135, F0136, F0233</t>
        </is>
      </c>
    </row>
    <row r="92" ht="15.75" customHeight="1" s="95">
      <c r="A92" s="1" t="inlineStr">
        <is>
          <t>Mark Ruffalo</t>
        </is>
      </c>
      <c r="B92" s="1" t="n">
        <v>4</v>
      </c>
      <c r="C92" s="1" t="n">
        <v>2007</v>
      </c>
      <c r="D92" s="1" t="n">
        <v>2019</v>
      </c>
      <c r="E92" s="4" t="inlineStr">
        <is>
          <t>The Avengers, Avengers: Infinity War, Avengers: Endgame, Zodiac</t>
        </is>
      </c>
      <c r="F92" s="1" t="inlineStr">
        <is>
          <t>F0029, F0030, F0031, F0350</t>
        </is>
      </c>
    </row>
    <row r="93" ht="15.75" customHeight="1" s="95">
      <c r="A93" s="1" t="inlineStr">
        <is>
          <t>Martin Freeman</t>
        </is>
      </c>
      <c r="B93" s="1" t="n">
        <v>4</v>
      </c>
      <c r="C93" s="1" t="n">
        <v>2012</v>
      </c>
      <c r="D93" s="1" t="n">
        <v>2014</v>
      </c>
      <c r="E93" s="4" t="inlineStr">
        <is>
          <t>The World's End, The Hobbit: An Unexpected Journey, The Hobbit: The Desolation of Smaug, The Hobbit: The Battle of the Five Armies</t>
        </is>
      </c>
      <c r="F93" s="1" t="inlineStr">
        <is>
          <t>F0072, F0150, F0151, F0152</t>
        </is>
      </c>
    </row>
    <row r="94" ht="15.75" customHeight="1" s="95">
      <c r="A94" s="1" t="inlineStr">
        <is>
          <t>Megan Fox</t>
        </is>
      </c>
      <c r="B94" s="1" t="n">
        <v>4</v>
      </c>
      <c r="C94" s="1" t="n">
        <v>2007</v>
      </c>
      <c r="D94" s="1" t="n">
        <v>2014</v>
      </c>
      <c r="E94" s="4" t="inlineStr">
        <is>
          <t>Jonah Hex, Teenage Mutant Ninja Turtles, Transformers, Transformers: Revenge of the Fallen</t>
        </is>
      </c>
      <c r="F94" s="1" t="inlineStr">
        <is>
          <t>F0173, F0309, F0316, F0317</t>
        </is>
      </c>
    </row>
    <row r="95" ht="15.75" customHeight="1" s="95">
      <c r="A95" s="1" t="inlineStr">
        <is>
          <t>Michael Caine</t>
        </is>
      </c>
      <c r="B95" s="1" t="n">
        <v>4</v>
      </c>
      <c r="C95" s="1" t="n">
        <v>2005</v>
      </c>
      <c r="D95" s="1" t="n">
        <v>2014</v>
      </c>
      <c r="E95" s="4" t="inlineStr">
        <is>
          <t>Batman Begins, The Dark Knight, Interstellar, The Prestige</t>
        </is>
      </c>
      <c r="F95" s="1" t="inlineStr">
        <is>
          <t>F0043, F0044, F0168, F0257</t>
        </is>
      </c>
    </row>
    <row r="96" ht="15.75" customHeight="1" s="95">
      <c r="A96" s="1" t="inlineStr">
        <is>
          <t>Nicolas Cage</t>
        </is>
      </c>
      <c r="B96" s="1" t="n">
        <v>4</v>
      </c>
      <c r="C96" s="1" t="n">
        <v>1997</v>
      </c>
      <c r="D96" s="1" t="n">
        <v>2013</v>
      </c>
      <c r="E96" s="4" t="inlineStr">
        <is>
          <t>Con Air, The Croods, Kick-Ass, National Treasure: Book of Secrets</t>
        </is>
      </c>
      <c r="F96" s="1" t="inlineStr">
        <is>
          <t>F0068, F0075, F0185, F0233</t>
        </is>
      </c>
    </row>
    <row r="97" ht="15.75" customHeight="1" s="95">
      <c r="A97" s="1" t="inlineStr">
        <is>
          <t>Rachel McAdams</t>
        </is>
      </c>
      <c r="B97" s="1" t="n">
        <v>4</v>
      </c>
      <c r="C97" s="1" t="n">
        <v>2004</v>
      </c>
      <c r="D97" s="1" t="n">
        <v>2015</v>
      </c>
      <c r="E97" s="4" t="inlineStr">
        <is>
          <t>The Notebook, Sherlock Holmes, Sherlock Holmes: A Game of Shadows, Southpaw</t>
        </is>
      </c>
      <c r="F97" s="1" t="inlineStr">
        <is>
          <t>F0237, F0278, F0279, F0286</t>
        </is>
      </c>
    </row>
    <row r="98" ht="15.75" customHeight="1" s="95">
      <c r="A98" s="1" t="inlineStr">
        <is>
          <t>Rebecca Ferguson</t>
        </is>
      </c>
      <c r="B98" s="1" t="n">
        <v>4</v>
      </c>
      <c r="C98" s="1" t="n">
        <v>2015</v>
      </c>
      <c r="D98" s="1" t="n">
        <v>2023</v>
      </c>
      <c r="E98" s="4" t="inlineStr">
        <is>
          <t>The Greatest Showman, Mission: Impossible - Rogue Nation, Mission: Impossible - Fallout, Mission: Impossible - Dead Reckoning Part One</t>
        </is>
      </c>
      <c r="F98" s="1" t="inlineStr">
        <is>
          <t>F0127, F0225, F0226, F0227</t>
        </is>
      </c>
    </row>
    <row r="99" ht="15.75" customHeight="1" s="95">
      <c r="A99" s="1" t="inlineStr">
        <is>
          <t>Rebecca Hall</t>
        </is>
      </c>
      <c r="B99" s="1" t="n">
        <v>4</v>
      </c>
      <c r="C99" s="1" t="n">
        <v>2006</v>
      </c>
      <c r="D99" s="1" t="n">
        <v>2021</v>
      </c>
      <c r="E99" s="4" t="inlineStr">
        <is>
          <t>The BFG, Godzilla vs. Kong, Iron Man 3, The Prestige</t>
        </is>
      </c>
      <c r="F99" s="1" t="inlineStr">
        <is>
          <t>F0047, F0123, F0169, F0257</t>
        </is>
      </c>
    </row>
    <row r="100" ht="15.75" customHeight="1" s="95">
      <c r="A100" s="1" t="inlineStr">
        <is>
          <t>Ryan Gosling</t>
        </is>
      </c>
      <c r="B100" s="1" t="n">
        <v>4</v>
      </c>
      <c r="C100" s="1" t="n">
        <v>2004</v>
      </c>
      <c r="D100" s="1" t="n">
        <v>2024</v>
      </c>
      <c r="E100" s="4" t="inlineStr">
        <is>
          <t>Barbie, The Fall Guy, The Nice Guys, The Notebook</t>
        </is>
      </c>
      <c r="F100" s="1" t="inlineStr">
        <is>
          <t>F0041, F0099, F0235, F0237</t>
        </is>
      </c>
    </row>
    <row r="101" ht="15.75" customHeight="1" s="95">
      <c r="A101" s="1" t="inlineStr">
        <is>
          <t>Sacha Baron Cohen</t>
        </is>
      </c>
      <c r="B101" s="1" t="n">
        <v>4</v>
      </c>
      <c r="C101" s="1" t="n">
        <v>2009</v>
      </c>
      <c r="D101" s="1" t="n">
        <v>2016</v>
      </c>
      <c r="E101" s="4" t="inlineStr">
        <is>
          <t>Brüno, The Dictator, Grimsby, Les Misérables</t>
        </is>
      </c>
      <c r="F101" s="1" t="inlineStr">
        <is>
          <t>F0059, F0085, F0130, F0199</t>
        </is>
      </c>
    </row>
    <row r="102" ht="15.75" customHeight="1" s="95">
      <c r="A102" s="1" t="inlineStr">
        <is>
          <t>Seth Rogen</t>
        </is>
      </c>
      <c r="B102" s="1" t="n">
        <v>4</v>
      </c>
      <c r="C102" s="1" t="n">
        <v>2007</v>
      </c>
      <c r="D102" s="1" t="n">
        <v>2011</v>
      </c>
      <c r="E102" s="4" t="inlineStr">
        <is>
          <t>50/50, Paul, Pineapple Express, Superbad</t>
        </is>
      </c>
      <c r="F102" s="1" t="inlineStr">
        <is>
          <t>F0011, F0245, F0247, F0303</t>
        </is>
      </c>
    </row>
    <row r="103" ht="15.75" customHeight="1" s="95">
      <c r="A103" s="1" t="inlineStr">
        <is>
          <t>Sharlto Copley</t>
        </is>
      </c>
      <c r="B103" s="1" t="n">
        <v>4</v>
      </c>
      <c r="C103" s="1" t="n">
        <v>2009</v>
      </c>
      <c r="D103" s="1" t="n">
        <v>2014</v>
      </c>
      <c r="E103" s="4" t="inlineStr">
        <is>
          <t>The A-Team, District 9, Elysium, Maleficent</t>
        </is>
      </c>
      <c r="F103" s="1" t="inlineStr">
        <is>
          <t>F0026, F0088, F0093, F0208</t>
        </is>
      </c>
    </row>
    <row r="104" ht="15.75" customHeight="1" s="95">
      <c r="A104" s="1" t="inlineStr">
        <is>
          <t>Stellan Skarsgård</t>
        </is>
      </c>
      <c r="B104" s="1" t="n">
        <v>4</v>
      </c>
      <c r="C104" s="1" t="n">
        <v>1997</v>
      </c>
      <c r="D104" s="1" t="n">
        <v>2011</v>
      </c>
      <c r="E104" s="4" t="inlineStr">
        <is>
          <t>Angels &amp; Demons, The Girl with the Dragon Tattoo, Good Will Hunting, Mamma Mia!</t>
        </is>
      </c>
      <c r="F104" s="1" t="inlineStr">
        <is>
          <t>F0023, F0120, F0124, F0209</t>
        </is>
      </c>
    </row>
    <row r="105" ht="15.75" customHeight="1" s="95">
      <c r="A105" s="1" t="inlineStr">
        <is>
          <t>Steve Carell</t>
        </is>
      </c>
      <c r="B105" s="1" t="n">
        <v>4</v>
      </c>
      <c r="C105" s="1" t="n">
        <v>2004</v>
      </c>
      <c r="D105" s="1" t="n">
        <v>2017</v>
      </c>
      <c r="E105" s="4" t="inlineStr">
        <is>
          <t>Anchorman: The Legend of Ron Burgundy, Despicable Me, Despicable Me 2, Despicable Me 3</t>
        </is>
      </c>
      <c r="F105" s="1" t="inlineStr">
        <is>
          <t>F0022, F0082, F0083, F0084</t>
        </is>
      </c>
    </row>
    <row r="106" ht="15.75" customHeight="1" s="95">
      <c r="A106" s="1" t="inlineStr">
        <is>
          <t>Tim Allen</t>
        </is>
      </c>
      <c r="B106" s="1" t="n">
        <v>4</v>
      </c>
      <c r="C106" s="1" t="n">
        <v>1995</v>
      </c>
      <c r="D106" s="1" t="n">
        <v>2019</v>
      </c>
      <c r="E106" s="4" t="inlineStr">
        <is>
          <t>Toy Story, Toy Story 2, Toy Story 3, Toy Story 4</t>
        </is>
      </c>
      <c r="F106" s="1" t="inlineStr">
        <is>
          <t>F0312, F0313, F0314, F0315</t>
        </is>
      </c>
    </row>
    <row r="107" ht="15.75" customHeight="1" s="95">
      <c r="A107" s="1" t="inlineStr">
        <is>
          <t>Tobey Maguire</t>
        </is>
      </c>
      <c r="B107" s="1" t="n">
        <v>4</v>
      </c>
      <c r="C107" s="1" t="n">
        <v>2002</v>
      </c>
      <c r="D107" s="1" t="n">
        <v>2013</v>
      </c>
      <c r="E107" s="4" t="inlineStr">
        <is>
          <t>The Great Gatsby, Spider-Man, Spider-Man 2, Spider-Man 3</t>
        </is>
      </c>
      <c r="F107" s="1" t="inlineStr">
        <is>
          <t>F0126, F0287, F0288, F0289</t>
        </is>
      </c>
    </row>
    <row r="108" ht="15.75" customHeight="1" s="95">
      <c r="A108" s="1" t="inlineStr">
        <is>
          <t>Tom Hardy</t>
        </is>
      </c>
      <c r="B108" s="1" t="n">
        <v>4</v>
      </c>
      <c r="C108" s="1" t="n">
        <v>2010</v>
      </c>
      <c r="D108" s="1" t="n">
        <v>2012</v>
      </c>
      <c r="E108" s="4" t="inlineStr">
        <is>
          <t>The Dark Knight Rises, Inception, Lawless, Warrior</t>
        </is>
      </c>
      <c r="F108" s="1" t="inlineStr">
        <is>
          <t>F0045, F0165, F0192, F0333</t>
        </is>
      </c>
    </row>
    <row r="109" ht="15.75" customHeight="1" s="95">
      <c r="A109" s="1" t="inlineStr">
        <is>
          <t>Will Arnett</t>
        </is>
      </c>
      <c r="B109" s="1" t="n">
        <v>4</v>
      </c>
      <c r="C109" s="1" t="n">
        <v>2010</v>
      </c>
      <c r="D109" s="1" t="n">
        <v>2019</v>
      </c>
      <c r="E109" s="4" t="inlineStr">
        <is>
          <t>Jonah Hex, The Lego Batman Movie, The Lego Movie, The Lego Movie 2: The Second Part</t>
        </is>
      </c>
      <c r="F109" s="1" t="inlineStr">
        <is>
          <t>F0173, F0193, F0195, F0196</t>
        </is>
      </c>
    </row>
    <row r="110" ht="15.75" customHeight="1" s="95">
      <c r="A110" s="1" t="inlineStr">
        <is>
          <t>Adam Driver</t>
        </is>
      </c>
      <c r="B110" s="1" t="n">
        <v>3</v>
      </c>
      <c r="C110" s="1" t="n">
        <v>2015</v>
      </c>
      <c r="D110" s="1" t="n">
        <v>2019</v>
      </c>
      <c r="E110" s="4" t="inlineStr">
        <is>
          <t>Star Wars: The Force Awakens, Star Wars: The Last Jedi, Star Wars: The Rise of Skywalker</t>
        </is>
      </c>
      <c r="F110" s="1" t="inlineStr">
        <is>
          <t>F0298, F0299, F0300</t>
        </is>
      </c>
    </row>
    <row r="111" ht="15.75" customHeight="1" s="95">
      <c r="A111" s="1" t="inlineStr">
        <is>
          <t>Adam Sandler</t>
        </is>
      </c>
      <c r="B111" s="1" t="n">
        <v>3</v>
      </c>
      <c r="C111" s="1" t="n">
        <v>2010</v>
      </c>
      <c r="D111" s="1" t="n">
        <v>2013</v>
      </c>
      <c r="E111" s="4" t="inlineStr">
        <is>
          <t>Grown Ups, Grown Ups 2, Just Go with It</t>
        </is>
      </c>
      <c r="F111" s="1" t="inlineStr">
        <is>
          <t>F0131, F0132, F0183</t>
        </is>
      </c>
    </row>
    <row r="112" ht="15.75" customHeight="1" s="95">
      <c r="A112" s="1" t="inlineStr">
        <is>
          <t>America Ferrera</t>
        </is>
      </c>
      <c r="B112" s="1" t="n">
        <v>3</v>
      </c>
      <c r="C112" s="1" t="n">
        <v>2010</v>
      </c>
      <c r="D112" s="1" t="n">
        <v>2023</v>
      </c>
      <c r="E112" s="4" t="inlineStr">
        <is>
          <t>Barbie, How to Train Your Dragon, How to Train Your Dragon 2</t>
        </is>
      </c>
      <c r="F112" s="1" t="inlineStr">
        <is>
          <t>F0041, F0154, F0155</t>
        </is>
      </c>
    </row>
    <row r="113" ht="15.75" customHeight="1" s="95">
      <c r="A113" s="1" t="inlineStr">
        <is>
          <t>Amy Adams</t>
        </is>
      </c>
      <c r="B113" s="1" t="n">
        <v>3</v>
      </c>
      <c r="C113" s="1" t="n">
        <v>2009</v>
      </c>
      <c r="D113" s="1" t="n">
        <v>2013</v>
      </c>
      <c r="E113" s="4" t="inlineStr">
        <is>
          <t>American Hustle, Man of Steel, Night at the Museum: Battle of the Smithsonian</t>
        </is>
      </c>
      <c r="F113" s="1" t="inlineStr">
        <is>
          <t>F0020, F0211, F0236</t>
        </is>
      </c>
    </row>
    <row r="114" ht="15.75" customHeight="1" s="95">
      <c r="A114" s="1" t="inlineStr">
        <is>
          <t>Angelina Jolie</t>
        </is>
      </c>
      <c r="B114" s="1" t="n">
        <v>3</v>
      </c>
      <c r="C114" s="1" t="n">
        <v>2005</v>
      </c>
      <c r="D114" s="1" t="n">
        <v>2014</v>
      </c>
      <c r="E114" s="4" t="inlineStr">
        <is>
          <t>Maleficent, Mr. &amp; Mrs. Smith, Salt</t>
        </is>
      </c>
      <c r="F114" s="1" t="inlineStr">
        <is>
          <t>F0208, F0231, F0273</t>
        </is>
      </c>
    </row>
    <row r="115" ht="15.75" customHeight="1" s="95">
      <c r="A115" s="1" t="inlineStr">
        <is>
          <t>Anna Faris</t>
        </is>
      </c>
      <c r="B115" s="1" t="n">
        <v>3</v>
      </c>
      <c r="C115" s="1" t="n">
        <v>2010</v>
      </c>
      <c r="D115" s="1" t="n">
        <v>2013</v>
      </c>
      <c r="E115" s="4" t="inlineStr">
        <is>
          <t>Cloudy with a Chance of Meatballs 2, The Dictator, Yogi Bear</t>
        </is>
      </c>
      <c r="F115" s="1" t="inlineStr">
        <is>
          <t>F0067, F0085, F0348</t>
        </is>
      </c>
    </row>
    <row r="116" ht="15.75" customHeight="1" s="95">
      <c r="A116" s="1" t="inlineStr">
        <is>
          <t>Brian Cox</t>
        </is>
      </c>
      <c r="B116" s="1" t="n">
        <v>3</v>
      </c>
      <c r="C116" s="1" t="n">
        <v>2002</v>
      </c>
      <c r="D116" s="1" t="n">
        <v>2011</v>
      </c>
      <c r="E116" s="4" t="inlineStr">
        <is>
          <t>The Bourne Identity, The Bourne Supremacy, Rise of the Planet of the Apes</t>
        </is>
      </c>
      <c r="F116" s="1" t="inlineStr">
        <is>
          <t>F0053, F0054, F0253</t>
        </is>
      </c>
    </row>
    <row r="117" ht="15.75" customHeight="1" s="95">
      <c r="A117" s="1" t="inlineStr">
        <is>
          <t>Brittany Snow</t>
        </is>
      </c>
      <c r="B117" s="1" t="n">
        <v>3</v>
      </c>
      <c r="C117" s="1" t="n">
        <v>2012</v>
      </c>
      <c r="D117" s="1" t="n">
        <v>2017</v>
      </c>
      <c r="E117" s="4" t="inlineStr">
        <is>
          <t>Pitch Perfect, Pitch Perfect 2, Pitch Perfect 3</t>
        </is>
      </c>
      <c r="F117" s="1" t="inlineStr">
        <is>
          <t>F0250, F0251, F0252</t>
        </is>
      </c>
    </row>
    <row r="118" ht="15.75" customHeight="1" s="95">
      <c r="A118" s="1" t="inlineStr">
        <is>
          <t>Carrie-Anne Moss</t>
        </is>
      </c>
      <c r="B118" s="1" t="n">
        <v>3</v>
      </c>
      <c r="C118" s="1" t="n">
        <v>1999</v>
      </c>
      <c r="D118" s="1" t="n">
        <v>2003</v>
      </c>
      <c r="E118" s="4" t="inlineStr">
        <is>
          <t>The Matrix, The Matrix Reloaded, The Matrix Revolutions</t>
        </is>
      </c>
      <c r="F118" s="1" t="inlineStr">
        <is>
          <t>F0214, F0215, F0216</t>
        </is>
      </c>
    </row>
    <row r="119" ht="15.75" customHeight="1" s="95">
      <c r="A119" s="1" t="inlineStr">
        <is>
          <t>Charlize Theron</t>
        </is>
      </c>
      <c r="B119" s="1" t="n">
        <v>3</v>
      </c>
      <c r="C119" s="1" t="n">
        <v>2012</v>
      </c>
      <c r="D119" s="1" t="n">
        <v>2014</v>
      </c>
      <c r="E119" s="4" t="inlineStr">
        <is>
          <t>A Million Ways to Die in the West, Prometheus, Snow White and the Huntsman</t>
        </is>
      </c>
      <c r="F119" s="1" t="inlineStr">
        <is>
          <t>F0021, F0259, F0284</t>
        </is>
      </c>
    </row>
    <row r="120" ht="15.75" customHeight="1" s="95">
      <c r="A120" s="1" t="inlineStr">
        <is>
          <t>Christoph Waltz</t>
        </is>
      </c>
      <c r="B120" s="1" t="n">
        <v>3</v>
      </c>
      <c r="C120" s="1" t="n">
        <v>2009</v>
      </c>
      <c r="D120" s="1" t="n">
        <v>2015</v>
      </c>
      <c r="E120" s="4" t="inlineStr">
        <is>
          <t>Spectre, Django Unchained, Inglourious Basterds</t>
        </is>
      </c>
      <c r="F120" s="1" t="inlineStr">
        <is>
          <t>F0004, F0090, F0166</t>
        </is>
      </c>
    </row>
    <row r="121" ht="15.75" customHeight="1" s="95">
      <c r="A121" s="1" t="inlineStr">
        <is>
          <t>Christopher Lloyd</t>
        </is>
      </c>
      <c r="B121" s="1" t="n">
        <v>3</v>
      </c>
      <c r="C121" s="1" t="n">
        <v>1985</v>
      </c>
      <c r="D121" s="1" t="n">
        <v>1990</v>
      </c>
      <c r="E121" s="4" t="inlineStr">
        <is>
          <t>Back to the Future, Back to the Future Part II, Back to the Future Part III</t>
        </is>
      </c>
      <c r="F121" s="1" t="inlineStr">
        <is>
          <t>F0033, F0034, F0035</t>
        </is>
      </c>
    </row>
    <row r="122" ht="15.75" customHeight="1" s="95">
      <c r="A122" s="1" t="inlineStr">
        <is>
          <t>Daisy Ridley</t>
        </is>
      </c>
      <c r="B122" s="1" t="n">
        <v>3</v>
      </c>
      <c r="C122" s="1" t="n">
        <v>2015</v>
      </c>
      <c r="D122" s="1" t="n">
        <v>2019</v>
      </c>
      <c r="E122" s="4" t="inlineStr">
        <is>
          <t>Star Wars: The Force Awakens, Star Wars: The Last Jedi, Star Wars: The Rise of Skywalker</t>
        </is>
      </c>
      <c r="F122" s="1" t="inlineStr">
        <is>
          <t>F0298, F0299, F0300</t>
        </is>
      </c>
    </row>
    <row r="123" ht="15.75" customHeight="1" s="95">
      <c r="A123" s="1" t="inlineStr">
        <is>
          <t>Denis Leary</t>
        </is>
      </c>
      <c r="B123" s="1" t="n">
        <v>3</v>
      </c>
      <c r="C123" s="1" t="n">
        <v>2006</v>
      </c>
      <c r="D123" s="1" t="n">
        <v>2012</v>
      </c>
      <c r="E123" s="4" t="inlineStr">
        <is>
          <t>The Amazing Spider-Man, Ice Age: The Meltdown, Ice Age: Dawn of the Dinosaurs</t>
        </is>
      </c>
      <c r="F123" s="1" t="inlineStr">
        <is>
          <t>F0019, F0160, F0161</t>
        </is>
      </c>
    </row>
    <row r="124" ht="15.75" customHeight="1" s="95">
      <c r="A124" s="1" t="inlineStr">
        <is>
          <t>Diane Kruger</t>
        </is>
      </c>
      <c r="B124" s="1" t="n">
        <v>3</v>
      </c>
      <c r="C124" s="1" t="n">
        <v>2007</v>
      </c>
      <c r="D124" s="1" t="n">
        <v>2011</v>
      </c>
      <c r="E124" s="4" t="inlineStr">
        <is>
          <t>Inglourious Basterds, National Treasure: Book of Secrets, Unknown</t>
        </is>
      </c>
      <c r="F124" s="1" t="inlineStr">
        <is>
          <t>F0166, F0233, F0329</t>
        </is>
      </c>
    </row>
    <row r="125" ht="15.75" customHeight="1" s="95">
      <c r="A125" s="1" t="inlineStr">
        <is>
          <t>Don Rickles</t>
        </is>
      </c>
      <c r="B125" s="1" t="n">
        <v>3</v>
      </c>
      <c r="C125" s="1" t="n">
        <v>1995</v>
      </c>
      <c r="D125" s="1" t="n">
        <v>2010</v>
      </c>
      <c r="E125" s="4" t="inlineStr">
        <is>
          <t>Toy Story, Toy Story 2, Toy Story 3</t>
        </is>
      </c>
      <c r="F125" s="1" t="inlineStr">
        <is>
          <t>F0312, F0313, F0314</t>
        </is>
      </c>
    </row>
    <row r="126" ht="15.75" customHeight="1" s="95">
      <c r="A126" s="1" t="inlineStr">
        <is>
          <t>Ed Helms</t>
        </is>
      </c>
      <c r="B126" s="1" t="n">
        <v>3</v>
      </c>
      <c r="C126" s="1" t="n">
        <v>2009</v>
      </c>
      <c r="D126" s="1" t="n">
        <v>2013</v>
      </c>
      <c r="E126" s="4" t="inlineStr">
        <is>
          <t>The Hangover, The Hangover Part II, The Hangover Part III</t>
        </is>
      </c>
      <c r="F126" s="1" t="inlineStr">
        <is>
          <t>F0134, F0135, F0136</t>
        </is>
      </c>
    </row>
    <row r="127" ht="15.75" customHeight="1" s="95">
      <c r="A127" s="1" t="inlineStr">
        <is>
          <t>Eric Bana</t>
        </is>
      </c>
      <c r="B127" s="1" t="n">
        <v>3</v>
      </c>
      <c r="C127" s="1" t="n">
        <v>2001</v>
      </c>
      <c r="D127" s="1" t="n">
        <v>2013</v>
      </c>
      <c r="E127" s="4" t="inlineStr">
        <is>
          <t>Black Hawk Down, Lone Survivor, Star Trek</t>
        </is>
      </c>
      <c r="F127" s="1" t="inlineStr">
        <is>
          <t>F0050, F0202, F0291</t>
        </is>
      </c>
    </row>
    <row r="128" ht="15.75" customHeight="1" s="95">
      <c r="A128" s="1" t="inlineStr">
        <is>
          <t>Hayden Christensen</t>
        </is>
      </c>
      <c r="B128" s="1" t="n">
        <v>3</v>
      </c>
      <c r="C128" s="1" t="n">
        <v>2002</v>
      </c>
      <c r="D128" s="1" t="n">
        <v>2008</v>
      </c>
      <c r="E128" s="4" t="inlineStr">
        <is>
          <t>Jumper, Star Wars: Episode II – Attack of the Clones, Star Wars: Episode III – Revenge of the Sith</t>
        </is>
      </c>
      <c r="F128" s="1" t="inlineStr">
        <is>
          <t>F0175, F0293, F0294</t>
        </is>
      </c>
    </row>
    <row r="129" ht="15.75" customHeight="1" s="95">
      <c r="A129" s="1" t="inlineStr">
        <is>
          <t>Hayley Atwell</t>
        </is>
      </c>
      <c r="B129" s="1" t="n">
        <v>3</v>
      </c>
      <c r="C129" s="1" t="n">
        <v>2012</v>
      </c>
      <c r="D129" s="1" t="n">
        <v>2025</v>
      </c>
      <c r="E129" s="4" t="inlineStr">
        <is>
          <t>Mission: Impossible - Dead Reckoning Part One, Mission: Impossible - The Final Reckoning, The Sweeney</t>
        </is>
      </c>
      <c r="F129" s="1" t="inlineStr">
        <is>
          <t>F0227, F0228, F0305</t>
        </is>
      </c>
    </row>
    <row r="130" ht="15.75" customHeight="1" s="95">
      <c r="A130" s="1" t="inlineStr">
        <is>
          <t>Helen Mirren</t>
        </is>
      </c>
      <c r="B130" s="1" t="n">
        <v>3</v>
      </c>
      <c r="C130" s="1" t="n">
        <v>2010</v>
      </c>
      <c r="D130" s="1" t="n">
        <v>2019</v>
      </c>
      <c r="E130" s="4" t="inlineStr">
        <is>
          <t>Fast &amp; Furious Presents: Hobbs &amp; Shaw, Monsters University, RED</t>
        </is>
      </c>
      <c r="F130" s="1" t="inlineStr">
        <is>
          <t>F0111, F0230, F0262</t>
        </is>
      </c>
    </row>
    <row r="131" ht="15.75" customHeight="1" s="95">
      <c r="A131" s="1" t="inlineStr">
        <is>
          <t>Idris Elba</t>
        </is>
      </c>
      <c r="B131" s="1" t="n">
        <v>3</v>
      </c>
      <c r="C131" s="1" t="n">
        <v>2012</v>
      </c>
      <c r="D131" s="1" t="n">
        <v>2019</v>
      </c>
      <c r="E131" s="4" t="inlineStr">
        <is>
          <t>Fast &amp; Furious Presents: Hobbs &amp; Shaw, Pacific Rim, Prometheus</t>
        </is>
      </c>
      <c r="F131" s="1" t="inlineStr">
        <is>
          <t>F0111, F0243, F0259</t>
        </is>
      </c>
    </row>
    <row r="132" ht="15.75" customHeight="1" s="95">
      <c r="A132" s="1" t="inlineStr">
        <is>
          <t>Jack Black</t>
        </is>
      </c>
      <c r="B132" s="1" t="n">
        <v>3</v>
      </c>
      <c r="C132" s="1" t="n">
        <v>2005</v>
      </c>
      <c r="D132" s="1" t="n">
        <v>2023</v>
      </c>
      <c r="E132" s="4" t="inlineStr">
        <is>
          <t>King Kong, The Super Mario Bros. Movie, Tropic Thunder</t>
        </is>
      </c>
      <c r="F132" s="1" t="inlineStr">
        <is>
          <t>F0188, F0212, F0324</t>
        </is>
      </c>
    </row>
    <row r="133" ht="15.75" customHeight="1" s="95">
      <c r="A133" s="1" t="inlineStr">
        <is>
          <t>Jada Pinkett Smith</t>
        </is>
      </c>
      <c r="B133" s="1" t="n">
        <v>3</v>
      </c>
      <c r="C133" s="1" t="n">
        <v>2003</v>
      </c>
      <c r="D133" s="1" t="n">
        <v>2016</v>
      </c>
      <c r="E133" s="4" t="inlineStr">
        <is>
          <t>Bad Moms, The Matrix Reloaded, The Matrix Revolutions</t>
        </is>
      </c>
      <c r="F133" s="1" t="inlineStr">
        <is>
          <t>F0038, F0215, F0216</t>
        </is>
      </c>
    </row>
    <row r="134" ht="15.75" customHeight="1" s="95">
      <c r="A134" s="1" t="inlineStr">
        <is>
          <t>Jai Courtney</t>
        </is>
      </c>
      <c r="B134" s="1" t="n">
        <v>3</v>
      </c>
      <c r="C134" s="1" t="n">
        <v>2012</v>
      </c>
      <c r="D134" s="1" t="n">
        <v>2014</v>
      </c>
      <c r="E134" s="4" t="inlineStr">
        <is>
          <t>Divergent, I, Frankenstein, Jack Reacher</t>
        </is>
      </c>
      <c r="F134" s="1" t="inlineStr">
        <is>
          <t>F0089, F0159, F0171</t>
        </is>
      </c>
    </row>
    <row r="135" ht="15.75" customHeight="1" s="95">
      <c r="A135" s="1" t="inlineStr">
        <is>
          <t>James McAvoy</t>
        </is>
      </c>
      <c r="B135" s="1" t="n">
        <v>3</v>
      </c>
      <c r="C135" s="1" t="n">
        <v>2011</v>
      </c>
      <c r="D135" s="1" t="n">
        <v>2016</v>
      </c>
      <c r="E135" s="4" t="inlineStr">
        <is>
          <t>X-Men: First Class, X-Men: Days of Future Past, X-Men: Apocalypse</t>
        </is>
      </c>
      <c r="F135" s="1" t="inlineStr">
        <is>
          <t>F0340, F0341, F0342</t>
        </is>
      </c>
    </row>
    <row r="136" ht="15.75" customHeight="1" s="95">
      <c r="A136" s="1" t="inlineStr">
        <is>
          <t>Jason Clarke</t>
        </is>
      </c>
      <c r="B136" s="1" t="n">
        <v>3</v>
      </c>
      <c r="C136" s="1" t="n">
        <v>2012</v>
      </c>
      <c r="D136" s="1" t="n">
        <v>2014</v>
      </c>
      <c r="E136" s="4" t="inlineStr">
        <is>
          <t>Lawless, Dawn of the Planet of the Apes, Zero Dark Thirty</t>
        </is>
      </c>
      <c r="F136" s="1" t="inlineStr">
        <is>
          <t>F0192, F0254, F0349</t>
        </is>
      </c>
    </row>
    <row r="137" ht="15.75" customHeight="1" s="95">
      <c r="A137" s="1" t="inlineStr">
        <is>
          <t>Jason Segel</t>
        </is>
      </c>
      <c r="B137" s="1" t="n">
        <v>3</v>
      </c>
      <c r="C137" s="1" t="n">
        <v>2008</v>
      </c>
      <c r="D137" s="1" t="n">
        <v>2011</v>
      </c>
      <c r="E137" s="4" t="inlineStr">
        <is>
          <t>Bad Teacher, Despicable Me, Forgetting Sarah Marshall</t>
        </is>
      </c>
      <c r="F137" s="1" t="inlineStr">
        <is>
          <t>F0039, F0082, F0115</t>
        </is>
      </c>
    </row>
    <row r="138" ht="15.75" customHeight="1" s="95">
      <c r="A138" s="1" t="inlineStr">
        <is>
          <t>Jay Baruchel</t>
        </is>
      </c>
      <c r="B138" s="1" t="n">
        <v>3</v>
      </c>
      <c r="C138" s="1" t="n">
        <v>2008</v>
      </c>
      <c r="D138" s="1" t="n">
        <v>2014</v>
      </c>
      <c r="E138" s="4" t="inlineStr">
        <is>
          <t>How to Train Your Dragon, How to Train Your Dragon 2, Tropic Thunder</t>
        </is>
      </c>
      <c r="F138" s="1" t="inlineStr">
        <is>
          <t>F0154, F0155, F0324</t>
        </is>
      </c>
    </row>
    <row r="139" ht="15.75" customHeight="1" s="95">
      <c r="A139" s="1" t="inlineStr">
        <is>
          <t>Jeff Goldblum</t>
        </is>
      </c>
      <c r="B139" s="1" t="n">
        <v>3</v>
      </c>
      <c r="C139" s="1" t="n">
        <v>1993</v>
      </c>
      <c r="D139" s="1" t="n">
        <v>2022</v>
      </c>
      <c r="E139" s="4" t="inlineStr">
        <is>
          <t>Jurassic Park, The Lost World: Jurassic Park, Jurassic World Dominion</t>
        </is>
      </c>
      <c r="F139" s="1" t="inlineStr">
        <is>
          <t>F0176, F0177, F0181</t>
        </is>
      </c>
    </row>
    <row r="140" ht="15.75" customHeight="1" s="95">
      <c r="A140" s="1" t="inlineStr">
        <is>
          <t>Jeffrey Wright</t>
        </is>
      </c>
      <c r="B140" s="1" t="n">
        <v>3</v>
      </c>
      <c r="C140" s="1" t="n">
        <v>2006</v>
      </c>
      <c r="D140" s="1" t="n">
        <v>2022</v>
      </c>
      <c r="E140" s="4" t="inlineStr">
        <is>
          <t>Casino Royale, The Batman, Source Code</t>
        </is>
      </c>
      <c r="F140" s="1" t="inlineStr">
        <is>
          <t>F0001, F0042, F0285</t>
        </is>
      </c>
    </row>
    <row r="141" ht="15.75" customHeight="1" s="95">
      <c r="A141" s="1" t="inlineStr">
        <is>
          <t>Jesse Eisenberg</t>
        </is>
      </c>
      <c r="B141" s="1" t="n">
        <v>3</v>
      </c>
      <c r="C141" s="1" t="n">
        <v>2011</v>
      </c>
      <c r="D141" s="1" t="n">
        <v>2014</v>
      </c>
      <c r="E141" s="4" t="inlineStr">
        <is>
          <t>30 Minutes or Less, Rio, Rio 2</t>
        </is>
      </c>
      <c r="F141" s="1" t="inlineStr">
        <is>
          <t>F0009, F0265, F0266</t>
        </is>
      </c>
    </row>
    <row r="142" ht="15.75" customHeight="1" s="95">
      <c r="A142" s="1" t="inlineStr">
        <is>
          <t>Jessica Chastain</t>
        </is>
      </c>
      <c r="B142" s="1" t="n">
        <v>3</v>
      </c>
      <c r="C142" s="1" t="n">
        <v>2012</v>
      </c>
      <c r="D142" s="1" t="n">
        <v>2015</v>
      </c>
      <c r="E142" s="4" t="inlineStr">
        <is>
          <t>Interstellar, The Martian, Zero Dark Thirty</t>
        </is>
      </c>
      <c r="F142" s="1" t="inlineStr">
        <is>
          <t>F0168, F0213, F0349</t>
        </is>
      </c>
    </row>
    <row r="143" ht="15.75" customHeight="1" s="95">
      <c r="A143" s="1" t="inlineStr">
        <is>
          <t>John Boyega</t>
        </is>
      </c>
      <c r="B143" s="1" t="n">
        <v>3</v>
      </c>
      <c r="C143" s="1" t="n">
        <v>2011</v>
      </c>
      <c r="D143" s="1" t="n">
        <v>2019</v>
      </c>
      <c r="E143" s="4" t="inlineStr">
        <is>
          <t>Attack the Block, Star Wars: The Last Jedi, Star Wars: The Rise of Skywalker</t>
        </is>
      </c>
      <c r="F143" s="1" t="inlineStr">
        <is>
          <t>F0027, F0299, F0300</t>
        </is>
      </c>
    </row>
    <row r="144" ht="15.75" customHeight="1" s="95">
      <c r="A144" s="1" t="inlineStr">
        <is>
          <t>John C. Reilly</t>
        </is>
      </c>
      <c r="B144" s="1" t="n">
        <v>3</v>
      </c>
      <c r="C144" s="1" t="n">
        <v>2012</v>
      </c>
      <c r="D144" s="1" t="n">
        <v>2018</v>
      </c>
      <c r="E144" s="4" t="inlineStr">
        <is>
          <t>Sing, Wreck-It Ralph, Ralph Breaks the Internet</t>
        </is>
      </c>
      <c r="F144" s="1" t="inlineStr">
        <is>
          <t>F0280, F0336, F0337</t>
        </is>
      </c>
    </row>
    <row r="145" ht="15.75" customHeight="1" s="95">
      <c r="A145" s="1" t="inlineStr">
        <is>
          <t>John Cena</t>
        </is>
      </c>
      <c r="B145" s="1" t="n">
        <v>3</v>
      </c>
      <c r="C145" s="1" t="n">
        <v>2018</v>
      </c>
      <c r="D145" s="1" t="n">
        <v>2023</v>
      </c>
      <c r="E145" s="4" t="inlineStr">
        <is>
          <t>Bumblebee, F9: The Fast Saga, Fast X</t>
        </is>
      </c>
      <c r="F145" s="1" t="inlineStr">
        <is>
          <t>F0061, F0109, F0110</t>
        </is>
      </c>
    </row>
    <row r="146" ht="15.75" customHeight="1" s="95">
      <c r="A146" s="1" t="inlineStr">
        <is>
          <t>John Leguizamo</t>
        </is>
      </c>
      <c r="B146" s="1" t="n">
        <v>3</v>
      </c>
      <c r="C146" s="1" t="n">
        <v>2006</v>
      </c>
      <c r="D146" s="1" t="n">
        <v>2014</v>
      </c>
      <c r="E146" s="4" t="inlineStr">
        <is>
          <t>Chef, Ice Age: The Meltdown, Ice Age: Dawn of the Dinosaurs</t>
        </is>
      </c>
      <c r="F146" s="1" t="inlineStr">
        <is>
          <t>F0065, F0160, F0161</t>
        </is>
      </c>
    </row>
    <row r="147" ht="15.75" customHeight="1" s="95">
      <c r="A147" s="1" t="inlineStr">
        <is>
          <t>John Malkovich</t>
        </is>
      </c>
      <c r="B147" s="1" t="n">
        <v>3</v>
      </c>
      <c r="C147" s="1" t="n">
        <v>1997</v>
      </c>
      <c r="D147" s="1" t="n">
        <v>2010</v>
      </c>
      <c r="E147" s="4" t="inlineStr">
        <is>
          <t>Con Air, Jonah Hex, RED</t>
        </is>
      </c>
      <c r="F147" s="1" t="inlineStr">
        <is>
          <t>F0068, F0173, F0262</t>
        </is>
      </c>
    </row>
    <row r="148" ht="15.75" customHeight="1" s="95">
      <c r="A148" s="1" t="inlineStr">
        <is>
          <t>Josh Hutcherson</t>
        </is>
      </c>
      <c r="B148" s="1" t="n">
        <v>3</v>
      </c>
      <c r="C148" s="1" t="n">
        <v>2008</v>
      </c>
      <c r="D148" s="1" t="n">
        <v>2014</v>
      </c>
      <c r="E148" s="4" t="inlineStr">
        <is>
          <t>The Hunger Games, The Hunger Games: Mockingjay - Part 1, Journey to the Center of the Earth</t>
        </is>
      </c>
      <c r="F148" s="1" t="inlineStr">
        <is>
          <t>F0157, F0158, F0174</t>
        </is>
      </c>
    </row>
    <row r="149" ht="15.75" customHeight="1" s="95">
      <c r="A149" s="1" t="inlineStr">
        <is>
          <t>Jude Law</t>
        </is>
      </c>
      <c r="B149" s="1" t="n">
        <v>3</v>
      </c>
      <c r="C149" s="1" t="n">
        <v>2009</v>
      </c>
      <c r="D149" s="1" t="n">
        <v>2015</v>
      </c>
      <c r="E149" s="4" t="inlineStr">
        <is>
          <t>Sherlock Holmes, Sherlock Holmes: A Game of Shadows, Spy</t>
        </is>
      </c>
      <c r="F149" s="1" t="inlineStr">
        <is>
          <t>F0278, F0279, F0290</t>
        </is>
      </c>
    </row>
    <row r="150" ht="15.75" customHeight="1" s="95">
      <c r="A150" s="1" t="inlineStr">
        <is>
          <t>Judi Dench</t>
        </is>
      </c>
      <c r="B150" s="1" t="n">
        <v>3</v>
      </c>
      <c r="C150" s="1" t="n">
        <v>2006</v>
      </c>
      <c r="D150" s="1" t="n">
        <v>2012</v>
      </c>
      <c r="E150" s="4" t="inlineStr">
        <is>
          <t>Casino Royale, Quantum of Solace, Skyfall</t>
        </is>
      </c>
      <c r="F150" s="1" t="inlineStr">
        <is>
          <t>F0001, F0002, F0003</t>
        </is>
      </c>
    </row>
    <row r="151" ht="15.75" customHeight="1" s="95">
      <c r="A151" s="1" t="inlineStr">
        <is>
          <t>Kate Beckinsale</t>
        </is>
      </c>
      <c r="B151" s="1" t="n">
        <v>3</v>
      </c>
      <c r="C151" s="1" t="n">
        <v>2001</v>
      </c>
      <c r="D151" s="1" t="n">
        <v>2012</v>
      </c>
      <c r="E151" s="4" t="inlineStr">
        <is>
          <t>Pearl Harbor, Underworld: Evolution, Underworld: Awakening</t>
        </is>
      </c>
      <c r="F151" s="1" t="inlineStr">
        <is>
          <t>F0246, F0326, F0328</t>
        </is>
      </c>
    </row>
    <row r="152" ht="15.75" customHeight="1" s="95">
      <c r="A152" s="1" t="inlineStr">
        <is>
          <t>Keanu Reeves</t>
        </is>
      </c>
      <c r="B152" s="1" t="n">
        <v>3</v>
      </c>
      <c r="C152" s="1" t="n">
        <v>1999</v>
      </c>
      <c r="D152" s="1" t="n">
        <v>2003</v>
      </c>
      <c r="E152" s="4" t="inlineStr">
        <is>
          <t>The Matrix, The Matrix Reloaded, The Matrix Revolutions</t>
        </is>
      </c>
      <c r="F152" s="1" t="inlineStr">
        <is>
          <t>F0214, F0215, F0216</t>
        </is>
      </c>
    </row>
    <row r="153" ht="15.75" customHeight="1" s="95">
      <c r="A153" s="1" t="inlineStr">
        <is>
          <t>Keegan-Michael Key</t>
        </is>
      </c>
      <c r="B153" s="1" t="n">
        <v>3</v>
      </c>
      <c r="C153" s="1" t="n">
        <v>2019</v>
      </c>
      <c r="D153" s="1" t="n">
        <v>2023</v>
      </c>
      <c r="E153" s="4" t="inlineStr">
        <is>
          <t>The Super Mario Bros. Movie, Toy Story 4, Wonka</t>
        </is>
      </c>
      <c r="F153" s="1" t="inlineStr">
        <is>
          <t>F0212, F0315, F0338</t>
        </is>
      </c>
    </row>
    <row r="154" ht="15.75" customHeight="1" s="95">
      <c r="A154" s="1" t="inlineStr">
        <is>
          <t>Ken Watanabe</t>
        </is>
      </c>
      <c r="B154" s="1" t="n">
        <v>3</v>
      </c>
      <c r="C154" s="1" t="n">
        <v>2010</v>
      </c>
      <c r="D154" s="1" t="n">
        <v>2019</v>
      </c>
      <c r="E154" s="4" t="inlineStr">
        <is>
          <t>Godzilla, Godzilla: King of the Monsters, Inception</t>
        </is>
      </c>
      <c r="F154" s="1" t="inlineStr">
        <is>
          <t>F0121, F0122, F0165</t>
        </is>
      </c>
    </row>
    <row r="155" ht="15.75" customHeight="1" s="95">
      <c r="A155" s="1" t="inlineStr">
        <is>
          <t>Kirsten Dunst</t>
        </is>
      </c>
      <c r="B155" s="1" t="n">
        <v>3</v>
      </c>
      <c r="C155" s="1" t="n">
        <v>2002</v>
      </c>
      <c r="D155" s="1" t="n">
        <v>2007</v>
      </c>
      <c r="E155" s="4" t="inlineStr">
        <is>
          <t>Spider-Man, Spider-Man 2, Spider-Man 3</t>
        </is>
      </c>
      <c r="F155" s="1" t="inlineStr">
        <is>
          <t>F0287, F0288, F0289</t>
        </is>
      </c>
    </row>
    <row r="156" ht="15.75" customHeight="1" s="95">
      <c r="A156" s="1" t="inlineStr">
        <is>
          <t>Kristen Bell</t>
        </is>
      </c>
      <c r="B156" s="1" t="n">
        <v>3</v>
      </c>
      <c r="C156" s="1" t="n">
        <v>2008</v>
      </c>
      <c r="D156" s="1" t="n">
        <v>2016</v>
      </c>
      <c r="E156" s="4" t="inlineStr">
        <is>
          <t>Bad Moms, Forgetting Sarah Marshall, Frozen</t>
        </is>
      </c>
      <c r="F156" s="1" t="inlineStr">
        <is>
          <t>F0038, F0115, F0116</t>
        </is>
      </c>
    </row>
    <row r="157" ht="15.75" customHeight="1" s="95">
      <c r="A157" s="1" t="inlineStr">
        <is>
          <t>Kyle Chandler</t>
        </is>
      </c>
      <c r="B157" s="1" t="n">
        <v>3</v>
      </c>
      <c r="C157" s="1" t="n">
        <v>2011</v>
      </c>
      <c r="D157" s="1" t="n">
        <v>2019</v>
      </c>
      <c r="E157" s="4" t="inlineStr">
        <is>
          <t>Godzilla: King of the Monsters, Super 8, Zero Dark Thirty</t>
        </is>
      </c>
      <c r="F157" s="1" t="inlineStr">
        <is>
          <t>F0122, F0302, F0349</t>
        </is>
      </c>
    </row>
    <row r="158" ht="15.75" customHeight="1" s="95">
      <c r="A158" s="1" t="inlineStr">
        <is>
          <t>Laurence Fishburne</t>
        </is>
      </c>
      <c r="B158" s="1" t="n">
        <v>3</v>
      </c>
      <c r="C158" s="1" t="n">
        <v>1999</v>
      </c>
      <c r="D158" s="1" t="n">
        <v>2003</v>
      </c>
      <c r="E158" s="4" t="inlineStr">
        <is>
          <t>The Matrix, The Matrix Reloaded, The Matrix Revolutions</t>
        </is>
      </c>
      <c r="F158" s="1" t="inlineStr">
        <is>
          <t>F0214, F0215, F0216</t>
        </is>
      </c>
    </row>
    <row r="159" ht="15.75" customHeight="1" s="95">
      <c r="A159" s="1" t="inlineStr">
        <is>
          <t>Lea Thompson</t>
        </is>
      </c>
      <c r="B159" s="1" t="n">
        <v>3</v>
      </c>
      <c r="C159" s="1" t="n">
        <v>1985</v>
      </c>
      <c r="D159" s="1" t="n">
        <v>1990</v>
      </c>
      <c r="E159" s="4" t="inlineStr">
        <is>
          <t>Back to the Future, Back to the Future Part II, Back to the Future Part III</t>
        </is>
      </c>
      <c r="F159" s="1" t="inlineStr">
        <is>
          <t>F0033, F0034, F0035</t>
        </is>
      </c>
    </row>
    <row r="160" ht="15.75" customHeight="1" s="95">
      <c r="A160" s="1" t="inlineStr">
        <is>
          <t>Leonard Nimoy</t>
        </is>
      </c>
      <c r="B160" s="1" t="n">
        <v>3</v>
      </c>
      <c r="C160" s="1" t="n">
        <v>1986</v>
      </c>
      <c r="D160" s="1" t="n">
        <v>2011</v>
      </c>
      <c r="E160" s="4" t="inlineStr">
        <is>
          <t>Star Trek, Transformers: Dark of the Moon, The Transformers: The Movie</t>
        </is>
      </c>
      <c r="F160" s="1" t="inlineStr">
        <is>
          <t>F0291, F0318, F0322</t>
        </is>
      </c>
    </row>
    <row r="161" ht="15.75" customHeight="1" s="95">
      <c r="A161" s="1" t="inlineStr">
        <is>
          <t>Ludacris</t>
        </is>
      </c>
      <c r="B161" s="1" t="n">
        <v>3</v>
      </c>
      <c r="C161" s="1" t="n">
        <v>2003</v>
      </c>
      <c r="D161" s="1" t="n">
        <v>2023</v>
      </c>
      <c r="E161" s="4" t="inlineStr">
        <is>
          <t>2 Fast 2 Furious, F9: The Fast Saga, Fast X</t>
        </is>
      </c>
      <c r="F161" s="1" t="inlineStr">
        <is>
          <t>F0102, F0109, F0110</t>
        </is>
      </c>
    </row>
    <row r="162" ht="15.75" customHeight="1" s="95">
      <c r="A162" s="1" t="inlineStr">
        <is>
          <t>Martin Sheen</t>
        </is>
      </c>
      <c r="B162" s="1" t="n">
        <v>3</v>
      </c>
      <c r="C162" s="1" t="n">
        <v>2002</v>
      </c>
      <c r="D162" s="1" t="n">
        <v>2012</v>
      </c>
      <c r="E162" s="4" t="inlineStr">
        <is>
          <t>The Amazing Spider-Man, Catch Me If You Can, The Departed</t>
        </is>
      </c>
      <c r="F162" s="1" t="inlineStr">
        <is>
          <t>F0019, F0064, F0081</t>
        </is>
      </c>
    </row>
    <row r="163" ht="15.75" customHeight="1" s="95">
      <c r="A163" s="1" t="inlineStr">
        <is>
          <t>Michael Gambon</t>
        </is>
      </c>
      <c r="B163" s="1" t="n">
        <v>3</v>
      </c>
      <c r="C163" s="1" t="n">
        <v>2004</v>
      </c>
      <c r="D163" s="1" t="n">
        <v>2009</v>
      </c>
      <c r="E163" s="4" t="inlineStr">
        <is>
          <t>Harry Potter and the Prisoner of Azkaban, Harry Potter and the Goblet of Fire, Harry Potter and the Half-Blood Prince</t>
        </is>
      </c>
      <c r="F163" s="1" t="inlineStr">
        <is>
          <t>F0139, F0140, F0142</t>
        </is>
      </c>
    </row>
    <row r="164" ht="15.75" customHeight="1" s="95">
      <c r="A164" s="1" t="inlineStr">
        <is>
          <t>Michael J. Fox</t>
        </is>
      </c>
      <c r="B164" s="1" t="n">
        <v>3</v>
      </c>
      <c r="C164" s="1" t="n">
        <v>1985</v>
      </c>
      <c r="D164" s="1" t="n">
        <v>1990</v>
      </c>
      <c r="E164" s="4" t="inlineStr">
        <is>
          <t>Back to the Future, Back to the Future Part II, Back to the Future Part III</t>
        </is>
      </c>
      <c r="F164" s="1" t="inlineStr">
        <is>
          <t>F0033, F0034, F0035</t>
        </is>
      </c>
    </row>
    <row r="165" ht="15.75" customHeight="1" s="95">
      <c r="A165" s="1" t="inlineStr">
        <is>
          <t>Michael Peña</t>
        </is>
      </c>
      <c r="B165" s="1" t="n">
        <v>3</v>
      </c>
      <c r="C165" s="1" t="n">
        <v>2011</v>
      </c>
      <c r="D165" s="1" t="n">
        <v>2015</v>
      </c>
      <c r="E165" s="4" t="inlineStr">
        <is>
          <t>Battle: Los Angeles, Fury, The Martian</t>
        </is>
      </c>
      <c r="F165" s="1" t="inlineStr">
        <is>
          <t>F0046, F0117, F0213</t>
        </is>
      </c>
    </row>
    <row r="166" ht="15.75" customHeight="1" s="95">
      <c r="A166" s="1" t="inlineStr">
        <is>
          <t>Michelle Monaghan</t>
        </is>
      </c>
      <c r="B166" s="1" t="n">
        <v>3</v>
      </c>
      <c r="C166" s="1" t="n">
        <v>2006</v>
      </c>
      <c r="D166" s="1" t="n">
        <v>2011</v>
      </c>
      <c r="E166" s="4" t="inlineStr">
        <is>
          <t>Due Date, Mission: Impossible III, Source Code</t>
        </is>
      </c>
      <c r="F166" s="1" t="inlineStr">
        <is>
          <t>F0091, F0223, F0285</t>
        </is>
      </c>
    </row>
    <row r="167" ht="15.75" customHeight="1" s="95">
      <c r="A167" s="1" t="inlineStr">
        <is>
          <t>Mila Kunis</t>
        </is>
      </c>
      <c r="B167" s="1" t="n">
        <v>3</v>
      </c>
      <c r="C167" s="1" t="n">
        <v>2008</v>
      </c>
      <c r="D167" s="1" t="n">
        <v>2016</v>
      </c>
      <c r="E167" s="4" t="inlineStr">
        <is>
          <t>Bad Moms, Forgetting Sarah Marshall, Ted</t>
        </is>
      </c>
      <c r="F167" s="1" t="inlineStr">
        <is>
          <t>F0038, F0115, F0308</t>
        </is>
      </c>
    </row>
    <row r="168" ht="15.75" customHeight="1" s="95">
      <c r="A168" s="1" t="inlineStr">
        <is>
          <t>Miranda Cosgrove</t>
        </is>
      </c>
      <c r="B168" s="1" t="n">
        <v>3</v>
      </c>
      <c r="C168" s="1" t="n">
        <v>2010</v>
      </c>
      <c r="D168" s="1" t="n">
        <v>2017</v>
      </c>
      <c r="E168" s="4" t="inlineStr">
        <is>
          <t>Despicable Me, Despicable Me 2, Despicable Me 3</t>
        </is>
      </c>
      <c r="F168" s="1" t="inlineStr">
        <is>
          <t>F0082, F0083, F0084</t>
        </is>
      </c>
    </row>
    <row r="169" ht="15.75" customHeight="1" s="95">
      <c r="A169" s="1" t="inlineStr">
        <is>
          <t>Natalie Portman</t>
        </is>
      </c>
      <c r="B169" s="1" t="n">
        <v>3</v>
      </c>
      <c r="C169" s="1" t="n">
        <v>1999</v>
      </c>
      <c r="D169" s="1" t="n">
        <v>2005</v>
      </c>
      <c r="E169" s="4" t="inlineStr">
        <is>
          <t>Star Wars: Episode I – The Phantom Menace, Star Wars: Episode II – Attack of the Clones, Star Wars: Episode III – Revenge of the Sith</t>
        </is>
      </c>
      <c r="F169" s="1" t="inlineStr">
        <is>
          <t>F0292, F0293, F0294</t>
        </is>
      </c>
    </row>
    <row r="170" ht="15.75" customHeight="1" s="95">
      <c r="A170" s="1" t="inlineStr">
        <is>
          <t>Paddy Considine</t>
        </is>
      </c>
      <c r="B170" s="1" t="n">
        <v>3</v>
      </c>
      <c r="C170" s="1" t="n">
        <v>2007</v>
      </c>
      <c r="D170" s="1" t="n">
        <v>2013</v>
      </c>
      <c r="E170" s="4" t="inlineStr">
        <is>
          <t>The Bourne Ultimatum, Hot Fuzz, The World's End</t>
        </is>
      </c>
      <c r="F170" s="1" t="inlineStr">
        <is>
          <t>F0055, F0071, F0072</t>
        </is>
      </c>
    </row>
    <row r="171" ht="15.75" customHeight="1" s="95">
      <c r="A171" s="1" t="inlineStr">
        <is>
          <t>Rami Malek</t>
        </is>
      </c>
      <c r="B171" s="1" t="n">
        <v>3</v>
      </c>
      <c r="C171" s="1" t="n">
        <v>2014</v>
      </c>
      <c r="D171" s="1" t="n">
        <v>2021</v>
      </c>
      <c r="E171" s="4" t="inlineStr">
        <is>
          <t>No Time to Die, Bohemian Rhapsody, Need for Speed</t>
        </is>
      </c>
      <c r="F171" s="1" t="inlineStr">
        <is>
          <t>F0005, F0052, F0234</t>
        </is>
      </c>
    </row>
    <row r="172" ht="15.75" customHeight="1" s="95">
      <c r="A172" s="1" t="inlineStr">
        <is>
          <t>Ray Winstone</t>
        </is>
      </c>
      <c r="B172" s="1" t="n">
        <v>3</v>
      </c>
      <c r="C172" s="1" t="n">
        <v>2009</v>
      </c>
      <c r="D172" s="1" t="n">
        <v>2014</v>
      </c>
      <c r="E172" s="4" t="inlineStr">
        <is>
          <t>44 Inch Chest, Noah, The Sweeney</t>
        </is>
      </c>
      <c r="F172" s="1" t="inlineStr">
        <is>
          <t>F0010, F0238, F0305</t>
        </is>
      </c>
    </row>
    <row r="173" ht="15.75" customHeight="1" s="95">
      <c r="A173" s="1" t="inlineStr">
        <is>
          <t>Richard Armitage</t>
        </is>
      </c>
      <c r="B173" s="1" t="n">
        <v>3</v>
      </c>
      <c r="C173" s="1" t="n">
        <v>2012</v>
      </c>
      <c r="D173" s="1" t="n">
        <v>2014</v>
      </c>
      <c r="E173" s="4" t="inlineStr">
        <is>
          <t>The Hobbit: An Unexpected Journey, The Hobbit: The Desolation of Smaug, The Hobbit: The Battle of the Five Armies</t>
        </is>
      </c>
      <c r="F173" s="1" t="inlineStr">
        <is>
          <t>F0150, F0151, F0152</t>
        </is>
      </c>
    </row>
    <row r="174" ht="15.75" customHeight="1" s="95">
      <c r="A174" s="1" t="inlineStr">
        <is>
          <t>Richard Jenkins</t>
        </is>
      </c>
      <c r="B174" s="1" t="n">
        <v>3</v>
      </c>
      <c r="C174" s="1" t="n">
        <v>2010</v>
      </c>
      <c r="D174" s="1" t="n">
        <v>2013</v>
      </c>
      <c r="E174" s="4" t="inlineStr">
        <is>
          <t>Dear John, Jack Reacher, White House Down</t>
        </is>
      </c>
      <c r="F174" s="1" t="inlineStr">
        <is>
          <t>F0079, F0171, F0335</t>
        </is>
      </c>
    </row>
    <row r="175" ht="15.75" customHeight="1" s="95">
      <c r="A175" s="1" t="inlineStr">
        <is>
          <t>Robin Williams</t>
        </is>
      </c>
      <c r="B175" s="1" t="n">
        <v>3</v>
      </c>
      <c r="C175" s="1" t="n">
        <v>1997</v>
      </c>
      <c r="D175" s="1" t="n">
        <v>2011</v>
      </c>
      <c r="E175" s="4" t="inlineStr">
        <is>
          <t>Good Will Hunting, Happy Feet Two, Night at the Museum: Battle of the Smithsonian</t>
        </is>
      </c>
      <c r="F175" s="1" t="inlineStr">
        <is>
          <t>F0124, F0145, F0236</t>
        </is>
      </c>
    </row>
    <row r="176" ht="15.75" customHeight="1" s="95">
      <c r="A176" s="1" t="inlineStr">
        <is>
          <t>Rose Byrne</t>
        </is>
      </c>
      <c r="B176" s="1" t="n">
        <v>3</v>
      </c>
      <c r="C176" s="1" t="n">
        <v>2011</v>
      </c>
      <c r="D176" s="1" t="n">
        <v>2015</v>
      </c>
      <c r="E176" s="4" t="inlineStr">
        <is>
          <t>Bridesmaids, Spy, X-Men: First Class</t>
        </is>
      </c>
      <c r="F176" s="1" t="inlineStr">
        <is>
          <t>F0058, F0290, F0340</t>
        </is>
      </c>
    </row>
    <row r="177" ht="15.75" customHeight="1" s="95">
      <c r="A177" s="1" t="inlineStr">
        <is>
          <t>Sam Neill</t>
        </is>
      </c>
      <c r="B177" s="1" t="n">
        <v>3</v>
      </c>
      <c r="C177" s="1" t="n">
        <v>1993</v>
      </c>
      <c r="D177" s="1" t="n">
        <v>2022</v>
      </c>
      <c r="E177" s="4" t="inlineStr">
        <is>
          <t>Jurassic Park, Jurassic Park III, Jurassic World Dominion</t>
        </is>
      </c>
      <c r="F177" s="1" t="inlineStr">
        <is>
          <t>F0176, F0178, F0181</t>
        </is>
      </c>
    </row>
    <row r="178" ht="15.75" customHeight="1" s="95">
      <c r="A178" s="1" t="inlineStr">
        <is>
          <t>Sean Astin</t>
        </is>
      </c>
      <c r="B178" s="1" t="n">
        <v>3</v>
      </c>
      <c r="C178" s="1" t="n">
        <v>2001</v>
      </c>
      <c r="D178" s="1" t="n">
        <v>2003</v>
      </c>
      <c r="E178" s="4" t="inlineStr">
        <is>
          <t>The Lord of the Rings: The Fellowship of the Ring, The Lord of the Rings: The Two Towers, The Lord of the Rings: The Return of the King</t>
        </is>
      </c>
      <c r="F178" s="1" t="inlineStr">
        <is>
          <t>F0203, F0204, F0205</t>
        </is>
      </c>
    </row>
    <row r="179" ht="15.75" customHeight="1" s="95">
      <c r="A179" s="1" t="inlineStr">
        <is>
          <t>Seth MacFarlane</t>
        </is>
      </c>
      <c r="B179" s="1" t="n">
        <v>3</v>
      </c>
      <c r="C179" s="1" t="n">
        <v>2012</v>
      </c>
      <c r="D179" s="1" t="n">
        <v>2016</v>
      </c>
      <c r="E179" s="4" t="inlineStr">
        <is>
          <t>A Million Ways to Die in the West, Sing, Ted</t>
        </is>
      </c>
      <c r="F179" s="1" t="inlineStr">
        <is>
          <t>F0021, F0280, F0308</t>
        </is>
      </c>
    </row>
    <row r="180" ht="15.75" customHeight="1" s="95">
      <c r="A180" s="1" t="inlineStr">
        <is>
          <t>Steve Buscemi</t>
        </is>
      </c>
      <c r="B180" s="1" t="n">
        <v>3</v>
      </c>
      <c r="C180" s="1" t="n">
        <v>1998</v>
      </c>
      <c r="D180" s="1" t="n">
        <v>2013</v>
      </c>
      <c r="E180" s="4" t="inlineStr">
        <is>
          <t>The Big Lebowski, Monsters, Inc., Monsters University</t>
        </is>
      </c>
      <c r="F180" s="1" t="inlineStr">
        <is>
          <t>F0049, F0229, F0230</t>
        </is>
      </c>
    </row>
    <row r="181" ht="15.75" customHeight="1" s="95">
      <c r="A181" s="1" t="inlineStr">
        <is>
          <t>T.J. Miller</t>
        </is>
      </c>
      <c r="B181" s="1" t="n">
        <v>3</v>
      </c>
      <c r="C181" s="1" t="n">
        <v>2010</v>
      </c>
      <c r="D181" s="1" t="n">
        <v>2016</v>
      </c>
      <c r="E181" s="4" t="inlineStr">
        <is>
          <t>Big Hero 6, Deadpool, Yogi Bear</t>
        </is>
      </c>
      <c r="F181" s="1" t="inlineStr">
        <is>
          <t>F0048, F0076, F0348</t>
        </is>
      </c>
    </row>
    <row r="182" ht="15.75" customHeight="1" s="95">
      <c r="A182" s="1" t="inlineStr">
        <is>
          <t>Thandiwe Newton</t>
        </is>
      </c>
      <c r="B182" s="1" t="n">
        <v>3</v>
      </c>
      <c r="C182" s="1" t="n">
        <v>2000</v>
      </c>
      <c r="D182" s="1" t="n">
        <v>2009</v>
      </c>
      <c r="E182" s="4" t="inlineStr">
        <is>
          <t>2012, Mission: Impossible II, The Pursuit of Happyness</t>
        </is>
      </c>
      <c r="F182" s="1" t="inlineStr">
        <is>
          <t>F0006, F0222, F0260</t>
        </is>
      </c>
    </row>
    <row r="183" ht="15.75" customHeight="1" s="95">
      <c r="A183" s="1" t="inlineStr">
        <is>
          <t>Troy Baker</t>
        </is>
      </c>
      <c r="B183" s="1" t="n">
        <v>3</v>
      </c>
      <c r="C183" s="1" t="n">
        <v>2013</v>
      </c>
      <c r="D183" s="1" t="n">
        <v>2016</v>
      </c>
      <c r="E183" s="4" t="inlineStr">
        <is>
          <t>Lego Batman: The Movie - DC Super Heroes Unite, Lego DC Comics Super Heroes: Justice League vs. Bizarro League, Lego DC Comics Super Heroes: Justice League - Gotham City Breakout</t>
        </is>
      </c>
      <c r="F183" s="1" t="inlineStr">
        <is>
          <t>F0194, F0197, F0198</t>
        </is>
      </c>
    </row>
    <row r="184" ht="15.75" customHeight="1" s="95">
      <c r="A184" s="1" t="inlineStr">
        <is>
          <t>Vera Farmiga</t>
        </is>
      </c>
      <c r="B184" s="1" t="n">
        <v>3</v>
      </c>
      <c r="C184" s="1" t="n">
        <v>2011</v>
      </c>
      <c r="D184" s="1" t="n">
        <v>2019</v>
      </c>
      <c r="E184" s="4" t="inlineStr">
        <is>
          <t>Godzilla: King of the Monsters, Safe House, Source Code</t>
        </is>
      </c>
      <c r="F184" s="1" t="inlineStr">
        <is>
          <t>F0122, F0272, F0285</t>
        </is>
      </c>
    </row>
    <row r="185" ht="15.75" customHeight="1" s="95">
      <c r="A185" s="1" t="inlineStr">
        <is>
          <t>Viggo Mortensen</t>
        </is>
      </c>
      <c r="B185" s="1" t="n">
        <v>3</v>
      </c>
      <c r="C185" s="1" t="n">
        <v>2001</v>
      </c>
      <c r="D185" s="1" t="n">
        <v>2003</v>
      </c>
      <c r="E185" s="4" t="inlineStr">
        <is>
          <t>The Lord of the Rings: The Fellowship of the Ring, The Lord of the Rings: The Two Towers, The Lord of the Rings: The Return of the King</t>
        </is>
      </c>
      <c r="F185" s="1" t="inlineStr">
        <is>
          <t>F0203, F0204, F0205</t>
        </is>
      </c>
    </row>
    <row r="186" ht="15.75" customHeight="1" s="95">
      <c r="A186" s="1" t="inlineStr">
        <is>
          <t>Vince Vaughn</t>
        </is>
      </c>
      <c r="B186" s="1" t="n">
        <v>3</v>
      </c>
      <c r="C186" s="1" t="n">
        <v>2005</v>
      </c>
      <c r="D186" s="1" t="n">
        <v>2016</v>
      </c>
      <c r="E186" s="4" t="inlineStr">
        <is>
          <t>Delivery Man, Hacksaw Ridge, Mr. &amp; Mrs. Smith</t>
        </is>
      </c>
      <c r="F186" s="1" t="inlineStr">
        <is>
          <t>F0080, F0133, F0231</t>
        </is>
      </c>
    </row>
    <row r="187" ht="15.75" customHeight="1" s="95">
      <c r="A187" s="1" t="inlineStr">
        <is>
          <t>Vincent D'Onofrio</t>
        </is>
      </c>
      <c r="B187" s="1" t="n">
        <v>3</v>
      </c>
      <c r="C187" s="1" t="n">
        <v>1997</v>
      </c>
      <c r="D187" s="1" t="n">
        <v>2016</v>
      </c>
      <c r="E187" s="4" t="inlineStr">
        <is>
          <t>Jurassic World, The Magnificent Seven, Men in Black</t>
        </is>
      </c>
      <c r="F187" s="1" t="inlineStr">
        <is>
          <t>F0179, F0207, F0218</t>
        </is>
      </c>
    </row>
    <row r="188" ht="15.75" customHeight="1" s="95">
      <c r="A188" s="1" t="inlineStr">
        <is>
          <t>Will Ferrell</t>
        </is>
      </c>
      <c r="B188" s="1" t="n">
        <v>3</v>
      </c>
      <c r="C188" s="1" t="n">
        <v>2003</v>
      </c>
      <c r="D188" s="1" t="n">
        <v>2014</v>
      </c>
      <c r="E188" s="4" t="inlineStr">
        <is>
          <t>Anchorman: The Legend of Ron Burgundy, Elf, The Lego Movie</t>
        </is>
      </c>
      <c r="F188" s="1" t="inlineStr">
        <is>
          <t>F0022, F0092, F0195</t>
        </is>
      </c>
    </row>
    <row r="189" ht="15.75" customHeight="1" s="95">
      <c r="A189" s="1" t="inlineStr">
        <is>
          <t>Woody Harrelson</t>
        </is>
      </c>
      <c r="B189" s="1" t="n">
        <v>3</v>
      </c>
      <c r="C189" s="1" t="n">
        <v>2012</v>
      </c>
      <c r="D189" s="1" t="n">
        <v>2017</v>
      </c>
      <c r="E189" s="4" t="inlineStr">
        <is>
          <t>The Hunger Games, The Hunger Games: Mockingjay - Part 1, War for the Planet of the Apes</t>
        </is>
      </c>
      <c r="F189" s="1" t="inlineStr">
        <is>
          <t>F0157, F0158, F0255</t>
        </is>
      </c>
    </row>
    <row r="190" ht="15.75" customHeight="1" s="95">
      <c r="A190" s="1" t="inlineStr">
        <is>
          <t>Adam Brody</t>
        </is>
      </c>
      <c r="B190" s="1" t="n">
        <v>2</v>
      </c>
      <c r="C190" s="1" t="n">
        <v>2005</v>
      </c>
      <c r="D190" s="1" t="n">
        <v>2010</v>
      </c>
      <c r="E190" s="4" t="inlineStr">
        <is>
          <t>Cop Out, Mr. &amp; Mrs. Smith</t>
        </is>
      </c>
      <c r="F190" s="1" t="inlineStr">
        <is>
          <t>F0069, F0231</t>
        </is>
      </c>
    </row>
    <row r="191" ht="15.75" customHeight="1" s="95">
      <c r="A191" s="1" t="inlineStr">
        <is>
          <t>Andrew Garfield</t>
        </is>
      </c>
      <c r="B191" s="1" t="n">
        <v>2</v>
      </c>
      <c r="C191" s="1" t="n">
        <v>2012</v>
      </c>
      <c r="D191" s="1" t="n">
        <v>2016</v>
      </c>
      <c r="E191" s="4" t="inlineStr">
        <is>
          <t>The Amazing Spider-Man, Hacksaw Ridge</t>
        </is>
      </c>
      <c r="F191" s="1" t="inlineStr">
        <is>
          <t>F0019, F0133</t>
        </is>
      </c>
    </row>
    <row r="192" ht="15.75" customHeight="1" s="95">
      <c r="A192" s="1" t="inlineStr">
        <is>
          <t>Anthony Daniels</t>
        </is>
      </c>
      <c r="B192" s="1" t="n">
        <v>2</v>
      </c>
      <c r="C192" s="1" t="n">
        <v>1980</v>
      </c>
      <c r="D192" s="1" t="n">
        <v>1983</v>
      </c>
      <c r="E192" s="4" t="inlineStr">
        <is>
          <t>Star Wars: Episode V – The Empire Strikes Back, Star Wars: Episode VI – Return of the Jedi</t>
        </is>
      </c>
      <c r="F192" s="1" t="inlineStr">
        <is>
          <t>F0296, F0297</t>
        </is>
      </c>
    </row>
    <row r="193" ht="15.75" customHeight="1" s="95">
      <c r="A193" s="1" t="inlineStr">
        <is>
          <t>Anthony Hopkins</t>
        </is>
      </c>
      <c r="B193" s="1" t="n">
        <v>2</v>
      </c>
      <c r="C193" s="1" t="n">
        <v>2014</v>
      </c>
      <c r="D193" s="1" t="n">
        <v>2017</v>
      </c>
      <c r="E193" s="4" t="inlineStr">
        <is>
          <t>Noah, Transformers: The Last Knight</t>
        </is>
      </c>
      <c r="F193" s="1" t="inlineStr">
        <is>
          <t>F0238, F0320</t>
        </is>
      </c>
    </row>
    <row r="194" ht="15.75" customHeight="1" s="95">
      <c r="A194" s="1" t="inlineStr">
        <is>
          <t>Ben Stiller</t>
        </is>
      </c>
      <c r="B194" s="1" t="n">
        <v>2</v>
      </c>
      <c r="C194" s="1" t="n">
        <v>2008</v>
      </c>
      <c r="D194" s="1" t="n">
        <v>2009</v>
      </c>
      <c r="E194" s="4" t="inlineStr">
        <is>
          <t>Night at the Museum: Battle of the Smithsonian, Tropic Thunder</t>
        </is>
      </c>
      <c r="F194" s="1" t="inlineStr">
        <is>
          <t>F0236, F0324</t>
        </is>
      </c>
    </row>
    <row r="195" ht="15.75" customHeight="1" s="95">
      <c r="A195" s="1" t="inlineStr">
        <is>
          <t>Benedict Cumberbatch</t>
        </is>
      </c>
      <c r="B195" s="1" t="n">
        <v>2</v>
      </c>
      <c r="C195" s="1" t="n">
        <v>2013</v>
      </c>
      <c r="D195" s="1" t="n">
        <v>2014</v>
      </c>
      <c r="E195" s="4" t="inlineStr">
        <is>
          <t>The Hobbit: The Desolation of Smaug, The Imitation Game</t>
        </is>
      </c>
      <c r="F195" s="1" t="inlineStr">
        <is>
          <t>F0151, F0162</t>
        </is>
      </c>
    </row>
    <row r="196" ht="15.75" customHeight="1" s="95">
      <c r="A196" s="1" t="inlineStr">
        <is>
          <t>Bill Nighy</t>
        </is>
      </c>
      <c r="B196" s="1" t="n">
        <v>2</v>
      </c>
      <c r="C196" s="1" t="n">
        <v>2009</v>
      </c>
      <c r="D196" s="1" t="n">
        <v>2014</v>
      </c>
      <c r="E196" s="4" t="inlineStr">
        <is>
          <t>I, Frankenstein, Underworld: Rise of the Lycans</t>
        </is>
      </c>
      <c r="F196" s="1" t="inlineStr">
        <is>
          <t>F0159, F0327</t>
        </is>
      </c>
    </row>
    <row r="197" ht="15.75" customHeight="1" s="95">
      <c r="A197" s="1" t="inlineStr">
        <is>
          <t>Billy Crystal</t>
        </is>
      </c>
      <c r="B197" s="1" t="n">
        <v>2</v>
      </c>
      <c r="C197" s="1" t="n">
        <v>2001</v>
      </c>
      <c r="D197" s="1" t="n">
        <v>2013</v>
      </c>
      <c r="E197" s="4" t="inlineStr">
        <is>
          <t>Monsters, Inc., Monsters University</t>
        </is>
      </c>
      <c r="F197" s="1" t="inlineStr">
        <is>
          <t>F0229, F0230</t>
        </is>
      </c>
    </row>
    <row r="198" ht="15.75" customHeight="1" s="95">
      <c r="A198" s="1" t="inlineStr">
        <is>
          <t>Billy Dee Williams</t>
        </is>
      </c>
      <c r="B198" s="1" t="n">
        <v>2</v>
      </c>
      <c r="C198" s="1" t="n">
        <v>1980</v>
      </c>
      <c r="D198" s="1" t="n">
        <v>1983</v>
      </c>
      <c r="E198" s="4" t="inlineStr">
        <is>
          <t>Star Wars: Episode V – The Empire Strikes Back, Star Wars: Episode VI – Return of the Jedi</t>
        </is>
      </c>
      <c r="F198" s="1" t="inlineStr">
        <is>
          <t>F0296, F0297</t>
        </is>
      </c>
    </row>
    <row r="199" ht="15.75" customHeight="1" s="95">
      <c r="A199" s="1" t="inlineStr">
        <is>
          <t>Blake Harrison</t>
        </is>
      </c>
      <c r="B199" s="1" t="n">
        <v>2</v>
      </c>
      <c r="C199" s="1" t="n">
        <v>2011</v>
      </c>
      <c r="D199" s="1" t="n">
        <v>2014</v>
      </c>
      <c r="E199" s="4" t="inlineStr">
        <is>
          <t>The Inbetweeners Movie, The Inbetweeners 2</t>
        </is>
      </c>
      <c r="F199" s="1" t="inlineStr">
        <is>
          <t>F0163, F0164</t>
        </is>
      </c>
    </row>
    <row r="200" ht="15.75" customHeight="1" s="95">
      <c r="A200" s="1" t="inlineStr">
        <is>
          <t>Brie Larson</t>
        </is>
      </c>
      <c r="B200" s="1" t="n">
        <v>2</v>
      </c>
      <c r="C200" s="1" t="n">
        <v>2012</v>
      </c>
      <c r="D200" s="1" t="n">
        <v>2017</v>
      </c>
      <c r="E200" s="4" t="inlineStr">
        <is>
          <t>21 Jump Street, Kong: Skull Island</t>
        </is>
      </c>
      <c r="F200" s="1" t="inlineStr">
        <is>
          <t>F0007, F0190</t>
        </is>
      </c>
    </row>
    <row r="201" ht="15.75" customHeight="1" s="95">
      <c r="A201" s="1" t="inlineStr">
        <is>
          <t>Bryan Cranston</t>
        </is>
      </c>
      <c r="B201" s="1" t="n">
        <v>2</v>
      </c>
      <c r="C201" s="1" t="n">
        <v>2012</v>
      </c>
      <c r="D201" s="1" t="n">
        <v>2014</v>
      </c>
      <c r="E201" s="4" t="inlineStr">
        <is>
          <t>Argo, Godzilla</t>
        </is>
      </c>
      <c r="F201" s="1" t="inlineStr">
        <is>
          <t>F0025, F0121</t>
        </is>
      </c>
    </row>
    <row r="202" ht="15.75" customHeight="1" s="95">
      <c r="A202" s="1" t="inlineStr">
        <is>
          <t>Cate Blanchett</t>
        </is>
      </c>
      <c r="B202" s="1" t="n">
        <v>2</v>
      </c>
      <c r="C202" s="1" t="n">
        <v>2010</v>
      </c>
      <c r="D202" s="1" t="n">
        <v>2014</v>
      </c>
      <c r="E202" s="4" t="inlineStr">
        <is>
          <t>How to Train Your Dragon 2, Robin Hood</t>
        </is>
      </c>
      <c r="F202" s="1" t="inlineStr">
        <is>
          <t>F0155, F0267</t>
        </is>
      </c>
    </row>
    <row r="203" ht="15.75" customHeight="1" s="95">
      <c r="A203" s="1" t="inlineStr">
        <is>
          <t>Charlie Hunnam</t>
        </is>
      </c>
      <c r="B203" s="1" t="n">
        <v>2</v>
      </c>
      <c r="C203" s="1" t="n">
        <v>2013</v>
      </c>
      <c r="D203" s="1" t="n">
        <v>2020</v>
      </c>
      <c r="E203" s="4" t="inlineStr">
        <is>
          <t>The Gentlemen, Pacific Rim</t>
        </is>
      </c>
      <c r="F203" s="1" t="inlineStr">
        <is>
          <t>F0119, F0243</t>
        </is>
      </c>
    </row>
    <row r="204" ht="15.75" customHeight="1" s="95">
      <c r="A204" s="1" t="inlineStr">
        <is>
          <t>Chiwetel Ejiofor</t>
        </is>
      </c>
      <c r="B204" s="1" t="n">
        <v>2</v>
      </c>
      <c r="C204" s="1" t="n">
        <v>2009</v>
      </c>
      <c r="D204" s="1" t="n">
        <v>2010</v>
      </c>
      <c r="E204" s="4" t="inlineStr">
        <is>
          <t>2012, Salt</t>
        </is>
      </c>
      <c r="F204" s="1" t="inlineStr">
        <is>
          <t>F0006, F0273</t>
        </is>
      </c>
    </row>
    <row r="205" ht="15.75" customHeight="1" s="95">
      <c r="A205" s="1" t="inlineStr">
        <is>
          <t>Chloë Grace Moretz</t>
        </is>
      </c>
      <c r="B205" s="1" t="n">
        <v>2</v>
      </c>
      <c r="C205" s="1" t="n">
        <v>2010</v>
      </c>
      <c r="D205" s="1" t="n">
        <v>2013</v>
      </c>
      <c r="E205" s="4" t="inlineStr">
        <is>
          <t>Kick-Ass, Kick-Ass 2</t>
        </is>
      </c>
      <c r="F205" s="1" t="inlineStr">
        <is>
          <t>F0185, F0186</t>
        </is>
      </c>
    </row>
    <row r="206" ht="15.75" customHeight="1" s="95">
      <c r="A206" s="1" t="inlineStr">
        <is>
          <t>Chris Rock</t>
        </is>
      </c>
      <c r="B206" s="1" t="n">
        <v>2</v>
      </c>
      <c r="C206" s="1" t="n">
        <v>2010</v>
      </c>
      <c r="D206" s="1" t="n">
        <v>2013</v>
      </c>
      <c r="E206" s="4" t="inlineStr">
        <is>
          <t>Grown Ups, Grown Ups 2</t>
        </is>
      </c>
      <c r="F206" s="1" t="inlineStr">
        <is>
          <t>F0131, F0132</t>
        </is>
      </c>
    </row>
    <row r="207" ht="15.75" customHeight="1" s="95">
      <c r="A207" s="1" t="inlineStr">
        <is>
          <t>Christina Applegate</t>
        </is>
      </c>
      <c r="B207" s="1" t="n">
        <v>2</v>
      </c>
      <c r="C207" s="1" t="n">
        <v>2004</v>
      </c>
      <c r="D207" s="1" t="n">
        <v>2016</v>
      </c>
      <c r="E207" s="4" t="inlineStr">
        <is>
          <t>Anchorman: The Legend of Ron Burgundy, Bad Moms</t>
        </is>
      </c>
      <c r="F207" s="1" t="inlineStr">
        <is>
          <t>F0022, F0038</t>
        </is>
      </c>
    </row>
    <row r="208" ht="15.75" customHeight="1" s="95">
      <c r="A208" s="1" t="inlineStr">
        <is>
          <t>Christopher Mintz-Plasse</t>
        </is>
      </c>
      <c r="B208" s="1" t="n">
        <v>2</v>
      </c>
      <c r="C208" s="1" t="n">
        <v>2007</v>
      </c>
      <c r="D208" s="1" t="n">
        <v>2013</v>
      </c>
      <c r="E208" s="4" t="inlineStr">
        <is>
          <t>Kick-Ass 2, Superbad</t>
        </is>
      </c>
      <c r="F208" s="1" t="inlineStr">
        <is>
          <t>F0186, F0303</t>
        </is>
      </c>
    </row>
    <row r="209" ht="15.75" customHeight="1" s="95">
      <c r="A209" s="1" t="inlineStr">
        <is>
          <t>Christopher Plummer</t>
        </is>
      </c>
      <c r="B209" s="1" t="n">
        <v>2</v>
      </c>
      <c r="C209" s="1" t="n">
        <v>2009</v>
      </c>
      <c r="D209" s="1" t="n">
        <v>2011</v>
      </c>
      <c r="E209" s="4" t="inlineStr">
        <is>
          <t>The Girl with the Dragon Tattoo, Up</t>
        </is>
      </c>
      <c r="F209" s="1" t="inlineStr">
        <is>
          <t>F0120, F0330</t>
        </is>
      </c>
    </row>
    <row r="210" ht="15.75" customHeight="1" s="95">
      <c r="A210" s="1" t="inlineStr">
        <is>
          <t>Colin Farrell</t>
        </is>
      </c>
      <c r="B210" s="1" t="n">
        <v>2</v>
      </c>
      <c r="C210" s="1" t="n">
        <v>2016</v>
      </c>
      <c r="D210" s="1" t="n">
        <v>2022</v>
      </c>
      <c r="E210" s="4" t="inlineStr">
        <is>
          <t>The Batman, Fantastic Beasts and Where to Find Them</t>
        </is>
      </c>
      <c r="F210" s="1" t="inlineStr">
        <is>
          <t>F0042, F0100</t>
        </is>
      </c>
    </row>
    <row r="211" ht="15.75" customHeight="1" s="95">
      <c r="A211" s="1" t="inlineStr">
        <is>
          <t>Colin Firth</t>
        </is>
      </c>
      <c r="B211" s="1" t="n">
        <v>2</v>
      </c>
      <c r="C211" s="1" t="n">
        <v>2008</v>
      </c>
      <c r="D211" s="1" t="n">
        <v>2010</v>
      </c>
      <c r="E211" s="4" t="inlineStr">
        <is>
          <t>The King's Speech, Mamma Mia!</t>
        </is>
      </c>
      <c r="F211" s="1" t="inlineStr">
        <is>
          <t>F0189, F0209</t>
        </is>
      </c>
    </row>
    <row r="212" ht="15.75" customHeight="1" s="95">
      <c r="A212" s="1" t="inlineStr">
        <is>
          <t>Colm Meaney</t>
        </is>
      </c>
      <c r="B212" s="1" t="n">
        <v>2</v>
      </c>
      <c r="C212" s="1" t="n">
        <v>2009</v>
      </c>
      <c r="D212" s="1" t="n">
        <v>2013</v>
      </c>
      <c r="E212" s="4" t="inlineStr">
        <is>
          <t>Alan Partridge: Alpha Papa, Law Abiding Citizen</t>
        </is>
      </c>
      <c r="F212" s="1" t="inlineStr">
        <is>
          <t>F0014, F0191</t>
        </is>
      </c>
    </row>
    <row r="213" ht="15.75" customHeight="1" s="95">
      <c r="A213" s="1" t="inlineStr">
        <is>
          <t>Craig Ferguson</t>
        </is>
      </c>
      <c r="B213" s="1" t="n">
        <v>2</v>
      </c>
      <c r="C213" s="1" t="n">
        <v>2010</v>
      </c>
      <c r="D213" s="1" t="n">
        <v>2014</v>
      </c>
      <c r="E213" s="4" t="inlineStr">
        <is>
          <t>How to Train Your Dragon, How to Train Your Dragon 2</t>
        </is>
      </c>
      <c r="F213" s="1" t="inlineStr">
        <is>
          <t>F0154, F0155</t>
        </is>
      </c>
    </row>
    <row r="214" ht="15.75" customHeight="1" s="95">
      <c r="A214" s="1" t="inlineStr">
        <is>
          <t>Dafne Keen</t>
        </is>
      </c>
      <c r="B214" s="1" t="n">
        <v>2</v>
      </c>
      <c r="C214" s="1" t="n">
        <v>2017</v>
      </c>
      <c r="D214" s="1" t="n">
        <v>2024</v>
      </c>
      <c r="E214" s="4" t="inlineStr">
        <is>
          <t>Deadpool &amp; Wolverine, Logan</t>
        </is>
      </c>
      <c r="F214" s="1" t="inlineStr">
        <is>
          <t>F0078, F0201</t>
        </is>
      </c>
    </row>
    <row r="215" ht="15.75" customHeight="1" s="95">
      <c r="A215" s="1" t="inlineStr">
        <is>
          <t>Dana Gaier</t>
        </is>
      </c>
      <c r="B215" s="1" t="n">
        <v>2</v>
      </c>
      <c r="C215" s="1" t="n">
        <v>2010</v>
      </c>
      <c r="D215" s="1" t="n">
        <v>2017</v>
      </c>
      <c r="E215" s="4" t="inlineStr">
        <is>
          <t>Despicable Me, Despicable Me 3</t>
        </is>
      </c>
      <c r="F215" s="1" t="inlineStr">
        <is>
          <t>F0082, F0084</t>
        </is>
      </c>
    </row>
    <row r="216" ht="15.75" customHeight="1" s="95">
      <c r="A216" s="1" t="inlineStr">
        <is>
          <t>Danny McBride</t>
        </is>
      </c>
      <c r="B216" s="1" t="n">
        <v>2</v>
      </c>
      <c r="C216" s="1" t="n">
        <v>2008</v>
      </c>
      <c r="D216" s="1" t="n">
        <v>2011</v>
      </c>
      <c r="E216" s="4" t="inlineStr">
        <is>
          <t>30 Minutes or Less, Pineapple Express</t>
        </is>
      </c>
      <c r="F216" s="1" t="inlineStr">
        <is>
          <t>F0009, F0247</t>
        </is>
      </c>
    </row>
    <row r="217" ht="15.75" customHeight="1" s="95">
      <c r="A217" s="1" t="inlineStr">
        <is>
          <t>David Spade</t>
        </is>
      </c>
      <c r="B217" s="1" t="n">
        <v>2</v>
      </c>
      <c r="C217" s="1" t="n">
        <v>2010</v>
      </c>
      <c r="D217" s="1" t="n">
        <v>2013</v>
      </c>
      <c r="E217" s="4" t="inlineStr">
        <is>
          <t>Grown Ups, Grown Ups 2</t>
        </is>
      </c>
      <c r="F217" s="1" t="inlineStr">
        <is>
          <t>F0131, F0132</t>
        </is>
      </c>
    </row>
    <row r="218" ht="15.75" customHeight="1" s="95">
      <c r="A218" s="1" t="inlineStr">
        <is>
          <t>Denzel Washington</t>
        </is>
      </c>
      <c r="B218" s="1" t="n">
        <v>2</v>
      </c>
      <c r="C218" s="1" t="n">
        <v>2012</v>
      </c>
      <c r="D218" s="1" t="n">
        <v>2016</v>
      </c>
      <c r="E218" s="4" t="inlineStr">
        <is>
          <t>The Magnificent Seven, Safe House</t>
        </is>
      </c>
      <c r="F218" s="1" t="inlineStr">
        <is>
          <t>F0207, F0272</t>
        </is>
      </c>
    </row>
    <row r="219" ht="15.75" customHeight="1" s="95">
      <c r="A219" s="1" t="inlineStr">
        <is>
          <t>Dolph Lundgren</t>
        </is>
      </c>
      <c r="B219" s="1" t="n">
        <v>2</v>
      </c>
      <c r="C219" s="1" t="n">
        <v>2010</v>
      </c>
      <c r="D219" s="1" t="n">
        <v>2012</v>
      </c>
      <c r="E219" s="4" t="inlineStr">
        <is>
          <t>The Expendables, The Expendables 2</t>
        </is>
      </c>
      <c r="F219" s="1" t="inlineStr">
        <is>
          <t>F0095, F0096</t>
        </is>
      </c>
    </row>
    <row r="220" ht="15.75" customHeight="1" s="95">
      <c r="A220" s="1" t="inlineStr">
        <is>
          <t>Ed Asner</t>
        </is>
      </c>
      <c r="B220" s="1" t="n">
        <v>2</v>
      </c>
      <c r="C220" s="1" t="n">
        <v>2003</v>
      </c>
      <c r="D220" s="1" t="n">
        <v>2009</v>
      </c>
      <c r="E220" s="4" t="inlineStr">
        <is>
          <t>Elf, Up</t>
        </is>
      </c>
      <c r="F220" s="1" t="inlineStr">
        <is>
          <t>F0092, F0330</t>
        </is>
      </c>
    </row>
    <row r="221" ht="15.75" customHeight="1" s="95">
      <c r="A221" s="1" t="inlineStr">
        <is>
          <t>Ed Skrein</t>
        </is>
      </c>
      <c r="B221" s="1" t="n">
        <v>2</v>
      </c>
      <c r="C221" s="1" t="n">
        <v>2015</v>
      </c>
      <c r="D221" s="1" t="n">
        <v>2016</v>
      </c>
      <c r="E221" s="4" t="inlineStr">
        <is>
          <t>Deadpool, The Transporter Refueled</t>
        </is>
      </c>
      <c r="F221" s="1" t="inlineStr">
        <is>
          <t>F0076, F0323</t>
        </is>
      </c>
    </row>
    <row r="222" ht="15.75" customHeight="1" s="95">
      <c r="A222" s="1" t="inlineStr">
        <is>
          <t>Eddie Marsan</t>
        </is>
      </c>
      <c r="B222" s="1" t="n">
        <v>2</v>
      </c>
      <c r="C222" s="1" t="n">
        <v>2009</v>
      </c>
      <c r="D222" s="1" t="n">
        <v>2013</v>
      </c>
      <c r="E222" s="4" t="inlineStr">
        <is>
          <t>The World's End, Sherlock Holmes</t>
        </is>
      </c>
      <c r="F222" s="1" t="inlineStr">
        <is>
          <t>F0072, F0278</t>
        </is>
      </c>
    </row>
    <row r="223" ht="15.75" customHeight="1" s="95">
      <c r="A223" s="1" t="inlineStr">
        <is>
          <t>Eddie Redmayne</t>
        </is>
      </c>
      <c r="B223" s="1" t="n">
        <v>2</v>
      </c>
      <c r="C223" s="1" t="n">
        <v>2014</v>
      </c>
      <c r="D223" s="1" t="n">
        <v>2016</v>
      </c>
      <c r="E223" s="4" t="inlineStr">
        <is>
          <t>Fantastic Beasts and Where to Find Them, The Theory of Everything</t>
        </is>
      </c>
      <c r="F223" s="1" t="inlineStr">
        <is>
          <t>F0100, F0311</t>
        </is>
      </c>
    </row>
    <row r="224" ht="15.75" customHeight="1" s="95">
      <c r="A224" s="1" t="inlineStr">
        <is>
          <t>Edward Norton</t>
        </is>
      </c>
      <c r="B224" s="1" t="n">
        <v>2</v>
      </c>
      <c r="C224" s="1" t="n">
        <v>1999</v>
      </c>
      <c r="D224" s="1" t="n">
        <v>2012</v>
      </c>
      <c r="E224" s="4" t="inlineStr">
        <is>
          <t>The Bourne Legacy, Fight Club</t>
        </is>
      </c>
      <c r="F224" s="1" t="inlineStr">
        <is>
          <t>F0056, F0112</t>
        </is>
      </c>
    </row>
    <row r="225" ht="15.75" customHeight="1" s="95">
      <c r="A225" s="1" t="inlineStr">
        <is>
          <t>Elle Fanning</t>
        </is>
      </c>
      <c r="B225" s="1" t="n">
        <v>2</v>
      </c>
      <c r="C225" s="1" t="n">
        <v>2011</v>
      </c>
      <c r="D225" s="1" t="n">
        <v>2014</v>
      </c>
      <c r="E225" s="4" t="inlineStr">
        <is>
          <t>Maleficent, Super 8</t>
        </is>
      </c>
      <c r="F225" s="1" t="inlineStr">
        <is>
          <t>F0208, F0302</t>
        </is>
      </c>
    </row>
    <row r="226" ht="15.75" customHeight="1" s="95">
      <c r="A226" s="1" t="inlineStr">
        <is>
          <t>Emile Hirsch</t>
        </is>
      </c>
      <c r="B226" s="1" t="n">
        <v>2</v>
      </c>
      <c r="C226" s="1" t="n">
        <v>2013</v>
      </c>
      <c r="D226" s="1" t="n">
        <v>2019</v>
      </c>
      <c r="E226" s="4" t="inlineStr">
        <is>
          <t>Lone Survivor, Once Upon a Time… in Hollywood</t>
        </is>
      </c>
      <c r="F226" s="1" t="inlineStr">
        <is>
          <t>F0202, F0241</t>
        </is>
      </c>
    </row>
    <row r="227" ht="15.75" customHeight="1" s="95">
      <c r="A227" s="1" t="inlineStr">
        <is>
          <t>Emily Blunt</t>
        </is>
      </c>
      <c r="B227" s="1" t="n">
        <v>2</v>
      </c>
      <c r="C227" s="1" t="n">
        <v>2023</v>
      </c>
      <c r="D227" s="1" t="n">
        <v>2024</v>
      </c>
      <c r="E227" s="4" t="inlineStr">
        <is>
          <t>The Fall Guy, Oppenheimer</t>
        </is>
      </c>
      <c r="F227" s="1" t="inlineStr">
        <is>
          <t>F0099, F0242</t>
        </is>
      </c>
    </row>
    <row r="228" ht="15.75" customHeight="1" s="95">
      <c r="A228" s="1" t="inlineStr">
        <is>
          <t>Emma Stone</t>
        </is>
      </c>
      <c r="B228" s="1" t="n">
        <v>2</v>
      </c>
      <c r="C228" s="1" t="n">
        <v>2012</v>
      </c>
      <c r="D228" s="1" t="n">
        <v>2013</v>
      </c>
      <c r="E228" s="4" t="inlineStr">
        <is>
          <t>The Amazing Spider-Man, The Croods</t>
        </is>
      </c>
      <c r="F228" s="1" t="inlineStr">
        <is>
          <t>F0019, F0075</t>
        </is>
      </c>
    </row>
    <row r="229" ht="15.75" customHeight="1" s="95">
      <c r="A229" s="1" t="inlineStr">
        <is>
          <t>Ester Dean</t>
        </is>
      </c>
      <c r="B229" s="1" t="n">
        <v>2</v>
      </c>
      <c r="C229" s="1" t="n">
        <v>2012</v>
      </c>
      <c r="D229" s="1" t="n">
        <v>2015</v>
      </c>
      <c r="E229" s="4" t="inlineStr">
        <is>
          <t>Pitch Perfect, Pitch Perfect 2</t>
        </is>
      </c>
      <c r="F229" s="1" t="inlineStr">
        <is>
          <t>F0250, F0251</t>
        </is>
      </c>
    </row>
    <row r="230" ht="15.75" customHeight="1" s="95">
      <c r="A230" s="1" t="inlineStr">
        <is>
          <t>Forest Whitaker</t>
        </is>
      </c>
      <c r="B230" s="1" t="n">
        <v>2</v>
      </c>
      <c r="C230" s="1" t="n">
        <v>2011</v>
      </c>
      <c r="D230" s="1" t="n">
        <v>2015</v>
      </c>
      <c r="E230" s="4" t="inlineStr">
        <is>
          <t>Catch.44, Southpaw</t>
        </is>
      </c>
      <c r="F230" s="1" t="inlineStr">
        <is>
          <t>F0063, F0286</t>
        </is>
      </c>
    </row>
    <row r="231" ht="15.75" customHeight="1" s="95">
      <c r="A231" s="1" t="inlineStr">
        <is>
          <t>Franka Potente</t>
        </is>
      </c>
      <c r="B231" s="1" t="n">
        <v>2</v>
      </c>
      <c r="C231" s="1" t="n">
        <v>2002</v>
      </c>
      <c r="D231" s="1" t="n">
        <v>2004</v>
      </c>
      <c r="E231" s="4" t="inlineStr">
        <is>
          <t>The Bourne Identity, The Bourne Supremacy</t>
        </is>
      </c>
      <c r="F231" s="1" t="inlineStr">
        <is>
          <t>F0053, F0054</t>
        </is>
      </c>
    </row>
    <row r="232" ht="15.75" customHeight="1" s="95">
      <c r="A232" s="1" t="inlineStr">
        <is>
          <t>Freida Pinto</t>
        </is>
      </c>
      <c r="B232" s="1" t="n">
        <v>2</v>
      </c>
      <c r="C232" s="1" t="n">
        <v>2008</v>
      </c>
      <c r="D232" s="1" t="n">
        <v>2011</v>
      </c>
      <c r="E232" s="4" t="inlineStr">
        <is>
          <t>Rise of the Planet of the Apes, Slumdog Millionaire</t>
        </is>
      </c>
      <c r="F232" s="1" t="inlineStr">
        <is>
          <t>F0253, F0281</t>
        </is>
      </c>
    </row>
    <row r="233" ht="15.75" customHeight="1" s="95">
      <c r="A233" s="1" t="inlineStr">
        <is>
          <t>Geoffrey Rush</t>
        </is>
      </c>
      <c r="B233" s="1" t="n">
        <v>2</v>
      </c>
      <c r="C233" s="1" t="n">
        <v>2010</v>
      </c>
      <c r="D233" s="1" t="n">
        <v>2011</v>
      </c>
      <c r="E233" s="4" t="inlineStr">
        <is>
          <t>The King's Speech, Pirates of the Caribbean: On Stranger Tides</t>
        </is>
      </c>
      <c r="F233" s="1" t="inlineStr">
        <is>
          <t>F0189, F0249</t>
        </is>
      </c>
    </row>
    <row r="234" ht="15.75" customHeight="1" s="95">
      <c r="A234" s="1" t="inlineStr">
        <is>
          <t>Giovanni Ribisi</t>
        </is>
      </c>
      <c r="B234" s="1" t="n">
        <v>2</v>
      </c>
      <c r="C234" s="1" t="n">
        <v>2012</v>
      </c>
      <c r="D234" s="1" t="n">
        <v>2014</v>
      </c>
      <c r="E234" s="4" t="inlineStr">
        <is>
          <t>A Million Ways to Die in the West, Ted</t>
        </is>
      </c>
      <c r="F234" s="1" t="inlineStr">
        <is>
          <t>F0021, F0308</t>
        </is>
      </c>
    </row>
    <row r="235" ht="15.75" customHeight="1" s="95">
      <c r="A235" s="1" t="inlineStr">
        <is>
          <t>Gwyneth Paltrow</t>
        </is>
      </c>
      <c r="B235" s="1" t="n">
        <v>2</v>
      </c>
      <c r="C235" s="1" t="n">
        <v>1995</v>
      </c>
      <c r="D235" s="1" t="n">
        <v>2013</v>
      </c>
      <c r="E235" s="4" t="inlineStr">
        <is>
          <t>Iron Man 3, Se7en</t>
        </is>
      </c>
      <c r="F235" s="1" t="inlineStr">
        <is>
          <t>F0169, F0276</t>
        </is>
      </c>
    </row>
    <row r="236" ht="15.75" customHeight="1" s="95">
      <c r="A236" s="1" t="inlineStr">
        <is>
          <t>Halle Berry</t>
        </is>
      </c>
      <c r="B236" s="1" t="n">
        <v>2</v>
      </c>
      <c r="C236" s="1" t="n">
        <v>2003</v>
      </c>
      <c r="D236" s="1" t="n">
        <v>2006</v>
      </c>
      <c r="E236" s="4" t="inlineStr">
        <is>
          <t>X2: X-Men United, X-Men: The Last Stand</t>
        </is>
      </c>
      <c r="F236" s="1" t="inlineStr">
        <is>
          <t>F0345, F0346</t>
        </is>
      </c>
    </row>
    <row r="237" ht="15.75" customHeight="1" s="95">
      <c r="A237" s="1" t="inlineStr">
        <is>
          <t>Hank Azaria</t>
        </is>
      </c>
      <c r="B237" s="1" t="n">
        <v>2</v>
      </c>
      <c r="C237" s="1" t="n">
        <v>2009</v>
      </c>
      <c r="D237" s="1" t="n">
        <v>2013</v>
      </c>
      <c r="E237" s="4" t="inlineStr">
        <is>
          <t>Night at the Museum: Battle of the Smithsonian, The Smurfs 2</t>
        </is>
      </c>
      <c r="F237" s="1" t="inlineStr">
        <is>
          <t>F0236, F0282</t>
        </is>
      </c>
    </row>
    <row r="238" ht="15.75" customHeight="1" s="95">
      <c r="A238" s="1" t="inlineStr">
        <is>
          <t>Henry Cavill</t>
        </is>
      </c>
      <c r="B238" s="1" t="n">
        <v>2</v>
      </c>
      <c r="C238" s="1" t="n">
        <v>2013</v>
      </c>
      <c r="D238" s="1" t="n">
        <v>2018</v>
      </c>
      <c r="E238" s="4" t="inlineStr">
        <is>
          <t>Man of Steel, Mission: Impossible - Fallout</t>
        </is>
      </c>
      <c r="F238" s="1" t="inlineStr">
        <is>
          <t>F0211, F0226</t>
        </is>
      </c>
    </row>
    <row r="239" ht="15.75" customHeight="1" s="95">
      <c r="A239" s="1" t="inlineStr">
        <is>
          <t>Hiroyuki Sanada</t>
        </is>
      </c>
      <c r="B239" s="1" t="n">
        <v>2</v>
      </c>
      <c r="C239" s="1" t="n">
        <v>2007</v>
      </c>
      <c r="D239" s="1" t="n">
        <v>2013</v>
      </c>
      <c r="E239" s="4" t="inlineStr">
        <is>
          <t>Rush Hour 3, The Wolverine</t>
        </is>
      </c>
      <c r="F239" s="1" t="inlineStr">
        <is>
          <t>F0271, F0347</t>
        </is>
      </c>
    </row>
    <row r="240" ht="15.75" customHeight="1" s="95">
      <c r="A240" s="1" t="inlineStr">
        <is>
          <t>Ian McDiarmid</t>
        </is>
      </c>
      <c r="B240" s="1" t="n">
        <v>2</v>
      </c>
      <c r="C240" s="1" t="n">
        <v>1999</v>
      </c>
      <c r="D240" s="1" t="n">
        <v>2005</v>
      </c>
      <c r="E240" s="4" t="inlineStr">
        <is>
          <t>Star Wars: Episode I – The Phantom Menace, Star Wars: Episode III – Revenge of the Sith</t>
        </is>
      </c>
      <c r="F240" s="1" t="inlineStr">
        <is>
          <t>F0292, F0294</t>
        </is>
      </c>
    </row>
    <row r="241" ht="15.75" customHeight="1" s="95">
      <c r="A241" s="1" t="inlineStr">
        <is>
          <t>Imelda Staunton</t>
        </is>
      </c>
      <c r="B241" s="1" t="n">
        <v>2</v>
      </c>
      <c r="C241" s="1" t="n">
        <v>2007</v>
      </c>
      <c r="D241" s="1" t="n">
        <v>2014</v>
      </c>
      <c r="E241" s="4" t="inlineStr">
        <is>
          <t>Harry Potter and the Order of the Phoenix, Maleficent</t>
        </is>
      </c>
      <c r="F241" s="1" t="inlineStr">
        <is>
          <t>F0141, F0208</t>
        </is>
      </c>
    </row>
    <row r="242" ht="15.75" customHeight="1" s="95">
      <c r="A242" s="1" t="inlineStr">
        <is>
          <t>Jack Nicholson</t>
        </is>
      </c>
      <c r="B242" s="1" t="n">
        <v>2</v>
      </c>
      <c r="C242" s="1" t="n">
        <v>2006</v>
      </c>
      <c r="D242" s="1" t="n">
        <v>2007</v>
      </c>
      <c r="E242" s="4" t="inlineStr">
        <is>
          <t>The Bucket List, The Departed</t>
        </is>
      </c>
      <c r="F242" s="1" t="inlineStr">
        <is>
          <t>F0060, F0081</t>
        </is>
      </c>
    </row>
    <row r="243" ht="15.75" customHeight="1" s="95">
      <c r="A243" s="1" t="inlineStr">
        <is>
          <t>Jackie Chan</t>
        </is>
      </c>
      <c r="B243" s="1" t="n">
        <v>2</v>
      </c>
      <c r="C243" s="1" t="n">
        <v>2007</v>
      </c>
      <c r="D243" s="1" t="n">
        <v>2010</v>
      </c>
      <c r="E243" s="4" t="inlineStr">
        <is>
          <t>The Karate Kid, Rush Hour 3</t>
        </is>
      </c>
      <c r="F243" s="1" t="inlineStr">
        <is>
          <t>F0184, F0271</t>
        </is>
      </c>
    </row>
    <row r="244" ht="15.75" customHeight="1" s="95">
      <c r="A244" s="1" t="inlineStr">
        <is>
          <t>Jaden Smith</t>
        </is>
      </c>
      <c r="B244" s="1" t="n">
        <v>2</v>
      </c>
      <c r="C244" s="1" t="n">
        <v>2006</v>
      </c>
      <c r="D244" s="1" t="n">
        <v>2010</v>
      </c>
      <c r="E244" s="4" t="inlineStr">
        <is>
          <t>The Karate Kid, The Pursuit of Happyness</t>
        </is>
      </c>
      <c r="F244" s="1" t="inlineStr">
        <is>
          <t>F0184, F0260</t>
        </is>
      </c>
    </row>
    <row r="245" ht="15.75" customHeight="1" s="95">
      <c r="A245" s="1" t="inlineStr">
        <is>
          <t>James Buckley</t>
        </is>
      </c>
      <c r="B245" s="1" t="n">
        <v>2</v>
      </c>
      <c r="C245" s="1" t="n">
        <v>2011</v>
      </c>
      <c r="D245" s="1" t="n">
        <v>2014</v>
      </c>
      <c r="E245" s="4" t="inlineStr">
        <is>
          <t>The Inbetweeners Movie, The Inbetweeners 2</t>
        </is>
      </c>
      <c r="F245" s="1" t="inlineStr">
        <is>
          <t>F0163, F0164</t>
        </is>
      </c>
    </row>
    <row r="246" ht="15.75" customHeight="1" s="95">
      <c r="A246" s="1" t="inlineStr">
        <is>
          <t>James Caan</t>
        </is>
      </c>
      <c r="B246" s="1" t="n">
        <v>2</v>
      </c>
      <c r="C246" s="1" t="n">
        <v>2003</v>
      </c>
      <c r="D246" s="1" t="n">
        <v>2013</v>
      </c>
      <c r="E246" s="4" t="inlineStr">
        <is>
          <t>Cloudy with a Chance of Meatballs 2, Elf</t>
        </is>
      </c>
      <c r="F246" s="1" t="inlineStr">
        <is>
          <t>F0067, F0092</t>
        </is>
      </c>
    </row>
    <row r="247" ht="15.75" customHeight="1" s="95">
      <c r="A247" s="1" t="inlineStr">
        <is>
          <t>Jane Lynch</t>
        </is>
      </c>
      <c r="B247" s="1" t="n">
        <v>2</v>
      </c>
      <c r="C247" s="1" t="n">
        <v>2011</v>
      </c>
      <c r="D247" s="1" t="n">
        <v>2012</v>
      </c>
      <c r="E247" s="4" t="inlineStr">
        <is>
          <t>Rio, Wreck-It Ralph</t>
        </is>
      </c>
      <c r="F247" s="1" t="inlineStr">
        <is>
          <t>F0265, F0336</t>
        </is>
      </c>
    </row>
    <row r="248" ht="15.75" customHeight="1" s="95">
      <c r="A248" s="1" t="inlineStr">
        <is>
          <t>Javier Bardem</t>
        </is>
      </c>
      <c r="B248" s="1" t="n">
        <v>2</v>
      </c>
      <c r="C248" s="1" t="n">
        <v>2012</v>
      </c>
      <c r="D248" s="1" t="n">
        <v>2025</v>
      </c>
      <c r="E248" s="4" t="inlineStr">
        <is>
          <t>Skyfall, F1</t>
        </is>
      </c>
      <c r="F248" s="1" t="inlineStr">
        <is>
          <t>F0003, F0098</t>
        </is>
      </c>
    </row>
    <row r="249" ht="15.75" customHeight="1" s="95">
      <c r="A249" s="1" t="inlineStr">
        <is>
          <t>Jeff Bridges</t>
        </is>
      </c>
      <c r="B249" s="1" t="n">
        <v>2</v>
      </c>
      <c r="C249" s="1" t="n">
        <v>1998</v>
      </c>
      <c r="D249" s="1" t="n">
        <v>2010</v>
      </c>
      <c r="E249" s="4" t="inlineStr">
        <is>
          <t>The Big Lebowski, True Grit</t>
        </is>
      </c>
      <c r="F249" s="1" t="inlineStr">
        <is>
          <t>F0049, F0325</t>
        </is>
      </c>
    </row>
    <row r="250" ht="15.75" customHeight="1" s="95">
      <c r="A250" s="1" t="inlineStr">
        <is>
          <t>Jemaine Clement</t>
        </is>
      </c>
      <c r="B250" s="1" t="n">
        <v>2</v>
      </c>
      <c r="C250" s="1" t="n">
        <v>2012</v>
      </c>
      <c r="D250" s="1" t="n">
        <v>2016</v>
      </c>
      <c r="E250" s="4" t="inlineStr">
        <is>
          <t>The BFG, Men in Black 3</t>
        </is>
      </c>
      <c r="F250" s="1" t="inlineStr">
        <is>
          <t>F0047, F0219</t>
        </is>
      </c>
    </row>
    <row r="251" ht="15.75" customHeight="1" s="95">
      <c r="A251" s="1" t="inlineStr">
        <is>
          <t>Jet Li</t>
        </is>
      </c>
      <c r="B251" s="1" t="n">
        <v>2</v>
      </c>
      <c r="C251" s="1" t="n">
        <v>2010</v>
      </c>
      <c r="D251" s="1" t="n">
        <v>2012</v>
      </c>
      <c r="E251" s="4" t="inlineStr">
        <is>
          <t>The Expendables, The Expendables 2</t>
        </is>
      </c>
      <c r="F251" s="1" t="inlineStr">
        <is>
          <t>F0095, F0096</t>
        </is>
      </c>
    </row>
    <row r="252" ht="15.75" customHeight="1" s="95">
      <c r="A252" s="1" t="inlineStr">
        <is>
          <t>Jim Broadbent</t>
        </is>
      </c>
      <c r="B252" s="1" t="n">
        <v>2</v>
      </c>
      <c r="C252" s="1" t="n">
        <v>2007</v>
      </c>
      <c r="D252" s="1" t="n">
        <v>2009</v>
      </c>
      <c r="E252" s="4" t="inlineStr">
        <is>
          <t>Hot Fuzz, Harry Potter and the Half-Blood Prince</t>
        </is>
      </c>
      <c r="F252" s="1" t="inlineStr">
        <is>
          <t>F0071, F0142</t>
        </is>
      </c>
    </row>
    <row r="253" ht="15.75" customHeight="1" s="95">
      <c r="A253" s="1" t="inlineStr">
        <is>
          <t>Joan Cusack</t>
        </is>
      </c>
      <c r="B253" s="1" t="n">
        <v>2</v>
      </c>
      <c r="C253" s="1" t="n">
        <v>1999</v>
      </c>
      <c r="D253" s="1" t="n">
        <v>2010</v>
      </c>
      <c r="E253" s="4" t="inlineStr">
        <is>
          <t>Toy Story 2, Toy Story 3</t>
        </is>
      </c>
      <c r="F253" s="1" t="inlineStr">
        <is>
          <t>F0313, F0314</t>
        </is>
      </c>
    </row>
    <row r="254" ht="15.75" customHeight="1" s="95">
      <c r="A254" s="1" t="inlineStr">
        <is>
          <t>Joe Thomas</t>
        </is>
      </c>
      <c r="B254" s="1" t="n">
        <v>2</v>
      </c>
      <c r="C254" s="1" t="n">
        <v>2011</v>
      </c>
      <c r="D254" s="1" t="n">
        <v>2014</v>
      </c>
      <c r="E254" s="4" t="inlineStr">
        <is>
          <t>The Inbetweeners Movie, The Inbetweeners 2</t>
        </is>
      </c>
      <c r="F254" s="1" t="inlineStr">
        <is>
          <t>F0163, F0164</t>
        </is>
      </c>
    </row>
    <row r="255" ht="15.75" customHeight="1" s="95">
      <c r="A255" s="1" t="inlineStr">
        <is>
          <t>Joel Edgerton</t>
        </is>
      </c>
      <c r="B255" s="1" t="n">
        <v>2</v>
      </c>
      <c r="C255" s="1" t="n">
        <v>2011</v>
      </c>
      <c r="D255" s="1" t="n">
        <v>2013</v>
      </c>
      <c r="E255" s="4" t="inlineStr">
        <is>
          <t>The Great Gatsby, Warrior</t>
        </is>
      </c>
      <c r="F255" s="1" t="inlineStr">
        <is>
          <t>F0126, F0333</t>
        </is>
      </c>
    </row>
    <row r="256" ht="15.75" customHeight="1" s="95">
      <c r="A256" s="1" t="inlineStr">
        <is>
          <t>John Cusack</t>
        </is>
      </c>
      <c r="B256" s="1" t="n">
        <v>2</v>
      </c>
      <c r="C256" s="1" t="n">
        <v>1997</v>
      </c>
      <c r="D256" s="1" t="n">
        <v>2009</v>
      </c>
      <c r="E256" s="4" t="inlineStr">
        <is>
          <t>2012, Con Air</t>
        </is>
      </c>
      <c r="F256" s="1" t="inlineStr">
        <is>
          <t>F0006, F0068</t>
        </is>
      </c>
    </row>
    <row r="257" ht="15.75" customHeight="1" s="95">
      <c r="A257" s="1" t="inlineStr">
        <is>
          <t>John Ortiz</t>
        </is>
      </c>
      <c r="B257" s="1" t="n">
        <v>2</v>
      </c>
      <c r="C257" s="1" t="n">
        <v>2009</v>
      </c>
      <c r="D257" s="1" t="n">
        <v>2018</v>
      </c>
      <c r="E257" s="4" t="inlineStr">
        <is>
          <t>Bumblebee, Fast &amp; Furious</t>
        </is>
      </c>
      <c r="F257" s="1" t="inlineStr">
        <is>
          <t>F0061, F0104</t>
        </is>
      </c>
    </row>
    <row r="258" ht="15.75" customHeight="1" s="95">
      <c r="A258" s="1" t="inlineStr">
        <is>
          <t>Jon Bernthal</t>
        </is>
      </c>
      <c r="B258" s="1" t="n">
        <v>2</v>
      </c>
      <c r="C258" s="1" t="n">
        <v>2014</v>
      </c>
      <c r="D258" s="1" t="n">
        <v>2016</v>
      </c>
      <c r="E258" s="4" t="inlineStr">
        <is>
          <t>The Accountant, Fury</t>
        </is>
      </c>
      <c r="F258" s="1" t="inlineStr">
        <is>
          <t>F0013, F0117</t>
        </is>
      </c>
    </row>
    <row r="259" ht="15.75" customHeight="1" s="95">
      <c r="A259" s="1" t="inlineStr">
        <is>
          <t>Jon Hamm</t>
        </is>
      </c>
      <c r="B259" s="1" t="n">
        <v>2</v>
      </c>
      <c r="C259" s="1" t="n">
        <v>2015</v>
      </c>
      <c r="D259" s="1" t="n">
        <v>2017</v>
      </c>
      <c r="E259" s="4" t="inlineStr">
        <is>
          <t>Baby Driver, Minions</t>
        </is>
      </c>
      <c r="F259" s="1" t="inlineStr">
        <is>
          <t>F0032, F0220</t>
        </is>
      </c>
    </row>
    <row r="260" ht="15.75" customHeight="1" s="95">
      <c r="A260" s="1" t="inlineStr">
        <is>
          <t>Jordi Mollà</t>
        </is>
      </c>
      <c r="B260" s="1" t="n">
        <v>2</v>
      </c>
      <c r="C260" s="1" t="n">
        <v>2003</v>
      </c>
      <c r="D260" s="1" t="n">
        <v>2013</v>
      </c>
      <c r="E260" s="4" t="inlineStr">
        <is>
          <t>Bad Boys II, Riddick</t>
        </is>
      </c>
      <c r="F260" s="1" t="inlineStr">
        <is>
          <t>F0037, F0264</t>
        </is>
      </c>
    </row>
    <row r="261" ht="15.75" customHeight="1" s="95">
      <c r="A261" s="1" t="inlineStr">
        <is>
          <t>Josh Hartnett</t>
        </is>
      </c>
      <c r="B261" s="1" t="n">
        <v>2</v>
      </c>
      <c r="C261" s="1" t="n">
        <v>2001</v>
      </c>
      <c r="D261" s="1" t="n">
        <v>2001</v>
      </c>
      <c r="E261" s="4" t="inlineStr">
        <is>
          <t>Black Hawk Down, Pearl Harbor</t>
        </is>
      </c>
      <c r="F261" s="1" t="inlineStr">
        <is>
          <t>F0050, F0246</t>
        </is>
      </c>
    </row>
    <row r="262" ht="15.75" customHeight="1" s="95">
      <c r="A262" s="1" t="inlineStr">
        <is>
          <t>Judd Nelson</t>
        </is>
      </c>
      <c r="B262" s="1" t="n">
        <v>2</v>
      </c>
      <c r="C262" s="1" t="n">
        <v>1985</v>
      </c>
      <c r="D262" s="1" t="n">
        <v>1986</v>
      </c>
      <c r="E262" s="4" t="inlineStr">
        <is>
          <t>The Breakfast Club, The Transformers: The Movie</t>
        </is>
      </c>
      <c r="F262" s="1" t="inlineStr">
        <is>
          <t>F0057, F0322</t>
        </is>
      </c>
    </row>
    <row r="263" ht="15.75" customHeight="1" s="95">
      <c r="A263" s="1" t="inlineStr">
        <is>
          <t>Julia Stiles</t>
        </is>
      </c>
      <c r="B263" s="1" t="n">
        <v>2</v>
      </c>
      <c r="C263" s="1" t="n">
        <v>2004</v>
      </c>
      <c r="D263" s="1" t="n">
        <v>2007</v>
      </c>
      <c r="E263" s="4" t="inlineStr">
        <is>
          <t>The Bourne Supremacy, The Bourne Ultimatum</t>
        </is>
      </c>
      <c r="F263" s="1" t="inlineStr">
        <is>
          <t>F0054, F0055</t>
        </is>
      </c>
    </row>
    <row r="264" ht="15.75" customHeight="1" s="95">
      <c r="A264" s="1" t="inlineStr">
        <is>
          <t>Julianne Moore</t>
        </is>
      </c>
      <c r="B264" s="1" t="n">
        <v>2</v>
      </c>
      <c r="C264" s="1" t="n">
        <v>1997</v>
      </c>
      <c r="D264" s="1" t="n">
        <v>1998</v>
      </c>
      <c r="E264" s="4" t="inlineStr">
        <is>
          <t>The Big Lebowski, The Lost World: Jurassic Park</t>
        </is>
      </c>
      <c r="F264" s="1" t="inlineStr">
        <is>
          <t>F0049, F0177</t>
        </is>
      </c>
    </row>
    <row r="265" ht="15.75" customHeight="1" s="95">
      <c r="A265" s="1" t="inlineStr">
        <is>
          <t>Justin Timberlake</t>
        </is>
      </c>
      <c r="B265" s="1" t="n">
        <v>2</v>
      </c>
      <c r="C265" s="1" t="n">
        <v>2010</v>
      </c>
      <c r="D265" s="1" t="n">
        <v>2011</v>
      </c>
      <c r="E265" s="4" t="inlineStr">
        <is>
          <t>Bad Teacher, Yogi Bear</t>
        </is>
      </c>
      <c r="F265" s="1" t="inlineStr">
        <is>
          <t>F0039, F0348</t>
        </is>
      </c>
    </row>
    <row r="266" ht="15.75" customHeight="1" s="95">
      <c r="A266" s="1" t="inlineStr">
        <is>
          <t>Kelsey Grammer</t>
        </is>
      </c>
      <c r="B266" s="1" t="n">
        <v>2</v>
      </c>
      <c r="C266" s="1" t="n">
        <v>1999</v>
      </c>
      <c r="D266" s="1" t="n">
        <v>2014</v>
      </c>
      <c r="E266" s="4" t="inlineStr">
        <is>
          <t>Toy Story 2, Transformers: Age of Extinction</t>
        </is>
      </c>
      <c r="F266" s="1" t="inlineStr">
        <is>
          <t>F0313, F0319</t>
        </is>
      </c>
    </row>
    <row r="267" ht="15.75" customHeight="1" s="95">
      <c r="A267" s="1" t="inlineStr">
        <is>
          <t>Ken Jeong</t>
        </is>
      </c>
      <c r="B267" s="1" t="n">
        <v>2</v>
      </c>
      <c r="C267" s="1" t="n">
        <v>2011</v>
      </c>
      <c r="D267" s="1" t="n">
        <v>2013</v>
      </c>
      <c r="E267" s="4" t="inlineStr">
        <is>
          <t>The Hangover Part II, The Hangover Part III</t>
        </is>
      </c>
      <c r="F267" s="1" t="inlineStr">
        <is>
          <t>F0135, F0136</t>
        </is>
      </c>
    </row>
    <row r="268" ht="15.75" customHeight="1" s="95">
      <c r="A268" s="1" t="inlineStr">
        <is>
          <t>Kerry Washington</t>
        </is>
      </c>
      <c r="B268" s="1" t="n">
        <v>2</v>
      </c>
      <c r="C268" s="1" t="n">
        <v>2005</v>
      </c>
      <c r="D268" s="1" t="n">
        <v>2012</v>
      </c>
      <c r="E268" s="4" t="inlineStr">
        <is>
          <t>Django Unchained, Mr. &amp; Mrs. Smith</t>
        </is>
      </c>
      <c r="F268" s="1" t="inlineStr">
        <is>
          <t>F0090, F0231</t>
        </is>
      </c>
    </row>
    <row r="269" ht="15.75" customHeight="1" s="95">
      <c r="A269" s="1" t="inlineStr">
        <is>
          <t>Kevin Durand</t>
        </is>
      </c>
      <c r="B269" s="1" t="n">
        <v>2</v>
      </c>
      <c r="C269" s="1" t="n">
        <v>2009</v>
      </c>
      <c r="D269" s="1" t="n">
        <v>2024</v>
      </c>
      <c r="E269" s="4" t="inlineStr">
        <is>
          <t>Kingdom of the Planet of the Apes, X-Men Origins: Wolverine</t>
        </is>
      </c>
      <c r="F269" s="1" t="inlineStr">
        <is>
          <t>F0256, F0343</t>
        </is>
      </c>
    </row>
    <row r="270" ht="15.75" customHeight="1" s="95">
      <c r="A270" s="1" t="inlineStr">
        <is>
          <t>Kevin James</t>
        </is>
      </c>
      <c r="B270" s="1" t="n">
        <v>2</v>
      </c>
      <c r="C270" s="1" t="n">
        <v>2010</v>
      </c>
      <c r="D270" s="1" t="n">
        <v>2013</v>
      </c>
      <c r="E270" s="4" t="inlineStr">
        <is>
          <t>Grown Ups, Grown Ups 2</t>
        </is>
      </c>
      <c r="F270" s="1" t="inlineStr">
        <is>
          <t>F0131, F0132</t>
        </is>
      </c>
    </row>
    <row r="271" ht="15.75" customHeight="1" s="95">
      <c r="A271" s="1" t="inlineStr">
        <is>
          <t>Kevin Spacey</t>
        </is>
      </c>
      <c r="B271" s="1" t="n">
        <v>2</v>
      </c>
      <c r="C271" s="1" t="n">
        <v>1998</v>
      </c>
      <c r="D271" s="1" t="n">
        <v>2017</v>
      </c>
      <c r="E271" s="4" t="inlineStr">
        <is>
          <t>A Bug's Life, Baby Driver</t>
        </is>
      </c>
      <c r="F271" s="1" t="inlineStr">
        <is>
          <t>F0012, F0032</t>
        </is>
      </c>
    </row>
    <row r="272" ht="15.75" customHeight="1" s="95">
      <c r="A272" s="1" t="inlineStr">
        <is>
          <t>Laura Dern</t>
        </is>
      </c>
      <c r="B272" s="1" t="n">
        <v>2</v>
      </c>
      <c r="C272" s="1" t="n">
        <v>1993</v>
      </c>
      <c r="D272" s="1" t="n">
        <v>2022</v>
      </c>
      <c r="E272" s="4" t="inlineStr">
        <is>
          <t>Jurassic Park, Jurassic World Dominion</t>
        </is>
      </c>
      <c r="F272" s="1" t="inlineStr">
        <is>
          <t>F0176, F0181</t>
        </is>
      </c>
    </row>
    <row r="273" ht="15.75" customHeight="1" s="95">
      <c r="A273" s="1" t="inlineStr">
        <is>
          <t>Lee Byung-hun</t>
        </is>
      </c>
      <c r="B273" s="1" t="n">
        <v>2</v>
      </c>
      <c r="C273" s="1" t="n">
        <v>2009</v>
      </c>
      <c r="D273" s="1" t="n">
        <v>2016</v>
      </c>
      <c r="E273" s="4" t="inlineStr">
        <is>
          <t>G.I. Joe: The Rise of Cobra, The Magnificent Seven</t>
        </is>
      </c>
      <c r="F273" s="1" t="inlineStr">
        <is>
          <t>F0118, F0207</t>
        </is>
      </c>
    </row>
    <row r="274" ht="15.75" customHeight="1" s="95">
      <c r="A274" s="1" t="inlineStr">
        <is>
          <t>Leland Orser</t>
        </is>
      </c>
      <c r="B274" s="1" t="n">
        <v>2</v>
      </c>
      <c r="C274" s="1" t="n">
        <v>2008</v>
      </c>
      <c r="D274" s="1" t="n">
        <v>2012</v>
      </c>
      <c r="E274" s="4" t="inlineStr">
        <is>
          <t>Taken, Taken 2</t>
        </is>
      </c>
      <c r="F274" s="1" t="inlineStr">
        <is>
          <t>F0306, F0307</t>
        </is>
      </c>
    </row>
    <row r="275" ht="15.75" customHeight="1" s="95">
      <c r="A275" s="1" t="inlineStr">
        <is>
          <t>Leslie Mann</t>
        </is>
      </c>
      <c r="B275" s="1" t="n">
        <v>2</v>
      </c>
      <c r="C275" s="1" t="n">
        <v>2011</v>
      </c>
      <c r="D275" s="1" t="n">
        <v>2014</v>
      </c>
      <c r="E275" s="4" t="inlineStr">
        <is>
          <t>Rio, Rio 2</t>
        </is>
      </c>
      <c r="F275" s="1" t="inlineStr">
        <is>
          <t>F0265, F0266</t>
        </is>
      </c>
    </row>
    <row r="276" ht="15.75" customHeight="1" s="95">
      <c r="A276" s="1" t="inlineStr">
        <is>
          <t>Liam Hemsworth</t>
        </is>
      </c>
      <c r="B276" s="1" t="n">
        <v>2</v>
      </c>
      <c r="C276" s="1" t="n">
        <v>2012</v>
      </c>
      <c r="D276" s="1" t="n">
        <v>2014</v>
      </c>
      <c r="E276" s="4" t="inlineStr">
        <is>
          <t>The Hunger Games, The Hunger Games: Mockingjay - Part 1</t>
        </is>
      </c>
      <c r="F276" s="1" t="inlineStr">
        <is>
          <t>F0157, F0158</t>
        </is>
      </c>
    </row>
    <row r="277" ht="15.75" customHeight="1" s="95">
      <c r="A277" s="1" t="inlineStr">
        <is>
          <t>Liev Schreiber</t>
        </is>
      </c>
      <c r="B277" s="1" t="n">
        <v>2</v>
      </c>
      <c r="C277" s="1" t="n">
        <v>2009</v>
      </c>
      <c r="D277" s="1" t="n">
        <v>2010</v>
      </c>
      <c r="E277" s="4" t="inlineStr">
        <is>
          <t>Salt, X-Men Origins: Wolverine</t>
        </is>
      </c>
      <c r="F277" s="1" t="inlineStr">
        <is>
          <t>F0273, F0343</t>
        </is>
      </c>
    </row>
    <row r="278" ht="15.75" customHeight="1" s="95">
      <c r="A278" s="1" t="inlineStr">
        <is>
          <t>Lyndsy Fonseca</t>
        </is>
      </c>
      <c r="B278" s="1" t="n">
        <v>2</v>
      </c>
      <c r="C278" s="1" t="n">
        <v>2010</v>
      </c>
      <c r="D278" s="1" t="n">
        <v>2013</v>
      </c>
      <c r="E278" s="4" t="inlineStr">
        <is>
          <t>Kick-Ass, Kick-Ass 2</t>
        </is>
      </c>
      <c r="F278" s="1" t="inlineStr">
        <is>
          <t>F0185, F0186</t>
        </is>
      </c>
    </row>
    <row r="279" ht="15.75" customHeight="1" s="95">
      <c r="A279" s="1" t="inlineStr">
        <is>
          <t>Léa Seydoux</t>
        </is>
      </c>
      <c r="B279" s="1" t="n">
        <v>2</v>
      </c>
      <c r="C279" s="1" t="n">
        <v>2015</v>
      </c>
      <c r="D279" s="1" t="n">
        <v>2021</v>
      </c>
      <c r="E279" s="4" t="inlineStr">
        <is>
          <t>Spectre, No Time to Die</t>
        </is>
      </c>
      <c r="F279" s="1" t="inlineStr">
        <is>
          <t>F0004, F0005</t>
        </is>
      </c>
    </row>
    <row r="280" ht="15.75" customHeight="1" s="95">
      <c r="A280" s="1" t="inlineStr">
        <is>
          <t>Mads Mikkelsen</t>
        </is>
      </c>
      <c r="B280" s="1" t="n">
        <v>2</v>
      </c>
      <c r="C280" s="1" t="n">
        <v>2006</v>
      </c>
      <c r="D280" s="1" t="n">
        <v>2010</v>
      </c>
      <c r="E280" s="4" t="inlineStr">
        <is>
          <t>Casino Royale, Clash of the Titans</t>
        </is>
      </c>
      <c r="F280" s="1" t="inlineStr">
        <is>
          <t>F0001, F0066</t>
        </is>
      </c>
    </row>
    <row r="281" ht="15.75" customHeight="1" s="95">
      <c r="A281" s="1" t="inlineStr">
        <is>
          <t>Maggie Grace</t>
        </is>
      </c>
      <c r="B281" s="1" t="n">
        <v>2</v>
      </c>
      <c r="C281" s="1" t="n">
        <v>2008</v>
      </c>
      <c r="D281" s="1" t="n">
        <v>2012</v>
      </c>
      <c r="E281" s="4" t="inlineStr">
        <is>
          <t>Taken, Taken 2</t>
        </is>
      </c>
      <c r="F281" s="1" t="inlineStr">
        <is>
          <t>F0306, F0307</t>
        </is>
      </c>
    </row>
    <row r="282" ht="15.75" customHeight="1" s="95">
      <c r="A282" s="1" t="inlineStr">
        <is>
          <t>Maggie Gyllenhaal</t>
        </is>
      </c>
      <c r="B282" s="1" t="n">
        <v>2</v>
      </c>
      <c r="C282" s="1" t="n">
        <v>2008</v>
      </c>
      <c r="D282" s="1" t="n">
        <v>2013</v>
      </c>
      <c r="E282" s="4" t="inlineStr">
        <is>
          <t>The Dark Knight, White House Down</t>
        </is>
      </c>
      <c r="F282" s="1" t="inlineStr">
        <is>
          <t>F0044, F0335</t>
        </is>
      </c>
    </row>
    <row r="283" ht="15.75" customHeight="1" s="95">
      <c r="A283" s="1" t="inlineStr">
        <is>
          <t>Margaret Qualley</t>
        </is>
      </c>
      <c r="B283" s="1" t="n">
        <v>2</v>
      </c>
      <c r="C283" s="1" t="n">
        <v>2016</v>
      </c>
      <c r="D283" s="1" t="n">
        <v>2019</v>
      </c>
      <c r="E283" s="4" t="inlineStr">
        <is>
          <t>The Nice Guys, Once Upon a Time… in Hollywood</t>
        </is>
      </c>
      <c r="F283" s="1" t="inlineStr">
        <is>
          <t>F0235, F0241</t>
        </is>
      </c>
    </row>
    <row r="284" ht="15.75" customHeight="1" s="95">
      <c r="A284" s="1" t="inlineStr">
        <is>
          <t>Margot Robbie</t>
        </is>
      </c>
      <c r="B284" s="1" t="n">
        <v>2</v>
      </c>
      <c r="C284" s="1" t="n">
        <v>2019</v>
      </c>
      <c r="D284" s="1" t="n">
        <v>2023</v>
      </c>
      <c r="E284" s="4" t="inlineStr">
        <is>
          <t>Barbie, Once Upon a Time… in Hollywood</t>
        </is>
      </c>
      <c r="F284" s="1" t="inlineStr">
        <is>
          <t>F0041, F0241</t>
        </is>
      </c>
    </row>
    <row r="285" ht="15.75" customHeight="1" s="95">
      <c r="A285" s="1" t="inlineStr">
        <is>
          <t>Martin Lawrence</t>
        </is>
      </c>
      <c r="B285" s="1" t="n">
        <v>2</v>
      </c>
      <c r="C285" s="1" t="n">
        <v>1995</v>
      </c>
      <c r="D285" s="1" t="n">
        <v>2003</v>
      </c>
      <c r="E285" s="4" t="inlineStr">
        <is>
          <t>Bad Boys, Bad Boys II</t>
        </is>
      </c>
      <c r="F285" s="1" t="inlineStr">
        <is>
          <t>F0036, F0037</t>
        </is>
      </c>
    </row>
    <row r="286" ht="15.75" customHeight="1" s="95">
      <c r="A286" s="1" t="inlineStr">
        <is>
          <t>Mary Steenburgen</t>
        </is>
      </c>
      <c r="B286" s="1" t="n">
        <v>2</v>
      </c>
      <c r="C286" s="1" t="n">
        <v>1990</v>
      </c>
      <c r="D286" s="1" t="n">
        <v>2003</v>
      </c>
      <c r="E286" s="4" t="inlineStr">
        <is>
          <t>Back to the Future Part III, Elf</t>
        </is>
      </c>
      <c r="F286" s="1" t="inlineStr">
        <is>
          <t>F0035, F0092</t>
        </is>
      </c>
    </row>
    <row r="287" ht="15.75" customHeight="1" s="95">
      <c r="A287" s="1" t="inlineStr">
        <is>
          <t>Max von Sydow</t>
        </is>
      </c>
      <c r="B287" s="1" t="n">
        <v>2</v>
      </c>
      <c r="C287" s="1" t="n">
        <v>2007</v>
      </c>
      <c r="D287" s="1" t="n">
        <v>2010</v>
      </c>
      <c r="E287" s="4" t="inlineStr">
        <is>
          <t>Robin Hood, Rush Hour 3</t>
        </is>
      </c>
      <c r="F287" s="1" t="inlineStr">
        <is>
          <t>F0267, F0271</t>
        </is>
      </c>
    </row>
    <row r="288" ht="15.75" customHeight="1" s="95">
      <c r="A288" s="1" t="inlineStr">
        <is>
          <t>Melissa McCarthy</t>
        </is>
      </c>
      <c r="B288" s="1" t="n">
        <v>2</v>
      </c>
      <c r="C288" s="1" t="n">
        <v>2013</v>
      </c>
      <c r="D288" s="1" t="n">
        <v>2015</v>
      </c>
      <c r="E288" s="4" t="inlineStr">
        <is>
          <t>The Heat, Spy</t>
        </is>
      </c>
      <c r="F288" s="1" t="inlineStr">
        <is>
          <t>F0146, F0290</t>
        </is>
      </c>
    </row>
    <row r="289" ht="15.75" customHeight="1" s="95">
      <c r="A289" s="1" t="inlineStr">
        <is>
          <t>Michael Cera</t>
        </is>
      </c>
      <c r="B289" s="1" t="n">
        <v>2</v>
      </c>
      <c r="C289" s="1" t="n">
        <v>2007</v>
      </c>
      <c r="D289" s="1" t="n">
        <v>2017</v>
      </c>
      <c r="E289" s="4" t="inlineStr">
        <is>
          <t>The Lego Batman Movie, Superbad</t>
        </is>
      </c>
      <c r="F289" s="1" t="inlineStr">
        <is>
          <t>F0193, F0303</t>
        </is>
      </c>
    </row>
    <row r="290" ht="15.75" customHeight="1" s="95">
      <c r="A290" s="1" t="inlineStr">
        <is>
          <t>Millie Bobby Brown</t>
        </is>
      </c>
      <c r="B290" s="1" t="n">
        <v>2</v>
      </c>
      <c r="C290" s="1" t="n">
        <v>2019</v>
      </c>
      <c r="D290" s="1" t="n">
        <v>2021</v>
      </c>
      <c r="E290" s="4" t="inlineStr">
        <is>
          <t>Godzilla: King of the Monsters, Godzilla vs. Kong</t>
        </is>
      </c>
      <c r="F290" s="1" t="inlineStr">
        <is>
          <t>F0122, F0123</t>
        </is>
      </c>
    </row>
    <row r="291" ht="15.75" customHeight="1" s="95">
      <c r="A291" s="1" t="inlineStr">
        <is>
          <t>Miranda Otto</t>
        </is>
      </c>
      <c r="B291" s="1" t="n">
        <v>2</v>
      </c>
      <c r="C291" s="1" t="n">
        <v>2005</v>
      </c>
      <c r="D291" s="1" t="n">
        <v>2014</v>
      </c>
      <c r="E291" s="4" t="inlineStr">
        <is>
          <t>I, Frankenstein, War of the Worlds</t>
        </is>
      </c>
      <c r="F291" s="1" t="inlineStr">
        <is>
          <t>F0159, F0332</t>
        </is>
      </c>
    </row>
    <row r="292" ht="15.75" customHeight="1" s="95">
      <c r="A292" s="1" t="inlineStr">
        <is>
          <t>Morena Baccarin</t>
        </is>
      </c>
      <c r="B292" s="1" t="n">
        <v>2</v>
      </c>
      <c r="C292" s="1" t="n">
        <v>2016</v>
      </c>
      <c r="D292" s="1" t="n">
        <v>2018</v>
      </c>
      <c r="E292" s="4" t="inlineStr">
        <is>
          <t>Deadpool, Deadpool 2</t>
        </is>
      </c>
      <c r="F292" s="1" t="inlineStr">
        <is>
          <t>F0076, F0077</t>
        </is>
      </c>
    </row>
    <row r="293" ht="15.75" customHeight="1" s="95">
      <c r="A293" s="1" t="inlineStr">
        <is>
          <t>Naomie Harris</t>
        </is>
      </c>
      <c r="B293" s="1" t="n">
        <v>2</v>
      </c>
      <c r="C293" s="1" t="n">
        <v>2010</v>
      </c>
      <c r="D293" s="1" t="n">
        <v>2012</v>
      </c>
      <c r="E293" s="4" t="inlineStr">
        <is>
          <t>Skyfall, Sex &amp; Drugs &amp; Rock &amp; Roll</t>
        </is>
      </c>
      <c r="F293" s="1" t="inlineStr">
        <is>
          <t>F0003, F0277</t>
        </is>
      </c>
    </row>
    <row r="294" ht="15.75" customHeight="1" s="95">
      <c r="A294" s="1" t="inlineStr">
        <is>
          <t>Nicholas Hoult</t>
        </is>
      </c>
      <c r="B294" s="1" t="n">
        <v>2</v>
      </c>
      <c r="C294" s="1" t="n">
        <v>2016</v>
      </c>
      <c r="D294" s="1" t="n">
        <v>2025</v>
      </c>
      <c r="E294" s="4" t="inlineStr">
        <is>
          <t>Superman, X-Men: Apocalypse</t>
        </is>
      </c>
      <c r="F294" s="1" t="inlineStr">
        <is>
          <t>F0304, F0342</t>
        </is>
      </c>
    </row>
    <row r="295" ht="15.75" customHeight="1" s="95">
      <c r="A295" s="1" t="inlineStr">
        <is>
          <t>Nick Swardson</t>
        </is>
      </c>
      <c r="B295" s="1" t="n">
        <v>2</v>
      </c>
      <c r="C295" s="1" t="n">
        <v>2011</v>
      </c>
      <c r="D295" s="1" t="n">
        <v>2011</v>
      </c>
      <c r="E295" s="4" t="inlineStr">
        <is>
          <t>30 Minutes or Less, Just Go with It</t>
        </is>
      </c>
      <c r="F295" s="1" t="inlineStr">
        <is>
          <t>F0009, F0183</t>
        </is>
      </c>
    </row>
    <row r="296" ht="15.75" customHeight="1" s="95">
      <c r="A296" s="1" t="inlineStr">
        <is>
          <t>Noomi Rapace</t>
        </is>
      </c>
      <c r="B296" s="1" t="n">
        <v>2</v>
      </c>
      <c r="C296" s="1" t="n">
        <v>2011</v>
      </c>
      <c r="D296" s="1" t="n">
        <v>2012</v>
      </c>
      <c r="E296" s="4" t="inlineStr">
        <is>
          <t>Prometheus, Sherlock Holmes: A Game of Shadows</t>
        </is>
      </c>
      <c r="F296" s="1" t="inlineStr">
        <is>
          <t>F0259, F0279</t>
        </is>
      </c>
    </row>
    <row r="297" ht="15.75" customHeight="1" s="95">
      <c r="A297" s="1" t="inlineStr">
        <is>
          <t>Olga Kurylenko</t>
        </is>
      </c>
      <c r="B297" s="1" t="n">
        <v>2</v>
      </c>
      <c r="C297" s="1" t="n">
        <v>2008</v>
      </c>
      <c r="D297" s="1" t="n">
        <v>2013</v>
      </c>
      <c r="E297" s="4" t="inlineStr">
        <is>
          <t>Quantum of Solace, Oblivion</t>
        </is>
      </c>
      <c r="F297" s="1" t="inlineStr">
        <is>
          <t>F0002, F0239</t>
        </is>
      </c>
    </row>
    <row r="298" ht="15.75" customHeight="1" s="95">
      <c r="A298" s="1" t="inlineStr">
        <is>
          <t>Olivia Wilde</t>
        </is>
      </c>
      <c r="B298" s="1" t="n">
        <v>2</v>
      </c>
      <c r="C298" s="1" t="n">
        <v>2011</v>
      </c>
      <c r="D298" s="1" t="n">
        <v>2013</v>
      </c>
      <c r="E298" s="4" t="inlineStr">
        <is>
          <t>Cowboys &amp; Aliens, Rush</t>
        </is>
      </c>
      <c r="F298" s="1" t="inlineStr">
        <is>
          <t>F0073, F0270</t>
        </is>
      </c>
    </row>
    <row r="299" ht="15.75" customHeight="1" s="95">
      <c r="A299" s="1" t="inlineStr">
        <is>
          <t>Orlando Bloom</t>
        </is>
      </c>
      <c r="B299" s="1" t="n">
        <v>2</v>
      </c>
      <c r="C299" s="1" t="n">
        <v>2013</v>
      </c>
      <c r="D299" s="1" t="n">
        <v>2014</v>
      </c>
      <c r="E299" s="4" t="inlineStr">
        <is>
          <t>The Hobbit: The Desolation of Smaug, The Hobbit: The Battle of the Five Armies</t>
        </is>
      </c>
      <c r="F299" s="1" t="inlineStr">
        <is>
          <t>F0151, F0152</t>
        </is>
      </c>
    </row>
    <row r="300" ht="15.75" customHeight="1" s="95">
      <c r="A300" s="1" t="inlineStr">
        <is>
          <t>Penélope Cruz</t>
        </is>
      </c>
      <c r="B300" s="1" t="n">
        <v>2</v>
      </c>
      <c r="C300" s="1" t="n">
        <v>2011</v>
      </c>
      <c r="D300" s="1" t="n">
        <v>2016</v>
      </c>
      <c r="E300" s="4" t="inlineStr">
        <is>
          <t>Grimsby, Pirates of the Caribbean: On Stranger Tides</t>
        </is>
      </c>
      <c r="F300" s="1" t="inlineStr">
        <is>
          <t>F0130, F0249</t>
        </is>
      </c>
    </row>
    <row r="301" ht="15.75" customHeight="1" s="95">
      <c r="A301" s="1" t="inlineStr">
        <is>
          <t>Peter Stormare</t>
        </is>
      </c>
      <c r="B301" s="1" t="n">
        <v>2</v>
      </c>
      <c r="C301" s="1" t="n">
        <v>2003</v>
      </c>
      <c r="D301" s="1" t="n">
        <v>2014</v>
      </c>
      <c r="E301" s="4" t="inlineStr">
        <is>
          <t>22 Jump Street, Bad Boys II</t>
        </is>
      </c>
      <c r="F301" s="1" t="inlineStr">
        <is>
          <t>F0008, F0037</t>
        </is>
      </c>
    </row>
    <row r="302" ht="15.75" customHeight="1" s="95">
      <c r="A302" s="1" t="inlineStr">
        <is>
          <t>Pierfrancesco Favino</t>
        </is>
      </c>
      <c r="B302" s="1" t="n">
        <v>2</v>
      </c>
      <c r="C302" s="1" t="n">
        <v>2009</v>
      </c>
      <c r="D302" s="1" t="n">
        <v>2013</v>
      </c>
      <c r="E302" s="4" t="inlineStr">
        <is>
          <t>Angels &amp; Demons, Rush</t>
        </is>
      </c>
      <c r="F302" s="1" t="inlineStr">
        <is>
          <t>F0023, F0270</t>
        </is>
      </c>
    </row>
    <row r="303" ht="15.75" customHeight="1" s="95">
      <c r="A303" s="1" t="inlineStr">
        <is>
          <t>Queen Latifah</t>
        </is>
      </c>
      <c r="B303" s="1" t="n">
        <v>2</v>
      </c>
      <c r="C303" s="1" t="n">
        <v>2006</v>
      </c>
      <c r="D303" s="1" t="n">
        <v>2009</v>
      </c>
      <c r="E303" s="4" t="inlineStr">
        <is>
          <t>Ice Age: The Meltdown, Ice Age: Dawn of the Dinosaurs</t>
        </is>
      </c>
      <c r="F303" s="1" t="inlineStr">
        <is>
          <t>F0160, F0161</t>
        </is>
      </c>
    </row>
    <row r="304" ht="15.75" customHeight="1" s="95">
      <c r="A304" s="1" t="inlineStr">
        <is>
          <t>Rafe Spall</t>
        </is>
      </c>
      <c r="B304" s="1" t="n">
        <v>2</v>
      </c>
      <c r="C304" s="1" t="n">
        <v>2007</v>
      </c>
      <c r="D304" s="1" t="n">
        <v>2018</v>
      </c>
      <c r="E304" s="4" t="inlineStr">
        <is>
          <t>Hot Fuzz, Jurassic World: Fallen Kingdom</t>
        </is>
      </c>
      <c r="F304" s="1" t="inlineStr">
        <is>
          <t>F0071, F0180</t>
        </is>
      </c>
    </row>
    <row r="305" ht="15.75" customHeight="1" s="95">
      <c r="A305" s="1" t="inlineStr">
        <is>
          <t>Ray Romano</t>
        </is>
      </c>
      <c r="B305" s="1" t="n">
        <v>2</v>
      </c>
      <c r="C305" s="1" t="n">
        <v>2006</v>
      </c>
      <c r="D305" s="1" t="n">
        <v>2009</v>
      </c>
      <c r="E305" s="4" t="inlineStr">
        <is>
          <t>Ice Age: The Meltdown, Ice Age: Dawn of the Dinosaurs</t>
        </is>
      </c>
      <c r="F305" s="1" t="inlineStr">
        <is>
          <t>F0160, F0161</t>
        </is>
      </c>
    </row>
    <row r="306" ht="15.75" customHeight="1" s="95">
      <c r="A306" s="1" t="inlineStr">
        <is>
          <t>Richard Attenborough</t>
        </is>
      </c>
      <c r="B306" s="1" t="n">
        <v>2</v>
      </c>
      <c r="C306" s="1" t="n">
        <v>1993</v>
      </c>
      <c r="D306" s="1" t="n">
        <v>1997</v>
      </c>
      <c r="E306" s="4" t="inlineStr">
        <is>
          <t>Jurassic Park, The Lost World: Jurassic Park</t>
        </is>
      </c>
      <c r="F306" s="1" t="inlineStr">
        <is>
          <t>F0176, F0177</t>
        </is>
      </c>
    </row>
    <row r="307" ht="15.75" customHeight="1" s="95">
      <c r="A307" s="1" t="inlineStr">
        <is>
          <t>Rick Yune</t>
        </is>
      </c>
      <c r="B307" s="1" t="n">
        <v>2</v>
      </c>
      <c r="C307" s="1" t="n">
        <v>2001</v>
      </c>
      <c r="D307" s="1" t="n">
        <v>2013</v>
      </c>
      <c r="E307" s="4" t="inlineStr">
        <is>
          <t>The Fast and the Furious, Olympus Has Fallen</t>
        </is>
      </c>
      <c r="F307" s="1" t="inlineStr">
        <is>
          <t>F0101, F0240</t>
        </is>
      </c>
    </row>
    <row r="308" ht="15.75" customHeight="1" s="95">
      <c r="A308" s="1" t="inlineStr">
        <is>
          <t>Ron Perlman</t>
        </is>
      </c>
      <c r="B308" s="1" t="n">
        <v>2</v>
      </c>
      <c r="C308" s="1" t="n">
        <v>1997</v>
      </c>
      <c r="D308" s="1" t="n">
        <v>2023</v>
      </c>
      <c r="E308" s="4" t="inlineStr">
        <is>
          <t>Alien Resurrection, Transformers: Rise of the Beasts</t>
        </is>
      </c>
      <c r="F308" s="1" t="inlineStr">
        <is>
          <t>F0018, F0321</t>
        </is>
      </c>
    </row>
    <row r="309" ht="15.75" customHeight="1" s="95">
      <c r="A309" s="1" t="inlineStr">
        <is>
          <t>Russell Brand</t>
        </is>
      </c>
      <c r="B309" s="1" t="n">
        <v>2</v>
      </c>
      <c r="C309" s="1" t="n">
        <v>2008</v>
      </c>
      <c r="D309" s="1" t="n">
        <v>2013</v>
      </c>
      <c r="E309" s="4" t="inlineStr">
        <is>
          <t>Despicable Me 2, Forgetting Sarah Marshall</t>
        </is>
      </c>
      <c r="F309" s="1" t="inlineStr">
        <is>
          <t>F0083, F0115</t>
        </is>
      </c>
    </row>
    <row r="310" ht="15.75" customHeight="1" s="95">
      <c r="A310" s="1" t="inlineStr">
        <is>
          <t>Salma Hayek Pinault</t>
        </is>
      </c>
      <c r="B310" s="1" t="n">
        <v>2</v>
      </c>
      <c r="C310" s="1" t="n">
        <v>2013</v>
      </c>
      <c r="D310" s="1" t="n">
        <v>2017</v>
      </c>
      <c r="E310" s="4" t="inlineStr">
        <is>
          <t>Grown Ups 2, The Hitman's Bodyguard</t>
        </is>
      </c>
      <c r="F310" s="1" t="inlineStr">
        <is>
          <t>F0132, F0149</t>
        </is>
      </c>
    </row>
    <row r="311" ht="15.75" customHeight="1" s="95">
      <c r="A311" s="1" t="inlineStr">
        <is>
          <t>Sam Rockwell</t>
        </is>
      </c>
      <c r="B311" s="1" t="n">
        <v>2</v>
      </c>
      <c r="C311" s="1" t="n">
        <v>2011</v>
      </c>
      <c r="D311" s="1" t="n">
        <v>2019</v>
      </c>
      <c r="E311" s="4" t="inlineStr">
        <is>
          <t>Cowboys &amp; Aliens, Jojo Rabbit</t>
        </is>
      </c>
      <c r="F311" s="1" t="inlineStr">
        <is>
          <t>F0073, F0170</t>
        </is>
      </c>
    </row>
    <row r="312" ht="15.75" customHeight="1" s="95">
      <c r="A312" s="1" t="inlineStr">
        <is>
          <t>Sandra Bullock</t>
        </is>
      </c>
      <c r="B312" s="1" t="n">
        <v>2</v>
      </c>
      <c r="C312" s="1" t="n">
        <v>2013</v>
      </c>
      <c r="D312" s="1" t="n">
        <v>2015</v>
      </c>
      <c r="E312" s="4" t="inlineStr">
        <is>
          <t>The Heat, Minions</t>
        </is>
      </c>
      <c r="F312" s="1" t="inlineStr">
        <is>
          <t>F0146, F0220</t>
        </is>
      </c>
    </row>
    <row r="313" ht="15.75" customHeight="1" s="95">
      <c r="A313" s="1" t="inlineStr">
        <is>
          <t>Sarah Silverman</t>
        </is>
      </c>
      <c r="B313" s="1" t="n">
        <v>2</v>
      </c>
      <c r="C313" s="1" t="n">
        <v>2012</v>
      </c>
      <c r="D313" s="1" t="n">
        <v>2018</v>
      </c>
      <c r="E313" s="4" t="inlineStr">
        <is>
          <t>Wreck-It Ralph, Ralph Breaks the Internet</t>
        </is>
      </c>
      <c r="F313" s="1" t="inlineStr">
        <is>
          <t>F0336, F0337</t>
        </is>
      </c>
    </row>
    <row r="314" ht="15.75" customHeight="1" s="95">
      <c r="A314" s="1" t="inlineStr">
        <is>
          <t>Seann William Scott</t>
        </is>
      </c>
      <c r="B314" s="1" t="n">
        <v>2</v>
      </c>
      <c r="C314" s="1" t="n">
        <v>2006</v>
      </c>
      <c r="D314" s="1" t="n">
        <v>2010</v>
      </c>
      <c r="E314" s="4" t="inlineStr">
        <is>
          <t>Cop Out, Ice Age: The Meltdown</t>
        </is>
      </c>
      <c r="F314" s="1" t="inlineStr">
        <is>
          <t>F0069, F0160</t>
        </is>
      </c>
    </row>
    <row r="315" ht="15.75" customHeight="1" s="95">
      <c r="A315" s="1" t="inlineStr">
        <is>
          <t>Shane Brolly</t>
        </is>
      </c>
      <c r="B315" s="1" t="n">
        <v>2</v>
      </c>
      <c r="C315" s="1" t="n">
        <v>2006</v>
      </c>
      <c r="D315" s="1" t="n">
        <v>2009</v>
      </c>
      <c r="E315" s="4" t="inlineStr">
        <is>
          <t>Underworld: Evolution, Underworld: Rise of the Lycans</t>
        </is>
      </c>
      <c r="F315" s="1" t="inlineStr">
        <is>
          <t>F0326, F0327</t>
        </is>
      </c>
    </row>
    <row r="316" ht="15.75" customHeight="1" s="95">
      <c r="A316" s="1" t="inlineStr">
        <is>
          <t>Simon Bird</t>
        </is>
      </c>
      <c r="B316" s="1" t="n">
        <v>2</v>
      </c>
      <c r="C316" s="1" t="n">
        <v>2011</v>
      </c>
      <c r="D316" s="1" t="n">
        <v>2014</v>
      </c>
      <c r="E316" s="4" t="inlineStr">
        <is>
          <t>The Inbetweeners Movie, The Inbetweeners 2</t>
        </is>
      </c>
      <c r="F316" s="1" t="inlineStr">
        <is>
          <t>F0163, F0164</t>
        </is>
      </c>
    </row>
    <row r="317" ht="15.75" customHeight="1" s="95">
      <c r="A317" s="1" t="inlineStr">
        <is>
          <t>Simon McBurney</t>
        </is>
      </c>
      <c r="B317" s="1" t="n">
        <v>2</v>
      </c>
      <c r="C317" s="1" t="n">
        <v>2008</v>
      </c>
      <c r="D317" s="1" t="n">
        <v>2014</v>
      </c>
      <c r="E317" s="4" t="inlineStr">
        <is>
          <t>Body of Lies, The Theory of Everything</t>
        </is>
      </c>
      <c r="F317" s="1" t="inlineStr">
        <is>
          <t>F0051, F0311</t>
        </is>
      </c>
    </row>
    <row r="318" ht="15.75" customHeight="1" s="95">
      <c r="A318" s="1" t="inlineStr">
        <is>
          <t>Steve Coogan</t>
        </is>
      </c>
      <c r="B318" s="1" t="n">
        <v>2</v>
      </c>
      <c r="C318" s="1" t="n">
        <v>2013</v>
      </c>
      <c r="D318" s="1" t="n">
        <v>2015</v>
      </c>
      <c r="E318" s="4" t="inlineStr">
        <is>
          <t>Alan Partridge: Alpha Papa, Minions</t>
        </is>
      </c>
      <c r="F318" s="1" t="inlineStr">
        <is>
          <t>F0014, F0220</t>
        </is>
      </c>
    </row>
    <row r="319" ht="15.75" customHeight="1" s="95">
      <c r="A319" s="1" t="inlineStr">
        <is>
          <t>Taraji P. Henson</t>
        </is>
      </c>
      <c r="B319" s="1" t="n">
        <v>2</v>
      </c>
      <c r="C319" s="1" t="n">
        <v>2010</v>
      </c>
      <c r="D319" s="1" t="n">
        <v>2018</v>
      </c>
      <c r="E319" s="4" t="inlineStr">
        <is>
          <t>The Karate Kid, Ralph Breaks the Internet</t>
        </is>
      </c>
      <c r="F319" s="1" t="inlineStr">
        <is>
          <t>F0184, F0337</t>
        </is>
      </c>
    </row>
    <row r="320" ht="15.75" customHeight="1" s="95">
      <c r="A320" s="1" t="inlineStr">
        <is>
          <t>Teresa Palmer</t>
        </is>
      </c>
      <c r="B320" s="1" t="n">
        <v>2</v>
      </c>
      <c r="C320" s="1" t="n">
        <v>2016</v>
      </c>
      <c r="D320" s="1" t="n">
        <v>2024</v>
      </c>
      <c r="E320" s="4" t="inlineStr">
        <is>
          <t>The Fall Guy, Hacksaw Ridge</t>
        </is>
      </c>
      <c r="F320" s="1" t="inlineStr">
        <is>
          <t>F0099, F0133</t>
        </is>
      </c>
    </row>
    <row r="321" ht="15.75" customHeight="1" s="95">
      <c r="A321" s="1" t="inlineStr">
        <is>
          <t>Theo James</t>
        </is>
      </c>
      <c r="B321" s="1" t="n">
        <v>2</v>
      </c>
      <c r="C321" s="1" t="n">
        <v>2012</v>
      </c>
      <c r="D321" s="1" t="n">
        <v>2014</v>
      </c>
      <c r="E321" s="4" t="inlineStr">
        <is>
          <t>Divergent, Underworld: Awakening</t>
        </is>
      </c>
      <c r="F321" s="1" t="inlineStr">
        <is>
          <t>F0089, F0328</t>
        </is>
      </c>
    </row>
    <row r="322" ht="15.75" customHeight="1" s="95">
      <c r="A322" s="1" t="inlineStr">
        <is>
          <t>Thomas F. Wilson</t>
        </is>
      </c>
      <c r="B322" s="1" t="n">
        <v>2</v>
      </c>
      <c r="C322" s="1" t="n">
        <v>1989</v>
      </c>
      <c r="D322" s="1" t="n">
        <v>1990</v>
      </c>
      <c r="E322" s="4" t="inlineStr">
        <is>
          <t>Back to the Future Part II, Back to the Future Part III</t>
        </is>
      </c>
      <c r="F322" s="1" t="inlineStr">
        <is>
          <t>F0034, F0035</t>
        </is>
      </c>
    </row>
    <row r="323" ht="15.75" customHeight="1" s="95">
      <c r="A323" s="1" t="inlineStr">
        <is>
          <t>Tim Robbins</t>
        </is>
      </c>
      <c r="B323" s="1" t="n">
        <v>2</v>
      </c>
      <c r="C323" s="1" t="n">
        <v>2005</v>
      </c>
      <c r="D323" s="1" t="n">
        <v>2011</v>
      </c>
      <c r="E323" s="4" t="inlineStr">
        <is>
          <t>Green Lantern, War of the Worlds</t>
        </is>
      </c>
      <c r="F323" s="1" t="inlineStr">
        <is>
          <t>F0128, F0332</t>
        </is>
      </c>
    </row>
    <row r="324" ht="15.75" customHeight="1" s="95">
      <c r="A324" s="1" t="inlineStr">
        <is>
          <t>Toby Jones</t>
        </is>
      </c>
      <c r="B324" s="1" t="n">
        <v>2</v>
      </c>
      <c r="C324" s="1" t="n">
        <v>2002</v>
      </c>
      <c r="D324" s="1" t="n">
        <v>2010</v>
      </c>
      <c r="E324" s="4" t="inlineStr">
        <is>
          <t>Harry Potter and the Chamber of Secrets, Harry Potter and the Deathly Hallows: Part 1</t>
        </is>
      </c>
      <c r="F324" s="1" t="inlineStr">
        <is>
          <t>F0138, F0143</t>
        </is>
      </c>
    </row>
    <row r="325" ht="15.75" customHeight="1" s="95">
      <c r="A325" s="1" t="inlineStr">
        <is>
          <t>Tommy Lee Jones</t>
        </is>
      </c>
      <c r="B325" s="1" t="n">
        <v>2</v>
      </c>
      <c r="C325" s="1" t="n">
        <v>1997</v>
      </c>
      <c r="D325" s="1" t="n">
        <v>2012</v>
      </c>
      <c r="E325" s="4" t="inlineStr">
        <is>
          <t>Men in Black, Men in Black 3</t>
        </is>
      </c>
      <c r="F325" s="1" t="inlineStr">
        <is>
          <t>F0218, F0219</t>
        </is>
      </c>
    </row>
    <row r="326" ht="15.75" customHeight="1" s="95">
      <c r="A326" s="1" t="inlineStr">
        <is>
          <t>Téa Leoni</t>
        </is>
      </c>
      <c r="B326" s="1" t="n">
        <v>2</v>
      </c>
      <c r="C326" s="1" t="n">
        <v>1995</v>
      </c>
      <c r="D326" s="1" t="n">
        <v>2001</v>
      </c>
      <c r="E326" s="4" t="inlineStr">
        <is>
          <t>Bad Boys, Jurassic Park III</t>
        </is>
      </c>
      <c r="F326" s="1" t="inlineStr">
        <is>
          <t>F0036, F0178</t>
        </is>
      </c>
    </row>
    <row r="327" ht="15.75" customHeight="1" s="95">
      <c r="A327" s="1" t="inlineStr">
        <is>
          <t>Wallace Shawn</t>
        </is>
      </c>
      <c r="B327" s="1" t="n">
        <v>2</v>
      </c>
      <c r="C327" s="1" t="n">
        <v>1995</v>
      </c>
      <c r="D327" s="1" t="n">
        <v>2010</v>
      </c>
      <c r="E327" s="4" t="inlineStr">
        <is>
          <t>Toy Story, Toy Story 3</t>
        </is>
      </c>
      <c r="F327" s="1" t="inlineStr">
        <is>
          <t>F0312, F0314</t>
        </is>
      </c>
    </row>
    <row r="328" ht="15.75" customHeight="1" s="95">
      <c r="A328" s="1" t="inlineStr">
        <is>
          <t>will.i.am</t>
        </is>
      </c>
      <c r="B328" s="1" t="n">
        <v>2</v>
      </c>
      <c r="C328" s="1" t="n">
        <v>2011</v>
      </c>
      <c r="D328" s="1" t="n">
        <v>2014</v>
      </c>
      <c r="E328" s="4" t="inlineStr">
        <is>
          <t>Rio, Rio 2</t>
        </is>
      </c>
      <c r="F328" s="1" t="inlineStr">
        <is>
          <t>F0265, F0266</t>
        </is>
      </c>
    </row>
    <row r="329" ht="15.75" customHeight="1" s="95">
      <c r="A329" s="1" t="inlineStr">
        <is>
          <t>William H. Macy</t>
        </is>
      </c>
      <c r="B329" s="1" t="n">
        <v>2</v>
      </c>
      <c r="C329" s="1" t="n">
        <v>2001</v>
      </c>
      <c r="D329" s="1" t="n">
        <v>2024</v>
      </c>
      <c r="E329" s="4" t="inlineStr">
        <is>
          <t>Jurassic Park III, Kingdom of the Planet of the Apes</t>
        </is>
      </c>
      <c r="F329" s="1" t="inlineStr">
        <is>
          <t>F0178, F0256</t>
        </is>
      </c>
    </row>
    <row r="330" ht="15.75" customHeight="1" s="95">
      <c r="A330" s="1" t="inlineStr">
        <is>
          <t>Zac Efron</t>
        </is>
      </c>
      <c r="B330" s="1" t="n">
        <v>2</v>
      </c>
      <c r="C330" s="1" t="n">
        <v>2016</v>
      </c>
      <c r="D330" s="1" t="n">
        <v>2017</v>
      </c>
      <c r="E330" s="4" t="inlineStr">
        <is>
          <t>Dirty Grandpa, The Greatest Showman</t>
        </is>
      </c>
      <c r="F330" s="1" t="inlineStr">
        <is>
          <t>F0087, F0127</t>
        </is>
      </c>
    </row>
    <row r="331" ht="15.75" customHeight="1" s="95">
      <c r="A331" s="1" t="inlineStr">
        <is>
          <t>Zoë Kravitz</t>
        </is>
      </c>
      <c r="B331" s="1" t="n">
        <v>2</v>
      </c>
      <c r="C331" s="1" t="n">
        <v>2014</v>
      </c>
      <c r="D331" s="1" t="n">
        <v>2022</v>
      </c>
      <c r="E331" s="4" t="inlineStr">
        <is>
          <t>The Batman, Divergent</t>
        </is>
      </c>
      <c r="F331" s="1" t="inlineStr">
        <is>
          <t>F0042, F0089</t>
        </is>
      </c>
    </row>
    <row r="332" ht="15.75" customHeight="1" s="95">
      <c r="A332" s="1" t="inlineStr">
        <is>
          <t>50 Cent</t>
        </is>
      </c>
      <c r="B332" s="1" t="n">
        <v>1</v>
      </c>
      <c r="C332" s="1" t="n">
        <v>2015</v>
      </c>
      <c r="D332" s="1" t="n">
        <v>2015</v>
      </c>
      <c r="E332" s="4" t="inlineStr">
        <is>
          <t>Southpaw</t>
        </is>
      </c>
      <c r="F332" s="1" t="inlineStr">
        <is>
          <t>F0286</t>
        </is>
      </c>
    </row>
    <row r="333" ht="15.75" customHeight="1" s="95">
      <c r="A333" s="1" t="inlineStr">
        <is>
          <t>Aaron Paul</t>
        </is>
      </c>
      <c r="B333" s="1" t="n">
        <v>1</v>
      </c>
      <c r="C333" s="1" t="n">
        <v>2014</v>
      </c>
      <c r="D333" s="1" t="n">
        <v>2014</v>
      </c>
      <c r="E333" s="4" t="inlineStr">
        <is>
          <t>Need for Speed</t>
        </is>
      </c>
      <c r="F333" s="1" t="inlineStr">
        <is>
          <t>F0234</t>
        </is>
      </c>
    </row>
    <row r="334" ht="15.75" customHeight="1" s="95">
      <c r="A334" s="1" t="inlineStr">
        <is>
          <t>Adam Beach</t>
        </is>
      </c>
      <c r="B334" s="1" t="n">
        <v>1</v>
      </c>
      <c r="C334" s="1" t="n">
        <v>2011</v>
      </c>
      <c r="D334" s="1" t="n">
        <v>2011</v>
      </c>
      <c r="E334" s="4" t="inlineStr">
        <is>
          <t>Cowboys &amp; Aliens</t>
        </is>
      </c>
      <c r="F334" s="1" t="inlineStr">
        <is>
          <t>F0073</t>
        </is>
      </c>
    </row>
    <row r="335" ht="15.75" customHeight="1" s="95">
      <c r="A335" s="1" t="inlineStr">
        <is>
          <t>Adam Deacon</t>
        </is>
      </c>
      <c r="B335" s="1" t="n">
        <v>1</v>
      </c>
      <c r="C335" s="1" t="n">
        <v>2011</v>
      </c>
      <c r="D335" s="1" t="n">
        <v>2011</v>
      </c>
      <c r="E335" s="4" t="inlineStr">
        <is>
          <t>Anuvahood</t>
        </is>
      </c>
      <c r="F335" s="1" t="inlineStr">
        <is>
          <t>F0024</t>
        </is>
      </c>
    </row>
    <row r="336" ht="15.75" customHeight="1" s="95">
      <c r="A336" s="1" t="inlineStr">
        <is>
          <t>Adewale Akinnuoye-Agbaje</t>
        </is>
      </c>
      <c r="B336" s="1" t="n">
        <v>1</v>
      </c>
      <c r="C336" s="1" t="n">
        <v>2009</v>
      </c>
      <c r="D336" s="1" t="n">
        <v>2009</v>
      </c>
      <c r="E336" s="4" t="inlineStr">
        <is>
          <t>G.I. Joe: The Rise of Cobra</t>
        </is>
      </c>
      <c r="F336" s="1" t="inlineStr">
        <is>
          <t>F0118</t>
        </is>
      </c>
    </row>
    <row r="337" ht="15.75" customHeight="1" s="95">
      <c r="A337" s="1" t="inlineStr">
        <is>
          <t>Adrien Brody</t>
        </is>
      </c>
      <c r="B337" s="1" t="n">
        <v>1</v>
      </c>
      <c r="C337" s="1" t="n">
        <v>2005</v>
      </c>
      <c r="D337" s="1" t="n">
        <v>2005</v>
      </c>
      <c r="E337" s="4" t="inlineStr">
        <is>
          <t>King Kong</t>
        </is>
      </c>
      <c r="F337" s="1" t="inlineStr">
        <is>
          <t>F0188</t>
        </is>
      </c>
    </row>
    <row r="338" ht="15.75" customHeight="1" s="95">
      <c r="A338" s="1" t="inlineStr">
        <is>
          <t>Agata Buzek</t>
        </is>
      </c>
      <c r="B338" s="1" t="n">
        <v>1</v>
      </c>
      <c r="C338" s="1" t="n">
        <v>2013</v>
      </c>
      <c r="D338" s="1" t="n">
        <v>2013</v>
      </c>
      <c r="E338" s="4" t="inlineStr">
        <is>
          <t>Hummingbird</t>
        </is>
      </c>
      <c r="F338" s="1" t="inlineStr">
        <is>
          <t>F0156</t>
        </is>
      </c>
    </row>
    <row r="339" ht="15.75" customHeight="1" s="95">
      <c r="A339" s="1" t="inlineStr">
        <is>
          <t>Ahney Her</t>
        </is>
      </c>
      <c r="B339" s="1" t="n">
        <v>1</v>
      </c>
      <c r="C339" s="1" t="n">
        <v>2008</v>
      </c>
      <c r="D339" s="1" t="n">
        <v>2008</v>
      </c>
      <c r="E339" s="4" t="inlineStr">
        <is>
          <t>Gran Torino</t>
        </is>
      </c>
      <c r="F339" s="1" t="inlineStr">
        <is>
          <t>F0125</t>
        </is>
      </c>
    </row>
    <row r="340" ht="15.75" customHeight="1" s="95">
      <c r="A340" s="1" t="inlineStr">
        <is>
          <t>Aidan Quinn</t>
        </is>
      </c>
      <c r="B340" s="1" t="n">
        <v>1</v>
      </c>
      <c r="C340" s="1" t="n">
        <v>2011</v>
      </c>
      <c r="D340" s="1" t="n">
        <v>2011</v>
      </c>
      <c r="E340" s="4" t="inlineStr">
        <is>
          <t>Unknown</t>
        </is>
      </c>
      <c r="F340" s="1" t="inlineStr">
        <is>
          <t>F0329</t>
        </is>
      </c>
    </row>
    <row r="341" ht="15.75" customHeight="1" s="95">
      <c r="A341" s="1" t="inlineStr">
        <is>
          <t>Aksel Hennie</t>
        </is>
      </c>
      <c r="B341" s="1" t="n">
        <v>1</v>
      </c>
      <c r="C341" s="1" t="n">
        <v>2014</v>
      </c>
      <c r="D341" s="1" t="n">
        <v>2014</v>
      </c>
      <c r="E341" s="4" t="inlineStr">
        <is>
          <t>Hercules</t>
        </is>
      </c>
      <c r="F341" s="1" t="inlineStr">
        <is>
          <t>F0147</t>
        </is>
      </c>
    </row>
    <row r="342" ht="15.75" customHeight="1" s="95">
      <c r="A342" s="1" t="inlineStr">
        <is>
          <t>Alain Prost</t>
        </is>
      </c>
      <c r="B342" s="1" t="n">
        <v>1</v>
      </c>
      <c r="C342" s="1" t="n">
        <v>2010</v>
      </c>
      <c r="D342" s="1" t="n">
        <v>2010</v>
      </c>
      <c r="E342" s="4" t="inlineStr">
        <is>
          <t>Senna</t>
        </is>
      </c>
      <c r="F342" s="1" t="inlineStr">
        <is>
          <t>F0275</t>
        </is>
      </c>
    </row>
    <row r="343" ht="15.75" customHeight="1" s="95">
      <c r="A343" s="1" t="inlineStr">
        <is>
          <t>Alan Arkin</t>
        </is>
      </c>
      <c r="B343" s="1" t="n">
        <v>1</v>
      </c>
      <c r="C343" s="1" t="n">
        <v>2012</v>
      </c>
      <c r="D343" s="1" t="n">
        <v>2012</v>
      </c>
      <c r="E343" s="4" t="inlineStr">
        <is>
          <t>Argo</t>
        </is>
      </c>
      <c r="F343" s="1" t="inlineStr">
        <is>
          <t>F0025</t>
        </is>
      </c>
    </row>
    <row r="344" ht="15.75" customHeight="1" s="95">
      <c r="A344" s="1" t="inlineStr">
        <is>
          <t>Alan Ford</t>
        </is>
      </c>
      <c r="B344" s="1" t="n">
        <v>1</v>
      </c>
      <c r="C344" s="1" t="n">
        <v>2012</v>
      </c>
      <c r="D344" s="1" t="n">
        <v>2012</v>
      </c>
      <c r="E344" s="4" t="inlineStr">
        <is>
          <t>The Sweeney</t>
        </is>
      </c>
      <c r="F344" s="1" t="inlineStr">
        <is>
          <t>F0305</t>
        </is>
      </c>
    </row>
    <row r="345" ht="15.75" customHeight="1" s="95">
      <c r="A345" s="1" t="inlineStr">
        <is>
          <t>Alan Rickman</t>
        </is>
      </c>
      <c r="B345" s="1" t="n">
        <v>1</v>
      </c>
      <c r="C345" s="1" t="n">
        <v>2011</v>
      </c>
      <c r="D345" s="1" t="n">
        <v>2011</v>
      </c>
      <c r="E345" s="4" t="inlineStr">
        <is>
          <t>Harry Potter and the Deathly Hallows: Part 2</t>
        </is>
      </c>
      <c r="F345" s="1" t="inlineStr">
        <is>
          <t>F0144</t>
        </is>
      </c>
    </row>
    <row r="346" ht="15.75" customHeight="1" s="95">
      <c r="A346" s="1" t="inlineStr">
        <is>
          <t>Alan Ritchson</t>
        </is>
      </c>
      <c r="B346" s="1" t="n">
        <v>1</v>
      </c>
      <c r="C346" s="1" t="n">
        <v>2014</v>
      </c>
      <c r="D346" s="1" t="n">
        <v>2014</v>
      </c>
      <c r="E346" s="4" t="inlineStr">
        <is>
          <t>Teenage Mutant Ninja Turtles</t>
        </is>
      </c>
      <c r="F346" s="1" t="inlineStr">
        <is>
          <t>F0309</t>
        </is>
      </c>
    </row>
    <row r="347" ht="15.75" customHeight="1" s="95">
      <c r="A347" s="1" t="inlineStr">
        <is>
          <t>Alan Tudyk</t>
        </is>
      </c>
      <c r="B347" s="1" t="n">
        <v>1</v>
      </c>
      <c r="C347" s="1" t="n">
        <v>2012</v>
      </c>
      <c r="D347" s="1" t="n">
        <v>2012</v>
      </c>
      <c r="E347" s="4" t="inlineStr">
        <is>
          <t>Wreck-It Ralph</t>
        </is>
      </c>
      <c r="F347" s="1" t="inlineStr">
        <is>
          <t>F0336</t>
        </is>
      </c>
    </row>
    <row r="348" ht="15.75" customHeight="1" s="95">
      <c r="A348" s="1" t="inlineStr">
        <is>
          <t>Albert Brooks</t>
        </is>
      </c>
      <c r="B348" s="1" t="n">
        <v>1</v>
      </c>
      <c r="C348" s="1" t="n">
        <v>2016</v>
      </c>
      <c r="D348" s="1" t="n">
        <v>2016</v>
      </c>
      <c r="E348" s="4" t="inlineStr">
        <is>
          <t>Finding Dory</t>
        </is>
      </c>
      <c r="F348" s="1" t="inlineStr">
        <is>
          <t>F0113</t>
        </is>
      </c>
    </row>
    <row r="349" ht="15.75" customHeight="1" s="95">
      <c r="A349" s="1" t="inlineStr">
        <is>
          <t>Aldis Hodge</t>
        </is>
      </c>
      <c r="B349" s="1" t="n">
        <v>1</v>
      </c>
      <c r="C349" s="1" t="n">
        <v>2015</v>
      </c>
      <c r="D349" s="1" t="n">
        <v>2015</v>
      </c>
      <c r="E349" s="4" t="inlineStr">
        <is>
          <t>Straight Outta Compton</t>
        </is>
      </c>
      <c r="F349" s="1" t="inlineStr">
        <is>
          <t>F0301</t>
        </is>
      </c>
    </row>
    <row r="350" ht="15.75" customHeight="1" s="95">
      <c r="A350" s="1" t="inlineStr">
        <is>
          <t>Alec Guinness</t>
        </is>
      </c>
      <c r="B350" s="1" t="n">
        <v>1</v>
      </c>
      <c r="C350" s="1" t="n">
        <v>1977</v>
      </c>
      <c r="D350" s="1" t="n">
        <v>1977</v>
      </c>
      <c r="E350" s="4" t="inlineStr">
        <is>
          <t>Star Wars: Episode IV – A New Hope</t>
        </is>
      </c>
      <c r="F350" s="1" t="inlineStr">
        <is>
          <t>F0295</t>
        </is>
      </c>
    </row>
    <row r="351" ht="15.75" customHeight="1" s="95">
      <c r="A351" s="1" t="inlineStr">
        <is>
          <t>Alessandro Nivola</t>
        </is>
      </c>
      <c r="B351" s="1" t="n">
        <v>1</v>
      </c>
      <c r="C351" s="1" t="n">
        <v>2001</v>
      </c>
      <c r="D351" s="1" t="n">
        <v>2001</v>
      </c>
      <c r="E351" s="4" t="inlineStr">
        <is>
          <t>Jurassic Park III</t>
        </is>
      </c>
      <c r="F351" s="1" t="inlineStr">
        <is>
          <t>F0178</t>
        </is>
      </c>
    </row>
    <row r="352" ht="15.75" customHeight="1" s="95">
      <c r="A352" s="1" t="inlineStr">
        <is>
          <t>Alex Esmail</t>
        </is>
      </c>
      <c r="B352" s="1" t="n">
        <v>1</v>
      </c>
      <c r="C352" s="1" t="n">
        <v>2011</v>
      </c>
      <c r="D352" s="1" t="n">
        <v>2011</v>
      </c>
      <c r="E352" s="4" t="inlineStr">
        <is>
          <t>Attack the Block</t>
        </is>
      </c>
      <c r="F352" s="1" t="inlineStr">
        <is>
          <t>F0027</t>
        </is>
      </c>
    </row>
    <row r="353" ht="15.75" customHeight="1" s="95">
      <c r="A353" s="1" t="inlineStr">
        <is>
          <t>Alex Pettyfer</t>
        </is>
      </c>
      <c r="B353" s="1" t="n">
        <v>1</v>
      </c>
      <c r="C353" s="1" t="n">
        <v>2012</v>
      </c>
      <c r="D353" s="1" t="n">
        <v>2012</v>
      </c>
      <c r="E353" s="4" t="inlineStr">
        <is>
          <t>Magic Mike</t>
        </is>
      </c>
      <c r="F353" s="1" t="inlineStr">
        <is>
          <t>F0206</t>
        </is>
      </c>
    </row>
    <row r="354" ht="15.75" customHeight="1" s="95">
      <c r="A354" s="1" t="inlineStr">
        <is>
          <t>Alexa Davalos</t>
        </is>
      </c>
      <c r="B354" s="1" t="n">
        <v>1</v>
      </c>
      <c r="C354" s="1" t="n">
        <v>2010</v>
      </c>
      <c r="D354" s="1" t="n">
        <v>2010</v>
      </c>
      <c r="E354" s="4" t="inlineStr">
        <is>
          <t>Clash of the Titans</t>
        </is>
      </c>
      <c r="F354" s="1" t="inlineStr">
        <is>
          <t>F0066</t>
        </is>
      </c>
    </row>
    <row r="355" ht="15.75" customHeight="1" s="95">
      <c r="A355" s="1" t="inlineStr">
        <is>
          <t>Alexander Siddig</t>
        </is>
      </c>
      <c r="B355" s="1" t="n">
        <v>1</v>
      </c>
      <c r="C355" s="1" t="n">
        <v>2002</v>
      </c>
      <c r="D355" s="1" t="n">
        <v>2002</v>
      </c>
      <c r="E355" s="4" t="inlineStr">
        <is>
          <t>Reign of Fire</t>
        </is>
      </c>
      <c r="F355" s="1" t="inlineStr">
        <is>
          <t>F0263</t>
        </is>
      </c>
    </row>
    <row r="356" ht="15.75" customHeight="1" s="95">
      <c r="A356" s="1" t="inlineStr">
        <is>
          <t>Alexander Skarsgård</t>
        </is>
      </c>
      <c r="B356" s="1" t="n">
        <v>1</v>
      </c>
      <c r="C356" s="1" t="n">
        <v>2021</v>
      </c>
      <c r="D356" s="1" t="n">
        <v>2021</v>
      </c>
      <c r="E356" s="4" t="inlineStr">
        <is>
          <t>Godzilla vs. Kong</t>
        </is>
      </c>
      <c r="F356" s="1" t="inlineStr">
        <is>
          <t>F0123</t>
        </is>
      </c>
    </row>
    <row r="357" ht="15.75" customHeight="1" s="95">
      <c r="A357" s="1" t="inlineStr">
        <is>
          <t>Alexandra Maria Lara</t>
        </is>
      </c>
      <c r="B357" s="1" t="n">
        <v>1</v>
      </c>
      <c r="C357" s="1" t="n">
        <v>2013</v>
      </c>
      <c r="D357" s="1" t="n">
        <v>2013</v>
      </c>
      <c r="E357" s="4" t="inlineStr">
        <is>
          <t>Rush</t>
        </is>
      </c>
      <c r="F357" s="1" t="inlineStr">
        <is>
          <t>F0270</t>
        </is>
      </c>
    </row>
    <row r="358" ht="15.75" customHeight="1" s="95">
      <c r="A358" s="1" t="inlineStr">
        <is>
          <t>Alfonso Freeman</t>
        </is>
      </c>
      <c r="B358" s="1" t="n">
        <v>1</v>
      </c>
      <c r="C358" s="1" t="n">
        <v>2007</v>
      </c>
      <c r="D358" s="1" t="n">
        <v>2007</v>
      </c>
      <c r="E358" s="4" t="inlineStr">
        <is>
          <t>The Bucket List</t>
        </is>
      </c>
      <c r="F358" s="1" t="inlineStr">
        <is>
          <t>F0060</t>
        </is>
      </c>
    </row>
    <row r="359" ht="15.75" customHeight="1" s="95">
      <c r="A359" s="1" t="inlineStr">
        <is>
          <t>Alfred Molina</t>
        </is>
      </c>
      <c r="B359" s="1" t="n">
        <v>1</v>
      </c>
      <c r="C359" s="1" t="n">
        <v>2004</v>
      </c>
      <c r="D359" s="1" t="n">
        <v>2004</v>
      </c>
      <c r="E359" s="4" t="inlineStr">
        <is>
          <t>Spider-Man 2</t>
        </is>
      </c>
      <c r="F359" s="1" t="inlineStr">
        <is>
          <t>F0288</t>
        </is>
      </c>
    </row>
    <row r="360" ht="15.75" customHeight="1" s="95">
      <c r="A360" s="1" t="inlineStr">
        <is>
          <t>Ali Suliman</t>
        </is>
      </c>
      <c r="B360" s="1" t="n">
        <v>1</v>
      </c>
      <c r="C360" s="1" t="n">
        <v>2008</v>
      </c>
      <c r="D360" s="1" t="n">
        <v>2008</v>
      </c>
      <c r="E360" s="4" t="inlineStr">
        <is>
          <t>Body of Lies</t>
        </is>
      </c>
      <c r="F360" s="1" t="inlineStr">
        <is>
          <t>F0051</t>
        </is>
      </c>
    </row>
    <row r="361" ht="15.75" customHeight="1" s="95">
      <c r="A361" s="1" t="inlineStr">
        <is>
          <t>Alison Sudol</t>
        </is>
      </c>
      <c r="B361" s="1" t="n">
        <v>1</v>
      </c>
      <c r="C361" s="1" t="n">
        <v>2016</v>
      </c>
      <c r="D361" s="1" t="n">
        <v>2016</v>
      </c>
      <c r="E361" s="4" t="inlineStr">
        <is>
          <t>Fantastic Beasts and Where to Find Them</t>
        </is>
      </c>
      <c r="F361" s="1" t="inlineStr">
        <is>
          <t>F0100</t>
        </is>
      </c>
    </row>
    <row r="362" ht="15.75" customHeight="1" s="95">
      <c r="A362" s="1" t="inlineStr">
        <is>
          <t>Allen Leech</t>
        </is>
      </c>
      <c r="B362" s="1" t="n">
        <v>1</v>
      </c>
      <c r="C362" s="1" t="n">
        <v>2014</v>
      </c>
      <c r="D362" s="1" t="n">
        <v>2014</v>
      </c>
      <c r="E362" s="4" t="inlineStr">
        <is>
          <t>The Imitation Game</t>
        </is>
      </c>
      <c r="F362" s="1" t="inlineStr">
        <is>
          <t>F0162</t>
        </is>
      </c>
    </row>
    <row r="363" ht="15.75" customHeight="1" s="95">
      <c r="A363" s="1" t="inlineStr">
        <is>
          <t>Allison Janney</t>
        </is>
      </c>
      <c r="B363" s="1" t="n">
        <v>1</v>
      </c>
      <c r="C363" s="1" t="n">
        <v>2015</v>
      </c>
      <c r="D363" s="1" t="n">
        <v>2015</v>
      </c>
      <c r="E363" s="4" t="inlineStr">
        <is>
          <t>Minions</t>
        </is>
      </c>
      <c r="F363" s="1" t="inlineStr">
        <is>
          <t>F0220</t>
        </is>
      </c>
    </row>
    <row r="364" ht="15.75" customHeight="1" s="95">
      <c r="A364" s="1" t="inlineStr">
        <is>
          <t>Ally Sheedy</t>
        </is>
      </c>
      <c r="B364" s="1" t="n">
        <v>1</v>
      </c>
      <c r="C364" s="1" t="n">
        <v>1985</v>
      </c>
      <c r="D364" s="1" t="n">
        <v>1985</v>
      </c>
      <c r="E364" s="4" t="inlineStr">
        <is>
          <t>The Breakfast Club</t>
        </is>
      </c>
      <c r="F364" s="1" t="inlineStr">
        <is>
          <t>F0057</t>
        </is>
      </c>
    </row>
    <row r="365" ht="15.75" customHeight="1" s="95">
      <c r="A365" s="1" t="inlineStr">
        <is>
          <t>Amanda Peet</t>
        </is>
      </c>
      <c r="B365" s="1" t="n">
        <v>1</v>
      </c>
      <c r="C365" s="1" t="n">
        <v>2009</v>
      </c>
      <c r="D365" s="1" t="n">
        <v>2009</v>
      </c>
      <c r="E365" s="4" t="inlineStr">
        <is>
          <t>2012</t>
        </is>
      </c>
      <c r="F365" s="1" t="inlineStr">
        <is>
          <t>F0006</t>
        </is>
      </c>
    </row>
    <row r="366" ht="15.75" customHeight="1" s="95">
      <c r="A366" s="1" t="inlineStr">
        <is>
          <t>Amber Stevens West</t>
        </is>
      </c>
      <c r="B366" s="1" t="n">
        <v>1</v>
      </c>
      <c r="C366" s="1" t="n">
        <v>2014</v>
      </c>
      <c r="D366" s="1" t="n">
        <v>2014</v>
      </c>
      <c r="E366" s="4" t="inlineStr">
        <is>
          <t>22 Jump Street</t>
        </is>
      </c>
      <c r="F366" s="1" t="inlineStr">
        <is>
          <t>F0008</t>
        </is>
      </c>
    </row>
    <row r="367" ht="15.75" customHeight="1" s="95">
      <c r="A367" s="1" t="inlineStr">
        <is>
          <t>Aml Ameen</t>
        </is>
      </c>
      <c r="B367" s="1" t="n">
        <v>1</v>
      </c>
      <c r="C367" s="1" t="n">
        <v>2014</v>
      </c>
      <c r="D367" s="1" t="n">
        <v>2014</v>
      </c>
      <c r="E367" s="4" t="inlineStr">
        <is>
          <t>The Maze Runner</t>
        </is>
      </c>
      <c r="F367" s="1" t="inlineStr">
        <is>
          <t>F0217</t>
        </is>
      </c>
    </row>
    <row r="368" ht="15.75" customHeight="1" s="95">
      <c r="A368" s="1" t="inlineStr">
        <is>
          <t>Amy Poehler</t>
        </is>
      </c>
      <c r="B368" s="1" t="n">
        <v>1</v>
      </c>
      <c r="C368" s="1" t="n">
        <v>2015</v>
      </c>
      <c r="D368" s="1" t="n">
        <v>2015</v>
      </c>
      <c r="E368" s="4" t="inlineStr">
        <is>
          <t>Inside Out</t>
        </is>
      </c>
      <c r="F368" s="1" t="inlineStr">
        <is>
          <t>F0167</t>
        </is>
      </c>
    </row>
    <row r="369" ht="15.75" customHeight="1" s="95">
      <c r="A369" s="1" t="inlineStr">
        <is>
          <t>Amy Ryan</t>
        </is>
      </c>
      <c r="B369" s="1" t="n">
        <v>1</v>
      </c>
      <c r="C369" s="1" t="n">
        <v>2010</v>
      </c>
      <c r="D369" s="1" t="n">
        <v>2010</v>
      </c>
      <c r="E369" s="4" t="inlineStr">
        <is>
          <t>Green Zone</t>
        </is>
      </c>
      <c r="F369" s="1" t="inlineStr">
        <is>
          <t>F0129</t>
        </is>
      </c>
    </row>
    <row r="370" ht="15.75" customHeight="1" s="95">
      <c r="A370" s="1" t="inlineStr">
        <is>
          <t>Ana de la Reguera</t>
        </is>
      </c>
      <c r="B370" s="1" t="n">
        <v>1</v>
      </c>
      <c r="C370" s="1" t="n">
        <v>2010</v>
      </c>
      <c r="D370" s="1" t="n">
        <v>2010</v>
      </c>
      <c r="E370" s="4" t="inlineStr">
        <is>
          <t>Cop Out</t>
        </is>
      </c>
      <c r="F370" s="1" t="inlineStr">
        <is>
          <t>F0069</t>
        </is>
      </c>
    </row>
    <row r="371" ht="15.75" customHeight="1" s="95">
      <c r="A371" s="1" t="inlineStr">
        <is>
          <t>Andre Ward</t>
        </is>
      </c>
      <c r="B371" s="1" t="n">
        <v>1</v>
      </c>
      <c r="C371" s="1" t="n">
        <v>2015</v>
      </c>
      <c r="D371" s="1" t="n">
        <v>2015</v>
      </c>
      <c r="E371" s="4" t="inlineStr">
        <is>
          <t>Creed</t>
        </is>
      </c>
      <c r="F371" s="1" t="inlineStr">
        <is>
          <t>F0074</t>
        </is>
      </c>
    </row>
    <row r="372" ht="15.75" customHeight="1" s="95">
      <c r="A372" s="1" t="inlineStr">
        <is>
          <t>Andrea Riseborough</t>
        </is>
      </c>
      <c r="B372" s="1" t="n">
        <v>1</v>
      </c>
      <c r="C372" s="1" t="n">
        <v>2013</v>
      </c>
      <c r="D372" s="1" t="n">
        <v>2013</v>
      </c>
      <c r="E372" s="4" t="inlineStr">
        <is>
          <t>Oblivion</t>
        </is>
      </c>
      <c r="F372" s="1" t="inlineStr">
        <is>
          <t>F0239</t>
        </is>
      </c>
    </row>
    <row r="373" ht="15.75" customHeight="1" s="95">
      <c r="A373" s="1" t="inlineStr">
        <is>
          <t>Andy Samberg</t>
        </is>
      </c>
      <c r="B373" s="1" t="n">
        <v>1</v>
      </c>
      <c r="C373" s="1" t="n">
        <v>2013</v>
      </c>
      <c r="D373" s="1" t="n">
        <v>2013</v>
      </c>
      <c r="E373" s="4" t="inlineStr">
        <is>
          <t>Cloudy with a Chance of Meatballs 2</t>
        </is>
      </c>
      <c r="F373" s="1" t="inlineStr">
        <is>
          <t>F0067</t>
        </is>
      </c>
    </row>
    <row r="374" ht="15.75" customHeight="1" s="95">
      <c r="A374" s="1" t="inlineStr">
        <is>
          <t>Angourie Rice</t>
        </is>
      </c>
      <c r="B374" s="1" t="n">
        <v>1</v>
      </c>
      <c r="C374" s="1" t="n">
        <v>2016</v>
      </c>
      <c r="D374" s="1" t="n">
        <v>2016</v>
      </c>
      <c r="E374" s="4" t="inlineStr">
        <is>
          <t>The Nice Guys</t>
        </is>
      </c>
      <c r="F374" s="1" t="inlineStr">
        <is>
          <t>F0235</t>
        </is>
      </c>
    </row>
    <row r="375" ht="15.75" customHeight="1" s="95">
      <c r="A375" s="1" t="inlineStr">
        <is>
          <t>Anil Kapoor</t>
        </is>
      </c>
      <c r="B375" s="1" t="n">
        <v>1</v>
      </c>
      <c r="C375" s="1" t="n">
        <v>2008</v>
      </c>
      <c r="D375" s="1" t="n">
        <v>2008</v>
      </c>
      <c r="E375" s="4" t="inlineStr">
        <is>
          <t>Slumdog Millionaire</t>
        </is>
      </c>
      <c r="F375" s="1" t="inlineStr">
        <is>
          <t>F0281</t>
        </is>
      </c>
    </row>
    <row r="376" ht="15.75" customHeight="1" s="95">
      <c r="A376" s="1" t="inlineStr">
        <is>
          <t>Anita Briem</t>
        </is>
      </c>
      <c r="B376" s="1" t="n">
        <v>1</v>
      </c>
      <c r="C376" s="1" t="n">
        <v>2008</v>
      </c>
      <c r="D376" s="1" t="n">
        <v>2008</v>
      </c>
      <c r="E376" s="4" t="inlineStr">
        <is>
          <t>Journey to the Center of the Earth</t>
        </is>
      </c>
      <c r="F376" s="1" t="inlineStr">
        <is>
          <t>F0174</t>
        </is>
      </c>
    </row>
    <row r="377" ht="15.75" customHeight="1" s="95">
      <c r="A377" s="1" t="inlineStr">
        <is>
          <t>Anna Camp</t>
        </is>
      </c>
      <c r="B377" s="1" t="n">
        <v>1</v>
      </c>
      <c r="C377" s="1" t="n">
        <v>2012</v>
      </c>
      <c r="D377" s="1" t="n">
        <v>2012</v>
      </c>
      <c r="E377" s="4" t="inlineStr">
        <is>
          <t>Pitch Perfect</t>
        </is>
      </c>
      <c r="F377" s="1" t="inlineStr">
        <is>
          <t>F0250</t>
        </is>
      </c>
    </row>
    <row r="378" ht="15.75" customHeight="1" s="95">
      <c r="A378" s="1" t="inlineStr">
        <is>
          <t>Anna Maxwell Martin</t>
        </is>
      </c>
      <c r="B378" s="1" t="n">
        <v>1</v>
      </c>
      <c r="C378" s="1" t="n">
        <v>2013</v>
      </c>
      <c r="D378" s="1" t="n">
        <v>2013</v>
      </c>
      <c r="E378" s="4" t="inlineStr">
        <is>
          <t>Alan Partridge: Alpha Papa</t>
        </is>
      </c>
      <c r="F378" s="1" t="inlineStr">
        <is>
          <t>F0014</t>
        </is>
      </c>
    </row>
    <row r="379" ht="15.75" customHeight="1" s="95">
      <c r="A379" s="1" t="inlineStr">
        <is>
          <t>Annie Potts</t>
        </is>
      </c>
      <c r="B379" s="1" t="n">
        <v>1</v>
      </c>
      <c r="C379" s="1" t="n">
        <v>2019</v>
      </c>
      <c r="D379" s="1" t="n">
        <v>2019</v>
      </c>
      <c r="E379" s="4" t="inlineStr">
        <is>
          <t>Toy Story 4</t>
        </is>
      </c>
      <c r="F379" s="1" t="inlineStr">
        <is>
          <t>F0315</t>
        </is>
      </c>
    </row>
    <row r="380" ht="15.75" customHeight="1" s="95">
      <c r="A380" s="1" t="inlineStr">
        <is>
          <t>Ansel Elgort</t>
        </is>
      </c>
      <c r="B380" s="1" t="n">
        <v>1</v>
      </c>
      <c r="C380" s="1" t="n">
        <v>2017</v>
      </c>
      <c r="D380" s="1" t="n">
        <v>2017</v>
      </c>
      <c r="E380" s="4" t="inlineStr">
        <is>
          <t>Baby Driver</t>
        </is>
      </c>
      <c r="F380" s="1" t="inlineStr">
        <is>
          <t>F0032</t>
        </is>
      </c>
    </row>
    <row r="381" ht="15.75" customHeight="1" s="95">
      <c r="A381" s="1" t="inlineStr">
        <is>
          <t>Anthony Carrigan</t>
        </is>
      </c>
      <c r="B381" s="1" t="n">
        <v>1</v>
      </c>
      <c r="C381" s="1" t="n">
        <v>2025</v>
      </c>
      <c r="D381" s="1" t="n">
        <v>2025</v>
      </c>
      <c r="E381" s="4" t="inlineStr">
        <is>
          <t>Superman</t>
        </is>
      </c>
      <c r="F381" s="1" t="inlineStr">
        <is>
          <t>F0304</t>
        </is>
      </c>
    </row>
    <row r="382" ht="15.75" customHeight="1" s="95">
      <c r="A382" s="1" t="inlineStr">
        <is>
          <t>Anthony Edwards</t>
        </is>
      </c>
      <c r="B382" s="1" t="n">
        <v>1</v>
      </c>
      <c r="C382" s="1" t="n">
        <v>2007</v>
      </c>
      <c r="D382" s="1" t="n">
        <v>2007</v>
      </c>
      <c r="E382" s="4" t="inlineStr">
        <is>
          <t>Zodiac</t>
        </is>
      </c>
      <c r="F382" s="1" t="inlineStr">
        <is>
          <t>F0350</t>
        </is>
      </c>
    </row>
    <row r="383" ht="15.75" customHeight="1" s="95">
      <c r="A383" s="1" t="inlineStr">
        <is>
          <t>Anthony Mackie</t>
        </is>
      </c>
      <c r="B383" s="1" t="n">
        <v>1</v>
      </c>
      <c r="C383" s="1" t="n">
        <v>2012</v>
      </c>
      <c r="D383" s="1" t="n">
        <v>2012</v>
      </c>
      <c r="E383" s="4" t="inlineStr">
        <is>
          <t>Man on a Ledge</t>
        </is>
      </c>
      <c r="F383" s="1" t="inlineStr">
        <is>
          <t>F0210</t>
        </is>
      </c>
    </row>
    <row r="384" ht="15.75" customHeight="1" s="95">
      <c r="A384" s="1" t="inlineStr">
        <is>
          <t>Anthony Michael Hall</t>
        </is>
      </c>
      <c r="B384" s="1" t="n">
        <v>1</v>
      </c>
      <c r="C384" s="1" t="n">
        <v>1985</v>
      </c>
      <c r="D384" s="1" t="n">
        <v>1985</v>
      </c>
      <c r="E384" s="4" t="inlineStr">
        <is>
          <t>The Breakfast Club</t>
        </is>
      </c>
      <c r="F384" s="1" t="inlineStr">
        <is>
          <t>F0057</t>
        </is>
      </c>
    </row>
    <row r="385" ht="15.75" customHeight="1" s="95">
      <c r="A385" s="1" t="inlineStr">
        <is>
          <t>Anthony Ramos</t>
        </is>
      </c>
      <c r="B385" s="1" t="n">
        <v>1</v>
      </c>
      <c r="C385" s="1" t="n">
        <v>2023</v>
      </c>
      <c r="D385" s="1" t="n">
        <v>2023</v>
      </c>
      <c r="E385" s="4" t="inlineStr">
        <is>
          <t>Transformers: Rise of the Beasts</t>
        </is>
      </c>
      <c r="F385" s="1" t="inlineStr">
        <is>
          <t>F0321</t>
        </is>
      </c>
    </row>
    <row r="386" ht="15.75" customHeight="1" s="95">
      <c r="A386" s="1" t="inlineStr">
        <is>
          <t>Anton Yelchin</t>
        </is>
      </c>
      <c r="B386" s="1" t="n">
        <v>1</v>
      </c>
      <c r="C386" s="1" t="n">
        <v>2009</v>
      </c>
      <c r="D386" s="1" t="n">
        <v>2009</v>
      </c>
      <c r="E386" s="4" t="inlineStr">
        <is>
          <t>Terminator Salvation</t>
        </is>
      </c>
      <c r="F386" s="1" t="inlineStr">
        <is>
          <t>F0310</t>
        </is>
      </c>
    </row>
    <row r="387" ht="15.75" customHeight="1" s="95">
      <c r="A387" s="1" t="inlineStr">
        <is>
          <t>Anya Taylor-Joy</t>
        </is>
      </c>
      <c r="B387" s="1" t="n">
        <v>1</v>
      </c>
      <c r="C387" s="1" t="n">
        <v>2023</v>
      </c>
      <c r="D387" s="1" t="n">
        <v>2023</v>
      </c>
      <c r="E387" s="4" t="inlineStr">
        <is>
          <t>The Super Mario Bros. Movie</t>
        </is>
      </c>
      <c r="F387" s="1" t="inlineStr">
        <is>
          <t>F0212</t>
        </is>
      </c>
    </row>
    <row r="388" ht="15.75" customHeight="1" s="95">
      <c r="A388" s="1" t="inlineStr">
        <is>
          <t>Ariana Greenblatt</t>
        </is>
      </c>
      <c r="B388" s="1" t="n">
        <v>1</v>
      </c>
      <c r="C388" s="1" t="n">
        <v>2023</v>
      </c>
      <c r="D388" s="1" t="n">
        <v>2023</v>
      </c>
      <c r="E388" s="4" t="inlineStr">
        <is>
          <t>Barbie</t>
        </is>
      </c>
      <c r="F388" s="1" t="inlineStr">
        <is>
          <t>F0041</t>
        </is>
      </c>
    </row>
    <row r="389" ht="15.75" customHeight="1" s="95">
      <c r="A389" s="1" t="inlineStr">
        <is>
          <t>Arliss Howard</t>
        </is>
      </c>
      <c r="B389" s="1" t="n">
        <v>1</v>
      </c>
      <c r="C389" s="1" t="n">
        <v>1997</v>
      </c>
      <c r="D389" s="1" t="n">
        <v>1997</v>
      </c>
      <c r="E389" s="4" t="inlineStr">
        <is>
          <t>The Lost World: Jurassic Park</t>
        </is>
      </c>
      <c r="F389" s="1" t="inlineStr">
        <is>
          <t>F0177</t>
        </is>
      </c>
    </row>
    <row r="390" ht="15.75" customHeight="1" s="95">
      <c r="A390" s="1" t="inlineStr">
        <is>
          <t>Arnold Schwarzenegger</t>
        </is>
      </c>
      <c r="B390" s="1" t="n">
        <v>1</v>
      </c>
      <c r="C390" s="1" t="n">
        <v>2014</v>
      </c>
      <c r="D390" s="1" t="n">
        <v>2014</v>
      </c>
      <c r="E390" s="4" t="inlineStr">
        <is>
          <t>The Expendables 3</t>
        </is>
      </c>
      <c r="F390" s="1" t="inlineStr">
        <is>
          <t>F0097</t>
        </is>
      </c>
    </row>
    <row r="391" ht="15.75" customHeight="1" s="95">
      <c r="A391" s="1" t="inlineStr">
        <is>
          <t>Aubrey Plaza</t>
        </is>
      </c>
      <c r="B391" s="1" t="n">
        <v>1</v>
      </c>
      <c r="C391" s="1" t="n">
        <v>2016</v>
      </c>
      <c r="D391" s="1" t="n">
        <v>2016</v>
      </c>
      <c r="E391" s="4" t="inlineStr">
        <is>
          <t>Dirty Grandpa</t>
        </is>
      </c>
      <c r="F391" s="1" t="inlineStr">
        <is>
          <t>F0087</t>
        </is>
      </c>
    </row>
    <row r="392" ht="15.75" customHeight="1" s="95">
      <c r="A392" s="1" t="inlineStr">
        <is>
          <t>August Diehl</t>
        </is>
      </c>
      <c r="B392" s="1" t="n">
        <v>1</v>
      </c>
      <c r="C392" s="1" t="n">
        <v>2010</v>
      </c>
      <c r="D392" s="1" t="n">
        <v>2010</v>
      </c>
      <c r="E392" s="4" t="inlineStr">
        <is>
          <t>Salt</t>
        </is>
      </c>
      <c r="F392" s="1" t="inlineStr">
        <is>
          <t>F0273</t>
        </is>
      </c>
    </row>
    <row r="393" ht="15.75" customHeight="1" s="95">
      <c r="A393" s="1" t="inlineStr">
        <is>
          <t>Ayelet Zurer</t>
        </is>
      </c>
      <c r="B393" s="1" t="n">
        <v>1</v>
      </c>
      <c r="C393" s="1" t="n">
        <v>2009</v>
      </c>
      <c r="D393" s="1" t="n">
        <v>2009</v>
      </c>
      <c r="E393" s="4" t="inlineStr">
        <is>
          <t>Angels &amp; Demons</t>
        </is>
      </c>
      <c r="F393" s="1" t="inlineStr">
        <is>
          <t>F0023</t>
        </is>
      </c>
    </row>
    <row r="394" ht="15.75" customHeight="1" s="95">
      <c r="A394" s="1" t="inlineStr">
        <is>
          <t>Ayrton Senna</t>
        </is>
      </c>
      <c r="B394" s="1" t="n">
        <v>1</v>
      </c>
      <c r="C394" s="1" t="n">
        <v>2010</v>
      </c>
      <c r="D394" s="1" t="n">
        <v>2010</v>
      </c>
      <c r="E394" s="4" t="inlineStr">
        <is>
          <t>Senna</t>
        </is>
      </c>
      <c r="F394" s="1" t="inlineStr">
        <is>
          <t>F0275</t>
        </is>
      </c>
    </row>
    <row r="395" ht="15.75" customHeight="1" s="95">
      <c r="A395" s="1" t="inlineStr">
        <is>
          <t>Aziz Ansari</t>
        </is>
      </c>
      <c r="B395" s="1" t="n">
        <v>1</v>
      </c>
      <c r="C395" s="1" t="n">
        <v>2011</v>
      </c>
      <c r="D395" s="1" t="n">
        <v>2011</v>
      </c>
      <c r="E395" s="4" t="inlineStr">
        <is>
          <t>30 Minutes or Less</t>
        </is>
      </c>
      <c r="F395" s="1" t="inlineStr">
        <is>
          <t>F0009</t>
        </is>
      </c>
    </row>
    <row r="396" ht="15.75" customHeight="1" s="95">
      <c r="A396" s="1" t="inlineStr">
        <is>
          <t>Bam Margera</t>
        </is>
      </c>
      <c r="B396" s="1" t="n">
        <v>1</v>
      </c>
      <c r="C396" s="1" t="n">
        <v>2010</v>
      </c>
      <c r="D396" s="1" t="n">
        <v>2010</v>
      </c>
      <c r="E396" s="4" t="inlineStr">
        <is>
          <t>Jackass 3D</t>
        </is>
      </c>
      <c r="F396" s="1" t="inlineStr">
        <is>
          <t>F0172</t>
        </is>
      </c>
    </row>
    <row r="397" ht="15.75" customHeight="1" s="95">
      <c r="A397" s="1" t="inlineStr">
        <is>
          <t>Barkhad Abdi</t>
        </is>
      </c>
      <c r="B397" s="1" t="n">
        <v>1</v>
      </c>
      <c r="C397" s="1" t="n">
        <v>2013</v>
      </c>
      <c r="D397" s="1" t="n">
        <v>2013</v>
      </c>
      <c r="E397" s="4" t="inlineStr">
        <is>
          <t>Captain Phillips</t>
        </is>
      </c>
      <c r="F397" s="1" t="inlineStr">
        <is>
          <t>F0062</t>
        </is>
      </c>
    </row>
    <row r="398" ht="15.75" customHeight="1" s="95">
      <c r="A398" s="1" t="inlineStr">
        <is>
          <t>Barkhad Abdirahman</t>
        </is>
      </c>
      <c r="B398" s="1" t="n">
        <v>1</v>
      </c>
      <c r="C398" s="1" t="n">
        <v>2013</v>
      </c>
      <c r="D398" s="1" t="n">
        <v>2013</v>
      </c>
      <c r="E398" s="4" t="inlineStr">
        <is>
          <t>Captain Phillips</t>
        </is>
      </c>
      <c r="F398" s="1" t="inlineStr">
        <is>
          <t>F0062</t>
        </is>
      </c>
    </row>
    <row r="399" ht="15.75" customHeight="1" s="95">
      <c r="A399" s="1" t="inlineStr">
        <is>
          <t>Barry Pepper</t>
        </is>
      </c>
      <c r="B399" s="1" t="n">
        <v>1</v>
      </c>
      <c r="C399" s="1" t="n">
        <v>2010</v>
      </c>
      <c r="D399" s="1" t="n">
        <v>2010</v>
      </c>
      <c r="E399" s="4" t="inlineStr">
        <is>
          <t>True Grit</t>
        </is>
      </c>
      <c r="F399" s="1" t="inlineStr">
        <is>
          <t>F0325</t>
        </is>
      </c>
    </row>
    <row r="400" ht="15.75" customHeight="1" s="95">
      <c r="A400" s="1" t="inlineStr">
        <is>
          <t>Bee Vang</t>
        </is>
      </c>
      <c r="B400" s="1" t="n">
        <v>1</v>
      </c>
      <c r="C400" s="1" t="n">
        <v>2008</v>
      </c>
      <c r="D400" s="1" t="n">
        <v>2008</v>
      </c>
      <c r="E400" s="4" t="inlineStr">
        <is>
          <t>Gran Torino</t>
        </is>
      </c>
      <c r="F400" s="1" t="inlineStr">
        <is>
          <t>F0125</t>
        </is>
      </c>
    </row>
    <row r="401" ht="15.75" customHeight="1" s="95">
      <c r="A401" s="1" t="inlineStr">
        <is>
          <t>Ben Foster</t>
        </is>
      </c>
      <c r="B401" s="1" t="n">
        <v>1</v>
      </c>
      <c r="C401" s="1" t="n">
        <v>2013</v>
      </c>
      <c r="D401" s="1" t="n">
        <v>2013</v>
      </c>
      <c r="E401" s="4" t="inlineStr">
        <is>
          <t>Lone Survivor</t>
        </is>
      </c>
      <c r="F401" s="1" t="inlineStr">
        <is>
          <t>F0202</t>
        </is>
      </c>
    </row>
    <row r="402" ht="15.75" customHeight="1" s="95">
      <c r="A402" s="1" t="inlineStr">
        <is>
          <t>Ben Hardy</t>
        </is>
      </c>
      <c r="B402" s="1" t="n">
        <v>1</v>
      </c>
      <c r="C402" s="1" t="n">
        <v>2018</v>
      </c>
      <c r="D402" s="1" t="n">
        <v>2018</v>
      </c>
      <c r="E402" s="4" t="inlineStr">
        <is>
          <t>Bohemian Rhapsody</t>
        </is>
      </c>
      <c r="F402" s="1" t="inlineStr">
        <is>
          <t>F0052</t>
        </is>
      </c>
    </row>
    <row r="403" ht="15.75" customHeight="1" s="95">
      <c r="A403" s="1" t="inlineStr">
        <is>
          <t>Ben Kingsley</t>
        </is>
      </c>
      <c r="B403" s="1" t="n">
        <v>1</v>
      </c>
      <c r="C403" s="1" t="n">
        <v>2012</v>
      </c>
      <c r="D403" s="1" t="n">
        <v>2012</v>
      </c>
      <c r="E403" s="4" t="inlineStr">
        <is>
          <t>The Dictator</t>
        </is>
      </c>
      <c r="F403" s="1" t="inlineStr">
        <is>
          <t>F0085</t>
        </is>
      </c>
    </row>
    <row r="404" ht="15.75" customHeight="1" s="95">
      <c r="A404" s="1" t="inlineStr">
        <is>
          <t>Ben Mendelsohn</t>
        </is>
      </c>
      <c r="B404" s="1" t="n">
        <v>1</v>
      </c>
      <c r="C404" s="1" t="n">
        <v>2012</v>
      </c>
      <c r="D404" s="1" t="n">
        <v>2012</v>
      </c>
      <c r="E404" s="4" t="inlineStr">
        <is>
          <t>Killing Them Softly</t>
        </is>
      </c>
      <c r="F404" s="1" t="inlineStr">
        <is>
          <t>F0187</t>
        </is>
      </c>
    </row>
    <row r="405" ht="15.75" customHeight="1" s="95">
      <c r="A405" s="1" t="inlineStr">
        <is>
          <t>Ben Whishaw</t>
        </is>
      </c>
      <c r="B405" s="1" t="n">
        <v>1</v>
      </c>
      <c r="C405" s="1" t="n">
        <v>2014</v>
      </c>
      <c r="D405" s="1" t="n">
        <v>2014</v>
      </c>
      <c r="E405" s="4" t="inlineStr">
        <is>
          <t>Paddington</t>
        </is>
      </c>
      <c r="F405" s="1" t="inlineStr">
        <is>
          <t>F0244</t>
        </is>
      </c>
    </row>
    <row r="406" ht="15.75" customHeight="1" s="95">
      <c r="A406" s="1" t="inlineStr">
        <is>
          <t>Benedict Wong</t>
        </is>
      </c>
      <c r="B406" s="1" t="n">
        <v>1</v>
      </c>
      <c r="C406" s="1" t="n">
        <v>2013</v>
      </c>
      <c r="D406" s="1" t="n">
        <v>2013</v>
      </c>
      <c r="E406" s="4" t="inlineStr">
        <is>
          <t>Hummingbird</t>
        </is>
      </c>
      <c r="F406" s="1" t="inlineStr">
        <is>
          <t>F0156</t>
        </is>
      </c>
    </row>
    <row r="407" ht="15.75" customHeight="1" s="95">
      <c r="A407" s="1" t="inlineStr">
        <is>
          <t>Benjamin Bratt</t>
        </is>
      </c>
      <c r="B407" s="1" t="n">
        <v>1</v>
      </c>
      <c r="C407" s="1" t="n">
        <v>2013</v>
      </c>
      <c r="D407" s="1" t="n">
        <v>2013</v>
      </c>
      <c r="E407" s="4" t="inlineStr">
        <is>
          <t>Despicable Me 2</t>
        </is>
      </c>
      <c r="F407" s="1" t="inlineStr">
        <is>
          <t>F0083</t>
        </is>
      </c>
    </row>
    <row r="408" ht="15.75" customHeight="1" s="95">
      <c r="A408" s="1" t="inlineStr">
        <is>
          <t>Beverly Todd</t>
        </is>
      </c>
      <c r="B408" s="1" t="n">
        <v>1</v>
      </c>
      <c r="C408" s="1" t="n">
        <v>2007</v>
      </c>
      <c r="D408" s="1" t="n">
        <v>2007</v>
      </c>
      <c r="E408" s="4" t="inlineStr">
        <is>
          <t>The Bucket List</t>
        </is>
      </c>
      <c r="F408" s="1" t="inlineStr">
        <is>
          <t>F0060</t>
        </is>
      </c>
    </row>
    <row r="409" ht="15.75" customHeight="1" s="95">
      <c r="A409" s="1" t="inlineStr">
        <is>
          <t>Bill Milner</t>
        </is>
      </c>
      <c r="B409" s="1" t="n">
        <v>1</v>
      </c>
      <c r="C409" s="1" t="n">
        <v>2010</v>
      </c>
      <c r="D409" s="1" t="n">
        <v>2010</v>
      </c>
      <c r="E409" s="4" t="inlineStr">
        <is>
          <t>Sex &amp; Drugs &amp; Rock &amp; Roll</t>
        </is>
      </c>
      <c r="F409" s="1" t="inlineStr">
        <is>
          <t>F0277</t>
        </is>
      </c>
    </row>
    <row r="410" ht="15.75" customHeight="1" s="95">
      <c r="A410" s="1" t="inlineStr">
        <is>
          <t>Billy Crudup</t>
        </is>
      </c>
      <c r="B410" s="1" t="n">
        <v>1</v>
      </c>
      <c r="C410" s="1" t="n">
        <v>2006</v>
      </c>
      <c r="D410" s="1" t="n">
        <v>2006</v>
      </c>
      <c r="E410" s="4" t="inlineStr">
        <is>
          <t>Mission: Impossible III</t>
        </is>
      </c>
      <c r="F410" s="1" t="inlineStr">
        <is>
          <t>F0223</t>
        </is>
      </c>
    </row>
    <row r="411" ht="15.75" customHeight="1" s="95">
      <c r="A411" s="1" t="inlineStr">
        <is>
          <t>Blake Lively</t>
        </is>
      </c>
      <c r="B411" s="1" t="n">
        <v>1</v>
      </c>
      <c r="C411" s="1" t="n">
        <v>2011</v>
      </c>
      <c r="D411" s="1" t="n">
        <v>2011</v>
      </c>
      <c r="E411" s="4" t="inlineStr">
        <is>
          <t>Green Lantern</t>
        </is>
      </c>
      <c r="F411" s="1" t="inlineStr">
        <is>
          <t>F0128</t>
        </is>
      </c>
    </row>
    <row r="412" ht="15.75" customHeight="1" s="95">
      <c r="A412" s="1" t="inlineStr">
        <is>
          <t>Bob Newhart</t>
        </is>
      </c>
      <c r="B412" s="1" t="n">
        <v>1</v>
      </c>
      <c r="C412" s="1" t="n">
        <v>2003</v>
      </c>
      <c r="D412" s="1" t="n">
        <v>2003</v>
      </c>
      <c r="E412" s="4" t="inlineStr">
        <is>
          <t>Elf</t>
        </is>
      </c>
      <c r="F412" s="1" t="inlineStr">
        <is>
          <t>F0092</t>
        </is>
      </c>
    </row>
    <row r="413" ht="15.75" customHeight="1" s="95">
      <c r="A413" s="1" t="inlineStr">
        <is>
          <t>Bob Peck</t>
        </is>
      </c>
      <c r="B413" s="1" t="n">
        <v>1</v>
      </c>
      <c r="C413" s="1" t="n">
        <v>1993</v>
      </c>
      <c r="D413" s="1" t="n">
        <v>1993</v>
      </c>
      <c r="E413" s="4" t="inlineStr">
        <is>
          <t>Jurassic Park</t>
        </is>
      </c>
      <c r="F413" s="1" t="inlineStr">
        <is>
          <t>F0176</t>
        </is>
      </c>
    </row>
    <row r="414" ht="15.75" customHeight="1" s="95">
      <c r="A414" s="1" t="inlineStr">
        <is>
          <t>Bob Peterson</t>
        </is>
      </c>
      <c r="B414" s="1" t="n">
        <v>1</v>
      </c>
      <c r="C414" s="1" t="n">
        <v>2009</v>
      </c>
      <c r="D414" s="1" t="n">
        <v>2009</v>
      </c>
      <c r="E414" s="4" t="inlineStr">
        <is>
          <t>Up</t>
        </is>
      </c>
      <c r="F414" s="1" t="inlineStr">
        <is>
          <t>F0330</t>
        </is>
      </c>
    </row>
    <row r="415" ht="15.75" customHeight="1" s="95">
      <c r="A415" s="1" t="inlineStr">
        <is>
          <t>Bobby Cannavale</t>
        </is>
      </c>
      <c r="B415" s="1" t="n">
        <v>1</v>
      </c>
      <c r="C415" s="1" t="n">
        <v>2014</v>
      </c>
      <c r="D415" s="1" t="n">
        <v>2014</v>
      </c>
      <c r="E415" s="4" t="inlineStr">
        <is>
          <t>Chef</t>
        </is>
      </c>
      <c r="F415" s="1" t="inlineStr">
        <is>
          <t>F0065</t>
        </is>
      </c>
    </row>
    <row r="416" ht="15.75" customHeight="1" s="95">
      <c r="A416" s="1" t="inlineStr">
        <is>
          <t>Boyd Holbrook</t>
        </is>
      </c>
      <c r="B416" s="1" t="n">
        <v>1</v>
      </c>
      <c r="C416" s="1" t="n">
        <v>2017</v>
      </c>
      <c r="D416" s="1" t="n">
        <v>2017</v>
      </c>
      <c r="E416" s="4" t="inlineStr">
        <is>
          <t>Logan</t>
        </is>
      </c>
      <c r="F416" s="1" t="inlineStr">
        <is>
          <t>F0201</t>
        </is>
      </c>
    </row>
    <row r="417" ht="15.75" customHeight="1" s="95">
      <c r="A417" s="1" t="inlineStr">
        <is>
          <t>Brandon T. Jackson</t>
        </is>
      </c>
      <c r="B417" s="1" t="n">
        <v>1</v>
      </c>
      <c r="C417" s="1" t="n">
        <v>2008</v>
      </c>
      <c r="D417" s="1" t="n">
        <v>2008</v>
      </c>
      <c r="E417" s="4" t="inlineStr">
        <is>
          <t>Tropic Thunder</t>
        </is>
      </c>
      <c r="F417" s="1" t="inlineStr">
        <is>
          <t>F0324</t>
        </is>
      </c>
    </row>
    <row r="418" ht="15.75" customHeight="1" s="95">
      <c r="A418" s="1" t="inlineStr">
        <is>
          <t>Brendan Fraser</t>
        </is>
      </c>
      <c r="B418" s="1" t="n">
        <v>1</v>
      </c>
      <c r="C418" s="1" t="n">
        <v>2008</v>
      </c>
      <c r="D418" s="1" t="n">
        <v>2008</v>
      </c>
      <c r="E418" s="4" t="inlineStr">
        <is>
          <t>Journey to the Center of the Earth</t>
        </is>
      </c>
      <c r="F418" s="1" t="inlineStr">
        <is>
          <t>F0174</t>
        </is>
      </c>
    </row>
    <row r="419" ht="15.75" customHeight="1" s="95">
      <c r="A419" s="1" t="inlineStr">
        <is>
          <t>Brian Glover</t>
        </is>
      </c>
      <c r="B419" s="1" t="n">
        <v>1</v>
      </c>
      <c r="C419" s="1" t="n">
        <v>1992</v>
      </c>
      <c r="D419" s="1" t="n">
        <v>1992</v>
      </c>
      <c r="E419" s="4" t="inlineStr">
        <is>
          <t>Alien³</t>
        </is>
      </c>
      <c r="F419" s="1" t="inlineStr">
        <is>
          <t>F0017</t>
        </is>
      </c>
    </row>
    <row r="420" ht="15.75" customHeight="1" s="95">
      <c r="A420" s="1" t="inlineStr">
        <is>
          <t>Brian Haley</t>
        </is>
      </c>
      <c r="B420" s="1" t="n">
        <v>1</v>
      </c>
      <c r="C420" s="1" t="n">
        <v>2008</v>
      </c>
      <c r="D420" s="1" t="n">
        <v>2008</v>
      </c>
      <c r="E420" s="4" t="inlineStr">
        <is>
          <t>Gran Torino</t>
        </is>
      </c>
      <c r="F420" s="1" t="inlineStr">
        <is>
          <t>F0125</t>
        </is>
      </c>
    </row>
    <row r="421" ht="15.75" customHeight="1" s="95">
      <c r="A421" s="1" t="inlineStr">
        <is>
          <t>Brian Howe</t>
        </is>
      </c>
      <c r="B421" s="1" t="n">
        <v>1</v>
      </c>
      <c r="C421" s="1" t="n">
        <v>2006</v>
      </c>
      <c r="D421" s="1" t="n">
        <v>2006</v>
      </c>
      <c r="E421" s="4" t="inlineStr">
        <is>
          <t>The Pursuit of Happyness</t>
        </is>
      </c>
      <c r="F421" s="1" t="inlineStr">
        <is>
          <t>F0260</t>
        </is>
      </c>
    </row>
    <row r="422" ht="15.75" customHeight="1" s="95">
      <c r="A422" s="1" t="inlineStr">
        <is>
          <t>Brian Tee</t>
        </is>
      </c>
      <c r="B422" s="1" t="n">
        <v>1</v>
      </c>
      <c r="C422" s="1" t="n">
        <v>2006</v>
      </c>
      <c r="D422" s="1" t="n">
        <v>2006</v>
      </c>
      <c r="E422" s="4" t="inlineStr">
        <is>
          <t>The Fast and the Furious: Tokyo Drift</t>
        </is>
      </c>
      <c r="F422" s="1" t="inlineStr">
        <is>
          <t>F0103</t>
        </is>
      </c>
    </row>
    <row r="423" ht="15.75" customHeight="1" s="95">
      <c r="A423" s="1" t="inlineStr">
        <is>
          <t>Brian Tyree Henry</t>
        </is>
      </c>
      <c r="B423" s="1" t="n">
        <v>1</v>
      </c>
      <c r="C423" s="1" t="n">
        <v>2021</v>
      </c>
      <c r="D423" s="1" t="n">
        <v>2021</v>
      </c>
      <c r="E423" s="4" t="inlineStr">
        <is>
          <t>Godzilla vs. Kong</t>
        </is>
      </c>
      <c r="F423" s="1" t="inlineStr">
        <is>
          <t>F0123</t>
        </is>
      </c>
    </row>
    <row r="424" ht="15.75" customHeight="1" s="95">
      <c r="A424" s="1" t="inlineStr">
        <is>
          <t>Bridget Moynahan</t>
        </is>
      </c>
      <c r="B424" s="1" t="n">
        <v>1</v>
      </c>
      <c r="C424" s="1" t="n">
        <v>2011</v>
      </c>
      <c r="D424" s="1" t="n">
        <v>2011</v>
      </c>
      <c r="E424" s="4" t="inlineStr">
        <is>
          <t>Battle: Los Angeles</t>
        </is>
      </c>
      <c r="F424" s="1" t="inlineStr">
        <is>
          <t>F0046</t>
        </is>
      </c>
    </row>
    <row r="425" ht="15.75" customHeight="1" s="95">
      <c r="A425" s="1" t="inlineStr">
        <is>
          <t>Britt Robertson</t>
        </is>
      </c>
      <c r="B425" s="1" t="n">
        <v>1</v>
      </c>
      <c r="C425" s="1" t="n">
        <v>2013</v>
      </c>
      <c r="D425" s="1" t="n">
        <v>2013</v>
      </c>
      <c r="E425" s="4" t="inlineStr">
        <is>
          <t>Delivery Man</t>
        </is>
      </c>
      <c r="F425" s="1" t="inlineStr">
        <is>
          <t>F0080</t>
        </is>
      </c>
    </row>
    <row r="426" ht="15.75" customHeight="1" s="95">
      <c r="A426" s="1" t="inlineStr">
        <is>
          <t>Brooklyn Decker</t>
        </is>
      </c>
      <c r="B426" s="1" t="n">
        <v>1</v>
      </c>
      <c r="C426" s="1" t="n">
        <v>2011</v>
      </c>
      <c r="D426" s="1" t="n">
        <v>2011</v>
      </c>
      <c r="E426" s="4" t="inlineStr">
        <is>
          <t>Just Go with It</t>
        </is>
      </c>
      <c r="F426" s="1" t="inlineStr">
        <is>
          <t>F0183</t>
        </is>
      </c>
    </row>
    <row r="427" ht="15.75" customHeight="1" s="95">
      <c r="A427" s="1" t="inlineStr">
        <is>
          <t>Bruce Greenwood</t>
        </is>
      </c>
      <c r="B427" s="1" t="n">
        <v>1</v>
      </c>
      <c r="C427" s="1" t="n">
        <v>2009</v>
      </c>
      <c r="D427" s="1" t="n">
        <v>2009</v>
      </c>
      <c r="E427" s="4" t="inlineStr">
        <is>
          <t>Star Trek</t>
        </is>
      </c>
      <c r="F427" s="1" t="inlineStr">
        <is>
          <t>F0291</t>
        </is>
      </c>
    </row>
    <row r="428" ht="15.75" customHeight="1" s="95">
      <c r="A428" s="1" t="inlineStr">
        <is>
          <t>Bruce McGill</t>
        </is>
      </c>
      <c r="B428" s="1" t="n">
        <v>1</v>
      </c>
      <c r="C428" s="1" t="n">
        <v>2009</v>
      </c>
      <c r="D428" s="1" t="n">
        <v>2009</v>
      </c>
      <c r="E428" s="4" t="inlineStr">
        <is>
          <t>Law Abiding Citizen</t>
        </is>
      </c>
      <c r="F428" s="1" t="inlineStr">
        <is>
          <t>F0191</t>
        </is>
      </c>
    </row>
    <row r="429" ht="15.75" customHeight="1" s="95">
      <c r="A429" s="1" t="inlineStr">
        <is>
          <t>Bruno Ganz</t>
        </is>
      </c>
      <c r="B429" s="1" t="n">
        <v>1</v>
      </c>
      <c r="C429" s="1" t="n">
        <v>2011</v>
      </c>
      <c r="D429" s="1" t="n">
        <v>2011</v>
      </c>
      <c r="E429" s="4" t="inlineStr">
        <is>
          <t>Unknown</t>
        </is>
      </c>
      <c r="F429" s="1" t="inlineStr">
        <is>
          <t>F0329</t>
        </is>
      </c>
    </row>
    <row r="430" ht="15.75" customHeight="1" s="95">
      <c r="A430" s="1" t="inlineStr">
        <is>
          <t>Calah Lane</t>
        </is>
      </c>
      <c r="B430" s="1" t="n">
        <v>1</v>
      </c>
      <c r="C430" s="1" t="n">
        <v>2023</v>
      </c>
      <c r="D430" s="1" t="n">
        <v>2023</v>
      </c>
      <c r="E430" s="4" t="inlineStr">
        <is>
          <t>Wonka</t>
        </is>
      </c>
      <c r="F430" s="1" t="inlineStr">
        <is>
          <t>F0338</t>
        </is>
      </c>
    </row>
    <row r="431" ht="15.75" customHeight="1" s="95">
      <c r="A431" s="1" t="inlineStr">
        <is>
          <t>Cameron Diaz</t>
        </is>
      </c>
      <c r="B431" s="1" t="n">
        <v>1</v>
      </c>
      <c r="C431" s="1" t="n">
        <v>2011</v>
      </c>
      <c r="D431" s="1" t="n">
        <v>2011</v>
      </c>
      <c r="E431" s="4" t="inlineStr">
        <is>
          <t>Bad Teacher</t>
        </is>
      </c>
      <c r="F431" s="1" t="inlineStr">
        <is>
          <t>F0039</t>
        </is>
      </c>
    </row>
    <row r="432" ht="15.75" customHeight="1" s="95">
      <c r="A432" s="1" t="inlineStr">
        <is>
          <t>Carey Mulligan</t>
        </is>
      </c>
      <c r="B432" s="1" t="n">
        <v>1</v>
      </c>
      <c r="C432" s="1" t="n">
        <v>2013</v>
      </c>
      <c r="D432" s="1" t="n">
        <v>2013</v>
      </c>
      <c r="E432" s="4" t="inlineStr">
        <is>
          <t>The Great Gatsby</t>
        </is>
      </c>
      <c r="F432" s="1" t="inlineStr">
        <is>
          <t>F0126</t>
        </is>
      </c>
    </row>
    <row r="433" ht="15.75" customHeight="1" s="95">
      <c r="A433" s="1" t="inlineStr">
        <is>
          <t>Carly Schroeder</t>
        </is>
      </c>
      <c r="B433" s="1" t="n">
        <v>1</v>
      </c>
      <c r="C433" s="1" t="n">
        <v>2006</v>
      </c>
      <c r="D433" s="1" t="n">
        <v>2006</v>
      </c>
      <c r="E433" s="4" t="inlineStr">
        <is>
          <t>Firewall</t>
        </is>
      </c>
      <c r="F433" s="1" t="inlineStr">
        <is>
          <t>F0114</t>
        </is>
      </c>
    </row>
    <row r="434" ht="15.75" customHeight="1" s="95">
      <c r="A434" s="1" t="inlineStr">
        <is>
          <t>Carrie Henn</t>
        </is>
      </c>
      <c r="B434" s="1" t="n">
        <v>1</v>
      </c>
      <c r="C434" s="1" t="n">
        <v>1986</v>
      </c>
      <c r="D434" s="1" t="n">
        <v>1986</v>
      </c>
      <c r="E434" s="4" t="inlineStr">
        <is>
          <t>Aliens</t>
        </is>
      </c>
      <c r="F434" s="1" t="inlineStr">
        <is>
          <t>F0016</t>
        </is>
      </c>
    </row>
    <row r="435" ht="15.75" customHeight="1" s="95">
      <c r="A435" s="1" t="inlineStr">
        <is>
          <t>Casey Affleck</t>
        </is>
      </c>
      <c r="B435" s="1" t="n">
        <v>1</v>
      </c>
      <c r="C435" s="1" t="n">
        <v>2014</v>
      </c>
      <c r="D435" s="1" t="n">
        <v>2014</v>
      </c>
      <c r="E435" s="4" t="inlineStr">
        <is>
          <t>Interstellar</t>
        </is>
      </c>
      <c r="F435" s="1" t="inlineStr">
        <is>
          <t>F0168</t>
        </is>
      </c>
    </row>
    <row r="436" ht="15.75" customHeight="1" s="95">
      <c r="A436" s="1" t="inlineStr">
        <is>
          <t>Casey Kasem</t>
        </is>
      </c>
      <c r="B436" s="1" t="n">
        <v>1</v>
      </c>
      <c r="C436" s="1" t="n">
        <v>1986</v>
      </c>
      <c r="D436" s="1" t="n">
        <v>1986</v>
      </c>
      <c r="E436" s="4" t="inlineStr">
        <is>
          <t>The Transformers: The Movie</t>
        </is>
      </c>
      <c r="F436" s="1" t="inlineStr">
        <is>
          <t>F0322</t>
        </is>
      </c>
    </row>
    <row r="437" ht="15.75" customHeight="1" s="95">
      <c r="A437" s="1" t="inlineStr">
        <is>
          <t>Catherine Keener</t>
        </is>
      </c>
      <c r="B437" s="1" t="n">
        <v>1</v>
      </c>
      <c r="C437" s="1" t="n">
        <v>2013</v>
      </c>
      <c r="D437" s="1" t="n">
        <v>2013</v>
      </c>
      <c r="E437" s="4" t="inlineStr">
        <is>
          <t>The Croods</t>
        </is>
      </c>
      <c r="F437" s="1" t="inlineStr">
        <is>
          <t>F0075</t>
        </is>
      </c>
    </row>
    <row r="438" ht="15.75" customHeight="1" s="95">
      <c r="A438" s="1" t="inlineStr">
        <is>
          <t>Charles Dance</t>
        </is>
      </c>
      <c r="B438" s="1" t="n">
        <v>1</v>
      </c>
      <c r="C438" s="1" t="n">
        <v>1992</v>
      </c>
      <c r="D438" s="1" t="n">
        <v>1992</v>
      </c>
      <c r="E438" s="4" t="inlineStr">
        <is>
          <t>Alien³</t>
        </is>
      </c>
      <c r="F438" s="1" t="inlineStr">
        <is>
          <t>F0017</t>
        </is>
      </c>
    </row>
    <row r="439" ht="15.75" customHeight="1" s="95">
      <c r="A439" s="1" t="inlineStr">
        <is>
          <t>Charles S. Dutton</t>
        </is>
      </c>
      <c r="B439" s="1" t="n">
        <v>1</v>
      </c>
      <c r="C439" s="1" t="n">
        <v>1992</v>
      </c>
      <c r="D439" s="1" t="n">
        <v>1992</v>
      </c>
      <c r="E439" s="4" t="inlineStr">
        <is>
          <t>Alien³</t>
        </is>
      </c>
      <c r="F439" s="1" t="inlineStr">
        <is>
          <t>F0017</t>
        </is>
      </c>
    </row>
    <row r="440" ht="15.75" customHeight="1" s="95">
      <c r="A440" s="1" t="inlineStr">
        <is>
          <t>Charlie Cox</t>
        </is>
      </c>
      <c r="B440" s="1" t="n">
        <v>1</v>
      </c>
      <c r="C440" s="1" t="n">
        <v>2014</v>
      </c>
      <c r="D440" s="1" t="n">
        <v>2014</v>
      </c>
      <c r="E440" s="4" t="inlineStr">
        <is>
          <t>The Theory of Everything</t>
        </is>
      </c>
      <c r="F440" s="1" t="inlineStr">
        <is>
          <t>F0311</t>
        </is>
      </c>
    </row>
    <row r="441" ht="15.75" customHeight="1" s="95">
      <c r="A441" s="1" t="inlineStr">
        <is>
          <t>Charlie Day</t>
        </is>
      </c>
      <c r="B441" s="1" t="n">
        <v>1</v>
      </c>
      <c r="C441" s="1" t="n">
        <v>2023</v>
      </c>
      <c r="D441" s="1" t="n">
        <v>2023</v>
      </c>
      <c r="E441" s="4" t="inlineStr">
        <is>
          <t>The Super Mario Bros. Movie</t>
        </is>
      </c>
      <c r="F441" s="1" t="inlineStr">
        <is>
          <t>F0212</t>
        </is>
      </c>
    </row>
    <row r="442" ht="15.75" customHeight="1" s="95">
      <c r="A442" s="1" t="inlineStr">
        <is>
          <t>Charlie Schlatter</t>
        </is>
      </c>
      <c r="B442" s="1" t="n">
        <v>1</v>
      </c>
      <c r="C442" s="1" t="n">
        <v>2013</v>
      </c>
      <c r="D442" s="1" t="n">
        <v>2013</v>
      </c>
      <c r="E442" s="4" t="inlineStr">
        <is>
          <t>Lego Batman: The Movie - DC Super Heroes Unite</t>
        </is>
      </c>
      <c r="F442" s="1" t="inlineStr">
        <is>
          <t>F0194</t>
        </is>
      </c>
    </row>
    <row r="443" ht="15.75" customHeight="1" s="95">
      <c r="A443" s="1" t="inlineStr">
        <is>
          <t>Chloë Sevigny</t>
        </is>
      </c>
      <c r="B443" s="1" t="n">
        <v>1</v>
      </c>
      <c r="C443" s="1" t="n">
        <v>2007</v>
      </c>
      <c r="D443" s="1" t="n">
        <v>2007</v>
      </c>
      <c r="E443" s="4" t="inlineStr">
        <is>
          <t>Zodiac</t>
        </is>
      </c>
      <c r="F443" s="1" t="inlineStr">
        <is>
          <t>F0350</t>
        </is>
      </c>
    </row>
    <row r="444" ht="15.75" customHeight="1" s="95">
      <c r="A444" s="1" t="inlineStr">
        <is>
          <t>Chris Cooper</t>
        </is>
      </c>
      <c r="B444" s="1" t="n">
        <v>1</v>
      </c>
      <c r="C444" s="1" t="n">
        <v>2002</v>
      </c>
      <c r="D444" s="1" t="n">
        <v>2002</v>
      </c>
      <c r="E444" s="4" t="inlineStr">
        <is>
          <t>The Bourne Identity</t>
        </is>
      </c>
      <c r="F444" s="1" t="inlineStr">
        <is>
          <t>F0053</t>
        </is>
      </c>
    </row>
    <row r="445" ht="15.75" customHeight="1" s="95">
      <c r="A445" s="1" t="inlineStr">
        <is>
          <t>Chris O'Dowd</t>
        </is>
      </c>
      <c r="B445" s="1" t="n">
        <v>1</v>
      </c>
      <c r="C445" s="1" t="n">
        <v>2011</v>
      </c>
      <c r="D445" s="1" t="n">
        <v>2011</v>
      </c>
      <c r="E445" s="4" t="inlineStr">
        <is>
          <t>Bridesmaids</t>
        </is>
      </c>
      <c r="F445" s="1" t="inlineStr">
        <is>
          <t>F0058</t>
        </is>
      </c>
    </row>
    <row r="446" ht="15.75" customHeight="1" s="95">
      <c r="A446" s="1" t="inlineStr">
        <is>
          <t>Chris Pine</t>
        </is>
      </c>
      <c r="B446" s="1" t="n">
        <v>1</v>
      </c>
      <c r="C446" s="1" t="n">
        <v>2009</v>
      </c>
      <c r="D446" s="1" t="n">
        <v>2009</v>
      </c>
      <c r="E446" s="4" t="inlineStr">
        <is>
          <t>Star Trek</t>
        </is>
      </c>
      <c r="F446" s="1" t="inlineStr">
        <is>
          <t>F0291</t>
        </is>
      </c>
    </row>
    <row r="447" ht="15.75" customHeight="1" s="95">
      <c r="A447" s="1" t="inlineStr">
        <is>
          <t>Chris Pontius</t>
        </is>
      </c>
      <c r="B447" s="1" t="n">
        <v>1</v>
      </c>
      <c r="C447" s="1" t="n">
        <v>2010</v>
      </c>
      <c r="D447" s="1" t="n">
        <v>2010</v>
      </c>
      <c r="E447" s="4" t="inlineStr">
        <is>
          <t>Jackass 3D</t>
        </is>
      </c>
      <c r="F447" s="1" t="inlineStr">
        <is>
          <t>F0172</t>
        </is>
      </c>
    </row>
    <row r="448" ht="15.75" customHeight="1" s="95">
      <c r="A448" s="1" t="inlineStr">
        <is>
          <t>Chris Tucker</t>
        </is>
      </c>
      <c r="B448" s="1" t="n">
        <v>1</v>
      </c>
      <c r="C448" s="1" t="n">
        <v>2007</v>
      </c>
      <c r="D448" s="1" t="n">
        <v>2007</v>
      </c>
      <c r="E448" s="4" t="inlineStr">
        <is>
          <t>Rush Hour 3</t>
        </is>
      </c>
      <c r="F448" s="1" t="inlineStr">
        <is>
          <t>F0271</t>
        </is>
      </c>
    </row>
    <row r="449" ht="15.75" customHeight="1" s="95">
      <c r="A449" s="1" t="inlineStr">
        <is>
          <t>Christian Rub</t>
        </is>
      </c>
      <c r="B449" s="1" t="n">
        <v>1</v>
      </c>
      <c r="C449" s="1" t="n">
        <v>1940</v>
      </c>
      <c r="D449" s="1" t="n">
        <v>1940</v>
      </c>
      <c r="E449" s="4" t="inlineStr">
        <is>
          <t>Pinocchio</t>
        </is>
      </c>
      <c r="F449" s="1" t="inlineStr">
        <is>
          <t>F0248</t>
        </is>
      </c>
    </row>
    <row r="450" ht="15.75" customHeight="1" s="95">
      <c r="A450" s="1" t="inlineStr">
        <is>
          <t>Christopher Carley</t>
        </is>
      </c>
      <c r="B450" s="1" t="n">
        <v>1</v>
      </c>
      <c r="C450" s="1" t="n">
        <v>2008</v>
      </c>
      <c r="D450" s="1" t="n">
        <v>2008</v>
      </c>
      <c r="E450" s="4" t="inlineStr">
        <is>
          <t>Gran Torino</t>
        </is>
      </c>
      <c r="F450" s="1" t="inlineStr">
        <is>
          <t>F0125</t>
        </is>
      </c>
    </row>
    <row r="451" ht="15.75" customHeight="1" s="95">
      <c r="A451" s="1" t="inlineStr">
        <is>
          <t>Christopher Corey Smith</t>
        </is>
      </c>
      <c r="B451" s="1" t="n">
        <v>1</v>
      </c>
      <c r="C451" s="1" t="n">
        <v>2013</v>
      </c>
      <c r="D451" s="1" t="n">
        <v>2013</v>
      </c>
      <c r="E451" s="4" t="inlineStr">
        <is>
          <t>Lego Batman: The Movie - DC Super Heroes Unite</t>
        </is>
      </c>
      <c r="F451" s="1" t="inlineStr">
        <is>
          <t>F0194</t>
        </is>
      </c>
    </row>
    <row r="452" ht="15.75" customHeight="1" s="95">
      <c r="A452" s="1" t="inlineStr">
        <is>
          <t>Christopher Eccleston</t>
        </is>
      </c>
      <c r="B452" s="1" t="n">
        <v>1</v>
      </c>
      <c r="C452" s="1" t="n">
        <v>2009</v>
      </c>
      <c r="D452" s="1" t="n">
        <v>2009</v>
      </c>
      <c r="E452" s="4" t="inlineStr">
        <is>
          <t>G.I. Joe: The Rise of Cobra</t>
        </is>
      </c>
      <c r="F452" s="1" t="inlineStr">
        <is>
          <t>F0118</t>
        </is>
      </c>
    </row>
    <row r="453" ht="15.75" customHeight="1" s="95">
      <c r="A453" s="1" t="inlineStr">
        <is>
          <t>Christopher Lee</t>
        </is>
      </c>
      <c r="B453" s="1" t="n">
        <v>1</v>
      </c>
      <c r="C453" s="1" t="n">
        <v>2002</v>
      </c>
      <c r="D453" s="1" t="n">
        <v>2002</v>
      </c>
      <c r="E453" s="4" t="inlineStr">
        <is>
          <t>Star Wars: Episode II – Attack of the Clones</t>
        </is>
      </c>
      <c r="F453" s="1" t="inlineStr">
        <is>
          <t>F0293</t>
        </is>
      </c>
    </row>
    <row r="454" ht="15.75" customHeight="1" s="95">
      <c r="A454" s="1" t="inlineStr">
        <is>
          <t>Christopher Walken</t>
        </is>
      </c>
      <c r="B454" s="1" t="n">
        <v>1</v>
      </c>
      <c r="C454" s="1" t="n">
        <v>2002</v>
      </c>
      <c r="D454" s="1" t="n">
        <v>2002</v>
      </c>
      <c r="E454" s="4" t="inlineStr">
        <is>
          <t>Catch Me If You Can</t>
        </is>
      </c>
      <c r="F454" s="1" t="inlineStr">
        <is>
          <t>F0064</t>
        </is>
      </c>
    </row>
    <row r="455" ht="15.75" customHeight="1" s="95">
      <c r="A455" s="1" t="inlineStr">
        <is>
          <t>Chuck Norris</t>
        </is>
      </c>
      <c r="B455" s="1" t="n">
        <v>1</v>
      </c>
      <c r="C455" s="1" t="n">
        <v>2012</v>
      </c>
      <c r="D455" s="1" t="n">
        <v>2012</v>
      </c>
      <c r="E455" s="4" t="inlineStr">
        <is>
          <t>The Expendables 2</t>
        </is>
      </c>
      <c r="F455" s="1" t="inlineStr">
        <is>
          <t>F0096</t>
        </is>
      </c>
    </row>
    <row r="456" ht="15.75" customHeight="1" s="95">
      <c r="A456" s="1" t="inlineStr">
        <is>
          <t>Cillian Murphy</t>
        </is>
      </c>
      <c r="B456" s="1" t="n">
        <v>1</v>
      </c>
      <c r="C456" s="1" t="n">
        <v>2023</v>
      </c>
      <c r="D456" s="1" t="n">
        <v>2023</v>
      </c>
      <c r="E456" s="4" t="inlineStr">
        <is>
          <t>Oppenheimer</t>
        </is>
      </c>
      <c r="F456" s="1" t="inlineStr">
        <is>
          <t>F0242</t>
        </is>
      </c>
    </row>
    <row r="457" ht="15.75" customHeight="1" s="95">
      <c r="A457" s="1" t="inlineStr">
        <is>
          <t>Clancy Brown</t>
        </is>
      </c>
      <c r="B457" s="1" t="n">
        <v>1</v>
      </c>
      <c r="C457" s="1" t="n">
        <v>2013</v>
      </c>
      <c r="D457" s="1" t="n">
        <v>2013</v>
      </c>
      <c r="E457" s="4" t="inlineStr">
        <is>
          <t>Lego Batman: The Movie - DC Super Heroes Unite</t>
        </is>
      </c>
      <c r="F457" s="1" t="inlineStr">
        <is>
          <t>F0194</t>
        </is>
      </c>
    </row>
    <row r="458" ht="15.75" customHeight="1" s="95">
      <c r="A458" s="1" t="inlineStr">
        <is>
          <t>Claudia Wells</t>
        </is>
      </c>
      <c r="B458" s="1" t="n">
        <v>1</v>
      </c>
      <c r="C458" s="1" t="n">
        <v>1985</v>
      </c>
      <c r="D458" s="1" t="n">
        <v>1985</v>
      </c>
      <c r="E458" s="4" t="inlineStr">
        <is>
          <t>Back to the Future</t>
        </is>
      </c>
      <c r="F458" s="1" t="inlineStr">
        <is>
          <t>F0033</t>
        </is>
      </c>
    </row>
    <row r="459" ht="15.75" customHeight="1" s="95">
      <c r="A459" s="1" t="inlineStr">
        <is>
          <t>Cliff Curtis</t>
        </is>
      </c>
      <c r="B459" s="1" t="n">
        <v>1</v>
      </c>
      <c r="C459" s="1" t="n">
        <v>2007</v>
      </c>
      <c r="D459" s="1" t="n">
        <v>2007</v>
      </c>
      <c r="E459" s="4" t="inlineStr">
        <is>
          <t>Live Free or Die Hard</t>
        </is>
      </c>
      <c r="F459" s="1" t="inlineStr">
        <is>
          <t>F0086</t>
        </is>
      </c>
    </row>
    <row r="460" ht="15.75" customHeight="1" s="95">
      <c r="A460" s="1" t="inlineStr">
        <is>
          <t>Cliff Edwards</t>
        </is>
      </c>
      <c r="B460" s="1" t="n">
        <v>1</v>
      </c>
      <c r="C460" s="1" t="n">
        <v>1940</v>
      </c>
      <c r="D460" s="1" t="n">
        <v>1940</v>
      </c>
      <c r="E460" s="4" t="inlineStr">
        <is>
          <t>Pinocchio</t>
        </is>
      </c>
      <c r="F460" s="1" t="inlineStr">
        <is>
          <t>F0248</t>
        </is>
      </c>
    </row>
    <row r="461" ht="15.75" customHeight="1" s="95">
      <c r="A461" s="1" t="inlineStr">
        <is>
          <t>Cliff Robertson</t>
        </is>
      </c>
      <c r="B461" s="1" t="n">
        <v>1</v>
      </c>
      <c r="C461" s="1" t="n">
        <v>2002</v>
      </c>
      <c r="D461" s="1" t="n">
        <v>2002</v>
      </c>
      <c r="E461" s="4" t="inlineStr">
        <is>
          <t>Spider-Man</t>
        </is>
      </c>
      <c r="F461" s="1" t="inlineStr">
        <is>
          <t>F0287</t>
        </is>
      </c>
    </row>
    <row r="462" ht="15.75" customHeight="1" s="95">
      <c r="A462" s="1" t="inlineStr">
        <is>
          <t>Clifford Bañagale</t>
        </is>
      </c>
      <c r="B462" s="1" t="n">
        <v>1</v>
      </c>
      <c r="C462" s="1" t="n">
        <v>2009</v>
      </c>
      <c r="D462" s="1" t="n">
        <v>2009</v>
      </c>
      <c r="E462" s="4" t="inlineStr">
        <is>
          <t>Brüno</t>
        </is>
      </c>
      <c r="F462" s="1" t="inlineStr">
        <is>
          <t>F0059</t>
        </is>
      </c>
    </row>
    <row r="463" ht="15.75" customHeight="1" s="95">
      <c r="A463" s="1" t="inlineStr">
        <is>
          <t>Clifton Collins Jr.</t>
        </is>
      </c>
      <c r="B463" s="1" t="n">
        <v>1</v>
      </c>
      <c r="C463" s="1" t="n">
        <v>2013</v>
      </c>
      <c r="D463" s="1" t="n">
        <v>2013</v>
      </c>
      <c r="E463" s="4" t="inlineStr">
        <is>
          <t>Pacific Rim</t>
        </is>
      </c>
      <c r="F463" s="1" t="inlineStr">
        <is>
          <t>F0243</t>
        </is>
      </c>
    </row>
    <row r="464" ht="15.75" customHeight="1" s="95">
      <c r="A464" s="1" t="inlineStr">
        <is>
          <t>Clint Eastwood</t>
        </is>
      </c>
      <c r="B464" s="1" t="n">
        <v>1</v>
      </c>
      <c r="C464" s="1" t="n">
        <v>2008</v>
      </c>
      <c r="D464" s="1" t="n">
        <v>2008</v>
      </c>
      <c r="E464" s="4" t="inlineStr">
        <is>
          <t>Gran Torino</t>
        </is>
      </c>
      <c r="F464" s="1" t="inlineStr">
        <is>
          <t>F0125</t>
        </is>
      </c>
    </row>
    <row r="465" ht="15.75" customHeight="1" s="95">
      <c r="A465" s="1" t="inlineStr">
        <is>
          <t>Clive Owen</t>
        </is>
      </c>
      <c r="B465" s="1" t="n">
        <v>1</v>
      </c>
      <c r="C465" s="1" t="n">
        <v>2002</v>
      </c>
      <c r="D465" s="1" t="n">
        <v>2002</v>
      </c>
      <c r="E465" s="4" t="inlineStr">
        <is>
          <t>The Bourne Identity</t>
        </is>
      </c>
      <c r="F465" s="1" t="inlineStr">
        <is>
          <t>F0053</t>
        </is>
      </c>
    </row>
    <row r="466" ht="15.75" customHeight="1" s="95">
      <c r="A466" s="1" t="inlineStr">
        <is>
          <t>Cloris Leachman</t>
        </is>
      </c>
      <c r="B466" s="1" t="n">
        <v>1</v>
      </c>
      <c r="C466" s="1" t="n">
        <v>2013</v>
      </c>
      <c r="D466" s="1" t="n">
        <v>2013</v>
      </c>
      <c r="E466" s="4" t="inlineStr">
        <is>
          <t>The Croods</t>
        </is>
      </c>
      <c r="F466" s="1" t="inlineStr">
        <is>
          <t>F0075</t>
        </is>
      </c>
    </row>
    <row r="467" ht="15.75" customHeight="1" s="95">
      <c r="A467" s="1" t="inlineStr">
        <is>
          <t>Cobie Smulders</t>
        </is>
      </c>
      <c r="B467" s="1" t="n">
        <v>1</v>
      </c>
      <c r="C467" s="1" t="n">
        <v>2013</v>
      </c>
      <c r="D467" s="1" t="n">
        <v>2013</v>
      </c>
      <c r="E467" s="4" t="inlineStr">
        <is>
          <t>Delivery Man</t>
        </is>
      </c>
      <c r="F467" s="1" t="inlineStr">
        <is>
          <t>F0080</t>
        </is>
      </c>
    </row>
    <row r="468" ht="15.75" customHeight="1" s="95">
      <c r="A468" s="1" t="inlineStr">
        <is>
          <t>Cody H. Carolin</t>
        </is>
      </c>
      <c r="B468" s="1" t="n">
        <v>1</v>
      </c>
      <c r="C468" s="1" t="n">
        <v>2012</v>
      </c>
      <c r="D468" s="1" t="n">
        <v>2012</v>
      </c>
      <c r="E468" s="4" t="inlineStr">
        <is>
          <t>Magic Mike</t>
        </is>
      </c>
      <c r="F468" s="1" t="inlineStr">
        <is>
          <t>F0206</t>
        </is>
      </c>
    </row>
    <row r="469" ht="15.75" customHeight="1" s="95">
      <c r="A469" s="1" t="inlineStr">
        <is>
          <t>Cole Hauser</t>
        </is>
      </c>
      <c r="B469" s="1" t="n">
        <v>1</v>
      </c>
      <c r="C469" s="1" t="n">
        <v>2003</v>
      </c>
      <c r="D469" s="1" t="n">
        <v>2003</v>
      </c>
      <c r="E469" s="4" t="inlineStr">
        <is>
          <t>2 Fast 2 Furious</t>
        </is>
      </c>
      <c r="F469" s="1" t="inlineStr">
        <is>
          <t>F0102</t>
        </is>
      </c>
    </row>
    <row r="470" ht="15.75" customHeight="1" s="95">
      <c r="A470" s="1" t="inlineStr">
        <is>
          <t>Colin Hanks</t>
        </is>
      </c>
      <c r="B470" s="1" t="n">
        <v>1</v>
      </c>
      <c r="C470" s="1" t="n">
        <v>2005</v>
      </c>
      <c r="D470" s="1" t="n">
        <v>2005</v>
      </c>
      <c r="E470" s="4" t="inlineStr">
        <is>
          <t>King Kong</t>
        </is>
      </c>
      <c r="F470" s="1" t="inlineStr">
        <is>
          <t>F0188</t>
        </is>
      </c>
    </row>
    <row r="471" ht="15.75" customHeight="1" s="95">
      <c r="A471" s="1" t="inlineStr">
        <is>
          <t>Corey Hawkins</t>
        </is>
      </c>
      <c r="B471" s="1" t="n">
        <v>1</v>
      </c>
      <c r="C471" s="1" t="n">
        <v>2015</v>
      </c>
      <c r="D471" s="1" t="n">
        <v>2015</v>
      </c>
      <c r="E471" s="4" t="inlineStr">
        <is>
          <t>Straight Outta Compton</t>
        </is>
      </c>
      <c r="F471" s="1" t="inlineStr">
        <is>
          <t>F0301</t>
        </is>
      </c>
    </row>
    <row r="472" ht="15.75" customHeight="1" s="95">
      <c r="A472" s="1" t="inlineStr">
        <is>
          <t>Crispin Glover</t>
        </is>
      </c>
      <c r="B472" s="1" t="n">
        <v>1</v>
      </c>
      <c r="C472" s="1" t="n">
        <v>1985</v>
      </c>
      <c r="D472" s="1" t="n">
        <v>1985</v>
      </c>
      <c r="E472" s="4" t="inlineStr">
        <is>
          <t>Back to the Future</t>
        </is>
      </c>
      <c r="F472" s="1" t="inlineStr">
        <is>
          <t>F0033</t>
        </is>
      </c>
    </row>
    <row r="473" ht="15.75" customHeight="1" s="95">
      <c r="A473" s="1" t="inlineStr">
        <is>
          <t>Cuba Gooding Jr.</t>
        </is>
      </c>
      <c r="B473" s="1" t="n">
        <v>1</v>
      </c>
      <c r="C473" s="1" t="n">
        <v>2001</v>
      </c>
      <c r="D473" s="1" t="n">
        <v>2001</v>
      </c>
      <c r="E473" s="4" t="inlineStr">
        <is>
          <t>Pearl Harbor</t>
        </is>
      </c>
      <c r="F473" s="1" t="inlineStr">
        <is>
          <t>F0246</t>
        </is>
      </c>
    </row>
    <row r="474" ht="15.75" customHeight="1" s="95">
      <c r="A474" s="1" t="inlineStr">
        <is>
          <t>Cynthia Addai-Robinson</t>
        </is>
      </c>
      <c r="B474" s="1" t="n">
        <v>1</v>
      </c>
      <c r="C474" s="1" t="n">
        <v>2016</v>
      </c>
      <c r="D474" s="1" t="n">
        <v>2016</v>
      </c>
      <c r="E474" s="4" t="inlineStr">
        <is>
          <t>The Accountant</t>
        </is>
      </c>
      <c r="F474" s="1" t="inlineStr">
        <is>
          <t>F0013</t>
        </is>
      </c>
    </row>
    <row r="475" ht="15.75" customHeight="1" s="95">
      <c r="A475" s="1" t="inlineStr">
        <is>
          <t>D.B. Sweeney</t>
        </is>
      </c>
      <c r="B475" s="1" t="n">
        <v>1</v>
      </c>
      <c r="C475" s="1" t="n">
        <v>2012</v>
      </c>
      <c r="D475" s="1" t="n">
        <v>2012</v>
      </c>
      <c r="E475" s="4" t="inlineStr">
        <is>
          <t>Taken 2</t>
        </is>
      </c>
      <c r="F475" s="1" t="inlineStr">
        <is>
          <t>F0307</t>
        </is>
      </c>
    </row>
    <row r="476" ht="15.75" customHeight="1" s="95">
      <c r="A476" s="1" t="inlineStr">
        <is>
          <t>D.J. Cotrona</t>
        </is>
      </c>
      <c r="B476" s="1" t="n">
        <v>1</v>
      </c>
      <c r="C476" s="1" t="n">
        <v>2010</v>
      </c>
      <c r="D476" s="1" t="n">
        <v>2010</v>
      </c>
      <c r="E476" s="4" t="inlineStr">
        <is>
          <t>Dear John</t>
        </is>
      </c>
      <c r="F476" s="1" t="inlineStr">
        <is>
          <t>F0079</t>
        </is>
      </c>
    </row>
    <row r="477" ht="15.75" customHeight="1" s="95">
      <c r="A477" s="1" t="inlineStr">
        <is>
          <t>Dakota Fanning</t>
        </is>
      </c>
      <c r="B477" s="1" t="n">
        <v>1</v>
      </c>
      <c r="C477" s="1" t="n">
        <v>2005</v>
      </c>
      <c r="D477" s="1" t="n">
        <v>2005</v>
      </c>
      <c r="E477" s="4" t="inlineStr">
        <is>
          <t>War of the Worlds</t>
        </is>
      </c>
      <c r="F477" s="1" t="inlineStr">
        <is>
          <t>F0332</t>
        </is>
      </c>
    </row>
    <row r="478" ht="15.75" customHeight="1" s="95">
      <c r="A478" s="1" t="inlineStr">
        <is>
          <t>Damian Lewis</t>
        </is>
      </c>
      <c r="B478" s="1" t="n">
        <v>1</v>
      </c>
      <c r="C478" s="1" t="n">
        <v>2012</v>
      </c>
      <c r="D478" s="1" t="n">
        <v>2012</v>
      </c>
      <c r="E478" s="4" t="inlineStr">
        <is>
          <t>The Sweeney</t>
        </is>
      </c>
      <c r="F478" s="1" t="inlineStr">
        <is>
          <t>F0305</t>
        </is>
      </c>
    </row>
    <row r="479" ht="15.75" customHeight="1" s="95">
      <c r="A479" s="1" t="inlineStr">
        <is>
          <t>Damson Idris</t>
        </is>
      </c>
      <c r="B479" s="1" t="n">
        <v>1</v>
      </c>
      <c r="C479" s="1" t="n">
        <v>2025</v>
      </c>
      <c r="D479" s="1" t="n">
        <v>2025</v>
      </c>
      <c r="E479" s="4" t="inlineStr">
        <is>
          <t>F1</t>
        </is>
      </c>
      <c r="F479" s="1" t="inlineStr">
        <is>
          <t>F0098</t>
        </is>
      </c>
    </row>
    <row r="480" ht="15.75" customHeight="1" s="95">
      <c r="A480" s="1" t="inlineStr">
        <is>
          <t>Dan Aykroyd</t>
        </is>
      </c>
      <c r="B480" s="1" t="n">
        <v>1</v>
      </c>
      <c r="C480" s="1" t="n">
        <v>2010</v>
      </c>
      <c r="D480" s="1" t="n">
        <v>2010</v>
      </c>
      <c r="E480" s="4" t="inlineStr">
        <is>
          <t>Yogi Bear</t>
        </is>
      </c>
      <c r="F480" s="1" t="inlineStr">
        <is>
          <t>F0348</t>
        </is>
      </c>
    </row>
    <row r="481" ht="15.75" customHeight="1" s="95">
      <c r="A481" s="1" t="inlineStr">
        <is>
          <t>Dan Fogler</t>
        </is>
      </c>
      <c r="B481" s="1" t="n">
        <v>1</v>
      </c>
      <c r="C481" s="1" t="n">
        <v>2016</v>
      </c>
      <c r="D481" s="1" t="n">
        <v>2016</v>
      </c>
      <c r="E481" s="4" t="inlineStr">
        <is>
          <t>Fantastic Beasts and Where to Find Them</t>
        </is>
      </c>
      <c r="F481" s="1" t="inlineStr">
        <is>
          <t>F0100</t>
        </is>
      </c>
    </row>
    <row r="482" ht="15.75" customHeight="1" s="95">
      <c r="A482" s="1" t="inlineStr">
        <is>
          <t>Dan O'Herlihy</t>
        </is>
      </c>
      <c r="B482" s="1" t="n">
        <v>1</v>
      </c>
      <c r="C482" s="1" t="n"/>
      <c r="D482" s="1" t="n"/>
      <c r="E482" s="4" t="inlineStr">
        <is>
          <t>RoboCop</t>
        </is>
      </c>
      <c r="F482" s="1" t="inlineStr">
        <is>
          <t>F0268</t>
        </is>
      </c>
    </row>
    <row r="483" ht="15.75" customHeight="1" s="95">
      <c r="A483" s="1" t="inlineStr">
        <is>
          <t>Daniel Brühl</t>
        </is>
      </c>
      <c r="B483" s="1" t="n">
        <v>1</v>
      </c>
      <c r="C483" s="1" t="n">
        <v>2013</v>
      </c>
      <c r="D483" s="1" t="n">
        <v>2013</v>
      </c>
      <c r="E483" s="4" t="inlineStr">
        <is>
          <t>Rush</t>
        </is>
      </c>
      <c r="F483" s="1" t="inlineStr">
        <is>
          <t>F0270</t>
        </is>
      </c>
    </row>
    <row r="484" ht="15.75" customHeight="1" s="95">
      <c r="A484" s="1" t="inlineStr">
        <is>
          <t>Daniel Henney</t>
        </is>
      </c>
      <c r="B484" s="1" t="n">
        <v>1</v>
      </c>
      <c r="C484" s="1" t="n">
        <v>2014</v>
      </c>
      <c r="D484" s="1" t="n">
        <v>2014</v>
      </c>
      <c r="E484" s="4" t="inlineStr">
        <is>
          <t>Big Hero 6</t>
        </is>
      </c>
      <c r="F484" s="1" t="inlineStr">
        <is>
          <t>F0048</t>
        </is>
      </c>
    </row>
    <row r="485" ht="15.75" customHeight="1" s="95">
      <c r="A485" s="1" t="inlineStr">
        <is>
          <t>Daniel Mays</t>
        </is>
      </c>
      <c r="B485" s="1" t="n">
        <v>1</v>
      </c>
      <c r="C485" s="1" t="n">
        <v>2008</v>
      </c>
      <c r="D485" s="1" t="n">
        <v>2008</v>
      </c>
      <c r="E485" s="4" t="inlineStr">
        <is>
          <t>The Bank Job</t>
        </is>
      </c>
      <c r="F485" s="1" t="inlineStr">
        <is>
          <t>F0040</t>
        </is>
      </c>
    </row>
    <row r="486" ht="15.75" customHeight="1" s="95">
      <c r="A486" s="1" t="inlineStr">
        <is>
          <t>Daniel Olbrychski</t>
        </is>
      </c>
      <c r="B486" s="1" t="n">
        <v>1</v>
      </c>
      <c r="C486" s="1" t="n">
        <v>2010</v>
      </c>
      <c r="D486" s="1" t="n">
        <v>2010</v>
      </c>
      <c r="E486" s="4" t="inlineStr">
        <is>
          <t>Salt</t>
        </is>
      </c>
      <c r="F486" s="1" t="inlineStr">
        <is>
          <t>F0273</t>
        </is>
      </c>
    </row>
    <row r="487" ht="15.75" customHeight="1" s="95">
      <c r="A487" s="1" t="inlineStr">
        <is>
          <t>Daniella Pineda</t>
        </is>
      </c>
      <c r="B487" s="1" t="n">
        <v>1</v>
      </c>
      <c r="C487" s="1" t="n">
        <v>2018</v>
      </c>
      <c r="D487" s="1" t="n">
        <v>2018</v>
      </c>
      <c r="E487" s="4" t="inlineStr">
        <is>
          <t>Jurassic World: Fallen Kingdom</t>
        </is>
      </c>
      <c r="F487" s="1" t="inlineStr">
        <is>
          <t>F0180</t>
        </is>
      </c>
    </row>
    <row r="488" ht="15.75" customHeight="1" s="95">
      <c r="A488" s="1" t="inlineStr">
        <is>
          <t>Danny Huston</t>
        </is>
      </c>
      <c r="B488" s="1" t="n">
        <v>1</v>
      </c>
      <c r="C488" s="1" t="n">
        <v>2009</v>
      </c>
      <c r="D488" s="1" t="n">
        <v>2009</v>
      </c>
      <c r="E488" s="4" t="inlineStr">
        <is>
          <t>X-Men Origins: Wolverine</t>
        </is>
      </c>
      <c r="F488" s="1" t="inlineStr">
        <is>
          <t>F0343</t>
        </is>
      </c>
    </row>
    <row r="489" ht="15.75" customHeight="1" s="95">
      <c r="A489" s="1" t="inlineStr">
        <is>
          <t>Dave Bautista</t>
        </is>
      </c>
      <c r="B489" s="1" t="n">
        <v>1</v>
      </c>
      <c r="C489" s="1" t="n">
        <v>2013</v>
      </c>
      <c r="D489" s="1" t="n">
        <v>2013</v>
      </c>
      <c r="E489" s="4" t="inlineStr">
        <is>
          <t>Riddick</t>
        </is>
      </c>
      <c r="F489" s="1" t="inlineStr">
        <is>
          <t>F0264</t>
        </is>
      </c>
    </row>
    <row r="490" ht="15.75" customHeight="1" s="95">
      <c r="A490" s="1" t="inlineStr">
        <is>
          <t>Dave Foley</t>
        </is>
      </c>
      <c r="B490" s="1" t="n">
        <v>1</v>
      </c>
      <c r="C490" s="1" t="n">
        <v>1998</v>
      </c>
      <c r="D490" s="1" t="n">
        <v>1998</v>
      </c>
      <c r="E490" s="4" t="inlineStr">
        <is>
          <t>A Bug's Life</t>
        </is>
      </c>
      <c r="F490" s="1" t="inlineStr">
        <is>
          <t>F0012</t>
        </is>
      </c>
    </row>
    <row r="491" ht="15.75" customHeight="1" s="95">
      <c r="A491" s="1" t="inlineStr">
        <is>
          <t>Dave Franco</t>
        </is>
      </c>
      <c r="B491" s="1" t="n">
        <v>1</v>
      </c>
      <c r="C491" s="1" t="n">
        <v>2012</v>
      </c>
      <c r="D491" s="1" t="n">
        <v>2012</v>
      </c>
      <c r="E491" s="4" t="inlineStr">
        <is>
          <t>21 Jump Street</t>
        </is>
      </c>
      <c r="F491" s="1" t="inlineStr">
        <is>
          <t>F0007</t>
        </is>
      </c>
    </row>
    <row r="492" ht="15.75" customHeight="1" s="95">
      <c r="A492" s="1" t="inlineStr">
        <is>
          <t>David Corenswet</t>
        </is>
      </c>
      <c r="B492" s="1" t="n">
        <v>1</v>
      </c>
      <c r="C492" s="1" t="n">
        <v>2025</v>
      </c>
      <c r="D492" s="1" t="n">
        <v>2025</v>
      </c>
      <c r="E492" s="4" t="inlineStr">
        <is>
          <t>Superman</t>
        </is>
      </c>
      <c r="F492" s="1" t="inlineStr">
        <is>
          <t>F0304</t>
        </is>
      </c>
    </row>
    <row r="493" ht="15.75" customHeight="1" s="95">
      <c r="A493" s="1" t="inlineStr">
        <is>
          <t>David Harris</t>
        </is>
      </c>
      <c r="B493" s="1" t="n">
        <v>1</v>
      </c>
      <c r="C493" s="1" t="n">
        <v>1979</v>
      </c>
      <c r="D493" s="1" t="n">
        <v>1979</v>
      </c>
      <c r="E493" s="4" t="inlineStr">
        <is>
          <t>The Warriors</t>
        </is>
      </c>
      <c r="F493" s="1" t="inlineStr">
        <is>
          <t>F0334</t>
        </is>
      </c>
    </row>
    <row r="494" ht="15.75" customHeight="1" s="95">
      <c r="A494" s="1" t="inlineStr">
        <is>
          <t>David Huddleston</t>
        </is>
      </c>
      <c r="B494" s="1" t="n">
        <v>1</v>
      </c>
      <c r="C494" s="1" t="n">
        <v>1998</v>
      </c>
      <c r="D494" s="1" t="n">
        <v>1998</v>
      </c>
      <c r="E494" s="4" t="inlineStr">
        <is>
          <t>The Big Lebowski</t>
        </is>
      </c>
      <c r="F494" s="1" t="inlineStr">
        <is>
          <t>F0049</t>
        </is>
      </c>
    </row>
    <row r="495" ht="15.75" customHeight="1" s="95">
      <c r="A495" s="1" t="inlineStr">
        <is>
          <t>David Koechner</t>
        </is>
      </c>
      <c r="B495" s="1" t="n">
        <v>1</v>
      </c>
      <c r="C495" s="1" t="n">
        <v>2004</v>
      </c>
      <c r="D495" s="1" t="n">
        <v>2004</v>
      </c>
      <c r="E495" s="4" t="inlineStr">
        <is>
          <t>Anchorman: The Legend of Ron Burgundy</t>
        </is>
      </c>
      <c r="F495" s="1" t="inlineStr">
        <is>
          <t>F0022</t>
        </is>
      </c>
    </row>
    <row r="496" ht="15.75" customHeight="1" s="95">
      <c r="A496" s="1" t="inlineStr">
        <is>
          <t>David Oyelowo</t>
        </is>
      </c>
      <c r="B496" s="1" t="n">
        <v>1</v>
      </c>
      <c r="C496" s="1" t="n">
        <v>2012</v>
      </c>
      <c r="D496" s="1" t="n">
        <v>2012</v>
      </c>
      <c r="E496" s="4" t="inlineStr">
        <is>
          <t>Jack Reacher</t>
        </is>
      </c>
      <c r="F496" s="1" t="inlineStr">
        <is>
          <t>F0171</t>
        </is>
      </c>
    </row>
    <row r="497" ht="15.75" customHeight="1" s="95">
      <c r="A497" s="1" t="inlineStr">
        <is>
          <t>David Patrick Kelly</t>
        </is>
      </c>
      <c r="B497" s="1" t="n">
        <v>1</v>
      </c>
      <c r="C497" s="1" t="n">
        <v>1979</v>
      </c>
      <c r="D497" s="1" t="n">
        <v>1979</v>
      </c>
      <c r="E497" s="4" t="inlineStr">
        <is>
          <t>The Warriors</t>
        </is>
      </c>
      <c r="F497" s="1" t="inlineStr">
        <is>
          <t>F0334</t>
        </is>
      </c>
    </row>
    <row r="498" ht="15.75" customHeight="1" s="95">
      <c r="A498" s="1" t="inlineStr">
        <is>
          <t>David Strathairn</t>
        </is>
      </c>
      <c r="B498" s="1" t="n">
        <v>1</v>
      </c>
      <c r="C498" s="1" t="n">
        <v>2007</v>
      </c>
      <c r="D498" s="1" t="n">
        <v>2007</v>
      </c>
      <c r="E498" s="4" t="inlineStr">
        <is>
          <t>The Bourne Ultimatum</t>
        </is>
      </c>
      <c r="F498" s="1" t="inlineStr">
        <is>
          <t>F0055</t>
        </is>
      </c>
    </row>
    <row r="499" ht="15.75" customHeight="1" s="95">
      <c r="A499" s="1" t="inlineStr">
        <is>
          <t>Deborah Ann Woll</t>
        </is>
      </c>
      <c r="B499" s="1" t="n">
        <v>1</v>
      </c>
      <c r="C499" s="1" t="n">
        <v>2011</v>
      </c>
      <c r="D499" s="1" t="n">
        <v>2011</v>
      </c>
      <c r="E499" s="4" t="inlineStr">
        <is>
          <t>Catch.44</t>
        </is>
      </c>
      <c r="F499" s="1" t="inlineStr">
        <is>
          <t>F0063</t>
        </is>
      </c>
    </row>
    <row r="500" ht="15.75" customHeight="1" s="95">
      <c r="A500" s="1" t="inlineStr">
        <is>
          <t>Delroy Lindo</t>
        </is>
      </c>
      <c r="B500" s="1" t="n">
        <v>1</v>
      </c>
      <c r="C500" s="1" t="n">
        <v>2009</v>
      </c>
      <c r="D500" s="1" t="n">
        <v>2009</v>
      </c>
      <c r="E500" s="4" t="inlineStr">
        <is>
          <t>Up</t>
        </is>
      </c>
      <c r="F500" s="1" t="inlineStr">
        <is>
          <t>F0330</t>
        </is>
      </c>
    </row>
    <row r="501" ht="15.75" customHeight="1" s="95">
      <c r="A501" s="1" t="inlineStr">
        <is>
          <t>Demián Bichir</t>
        </is>
      </c>
      <c r="B501" s="1" t="n">
        <v>1</v>
      </c>
      <c r="C501" s="1" t="n">
        <v>2013</v>
      </c>
      <c r="D501" s="1" t="n">
        <v>2013</v>
      </c>
      <c r="E501" s="4" t="inlineStr">
        <is>
          <t>The Heat</t>
        </is>
      </c>
      <c r="F501" s="1" t="inlineStr">
        <is>
          <t>F0146</t>
        </is>
      </c>
    </row>
    <row r="502" ht="15.75" customHeight="1" s="95">
      <c r="A502" s="1" t="inlineStr">
        <is>
          <t>Dennis Boutsikaris</t>
        </is>
      </c>
      <c r="B502" s="1" t="n">
        <v>1</v>
      </c>
      <c r="C502" s="1" t="n">
        <v>2012</v>
      </c>
      <c r="D502" s="1" t="n">
        <v>2012</v>
      </c>
      <c r="E502" s="4" t="inlineStr">
        <is>
          <t>The Bourne Legacy</t>
        </is>
      </c>
      <c r="F502" s="1" t="inlineStr">
        <is>
          <t>F0056</t>
        </is>
      </c>
    </row>
    <row r="503" ht="15.75" customHeight="1" s="95">
      <c r="A503" s="1" t="inlineStr">
        <is>
          <t>Derek Jacobi</t>
        </is>
      </c>
      <c r="B503" s="1" t="n">
        <v>1</v>
      </c>
      <c r="C503" s="1" t="n">
        <v>2006</v>
      </c>
      <c r="D503" s="1" t="n">
        <v>2006</v>
      </c>
      <c r="E503" s="4" t="inlineStr">
        <is>
          <t>Underworld: Evolution</t>
        </is>
      </c>
      <c r="F503" s="1" t="inlineStr">
        <is>
          <t>F0326</t>
        </is>
      </c>
    </row>
    <row r="504" ht="15.75" customHeight="1" s="95">
      <c r="A504" s="1" t="inlineStr">
        <is>
          <t>Dev Patel</t>
        </is>
      </c>
      <c r="B504" s="1" t="n">
        <v>1</v>
      </c>
      <c r="C504" s="1" t="n">
        <v>2008</v>
      </c>
      <c r="D504" s="1" t="n">
        <v>2008</v>
      </c>
      <c r="E504" s="4" t="inlineStr">
        <is>
          <t>Slumdog Millionaire</t>
        </is>
      </c>
      <c r="F504" s="1" t="inlineStr">
        <is>
          <t>F0281</t>
        </is>
      </c>
    </row>
    <row r="505" ht="15.75" customHeight="1" s="95">
      <c r="A505" s="1" t="inlineStr">
        <is>
          <t>Diane Keaton</t>
        </is>
      </c>
      <c r="B505" s="1" t="n">
        <v>1</v>
      </c>
      <c r="C505" s="1" t="n">
        <v>2016</v>
      </c>
      <c r="D505" s="1" t="n">
        <v>2016</v>
      </c>
      <c r="E505" s="4" t="inlineStr">
        <is>
          <t>Finding Dory</t>
        </is>
      </c>
      <c r="F505" s="1" t="inlineStr">
        <is>
          <t>F0113</t>
        </is>
      </c>
    </row>
    <row r="506" ht="15.75" customHeight="1" s="95">
      <c r="A506" s="1" t="inlineStr">
        <is>
          <t>Diane Lane</t>
        </is>
      </c>
      <c r="B506" s="1" t="n">
        <v>1</v>
      </c>
      <c r="C506" s="1" t="n">
        <v>2013</v>
      </c>
      <c r="D506" s="1" t="n">
        <v>2013</v>
      </c>
      <c r="E506" s="4" t="inlineStr">
        <is>
          <t>Man of Steel</t>
        </is>
      </c>
      <c r="F506" s="1" t="inlineStr">
        <is>
          <t>F0211</t>
        </is>
      </c>
    </row>
    <row r="507" ht="15.75" customHeight="1" s="95">
      <c r="A507" s="1" t="inlineStr">
        <is>
          <t>Dickie Jones</t>
        </is>
      </c>
      <c r="B507" s="1" t="n">
        <v>1</v>
      </c>
      <c r="C507" s="1" t="n">
        <v>1940</v>
      </c>
      <c r="D507" s="1" t="n">
        <v>1940</v>
      </c>
      <c r="E507" s="4" t="inlineStr">
        <is>
          <t>Pinocchio</t>
        </is>
      </c>
      <c r="F507" s="1" t="inlineStr">
        <is>
          <t>F0248</t>
        </is>
      </c>
    </row>
    <row r="508" ht="15.75" customHeight="1" s="95">
      <c r="A508" s="1" t="inlineStr">
        <is>
          <t>Diedrich Bader</t>
        </is>
      </c>
      <c r="B508" s="1" t="n">
        <v>1</v>
      </c>
      <c r="C508" s="1" t="n">
        <v>2015</v>
      </c>
      <c r="D508" s="1" t="n">
        <v>2015</v>
      </c>
      <c r="E508" s="4" t="inlineStr">
        <is>
          <t>Lego DC Comics Super Heroes: Justice League vs. Bizarro League</t>
        </is>
      </c>
      <c r="F508" s="1" t="inlineStr">
        <is>
          <t>F0197</t>
        </is>
      </c>
    </row>
    <row r="509" ht="15.75" customHeight="1" s="95">
      <c r="A509" s="1" t="inlineStr">
        <is>
          <t>Diego Luna</t>
        </is>
      </c>
      <c r="B509" s="1" t="n">
        <v>1</v>
      </c>
      <c r="C509" s="1" t="n">
        <v>2013</v>
      </c>
      <c r="D509" s="1" t="n">
        <v>2013</v>
      </c>
      <c r="E509" s="4" t="inlineStr">
        <is>
          <t>Elysium</t>
        </is>
      </c>
      <c r="F509" s="1" t="inlineStr">
        <is>
          <t>F0093</t>
        </is>
      </c>
    </row>
    <row r="510" ht="15.75" customHeight="1" s="95">
      <c r="A510" s="1" t="inlineStr">
        <is>
          <t>Dilshad Vadsaria</t>
        </is>
      </c>
      <c r="B510" s="1" t="n">
        <v>1</v>
      </c>
      <c r="C510" s="1" t="n">
        <v>2011</v>
      </c>
      <c r="D510" s="1" t="n">
        <v>2011</v>
      </c>
      <c r="E510" s="4" t="inlineStr">
        <is>
          <t>30 Minutes or Less</t>
        </is>
      </c>
      <c r="F510" s="1" t="inlineStr">
        <is>
          <t>F0009</t>
        </is>
      </c>
    </row>
    <row r="511" ht="15.75" customHeight="1" s="95">
      <c r="A511" s="1" t="inlineStr">
        <is>
          <t>Dominic Cooper</t>
        </is>
      </c>
      <c r="B511" s="1" t="n">
        <v>1</v>
      </c>
      <c r="C511" s="1" t="n">
        <v>2014</v>
      </c>
      <c r="D511" s="1" t="n">
        <v>2014</v>
      </c>
      <c r="E511" s="4" t="inlineStr">
        <is>
          <t>Need for Speed</t>
        </is>
      </c>
      <c r="F511" s="1" t="inlineStr">
        <is>
          <t>F0234</t>
        </is>
      </c>
    </row>
    <row r="512" ht="15.75" customHeight="1" s="95">
      <c r="A512" s="1" t="inlineStr">
        <is>
          <t>Dominique Fishback</t>
        </is>
      </c>
      <c r="B512" s="1" t="n">
        <v>1</v>
      </c>
      <c r="C512" s="1" t="n">
        <v>2023</v>
      </c>
      <c r="D512" s="1" t="n">
        <v>2023</v>
      </c>
      <c r="E512" s="4" t="inlineStr">
        <is>
          <t>Transformers: Rise of the Beasts</t>
        </is>
      </c>
      <c r="F512" s="1" t="inlineStr">
        <is>
          <t>F0321</t>
        </is>
      </c>
    </row>
    <row r="513" ht="15.75" customHeight="1" s="95">
      <c r="A513" s="1" t="inlineStr">
        <is>
          <t>Dominique Pinon</t>
        </is>
      </c>
      <c r="B513" s="1" t="n">
        <v>1</v>
      </c>
      <c r="C513" s="1" t="n">
        <v>1997</v>
      </c>
      <c r="D513" s="1" t="n">
        <v>1997</v>
      </c>
      <c r="E513" s="4" t="inlineStr">
        <is>
          <t>Alien Resurrection</t>
        </is>
      </c>
      <c r="F513" s="1" t="inlineStr">
        <is>
          <t>F0018</t>
        </is>
      </c>
    </row>
    <row r="514" ht="15.75" customHeight="1" s="95">
      <c r="A514" s="1" t="inlineStr">
        <is>
          <t>Don Cheadle</t>
        </is>
      </c>
      <c r="B514" s="1" t="n">
        <v>1</v>
      </c>
      <c r="C514" s="1" t="n">
        <v>2013</v>
      </c>
      <c r="D514" s="1" t="n">
        <v>2013</v>
      </c>
      <c r="E514" s="4" t="inlineStr">
        <is>
          <t>Iron Man 3</t>
        </is>
      </c>
      <c r="F514" s="1" t="inlineStr">
        <is>
          <t>F0169</t>
        </is>
      </c>
    </row>
    <row r="515" ht="15.75" customHeight="1" s="95">
      <c r="A515" s="1" t="inlineStr">
        <is>
          <t>Dorsey Wright</t>
        </is>
      </c>
      <c r="B515" s="1" t="n">
        <v>1</v>
      </c>
      <c r="C515" s="1" t="n">
        <v>1979</v>
      </c>
      <c r="D515" s="1" t="n">
        <v>1979</v>
      </c>
      <c r="E515" s="4" t="inlineStr">
        <is>
          <t>The Warriors</t>
        </is>
      </c>
      <c r="F515" s="1" t="inlineStr">
        <is>
          <t>F0334</t>
        </is>
      </c>
    </row>
    <row r="516" ht="15.75" customHeight="1" s="95">
      <c r="A516" s="1" t="inlineStr">
        <is>
          <t>Dougray Scott</t>
        </is>
      </c>
      <c r="B516" s="1" t="n">
        <v>1</v>
      </c>
      <c r="C516" s="1" t="n">
        <v>2000</v>
      </c>
      <c r="D516" s="1" t="n">
        <v>2000</v>
      </c>
      <c r="E516" s="4" t="inlineStr">
        <is>
          <t>Mission: Impossible II</t>
        </is>
      </c>
      <c r="F516" s="1" t="inlineStr">
        <is>
          <t>F0222</t>
        </is>
      </c>
    </row>
    <row r="517" ht="15.75" customHeight="1" s="95">
      <c r="A517" s="1" t="inlineStr">
        <is>
          <t>Dylan McDermott</t>
        </is>
      </c>
      <c r="B517" s="1" t="n">
        <v>1</v>
      </c>
      <c r="C517" s="1" t="n">
        <v>2013</v>
      </c>
      <c r="D517" s="1" t="n">
        <v>2013</v>
      </c>
      <c r="E517" s="4" t="inlineStr">
        <is>
          <t>Olympus Has Fallen</t>
        </is>
      </c>
      <c r="F517" s="1" t="inlineStr">
        <is>
          <t>F0240</t>
        </is>
      </c>
    </row>
    <row r="518" ht="15.75" customHeight="1" s="95">
      <c r="A518" s="1" t="inlineStr">
        <is>
          <t>Dylan Moran</t>
        </is>
      </c>
      <c r="B518" s="1" t="n">
        <v>1</v>
      </c>
      <c r="C518" s="1" t="n">
        <v>2004</v>
      </c>
      <c r="D518" s="1" t="n">
        <v>2004</v>
      </c>
      <c r="E518" s="4" t="inlineStr">
        <is>
          <t>Shaun of the Dead</t>
        </is>
      </c>
      <c r="F518" s="1" t="inlineStr">
        <is>
          <t>F0070</t>
        </is>
      </c>
    </row>
    <row r="519" ht="15.75" customHeight="1" s="95">
      <c r="A519" s="1" t="inlineStr">
        <is>
          <t>Dylan O'Brien</t>
        </is>
      </c>
      <c r="B519" s="1" t="n">
        <v>1</v>
      </c>
      <c r="C519" s="1" t="n">
        <v>2014</v>
      </c>
      <c r="D519" s="1" t="n">
        <v>2014</v>
      </c>
      <c r="E519" s="4" t="inlineStr">
        <is>
          <t>The Maze Runner</t>
        </is>
      </c>
      <c r="F519" s="1" t="inlineStr">
        <is>
          <t>F0217</t>
        </is>
      </c>
    </row>
    <row r="520" ht="15.75" customHeight="1" s="95">
      <c r="A520" s="1" t="inlineStr">
        <is>
          <t>Ed Harris</t>
        </is>
      </c>
      <c r="B520" s="1" t="n">
        <v>1</v>
      </c>
      <c r="C520" s="1" t="n">
        <v>2007</v>
      </c>
      <c r="D520" s="1" t="n">
        <v>2007</v>
      </c>
      <c r="E520" s="4" t="inlineStr">
        <is>
          <t>National Treasure: Book of Secrets</t>
        </is>
      </c>
      <c r="F520" s="1" t="inlineStr">
        <is>
          <t>F0233</t>
        </is>
      </c>
    </row>
    <row r="521" ht="15.75" customHeight="1" s="95">
      <c r="A521" s="1" t="inlineStr">
        <is>
          <t>Ed O'Neill</t>
        </is>
      </c>
      <c r="B521" s="1" t="n">
        <v>1</v>
      </c>
      <c r="C521" s="1" t="n">
        <v>2016</v>
      </c>
      <c r="D521" s="1" t="n">
        <v>2016</v>
      </c>
      <c r="E521" s="4" t="inlineStr">
        <is>
          <t>Finding Dory</t>
        </is>
      </c>
      <c r="F521" s="1" t="inlineStr">
        <is>
          <t>F0113</t>
        </is>
      </c>
    </row>
    <row r="522" ht="15.75" customHeight="1" s="95">
      <c r="A522" s="1" t="inlineStr">
        <is>
          <t>Edi Gathegi</t>
        </is>
      </c>
      <c r="B522" s="1" t="n">
        <v>1</v>
      </c>
      <c r="C522" s="1" t="n">
        <v>2025</v>
      </c>
      <c r="D522" s="1" t="n">
        <v>2025</v>
      </c>
      <c r="E522" s="4" t="inlineStr">
        <is>
          <t>Superman</t>
        </is>
      </c>
      <c r="F522" s="1" t="inlineStr">
        <is>
          <t>F0304</t>
        </is>
      </c>
    </row>
    <row r="523" ht="15.75" customHeight="1" s="95">
      <c r="A523" s="1" t="inlineStr">
        <is>
          <t>Edward Burns</t>
        </is>
      </c>
      <c r="B523" s="1" t="n">
        <v>1</v>
      </c>
      <c r="C523" s="1" t="n">
        <v>2012</v>
      </c>
      <c r="D523" s="1" t="n">
        <v>2012</v>
      </c>
      <c r="E523" s="4" t="inlineStr">
        <is>
          <t>Man on a Ledge</t>
        </is>
      </c>
      <c r="F523" s="1" t="inlineStr">
        <is>
          <t>F0210</t>
        </is>
      </c>
    </row>
    <row r="524" ht="15.75" customHeight="1" s="95">
      <c r="A524" s="1" t="inlineStr">
        <is>
          <t>Elisabeth Shue</t>
        </is>
      </c>
      <c r="B524" s="1" t="n">
        <v>1</v>
      </c>
      <c r="C524" s="1" t="n">
        <v>1989</v>
      </c>
      <c r="D524" s="1" t="n">
        <v>1989</v>
      </c>
      <c r="E524" s="4" t="inlineStr">
        <is>
          <t>Back to the Future Part II</t>
        </is>
      </c>
      <c r="F524" s="1" t="inlineStr">
        <is>
          <t>F0034</t>
        </is>
      </c>
    </row>
    <row r="525" ht="15.75" customHeight="1" s="95">
      <c r="A525" s="1" t="inlineStr">
        <is>
          <t>Elissa Knight</t>
        </is>
      </c>
      <c r="B525" s="1" t="n">
        <v>1</v>
      </c>
      <c r="C525" s="1" t="n">
        <v>2008</v>
      </c>
      <c r="D525" s="1" t="n">
        <v>2008</v>
      </c>
      <c r="E525" s="4" t="inlineStr">
        <is>
          <t>WALL·E</t>
        </is>
      </c>
      <c r="F525" s="1" t="inlineStr">
        <is>
          <t>F0331</t>
        </is>
      </c>
    </row>
    <row r="526" ht="15.75" customHeight="1" s="95">
      <c r="A526" s="1" t="inlineStr">
        <is>
          <t>Elizabeth Daily</t>
        </is>
      </c>
      <c r="B526" s="1" t="n">
        <v>1</v>
      </c>
      <c r="C526" s="1" t="n">
        <v>2011</v>
      </c>
      <c r="D526" s="1" t="n">
        <v>2011</v>
      </c>
      <c r="E526" s="4" t="inlineStr">
        <is>
          <t>Happy Feet Two</t>
        </is>
      </c>
      <c r="F526" s="1" t="inlineStr">
        <is>
          <t>F0145</t>
        </is>
      </c>
    </row>
    <row r="527" ht="15.75" customHeight="1" s="95">
      <c r="A527" s="1" t="inlineStr">
        <is>
          <t>Elizabeth Debicki</t>
        </is>
      </c>
      <c r="B527" s="1" t="n">
        <v>1</v>
      </c>
      <c r="C527" s="1" t="n">
        <v>2013</v>
      </c>
      <c r="D527" s="1" t="n">
        <v>2013</v>
      </c>
      <c r="E527" s="4" t="inlineStr">
        <is>
          <t>The Great Gatsby</t>
        </is>
      </c>
      <c r="F527" s="1" t="inlineStr">
        <is>
          <t>F0126</t>
        </is>
      </c>
    </row>
    <row r="528" ht="15.75" customHeight="1" s="95">
      <c r="A528" s="1" t="inlineStr">
        <is>
          <t>Elizabeth Mkandawie</t>
        </is>
      </c>
      <c r="B528" s="1" t="n">
        <v>1</v>
      </c>
      <c r="C528" s="1" t="n">
        <v>2009</v>
      </c>
      <c r="D528" s="1" t="n">
        <v>2009</v>
      </c>
      <c r="E528" s="4" t="inlineStr">
        <is>
          <t>District 9</t>
        </is>
      </c>
      <c r="F528" s="1" t="inlineStr">
        <is>
          <t>F0088</t>
        </is>
      </c>
    </row>
    <row r="529" ht="15.75" customHeight="1" s="95">
      <c r="A529" s="1" t="inlineStr">
        <is>
          <t>Elizabeth Olsen</t>
        </is>
      </c>
      <c r="B529" s="1" t="n">
        <v>1</v>
      </c>
      <c r="C529" s="1" t="n">
        <v>2014</v>
      </c>
      <c r="D529" s="1" t="n">
        <v>2014</v>
      </c>
      <c r="E529" s="4" t="inlineStr">
        <is>
          <t>Godzilla</t>
        </is>
      </c>
      <c r="F529" s="1" t="inlineStr">
        <is>
          <t>F0121</t>
        </is>
      </c>
    </row>
    <row r="530" ht="15.75" customHeight="1" s="95">
      <c r="A530" s="1" t="inlineStr">
        <is>
          <t>Elizabeth Rodriguez</t>
        </is>
      </c>
      <c r="B530" s="1" t="n">
        <v>1</v>
      </c>
      <c r="C530" s="1" t="n">
        <v>2017</v>
      </c>
      <c r="D530" s="1" t="n">
        <v>2017</v>
      </c>
      <c r="E530" s="4" t="inlineStr">
        <is>
          <t>Logan</t>
        </is>
      </c>
      <c r="F530" s="1" t="inlineStr">
        <is>
          <t>F0201</t>
        </is>
      </c>
    </row>
    <row r="531" ht="15.75" customHeight="1" s="95">
      <c r="A531" s="1" t="inlineStr">
        <is>
          <t>Ellen DeGeneres</t>
        </is>
      </c>
      <c r="B531" s="1" t="n">
        <v>1</v>
      </c>
      <c r="C531" s="1" t="n">
        <v>2016</v>
      </c>
      <c r="D531" s="1" t="n">
        <v>2016</v>
      </c>
      <c r="E531" s="4" t="inlineStr">
        <is>
          <t>Finding Dory</t>
        </is>
      </c>
      <c r="F531" s="1" t="inlineStr">
        <is>
          <t>F0113</t>
        </is>
      </c>
    </row>
    <row r="532" ht="15.75" customHeight="1" s="95">
      <c r="A532" s="1" t="inlineStr">
        <is>
          <t>Ellie Kemper</t>
        </is>
      </c>
      <c r="B532" s="1" t="n">
        <v>1</v>
      </c>
      <c r="C532" s="1" t="n">
        <v>2016</v>
      </c>
      <c r="D532" s="1" t="n">
        <v>2016</v>
      </c>
      <c r="E532" s="4" t="inlineStr">
        <is>
          <t>The Secret Life of Pets</t>
        </is>
      </c>
      <c r="F532" s="1" t="inlineStr">
        <is>
          <t>F0274</t>
        </is>
      </c>
    </row>
    <row r="533" ht="15.75" customHeight="1" s="95">
      <c r="A533" s="1" t="inlineStr">
        <is>
          <t>Elliot Page</t>
        </is>
      </c>
      <c r="B533" s="1" t="n">
        <v>1</v>
      </c>
      <c r="C533" s="1" t="n">
        <v>2010</v>
      </c>
      <c r="D533" s="1" t="n">
        <v>2010</v>
      </c>
      <c r="E533" s="4" t="inlineStr">
        <is>
          <t>Inception</t>
        </is>
      </c>
      <c r="F533" s="1" t="inlineStr">
        <is>
          <t>F0165</t>
        </is>
      </c>
    </row>
    <row r="534" ht="15.75" customHeight="1" s="95">
      <c r="A534" s="1" t="inlineStr">
        <is>
          <t>Elodie Yung</t>
        </is>
      </c>
      <c r="B534" s="1" t="n">
        <v>1</v>
      </c>
      <c r="C534" s="1" t="n">
        <v>2017</v>
      </c>
      <c r="D534" s="1" t="n">
        <v>2017</v>
      </c>
      <c r="E534" s="4" t="inlineStr">
        <is>
          <t>The Hitman's Bodyguard</t>
        </is>
      </c>
      <c r="F534" s="1" t="inlineStr">
        <is>
          <t>F0149</t>
        </is>
      </c>
    </row>
    <row r="535" ht="15.75" customHeight="1" s="95">
      <c r="A535" s="1" t="inlineStr">
        <is>
          <t>Elsie Fisher</t>
        </is>
      </c>
      <c r="B535" s="1" t="n">
        <v>1</v>
      </c>
      <c r="C535" s="1" t="n">
        <v>2010</v>
      </c>
      <c r="D535" s="1" t="n">
        <v>2010</v>
      </c>
      <c r="E535" s="4" t="inlineStr">
        <is>
          <t>Despicable Me</t>
        </is>
      </c>
      <c r="F535" s="1" t="inlineStr">
        <is>
          <t>F0082</t>
        </is>
      </c>
    </row>
    <row r="536" ht="15.75" customHeight="1" s="95">
      <c r="A536" s="1" t="inlineStr">
        <is>
          <t>Emilio Estevez</t>
        </is>
      </c>
      <c r="B536" s="1" t="n">
        <v>1</v>
      </c>
      <c r="C536" s="1" t="n">
        <v>1985</v>
      </c>
      <c r="D536" s="1" t="n">
        <v>1985</v>
      </c>
      <c r="E536" s="4" t="inlineStr">
        <is>
          <t>The Breakfast Club</t>
        </is>
      </c>
      <c r="F536" s="1" t="inlineStr">
        <is>
          <t>F0057</t>
        </is>
      </c>
    </row>
    <row r="537" ht="15.75" customHeight="1" s="95">
      <c r="A537" s="1" t="inlineStr">
        <is>
          <t>Emily Berrington</t>
        </is>
      </c>
      <c r="B537" s="1" t="n">
        <v>1</v>
      </c>
      <c r="C537" s="1" t="n">
        <v>2014</v>
      </c>
      <c r="D537" s="1" t="n">
        <v>2014</v>
      </c>
      <c r="E537" s="4" t="inlineStr">
        <is>
          <t>The Inbetweeners 2</t>
        </is>
      </c>
      <c r="F537" s="1" t="inlineStr">
        <is>
          <t>F0164</t>
        </is>
      </c>
    </row>
    <row r="538" ht="15.75" customHeight="1" s="95">
      <c r="A538" s="1" t="inlineStr">
        <is>
          <t>Emily Head</t>
        </is>
      </c>
      <c r="B538" s="1" t="n">
        <v>1</v>
      </c>
      <c r="C538" s="1" t="n">
        <v>2011</v>
      </c>
      <c r="D538" s="1" t="n">
        <v>2011</v>
      </c>
      <c r="E538" s="4" t="inlineStr">
        <is>
          <t>The Inbetweeners Movie</t>
        </is>
      </c>
      <c r="F538" s="1" t="inlineStr">
        <is>
          <t>F0163</t>
        </is>
      </c>
    </row>
    <row r="539" ht="15.75" customHeight="1" s="95">
      <c r="A539" s="1" t="inlineStr">
        <is>
          <t>Emily Watson</t>
        </is>
      </c>
      <c r="B539" s="1" t="n">
        <v>1</v>
      </c>
      <c r="C539" s="1" t="n">
        <v>2014</v>
      </c>
      <c r="D539" s="1" t="n">
        <v>2014</v>
      </c>
      <c r="E539" s="4" t="inlineStr">
        <is>
          <t>The Theory of Everything</t>
        </is>
      </c>
      <c r="F539" s="1" t="inlineStr">
        <is>
          <t>F0311</t>
        </is>
      </c>
    </row>
    <row r="540" ht="15.75" customHeight="1" s="95">
      <c r="A540" s="1" t="inlineStr">
        <is>
          <t>Emjay Anthony</t>
        </is>
      </c>
      <c r="B540" s="1" t="n">
        <v>1</v>
      </c>
      <c r="C540" s="1" t="n">
        <v>2014</v>
      </c>
      <c r="D540" s="1" t="n">
        <v>2014</v>
      </c>
      <c r="E540" s="4" t="inlineStr">
        <is>
          <t>Chef</t>
        </is>
      </c>
      <c r="F540" s="1" t="inlineStr">
        <is>
          <t>F0065</t>
        </is>
      </c>
    </row>
    <row r="541" ht="15.75" customHeight="1" s="95">
      <c r="A541" s="1" t="inlineStr">
        <is>
          <t>Emma Corrin</t>
        </is>
      </c>
      <c r="B541" s="1" t="n">
        <v>1</v>
      </c>
      <c r="C541" s="1" t="n">
        <v>2024</v>
      </c>
      <c r="D541" s="1" t="n">
        <v>2024</v>
      </c>
      <c r="E541" s="4" t="inlineStr">
        <is>
          <t>Deadpool &amp; Wolverine</t>
        </is>
      </c>
      <c r="F541" s="1" t="inlineStr">
        <is>
          <t>F0078</t>
        </is>
      </c>
    </row>
    <row r="542" ht="15.75" customHeight="1" s="95">
      <c r="A542" s="1" t="inlineStr">
        <is>
          <t>Emma Thompson</t>
        </is>
      </c>
      <c r="B542" s="1" t="n">
        <v>1</v>
      </c>
      <c r="C542" s="1" t="n">
        <v>2012</v>
      </c>
      <c r="D542" s="1" t="n">
        <v>2012</v>
      </c>
      <c r="E542" s="4" t="inlineStr">
        <is>
          <t>Men in Black 3</t>
        </is>
      </c>
      <c r="F542" s="1" t="inlineStr">
        <is>
          <t>F0219</t>
        </is>
      </c>
    </row>
    <row r="543" ht="15.75" customHeight="1" s="95">
      <c r="A543" s="1" t="inlineStr">
        <is>
          <t>Emmanuelle Béart</t>
        </is>
      </c>
      <c r="B543" s="1" t="n">
        <v>1</v>
      </c>
      <c r="C543" s="1" t="n">
        <v>1996</v>
      </c>
      <c r="D543" s="1" t="n">
        <v>1996</v>
      </c>
      <c r="E543" s="4" t="inlineStr">
        <is>
          <t>Mission: Impossible</t>
        </is>
      </c>
      <c r="F543" s="1" t="inlineStr">
        <is>
          <t>F0221</t>
        </is>
      </c>
    </row>
    <row r="544" ht="15.75" customHeight="1" s="95">
      <c r="A544" s="1" t="inlineStr">
        <is>
          <t>Eric Bauza</t>
        </is>
      </c>
      <c r="B544" s="1" t="n">
        <v>1</v>
      </c>
      <c r="C544" s="1" t="n">
        <v>2016</v>
      </c>
      <c r="D544" s="1" t="n">
        <v>2016</v>
      </c>
      <c r="E544" s="4" t="inlineStr">
        <is>
          <t>Lego DC Comics Super Heroes: Justice League - Gotham City Breakout</t>
        </is>
      </c>
      <c r="F544" s="1" t="inlineStr">
        <is>
          <t>F0198</t>
        </is>
      </c>
    </row>
    <row r="545" ht="15.75" customHeight="1" s="95">
      <c r="A545" s="1" t="inlineStr">
        <is>
          <t>Eric Jacobson</t>
        </is>
      </c>
      <c r="B545" s="1" t="n">
        <v>1</v>
      </c>
      <c r="C545" s="1" t="n">
        <v>2014</v>
      </c>
      <c r="D545" s="1" t="n">
        <v>2014</v>
      </c>
      <c r="E545" s="4" t="inlineStr">
        <is>
          <t>Muppets Most Wanted</t>
        </is>
      </c>
      <c r="F545" s="1" t="inlineStr">
        <is>
          <t>F0232</t>
        </is>
      </c>
    </row>
    <row r="546" ht="15.75" customHeight="1" s="95">
      <c r="A546" s="1" t="inlineStr">
        <is>
          <t>Eric Roberts</t>
        </is>
      </c>
      <c r="B546" s="1" t="n">
        <v>1</v>
      </c>
      <c r="C546" s="1" t="n">
        <v>2010</v>
      </c>
      <c r="D546" s="1" t="n">
        <v>2010</v>
      </c>
      <c r="E546" s="4" t="inlineStr">
        <is>
          <t>The Expendables</t>
        </is>
      </c>
      <c r="F546" s="1" t="inlineStr">
        <is>
          <t>F0095</t>
        </is>
      </c>
    </row>
    <row r="547" ht="15.75" customHeight="1" s="95">
      <c r="A547" s="1" t="inlineStr">
        <is>
          <t>Eric Stonestreet</t>
        </is>
      </c>
      <c r="B547" s="1" t="n">
        <v>1</v>
      </c>
      <c r="C547" s="1" t="n">
        <v>2016</v>
      </c>
      <c r="D547" s="1" t="n">
        <v>2016</v>
      </c>
      <c r="E547" s="4" t="inlineStr">
        <is>
          <t>The Secret Life of Pets</t>
        </is>
      </c>
      <c r="F547" s="1" t="inlineStr">
        <is>
          <t>F0274</t>
        </is>
      </c>
    </row>
    <row r="548" ht="15.75" customHeight="1" s="95">
      <c r="A548" s="1" t="inlineStr">
        <is>
          <t>Ernie Sabella</t>
        </is>
      </c>
      <c r="B548" s="1" t="n">
        <v>1</v>
      </c>
      <c r="C548" s="1" t="n">
        <v>1994</v>
      </c>
      <c r="D548" s="1" t="n">
        <v>1994</v>
      </c>
      <c r="E548" s="4" t="inlineStr">
        <is>
          <t>The Lion King</t>
        </is>
      </c>
      <c r="F548" s="1" t="inlineStr">
        <is>
          <t>F0200</t>
        </is>
      </c>
    </row>
    <row r="549" ht="15.75" customHeight="1" s="95">
      <c r="A549" s="1" t="inlineStr">
        <is>
          <t>Esai Morales</t>
        </is>
      </c>
      <c r="B549" s="1" t="n">
        <v>1</v>
      </c>
      <c r="C549" s="1" t="n">
        <v>2025</v>
      </c>
      <c r="D549" s="1" t="n">
        <v>2025</v>
      </c>
      <c r="E549" s="4" t="inlineStr">
        <is>
          <t>Mission: Impossible - The Final Reckoning</t>
        </is>
      </c>
      <c r="F549" s="1" t="inlineStr">
        <is>
          <t>F0228</t>
        </is>
      </c>
    </row>
    <row r="550" ht="15.75" customHeight="1" s="95">
      <c r="A550" s="1" t="inlineStr">
        <is>
          <t>Ethan Hawke</t>
        </is>
      </c>
      <c r="B550" s="1" t="n">
        <v>1</v>
      </c>
      <c r="C550" s="1" t="n">
        <v>2016</v>
      </c>
      <c r="D550" s="1" t="n">
        <v>2016</v>
      </c>
      <c r="E550" s="4" t="inlineStr">
        <is>
          <t>The Magnificent Seven</t>
        </is>
      </c>
      <c r="F550" s="1" t="inlineStr">
        <is>
          <t>F0207</t>
        </is>
      </c>
    </row>
    <row r="551" ht="15.75" customHeight="1" s="95">
      <c r="A551" s="1" t="inlineStr">
        <is>
          <t>Eva Green</t>
        </is>
      </c>
      <c r="B551" s="1" t="n">
        <v>1</v>
      </c>
      <c r="C551" s="1" t="n">
        <v>2006</v>
      </c>
      <c r="D551" s="1" t="n">
        <v>2006</v>
      </c>
      <c r="E551" s="4" t="inlineStr">
        <is>
          <t>Casino Royale</t>
        </is>
      </c>
      <c r="F551" s="1" t="inlineStr">
        <is>
          <t>F0001</t>
        </is>
      </c>
    </row>
    <row r="552" ht="15.75" customHeight="1" s="95">
      <c r="A552" s="1" t="inlineStr">
        <is>
          <t>Eva Mendes</t>
        </is>
      </c>
      <c r="B552" s="1" t="n">
        <v>1</v>
      </c>
      <c r="C552" s="1" t="n">
        <v>2003</v>
      </c>
      <c r="D552" s="1" t="n">
        <v>2003</v>
      </c>
      <c r="E552" s="4" t="inlineStr">
        <is>
          <t>2 Fast 2 Furious</t>
        </is>
      </c>
      <c r="F552" s="1" t="inlineStr">
        <is>
          <t>F0102</t>
        </is>
      </c>
    </row>
    <row r="553" ht="15.75" customHeight="1" s="95">
      <c r="A553" s="1" t="inlineStr">
        <is>
          <t>Evangeline Lilly</t>
        </is>
      </c>
      <c r="B553" s="1" t="n">
        <v>1</v>
      </c>
      <c r="C553" s="1" t="n">
        <v>2014</v>
      </c>
      <c r="D553" s="1" t="n">
        <v>2014</v>
      </c>
      <c r="E553" s="4" t="inlineStr">
        <is>
          <t>The Hobbit: The Battle of the Five Armies</t>
        </is>
      </c>
      <c r="F553" s="1" t="inlineStr">
        <is>
          <t>F0152</t>
        </is>
      </c>
    </row>
    <row r="554" ht="15.75" customHeight="1" s="95">
      <c r="A554" s="1" t="inlineStr">
        <is>
          <t>Evelyn Venable</t>
        </is>
      </c>
      <c r="B554" s="1" t="n">
        <v>1</v>
      </c>
      <c r="C554" s="1" t="n">
        <v>1940</v>
      </c>
      <c r="D554" s="1" t="n">
        <v>1940</v>
      </c>
      <c r="E554" s="4" t="inlineStr">
        <is>
          <t>Pinocchio</t>
        </is>
      </c>
      <c r="F554" s="1" t="inlineStr">
        <is>
          <t>F0248</t>
        </is>
      </c>
    </row>
    <row r="555" ht="15.75" customHeight="1" s="95">
      <c r="A555" s="1" t="inlineStr">
        <is>
          <t>Faysal  Ahmed</t>
        </is>
      </c>
      <c r="B555" s="1" t="n">
        <v>1</v>
      </c>
      <c r="C555" s="1" t="n">
        <v>2013</v>
      </c>
      <c r="D555" s="1" t="n">
        <v>2013</v>
      </c>
      <c r="E555" s="4" t="inlineStr">
        <is>
          <t>Captain Phillips</t>
        </is>
      </c>
      <c r="F555" s="1" t="inlineStr">
        <is>
          <t>F0062</t>
        </is>
      </c>
    </row>
    <row r="556" ht="15.75" customHeight="1" s="95">
      <c r="A556" s="1" t="inlineStr">
        <is>
          <t>Felicity Jones</t>
        </is>
      </c>
      <c r="B556" s="1" t="n">
        <v>1</v>
      </c>
      <c r="C556" s="1" t="n">
        <v>2014</v>
      </c>
      <c r="D556" s="1" t="n">
        <v>2014</v>
      </c>
      <c r="E556" s="4" t="inlineStr">
        <is>
          <t>The Theory of Everything</t>
        </is>
      </c>
      <c r="F556" s="1" t="inlineStr">
        <is>
          <t>F0311</t>
        </is>
      </c>
    </row>
    <row r="557" ht="15.75" customHeight="1" s="95">
      <c r="A557" s="1" t="inlineStr">
        <is>
          <t>Felicity Montagu</t>
        </is>
      </c>
      <c r="B557" s="1" t="n">
        <v>1</v>
      </c>
      <c r="C557" s="1" t="n">
        <v>2013</v>
      </c>
      <c r="D557" s="1" t="n">
        <v>2013</v>
      </c>
      <c r="E557" s="4" t="inlineStr">
        <is>
          <t>Alan Partridge: Alpha Papa</t>
        </is>
      </c>
      <c r="F557" s="1" t="inlineStr">
        <is>
          <t>F0014</t>
        </is>
      </c>
    </row>
    <row r="558" ht="15.75" customHeight="1" s="95">
      <c r="A558" s="1" t="inlineStr">
        <is>
          <t>Finley Jacobsen</t>
        </is>
      </c>
      <c r="B558" s="1" t="n">
        <v>1</v>
      </c>
      <c r="C558" s="1" t="n">
        <v>2013</v>
      </c>
      <c r="D558" s="1" t="n">
        <v>2013</v>
      </c>
      <c r="E558" s="4" t="inlineStr">
        <is>
          <t>Olympus Has Fallen</t>
        </is>
      </c>
      <c r="F558" s="1" t="inlineStr">
        <is>
          <t>F0240</t>
        </is>
      </c>
    </row>
    <row r="559" ht="15.75" customHeight="1" s="95">
      <c r="A559" s="1" t="inlineStr">
        <is>
          <t>Florence Pugh</t>
        </is>
      </c>
      <c r="B559" s="1" t="n">
        <v>1</v>
      </c>
      <c r="C559" s="1" t="n">
        <v>2023</v>
      </c>
      <c r="D559" s="1" t="n">
        <v>2023</v>
      </c>
      <c r="E559" s="4" t="inlineStr">
        <is>
          <t>Oppenheimer</t>
        </is>
      </c>
      <c r="F559" s="1" t="inlineStr">
        <is>
          <t>F0242</t>
        </is>
      </c>
    </row>
    <row r="560" ht="15.75" customHeight="1" s="95">
      <c r="A560" s="1" t="inlineStr">
        <is>
          <t>Frank Grillo</t>
        </is>
      </c>
      <c r="B560" s="1" t="n">
        <v>1</v>
      </c>
      <c r="C560" s="1" t="n">
        <v>2011</v>
      </c>
      <c r="D560" s="1" t="n">
        <v>2011</v>
      </c>
      <c r="E560" s="4" t="inlineStr">
        <is>
          <t>Warrior</t>
        </is>
      </c>
      <c r="F560" s="1" t="inlineStr">
        <is>
          <t>F0333</t>
        </is>
      </c>
    </row>
    <row r="561" ht="15.75" customHeight="1" s="95">
      <c r="A561" s="1" t="inlineStr">
        <is>
          <t>Frank Welker</t>
        </is>
      </c>
      <c r="B561" s="1" t="n">
        <v>1</v>
      </c>
      <c r="C561" s="1" t="n">
        <v>1986</v>
      </c>
      <c r="D561" s="1" t="n">
        <v>1986</v>
      </c>
      <c r="E561" s="4" t="inlineStr">
        <is>
          <t>The Transformers: The Movie</t>
        </is>
      </c>
      <c r="F561" s="1" t="inlineStr">
        <is>
          <t>F0322</t>
        </is>
      </c>
    </row>
    <row r="562" ht="15.75" customHeight="1" s="95">
      <c r="A562" s="1" t="inlineStr">
        <is>
          <t>Frank Williams</t>
        </is>
      </c>
      <c r="B562" s="1" t="n">
        <v>1</v>
      </c>
      <c r="C562" s="1" t="n">
        <v>2010</v>
      </c>
      <c r="D562" s="1" t="n">
        <v>2010</v>
      </c>
      <c r="E562" s="4" t="inlineStr">
        <is>
          <t>Senna</t>
        </is>
      </c>
      <c r="F562" s="1" t="inlineStr">
        <is>
          <t>F0275</t>
        </is>
      </c>
    </row>
    <row r="563" ht="15.75" customHeight="1" s="95">
      <c r="A563" s="1" t="inlineStr">
        <is>
          <t>Fred Willard</t>
        </is>
      </c>
      <c r="B563" s="1" t="n">
        <v>1</v>
      </c>
      <c r="C563" s="1" t="n">
        <v>2008</v>
      </c>
      <c r="D563" s="1" t="n">
        <v>2008</v>
      </c>
      <c r="E563" s="4" t="inlineStr">
        <is>
          <t>WALL·E</t>
        </is>
      </c>
      <c r="F563" s="1" t="inlineStr">
        <is>
          <t>F0331</t>
        </is>
      </c>
    </row>
    <row r="564" ht="15.75" customHeight="1" s="95">
      <c r="A564" s="1" t="inlineStr">
        <is>
          <t>Freya Allan</t>
        </is>
      </c>
      <c r="B564" s="1" t="n">
        <v>1</v>
      </c>
      <c r="C564" s="1" t="n">
        <v>2024</v>
      </c>
      <c r="D564" s="1" t="n">
        <v>2024</v>
      </c>
      <c r="E564" s="4" t="inlineStr">
        <is>
          <t>Kingdom of the Planet of the Apes</t>
        </is>
      </c>
      <c r="F564" s="1" t="inlineStr">
        <is>
          <t>F0256</t>
        </is>
      </c>
    </row>
    <row r="565" ht="15.75" customHeight="1" s="95">
      <c r="A565" s="1" t="inlineStr">
        <is>
          <t>Gabriella Wright</t>
        </is>
      </c>
      <c r="B565" s="1" t="n">
        <v>1</v>
      </c>
      <c r="C565" s="1" t="n">
        <v>2015</v>
      </c>
      <c r="D565" s="1" t="n">
        <v>2015</v>
      </c>
      <c r="E565" s="4" t="inlineStr">
        <is>
          <t>The Transporter Refueled</t>
        </is>
      </c>
      <c r="F565" s="1" t="inlineStr">
        <is>
          <t>F0323</t>
        </is>
      </c>
    </row>
    <row r="566" ht="15.75" customHeight="1" s="95">
      <c r="A566" s="1" t="inlineStr">
        <is>
          <t>Gabrielle Union</t>
        </is>
      </c>
      <c r="B566" s="1" t="n">
        <v>1</v>
      </c>
      <c r="C566" s="1" t="n">
        <v>2003</v>
      </c>
      <c r="D566" s="1" t="n">
        <v>2003</v>
      </c>
      <c r="E566" s="4" t="inlineStr">
        <is>
          <t>Bad Boys II</t>
        </is>
      </c>
      <c r="F566" s="1" t="inlineStr">
        <is>
          <t>F0037</t>
        </is>
      </c>
    </row>
    <row r="567" ht="15.75" customHeight="1" s="95">
      <c r="A567" s="1" t="inlineStr">
        <is>
          <t>Gaia Weiss</t>
        </is>
      </c>
      <c r="B567" s="1" t="n">
        <v>1</v>
      </c>
      <c r="C567" s="1" t="n">
        <v>2014</v>
      </c>
      <c r="D567" s="1" t="n">
        <v>2014</v>
      </c>
      <c r="E567" s="4" t="inlineStr">
        <is>
          <t>The Legend of Hercules</t>
        </is>
      </c>
      <c r="F567" s="1" t="inlineStr">
        <is>
          <t>F0148</t>
        </is>
      </c>
    </row>
    <row r="568" ht="15.75" customHeight="1" s="95">
      <c r="A568" s="1" t="inlineStr">
        <is>
          <t>Gal Gadot</t>
        </is>
      </c>
      <c r="B568" s="1" t="n">
        <v>1</v>
      </c>
      <c r="C568" s="1" t="n">
        <v>2018</v>
      </c>
      <c r="D568" s="1" t="n">
        <v>2018</v>
      </c>
      <c r="E568" s="4" t="inlineStr">
        <is>
          <t>Ralph Breaks the Internet</t>
        </is>
      </c>
      <c r="F568" s="1" t="inlineStr">
        <is>
          <t>F0337</t>
        </is>
      </c>
    </row>
    <row r="569" ht="15.75" customHeight="1" s="95">
      <c r="A569" s="1" t="inlineStr">
        <is>
          <t>Gary Cole</t>
        </is>
      </c>
      <c r="B569" s="1" t="n">
        <v>1</v>
      </c>
      <c r="C569" s="1" t="n">
        <v>2008</v>
      </c>
      <c r="D569" s="1" t="n">
        <v>2008</v>
      </c>
      <c r="E569" s="4" t="inlineStr">
        <is>
          <t>Pineapple Express</t>
        </is>
      </c>
      <c r="F569" s="1" t="inlineStr">
        <is>
          <t>F0247</t>
        </is>
      </c>
    </row>
    <row r="570" ht="15.75" customHeight="1" s="95">
      <c r="A570" s="1" t="inlineStr">
        <is>
          <t>Gary Dourdan</t>
        </is>
      </c>
      <c r="B570" s="1" t="n">
        <v>1</v>
      </c>
      <c r="C570" s="1" t="n">
        <v>1997</v>
      </c>
      <c r="D570" s="1" t="n">
        <v>1997</v>
      </c>
      <c r="E570" s="4" t="inlineStr">
        <is>
          <t>Alien Resurrection</t>
        </is>
      </c>
      <c r="F570" s="1" t="inlineStr">
        <is>
          <t>F0018</t>
        </is>
      </c>
    </row>
    <row r="571" ht="15.75" customHeight="1" s="95">
      <c r="A571" s="1" t="inlineStr">
        <is>
          <t>Gemma Arterton</t>
        </is>
      </c>
      <c r="B571" s="1" t="n">
        <v>1</v>
      </c>
      <c r="C571" s="1" t="n">
        <v>2010</v>
      </c>
      <c r="D571" s="1" t="n">
        <v>2010</v>
      </c>
      <c r="E571" s="4" t="inlineStr">
        <is>
          <t>Clash of the Titans</t>
        </is>
      </c>
      <c r="F571" s="1" t="inlineStr">
        <is>
          <t>F0066</t>
        </is>
      </c>
    </row>
    <row r="572" ht="15.75" customHeight="1" s="95">
      <c r="A572" s="1" t="inlineStr">
        <is>
          <t>Gemma Jones</t>
        </is>
      </c>
      <c r="B572" s="1" t="n">
        <v>1</v>
      </c>
      <c r="C572" s="1" t="n">
        <v>2019</v>
      </c>
      <c r="D572" s="1" t="n">
        <v>2019</v>
      </c>
      <c r="E572" s="4" t="inlineStr">
        <is>
          <t>Rocketman</t>
        </is>
      </c>
      <c r="F572" s="1" t="inlineStr">
        <is>
          <t>F0269</t>
        </is>
      </c>
    </row>
    <row r="573" ht="15.75" customHeight="1" s="95">
      <c r="A573" s="1" t="inlineStr">
        <is>
          <t>Gena Rowlands</t>
        </is>
      </c>
      <c r="B573" s="1" t="n">
        <v>1</v>
      </c>
      <c r="C573" s="1" t="n">
        <v>2004</v>
      </c>
      <c r="D573" s="1" t="n">
        <v>2004</v>
      </c>
      <c r="E573" s="4" t="inlineStr">
        <is>
          <t>The Notebook</t>
        </is>
      </c>
      <c r="F573" s="1" t="inlineStr">
        <is>
          <t>F0237</t>
        </is>
      </c>
    </row>
    <row r="574" ht="15.75" customHeight="1" s="95">
      <c r="A574" s="1" t="inlineStr">
        <is>
          <t>Gene Hackman</t>
        </is>
      </c>
      <c r="B574" s="1" t="n">
        <v>1</v>
      </c>
      <c r="C574" s="1" t="n">
        <v>1998</v>
      </c>
      <c r="D574" s="1" t="n">
        <v>1998</v>
      </c>
      <c r="E574" s="4" t="inlineStr">
        <is>
          <t>Enemy of the State</t>
        </is>
      </c>
      <c r="F574" s="1" t="inlineStr">
        <is>
          <t>F0094</t>
        </is>
      </c>
    </row>
    <row r="575" ht="15.75" customHeight="1" s="95">
      <c r="A575" s="1" t="inlineStr">
        <is>
          <t>Gene Wilder</t>
        </is>
      </c>
      <c r="B575" s="1" t="n">
        <v>1</v>
      </c>
      <c r="C575" s="1" t="n">
        <v>1971</v>
      </c>
      <c r="D575" s="1" t="n">
        <v>1971</v>
      </c>
      <c r="E575" s="4" t="inlineStr">
        <is>
          <t>Willy Wonka &amp; the Chocolate Factory</t>
        </is>
      </c>
      <c r="F575" s="1" t="inlineStr">
        <is>
          <t>F0339</t>
        </is>
      </c>
    </row>
    <row r="576" ht="15.75" customHeight="1" s="95">
      <c r="A576" s="1" t="inlineStr">
        <is>
          <t>Ger Ryan</t>
        </is>
      </c>
      <c r="B576" s="1" t="n">
        <v>1</v>
      </c>
      <c r="C576" s="1" t="n">
        <v>2013</v>
      </c>
      <c r="D576" s="1" t="n">
        <v>2013</v>
      </c>
      <c r="E576" s="4" t="inlineStr">
        <is>
          <t>Hummingbird</t>
        </is>
      </c>
      <c r="F576" s="1" t="inlineStr">
        <is>
          <t>F0156</t>
        </is>
      </c>
    </row>
    <row r="577" ht="15.75" customHeight="1" s="95">
      <c r="A577" s="1" t="inlineStr">
        <is>
          <t>Giancarlo Giannini</t>
        </is>
      </c>
      <c r="B577" s="1" t="n">
        <v>1</v>
      </c>
      <c r="C577" s="1" t="n">
        <v>2008</v>
      </c>
      <c r="D577" s="1" t="n">
        <v>2008</v>
      </c>
      <c r="E577" s="4" t="inlineStr">
        <is>
          <t>Quantum of Solace</t>
        </is>
      </c>
      <c r="F577" s="1" t="inlineStr">
        <is>
          <t>F0002</t>
        </is>
      </c>
    </row>
    <row r="578" ht="15.75" customHeight="1" s="95">
      <c r="A578" s="1" t="inlineStr">
        <is>
          <t>Gina Carano</t>
        </is>
      </c>
      <c r="B578" s="1" t="n">
        <v>1</v>
      </c>
      <c r="C578" s="1" t="n">
        <v>2016</v>
      </c>
      <c r="D578" s="1" t="n">
        <v>2016</v>
      </c>
      <c r="E578" s="4" t="inlineStr">
        <is>
          <t>Deadpool</t>
        </is>
      </c>
      <c r="F578" s="1" t="inlineStr">
        <is>
          <t>F0076</t>
        </is>
      </c>
    </row>
    <row r="579" ht="15.75" customHeight="1" s="95">
      <c r="A579" s="1" t="inlineStr">
        <is>
          <t>Gloria Foster</t>
        </is>
      </c>
      <c r="B579" s="1" t="n">
        <v>1</v>
      </c>
      <c r="C579" s="1" t="n">
        <v>1999</v>
      </c>
      <c r="D579" s="1" t="n">
        <v>1999</v>
      </c>
      <c r="E579" s="4" t="inlineStr">
        <is>
          <t>The Matrix</t>
        </is>
      </c>
      <c r="F579" s="1" t="inlineStr">
        <is>
          <t>F0214</t>
        </is>
      </c>
    </row>
    <row r="580" ht="15.75" customHeight="1" s="95">
      <c r="A580" s="1" t="inlineStr">
        <is>
          <t>Graham McTavish</t>
        </is>
      </c>
      <c r="B580" s="1" t="n">
        <v>1</v>
      </c>
      <c r="C580" s="1" t="n">
        <v>2008</v>
      </c>
      <c r="D580" s="1" t="n">
        <v>2008</v>
      </c>
      <c r="E580" s="4" t="inlineStr">
        <is>
          <t>Rambo</t>
        </is>
      </c>
      <c r="F580" s="1" t="inlineStr">
        <is>
          <t>F0261</t>
        </is>
      </c>
    </row>
    <row r="581" ht="15.75" customHeight="1" s="95">
      <c r="A581" s="1" t="inlineStr">
        <is>
          <t>Greg Cipes</t>
        </is>
      </c>
      <c r="B581" s="1" t="n">
        <v>1</v>
      </c>
      <c r="C581" s="1" t="n">
        <v>2016</v>
      </c>
      <c r="D581" s="1" t="n">
        <v>2016</v>
      </c>
      <c r="E581" s="4" t="inlineStr">
        <is>
          <t>Lego DC Comics Super Heroes: Justice League - Gotham City Breakout</t>
        </is>
      </c>
      <c r="F581" s="1" t="inlineStr">
        <is>
          <t>F0198</t>
        </is>
      </c>
    </row>
    <row r="582" ht="15.75" customHeight="1" s="95">
      <c r="A582" s="1" t="inlineStr">
        <is>
          <t>Greg Kinnear</t>
        </is>
      </c>
      <c r="B582" s="1" t="n">
        <v>1</v>
      </c>
      <c r="C582" s="1" t="n">
        <v>2010</v>
      </c>
      <c r="D582" s="1" t="n">
        <v>2010</v>
      </c>
      <c r="E582" s="4" t="inlineStr">
        <is>
          <t>Green Zone</t>
        </is>
      </c>
      <c r="F582" s="1" t="inlineStr">
        <is>
          <t>F0129</t>
        </is>
      </c>
    </row>
    <row r="583" ht="15.75" customHeight="1" s="95">
      <c r="A583" s="1" t="inlineStr">
        <is>
          <t>Gustaf Hammarsten</t>
        </is>
      </c>
      <c r="B583" s="1" t="n">
        <v>1</v>
      </c>
      <c r="C583" s="1" t="n">
        <v>2009</v>
      </c>
      <c r="D583" s="1" t="n">
        <v>2009</v>
      </c>
      <c r="E583" s="4" t="inlineStr">
        <is>
          <t>Brüno</t>
        </is>
      </c>
      <c r="F583" s="1" t="inlineStr">
        <is>
          <t>F0059</t>
        </is>
      </c>
    </row>
    <row r="584" ht="15.75" customHeight="1" s="95">
      <c r="A584" s="1" t="inlineStr">
        <is>
          <t>Gwilym Lee</t>
        </is>
      </c>
      <c r="B584" s="1" t="n">
        <v>1</v>
      </c>
      <c r="C584" s="1" t="n">
        <v>2018</v>
      </c>
      <c r="D584" s="1" t="n">
        <v>2018</v>
      </c>
      <c r="E584" s="4" t="inlineStr">
        <is>
          <t>Bohemian Rhapsody</t>
        </is>
      </c>
      <c r="F584" s="1" t="inlineStr">
        <is>
          <t>F0052</t>
        </is>
      </c>
    </row>
    <row r="585" ht="15.75" customHeight="1" s="95">
      <c r="A585" s="1" t="inlineStr">
        <is>
          <t>Hannah Waddingham</t>
        </is>
      </c>
      <c r="B585" s="1" t="n">
        <v>1</v>
      </c>
      <c r="C585" s="1" t="n">
        <v>2024</v>
      </c>
      <c r="D585" s="1" t="n">
        <v>2024</v>
      </c>
      <c r="E585" s="4" t="inlineStr">
        <is>
          <t>The Fall Guy</t>
        </is>
      </c>
      <c r="F585" s="1" t="inlineStr">
        <is>
          <t>F0099</t>
        </is>
      </c>
    </row>
    <row r="586" ht="15.75" customHeight="1" s="95">
      <c r="A586" s="1" t="inlineStr">
        <is>
          <t>Harry Dean Stanton</t>
        </is>
      </c>
      <c r="B586" s="1" t="n">
        <v>1</v>
      </c>
      <c r="C586" s="1" t="n">
        <v>1979</v>
      </c>
      <c r="D586" s="1" t="n">
        <v>1979</v>
      </c>
      <c r="E586" s="4" t="inlineStr">
        <is>
          <t>Alien</t>
        </is>
      </c>
      <c r="F586" s="1" t="inlineStr">
        <is>
          <t>F0015</t>
        </is>
      </c>
    </row>
    <row r="587" ht="15.75" customHeight="1" s="95">
      <c r="A587" s="1" t="inlineStr">
        <is>
          <t>Hayden Panettiere</t>
        </is>
      </c>
      <c r="B587" s="1" t="n">
        <v>1</v>
      </c>
      <c r="C587" s="1" t="n">
        <v>1998</v>
      </c>
      <c r="D587" s="1" t="n">
        <v>1998</v>
      </c>
      <c r="E587" s="4" t="inlineStr">
        <is>
          <t>A Bug's Life</t>
        </is>
      </c>
      <c r="F587" s="1" t="inlineStr">
        <is>
          <t>F0012</t>
        </is>
      </c>
    </row>
    <row r="588" ht="15.75" customHeight="1" s="95">
      <c r="A588" s="1" t="inlineStr">
        <is>
          <t>Hayden Rolence</t>
        </is>
      </c>
      <c r="B588" s="1" t="n">
        <v>1</v>
      </c>
      <c r="C588" s="1" t="n">
        <v>2016</v>
      </c>
      <c r="D588" s="1" t="n">
        <v>2016</v>
      </c>
      <c r="E588" s="4" t="inlineStr">
        <is>
          <t>Finding Dory</t>
        </is>
      </c>
      <c r="F588" s="1" t="inlineStr">
        <is>
          <t>F0113</t>
        </is>
      </c>
    </row>
    <row r="589" ht="15.75" customHeight="1" s="95">
      <c r="A589" s="1" t="inlineStr">
        <is>
          <t>Heath Ledger</t>
        </is>
      </c>
      <c r="B589" s="1" t="n">
        <v>1</v>
      </c>
      <c r="C589" s="1" t="n">
        <v>2008</v>
      </c>
      <c r="D589" s="1" t="n">
        <v>2008</v>
      </c>
      <c r="E589" s="4" t="inlineStr">
        <is>
          <t>The Dark Knight</t>
        </is>
      </c>
      <c r="F589" s="1" t="inlineStr">
        <is>
          <t>F0044</t>
        </is>
      </c>
    </row>
    <row r="590" ht="15.75" customHeight="1" s="95">
      <c r="A590" s="1" t="inlineStr">
        <is>
          <t>Heather Graham</t>
        </is>
      </c>
      <c r="B590" s="1" t="n">
        <v>1</v>
      </c>
      <c r="C590" s="1" t="n">
        <v>2009</v>
      </c>
      <c r="D590" s="1" t="n">
        <v>2009</v>
      </c>
      <c r="E590" s="4" t="inlineStr">
        <is>
          <t>The Hangover</t>
        </is>
      </c>
      <c r="F590" s="1" t="inlineStr">
        <is>
          <t>F0134</t>
        </is>
      </c>
    </row>
    <row r="591" ht="15.75" customHeight="1" s="95">
      <c r="A591" s="1" t="inlineStr">
        <is>
          <t>Henry Czerny</t>
        </is>
      </c>
      <c r="B591" s="1" t="n">
        <v>1</v>
      </c>
      <c r="C591" s="1" t="n">
        <v>1996</v>
      </c>
      <c r="D591" s="1" t="n">
        <v>1996</v>
      </c>
      <c r="E591" s="4" t="inlineStr">
        <is>
          <t>Mission: Impossible</t>
        </is>
      </c>
      <c r="F591" s="1" t="inlineStr">
        <is>
          <t>F0221</t>
        </is>
      </c>
    </row>
    <row r="592" ht="15.75" customHeight="1" s="95">
      <c r="A592" s="1" t="inlineStr">
        <is>
          <t>Henry Thomas</t>
        </is>
      </c>
      <c r="B592" s="1" t="n">
        <v>1</v>
      </c>
      <c r="C592" s="1" t="n">
        <v>2010</v>
      </c>
      <c r="D592" s="1" t="n">
        <v>2010</v>
      </c>
      <c r="E592" s="4" t="inlineStr">
        <is>
          <t>Dear John</t>
        </is>
      </c>
      <c r="F592" s="1" t="inlineStr">
        <is>
          <t>F0079</t>
        </is>
      </c>
    </row>
    <row r="593" ht="15.75" customHeight="1" s="95">
      <c r="A593" s="1" t="inlineStr">
        <is>
          <t>Hugh Bonneville</t>
        </is>
      </c>
      <c r="B593" s="1" t="n">
        <v>1</v>
      </c>
      <c r="C593" s="1" t="n">
        <v>2014</v>
      </c>
      <c r="D593" s="1" t="n">
        <v>2014</v>
      </c>
      <c r="E593" s="4" t="inlineStr">
        <is>
          <t>Paddington</t>
        </is>
      </c>
      <c r="F593" s="1" t="inlineStr">
        <is>
          <t>F0244</t>
        </is>
      </c>
    </row>
    <row r="594" ht="15.75" customHeight="1" s="95">
      <c r="A594" s="1" t="inlineStr">
        <is>
          <t>Hugh Grant</t>
        </is>
      </c>
      <c r="B594" s="1" t="n">
        <v>1</v>
      </c>
      <c r="C594" s="1" t="n">
        <v>2023</v>
      </c>
      <c r="D594" s="1" t="n">
        <v>2023</v>
      </c>
      <c r="E594" s="4" t="inlineStr">
        <is>
          <t>Wonka</t>
        </is>
      </c>
      <c r="F594" s="1" t="inlineStr">
        <is>
          <t>F0338</t>
        </is>
      </c>
    </row>
    <row r="595" ht="15.75" customHeight="1" s="95">
      <c r="A595" s="1" t="inlineStr">
        <is>
          <t>Ian Holm</t>
        </is>
      </c>
      <c r="B595" s="1" t="n">
        <v>1</v>
      </c>
      <c r="C595" s="1" t="n">
        <v>2001</v>
      </c>
      <c r="D595" s="1" t="n">
        <v>2001</v>
      </c>
      <c r="E595" s="4" t="inlineStr">
        <is>
          <t>The Lord of the Rings: The Fellowship of the Ring</t>
        </is>
      </c>
      <c r="F595" s="1" t="inlineStr">
        <is>
          <t>F0203</t>
        </is>
      </c>
    </row>
    <row r="596" ht="15.75" customHeight="1" s="95">
      <c r="A596" s="1" t="inlineStr">
        <is>
          <t>Idina Menzel</t>
        </is>
      </c>
      <c r="B596" s="1" t="n">
        <v>1</v>
      </c>
      <c r="C596" s="1" t="n">
        <v>2013</v>
      </c>
      <c r="D596" s="1" t="n">
        <v>2013</v>
      </c>
      <c r="E596" s="4" t="inlineStr">
        <is>
          <t>Frozen</t>
        </is>
      </c>
      <c r="F596" s="1" t="inlineStr">
        <is>
          <t>F0116</t>
        </is>
      </c>
    </row>
    <row r="597" ht="15.75" customHeight="1" s="95">
      <c r="A597" s="1" t="inlineStr">
        <is>
          <t>Imogen Poots</t>
        </is>
      </c>
      <c r="B597" s="1" t="n">
        <v>1</v>
      </c>
      <c r="C597" s="1" t="n">
        <v>2014</v>
      </c>
      <c r="D597" s="1" t="n">
        <v>2014</v>
      </c>
      <c r="E597" s="4" t="inlineStr">
        <is>
          <t>Need for Speed</t>
        </is>
      </c>
      <c r="F597" s="1" t="inlineStr">
        <is>
          <t>F0234</t>
        </is>
      </c>
    </row>
    <row r="598" ht="15.75" customHeight="1" s="95">
      <c r="A598" s="1" t="inlineStr">
        <is>
          <t>India Eisley</t>
        </is>
      </c>
      <c r="B598" s="1" t="n">
        <v>1</v>
      </c>
      <c r="C598" s="1" t="n">
        <v>2012</v>
      </c>
      <c r="D598" s="1" t="n">
        <v>2012</v>
      </c>
      <c r="E598" s="4" t="inlineStr">
        <is>
          <t>Underworld: Awakening</t>
        </is>
      </c>
      <c r="F598" s="1" t="inlineStr">
        <is>
          <t>F0328</t>
        </is>
      </c>
    </row>
    <row r="599" ht="15.75" customHeight="1" s="95">
      <c r="A599" s="1" t="inlineStr">
        <is>
          <t>Irrfan Khan</t>
        </is>
      </c>
      <c r="B599" s="1" t="n">
        <v>1</v>
      </c>
      <c r="C599" s="1" t="n">
        <v>2015</v>
      </c>
      <c r="D599" s="1" t="n">
        <v>2015</v>
      </c>
      <c r="E599" s="4" t="inlineStr">
        <is>
          <t>Jurassic World</t>
        </is>
      </c>
      <c r="F599" s="1" t="inlineStr">
        <is>
          <t>F0179</t>
        </is>
      </c>
    </row>
    <row r="600" ht="15.75" customHeight="1" s="95">
      <c r="A600" s="1" t="inlineStr">
        <is>
          <t>Isla Fisher</t>
        </is>
      </c>
      <c r="B600" s="1" t="n">
        <v>1</v>
      </c>
      <c r="C600" s="1" t="n">
        <v>2016</v>
      </c>
      <c r="D600" s="1" t="n">
        <v>2016</v>
      </c>
      <c r="E600" s="4" t="inlineStr">
        <is>
          <t>Grimsby</t>
        </is>
      </c>
      <c r="F600" s="1" t="inlineStr">
        <is>
          <t>F0130</t>
        </is>
      </c>
    </row>
    <row r="601" ht="15.75" customHeight="1" s="95">
      <c r="A601" s="1" t="inlineStr">
        <is>
          <t>Issa Rae</t>
        </is>
      </c>
      <c r="B601" s="1" t="n">
        <v>1</v>
      </c>
      <c r="C601" s="1" t="n">
        <v>2023</v>
      </c>
      <c r="D601" s="1" t="n">
        <v>2023</v>
      </c>
      <c r="E601" s="4" t="inlineStr">
        <is>
          <t>Barbie</t>
        </is>
      </c>
      <c r="F601" s="1" t="inlineStr">
        <is>
          <t>F0041</t>
        </is>
      </c>
    </row>
    <row r="602" ht="15.75" customHeight="1" s="95">
      <c r="A602" s="1" t="inlineStr">
        <is>
          <t>Izabella Scorupco</t>
        </is>
      </c>
      <c r="B602" s="1" t="n">
        <v>1</v>
      </c>
      <c r="C602" s="1" t="n">
        <v>2002</v>
      </c>
      <c r="D602" s="1" t="n">
        <v>2002</v>
      </c>
      <c r="E602" s="4" t="inlineStr">
        <is>
          <t>Reign of Fire</t>
        </is>
      </c>
      <c r="F602" s="1" t="inlineStr">
        <is>
          <t>F0263</t>
        </is>
      </c>
    </row>
    <row r="603" ht="15.75" customHeight="1" s="95">
      <c r="A603" s="1" t="inlineStr">
        <is>
          <t>J.K. Simmons</t>
        </is>
      </c>
      <c r="B603" s="1" t="n">
        <v>1</v>
      </c>
      <c r="C603" s="1" t="n">
        <v>2016</v>
      </c>
      <c r="D603" s="1" t="n">
        <v>2016</v>
      </c>
      <c r="E603" s="4" t="inlineStr">
        <is>
          <t>The Accountant</t>
        </is>
      </c>
      <c r="F603" s="1" t="inlineStr">
        <is>
          <t>F0013</t>
        </is>
      </c>
    </row>
    <row r="604" ht="15.75" customHeight="1" s="95">
      <c r="A604" s="1" t="inlineStr">
        <is>
          <t>Jack Albertson</t>
        </is>
      </c>
      <c r="B604" s="1" t="n">
        <v>1</v>
      </c>
      <c r="C604" s="1" t="n">
        <v>1971</v>
      </c>
      <c r="D604" s="1" t="n">
        <v>1971</v>
      </c>
      <c r="E604" s="4" t="inlineStr">
        <is>
          <t>Willy Wonka &amp; the Chocolate Factory</t>
        </is>
      </c>
      <c r="F604" s="1" t="inlineStr">
        <is>
          <t>F0339</t>
        </is>
      </c>
    </row>
    <row r="605" ht="15.75" customHeight="1" s="95">
      <c r="A605" s="1" t="inlineStr">
        <is>
          <t>Jack McBrayer</t>
        </is>
      </c>
      <c r="B605" s="1" t="n">
        <v>1</v>
      </c>
      <c r="C605" s="1" t="n">
        <v>2012</v>
      </c>
      <c r="D605" s="1" t="n">
        <v>2012</v>
      </c>
      <c r="E605" s="4" t="inlineStr">
        <is>
          <t>Wreck-It Ralph</t>
        </is>
      </c>
      <c r="F605" s="1" t="inlineStr">
        <is>
          <t>F0336</t>
        </is>
      </c>
    </row>
    <row r="606" ht="15.75" customHeight="1" s="95">
      <c r="A606" s="1" t="inlineStr">
        <is>
          <t>Jack Reynor</t>
        </is>
      </c>
      <c r="B606" s="1" t="n">
        <v>1</v>
      </c>
      <c r="C606" s="1" t="n">
        <v>2013</v>
      </c>
      <c r="D606" s="1" t="n">
        <v>2013</v>
      </c>
      <c r="E606" s="4" t="inlineStr">
        <is>
          <t>Delivery Man</t>
        </is>
      </c>
      <c r="F606" s="1" t="inlineStr">
        <is>
          <t>F0080</t>
        </is>
      </c>
    </row>
    <row r="607" ht="15.75" customHeight="1" s="95">
      <c r="A607" s="1" t="inlineStr">
        <is>
          <t>Jaime Winstone</t>
        </is>
      </c>
      <c r="B607" s="1" t="n">
        <v>1</v>
      </c>
      <c r="C607" s="1" t="n">
        <v>2011</v>
      </c>
      <c r="D607" s="1" t="n">
        <v>2011</v>
      </c>
      <c r="E607" s="4" t="inlineStr">
        <is>
          <t>Anuvahood</t>
        </is>
      </c>
      <c r="F607" s="1" t="inlineStr">
        <is>
          <t>F0024</t>
        </is>
      </c>
    </row>
    <row r="608" ht="15.75" customHeight="1" s="95">
      <c r="A608" s="1" t="inlineStr">
        <is>
          <t>Jake Lloyd</t>
        </is>
      </c>
      <c r="B608" s="1" t="n">
        <v>1</v>
      </c>
      <c r="C608" s="1" t="n">
        <v>1999</v>
      </c>
      <c r="D608" s="1" t="n">
        <v>1999</v>
      </c>
      <c r="E608" s="4" t="inlineStr">
        <is>
          <t>Star Wars: Episode I – The Phantom Menace</t>
        </is>
      </c>
      <c r="F608" s="1" t="inlineStr">
        <is>
          <t>F0292</t>
        </is>
      </c>
    </row>
    <row r="609" ht="15.75" customHeight="1" s="95">
      <c r="A609" s="1" t="inlineStr">
        <is>
          <t>James Arnold Taylor</t>
        </is>
      </c>
      <c r="B609" s="1" t="n">
        <v>1</v>
      </c>
      <c r="C609" s="1" t="n">
        <v>2015</v>
      </c>
      <c r="D609" s="1" t="n">
        <v>2015</v>
      </c>
      <c r="E609" s="4" t="inlineStr">
        <is>
          <t>Lego DC Comics Super Heroes: Justice League vs. Bizarro League</t>
        </is>
      </c>
      <c r="F609" s="1" t="inlineStr">
        <is>
          <t>F0197</t>
        </is>
      </c>
    </row>
    <row r="610" ht="15.75" customHeight="1" s="95">
      <c r="A610" s="1" t="inlineStr">
        <is>
          <t>James Coburn</t>
        </is>
      </c>
      <c r="B610" s="1" t="n">
        <v>1</v>
      </c>
      <c r="C610" s="1" t="n">
        <v>2001</v>
      </c>
      <c r="D610" s="1" t="n">
        <v>2001</v>
      </c>
      <c r="E610" s="4" t="inlineStr">
        <is>
          <t>Monsters, Inc.</t>
        </is>
      </c>
      <c r="F610" s="1" t="inlineStr">
        <is>
          <t>F0229</t>
        </is>
      </c>
    </row>
    <row r="611" ht="15.75" customHeight="1" s="95">
      <c r="A611" s="1" t="inlineStr">
        <is>
          <t>James Earl Jones</t>
        </is>
      </c>
      <c r="B611" s="1" t="n">
        <v>1</v>
      </c>
      <c r="C611" s="1" t="n">
        <v>1994</v>
      </c>
      <c r="D611" s="1" t="n">
        <v>1994</v>
      </c>
      <c r="E611" s="4" t="inlineStr">
        <is>
          <t>The Lion King</t>
        </is>
      </c>
      <c r="F611" s="1" t="inlineStr">
        <is>
          <t>F0200</t>
        </is>
      </c>
    </row>
    <row r="612" ht="15.75" customHeight="1" s="95">
      <c r="A612" s="1" t="inlineStr">
        <is>
          <t>James Faulkner</t>
        </is>
      </c>
      <c r="B612" s="1" t="n">
        <v>1</v>
      </c>
      <c r="C612" s="1" t="n">
        <v>2008</v>
      </c>
      <c r="D612" s="1" t="n">
        <v>2008</v>
      </c>
      <c r="E612" s="4" t="inlineStr">
        <is>
          <t>The Bank Job</t>
        </is>
      </c>
      <c r="F612" s="1" t="inlineStr">
        <is>
          <t>F0040</t>
        </is>
      </c>
    </row>
    <row r="613" ht="15.75" customHeight="1" s="95">
      <c r="A613" s="1" t="inlineStr">
        <is>
          <t>James Gandolfini</t>
        </is>
      </c>
      <c r="B613" s="1" t="n">
        <v>1</v>
      </c>
      <c r="C613" s="1" t="n">
        <v>2012</v>
      </c>
      <c r="D613" s="1" t="n">
        <v>2012</v>
      </c>
      <c r="E613" s="4" t="inlineStr">
        <is>
          <t>Killing Them Softly</t>
        </is>
      </c>
      <c r="F613" s="1" t="inlineStr">
        <is>
          <t>F0187</t>
        </is>
      </c>
    </row>
    <row r="614" ht="15.75" customHeight="1" s="95">
      <c r="A614" s="1" t="inlineStr">
        <is>
          <t>James Garner</t>
        </is>
      </c>
      <c r="B614" s="1" t="n">
        <v>1</v>
      </c>
      <c r="C614" s="1" t="n">
        <v>2004</v>
      </c>
      <c r="D614" s="1" t="n">
        <v>2004</v>
      </c>
      <c r="E614" s="4" t="inlineStr">
        <is>
          <t>The Notebook</t>
        </is>
      </c>
      <c r="F614" s="1" t="inlineStr">
        <is>
          <t>F0237</t>
        </is>
      </c>
    </row>
    <row r="615" ht="15.75" customHeight="1" s="95">
      <c r="A615" s="1" t="inlineStr">
        <is>
          <t>James Karen</t>
        </is>
      </c>
      <c r="B615" s="1" t="n">
        <v>1</v>
      </c>
      <c r="C615" s="1" t="n">
        <v>2006</v>
      </c>
      <c r="D615" s="1" t="n">
        <v>2006</v>
      </c>
      <c r="E615" s="4" t="inlineStr">
        <is>
          <t>The Pursuit of Happyness</t>
        </is>
      </c>
      <c r="F615" s="1" t="inlineStr">
        <is>
          <t>F0260</t>
        </is>
      </c>
    </row>
    <row r="616" ht="15.75" customHeight="1" s="95">
      <c r="A616" s="1" t="inlineStr">
        <is>
          <t>James Marsden</t>
        </is>
      </c>
      <c r="B616" s="1" t="n">
        <v>1</v>
      </c>
      <c r="C616" s="1" t="n">
        <v>2000</v>
      </c>
      <c r="D616" s="1" t="n">
        <v>2000</v>
      </c>
      <c r="E616" s="4" t="inlineStr">
        <is>
          <t>X-Men</t>
        </is>
      </c>
      <c r="F616" s="1" t="inlineStr">
        <is>
          <t>F0344</t>
        </is>
      </c>
    </row>
    <row r="617" ht="15.75" customHeight="1" s="95">
      <c r="A617" s="1" t="inlineStr">
        <is>
          <t>James Nesbitt</t>
        </is>
      </c>
      <c r="B617" s="1" t="n">
        <v>1</v>
      </c>
      <c r="C617" s="1" t="n">
        <v>2012</v>
      </c>
      <c r="D617" s="1" t="n">
        <v>2012</v>
      </c>
      <c r="E617" s="4" t="inlineStr">
        <is>
          <t>The Hobbit: An Unexpected Journey</t>
        </is>
      </c>
      <c r="F617" s="1" t="inlineStr">
        <is>
          <t>F0150</t>
        </is>
      </c>
    </row>
    <row r="618" ht="15.75" customHeight="1" s="95">
      <c r="A618" s="1" t="inlineStr">
        <is>
          <t>James Remar</t>
        </is>
      </c>
      <c r="B618" s="1" t="n">
        <v>1</v>
      </c>
      <c r="C618" s="1" t="n">
        <v>1979</v>
      </c>
      <c r="D618" s="1" t="n">
        <v>1979</v>
      </c>
      <c r="E618" s="4" t="inlineStr">
        <is>
          <t>The Warriors</t>
        </is>
      </c>
      <c r="F618" s="1" t="inlineStr">
        <is>
          <t>F0334</t>
        </is>
      </c>
    </row>
    <row r="619" ht="15.75" customHeight="1" s="95">
      <c r="A619" s="1" t="inlineStr">
        <is>
          <t>Jamie Chung</t>
        </is>
      </c>
      <c r="B619" s="1" t="n">
        <v>1</v>
      </c>
      <c r="C619" s="1" t="n">
        <v>2014</v>
      </c>
      <c r="D619" s="1" t="n">
        <v>2014</v>
      </c>
      <c r="E619" s="4" t="inlineStr">
        <is>
          <t>Big Hero 6</t>
        </is>
      </c>
      <c r="F619" s="1" t="inlineStr">
        <is>
          <t>F0048</t>
        </is>
      </c>
    </row>
    <row r="620" ht="15.75" customHeight="1" s="95">
      <c r="A620" s="1" t="inlineStr">
        <is>
          <t>January Jones</t>
        </is>
      </c>
      <c r="B620" s="1" t="n">
        <v>1</v>
      </c>
      <c r="C620" s="1" t="n">
        <v>2011</v>
      </c>
      <c r="D620" s="1" t="n">
        <v>2011</v>
      </c>
      <c r="E620" s="4" t="inlineStr">
        <is>
          <t>Unknown</t>
        </is>
      </c>
      <c r="F620" s="1" t="inlineStr">
        <is>
          <t>F0329</t>
        </is>
      </c>
    </row>
    <row r="621" ht="15.75" customHeight="1" s="95">
      <c r="A621" s="1" t="inlineStr">
        <is>
          <t>Jared Harris</t>
        </is>
      </c>
      <c r="B621" s="1" t="n">
        <v>1</v>
      </c>
      <c r="C621" s="1" t="n">
        <v>2011</v>
      </c>
      <c r="D621" s="1" t="n">
        <v>2011</v>
      </c>
      <c r="E621" s="4" t="inlineStr">
        <is>
          <t>Sherlock Holmes: A Game of Shadows</t>
        </is>
      </c>
      <c r="F621" s="1" t="inlineStr">
        <is>
          <t>F0279</t>
        </is>
      </c>
    </row>
    <row r="622" ht="15.75" customHeight="1" s="95">
      <c r="A622" s="1" t="inlineStr">
        <is>
          <t>Jared Leto</t>
        </is>
      </c>
      <c r="B622" s="1" t="n">
        <v>1</v>
      </c>
      <c r="C622" s="1" t="n">
        <v>1999</v>
      </c>
      <c r="D622" s="1" t="n">
        <v>1999</v>
      </c>
      <c r="E622" s="4" t="inlineStr">
        <is>
          <t>Fight Club</t>
        </is>
      </c>
      <c r="F622" s="1" t="inlineStr">
        <is>
          <t>F0112</t>
        </is>
      </c>
    </row>
    <row r="623" ht="15.75" customHeight="1" s="95">
      <c r="A623" s="1" t="inlineStr">
        <is>
          <t>Jason Bateman</t>
        </is>
      </c>
      <c r="B623" s="1" t="n">
        <v>1</v>
      </c>
      <c r="C623" s="1" t="n">
        <v>2011</v>
      </c>
      <c r="D623" s="1" t="n">
        <v>2011</v>
      </c>
      <c r="E623" s="4" t="inlineStr">
        <is>
          <t>Paul</t>
        </is>
      </c>
      <c r="F623" s="1" t="inlineStr">
        <is>
          <t>F0245</t>
        </is>
      </c>
    </row>
    <row r="624" ht="15.75" customHeight="1" s="95">
      <c r="A624" s="1" t="inlineStr">
        <is>
          <t>Jason Cope</t>
        </is>
      </c>
      <c r="B624" s="1" t="n">
        <v>1</v>
      </c>
      <c r="C624" s="1" t="n">
        <v>2009</v>
      </c>
      <c r="D624" s="1" t="n">
        <v>2009</v>
      </c>
      <c r="E624" s="4" t="inlineStr">
        <is>
          <t>District 9</t>
        </is>
      </c>
      <c r="F624" s="1" t="inlineStr">
        <is>
          <t>F0088</t>
        </is>
      </c>
    </row>
    <row r="625" ht="15.75" customHeight="1" s="95">
      <c r="A625" s="1" t="inlineStr">
        <is>
          <t>Jason Flemyng</t>
        </is>
      </c>
      <c r="B625" s="1" t="n">
        <v>1</v>
      </c>
      <c r="C625" s="1" t="n">
        <v>2010</v>
      </c>
      <c r="D625" s="1" t="n">
        <v>2010</v>
      </c>
      <c r="E625" s="4" t="inlineStr">
        <is>
          <t>Clash of the Titans</t>
        </is>
      </c>
      <c r="F625" s="1" t="inlineStr">
        <is>
          <t>F0066</t>
        </is>
      </c>
    </row>
    <row r="626" ht="15.75" customHeight="1" s="95">
      <c r="A626" s="1" t="inlineStr">
        <is>
          <t>Jason Ian Drucker</t>
        </is>
      </c>
      <c r="B626" s="1" t="n">
        <v>1</v>
      </c>
      <c r="C626" s="1" t="n">
        <v>2018</v>
      </c>
      <c r="D626" s="1" t="n">
        <v>2018</v>
      </c>
      <c r="E626" s="4" t="inlineStr">
        <is>
          <t>Bumblebee</t>
        </is>
      </c>
      <c r="F626" s="1" t="inlineStr">
        <is>
          <t>F0061</t>
        </is>
      </c>
    </row>
    <row r="627" ht="15.75" customHeight="1" s="95">
      <c r="A627" s="1" t="inlineStr">
        <is>
          <t>Jason Mantzoukas</t>
        </is>
      </c>
      <c r="B627" s="1" t="n">
        <v>1</v>
      </c>
      <c r="C627" s="1" t="n">
        <v>2012</v>
      </c>
      <c r="D627" s="1" t="n">
        <v>2012</v>
      </c>
      <c r="E627" s="4" t="inlineStr">
        <is>
          <t>The Dictator</t>
        </is>
      </c>
      <c r="F627" s="1" t="inlineStr">
        <is>
          <t>F0085</t>
        </is>
      </c>
    </row>
    <row r="628" ht="15.75" customHeight="1" s="95">
      <c r="A628" s="1" t="inlineStr">
        <is>
          <t>Jason Mitchell</t>
        </is>
      </c>
      <c r="B628" s="1" t="n">
        <v>1</v>
      </c>
      <c r="C628" s="1" t="n">
        <v>2015</v>
      </c>
      <c r="D628" s="1" t="n">
        <v>2015</v>
      </c>
      <c r="E628" s="4" t="inlineStr">
        <is>
          <t>Straight Outta Compton</t>
        </is>
      </c>
      <c r="F628" s="1" t="inlineStr">
        <is>
          <t>F0301</t>
        </is>
      </c>
    </row>
    <row r="629" ht="15.75" customHeight="1" s="95">
      <c r="A629" s="1" t="inlineStr">
        <is>
          <t>Jayma Mays</t>
        </is>
      </c>
      <c r="B629" s="1" t="n">
        <v>1</v>
      </c>
      <c r="C629" s="1" t="n">
        <v>2013</v>
      </c>
      <c r="D629" s="1" t="n">
        <v>2013</v>
      </c>
      <c r="E629" s="4" t="inlineStr">
        <is>
          <t>The Smurfs 2</t>
        </is>
      </c>
      <c r="F629" s="1" t="inlineStr">
        <is>
          <t>F0282</t>
        </is>
      </c>
    </row>
    <row r="630" ht="15.75" customHeight="1" s="95">
      <c r="A630" s="1" t="inlineStr">
        <is>
          <t>Jazzie Zonzolo</t>
        </is>
      </c>
      <c r="B630" s="1" t="n">
        <v>1</v>
      </c>
      <c r="C630" s="1" t="n">
        <v>2011</v>
      </c>
      <c r="D630" s="1" t="n">
        <v>2011</v>
      </c>
      <c r="E630" s="4" t="inlineStr">
        <is>
          <t>Anuvahood</t>
        </is>
      </c>
      <c r="F630" s="1" t="inlineStr">
        <is>
          <t>F0024</t>
        </is>
      </c>
    </row>
    <row r="631" ht="15.75" customHeight="1" s="95">
      <c r="A631" s="1" t="inlineStr">
        <is>
          <t>Jean Michel Paré</t>
        </is>
      </c>
      <c r="B631" s="1" t="n">
        <v>1</v>
      </c>
      <c r="C631" s="1" t="n">
        <v>2008</v>
      </c>
      <c r="D631" s="1" t="n">
        <v>2008</v>
      </c>
      <c r="E631" s="4" t="inlineStr">
        <is>
          <t>Journey to the Center of the Earth</t>
        </is>
      </c>
      <c r="F631" s="1" t="inlineStr">
        <is>
          <t>F0174</t>
        </is>
      </c>
    </row>
    <row r="632" ht="15.75" customHeight="1" s="95">
      <c r="A632" s="1" t="inlineStr">
        <is>
          <t>Jean Reno</t>
        </is>
      </c>
      <c r="B632" s="1" t="n">
        <v>1</v>
      </c>
      <c r="C632" s="1" t="n">
        <v>1996</v>
      </c>
      <c r="D632" s="1" t="n">
        <v>1996</v>
      </c>
      <c r="E632" s="4" t="inlineStr">
        <is>
          <t>Mission: Impossible</t>
        </is>
      </c>
      <c r="F632" s="1" t="inlineStr">
        <is>
          <t>F0221</t>
        </is>
      </c>
    </row>
    <row r="633" ht="15.75" customHeight="1" s="95">
      <c r="A633" s="1" t="inlineStr">
        <is>
          <t>Jeff Daniels</t>
        </is>
      </c>
      <c r="B633" s="1" t="n">
        <v>1</v>
      </c>
      <c r="C633" s="1" t="n">
        <v>2015</v>
      </c>
      <c r="D633" s="1" t="n">
        <v>2015</v>
      </c>
      <c r="E633" s="4" t="inlineStr">
        <is>
          <t>The Martian</t>
        </is>
      </c>
      <c r="F633" s="1" t="inlineStr">
        <is>
          <t>F0213</t>
        </is>
      </c>
    </row>
    <row r="634" ht="15.75" customHeight="1" s="95">
      <c r="A634" s="1" t="inlineStr">
        <is>
          <t>Jeff Garlin</t>
        </is>
      </c>
      <c r="B634" s="1" t="n">
        <v>1</v>
      </c>
      <c r="C634" s="1" t="n">
        <v>2008</v>
      </c>
      <c r="D634" s="1" t="n">
        <v>2008</v>
      </c>
      <c r="E634" s="4" t="inlineStr">
        <is>
          <t>WALL·E</t>
        </is>
      </c>
      <c r="F634" s="1" t="inlineStr">
        <is>
          <t>F0331</t>
        </is>
      </c>
    </row>
    <row r="635" ht="15.75" customHeight="1" s="95">
      <c r="A635" s="1" t="inlineStr">
        <is>
          <t>Jennifer Aniston</t>
        </is>
      </c>
      <c r="B635" s="1" t="n">
        <v>1</v>
      </c>
      <c r="C635" s="1" t="n">
        <v>2011</v>
      </c>
      <c r="D635" s="1" t="n">
        <v>2011</v>
      </c>
      <c r="E635" s="4" t="inlineStr">
        <is>
          <t>Just Go with It</t>
        </is>
      </c>
      <c r="F635" s="1" t="inlineStr">
        <is>
          <t>F0183</t>
        </is>
      </c>
    </row>
    <row r="636" ht="15.75" customHeight="1" s="95">
      <c r="A636" s="1" t="inlineStr">
        <is>
          <t>Jennifer Connelly</t>
        </is>
      </c>
      <c r="B636" s="1" t="n">
        <v>1</v>
      </c>
      <c r="C636" s="1" t="n">
        <v>2014</v>
      </c>
      <c r="D636" s="1" t="n">
        <v>2014</v>
      </c>
      <c r="E636" s="4" t="inlineStr">
        <is>
          <t>Noah</t>
        </is>
      </c>
      <c r="F636" s="1" t="inlineStr">
        <is>
          <t>F0238</t>
        </is>
      </c>
    </row>
    <row r="637" ht="15.75" customHeight="1" s="95">
      <c r="A637" s="1" t="inlineStr">
        <is>
          <t>Jennifer Ehle</t>
        </is>
      </c>
      <c r="B637" s="1" t="n">
        <v>1</v>
      </c>
      <c r="C637" s="1" t="n">
        <v>2012</v>
      </c>
      <c r="D637" s="1" t="n">
        <v>2012</v>
      </c>
      <c r="E637" s="4" t="inlineStr">
        <is>
          <t>Zero Dark Thirty</t>
        </is>
      </c>
      <c r="F637" s="1" t="inlineStr">
        <is>
          <t>F0349</t>
        </is>
      </c>
    </row>
    <row r="638" ht="15.75" customHeight="1" s="95">
      <c r="A638" s="1" t="inlineStr">
        <is>
          <t>Jennifer Lopez</t>
        </is>
      </c>
      <c r="B638" s="1" t="n">
        <v>1</v>
      </c>
      <c r="C638" s="1" t="n">
        <v>2015</v>
      </c>
      <c r="D638" s="1" t="n">
        <v>2015</v>
      </c>
      <c r="E638" s="4" t="inlineStr">
        <is>
          <t>Home</t>
        </is>
      </c>
      <c r="F638" s="1" t="inlineStr">
        <is>
          <t>F0153</t>
        </is>
      </c>
    </row>
    <row r="639" ht="15.75" customHeight="1" s="95">
      <c r="A639" s="1" t="inlineStr">
        <is>
          <t>Jennifer Morrison</t>
        </is>
      </c>
      <c r="B639" s="1" t="n">
        <v>1</v>
      </c>
      <c r="C639" s="1" t="n">
        <v>2011</v>
      </c>
      <c r="D639" s="1" t="n">
        <v>2011</v>
      </c>
      <c r="E639" s="4" t="inlineStr">
        <is>
          <t>Warrior</t>
        </is>
      </c>
      <c r="F639" s="1" t="inlineStr">
        <is>
          <t>F0333</t>
        </is>
      </c>
    </row>
    <row r="640" ht="15.75" customHeight="1" s="95">
      <c r="A640" s="1" t="inlineStr">
        <is>
          <t>Jenny Slate</t>
        </is>
      </c>
      <c r="B640" s="1" t="n">
        <v>1</v>
      </c>
      <c r="C640" s="1" t="n">
        <v>2016</v>
      </c>
      <c r="D640" s="1" t="n">
        <v>2016</v>
      </c>
      <c r="E640" s="4" t="inlineStr">
        <is>
          <t>The Secret Life of Pets</t>
        </is>
      </c>
      <c r="F640" s="1" t="inlineStr">
        <is>
          <t>F0274</t>
        </is>
      </c>
    </row>
    <row r="641" ht="15.75" customHeight="1" s="95">
      <c r="A641" s="1" t="inlineStr">
        <is>
          <t>Jeremy Howard</t>
        </is>
      </c>
      <c r="B641" s="1" t="n">
        <v>1</v>
      </c>
      <c r="C641" s="1" t="n">
        <v>2014</v>
      </c>
      <c r="D641" s="1" t="n">
        <v>2014</v>
      </c>
      <c r="E641" s="4" t="inlineStr">
        <is>
          <t>Teenage Mutant Ninja Turtles</t>
        </is>
      </c>
      <c r="F641" s="1" t="inlineStr">
        <is>
          <t>F0309</t>
        </is>
      </c>
    </row>
    <row r="642" ht="15.75" customHeight="1" s="95">
      <c r="A642" s="1" t="inlineStr">
        <is>
          <t>Jeremy Strong</t>
        </is>
      </c>
      <c r="B642" s="1" t="n">
        <v>1</v>
      </c>
      <c r="C642" s="1" t="n">
        <v>2020</v>
      </c>
      <c r="D642" s="1" t="n">
        <v>2020</v>
      </c>
      <c r="E642" s="4" t="inlineStr">
        <is>
          <t>The Gentlemen</t>
        </is>
      </c>
      <c r="F642" s="1" t="inlineStr">
        <is>
          <t>F0119</t>
        </is>
      </c>
    </row>
    <row r="643" ht="15.75" customHeight="1" s="95">
      <c r="A643" s="1" t="inlineStr">
        <is>
          <t>Jessica Biel</t>
        </is>
      </c>
      <c r="B643" s="1" t="n">
        <v>1</v>
      </c>
      <c r="C643" s="1" t="n">
        <v>2010</v>
      </c>
      <c r="D643" s="1" t="n">
        <v>2010</v>
      </c>
      <c r="E643" s="4" t="inlineStr">
        <is>
          <t>The A-Team</t>
        </is>
      </c>
      <c r="F643" s="1" t="inlineStr">
        <is>
          <t>F0026</t>
        </is>
      </c>
    </row>
    <row r="644" ht="15.75" customHeight="1" s="95">
      <c r="A644" s="1" t="inlineStr">
        <is>
          <t>Jim Carrey</t>
        </is>
      </c>
      <c r="B644" s="1" t="n">
        <v>1</v>
      </c>
      <c r="C644" s="1" t="n">
        <v>2013</v>
      </c>
      <c r="D644" s="1" t="n">
        <v>2013</v>
      </c>
      <c r="E644" s="4" t="inlineStr">
        <is>
          <t>Kick-Ass 2</t>
        </is>
      </c>
      <c r="F644" s="1" t="inlineStr">
        <is>
          <t>F0186</t>
        </is>
      </c>
    </row>
    <row r="645" ht="15.75" customHeight="1" s="95">
      <c r="A645" s="1" t="inlineStr">
        <is>
          <t>Jim Parsons</t>
        </is>
      </c>
      <c r="B645" s="1" t="n">
        <v>1</v>
      </c>
      <c r="C645" s="1" t="n">
        <v>2015</v>
      </c>
      <c r="D645" s="1" t="n">
        <v>2015</v>
      </c>
      <c r="E645" s="4" t="inlineStr">
        <is>
          <t>Home</t>
        </is>
      </c>
      <c r="F645" s="1" t="inlineStr">
        <is>
          <t>F0153</t>
        </is>
      </c>
    </row>
    <row r="646" ht="15.75" customHeight="1" s="95">
      <c r="A646" s="1" t="inlineStr">
        <is>
          <t>Jim Varney</t>
        </is>
      </c>
      <c r="B646" s="1" t="n">
        <v>1</v>
      </c>
      <c r="C646" s="1" t="n">
        <v>1995</v>
      </c>
      <c r="D646" s="1" t="n">
        <v>1995</v>
      </c>
      <c r="E646" s="4" t="inlineStr">
        <is>
          <t>Toy Story</t>
        </is>
      </c>
      <c r="F646" s="1" t="inlineStr">
        <is>
          <t>F0312</t>
        </is>
      </c>
    </row>
    <row r="647" ht="15.75" customHeight="1" s="95">
      <c r="A647" s="1" t="inlineStr">
        <is>
          <t>Jimmy Bennett</t>
        </is>
      </c>
      <c r="B647" s="1" t="n">
        <v>1</v>
      </c>
      <c r="C647" s="1" t="n">
        <v>2006</v>
      </c>
      <c r="D647" s="1" t="n">
        <v>2006</v>
      </c>
      <c r="E647" s="4" t="inlineStr">
        <is>
          <t>Firewall</t>
        </is>
      </c>
      <c r="F647" s="1" t="inlineStr">
        <is>
          <t>F0114</t>
        </is>
      </c>
    </row>
    <row r="648" ht="15.75" customHeight="1" s="95">
      <c r="A648" s="1" t="inlineStr">
        <is>
          <t>Jing Tian</t>
        </is>
      </c>
      <c r="B648" s="1" t="n">
        <v>1</v>
      </c>
      <c r="C648" s="1" t="n">
        <v>2017</v>
      </c>
      <c r="D648" s="1" t="n">
        <v>2017</v>
      </c>
      <c r="E648" s="4" t="inlineStr">
        <is>
          <t>Kong: Skull Island</t>
        </is>
      </c>
      <c r="F648" s="1" t="inlineStr">
        <is>
          <t>F0190</t>
        </is>
      </c>
    </row>
    <row r="649" ht="15.75" customHeight="1" s="95">
      <c r="A649" s="1" t="inlineStr">
        <is>
          <t>Joan Allen</t>
        </is>
      </c>
      <c r="B649" s="1" t="n">
        <v>1</v>
      </c>
      <c r="C649" s="1" t="n">
        <v>2004</v>
      </c>
      <c r="D649" s="1" t="n">
        <v>2004</v>
      </c>
      <c r="E649" s="4" t="inlineStr">
        <is>
          <t>The Notebook</t>
        </is>
      </c>
      <c r="F649" s="1" t="inlineStr">
        <is>
          <t>F0237</t>
        </is>
      </c>
    </row>
    <row r="650" ht="15.75" customHeight="1" s="95">
      <c r="A650" s="1" t="inlineStr">
        <is>
          <t>Joanne Whalley</t>
        </is>
      </c>
      <c r="B650" s="1" t="n">
        <v>1</v>
      </c>
      <c r="C650" s="1" t="n">
        <v>2009</v>
      </c>
      <c r="D650" s="1" t="n">
        <v>2009</v>
      </c>
      <c r="E650" s="4" t="inlineStr">
        <is>
          <t>44 Inch Chest</t>
        </is>
      </c>
      <c r="F650" s="1" t="inlineStr">
        <is>
          <t>F0010</t>
        </is>
      </c>
    </row>
    <row r="651" ht="15.75" customHeight="1" s="95">
      <c r="A651" s="1" t="inlineStr">
        <is>
          <t>Jodie Foster</t>
        </is>
      </c>
      <c r="B651" s="1" t="n">
        <v>1</v>
      </c>
      <c r="C651" s="1" t="n">
        <v>2013</v>
      </c>
      <c r="D651" s="1" t="n">
        <v>2013</v>
      </c>
      <c r="E651" s="4" t="inlineStr">
        <is>
          <t>Elysium</t>
        </is>
      </c>
      <c r="F651" s="1" t="inlineStr">
        <is>
          <t>F0093</t>
        </is>
      </c>
    </row>
    <row r="652" ht="15.75" customHeight="1" s="95">
      <c r="A652" s="1" t="inlineStr">
        <is>
          <t>Jodie Whittaker</t>
        </is>
      </c>
      <c r="B652" s="1" t="n">
        <v>1</v>
      </c>
      <c r="C652" s="1" t="n">
        <v>2011</v>
      </c>
      <c r="D652" s="1" t="n">
        <v>2011</v>
      </c>
      <c r="E652" s="4" t="inlineStr">
        <is>
          <t>Attack the Block</t>
        </is>
      </c>
      <c r="F652" s="1" t="inlineStr">
        <is>
          <t>F0027</t>
        </is>
      </c>
    </row>
    <row r="653" ht="15.75" customHeight="1" s="95">
      <c r="A653" s="1" t="inlineStr">
        <is>
          <t>Joe Pantoliano</t>
        </is>
      </c>
      <c r="B653" s="1" t="n">
        <v>1</v>
      </c>
      <c r="C653" s="1" t="n">
        <v>1995</v>
      </c>
      <c r="D653" s="1" t="n">
        <v>1995</v>
      </c>
      <c r="E653" s="4" t="inlineStr">
        <is>
          <t>Bad Boys</t>
        </is>
      </c>
      <c r="F653" s="1" t="inlineStr">
        <is>
          <t>F0036</t>
        </is>
      </c>
    </row>
    <row r="654" ht="15.75" customHeight="1" s="95">
      <c r="A654" s="1" t="inlineStr">
        <is>
          <t>Joel Courtney</t>
        </is>
      </c>
      <c r="B654" s="1" t="n">
        <v>1</v>
      </c>
      <c r="C654" s="1" t="n">
        <v>2011</v>
      </c>
      <c r="D654" s="1" t="n">
        <v>2011</v>
      </c>
      <c r="E654" s="4" t="inlineStr">
        <is>
          <t>Super 8</t>
        </is>
      </c>
      <c r="F654" s="1" t="inlineStr">
        <is>
          <t>F0302</t>
        </is>
      </c>
    </row>
    <row r="655" ht="15.75" customHeight="1" s="95">
      <c r="A655" s="1" t="inlineStr">
        <is>
          <t>Joel McHale</t>
        </is>
      </c>
      <c r="B655" s="1" t="n">
        <v>1</v>
      </c>
      <c r="C655" s="1" t="n">
        <v>2012</v>
      </c>
      <c r="D655" s="1" t="n">
        <v>2012</v>
      </c>
      <c r="E655" s="4" t="inlineStr">
        <is>
          <t>Ted</t>
        </is>
      </c>
      <c r="F655" s="1" t="inlineStr">
        <is>
          <t>F0308</t>
        </is>
      </c>
    </row>
    <row r="656" ht="15.75" customHeight="1" s="95">
      <c r="A656" s="1" t="inlineStr">
        <is>
          <t>Joey King</t>
        </is>
      </c>
      <c r="B656" s="1" t="n">
        <v>1</v>
      </c>
      <c r="C656" s="1" t="n">
        <v>2013</v>
      </c>
      <c r="D656" s="1" t="n">
        <v>2013</v>
      </c>
      <c r="E656" s="4" t="inlineStr">
        <is>
          <t>White House Down</t>
        </is>
      </c>
      <c r="F656" s="1" t="inlineStr">
        <is>
          <t>F0335</t>
        </is>
      </c>
    </row>
    <row r="657" ht="15.75" customHeight="1" s="95">
      <c r="A657" s="1" t="inlineStr">
        <is>
          <t>John Cassini</t>
        </is>
      </c>
      <c r="B657" s="1" t="n">
        <v>1</v>
      </c>
      <c r="C657" s="1" t="n">
        <v>1995</v>
      </c>
      <c r="D657" s="1" t="n">
        <v>1995</v>
      </c>
      <c r="E657" s="4" t="inlineStr">
        <is>
          <t>Se7en</t>
        </is>
      </c>
      <c r="F657" s="1" t="inlineStr">
        <is>
          <t>F0276</t>
        </is>
      </c>
    </row>
    <row r="658" ht="15.75" customHeight="1" s="95">
      <c r="A658" s="1" t="inlineStr">
        <is>
          <t>John DiMaggio</t>
        </is>
      </c>
      <c r="B658" s="1" t="n">
        <v>1</v>
      </c>
      <c r="C658" s="1" t="n">
        <v>2016</v>
      </c>
      <c r="D658" s="1" t="n">
        <v>2016</v>
      </c>
      <c r="E658" s="4" t="inlineStr">
        <is>
          <t>Lego DC Comics Super Heroes: Justice League - Gotham City Breakout</t>
        </is>
      </c>
      <c r="F658" s="1" t="inlineStr">
        <is>
          <t>F0198</t>
        </is>
      </c>
    </row>
    <row r="659" ht="15.75" customHeight="1" s="95">
      <c r="A659" s="1" t="inlineStr">
        <is>
          <t>John Lithgow</t>
        </is>
      </c>
      <c r="B659" s="1" t="n">
        <v>1</v>
      </c>
      <c r="C659" s="1" t="n">
        <v>2011</v>
      </c>
      <c r="D659" s="1" t="n">
        <v>2011</v>
      </c>
      <c r="E659" s="4" t="inlineStr">
        <is>
          <t>Rise of the Planet of the Apes</t>
        </is>
      </c>
      <c r="F659" s="1" t="inlineStr">
        <is>
          <t>F0253</t>
        </is>
      </c>
    </row>
    <row r="660" ht="15.75" customHeight="1" s="95">
      <c r="A660" s="1" t="inlineStr">
        <is>
          <t>John Michael Higgins</t>
        </is>
      </c>
      <c r="B660" s="1" t="n">
        <v>1</v>
      </c>
      <c r="C660" s="1" t="n">
        <v>2011</v>
      </c>
      <c r="D660" s="1" t="n">
        <v>2011</v>
      </c>
      <c r="E660" s="4" t="inlineStr">
        <is>
          <t>Bad Teacher</t>
        </is>
      </c>
      <c r="F660" s="1" t="inlineStr">
        <is>
          <t>F0039</t>
        </is>
      </c>
    </row>
    <row r="661" ht="15.75" customHeight="1" s="95">
      <c r="A661" s="1" t="inlineStr">
        <is>
          <t>John Ratzenberger</t>
        </is>
      </c>
      <c r="B661" s="1" t="n">
        <v>1</v>
      </c>
      <c r="C661" s="1" t="n">
        <v>2008</v>
      </c>
      <c r="D661" s="1" t="n">
        <v>2008</v>
      </c>
      <c r="E661" s="4" t="inlineStr">
        <is>
          <t>WALL·E</t>
        </is>
      </c>
      <c r="F661" s="1" t="inlineStr">
        <is>
          <t>F0331</t>
        </is>
      </c>
    </row>
    <row r="662" ht="15.75" customHeight="1" s="95">
      <c r="A662" s="1" t="inlineStr">
        <is>
          <t>John Turturro</t>
        </is>
      </c>
      <c r="B662" s="1" t="n">
        <v>1</v>
      </c>
      <c r="C662" s="1" t="n">
        <v>2011</v>
      </c>
      <c r="D662" s="1" t="n">
        <v>2011</v>
      </c>
      <c r="E662" s="4" t="inlineStr">
        <is>
          <t>Transformers: Dark of the Moon</t>
        </is>
      </c>
      <c r="F662" s="1" t="inlineStr">
        <is>
          <t>F0318</t>
        </is>
      </c>
    </row>
    <row r="663" ht="15.75" customHeight="1" s="95">
      <c r="A663" s="1" t="inlineStr">
        <is>
          <t>Johnny A. Sanchez</t>
        </is>
      </c>
      <c r="B663" s="1" t="n">
        <v>1</v>
      </c>
      <c r="C663" s="1" t="n">
        <v>2011</v>
      </c>
      <c r="D663" s="1" t="n">
        <v>2011</v>
      </c>
      <c r="E663" s="4" t="inlineStr">
        <is>
          <t>Happy Feet Two</t>
        </is>
      </c>
      <c r="F663" s="1" t="inlineStr">
        <is>
          <t>F0145</t>
        </is>
      </c>
    </row>
    <row r="664" ht="15.75" customHeight="1" s="95">
      <c r="A664" s="1" t="inlineStr">
        <is>
          <t>Johnny Depp</t>
        </is>
      </c>
      <c r="B664" s="1" t="n">
        <v>1</v>
      </c>
      <c r="C664" s="1" t="n">
        <v>2011</v>
      </c>
      <c r="D664" s="1" t="n">
        <v>2011</v>
      </c>
      <c r="E664" s="4" t="inlineStr">
        <is>
          <t>Pirates of the Caribbean: On Stranger Tides</t>
        </is>
      </c>
      <c r="F664" s="1" t="inlineStr">
        <is>
          <t>F0249</t>
        </is>
      </c>
    </row>
    <row r="665" ht="15.75" customHeight="1" s="95">
      <c r="A665" s="1" t="inlineStr">
        <is>
          <t>Johnny Knoxville</t>
        </is>
      </c>
      <c r="B665" s="1" t="n">
        <v>1</v>
      </c>
      <c r="C665" s="1" t="n">
        <v>2010</v>
      </c>
      <c r="D665" s="1" t="n">
        <v>2010</v>
      </c>
      <c r="E665" s="4" t="inlineStr">
        <is>
          <t>Jackass 3D</t>
        </is>
      </c>
      <c r="F665" s="1" t="inlineStr">
        <is>
          <t>F0172</t>
        </is>
      </c>
    </row>
    <row r="666" ht="15.75" customHeight="1" s="95">
      <c r="A666" s="1" t="inlineStr">
        <is>
          <t>Jon Favreau</t>
        </is>
      </c>
      <c r="B666" s="1" t="n">
        <v>1</v>
      </c>
      <c r="C666" s="1" t="n">
        <v>2014</v>
      </c>
      <c r="D666" s="1" t="n">
        <v>2014</v>
      </c>
      <c r="E666" s="4" t="inlineStr">
        <is>
          <t>Chef</t>
        </is>
      </c>
      <c r="F666" s="1" t="inlineStr">
        <is>
          <t>F0065</t>
        </is>
      </c>
    </row>
    <row r="667" ht="15.75" customHeight="1" s="95">
      <c r="A667" s="1" t="inlineStr">
        <is>
          <t>Jon Gries</t>
        </is>
      </c>
      <c r="B667" s="1" t="n">
        <v>1</v>
      </c>
      <c r="C667" s="1" t="n">
        <v>2008</v>
      </c>
      <c r="D667" s="1" t="n">
        <v>2008</v>
      </c>
      <c r="E667" s="4" t="inlineStr">
        <is>
          <t>Taken</t>
        </is>
      </c>
      <c r="F667" s="1" t="inlineStr">
        <is>
          <t>F0306</t>
        </is>
      </c>
    </row>
    <row r="668" ht="15.75" customHeight="1" s="95">
      <c r="A668" s="1" t="inlineStr">
        <is>
          <t>Jonathan Bailey</t>
        </is>
      </c>
      <c r="B668" s="1" t="n">
        <v>1</v>
      </c>
      <c r="C668" s="1" t="n">
        <v>2025</v>
      </c>
      <c r="D668" s="1" t="n">
        <v>2025</v>
      </c>
      <c r="E668" s="4" t="inlineStr">
        <is>
          <t>Jurassic World Rebirth</t>
        </is>
      </c>
      <c r="F668" s="1" t="inlineStr">
        <is>
          <t>F0182</t>
        </is>
      </c>
    </row>
    <row r="669" ht="15.75" customHeight="1" s="95">
      <c r="A669" s="1" t="inlineStr">
        <is>
          <t>Jonathan Groff</t>
        </is>
      </c>
      <c r="B669" s="1" t="n">
        <v>1</v>
      </c>
      <c r="C669" s="1" t="n">
        <v>2013</v>
      </c>
      <c r="D669" s="1" t="n">
        <v>2013</v>
      </c>
      <c r="E669" s="4" t="inlineStr">
        <is>
          <t>Frozen</t>
        </is>
      </c>
      <c r="F669" s="1" t="inlineStr">
        <is>
          <t>F0116</t>
        </is>
      </c>
    </row>
    <row r="670" ht="15.75" customHeight="1" s="95">
      <c r="A670" s="1" t="inlineStr">
        <is>
          <t>Jordan Nagai</t>
        </is>
      </c>
      <c r="B670" s="1" t="n">
        <v>1</v>
      </c>
      <c r="C670" s="1" t="n">
        <v>2009</v>
      </c>
      <c r="D670" s="1" t="n">
        <v>2009</v>
      </c>
      <c r="E670" s="4" t="inlineStr">
        <is>
          <t>Up</t>
        </is>
      </c>
      <c r="F670" s="1" t="inlineStr">
        <is>
          <t>F0330</t>
        </is>
      </c>
    </row>
    <row r="671" ht="15.75" customHeight="1" s="95">
      <c r="A671" s="1" t="inlineStr">
        <is>
          <t>Jorge Lendeborg Jr.</t>
        </is>
      </c>
      <c r="B671" s="1" t="n">
        <v>1</v>
      </c>
      <c r="C671" s="1" t="n">
        <v>2018</v>
      </c>
      <c r="D671" s="1" t="n">
        <v>2018</v>
      </c>
      <c r="E671" s="4" t="inlineStr">
        <is>
          <t>Bumblebee</t>
        </is>
      </c>
      <c r="F671" s="1" t="inlineStr">
        <is>
          <t>F0061</t>
        </is>
      </c>
    </row>
    <row r="672" ht="15.75" customHeight="1" s="95">
      <c r="A672" s="1" t="inlineStr">
        <is>
          <t>Joseph Mazzello</t>
        </is>
      </c>
      <c r="B672" s="1" t="n">
        <v>1</v>
      </c>
      <c r="C672" s="1" t="n">
        <v>2018</v>
      </c>
      <c r="D672" s="1" t="n">
        <v>2018</v>
      </c>
      <c r="E672" s="4" t="inlineStr">
        <is>
          <t>Bohemian Rhapsody</t>
        </is>
      </c>
      <c r="F672" s="1" t="inlineStr">
        <is>
          <t>F0052</t>
        </is>
      </c>
    </row>
    <row r="673" ht="15.75" customHeight="1" s="95">
      <c r="A673" s="1" t="inlineStr">
        <is>
          <t>Josh Duhamel</t>
        </is>
      </c>
      <c r="B673" s="1" t="n">
        <v>1</v>
      </c>
      <c r="C673" s="1" t="n">
        <v>2017</v>
      </c>
      <c r="D673" s="1" t="n">
        <v>2017</v>
      </c>
      <c r="E673" s="4" t="inlineStr">
        <is>
          <t>Transformers: The Last Knight</t>
        </is>
      </c>
      <c r="F673" s="1" t="inlineStr">
        <is>
          <t>F0320</t>
        </is>
      </c>
    </row>
    <row r="674" ht="15.75" customHeight="1" s="95">
      <c r="A674" s="1" t="inlineStr">
        <is>
          <t>Josh Gad</t>
        </is>
      </c>
      <c r="B674" s="1" t="n">
        <v>1</v>
      </c>
      <c r="C674" s="1" t="n">
        <v>2013</v>
      </c>
      <c r="D674" s="1" t="n">
        <v>2013</v>
      </c>
      <c r="E674" s="4" t="inlineStr">
        <is>
          <t>Frozen</t>
        </is>
      </c>
      <c r="F674" s="1" t="inlineStr">
        <is>
          <t>F0116</t>
        </is>
      </c>
    </row>
    <row r="675" ht="15.75" customHeight="1" s="95">
      <c r="A675" s="1" t="inlineStr">
        <is>
          <t>Josh Meyers</t>
        </is>
      </c>
      <c r="B675" s="1" t="n">
        <v>1</v>
      </c>
      <c r="C675" s="1" t="n">
        <v>2009</v>
      </c>
      <c r="D675" s="1" t="n">
        <v>2009</v>
      </c>
      <c r="E675" s="4" t="inlineStr">
        <is>
          <t>Brüno</t>
        </is>
      </c>
      <c r="F675" s="1" t="inlineStr">
        <is>
          <t>F0059</t>
        </is>
      </c>
    </row>
    <row r="676" ht="15.75" customHeight="1" s="95">
      <c r="A676" s="1" t="inlineStr">
        <is>
          <t>Julia Louis-Dreyfus</t>
        </is>
      </c>
      <c r="B676" s="1" t="n">
        <v>1</v>
      </c>
      <c r="C676" s="1" t="n">
        <v>1998</v>
      </c>
      <c r="D676" s="1" t="n">
        <v>1998</v>
      </c>
      <c r="E676" s="4" t="inlineStr">
        <is>
          <t>A Bug's Life</t>
        </is>
      </c>
      <c r="F676" s="1" t="inlineStr">
        <is>
          <t>F0012</t>
        </is>
      </c>
    </row>
    <row r="677" ht="15.75" customHeight="1" s="95">
      <c r="A677" s="1" t="inlineStr">
        <is>
          <t>Julian Dennison</t>
        </is>
      </c>
      <c r="B677" s="1" t="n">
        <v>1</v>
      </c>
      <c r="C677" s="1" t="n">
        <v>2018</v>
      </c>
      <c r="D677" s="1" t="n">
        <v>2018</v>
      </c>
      <c r="E677" s="4" t="inlineStr">
        <is>
          <t>Deadpool 2</t>
        </is>
      </c>
      <c r="F677" s="1" t="inlineStr">
        <is>
          <t>F0077</t>
        </is>
      </c>
    </row>
    <row r="678" ht="15.75" customHeight="1" s="95">
      <c r="A678" s="1" t="inlineStr">
        <is>
          <t>Julianne Hough</t>
        </is>
      </c>
      <c r="B678" s="1" t="n">
        <v>1</v>
      </c>
      <c r="C678" s="1" t="n">
        <v>2016</v>
      </c>
      <c r="D678" s="1" t="n">
        <v>2016</v>
      </c>
      <c r="E678" s="4" t="inlineStr">
        <is>
          <t>Dirty Grandpa</t>
        </is>
      </c>
      <c r="F678" s="1" t="inlineStr">
        <is>
          <t>F0087</t>
        </is>
      </c>
    </row>
    <row r="679" ht="15.75" customHeight="1" s="95">
      <c r="A679" s="1" t="inlineStr">
        <is>
          <t>Julie Benz</t>
        </is>
      </c>
      <c r="B679" s="1" t="n">
        <v>1</v>
      </c>
      <c r="C679" s="1" t="n">
        <v>2008</v>
      </c>
      <c r="D679" s="1" t="n">
        <v>2008</v>
      </c>
      <c r="E679" s="4" t="inlineStr">
        <is>
          <t>Rambo</t>
        </is>
      </c>
      <c r="F679" s="1" t="inlineStr">
        <is>
          <t>F0261</t>
        </is>
      </c>
    </row>
    <row r="680" ht="15.75" customHeight="1" s="95">
      <c r="A680" s="1" t="inlineStr">
        <is>
          <t>Juliette Binoche</t>
        </is>
      </c>
      <c r="B680" s="1" t="n">
        <v>1</v>
      </c>
      <c r="C680" s="1" t="n">
        <v>2014</v>
      </c>
      <c r="D680" s="1" t="n">
        <v>2014</v>
      </c>
      <c r="E680" s="4" t="inlineStr">
        <is>
          <t>Godzilla</t>
        </is>
      </c>
      <c r="F680" s="1" t="inlineStr">
        <is>
          <t>F0121</t>
        </is>
      </c>
    </row>
    <row r="681" ht="15.75" customHeight="1" s="95">
      <c r="A681" s="1" t="inlineStr">
        <is>
          <t>Juliette Lewis</t>
        </is>
      </c>
      <c r="B681" s="1" t="n">
        <v>1</v>
      </c>
      <c r="C681" s="1" t="n">
        <v>2010</v>
      </c>
      <c r="D681" s="1" t="n">
        <v>2010</v>
      </c>
      <c r="E681" s="4" t="inlineStr">
        <is>
          <t>Due Date</t>
        </is>
      </c>
      <c r="F681" s="1" t="inlineStr">
        <is>
          <t>F0091</t>
        </is>
      </c>
    </row>
    <row r="682" ht="15.75" customHeight="1" s="95">
      <c r="A682" s="1" t="inlineStr">
        <is>
          <t>Justice Smith</t>
        </is>
      </c>
      <c r="B682" s="1" t="n">
        <v>1</v>
      </c>
      <c r="C682" s="1" t="n">
        <v>2018</v>
      </c>
      <c r="D682" s="1" t="n">
        <v>2018</v>
      </c>
      <c r="E682" s="4" t="inlineStr">
        <is>
          <t>Jurassic World: Fallen Kingdom</t>
        </is>
      </c>
      <c r="F682" s="1" t="inlineStr">
        <is>
          <t>F0180</t>
        </is>
      </c>
    </row>
    <row r="683" ht="15.75" customHeight="1" s="95">
      <c r="A683" s="1" t="inlineStr">
        <is>
          <t>Justin Chatwin</t>
        </is>
      </c>
      <c r="B683" s="1" t="n">
        <v>1</v>
      </c>
      <c r="C683" s="1" t="n">
        <v>2005</v>
      </c>
      <c r="D683" s="1" t="n">
        <v>2005</v>
      </c>
      <c r="E683" s="4" t="inlineStr">
        <is>
          <t>War of the Worlds</t>
        </is>
      </c>
      <c r="F683" s="1" t="inlineStr">
        <is>
          <t>F0332</t>
        </is>
      </c>
    </row>
    <row r="684" ht="15.75" customHeight="1" s="95">
      <c r="A684" s="1" t="inlineStr">
        <is>
          <t>Justin Long</t>
        </is>
      </c>
      <c r="B684" s="1" t="n">
        <v>1</v>
      </c>
      <c r="C684" s="1" t="n">
        <v>2007</v>
      </c>
      <c r="D684" s="1" t="n">
        <v>2007</v>
      </c>
      <c r="E684" s="4" t="inlineStr">
        <is>
          <t>Live Free or Die Hard</t>
        </is>
      </c>
      <c r="F684" s="1" t="inlineStr">
        <is>
          <t>F0086</t>
        </is>
      </c>
    </row>
    <row r="685" ht="15.75" customHeight="1" s="95">
      <c r="A685" s="1" t="inlineStr">
        <is>
          <t>Karin Konoval</t>
        </is>
      </c>
      <c r="B685" s="1" t="n">
        <v>1</v>
      </c>
      <c r="C685" s="1" t="n">
        <v>2017</v>
      </c>
      <c r="D685" s="1" t="n">
        <v>2017</v>
      </c>
      <c r="E685" s="4" t="inlineStr">
        <is>
          <t>War for the Planet of the Apes</t>
        </is>
      </c>
      <c r="F685" s="1" t="inlineStr">
        <is>
          <t>F0255</t>
        </is>
      </c>
    </row>
    <row r="686" ht="15.75" customHeight="1" s="95">
      <c r="A686" s="1" t="inlineStr">
        <is>
          <t>Karl Urban</t>
        </is>
      </c>
      <c r="B686" s="1" t="n">
        <v>1</v>
      </c>
      <c r="C686" s="1" t="n">
        <v>2004</v>
      </c>
      <c r="D686" s="1" t="n">
        <v>2004</v>
      </c>
      <c r="E686" s="4" t="inlineStr">
        <is>
          <t>The Bourne Supremacy</t>
        </is>
      </c>
      <c r="F686" s="1" t="inlineStr">
        <is>
          <t>F0054</t>
        </is>
      </c>
    </row>
    <row r="687" ht="15.75" customHeight="1" s="95">
      <c r="A687" s="1" t="inlineStr">
        <is>
          <t>Kate Ashfield</t>
        </is>
      </c>
      <c r="B687" s="1" t="n">
        <v>1</v>
      </c>
      <c r="C687" s="1" t="n">
        <v>2004</v>
      </c>
      <c r="D687" s="1" t="n">
        <v>2004</v>
      </c>
      <c r="E687" s="4" t="inlineStr">
        <is>
          <t>Shaun of the Dead</t>
        </is>
      </c>
      <c r="F687" s="1" t="inlineStr">
        <is>
          <t>F0070</t>
        </is>
      </c>
    </row>
    <row r="688" ht="15.75" customHeight="1" s="95">
      <c r="A688" s="1" t="inlineStr">
        <is>
          <t>Katee Sackhoff</t>
        </is>
      </c>
      <c r="B688" s="1" t="n">
        <v>1</v>
      </c>
      <c r="C688" s="1" t="n">
        <v>2013</v>
      </c>
      <c r="D688" s="1" t="n">
        <v>2013</v>
      </c>
      <c r="E688" s="4" t="inlineStr">
        <is>
          <t>Riddick</t>
        </is>
      </c>
      <c r="F688" s="1" t="inlineStr">
        <is>
          <t>F0264</t>
        </is>
      </c>
    </row>
    <row r="689" ht="15.75" customHeight="1" s="95">
      <c r="A689" s="1" t="inlineStr">
        <is>
          <t>Katherine Waterston</t>
        </is>
      </c>
      <c r="B689" s="1" t="n">
        <v>1</v>
      </c>
      <c r="C689" s="1" t="n">
        <v>2016</v>
      </c>
      <c r="D689" s="1" t="n">
        <v>2016</v>
      </c>
      <c r="E689" s="4" t="inlineStr">
        <is>
          <t>Fantastic Beasts and Where to Find Them</t>
        </is>
      </c>
      <c r="F689" s="1" t="inlineStr">
        <is>
          <t>F0100</t>
        </is>
      </c>
    </row>
    <row r="690" ht="15.75" customHeight="1" s="95">
      <c r="A690" s="1" t="inlineStr">
        <is>
          <t>Kathryn Hahn</t>
        </is>
      </c>
      <c r="B690" s="1" t="n">
        <v>1</v>
      </c>
      <c r="C690" s="1" t="n">
        <v>2016</v>
      </c>
      <c r="D690" s="1" t="n">
        <v>2016</v>
      </c>
      <c r="E690" s="4" t="inlineStr">
        <is>
          <t>Bad Moms</t>
        </is>
      </c>
      <c r="F690" s="1" t="inlineStr">
        <is>
          <t>F0038</t>
        </is>
      </c>
    </row>
    <row r="691" ht="15.75" customHeight="1" s="95">
      <c r="A691" s="1" t="inlineStr">
        <is>
          <t>Kathy Najimy</t>
        </is>
      </c>
      <c r="B691" s="1" t="n">
        <v>1</v>
      </c>
      <c r="C691" s="1" t="n">
        <v>2008</v>
      </c>
      <c r="D691" s="1" t="n">
        <v>2008</v>
      </c>
      <c r="E691" s="4" t="inlineStr">
        <is>
          <t>WALL·E</t>
        </is>
      </c>
      <c r="F691" s="1" t="inlineStr">
        <is>
          <t>F0331</t>
        </is>
      </c>
    </row>
    <row r="692" ht="15.75" customHeight="1" s="95">
      <c r="A692" s="1" t="inlineStr">
        <is>
          <t>Katie Holmes</t>
        </is>
      </c>
      <c r="B692" s="1" t="n">
        <v>1</v>
      </c>
      <c r="C692" s="1" t="n">
        <v>2005</v>
      </c>
      <c r="D692" s="1" t="n">
        <v>2005</v>
      </c>
      <c r="E692" s="4" t="inlineStr">
        <is>
          <t>Batman Begins</t>
        </is>
      </c>
      <c r="F692" s="1" t="inlineStr">
        <is>
          <t>F0043</t>
        </is>
      </c>
    </row>
    <row r="693" ht="15.75" customHeight="1" s="95">
      <c r="A693" s="1" t="inlineStr">
        <is>
          <t>Katy Perry</t>
        </is>
      </c>
      <c r="B693" s="1" t="n">
        <v>1</v>
      </c>
      <c r="C693" s="1" t="n">
        <v>2013</v>
      </c>
      <c r="D693" s="1" t="n">
        <v>2013</v>
      </c>
      <c r="E693" s="4" t="inlineStr">
        <is>
          <t>The Smurfs 2</t>
        </is>
      </c>
      <c r="F693" s="1" t="inlineStr">
        <is>
          <t>F0282</t>
        </is>
      </c>
    </row>
    <row r="694" ht="15.75" customHeight="1" s="95">
      <c r="A694" s="1" t="inlineStr">
        <is>
          <t>Kaya Scodelario</t>
        </is>
      </c>
      <c r="B694" s="1" t="n">
        <v>1</v>
      </c>
      <c r="C694" s="1" t="n">
        <v>2014</v>
      </c>
      <c r="D694" s="1" t="n">
        <v>2014</v>
      </c>
      <c r="E694" s="4" t="inlineStr">
        <is>
          <t>The Maze Runner</t>
        </is>
      </c>
      <c r="F694" s="1" t="inlineStr">
        <is>
          <t>F0217</t>
        </is>
      </c>
    </row>
    <row r="695" ht="15.75" customHeight="1" s="95">
      <c r="A695" s="1" t="inlineStr">
        <is>
          <t>Kaylee Hottle</t>
        </is>
      </c>
      <c r="B695" s="1" t="n">
        <v>1</v>
      </c>
      <c r="C695" s="1" t="n">
        <v>2021</v>
      </c>
      <c r="D695" s="1" t="n">
        <v>2021</v>
      </c>
      <c r="E695" s="4" t="inlineStr">
        <is>
          <t>Godzilla vs. Kong</t>
        </is>
      </c>
      <c r="F695" s="1" t="inlineStr">
        <is>
          <t>F0123</t>
        </is>
      </c>
    </row>
    <row r="696" ht="15.75" customHeight="1" s="95">
      <c r="A696" s="1" t="inlineStr">
        <is>
          <t>Keira Knightley</t>
        </is>
      </c>
      <c r="B696" s="1" t="n">
        <v>1</v>
      </c>
      <c r="C696" s="1" t="n">
        <v>2014</v>
      </c>
      <c r="D696" s="1" t="n">
        <v>2014</v>
      </c>
      <c r="E696" s="4" t="inlineStr">
        <is>
          <t>The Imitation Game</t>
        </is>
      </c>
      <c r="F696" s="1" t="inlineStr">
        <is>
          <t>F0162</t>
        </is>
      </c>
    </row>
    <row r="697" ht="15.75" customHeight="1" s="95">
      <c r="A697" s="1" t="inlineStr">
        <is>
          <t>Kellan Lutz</t>
        </is>
      </c>
      <c r="B697" s="1" t="n">
        <v>1</v>
      </c>
      <c r="C697" s="1" t="n">
        <v>2014</v>
      </c>
      <c r="D697" s="1" t="n">
        <v>2014</v>
      </c>
      <c r="E697" s="4" t="inlineStr">
        <is>
          <t>The Legend of Hercules</t>
        </is>
      </c>
      <c r="F697" s="1" t="inlineStr">
        <is>
          <t>F0148</t>
        </is>
      </c>
    </row>
    <row r="698" ht="15.75" customHeight="1" s="95">
      <c r="A698" s="1" t="inlineStr">
        <is>
          <t>Ken Stott</t>
        </is>
      </c>
      <c r="B698" s="1" t="n">
        <v>1</v>
      </c>
      <c r="C698" s="1" t="n">
        <v>2012</v>
      </c>
      <c r="D698" s="1" t="n">
        <v>2012</v>
      </c>
      <c r="E698" s="4" t="inlineStr">
        <is>
          <t>The Hobbit: An Unexpected Journey</t>
        </is>
      </c>
      <c r="F698" s="1" t="inlineStr">
        <is>
          <t>F0150</t>
        </is>
      </c>
    </row>
    <row r="699" ht="15.75" customHeight="1" s="95">
      <c r="A699" s="1" t="inlineStr">
        <is>
          <t>Kenneth Branagh</t>
        </is>
      </c>
      <c r="B699" s="1" t="n">
        <v>1</v>
      </c>
      <c r="C699" s="1" t="n">
        <v>2002</v>
      </c>
      <c r="D699" s="1" t="n">
        <v>2002</v>
      </c>
      <c r="E699" s="4" t="inlineStr">
        <is>
          <t>Harry Potter and the Chamber of Secrets</t>
        </is>
      </c>
      <c r="F699" s="1" t="inlineStr">
        <is>
          <t>F0138</t>
        </is>
      </c>
    </row>
    <row r="700" ht="15.75" customHeight="1" s="95">
      <c r="A700" s="1" t="inlineStr">
        <is>
          <t>Keri Russell</t>
        </is>
      </c>
      <c r="B700" s="1" t="n">
        <v>1</v>
      </c>
      <c r="C700" s="1" t="n">
        <v>2014</v>
      </c>
      <c r="D700" s="1" t="n">
        <v>2014</v>
      </c>
      <c r="E700" s="4" t="inlineStr">
        <is>
          <t>Dawn of the Planet of the Apes</t>
        </is>
      </c>
      <c r="F700" s="1" t="inlineStr">
        <is>
          <t>F0254</t>
        </is>
      </c>
    </row>
    <row r="701" ht="15.75" customHeight="1" s="95">
      <c r="A701" s="1" t="inlineStr">
        <is>
          <t>Kerry Condon</t>
        </is>
      </c>
      <c r="B701" s="1" t="n">
        <v>1</v>
      </c>
      <c r="C701" s="1" t="n">
        <v>2025</v>
      </c>
      <c r="D701" s="1" t="n">
        <v>2025</v>
      </c>
      <c r="E701" s="4" t="inlineStr">
        <is>
          <t>F1</t>
        </is>
      </c>
      <c r="F701" s="1" t="inlineStr">
        <is>
          <t>F0098</t>
        </is>
      </c>
    </row>
    <row r="702" ht="15.75" customHeight="1" s="95">
      <c r="A702" s="1" t="inlineStr">
        <is>
          <t>Kevin Bacon</t>
        </is>
      </c>
      <c r="B702" s="1" t="n">
        <v>1</v>
      </c>
      <c r="C702" s="1" t="n">
        <v>2011</v>
      </c>
      <c r="D702" s="1" t="n">
        <v>2011</v>
      </c>
      <c r="E702" s="4" t="inlineStr">
        <is>
          <t>X-Men: First Class</t>
        </is>
      </c>
      <c r="F702" s="1" t="inlineStr">
        <is>
          <t>F0340</t>
        </is>
      </c>
    </row>
    <row r="703" ht="15.75" customHeight="1" s="95">
      <c r="A703" s="1" t="inlineStr">
        <is>
          <t>Kevin Hart</t>
        </is>
      </c>
      <c r="B703" s="1" t="n">
        <v>1</v>
      </c>
      <c r="C703" s="1" t="n">
        <v>2016</v>
      </c>
      <c r="D703" s="1" t="n">
        <v>2016</v>
      </c>
      <c r="E703" s="4" t="inlineStr">
        <is>
          <t>The Secret Life of Pets</t>
        </is>
      </c>
      <c r="F703" s="1" t="inlineStr">
        <is>
          <t>F0274</t>
        </is>
      </c>
    </row>
    <row r="704" ht="15.75" customHeight="1" s="95">
      <c r="A704" s="1" t="inlineStr">
        <is>
          <t>Kevin McNally</t>
        </is>
      </c>
      <c r="B704" s="1" t="n">
        <v>1</v>
      </c>
      <c r="C704" s="1" t="n">
        <v>2011</v>
      </c>
      <c r="D704" s="1" t="n">
        <v>2011</v>
      </c>
      <c r="E704" s="4" t="inlineStr">
        <is>
          <t>Pirates of the Caribbean: On Stranger Tides</t>
        </is>
      </c>
      <c r="F704" s="1" t="inlineStr">
        <is>
          <t>F0249</t>
        </is>
      </c>
    </row>
    <row r="705" ht="15.75" customHeight="1" s="95">
      <c r="A705" s="1" t="inlineStr">
        <is>
          <t>Khalid Abdalla</t>
        </is>
      </c>
      <c r="B705" s="1" t="n">
        <v>1</v>
      </c>
      <c r="C705" s="1" t="n">
        <v>2010</v>
      </c>
      <c r="D705" s="1" t="n">
        <v>2010</v>
      </c>
      <c r="E705" s="4" t="inlineStr">
        <is>
          <t>Green Zone</t>
        </is>
      </c>
      <c r="F705" s="1" t="inlineStr">
        <is>
          <t>F0129</t>
        </is>
      </c>
    </row>
    <row r="706" ht="15.75" customHeight="1" s="95">
      <c r="A706" s="1" t="inlineStr">
        <is>
          <t>Khary Payton</t>
        </is>
      </c>
      <c r="B706" s="1" t="n">
        <v>1</v>
      </c>
      <c r="C706" s="1" t="n">
        <v>2015</v>
      </c>
      <c r="D706" s="1" t="n">
        <v>2015</v>
      </c>
      <c r="E706" s="4" t="inlineStr">
        <is>
          <t>Lego DC Comics Super Heroes: Justice League vs. Bizarro League</t>
        </is>
      </c>
      <c r="F706" s="1" t="inlineStr">
        <is>
          <t>F0197</t>
        </is>
      </c>
    </row>
    <row r="707" ht="15.75" customHeight="1" s="95">
      <c r="A707" s="1" t="inlineStr">
        <is>
          <t>Ki Hong Lee</t>
        </is>
      </c>
      <c r="B707" s="1" t="n">
        <v>1</v>
      </c>
      <c r="C707" s="1" t="n">
        <v>2014</v>
      </c>
      <c r="D707" s="1" t="n">
        <v>2014</v>
      </c>
      <c r="E707" s="4" t="inlineStr">
        <is>
          <t>The Maze Runner</t>
        </is>
      </c>
      <c r="F707" s="1" t="inlineStr">
        <is>
          <t>F0217</t>
        </is>
      </c>
    </row>
    <row r="708" ht="15.75" customHeight="1" s="95">
      <c r="A708" s="1" t="inlineStr">
        <is>
          <t>Kid Cudi</t>
        </is>
      </c>
      <c r="B708" s="1" t="n">
        <v>1</v>
      </c>
      <c r="C708" s="1" t="n">
        <v>2014</v>
      </c>
      <c r="D708" s="1" t="n">
        <v>2014</v>
      </c>
      <c r="E708" s="4" t="inlineStr">
        <is>
          <t>Need for Speed</t>
        </is>
      </c>
      <c r="F708" s="1" t="inlineStr">
        <is>
          <t>F0234</t>
        </is>
      </c>
    </row>
    <row r="709" ht="15.75" customHeight="1" s="95">
      <c r="A709" s="1" t="inlineStr">
        <is>
          <t>Kristen Stewart</t>
        </is>
      </c>
      <c r="B709" s="1" t="n">
        <v>1</v>
      </c>
      <c r="C709" s="1" t="n">
        <v>2012</v>
      </c>
      <c r="D709" s="1" t="n">
        <v>2012</v>
      </c>
      <c r="E709" s="4" t="inlineStr">
        <is>
          <t>Snow White and the Huntsman</t>
        </is>
      </c>
      <c r="F709" s="1" t="inlineStr">
        <is>
          <t>F0284</t>
        </is>
      </c>
    </row>
    <row r="710" ht="15.75" customHeight="1" s="95">
      <c r="A710" s="1" t="inlineStr">
        <is>
          <t>Kurtwood Smith</t>
        </is>
      </c>
      <c r="B710" s="1" t="n">
        <v>1</v>
      </c>
      <c r="C710" s="1" t="n"/>
      <c r="D710" s="1" t="n"/>
      <c r="E710" s="4" t="inlineStr">
        <is>
          <t>RoboCop</t>
        </is>
      </c>
      <c r="F710" s="1" t="inlineStr">
        <is>
          <t>F0268</t>
        </is>
      </c>
    </row>
    <row r="711" ht="15.75" customHeight="1" s="95">
      <c r="A711" s="1" t="inlineStr">
        <is>
          <t>Lance Henriksen</t>
        </is>
      </c>
      <c r="B711" s="1" t="n">
        <v>1</v>
      </c>
      <c r="C711" s="1" t="n">
        <v>1986</v>
      </c>
      <c r="D711" s="1" t="n">
        <v>1986</v>
      </c>
      <c r="E711" s="4" t="inlineStr">
        <is>
          <t>Aliens</t>
        </is>
      </c>
      <c r="F711" s="1" t="inlineStr">
        <is>
          <t>F0016</t>
        </is>
      </c>
    </row>
    <row r="712" ht="15.75" customHeight="1" s="95">
      <c r="A712" s="1" t="inlineStr">
        <is>
          <t>Lashana Lynch</t>
        </is>
      </c>
      <c r="B712" s="1" t="n">
        <v>1</v>
      </c>
      <c r="C712" s="1" t="n">
        <v>2021</v>
      </c>
      <c r="D712" s="1" t="n">
        <v>2021</v>
      </c>
      <c r="E712" s="4" t="inlineStr">
        <is>
          <t>No Time to Die</t>
        </is>
      </c>
      <c r="F712" s="1" t="inlineStr">
        <is>
          <t>F0005</t>
        </is>
      </c>
    </row>
    <row r="713" ht="15.75" customHeight="1" s="95">
      <c r="A713" s="1" t="inlineStr">
        <is>
          <t>Laura Haddock</t>
        </is>
      </c>
      <c r="B713" s="1" t="n">
        <v>1</v>
      </c>
      <c r="C713" s="1" t="n">
        <v>2017</v>
      </c>
      <c r="D713" s="1" t="n">
        <v>2017</v>
      </c>
      <c r="E713" s="4" t="inlineStr">
        <is>
          <t>Transformers: The Last Knight</t>
        </is>
      </c>
      <c r="F713" s="1" t="inlineStr">
        <is>
          <t>F0320</t>
        </is>
      </c>
    </row>
    <row r="714" ht="15.75" customHeight="1" s="95">
      <c r="A714" s="1" t="inlineStr">
        <is>
          <t>Lesley Manville</t>
        </is>
      </c>
      <c r="B714" s="1" t="n">
        <v>1</v>
      </c>
      <c r="C714" s="1" t="n">
        <v>2014</v>
      </c>
      <c r="D714" s="1" t="n">
        <v>2014</v>
      </c>
      <c r="E714" s="4" t="inlineStr">
        <is>
          <t>Maleficent</t>
        </is>
      </c>
      <c r="F714" s="1" t="inlineStr">
        <is>
          <t>F0208</t>
        </is>
      </c>
    </row>
    <row r="715" ht="15.75" customHeight="1" s="95">
      <c r="A715" s="1" t="inlineStr">
        <is>
          <t>Leslie Bibb</t>
        </is>
      </c>
      <c r="B715" s="1" t="n">
        <v>1</v>
      </c>
      <c r="C715" s="1" t="n">
        <v>2009</v>
      </c>
      <c r="D715" s="1" t="n">
        <v>2009</v>
      </c>
      <c r="E715" s="4" t="inlineStr">
        <is>
          <t>Law Abiding Citizen</t>
        </is>
      </c>
      <c r="F715" s="1" t="inlineStr">
        <is>
          <t>F0191</t>
        </is>
      </c>
    </row>
    <row r="716" ht="15.75" customHeight="1" s="95">
      <c r="A716" s="1" t="inlineStr">
        <is>
          <t>Lewis Black</t>
        </is>
      </c>
      <c r="B716" s="1" t="n">
        <v>1</v>
      </c>
      <c r="C716" s="1" t="n">
        <v>2015</v>
      </c>
      <c r="D716" s="1" t="n">
        <v>2015</v>
      </c>
      <c r="E716" s="4" t="inlineStr">
        <is>
          <t>Inside Out</t>
        </is>
      </c>
      <c r="F716" s="1" t="inlineStr">
        <is>
          <t>F0167</t>
        </is>
      </c>
    </row>
    <row r="717" ht="15.75" customHeight="1" s="95">
      <c r="A717" s="1" t="inlineStr">
        <is>
          <t>Liam McIntyre</t>
        </is>
      </c>
      <c r="B717" s="1" t="n">
        <v>1</v>
      </c>
      <c r="C717" s="1" t="n">
        <v>2014</v>
      </c>
      <c r="D717" s="1" t="n">
        <v>2014</v>
      </c>
      <c r="E717" s="4" t="inlineStr">
        <is>
          <t>The Legend of Hercules</t>
        </is>
      </c>
      <c r="F717" s="1" t="inlineStr">
        <is>
          <t>F0148</t>
        </is>
      </c>
    </row>
    <row r="718" ht="15.75" customHeight="1" s="95">
      <c r="A718" s="1" t="inlineStr">
        <is>
          <t>Lily James</t>
        </is>
      </c>
      <c r="B718" s="1" t="n">
        <v>1</v>
      </c>
      <c r="C718" s="1" t="n">
        <v>2017</v>
      </c>
      <c r="D718" s="1" t="n">
        <v>2017</v>
      </c>
      <c r="E718" s="4" t="inlineStr">
        <is>
          <t>Baby Driver</t>
        </is>
      </c>
      <c r="F718" s="1" t="inlineStr">
        <is>
          <t>F0032</t>
        </is>
      </c>
    </row>
    <row r="719" ht="15.75" customHeight="1" s="95">
      <c r="A719" s="1" t="inlineStr">
        <is>
          <t>Linda Fiorentino</t>
        </is>
      </c>
      <c r="B719" s="1" t="n">
        <v>1</v>
      </c>
      <c r="C719" s="1" t="n">
        <v>1997</v>
      </c>
      <c r="D719" s="1" t="n">
        <v>1997</v>
      </c>
      <c r="E719" s="4" t="inlineStr">
        <is>
          <t>Men in Black</t>
        </is>
      </c>
      <c r="F719" s="1" t="inlineStr">
        <is>
          <t>F0218</t>
        </is>
      </c>
    </row>
    <row r="720" ht="15.75" customHeight="1" s="95">
      <c r="A720" s="1" t="inlineStr">
        <is>
          <t>Livvy Stubenrauch</t>
        </is>
      </c>
      <c r="B720" s="1" t="n">
        <v>1</v>
      </c>
      <c r="C720" s="1" t="n">
        <v>2013</v>
      </c>
      <c r="D720" s="1" t="n">
        <v>2013</v>
      </c>
      <c r="E720" s="4" t="inlineStr">
        <is>
          <t>Frozen</t>
        </is>
      </c>
      <c r="F720" s="1" t="inlineStr">
        <is>
          <t>F0116</t>
        </is>
      </c>
    </row>
    <row r="721" ht="15.75" customHeight="1" s="95">
      <c r="A721" s="1" t="inlineStr">
        <is>
          <t>Loan Chabanol</t>
        </is>
      </c>
      <c r="B721" s="1" t="n">
        <v>1</v>
      </c>
      <c r="C721" s="1" t="n">
        <v>2015</v>
      </c>
      <c r="D721" s="1" t="n">
        <v>2015</v>
      </c>
      <c r="E721" s="4" t="inlineStr">
        <is>
          <t>The Transporter Refueled</t>
        </is>
      </c>
      <c r="F721" s="1" t="inlineStr">
        <is>
          <t>F0323</t>
        </is>
      </c>
    </row>
    <row r="722" ht="15.75" customHeight="1" s="95">
      <c r="A722" s="1" t="inlineStr">
        <is>
          <t>Logan Lerman</t>
        </is>
      </c>
      <c r="B722" s="1" t="n">
        <v>1</v>
      </c>
      <c r="C722" s="1" t="n">
        <v>2014</v>
      </c>
      <c r="D722" s="1" t="n">
        <v>2014</v>
      </c>
      <c r="E722" s="4" t="inlineStr">
        <is>
          <t>Fury</t>
        </is>
      </c>
      <c r="F722" s="1" t="inlineStr">
        <is>
          <t>F0117</t>
        </is>
      </c>
    </row>
    <row r="723" ht="15.75" customHeight="1" s="95">
      <c r="A723" s="1" t="inlineStr">
        <is>
          <t>Loren Dean</t>
        </is>
      </c>
      <c r="B723" s="1" t="n">
        <v>1</v>
      </c>
      <c r="C723" s="1" t="n">
        <v>1998</v>
      </c>
      <c r="D723" s="1" t="n">
        <v>1998</v>
      </c>
      <c r="E723" s="4" t="inlineStr">
        <is>
          <t>Enemy of the State</t>
        </is>
      </c>
      <c r="F723" s="1" t="inlineStr">
        <is>
          <t>F0094</t>
        </is>
      </c>
    </row>
    <row r="724" ht="15.75" customHeight="1" s="95">
      <c r="A724" s="1" t="inlineStr">
        <is>
          <t>Louis C.K.</t>
        </is>
      </c>
      <c r="B724" s="1" t="n">
        <v>1</v>
      </c>
      <c r="C724" s="1" t="n">
        <v>2016</v>
      </c>
      <c r="D724" s="1" t="n">
        <v>2016</v>
      </c>
      <c r="E724" s="4" t="inlineStr">
        <is>
          <t>The Secret Life of Pets</t>
        </is>
      </c>
      <c r="F724" s="1" t="inlineStr">
        <is>
          <t>F0274</t>
        </is>
      </c>
    </row>
    <row r="725" ht="15.75" customHeight="1" s="95">
      <c r="A725" s="1" t="inlineStr">
        <is>
          <t>Lucas Black</t>
        </is>
      </c>
      <c r="B725" s="1" t="n">
        <v>1</v>
      </c>
      <c r="C725" s="1" t="n">
        <v>2006</v>
      </c>
      <c r="D725" s="1" t="n">
        <v>2006</v>
      </c>
      <c r="E725" s="4" t="inlineStr">
        <is>
          <t>The Fast and the Furious: Tokyo Drift</t>
        </is>
      </c>
      <c r="F725" s="1" t="inlineStr">
        <is>
          <t>F0103</t>
        </is>
      </c>
    </row>
    <row r="726" ht="15.75" customHeight="1" s="95">
      <c r="A726" s="1" t="inlineStr">
        <is>
          <t>Lucy Boynton</t>
        </is>
      </c>
      <c r="B726" s="1" t="n">
        <v>1</v>
      </c>
      <c r="C726" s="1" t="n">
        <v>2018</v>
      </c>
      <c r="D726" s="1" t="n">
        <v>2018</v>
      </c>
      <c r="E726" s="4" t="inlineStr">
        <is>
          <t>Bohemian Rhapsody</t>
        </is>
      </c>
      <c r="F726" s="1" t="inlineStr">
        <is>
          <t>F0052</t>
        </is>
      </c>
    </row>
    <row r="727" ht="15.75" customHeight="1" s="95">
      <c r="A727" s="1" t="inlineStr">
        <is>
          <t>Lucy Davis</t>
        </is>
      </c>
      <c r="B727" s="1" t="n">
        <v>1</v>
      </c>
      <c r="C727" s="1" t="n">
        <v>2004</v>
      </c>
      <c r="D727" s="1" t="n">
        <v>2004</v>
      </c>
      <c r="E727" s="4" t="inlineStr">
        <is>
          <t>Shaun of the Dead</t>
        </is>
      </c>
      <c r="F727" s="1" t="inlineStr">
        <is>
          <t>F0070</t>
        </is>
      </c>
    </row>
    <row r="728" ht="15.75" customHeight="1" s="95">
      <c r="A728" s="1" t="inlineStr">
        <is>
          <t>Lucy Punch</t>
        </is>
      </c>
      <c r="B728" s="1" t="n">
        <v>1</v>
      </c>
      <c r="C728" s="1" t="n">
        <v>2011</v>
      </c>
      <c r="D728" s="1" t="n">
        <v>2011</v>
      </c>
      <c r="E728" s="4" t="inlineStr">
        <is>
          <t>Bad Teacher</t>
        </is>
      </c>
      <c r="F728" s="1" t="inlineStr">
        <is>
          <t>F0039</t>
        </is>
      </c>
    </row>
    <row r="729" ht="15.75" customHeight="1" s="95">
      <c r="A729" s="1" t="inlineStr">
        <is>
          <t>Luke Bracey</t>
        </is>
      </c>
      <c r="B729" s="1" t="n">
        <v>1</v>
      </c>
      <c r="C729" s="1" t="n">
        <v>2016</v>
      </c>
      <c r="D729" s="1" t="n">
        <v>2016</v>
      </c>
      <c r="E729" s="4" t="inlineStr">
        <is>
          <t>Hacksaw Ridge</t>
        </is>
      </c>
      <c r="F729" s="1" t="inlineStr">
        <is>
          <t>F0133</t>
        </is>
      </c>
    </row>
    <row r="730" ht="15.75" customHeight="1" s="95">
      <c r="A730" s="1" t="inlineStr">
        <is>
          <t>Luke Treadaway</t>
        </is>
      </c>
      <c r="B730" s="1" t="n">
        <v>1</v>
      </c>
      <c r="C730" s="1" t="n">
        <v>2011</v>
      </c>
      <c r="D730" s="1" t="n">
        <v>2011</v>
      </c>
      <c r="E730" s="4" t="inlineStr">
        <is>
          <t>Attack the Block</t>
        </is>
      </c>
      <c r="F730" s="1" t="inlineStr">
        <is>
          <t>F0027</t>
        </is>
      </c>
    </row>
    <row r="731" ht="15.75" customHeight="1" s="95">
      <c r="A731" s="1" t="inlineStr">
        <is>
          <t>Lyne Renee</t>
        </is>
      </c>
      <c r="B731" s="1" t="n">
        <v>1</v>
      </c>
      <c r="C731" s="1" t="n">
        <v>2020</v>
      </c>
      <c r="D731" s="1" t="n">
        <v>2020</v>
      </c>
      <c r="E731" s="4" t="inlineStr">
        <is>
          <t>The Gentlemen</t>
        </is>
      </c>
      <c r="F731" s="1" t="inlineStr">
        <is>
          <t>F0119</t>
        </is>
      </c>
    </row>
    <row r="732" ht="15.75" customHeight="1" s="95">
      <c r="A732" s="1" t="inlineStr">
        <is>
          <t>Lynn Collins</t>
        </is>
      </c>
      <c r="B732" s="1" t="n">
        <v>1</v>
      </c>
      <c r="C732" s="1" t="n">
        <v>2009</v>
      </c>
      <c r="D732" s="1" t="n">
        <v>2009</v>
      </c>
      <c r="E732" s="4" t="inlineStr">
        <is>
          <t>X-Men Origins: Wolverine</t>
        </is>
      </c>
      <c r="F732" s="1" t="inlineStr">
        <is>
          <t>F0343</t>
        </is>
      </c>
    </row>
    <row r="733" ht="15.75" customHeight="1" s="95">
      <c r="A733" s="1" t="inlineStr">
        <is>
          <t>Madeleine Harris</t>
        </is>
      </c>
      <c r="B733" s="1" t="n">
        <v>1</v>
      </c>
      <c r="C733" s="1" t="n">
        <v>2014</v>
      </c>
      <c r="D733" s="1" t="n">
        <v>2014</v>
      </c>
      <c r="E733" s="4" t="inlineStr">
        <is>
          <t>Paddington</t>
        </is>
      </c>
      <c r="F733" s="1" t="inlineStr">
        <is>
          <t>F0244</t>
        </is>
      </c>
    </row>
    <row r="734" ht="15.75" customHeight="1" s="95">
      <c r="A734" s="1" t="inlineStr">
        <is>
          <t>Madhur Mittal</t>
        </is>
      </c>
      <c r="B734" s="1" t="n">
        <v>1</v>
      </c>
      <c r="C734" s="1" t="n">
        <v>2008</v>
      </c>
      <c r="D734" s="1" t="n">
        <v>2008</v>
      </c>
      <c r="E734" s="4" t="inlineStr">
        <is>
          <t>Slumdog Millionaire</t>
        </is>
      </c>
      <c r="F734" s="1" t="inlineStr">
        <is>
          <t>F0281</t>
        </is>
      </c>
    </row>
    <row r="735" ht="15.75" customHeight="1" s="95">
      <c r="A735" s="1" t="inlineStr">
        <is>
          <t>Maggie Q</t>
        </is>
      </c>
      <c r="B735" s="1" t="n">
        <v>1</v>
      </c>
      <c r="C735" s="1" t="n">
        <v>2007</v>
      </c>
      <c r="D735" s="1" t="n">
        <v>2007</v>
      </c>
      <c r="E735" s="4" t="inlineStr">
        <is>
          <t>Live Free or Die Hard</t>
        </is>
      </c>
      <c r="F735" s="1" t="inlineStr">
        <is>
          <t>F0086</t>
        </is>
      </c>
    </row>
    <row r="736" ht="15.75" customHeight="1" s="95">
      <c r="A736" s="1" t="inlineStr">
        <is>
          <t>Mahat M. Ali</t>
        </is>
      </c>
      <c r="B736" s="1" t="n">
        <v>1</v>
      </c>
      <c r="C736" s="1" t="n">
        <v>2013</v>
      </c>
      <c r="D736" s="1" t="n">
        <v>2013</v>
      </c>
      <c r="E736" s="4" t="inlineStr">
        <is>
          <t>Captain Phillips</t>
        </is>
      </c>
      <c r="F736" s="1" t="inlineStr">
        <is>
          <t>F0062</t>
        </is>
      </c>
    </row>
    <row r="737" ht="15.75" customHeight="1" s="95">
      <c r="A737" s="1" t="inlineStr">
        <is>
          <t>Mahershala Ali</t>
        </is>
      </c>
      <c r="B737" s="1" t="n">
        <v>1</v>
      </c>
      <c r="C737" s="1" t="n">
        <v>2025</v>
      </c>
      <c r="D737" s="1" t="n">
        <v>2025</v>
      </c>
      <c r="E737" s="4" t="inlineStr">
        <is>
          <t>Jurassic World Rebirth</t>
        </is>
      </c>
      <c r="F737" s="1" t="inlineStr">
        <is>
          <t>F0182</t>
        </is>
      </c>
    </row>
    <row r="738" ht="15.75" customHeight="1" s="95">
      <c r="A738" s="1" t="inlineStr">
        <is>
          <t>Mahesh Manjrekar</t>
        </is>
      </c>
      <c r="B738" s="1" t="n">
        <v>1</v>
      </c>
      <c r="C738" s="1" t="n">
        <v>2008</v>
      </c>
      <c r="D738" s="1" t="n">
        <v>2008</v>
      </c>
      <c r="E738" s="4" t="inlineStr">
        <is>
          <t>Slumdog Millionaire</t>
        </is>
      </c>
      <c r="F738" s="1" t="inlineStr">
        <is>
          <t>F0281</t>
        </is>
      </c>
    </row>
    <row r="739" ht="15.75" customHeight="1" s="95">
      <c r="A739" s="1" t="inlineStr">
        <is>
          <t>Malin Åkerman</t>
        </is>
      </c>
      <c r="B739" s="1" t="n">
        <v>1</v>
      </c>
      <c r="C739" s="1" t="n">
        <v>2011</v>
      </c>
      <c r="D739" s="1" t="n">
        <v>2011</v>
      </c>
      <c r="E739" s="4" t="inlineStr">
        <is>
          <t>Catch.44</t>
        </is>
      </c>
      <c r="F739" s="1" t="inlineStr">
        <is>
          <t>F0063</t>
        </is>
      </c>
    </row>
    <row r="740" ht="15.75" customHeight="1" s="95">
      <c r="A740" s="1" t="inlineStr">
        <is>
          <t>Manuel Garcia-Rulfo</t>
        </is>
      </c>
      <c r="B740" s="1" t="n">
        <v>1</v>
      </c>
      <c r="C740" s="1" t="n">
        <v>2025</v>
      </c>
      <c r="D740" s="1" t="n">
        <v>2025</v>
      </c>
      <c r="E740" s="4" t="inlineStr">
        <is>
          <t>Jurassic World Rebirth</t>
        </is>
      </c>
      <c r="F740" s="1" t="inlineStr">
        <is>
          <t>F0182</t>
        </is>
      </c>
    </row>
    <row r="741" ht="15.75" customHeight="1" s="95">
      <c r="A741" s="1" t="inlineStr">
        <is>
          <t>Maria Bello</t>
        </is>
      </c>
      <c r="B741" s="1" t="n">
        <v>1</v>
      </c>
      <c r="C741" s="1" t="n">
        <v>2013</v>
      </c>
      <c r="D741" s="1" t="n">
        <v>2013</v>
      </c>
      <c r="E741" s="4" t="inlineStr">
        <is>
          <t>Prisoners</t>
        </is>
      </c>
      <c r="F741" s="1" t="inlineStr">
        <is>
          <t>F0258</t>
        </is>
      </c>
    </row>
    <row r="742" ht="15.75" customHeight="1" s="95">
      <c r="A742" s="1" t="inlineStr">
        <is>
          <t>Mark Ryan</t>
        </is>
      </c>
      <c r="B742" s="1" t="n">
        <v>1</v>
      </c>
      <c r="C742" s="1" t="n">
        <v>2007</v>
      </c>
      <c r="D742" s="1" t="n">
        <v>2007</v>
      </c>
      <c r="E742" s="4" t="inlineStr">
        <is>
          <t>Transformers</t>
        </is>
      </c>
      <c r="F742" s="1" t="inlineStr">
        <is>
          <t>F0316</t>
        </is>
      </c>
    </row>
    <row r="743" ht="15.75" customHeight="1" s="95">
      <c r="A743" s="1" t="inlineStr">
        <is>
          <t>Mark Rylance</t>
        </is>
      </c>
      <c r="B743" s="1" t="n">
        <v>1</v>
      </c>
      <c r="C743" s="1" t="n">
        <v>2016</v>
      </c>
      <c r="D743" s="1" t="n">
        <v>2016</v>
      </c>
      <c r="E743" s="4" t="inlineStr">
        <is>
          <t>The BFG</t>
        </is>
      </c>
      <c r="F743" s="1" t="inlineStr">
        <is>
          <t>F0047</t>
        </is>
      </c>
    </row>
    <row r="744" ht="15.75" customHeight="1" s="95">
      <c r="A744" s="1" t="inlineStr">
        <is>
          <t>Marlon Wayans</t>
        </is>
      </c>
      <c r="B744" s="1" t="n">
        <v>1</v>
      </c>
      <c r="C744" s="1" t="n">
        <v>2013</v>
      </c>
      <c r="D744" s="1" t="n">
        <v>2013</v>
      </c>
      <c r="E744" s="4" t="inlineStr">
        <is>
          <t>The Heat</t>
        </is>
      </c>
      <c r="F744" s="1" t="inlineStr">
        <is>
          <t>F0146</t>
        </is>
      </c>
    </row>
    <row r="745" ht="15.75" customHeight="1" s="95">
      <c r="A745" s="1" t="inlineStr">
        <is>
          <t>Mary Gibbs</t>
        </is>
      </c>
      <c r="B745" s="1" t="n">
        <v>1</v>
      </c>
      <c r="C745" s="1" t="n">
        <v>2001</v>
      </c>
      <c r="D745" s="1" t="n">
        <v>2001</v>
      </c>
      <c r="E745" s="4" t="inlineStr">
        <is>
          <t>Monsters, Inc.</t>
        </is>
      </c>
      <c r="F745" s="1" t="inlineStr">
        <is>
          <t>F0229</t>
        </is>
      </c>
    </row>
    <row r="746" ht="15.75" customHeight="1" s="95">
      <c r="A746" s="1" t="inlineStr">
        <is>
          <t>Mary-Louise Parker</t>
        </is>
      </c>
      <c r="B746" s="1" t="n">
        <v>1</v>
      </c>
      <c r="C746" s="1" t="n">
        <v>2010</v>
      </c>
      <c r="D746" s="1" t="n">
        <v>2010</v>
      </c>
      <c r="E746" s="4" t="inlineStr">
        <is>
          <t>RED</t>
        </is>
      </c>
      <c r="F746" s="1" t="inlineStr">
        <is>
          <t>F0262</t>
        </is>
      </c>
    </row>
    <row r="747" ht="15.75" customHeight="1" s="95">
      <c r="A747" s="1" t="inlineStr">
        <is>
          <t>Mathieu Amalric</t>
        </is>
      </c>
      <c r="B747" s="1" t="n">
        <v>1</v>
      </c>
      <c r="C747" s="1" t="n">
        <v>2008</v>
      </c>
      <c r="D747" s="1" t="n">
        <v>2008</v>
      </c>
      <c r="E747" s="4" t="inlineStr">
        <is>
          <t>Quantum of Solace</t>
        </is>
      </c>
      <c r="F747" s="1" t="inlineStr">
        <is>
          <t>F0002</t>
        </is>
      </c>
    </row>
    <row r="748" ht="15.75" customHeight="1" s="95">
      <c r="A748" s="1" t="inlineStr">
        <is>
          <t>Matt Bomer</t>
        </is>
      </c>
      <c r="B748" s="1" t="n">
        <v>1</v>
      </c>
      <c r="C748" s="1" t="n">
        <v>2016</v>
      </c>
      <c r="D748" s="1" t="n">
        <v>2016</v>
      </c>
      <c r="E748" s="4" t="inlineStr">
        <is>
          <t>The Nice Guys</t>
        </is>
      </c>
      <c r="F748" s="1" t="inlineStr">
        <is>
          <t>F0235</t>
        </is>
      </c>
    </row>
    <row r="749" ht="15.75" customHeight="1" s="95">
      <c r="A749" s="1" t="inlineStr">
        <is>
          <t>Matt Jones</t>
        </is>
      </c>
      <c r="B749" s="1" t="n">
        <v>1</v>
      </c>
      <c r="C749" s="1" t="n">
        <v>2015</v>
      </c>
      <c r="D749" s="1" t="n">
        <v>2015</v>
      </c>
      <c r="E749" s="4" t="inlineStr">
        <is>
          <t>Home</t>
        </is>
      </c>
      <c r="F749" s="1" t="inlineStr">
        <is>
          <t>F0153</t>
        </is>
      </c>
    </row>
    <row r="750" ht="15.75" customHeight="1" s="95">
      <c r="A750" s="1" t="inlineStr">
        <is>
          <t>Matt Nable</t>
        </is>
      </c>
      <c r="B750" s="1" t="n">
        <v>1</v>
      </c>
      <c r="C750" s="1" t="n">
        <v>2013</v>
      </c>
      <c r="D750" s="1" t="n">
        <v>2013</v>
      </c>
      <c r="E750" s="4" t="inlineStr">
        <is>
          <t>Riddick</t>
        </is>
      </c>
      <c r="F750" s="1" t="inlineStr">
        <is>
          <t>F0264</t>
        </is>
      </c>
    </row>
    <row r="751" ht="15.75" customHeight="1" s="95">
      <c r="A751" s="1" t="inlineStr">
        <is>
          <t>Matthew Broderick</t>
        </is>
      </c>
      <c r="B751" s="1" t="n">
        <v>1</v>
      </c>
      <c r="C751" s="1" t="n">
        <v>1994</v>
      </c>
      <c r="D751" s="1" t="n">
        <v>1994</v>
      </c>
      <c r="E751" s="4" t="inlineStr">
        <is>
          <t>The Lion King</t>
        </is>
      </c>
      <c r="F751" s="1" t="inlineStr">
        <is>
          <t>F0200</t>
        </is>
      </c>
    </row>
    <row r="752" ht="15.75" customHeight="1" s="95">
      <c r="A752" s="1" t="inlineStr">
        <is>
          <t>Matthew Goode</t>
        </is>
      </c>
      <c r="B752" s="1" t="n">
        <v>1</v>
      </c>
      <c r="C752" s="1" t="n">
        <v>2014</v>
      </c>
      <c r="D752" s="1" t="n">
        <v>2014</v>
      </c>
      <c r="E752" s="4" t="inlineStr">
        <is>
          <t>The Imitation Game</t>
        </is>
      </c>
      <c r="F752" s="1" t="inlineStr">
        <is>
          <t>F0162</t>
        </is>
      </c>
    </row>
    <row r="753" ht="15.75" customHeight="1" s="95">
      <c r="A753" s="1" t="inlineStr">
        <is>
          <t>Matthew Macfadyen</t>
        </is>
      </c>
      <c r="B753" s="1" t="n">
        <v>1</v>
      </c>
      <c r="C753" s="1" t="n">
        <v>2024</v>
      </c>
      <c r="D753" s="1" t="n">
        <v>2024</v>
      </c>
      <c r="E753" s="4" t="inlineStr">
        <is>
          <t>Deadpool &amp; Wolverine</t>
        </is>
      </c>
      <c r="F753" s="1" t="inlineStr">
        <is>
          <t>F0078</t>
        </is>
      </c>
    </row>
    <row r="754" ht="15.75" customHeight="1" s="95">
      <c r="A754" s="1" t="inlineStr">
        <is>
          <t>Matthew Marsden</t>
        </is>
      </c>
      <c r="B754" s="1" t="n">
        <v>1</v>
      </c>
      <c r="C754" s="1" t="n">
        <v>2008</v>
      </c>
      <c r="D754" s="1" t="n">
        <v>2008</v>
      </c>
      <c r="E754" s="4" t="inlineStr">
        <is>
          <t>Rambo</t>
        </is>
      </c>
      <c r="F754" s="1" t="inlineStr">
        <is>
          <t>F0261</t>
        </is>
      </c>
    </row>
    <row r="755" ht="15.75" customHeight="1" s="95">
      <c r="A755" s="1" t="inlineStr">
        <is>
          <t>Max Martini</t>
        </is>
      </c>
      <c r="B755" s="1" t="n">
        <v>1</v>
      </c>
      <c r="C755" s="1" t="n">
        <v>2013</v>
      </c>
      <c r="D755" s="1" t="n">
        <v>2013</v>
      </c>
      <c r="E755" s="4" t="inlineStr">
        <is>
          <t>Pacific Rim</t>
        </is>
      </c>
      <c r="F755" s="1" t="inlineStr">
        <is>
          <t>F0243</t>
        </is>
      </c>
    </row>
    <row r="756" ht="15.75" customHeight="1" s="95">
      <c r="A756" s="1" t="inlineStr">
        <is>
          <t>Maya Rudolph</t>
        </is>
      </c>
      <c r="B756" s="1" t="n">
        <v>1</v>
      </c>
      <c r="C756" s="1" t="n">
        <v>2011</v>
      </c>
      <c r="D756" s="1" t="n">
        <v>2011</v>
      </c>
      <c r="E756" s="4" t="inlineStr">
        <is>
          <t>Bridesmaids</t>
        </is>
      </c>
      <c r="F756" s="1" t="inlineStr">
        <is>
          <t>F0058</t>
        </is>
      </c>
    </row>
    <row r="757" ht="15.75" customHeight="1" s="95">
      <c r="A757" s="1" t="inlineStr">
        <is>
          <t>Meat Loaf</t>
        </is>
      </c>
      <c r="B757" s="1" t="n">
        <v>1</v>
      </c>
      <c r="C757" s="1" t="n">
        <v>1999</v>
      </c>
      <c r="D757" s="1" t="n">
        <v>1999</v>
      </c>
      <c r="E757" s="4" t="inlineStr">
        <is>
          <t>Fight Club</t>
        </is>
      </c>
      <c r="F757" s="1" t="inlineStr">
        <is>
          <t>F0112</t>
        </is>
      </c>
    </row>
    <row r="758" ht="15.75" customHeight="1" s="95">
      <c r="A758" s="1" t="inlineStr">
        <is>
          <t>Mel Gibson</t>
        </is>
      </c>
      <c r="B758" s="1" t="n">
        <v>1</v>
      </c>
      <c r="C758" s="1" t="n">
        <v>2014</v>
      </c>
      <c r="D758" s="1" t="n">
        <v>2014</v>
      </c>
      <c r="E758" s="4" t="inlineStr">
        <is>
          <t>The Expendables 3</t>
        </is>
      </c>
      <c r="F758" s="1" t="inlineStr">
        <is>
          <t>F0097</t>
        </is>
      </c>
    </row>
    <row r="759" ht="15.75" customHeight="1" s="95">
      <c r="A759" s="1" t="inlineStr">
        <is>
          <t>Meryl Streep</t>
        </is>
      </c>
      <c r="B759" s="1" t="n">
        <v>1</v>
      </c>
      <c r="C759" s="1" t="n">
        <v>2008</v>
      </c>
      <c r="D759" s="1" t="n">
        <v>2008</v>
      </c>
      <c r="E759" s="4" t="inlineStr">
        <is>
          <t>Mamma Mia!</t>
        </is>
      </c>
      <c r="F759" s="1" t="inlineStr">
        <is>
          <t>F0209</t>
        </is>
      </c>
    </row>
    <row r="760" ht="15.75" customHeight="1" s="95">
      <c r="A760" s="1" t="inlineStr">
        <is>
          <t>Michael Arden</t>
        </is>
      </c>
      <c r="B760" s="1" t="n">
        <v>1</v>
      </c>
      <c r="C760" s="1" t="n">
        <v>2011</v>
      </c>
      <c r="D760" s="1" t="n">
        <v>2011</v>
      </c>
      <c r="E760" s="4" t="inlineStr">
        <is>
          <t>Source Code</t>
        </is>
      </c>
      <c r="F760" s="1" t="inlineStr">
        <is>
          <t>F0285</t>
        </is>
      </c>
    </row>
    <row r="761" ht="15.75" customHeight="1" s="95">
      <c r="A761" s="1" t="inlineStr">
        <is>
          <t>Michael B. Jordan</t>
        </is>
      </c>
      <c r="B761" s="1" t="n">
        <v>1</v>
      </c>
      <c r="C761" s="1" t="n">
        <v>2015</v>
      </c>
      <c r="D761" s="1" t="n">
        <v>2015</v>
      </c>
      <c r="E761" s="4" t="inlineStr">
        <is>
          <t>Creed</t>
        </is>
      </c>
      <c r="F761" s="1" t="inlineStr">
        <is>
          <t>F0074</t>
        </is>
      </c>
    </row>
    <row r="762" ht="15.75" customHeight="1" s="95">
      <c r="A762" s="1" t="inlineStr">
        <is>
          <t>Michael Beck</t>
        </is>
      </c>
      <c r="B762" s="1" t="n">
        <v>1</v>
      </c>
      <c r="C762" s="1" t="n">
        <v>1979</v>
      </c>
      <c r="D762" s="1" t="n">
        <v>1979</v>
      </c>
      <c r="E762" s="4" t="inlineStr">
        <is>
          <t>The Warriors</t>
        </is>
      </c>
      <c r="F762" s="1" t="inlineStr">
        <is>
          <t>F0334</t>
        </is>
      </c>
    </row>
    <row r="763" ht="15.75" customHeight="1" s="95">
      <c r="A763" s="1" t="inlineStr">
        <is>
          <t>Michael Biehn</t>
        </is>
      </c>
      <c r="B763" s="1" t="n">
        <v>1</v>
      </c>
      <c r="C763" s="1" t="n">
        <v>1986</v>
      </c>
      <c r="D763" s="1" t="n">
        <v>1986</v>
      </c>
      <c r="E763" s="4" t="inlineStr">
        <is>
          <t>Aliens</t>
        </is>
      </c>
      <c r="F763" s="1" t="inlineStr">
        <is>
          <t>F0016</t>
        </is>
      </c>
    </row>
    <row r="764" ht="15.75" customHeight="1" s="95">
      <c r="A764" s="1" t="inlineStr">
        <is>
          <t>Michael Ealy</t>
        </is>
      </c>
      <c r="B764" s="1" t="n">
        <v>1</v>
      </c>
      <c r="C764" s="1" t="n">
        <v>2012</v>
      </c>
      <c r="D764" s="1" t="n">
        <v>2012</v>
      </c>
      <c r="E764" s="4" t="inlineStr">
        <is>
          <t>Underworld: Awakening</t>
        </is>
      </c>
      <c r="F764" s="1" t="inlineStr">
        <is>
          <t>F0328</t>
        </is>
      </c>
    </row>
    <row r="765" ht="15.75" customHeight="1" s="95">
      <c r="A765" s="1" t="inlineStr">
        <is>
          <t>Michael Keaton</t>
        </is>
      </c>
      <c r="B765" s="1" t="n">
        <v>1</v>
      </c>
      <c r="C765" s="1" t="n">
        <v>2015</v>
      </c>
      <c r="D765" s="1" t="n">
        <v>2015</v>
      </c>
      <c r="E765" s="4" t="inlineStr">
        <is>
          <t>Minions</t>
        </is>
      </c>
      <c r="F765" s="1" t="inlineStr">
        <is>
          <t>F0220</t>
        </is>
      </c>
    </row>
    <row r="766" ht="15.75" customHeight="1" s="95">
      <c r="A766" s="1" t="inlineStr">
        <is>
          <t>Michael Nyqvist</t>
        </is>
      </c>
      <c r="B766" s="1" t="n">
        <v>1</v>
      </c>
      <c r="C766" s="1" t="n">
        <v>2011</v>
      </c>
      <c r="D766" s="1" t="n">
        <v>2011</v>
      </c>
      <c r="E766" s="4" t="inlineStr">
        <is>
          <t>Mission: Impossible - Ghost Protocol</t>
        </is>
      </c>
      <c r="F766" s="1" t="inlineStr">
        <is>
          <t>F0224</t>
        </is>
      </c>
    </row>
    <row r="767" ht="15.75" customHeight="1" s="95">
      <c r="A767" s="1" t="inlineStr">
        <is>
          <t>Michael Rapaport</t>
        </is>
      </c>
      <c r="B767" s="1" t="n">
        <v>1</v>
      </c>
      <c r="C767" s="1" t="n">
        <v>2013</v>
      </c>
      <c r="D767" s="1" t="n">
        <v>2013</v>
      </c>
      <c r="E767" s="4" t="inlineStr">
        <is>
          <t>The Heat</t>
        </is>
      </c>
      <c r="F767" s="1" t="inlineStr">
        <is>
          <t>F0146</t>
        </is>
      </c>
    </row>
    <row r="768" ht="15.75" customHeight="1" s="95">
      <c r="A768" s="1" t="inlineStr">
        <is>
          <t>Michael Rooker</t>
        </is>
      </c>
      <c r="B768" s="1" t="n">
        <v>1</v>
      </c>
      <c r="C768" s="1" t="n">
        <v>2008</v>
      </c>
      <c r="D768" s="1" t="n">
        <v>2008</v>
      </c>
      <c r="E768" s="4" t="inlineStr">
        <is>
          <t>Jumper</t>
        </is>
      </c>
      <c r="F768" s="1" t="inlineStr">
        <is>
          <t>F0175</t>
        </is>
      </c>
    </row>
    <row r="769" ht="15.75" customHeight="1" s="95">
      <c r="A769" s="1" t="inlineStr">
        <is>
          <t>Michael Shannon</t>
        </is>
      </c>
      <c r="B769" s="1" t="n">
        <v>1</v>
      </c>
      <c r="C769" s="1" t="n">
        <v>2013</v>
      </c>
      <c r="D769" s="1" t="n">
        <v>2013</v>
      </c>
      <c r="E769" s="4" t="inlineStr">
        <is>
          <t>Man of Steel</t>
        </is>
      </c>
      <c r="F769" s="1" t="inlineStr">
        <is>
          <t>F0211</t>
        </is>
      </c>
    </row>
    <row r="770" ht="15.75" customHeight="1" s="95">
      <c r="A770" s="1" t="inlineStr">
        <is>
          <t>Michael Sheen</t>
        </is>
      </c>
      <c r="B770" s="1" t="n">
        <v>1</v>
      </c>
      <c r="C770" s="1" t="n">
        <v>2009</v>
      </c>
      <c r="D770" s="1" t="n">
        <v>2009</v>
      </c>
      <c r="E770" s="4" t="inlineStr">
        <is>
          <t>Underworld: Rise of the Lycans</t>
        </is>
      </c>
      <c r="F770" s="1" t="inlineStr">
        <is>
          <t>F0327</t>
        </is>
      </c>
    </row>
    <row r="771" ht="15.75" customHeight="1" s="95">
      <c r="A771" s="1" t="inlineStr">
        <is>
          <t>Michelle Dockery</t>
        </is>
      </c>
      <c r="B771" s="1" t="n">
        <v>1</v>
      </c>
      <c r="C771" s="1" t="n">
        <v>2020</v>
      </c>
      <c r="D771" s="1" t="n">
        <v>2020</v>
      </c>
      <c r="E771" s="4" t="inlineStr">
        <is>
          <t>The Gentlemen</t>
        </is>
      </c>
      <c r="F771" s="1" t="inlineStr">
        <is>
          <t>F0119</t>
        </is>
      </c>
    </row>
    <row r="772" ht="15.75" customHeight="1" s="95">
      <c r="A772" s="1" t="inlineStr">
        <is>
          <t>Michelle Williams</t>
        </is>
      </c>
      <c r="B772" s="1" t="n">
        <v>1</v>
      </c>
      <c r="C772" s="1" t="n">
        <v>2017</v>
      </c>
      <c r="D772" s="1" t="n">
        <v>2017</v>
      </c>
      <c r="E772" s="4" t="inlineStr">
        <is>
          <t>The Greatest Showman</t>
        </is>
      </c>
      <c r="F772" s="1" t="inlineStr">
        <is>
          <t>F0127</t>
        </is>
      </c>
    </row>
    <row r="773" ht="15.75" customHeight="1" s="95">
      <c r="A773" s="1" t="inlineStr">
        <is>
          <t>Miles Teller</t>
        </is>
      </c>
      <c r="B773" s="1" t="n">
        <v>1</v>
      </c>
      <c r="C773" s="1" t="n">
        <v>2014</v>
      </c>
      <c r="D773" s="1" t="n">
        <v>2014</v>
      </c>
      <c r="E773" s="4" t="inlineStr">
        <is>
          <t>Divergent</t>
        </is>
      </c>
      <c r="F773" s="1" t="inlineStr">
        <is>
          <t>F0089</t>
        </is>
      </c>
    </row>
    <row r="774" ht="15.75" customHeight="1" s="95">
      <c r="A774" s="1" t="inlineStr">
        <is>
          <t>Minnie Driver</t>
        </is>
      </c>
      <c r="B774" s="1" t="n">
        <v>1</v>
      </c>
      <c r="C774" s="1" t="n">
        <v>1997</v>
      </c>
      <c r="D774" s="1" t="n">
        <v>1997</v>
      </c>
      <c r="E774" s="4" t="inlineStr">
        <is>
          <t>Good Will Hunting</t>
        </is>
      </c>
      <c r="F774" s="1" t="inlineStr">
        <is>
          <t>F0124</t>
        </is>
      </c>
    </row>
    <row r="775" ht="15.75" customHeight="1" s="95">
      <c r="A775" s="1" t="inlineStr">
        <is>
          <t>Miranda Hart</t>
        </is>
      </c>
      <c r="B775" s="1" t="n">
        <v>1</v>
      </c>
      <c r="C775" s="1" t="n">
        <v>2015</v>
      </c>
      <c r="D775" s="1" t="n">
        <v>2015</v>
      </c>
      <c r="E775" s="4" t="inlineStr">
        <is>
          <t>Spy</t>
        </is>
      </c>
      <c r="F775" s="1" t="inlineStr">
        <is>
          <t>F0290</t>
        </is>
      </c>
    </row>
    <row r="776" ht="15.75" customHeight="1" s="95">
      <c r="A776" s="1" t="inlineStr">
        <is>
          <t>Moira Kelly</t>
        </is>
      </c>
      <c r="B776" s="1" t="n">
        <v>1</v>
      </c>
      <c r="C776" s="1" t="n">
        <v>1994</v>
      </c>
      <c r="D776" s="1" t="n">
        <v>1994</v>
      </c>
      <c r="E776" s="4" t="inlineStr">
        <is>
          <t>The Lion King</t>
        </is>
      </c>
      <c r="F776" s="1" t="inlineStr">
        <is>
          <t>F0200</t>
        </is>
      </c>
    </row>
    <row r="777" ht="15.75" customHeight="1" s="95">
      <c r="A777" s="1" t="inlineStr">
        <is>
          <t>Molly Ringwald</t>
        </is>
      </c>
      <c r="B777" s="1" t="n">
        <v>1</v>
      </c>
      <c r="C777" s="1" t="n">
        <v>1985</v>
      </c>
      <c r="D777" s="1" t="n">
        <v>1985</v>
      </c>
      <c r="E777" s="4" t="inlineStr">
        <is>
          <t>The Breakfast Club</t>
        </is>
      </c>
      <c r="F777" s="1" t="inlineStr">
        <is>
          <t>F0057</t>
        </is>
      </c>
    </row>
    <row r="778" ht="15.75" customHeight="1" s="95">
      <c r="A778" s="1" t="inlineStr">
        <is>
          <t>Monica Bellucci</t>
        </is>
      </c>
      <c r="B778" s="1" t="n">
        <v>1</v>
      </c>
      <c r="C778" s="1" t="n">
        <v>2015</v>
      </c>
      <c r="D778" s="1" t="n">
        <v>2015</v>
      </c>
      <c r="E778" s="4" t="inlineStr">
        <is>
          <t>Spectre</t>
        </is>
      </c>
      <c r="F778" s="1" t="inlineStr">
        <is>
          <t>F0004</t>
        </is>
      </c>
    </row>
    <row r="779" ht="15.75" customHeight="1" s="95">
      <c r="A779" s="1" t="inlineStr">
        <is>
          <t>Moon Bloodgood</t>
        </is>
      </c>
      <c r="B779" s="1" t="n">
        <v>1</v>
      </c>
      <c r="C779" s="1" t="n">
        <v>2009</v>
      </c>
      <c r="D779" s="1" t="n">
        <v>2009</v>
      </c>
      <c r="E779" s="4" t="inlineStr">
        <is>
          <t>Terminator Salvation</t>
        </is>
      </c>
      <c r="F779" s="1" t="inlineStr">
        <is>
          <t>F0310</t>
        </is>
      </c>
    </row>
    <row r="780" ht="15.75" customHeight="1" s="95">
      <c r="A780" s="1" t="inlineStr">
        <is>
          <t>Mykelti Williamson</t>
        </is>
      </c>
      <c r="B780" s="1" t="n">
        <v>1</v>
      </c>
      <c r="C780" s="1" t="n">
        <v>1997</v>
      </c>
      <c r="D780" s="1" t="n">
        <v>1997</v>
      </c>
      <c r="E780" s="4" t="inlineStr">
        <is>
          <t>Con Air</t>
        </is>
      </c>
      <c r="F780" s="1" t="inlineStr">
        <is>
          <t>F0068</t>
        </is>
      </c>
    </row>
    <row r="781" ht="15.75" customHeight="1" s="95">
      <c r="A781" s="1" t="inlineStr">
        <is>
          <t>Mélanie Laurent</t>
        </is>
      </c>
      <c r="B781" s="1" t="n">
        <v>1</v>
      </c>
      <c r="C781" s="1" t="n">
        <v>2009</v>
      </c>
      <c r="D781" s="1" t="n">
        <v>2009</v>
      </c>
      <c r="E781" s="4" t="inlineStr">
        <is>
          <t>Inglourious Basterds</t>
        </is>
      </c>
      <c r="F781" s="1" t="inlineStr">
        <is>
          <t>F0166</t>
        </is>
      </c>
    </row>
    <row r="782" ht="15.75" customHeight="1" s="95">
      <c r="A782" s="1" t="inlineStr">
        <is>
          <t>Nancy Allen</t>
        </is>
      </c>
      <c r="B782" s="1" t="n">
        <v>1</v>
      </c>
      <c r="C782" s="1" t="n"/>
      <c r="D782" s="1" t="n"/>
      <c r="E782" s="4" t="inlineStr">
        <is>
          <t>RoboCop</t>
        </is>
      </c>
      <c r="F782" s="1" t="inlineStr">
        <is>
          <t>F0268</t>
        </is>
      </c>
    </row>
    <row r="783" ht="15.75" customHeight="1" s="95">
      <c r="A783" s="1" t="inlineStr">
        <is>
          <t>Naomi Watts</t>
        </is>
      </c>
      <c r="B783" s="1" t="n">
        <v>1</v>
      </c>
      <c r="C783" s="1" t="n">
        <v>2005</v>
      </c>
      <c r="D783" s="1" t="n">
        <v>2005</v>
      </c>
      <c r="E783" s="4" t="inlineStr">
        <is>
          <t>King Kong</t>
        </is>
      </c>
      <c r="F783" s="1" t="inlineStr">
        <is>
          <t>F0188</t>
        </is>
      </c>
    </row>
    <row r="784" ht="15.75" customHeight="1" s="95">
      <c r="A784" s="1" t="inlineStr">
        <is>
          <t>Nathalie Baye</t>
        </is>
      </c>
      <c r="B784" s="1" t="n">
        <v>1</v>
      </c>
      <c r="C784" s="1" t="n">
        <v>2002</v>
      </c>
      <c r="D784" s="1" t="n">
        <v>2002</v>
      </c>
      <c r="E784" s="4" t="inlineStr">
        <is>
          <t>Catch Me If You Can</t>
        </is>
      </c>
      <c r="F784" s="1" t="inlineStr">
        <is>
          <t>F0064</t>
        </is>
      </c>
    </row>
    <row r="785" ht="15.75" customHeight="1" s="95">
      <c r="A785" s="1" t="inlineStr">
        <is>
          <t>Nathalie Boltt</t>
        </is>
      </c>
      <c r="B785" s="1" t="n">
        <v>1</v>
      </c>
      <c r="C785" s="1" t="n">
        <v>2009</v>
      </c>
      <c r="D785" s="1" t="n">
        <v>2009</v>
      </c>
      <c r="E785" s="4" t="inlineStr">
        <is>
          <t>District 9</t>
        </is>
      </c>
      <c r="F785" s="1" t="inlineStr">
        <is>
          <t>F0088</t>
        </is>
      </c>
    </row>
    <row r="786" ht="15.75" customHeight="1" s="95">
      <c r="A786" s="1" t="inlineStr">
        <is>
          <t>Nathalie Kelley</t>
        </is>
      </c>
      <c r="B786" s="1" t="n">
        <v>1</v>
      </c>
      <c r="C786" s="1" t="n">
        <v>2006</v>
      </c>
      <c r="D786" s="1" t="n">
        <v>2006</v>
      </c>
      <c r="E786" s="4" t="inlineStr">
        <is>
          <t>The Fast and the Furious: Tokyo Drift</t>
        </is>
      </c>
      <c r="F786" s="1" t="inlineStr">
        <is>
          <t>F0103</t>
        </is>
      </c>
    </row>
    <row r="787" ht="15.75" customHeight="1" s="95">
      <c r="A787" s="1" t="inlineStr">
        <is>
          <t>Nathan Lane</t>
        </is>
      </c>
      <c r="B787" s="1" t="n">
        <v>1</v>
      </c>
      <c r="C787" s="1" t="n">
        <v>1994</v>
      </c>
      <c r="D787" s="1" t="n">
        <v>1994</v>
      </c>
      <c r="E787" s="4" t="inlineStr">
        <is>
          <t>The Lion King</t>
        </is>
      </c>
      <c r="F787" s="1" t="inlineStr">
        <is>
          <t>F0200</t>
        </is>
      </c>
    </row>
    <row r="788" ht="15.75" customHeight="1" s="95">
      <c r="A788" s="1" t="inlineStr">
        <is>
          <t>Neil Brown Jr.</t>
        </is>
      </c>
      <c r="B788" s="1" t="n">
        <v>1</v>
      </c>
      <c r="C788" s="1" t="n">
        <v>2015</v>
      </c>
      <c r="D788" s="1" t="n">
        <v>2015</v>
      </c>
      <c r="E788" s="4" t="inlineStr">
        <is>
          <t>Straight Outta Compton</t>
        </is>
      </c>
      <c r="F788" s="1" t="inlineStr">
        <is>
          <t>F0301</t>
        </is>
      </c>
    </row>
    <row r="789" ht="15.75" customHeight="1" s="95">
      <c r="A789" s="1" t="inlineStr">
        <is>
          <t>Neil Patrick Harris</t>
        </is>
      </c>
      <c r="B789" s="1" t="n">
        <v>1</v>
      </c>
      <c r="C789" s="1" t="n">
        <v>2013</v>
      </c>
      <c r="D789" s="1" t="n">
        <v>2013</v>
      </c>
      <c r="E789" s="4" t="inlineStr">
        <is>
          <t>The Smurfs 2</t>
        </is>
      </c>
      <c r="F789" s="1" t="inlineStr">
        <is>
          <t>F0282</t>
        </is>
      </c>
    </row>
    <row r="790" ht="15.75" customHeight="1" s="95">
      <c r="A790" s="1" t="inlineStr">
        <is>
          <t>Nev Scharrel</t>
        </is>
      </c>
      <c r="B790" s="1" t="n">
        <v>1</v>
      </c>
      <c r="C790" s="1" t="n">
        <v>2017</v>
      </c>
      <c r="D790" s="1" t="n">
        <v>2017</v>
      </c>
      <c r="E790" s="4" t="inlineStr">
        <is>
          <t>Despicable Me 3</t>
        </is>
      </c>
      <c r="F790" s="1" t="inlineStr">
        <is>
          <t>F0084</t>
        </is>
      </c>
    </row>
    <row r="791" ht="15.75" customHeight="1" s="95">
      <c r="A791" s="1" t="inlineStr">
        <is>
          <t>Nick Nolte</t>
        </is>
      </c>
      <c r="B791" s="1" t="n">
        <v>1</v>
      </c>
      <c r="C791" s="1" t="n">
        <v>2011</v>
      </c>
      <c r="D791" s="1" t="n">
        <v>2011</v>
      </c>
      <c r="E791" s="4" t="inlineStr">
        <is>
          <t>Warrior</t>
        </is>
      </c>
      <c r="F791" s="1" t="inlineStr">
        <is>
          <t>F0333</t>
        </is>
      </c>
    </row>
    <row r="792" ht="15.75" customHeight="1" s="95">
      <c r="A792" s="1" t="inlineStr">
        <is>
          <t>Nicola Peltz Beckham</t>
        </is>
      </c>
      <c r="B792" s="1" t="n">
        <v>1</v>
      </c>
      <c r="C792" s="1" t="n">
        <v>2014</v>
      </c>
      <c r="D792" s="1" t="n">
        <v>2014</v>
      </c>
      <c r="E792" s="4" t="inlineStr">
        <is>
          <t>Transformers: Age of Extinction</t>
        </is>
      </c>
      <c r="F792" s="1" t="inlineStr">
        <is>
          <t>F0319</t>
        </is>
      </c>
    </row>
    <row r="793" ht="15.75" customHeight="1" s="95">
      <c r="A793" s="1" t="inlineStr">
        <is>
          <t>Nicole Kidman</t>
        </is>
      </c>
      <c r="B793" s="1" t="n">
        <v>1</v>
      </c>
      <c r="C793" s="1" t="n">
        <v>2011</v>
      </c>
      <c r="D793" s="1" t="n">
        <v>2011</v>
      </c>
      <c r="E793" s="4" t="inlineStr">
        <is>
          <t>Just Go with It</t>
        </is>
      </c>
      <c r="F793" s="1" t="inlineStr">
        <is>
          <t>F0183</t>
        </is>
      </c>
    </row>
    <row r="794" ht="15.75" customHeight="1" s="95">
      <c r="A794" s="1" t="inlineStr">
        <is>
          <t>Nikki Reed</t>
        </is>
      </c>
      <c r="B794" s="1" t="n">
        <v>1</v>
      </c>
      <c r="C794" s="1" t="n">
        <v>2011</v>
      </c>
      <c r="D794" s="1" t="n">
        <v>2011</v>
      </c>
      <c r="E794" s="4" t="inlineStr">
        <is>
          <t>Catch.44</t>
        </is>
      </c>
      <c r="F794" s="1" t="inlineStr">
        <is>
          <t>F0063</t>
        </is>
      </c>
    </row>
    <row r="795" ht="15.75" customHeight="1" s="95">
      <c r="A795" s="1" t="inlineStr">
        <is>
          <t>Nikolaj Coster-Waldau</t>
        </is>
      </c>
      <c r="B795" s="1" t="n">
        <v>1</v>
      </c>
      <c r="C795" s="1" t="n">
        <v>2013</v>
      </c>
      <c r="D795" s="1" t="n">
        <v>2013</v>
      </c>
      <c r="E795" s="4" t="inlineStr">
        <is>
          <t>Oblivion</t>
        </is>
      </c>
      <c r="F795" s="1" t="inlineStr">
        <is>
          <t>F0239</t>
        </is>
      </c>
    </row>
    <row r="796" ht="15.75" customHeight="1" s="95">
      <c r="A796" s="1" t="inlineStr">
        <is>
          <t>Noah Emmerich</t>
        </is>
      </c>
      <c r="B796" s="1" t="n">
        <v>1</v>
      </c>
      <c r="C796" s="1" t="n">
        <v>2011</v>
      </c>
      <c r="D796" s="1" t="n">
        <v>2011</v>
      </c>
      <c r="E796" s="4" t="inlineStr">
        <is>
          <t>Super 8</t>
        </is>
      </c>
      <c r="F796" s="1" t="inlineStr">
        <is>
          <t>F0302</t>
        </is>
      </c>
    </row>
    <row r="797" ht="15.75" customHeight="1" s="95">
      <c r="A797" s="1" t="inlineStr">
        <is>
          <t>Noel Fisher</t>
        </is>
      </c>
      <c r="B797" s="1" t="n">
        <v>1</v>
      </c>
      <c r="C797" s="1" t="n">
        <v>2014</v>
      </c>
      <c r="D797" s="1" t="n">
        <v>2014</v>
      </c>
      <c r="E797" s="4" t="inlineStr">
        <is>
          <t>Teenage Mutant Ninja Turtles</t>
        </is>
      </c>
      <c r="F797" s="1" t="inlineStr">
        <is>
          <t>F0309</t>
        </is>
      </c>
    </row>
    <row r="798" ht="15.75" customHeight="1" s="95">
      <c r="A798" s="1" t="inlineStr">
        <is>
          <t>Nolan North</t>
        </is>
      </c>
      <c r="B798" s="1" t="n">
        <v>1</v>
      </c>
      <c r="C798" s="1" t="n">
        <v>2015</v>
      </c>
      <c r="D798" s="1" t="n">
        <v>2015</v>
      </c>
      <c r="E798" s="4" t="inlineStr">
        <is>
          <t>Lego DC Comics Super Heroes: Justice League vs. Bizarro League</t>
        </is>
      </c>
      <c r="F798" s="1" t="inlineStr">
        <is>
          <t>F0197</t>
        </is>
      </c>
    </row>
    <row r="799" ht="15.75" customHeight="1" s="95">
      <c r="A799" s="1" t="inlineStr">
        <is>
          <t>Nora Denney</t>
        </is>
      </c>
      <c r="B799" s="1" t="n">
        <v>1</v>
      </c>
      <c r="C799" s="1" t="n">
        <v>1971</v>
      </c>
      <c r="D799" s="1" t="n">
        <v>1971</v>
      </c>
      <c r="E799" s="4" t="inlineStr">
        <is>
          <t>Willy Wonka &amp; the Chocolate Factory</t>
        </is>
      </c>
      <c r="F799" s="1" t="inlineStr">
        <is>
          <t>F0339</t>
        </is>
      </c>
    </row>
    <row r="800" ht="15.75" customHeight="1" s="95">
      <c r="A800" s="1" t="inlineStr">
        <is>
          <t>O'Shea Jackson Jr.</t>
        </is>
      </c>
      <c r="B800" s="1" t="n">
        <v>1</v>
      </c>
      <c r="C800" s="1" t="n">
        <v>2015</v>
      </c>
      <c r="D800" s="1" t="n">
        <v>2015</v>
      </c>
      <c r="E800" s="4" t="inlineStr">
        <is>
          <t>Straight Outta Compton</t>
        </is>
      </c>
      <c r="F800" s="1" t="inlineStr">
        <is>
          <t>F0301</t>
        </is>
      </c>
    </row>
    <row r="801" ht="15.75" customHeight="1" s="95">
      <c r="A801" s="1" t="inlineStr">
        <is>
          <t>Oliver Platt</t>
        </is>
      </c>
      <c r="B801" s="1" t="n">
        <v>1</v>
      </c>
      <c r="C801" s="1" t="n">
        <v>2009</v>
      </c>
      <c r="D801" s="1" t="n">
        <v>2009</v>
      </c>
      <c r="E801" s="4" t="inlineStr">
        <is>
          <t>2012</t>
        </is>
      </c>
      <c r="F801" s="1" t="inlineStr">
        <is>
          <t>F0006</t>
        </is>
      </c>
    </row>
    <row r="802" ht="15.75" customHeight="1" s="95">
      <c r="A802" s="1" t="inlineStr">
        <is>
          <t>Olivia Munn</t>
        </is>
      </c>
      <c r="B802" s="1" t="n">
        <v>1</v>
      </c>
      <c r="C802" s="1" t="n">
        <v>2012</v>
      </c>
      <c r="D802" s="1" t="n">
        <v>2012</v>
      </c>
      <c r="E802" s="4" t="inlineStr">
        <is>
          <t>Magic Mike</t>
        </is>
      </c>
      <c r="F802" s="1" t="inlineStr">
        <is>
          <t>F0206</t>
        </is>
      </c>
    </row>
    <row r="803" ht="15.75" customHeight="1" s="95">
      <c r="A803" s="1" t="inlineStr">
        <is>
          <t>Olivia Williams</t>
        </is>
      </c>
      <c r="B803" s="1" t="n">
        <v>1</v>
      </c>
      <c r="C803" s="1" t="n">
        <v>2010</v>
      </c>
      <c r="D803" s="1" t="n">
        <v>2010</v>
      </c>
      <c r="E803" s="4" t="inlineStr">
        <is>
          <t>Sex &amp; Drugs &amp; Rock &amp; Roll</t>
        </is>
      </c>
      <c r="F803" s="1" t="inlineStr">
        <is>
          <t>F0277</t>
        </is>
      </c>
    </row>
    <row r="804" ht="15.75" customHeight="1" s="95">
      <c r="A804" s="1" t="inlineStr">
        <is>
          <t>Ollie Barbieri</t>
        </is>
      </c>
      <c r="B804" s="1" t="n">
        <v>1</v>
      </c>
      <c r="C804" s="1" t="n">
        <v>2011</v>
      </c>
      <c r="D804" s="1" t="n">
        <v>2011</v>
      </c>
      <c r="E804" s="4" t="inlineStr">
        <is>
          <t>Anuvahood</t>
        </is>
      </c>
      <c r="F804" s="1" t="inlineStr">
        <is>
          <t>F0024</t>
        </is>
      </c>
    </row>
    <row r="805" ht="15.75" customHeight="1" s="95">
      <c r="A805" s="1" t="inlineStr">
        <is>
          <t>Oona Laurence</t>
        </is>
      </c>
      <c r="B805" s="1" t="n">
        <v>1</v>
      </c>
      <c r="C805" s="1" t="n">
        <v>2015</v>
      </c>
      <c r="D805" s="1" t="n">
        <v>2015</v>
      </c>
      <c r="E805" s="4" t="inlineStr">
        <is>
          <t>Southpaw</t>
        </is>
      </c>
      <c r="F805" s="1" t="inlineStr">
        <is>
          <t>F0286</t>
        </is>
      </c>
    </row>
    <row r="806" ht="15.75" customHeight="1" s="95">
      <c r="A806" s="1" t="inlineStr">
        <is>
          <t>Oscar Isaac</t>
        </is>
      </c>
      <c r="B806" s="1" t="n">
        <v>1</v>
      </c>
      <c r="C806" s="1" t="n">
        <v>2016</v>
      </c>
      <c r="D806" s="1" t="n">
        <v>2016</v>
      </c>
      <c r="E806" s="4" t="inlineStr">
        <is>
          <t>X-Men: Apocalypse</t>
        </is>
      </c>
      <c r="F806" s="1" t="inlineStr">
        <is>
          <t>F0342</t>
        </is>
      </c>
    </row>
    <row r="807" ht="15.75" customHeight="1" s="95">
      <c r="A807" s="1" t="inlineStr">
        <is>
          <t>Owen Teague</t>
        </is>
      </c>
      <c r="B807" s="1" t="n">
        <v>1</v>
      </c>
      <c r="C807" s="1" t="n">
        <v>2024</v>
      </c>
      <c r="D807" s="1" t="n">
        <v>2024</v>
      </c>
      <c r="E807" s="4" t="inlineStr">
        <is>
          <t>Kingdom of the Planet of the Apes</t>
        </is>
      </c>
      <c r="F807" s="1" t="inlineStr">
        <is>
          <t>F0256</t>
        </is>
      </c>
    </row>
    <row r="808" ht="15.75" customHeight="1" s="95">
      <c r="A808" s="1" t="inlineStr">
        <is>
          <t>Owen Wilson</t>
        </is>
      </c>
      <c r="B808" s="1" t="n">
        <v>1</v>
      </c>
      <c r="C808" s="1" t="n">
        <v>2009</v>
      </c>
      <c r="D808" s="1" t="n">
        <v>2009</v>
      </c>
      <c r="E808" s="4" t="inlineStr">
        <is>
          <t>Night at the Museum: Battle of the Smithsonian</t>
        </is>
      </c>
      <c r="F808" s="1" t="inlineStr">
        <is>
          <t>F0236</t>
        </is>
      </c>
    </row>
    <row r="809" ht="15.75" customHeight="1" s="95">
      <c r="A809" s="1" t="inlineStr">
        <is>
          <t>Paris Themmen</t>
        </is>
      </c>
      <c r="B809" s="1" t="n">
        <v>1</v>
      </c>
      <c r="C809" s="1" t="n">
        <v>1971</v>
      </c>
      <c r="D809" s="1" t="n">
        <v>1971</v>
      </c>
      <c r="E809" s="4" t="inlineStr">
        <is>
          <t>Willy Wonka &amp; the Chocolate Factory</t>
        </is>
      </c>
      <c r="F809" s="1" t="inlineStr">
        <is>
          <t>F0339</t>
        </is>
      </c>
    </row>
    <row r="810" ht="15.75" customHeight="1" s="95">
      <c r="A810" s="1" t="inlineStr">
        <is>
          <t>Paterson Joseph</t>
        </is>
      </c>
      <c r="B810" s="1" t="n">
        <v>1</v>
      </c>
      <c r="C810" s="1" t="n">
        <v>2023</v>
      </c>
      <c r="D810" s="1" t="n">
        <v>2023</v>
      </c>
      <c r="E810" s="4" t="inlineStr">
        <is>
          <t>Wonka</t>
        </is>
      </c>
      <c r="F810" s="1" t="inlineStr">
        <is>
          <t>F0338</t>
        </is>
      </c>
    </row>
    <row r="811" ht="15.75" customHeight="1" s="95">
      <c r="A811" s="1" t="inlineStr">
        <is>
          <t>Paul Bettany</t>
        </is>
      </c>
      <c r="B811" s="1" t="n">
        <v>1</v>
      </c>
      <c r="C811" s="1" t="n">
        <v>2006</v>
      </c>
      <c r="D811" s="1" t="n">
        <v>2006</v>
      </c>
      <c r="E811" s="4" t="inlineStr">
        <is>
          <t>Firewall</t>
        </is>
      </c>
      <c r="F811" s="1" t="inlineStr">
        <is>
          <t>F0114</t>
        </is>
      </c>
    </row>
    <row r="812" ht="15.75" customHeight="1" s="95">
      <c r="A812" s="1" t="inlineStr">
        <is>
          <t>Paul Dano</t>
        </is>
      </c>
      <c r="B812" s="1" t="n">
        <v>1</v>
      </c>
      <c r="C812" s="1" t="n">
        <v>2022</v>
      </c>
      <c r="D812" s="1" t="n">
        <v>2022</v>
      </c>
      <c r="E812" s="4" t="inlineStr">
        <is>
          <t>The Batman</t>
        </is>
      </c>
      <c r="F812" s="1" t="inlineStr">
        <is>
          <t>F0042</t>
        </is>
      </c>
    </row>
    <row r="813" ht="15.75" customHeight="1" s="95">
      <c r="A813" s="1" t="inlineStr">
        <is>
          <t>Paul McGann</t>
        </is>
      </c>
      <c r="B813" s="1" t="n">
        <v>1</v>
      </c>
      <c r="C813" s="1" t="n">
        <v>1992</v>
      </c>
      <c r="D813" s="1" t="n">
        <v>1992</v>
      </c>
      <c r="E813" s="4" t="inlineStr">
        <is>
          <t>Alien³</t>
        </is>
      </c>
      <c r="F813" s="1" t="inlineStr">
        <is>
          <t>F0017</t>
        </is>
      </c>
    </row>
    <row r="814" ht="15.75" customHeight="1" s="95">
      <c r="A814" s="1" t="inlineStr">
        <is>
          <t>Paul Reiser</t>
        </is>
      </c>
      <c r="B814" s="1" t="n">
        <v>1</v>
      </c>
      <c r="C814" s="1" t="n">
        <v>1986</v>
      </c>
      <c r="D814" s="1" t="n">
        <v>1986</v>
      </c>
      <c r="E814" s="4" t="inlineStr">
        <is>
          <t>Aliens</t>
        </is>
      </c>
      <c r="F814" s="1" t="inlineStr">
        <is>
          <t>F0016</t>
        </is>
      </c>
    </row>
    <row r="815" ht="15.75" customHeight="1" s="95">
      <c r="A815" s="1" t="inlineStr">
        <is>
          <t>Paul Rudd</t>
        </is>
      </c>
      <c r="B815" s="1" t="n">
        <v>1</v>
      </c>
      <c r="C815" s="1" t="n">
        <v>2004</v>
      </c>
      <c r="D815" s="1" t="n">
        <v>2004</v>
      </c>
      <c r="E815" s="4" t="inlineStr">
        <is>
          <t>Anchorman: The Legend of Ron Burgundy</t>
        </is>
      </c>
      <c r="F815" s="1" t="inlineStr">
        <is>
          <t>F0022</t>
        </is>
      </c>
    </row>
    <row r="816" ht="15.75" customHeight="1" s="95">
      <c r="A816" s="1" t="inlineStr">
        <is>
          <t>Paula Patton</t>
        </is>
      </c>
      <c r="B816" s="1" t="n">
        <v>1</v>
      </c>
      <c r="C816" s="1" t="n">
        <v>2011</v>
      </c>
      <c r="D816" s="1" t="n">
        <v>2011</v>
      </c>
      <c r="E816" s="4" t="inlineStr">
        <is>
          <t>Mission: Impossible - Ghost Protocol</t>
        </is>
      </c>
      <c r="F816" s="1" t="inlineStr">
        <is>
          <t>F0224</t>
        </is>
      </c>
    </row>
    <row r="817" ht="15.75" customHeight="1" s="95">
      <c r="A817" s="1" t="inlineStr">
        <is>
          <t>Pete Ploszek</t>
        </is>
      </c>
      <c r="B817" s="1" t="n">
        <v>1</v>
      </c>
      <c r="C817" s="1" t="n">
        <v>2014</v>
      </c>
      <c r="D817" s="1" t="n">
        <v>2014</v>
      </c>
      <c r="E817" s="4" t="inlineStr">
        <is>
          <t>Teenage Mutant Ninja Turtles</t>
        </is>
      </c>
      <c r="F817" s="1" t="inlineStr">
        <is>
          <t>F0309</t>
        </is>
      </c>
    </row>
    <row r="818" ht="15.75" customHeight="1" s="95">
      <c r="A818" s="1" t="inlineStr">
        <is>
          <t>Pete Postlethwaite</t>
        </is>
      </c>
      <c r="B818" s="1" t="n">
        <v>1</v>
      </c>
      <c r="C818" s="1" t="n">
        <v>1997</v>
      </c>
      <c r="D818" s="1" t="n">
        <v>1997</v>
      </c>
      <c r="E818" s="4" t="inlineStr">
        <is>
          <t>The Lost World: Jurassic Park</t>
        </is>
      </c>
      <c r="F818" s="1" t="inlineStr">
        <is>
          <t>F0177</t>
        </is>
      </c>
    </row>
    <row r="819" ht="15.75" customHeight="1" s="95">
      <c r="A819" s="1" t="inlineStr">
        <is>
          <t>Peter Crombie</t>
        </is>
      </c>
      <c r="B819" s="1" t="n">
        <v>1</v>
      </c>
      <c r="C819" s="1" t="n">
        <v>1995</v>
      </c>
      <c r="D819" s="1" t="n">
        <v>1995</v>
      </c>
      <c r="E819" s="4" t="inlineStr">
        <is>
          <t>Se7en</t>
        </is>
      </c>
      <c r="F819" s="1" t="inlineStr">
        <is>
          <t>F0276</t>
        </is>
      </c>
    </row>
    <row r="820" ht="15.75" customHeight="1" s="95">
      <c r="A820" s="1" t="inlineStr">
        <is>
          <t>Peter Cushing</t>
        </is>
      </c>
      <c r="B820" s="1" t="n">
        <v>1</v>
      </c>
      <c r="C820" s="1" t="n">
        <v>1977</v>
      </c>
      <c r="D820" s="1" t="n">
        <v>1977</v>
      </c>
      <c r="E820" s="4" t="inlineStr">
        <is>
          <t>Star Wars: Episode IV – A New Hope</t>
        </is>
      </c>
      <c r="F820" s="1" t="inlineStr">
        <is>
          <t>F0295</t>
        </is>
      </c>
    </row>
    <row r="821" ht="15.75" customHeight="1" s="95">
      <c r="A821" s="1" t="inlineStr">
        <is>
          <t>Peter Dinklage</t>
        </is>
      </c>
      <c r="B821" s="1" t="n">
        <v>1</v>
      </c>
      <c r="C821" s="1" t="n">
        <v>2023</v>
      </c>
      <c r="D821" s="1" t="n">
        <v>2023</v>
      </c>
      <c r="E821" s="4" t="inlineStr">
        <is>
          <t>Transformers: Rise of the Beasts</t>
        </is>
      </c>
      <c r="F821" s="1" t="inlineStr">
        <is>
          <t>F0321</t>
        </is>
      </c>
    </row>
    <row r="822" ht="15.75" customHeight="1" s="95">
      <c r="A822" s="1" t="inlineStr">
        <is>
          <t>Peter Macon</t>
        </is>
      </c>
      <c r="B822" s="1" t="n">
        <v>1</v>
      </c>
      <c r="C822" s="1" t="n">
        <v>2024</v>
      </c>
      <c r="D822" s="1" t="n">
        <v>2024</v>
      </c>
      <c r="E822" s="4" t="inlineStr">
        <is>
          <t>Kingdom of the Planet of the Apes</t>
        </is>
      </c>
      <c r="F822" s="1" t="inlineStr">
        <is>
          <t>F0256</t>
        </is>
      </c>
    </row>
    <row r="823" ht="15.75" customHeight="1" s="95">
      <c r="A823" s="1" t="inlineStr">
        <is>
          <t>Peter Ostrum</t>
        </is>
      </c>
      <c r="B823" s="1" t="n">
        <v>1</v>
      </c>
      <c r="C823" s="1" t="n">
        <v>1971</v>
      </c>
      <c r="D823" s="1" t="n">
        <v>1971</v>
      </c>
      <c r="E823" s="4" t="inlineStr">
        <is>
          <t>Willy Wonka &amp; the Chocolate Factory</t>
        </is>
      </c>
      <c r="F823" s="1" t="inlineStr">
        <is>
          <t>F0339</t>
        </is>
      </c>
    </row>
    <row r="824" ht="15.75" customHeight="1" s="95">
      <c r="A824" s="1" t="inlineStr">
        <is>
          <t>Peter Sarsgaard</t>
        </is>
      </c>
      <c r="B824" s="1" t="n">
        <v>1</v>
      </c>
      <c r="C824" s="1" t="n">
        <v>2011</v>
      </c>
      <c r="D824" s="1" t="n">
        <v>2011</v>
      </c>
      <c r="E824" s="4" t="inlineStr">
        <is>
          <t>Green Lantern</t>
        </is>
      </c>
      <c r="F824" s="1" t="inlineStr">
        <is>
          <t>F0128</t>
        </is>
      </c>
    </row>
    <row r="825" ht="15.75" customHeight="1" s="95">
      <c r="A825" s="1" t="inlineStr">
        <is>
          <t>Peter Sohn</t>
        </is>
      </c>
      <c r="B825" s="1" t="n">
        <v>1</v>
      </c>
      <c r="C825" s="1" t="n">
        <v>2013</v>
      </c>
      <c r="D825" s="1" t="n">
        <v>2013</v>
      </c>
      <c r="E825" s="4" t="inlineStr">
        <is>
          <t>Monsters University</t>
        </is>
      </c>
      <c r="F825" s="1" t="inlineStr">
        <is>
          <t>F0230</t>
        </is>
      </c>
    </row>
    <row r="826" ht="15.75" customHeight="1" s="95">
      <c r="A826" s="1" t="inlineStr">
        <is>
          <t>Peter Weller</t>
        </is>
      </c>
      <c r="B826" s="1" t="n">
        <v>1</v>
      </c>
      <c r="C826" s="1" t="n"/>
      <c r="D826" s="1" t="n"/>
      <c r="E826" s="4" t="inlineStr">
        <is>
          <t>RoboCop</t>
        </is>
      </c>
      <c r="F826" s="1" t="inlineStr">
        <is>
          <t>F0268</t>
        </is>
      </c>
    </row>
    <row r="827" ht="15.75" customHeight="1" s="95">
      <c r="A827" s="1" t="inlineStr">
        <is>
          <t>Philip Baker Hall</t>
        </is>
      </c>
      <c r="B827" s="1" t="n">
        <v>1</v>
      </c>
      <c r="C827" s="1" t="n">
        <v>2011</v>
      </c>
      <c r="D827" s="1" t="n">
        <v>2011</v>
      </c>
      <c r="E827" s="4" t="inlineStr">
        <is>
          <t>50/50</t>
        </is>
      </c>
      <c r="F827" s="1" t="inlineStr">
        <is>
          <t>F0011</t>
        </is>
      </c>
    </row>
    <row r="828" ht="15.75" customHeight="1" s="95">
      <c r="A828" s="1" t="inlineStr">
        <is>
          <t>Philip Seymour Hoffman</t>
        </is>
      </c>
      <c r="B828" s="1" t="n">
        <v>1</v>
      </c>
      <c r="C828" s="1" t="n">
        <v>2006</v>
      </c>
      <c r="D828" s="1" t="n">
        <v>2006</v>
      </c>
      <c r="E828" s="4" t="inlineStr">
        <is>
          <t>Mission: Impossible III</t>
        </is>
      </c>
      <c r="F828" s="1" t="inlineStr">
        <is>
          <t>F0223</t>
        </is>
      </c>
    </row>
    <row r="829" ht="15.75" customHeight="1" s="95">
      <c r="A829" s="1" t="inlineStr">
        <is>
          <t>Phylicia Rashād</t>
        </is>
      </c>
      <c r="B829" s="1" t="n">
        <v>1</v>
      </c>
      <c r="C829" s="1" t="n">
        <v>2015</v>
      </c>
      <c r="D829" s="1" t="n">
        <v>2015</v>
      </c>
      <c r="E829" s="4" t="inlineStr">
        <is>
          <t>Creed</t>
        </is>
      </c>
      <c r="F829" s="1" t="inlineStr">
        <is>
          <t>F0074</t>
        </is>
      </c>
    </row>
    <row r="830" ht="15.75" customHeight="1" s="95">
      <c r="A830" s="1" t="inlineStr">
        <is>
          <t>Phyllis Diller</t>
        </is>
      </c>
      <c r="B830" s="1" t="n">
        <v>1</v>
      </c>
      <c r="C830" s="1" t="n">
        <v>1998</v>
      </c>
      <c r="D830" s="1" t="n">
        <v>1998</v>
      </c>
      <c r="E830" s="4" t="inlineStr">
        <is>
          <t>A Bug's Life</t>
        </is>
      </c>
      <c r="F830" s="1" t="inlineStr">
        <is>
          <t>F0012</t>
        </is>
      </c>
    </row>
    <row r="831" ht="15.75" customHeight="1" s="95">
      <c r="A831" s="1" t="inlineStr">
        <is>
          <t>Phyllis Smith</t>
        </is>
      </c>
      <c r="B831" s="1" t="n">
        <v>1</v>
      </c>
      <c r="C831" s="1" t="n">
        <v>2015</v>
      </c>
      <c r="D831" s="1" t="n">
        <v>2015</v>
      </c>
      <c r="E831" s="4" t="inlineStr">
        <is>
          <t>Inside Out</t>
        </is>
      </c>
      <c r="F831" s="1" t="inlineStr">
        <is>
          <t>F0167</t>
        </is>
      </c>
    </row>
    <row r="832" ht="15.75" customHeight="1" s="95">
      <c r="A832" s="1" t="inlineStr">
        <is>
          <t>Pierce Brosnan</t>
        </is>
      </c>
      <c r="B832" s="1" t="n">
        <v>1</v>
      </c>
      <c r="C832" s="1" t="n">
        <v>2008</v>
      </c>
      <c r="D832" s="1" t="n">
        <v>2008</v>
      </c>
      <c r="E832" s="4" t="inlineStr">
        <is>
          <t>Mamma Mia!</t>
        </is>
      </c>
      <c r="F832" s="1" t="inlineStr">
        <is>
          <t>F0209</t>
        </is>
      </c>
    </row>
    <row r="833" ht="15.75" customHeight="1" s="95">
      <c r="A833" s="1" t="inlineStr">
        <is>
          <t>Pink</t>
        </is>
      </c>
      <c r="B833" s="1" t="n">
        <v>1</v>
      </c>
      <c r="C833" s="1" t="n">
        <v>2011</v>
      </c>
      <c r="D833" s="1" t="n">
        <v>2011</v>
      </c>
      <c r="E833" s="4" t="inlineStr">
        <is>
          <t>Happy Feet Two</t>
        </is>
      </c>
      <c r="F833" s="1" t="inlineStr">
        <is>
          <t>F0145</t>
        </is>
      </c>
    </row>
    <row r="834" ht="15.75" customHeight="1" s="95">
      <c r="A834" s="1" t="inlineStr">
        <is>
          <t>Piper Perabo</t>
        </is>
      </c>
      <c r="B834" s="1" t="n">
        <v>1</v>
      </c>
      <c r="C834" s="1" t="n">
        <v>2006</v>
      </c>
      <c r="D834" s="1" t="n">
        <v>2006</v>
      </c>
      <c r="E834" s="4" t="inlineStr">
        <is>
          <t>The Prestige</t>
        </is>
      </c>
      <c r="F834" s="1" t="inlineStr">
        <is>
          <t>F0257</t>
        </is>
      </c>
    </row>
    <row r="835" ht="15.75" customHeight="1" s="95">
      <c r="A835" s="1" t="inlineStr">
        <is>
          <t>Plan B</t>
        </is>
      </c>
      <c r="B835" s="1" t="n">
        <v>1</v>
      </c>
      <c r="C835" s="1" t="n">
        <v>2012</v>
      </c>
      <c r="D835" s="1" t="n">
        <v>2012</v>
      </c>
      <c r="E835" s="4" t="inlineStr">
        <is>
          <t>The Sweeney</t>
        </is>
      </c>
      <c r="F835" s="1" t="inlineStr">
        <is>
          <t>F0305</t>
        </is>
      </c>
    </row>
    <row r="836" ht="15.75" customHeight="1" s="95">
      <c r="A836" s="1" t="inlineStr">
        <is>
          <t>Quinton 'Rampage' Jackson</t>
        </is>
      </c>
      <c r="B836" s="1" t="n">
        <v>1</v>
      </c>
      <c r="C836" s="1" t="n">
        <v>2010</v>
      </c>
      <c r="D836" s="1" t="n">
        <v>2010</v>
      </c>
      <c r="E836" s="4" t="inlineStr">
        <is>
          <t>The A-Team</t>
        </is>
      </c>
      <c r="F836" s="1" t="inlineStr">
        <is>
          <t>F0026</t>
        </is>
      </c>
    </row>
    <row r="837" ht="15.75" customHeight="1" s="95">
      <c r="A837" s="1" t="inlineStr">
        <is>
          <t>Rachel Bilson</t>
        </is>
      </c>
      <c r="B837" s="1" t="n">
        <v>1</v>
      </c>
      <c r="C837" s="1" t="n">
        <v>2008</v>
      </c>
      <c r="D837" s="1" t="n">
        <v>2008</v>
      </c>
      <c r="E837" s="4" t="inlineStr">
        <is>
          <t>Jumper</t>
        </is>
      </c>
      <c r="F837" s="1" t="inlineStr">
        <is>
          <t>F0175</t>
        </is>
      </c>
    </row>
    <row r="838" ht="15.75" customHeight="1" s="95">
      <c r="A838" s="1" t="inlineStr">
        <is>
          <t>Rachel Brosnahan</t>
        </is>
      </c>
      <c r="B838" s="1" t="n">
        <v>1</v>
      </c>
      <c r="C838" s="1" t="n">
        <v>2025</v>
      </c>
      <c r="D838" s="1" t="n">
        <v>2025</v>
      </c>
      <c r="E838" s="4" t="inlineStr">
        <is>
          <t>Superman</t>
        </is>
      </c>
      <c r="F838" s="1" t="inlineStr">
        <is>
          <t>F0304</t>
        </is>
      </c>
    </row>
    <row r="839" ht="15.75" customHeight="1" s="95">
      <c r="A839" s="1" t="inlineStr">
        <is>
          <t>Rachel Weisz</t>
        </is>
      </c>
      <c r="B839" s="1" t="n">
        <v>1</v>
      </c>
      <c r="C839" s="1" t="n">
        <v>2012</v>
      </c>
      <c r="D839" s="1" t="n">
        <v>2012</v>
      </c>
      <c r="E839" s="4" t="inlineStr">
        <is>
          <t>The Bourne Legacy</t>
        </is>
      </c>
      <c r="F839" s="1" t="inlineStr">
        <is>
          <t>F0056</t>
        </is>
      </c>
    </row>
    <row r="840" ht="15.75" customHeight="1" s="95">
      <c r="A840" s="1" t="inlineStr">
        <is>
          <t>Ramón Rodríguez</t>
        </is>
      </c>
      <c r="B840" s="1" t="n">
        <v>1</v>
      </c>
      <c r="C840" s="1" t="n">
        <v>2011</v>
      </c>
      <c r="D840" s="1" t="n">
        <v>2011</v>
      </c>
      <c r="E840" s="4" t="inlineStr">
        <is>
          <t>Battle: Los Angeles</t>
        </is>
      </c>
      <c r="F840" s="1" t="inlineStr">
        <is>
          <t>F0046</t>
        </is>
      </c>
    </row>
    <row r="841" ht="15.75" customHeight="1" s="95">
      <c r="A841" s="1" t="inlineStr">
        <is>
          <t>Ray Liotta</t>
        </is>
      </c>
      <c r="B841" s="1" t="n">
        <v>1</v>
      </c>
      <c r="C841" s="1" t="n">
        <v>2012</v>
      </c>
      <c r="D841" s="1" t="n">
        <v>2012</v>
      </c>
      <c r="E841" s="4" t="inlineStr">
        <is>
          <t>Killing Them Softly</t>
        </is>
      </c>
      <c r="F841" s="1" t="inlineStr">
        <is>
          <t>F0187</t>
        </is>
      </c>
    </row>
    <row r="842" ht="15.75" customHeight="1" s="95">
      <c r="A842" s="1" t="inlineStr">
        <is>
          <t>Ray Stevenson</t>
        </is>
      </c>
      <c r="B842" s="1" t="n">
        <v>1</v>
      </c>
      <c r="C842" s="1" t="n">
        <v>2015</v>
      </c>
      <c r="D842" s="1" t="n">
        <v>2015</v>
      </c>
      <c r="E842" s="4" t="inlineStr">
        <is>
          <t>The Transporter Refueled</t>
        </is>
      </c>
      <c r="F842" s="1" t="inlineStr">
        <is>
          <t>F0323</t>
        </is>
      </c>
    </row>
    <row r="843" ht="15.75" customHeight="1" s="95">
      <c r="A843" s="1" t="inlineStr">
        <is>
          <t>Reese Witherspoon</t>
        </is>
      </c>
      <c r="B843" s="1" t="n">
        <v>1</v>
      </c>
      <c r="C843" s="1" t="n">
        <v>2016</v>
      </c>
      <c r="D843" s="1" t="n">
        <v>2016</v>
      </c>
      <c r="E843" s="4" t="inlineStr">
        <is>
          <t>Sing</t>
        </is>
      </c>
      <c r="F843" s="1" t="inlineStr">
        <is>
          <t>F0280</t>
        </is>
      </c>
    </row>
    <row r="844" ht="15.75" customHeight="1" s="95">
      <c r="A844" s="1" t="inlineStr">
        <is>
          <t>Regina King</t>
        </is>
      </c>
      <c r="B844" s="1" t="n">
        <v>1</v>
      </c>
      <c r="C844" s="1" t="n">
        <v>1998</v>
      </c>
      <c r="D844" s="1" t="n">
        <v>1998</v>
      </c>
      <c r="E844" s="4" t="inlineStr">
        <is>
          <t>Enemy of the State</t>
        </is>
      </c>
      <c r="F844" s="1" t="inlineStr">
        <is>
          <t>F0094</t>
        </is>
      </c>
    </row>
    <row r="845" ht="15.75" customHeight="1" s="95">
      <c r="A845" s="1" t="inlineStr">
        <is>
          <t>Reynaldo Gallegos</t>
        </is>
      </c>
      <c r="B845" s="1" t="n">
        <v>1</v>
      </c>
      <c r="C845" s="1" t="n">
        <v>2008</v>
      </c>
      <c r="D845" s="1" t="n">
        <v>2008</v>
      </c>
      <c r="E845" s="4" t="inlineStr">
        <is>
          <t>Rambo</t>
        </is>
      </c>
      <c r="F845" s="1" t="inlineStr">
        <is>
          <t>F0261</t>
        </is>
      </c>
    </row>
    <row r="846" ht="15.75" customHeight="1" s="95">
      <c r="A846" s="1" t="inlineStr">
        <is>
          <t>Rhona Mitra</t>
        </is>
      </c>
      <c r="B846" s="1" t="n">
        <v>1</v>
      </c>
      <c r="C846" s="1" t="n">
        <v>2009</v>
      </c>
      <c r="D846" s="1" t="n">
        <v>2009</v>
      </c>
      <c r="E846" s="4" t="inlineStr">
        <is>
          <t>Underworld: Rise of the Lycans</t>
        </is>
      </c>
      <c r="F846" s="1" t="inlineStr">
        <is>
          <t>F0327</t>
        </is>
      </c>
    </row>
    <row r="847" ht="15.75" customHeight="1" s="95">
      <c r="A847" s="1" t="inlineStr">
        <is>
          <t>Rhys Ifans</t>
        </is>
      </c>
      <c r="B847" s="1" t="n">
        <v>1</v>
      </c>
      <c r="C847" s="1" t="n">
        <v>2012</v>
      </c>
      <c r="D847" s="1" t="n">
        <v>2012</v>
      </c>
      <c r="E847" s="4" t="inlineStr">
        <is>
          <t>The Amazing Spider-Man</t>
        </is>
      </c>
      <c r="F847" s="1" t="inlineStr">
        <is>
          <t>F0019</t>
        </is>
      </c>
    </row>
    <row r="848" ht="15.75" customHeight="1" s="95">
      <c r="A848" s="1" t="inlineStr">
        <is>
          <t>Richard Harris</t>
        </is>
      </c>
      <c r="B848" s="1" t="n">
        <v>1</v>
      </c>
      <c r="C848" s="1" t="n">
        <v>2001</v>
      </c>
      <c r="D848" s="1" t="n">
        <v>2001</v>
      </c>
      <c r="E848" s="4" t="inlineStr">
        <is>
          <t>Harry Potter and the Philosopher's Stone</t>
        </is>
      </c>
      <c r="F848" s="1" t="inlineStr">
        <is>
          <t>F0137</t>
        </is>
      </c>
    </row>
    <row r="849" ht="15.75" customHeight="1" s="95">
      <c r="A849" s="1" t="inlineStr">
        <is>
          <t>Richard Kind</t>
        </is>
      </c>
      <c r="B849" s="1" t="n">
        <v>1</v>
      </c>
      <c r="C849" s="1" t="n">
        <v>2015</v>
      </c>
      <c r="D849" s="1" t="n">
        <v>2015</v>
      </c>
      <c r="E849" s="4" t="inlineStr">
        <is>
          <t>Inside Out</t>
        </is>
      </c>
      <c r="F849" s="1" t="inlineStr">
        <is>
          <t>F0167</t>
        </is>
      </c>
    </row>
    <row r="850" ht="15.75" customHeight="1" s="95">
      <c r="A850" s="1" t="inlineStr">
        <is>
          <t>Richard Madden</t>
        </is>
      </c>
      <c r="B850" s="1" t="n">
        <v>1</v>
      </c>
      <c r="C850" s="1" t="n">
        <v>2019</v>
      </c>
      <c r="D850" s="1" t="n">
        <v>2019</v>
      </c>
      <c r="E850" s="4" t="inlineStr">
        <is>
          <t>Rocketman</t>
        </is>
      </c>
      <c r="F850" s="1" t="inlineStr">
        <is>
          <t>F0269</t>
        </is>
      </c>
    </row>
    <row r="851" ht="15.75" customHeight="1" s="95">
      <c r="A851" s="1" t="inlineStr">
        <is>
          <t>Richard Roxburgh</t>
        </is>
      </c>
      <c r="B851" s="1" t="n">
        <v>1</v>
      </c>
      <c r="C851" s="1" t="n">
        <v>2000</v>
      </c>
      <c r="D851" s="1" t="n">
        <v>2000</v>
      </c>
      <c r="E851" s="4" t="inlineStr">
        <is>
          <t>Mission: Impossible II</t>
        </is>
      </c>
      <c r="F851" s="1" t="inlineStr">
        <is>
          <t>F0222</t>
        </is>
      </c>
    </row>
    <row r="852" ht="15.75" customHeight="1" s="95">
      <c r="A852" s="1" t="inlineStr">
        <is>
          <t>Richie Campbell</t>
        </is>
      </c>
      <c r="B852" s="1" t="n">
        <v>1</v>
      </c>
      <c r="C852" s="1" t="n">
        <v>2011</v>
      </c>
      <c r="D852" s="1" t="n">
        <v>2011</v>
      </c>
      <c r="E852" s="4" t="inlineStr">
        <is>
          <t>Anuvahood</t>
        </is>
      </c>
      <c r="F852" s="1" t="inlineStr">
        <is>
          <t>F0024</t>
        </is>
      </c>
    </row>
    <row r="853" ht="15.75" customHeight="1" s="95">
      <c r="A853" s="1" t="inlineStr">
        <is>
          <t>Ricky Gervais</t>
        </is>
      </c>
      <c r="B853" s="1" t="n">
        <v>1</v>
      </c>
      <c r="C853" s="1" t="n">
        <v>2014</v>
      </c>
      <c r="D853" s="1" t="n">
        <v>2014</v>
      </c>
      <c r="E853" s="4" t="inlineStr">
        <is>
          <t>Muppets Most Wanted</t>
        </is>
      </c>
      <c r="F853" s="1" t="inlineStr">
        <is>
          <t>F0232</t>
        </is>
      </c>
    </row>
    <row r="854" ht="15.75" customHeight="1" s="95">
      <c r="A854" s="1" t="inlineStr">
        <is>
          <t>Rihanna</t>
        </is>
      </c>
      <c r="B854" s="1" t="n">
        <v>1</v>
      </c>
      <c r="C854" s="1" t="n">
        <v>2015</v>
      </c>
      <c r="D854" s="1" t="n">
        <v>2015</v>
      </c>
      <c r="E854" s="4" t="inlineStr">
        <is>
          <t>Home</t>
        </is>
      </c>
      <c r="F854" s="1" t="inlineStr">
        <is>
          <t>F0153</t>
        </is>
      </c>
    </row>
    <row r="855" ht="15.75" customHeight="1" s="95">
      <c r="A855" s="1" t="inlineStr">
        <is>
          <t>Rila Fukushima</t>
        </is>
      </c>
      <c r="B855" s="1" t="n">
        <v>1</v>
      </c>
      <c r="C855" s="1" t="n">
        <v>2013</v>
      </c>
      <c r="D855" s="1" t="n">
        <v>2013</v>
      </c>
      <c r="E855" s="4" t="inlineStr">
        <is>
          <t>The Wolverine</t>
        </is>
      </c>
      <c r="F855" s="1" t="inlineStr">
        <is>
          <t>F0347</t>
        </is>
      </c>
    </row>
    <row r="856" ht="15.75" customHeight="1" s="95">
      <c r="A856" s="1" t="inlineStr">
        <is>
          <t>Riley Griffiths</t>
        </is>
      </c>
      <c r="B856" s="1" t="n">
        <v>1</v>
      </c>
      <c r="C856" s="1" t="n">
        <v>2011</v>
      </c>
      <c r="D856" s="1" t="n">
        <v>2011</v>
      </c>
      <c r="E856" s="4" t="inlineStr">
        <is>
          <t>Super 8</t>
        </is>
      </c>
      <c r="F856" s="1" t="inlineStr">
        <is>
          <t>F0302</t>
        </is>
      </c>
    </row>
    <row r="857" ht="15.75" customHeight="1" s="95">
      <c r="A857" s="1" t="inlineStr">
        <is>
          <t>Rinko Kikuchi</t>
        </is>
      </c>
      <c r="B857" s="1" t="n">
        <v>1</v>
      </c>
      <c r="C857" s="1" t="n">
        <v>2013</v>
      </c>
      <c r="D857" s="1" t="n">
        <v>2013</v>
      </c>
      <c r="E857" s="4" t="inlineStr">
        <is>
          <t>Pacific Rim</t>
        </is>
      </c>
      <c r="F857" s="1" t="inlineStr">
        <is>
          <t>F0243</t>
        </is>
      </c>
    </row>
    <row r="858" ht="15.75" customHeight="1" s="95">
      <c r="A858" s="1" t="inlineStr">
        <is>
          <t>Rip Torn</t>
        </is>
      </c>
      <c r="B858" s="1" t="n">
        <v>1</v>
      </c>
      <c r="C858" s="1" t="n">
        <v>1997</v>
      </c>
      <c r="D858" s="1" t="n">
        <v>1997</v>
      </c>
      <c r="E858" s="4" t="inlineStr">
        <is>
          <t>Men in Black</t>
        </is>
      </c>
      <c r="F858" s="1" t="inlineStr">
        <is>
          <t>F0218</t>
        </is>
      </c>
    </row>
    <row r="859" ht="15.75" customHeight="1" s="95">
      <c r="A859" s="1" t="inlineStr">
        <is>
          <t>Rob Riggle</t>
        </is>
      </c>
      <c r="B859" s="1" t="n">
        <v>1</v>
      </c>
      <c r="C859" s="1" t="n">
        <v>2012</v>
      </c>
      <c r="D859" s="1" t="n">
        <v>2012</v>
      </c>
      <c r="E859" s="4" t="inlineStr">
        <is>
          <t>21 Jump Street</t>
        </is>
      </c>
      <c r="F859" s="1" t="inlineStr">
        <is>
          <t>F0007</t>
        </is>
      </c>
    </row>
    <row r="860" ht="15.75" customHeight="1" s="95">
      <c r="A860" s="1" t="inlineStr">
        <is>
          <t>Rob Schneider</t>
        </is>
      </c>
      <c r="B860" s="1" t="n">
        <v>1</v>
      </c>
      <c r="C860" s="1" t="n">
        <v>2010</v>
      </c>
      <c r="D860" s="1" t="n">
        <v>2010</v>
      </c>
      <c r="E860" s="4" t="inlineStr">
        <is>
          <t>Grown Ups</t>
        </is>
      </c>
      <c r="F860" s="1" t="inlineStr">
        <is>
          <t>F0131</t>
        </is>
      </c>
    </row>
    <row r="861" ht="15.75" customHeight="1" s="95">
      <c r="A861" s="1" t="inlineStr">
        <is>
          <t>Robbie Coltrane</t>
        </is>
      </c>
      <c r="B861" s="1" t="n">
        <v>1</v>
      </c>
      <c r="C861" s="1" t="n">
        <v>2004</v>
      </c>
      <c r="D861" s="1" t="n">
        <v>2004</v>
      </c>
      <c r="E861" s="4" t="inlineStr">
        <is>
          <t>Harry Potter and the Prisoner of Azkaban</t>
        </is>
      </c>
      <c r="F861" s="1" t="inlineStr">
        <is>
          <t>F0139</t>
        </is>
      </c>
    </row>
    <row r="862" ht="15.75" customHeight="1" s="95">
      <c r="A862" s="1" t="inlineStr">
        <is>
          <t>Robert De Niro</t>
        </is>
      </c>
      <c r="B862" s="1" t="n">
        <v>1</v>
      </c>
      <c r="C862" s="1" t="n">
        <v>2016</v>
      </c>
      <c r="D862" s="1" t="n">
        <v>2016</v>
      </c>
      <c r="E862" s="4" t="inlineStr">
        <is>
          <t>Dirty Grandpa</t>
        </is>
      </c>
      <c r="F862" s="1" t="inlineStr">
        <is>
          <t>F0087</t>
        </is>
      </c>
    </row>
    <row r="863" ht="15.75" customHeight="1" s="95">
      <c r="A863" s="1" t="inlineStr">
        <is>
          <t>Robert Huerta</t>
        </is>
      </c>
      <c r="B863" s="1" t="n">
        <v>1</v>
      </c>
      <c r="C863" s="1" t="n">
        <v>2009</v>
      </c>
      <c r="D863" s="1" t="n">
        <v>2009</v>
      </c>
      <c r="E863" s="4" t="inlineStr">
        <is>
          <t>Brüno</t>
        </is>
      </c>
      <c r="F863" s="1" t="inlineStr">
        <is>
          <t>F0059</t>
        </is>
      </c>
    </row>
    <row r="864" ht="15.75" customHeight="1" s="95">
      <c r="A864" s="1" t="inlineStr">
        <is>
          <t>Robert Pattinson</t>
        </is>
      </c>
      <c r="B864" s="1" t="n">
        <v>1</v>
      </c>
      <c r="C864" s="1" t="n">
        <v>2022</v>
      </c>
      <c r="D864" s="1" t="n">
        <v>2022</v>
      </c>
      <c r="E864" s="4" t="inlineStr">
        <is>
          <t>The Batman</t>
        </is>
      </c>
      <c r="F864" s="1" t="inlineStr">
        <is>
          <t>F0042</t>
        </is>
      </c>
    </row>
    <row r="865" ht="15.75" customHeight="1" s="95">
      <c r="A865" s="1" t="inlineStr">
        <is>
          <t>Robin Wright</t>
        </is>
      </c>
      <c r="B865" s="1" t="n">
        <v>1</v>
      </c>
      <c r="C865" s="1" t="n">
        <v>2011</v>
      </c>
      <c r="D865" s="1" t="n">
        <v>2011</v>
      </c>
      <c r="E865" s="4" t="inlineStr">
        <is>
          <t>The Girl with the Dragon Tattoo</t>
        </is>
      </c>
      <c r="F865" s="1" t="inlineStr">
        <is>
          <t>F0120</t>
        </is>
      </c>
    </row>
    <row r="866" ht="15.75" customHeight="1" s="95">
      <c r="A866" s="1" t="inlineStr">
        <is>
          <t>Roman Griffin Davis</t>
        </is>
      </c>
      <c r="B866" s="1" t="n">
        <v>1</v>
      </c>
      <c r="C866" s="1" t="n">
        <v>2019</v>
      </c>
      <c r="D866" s="1" t="n">
        <v>2019</v>
      </c>
      <c r="E866" s="4" t="inlineStr">
        <is>
          <t>Jojo Rabbit</t>
        </is>
      </c>
      <c r="F866" s="1" t="inlineStr">
        <is>
          <t>F0170</t>
        </is>
      </c>
    </row>
    <row r="867" ht="15.75" customHeight="1" s="95">
      <c r="A867" s="1" t="inlineStr">
        <is>
          <t>Ron Dennis</t>
        </is>
      </c>
      <c r="B867" s="1" t="n">
        <v>1</v>
      </c>
      <c r="C867" s="1" t="n">
        <v>2010</v>
      </c>
      <c r="D867" s="1" t="n">
        <v>2010</v>
      </c>
      <c r="E867" s="4" t="inlineStr">
        <is>
          <t>Senna</t>
        </is>
      </c>
      <c r="F867" s="1" t="inlineStr">
        <is>
          <t>F0275</t>
        </is>
      </c>
    </row>
    <row r="868" ht="15.75" customHeight="1" s="95">
      <c r="A868" s="1" t="inlineStr">
        <is>
          <t>Ronny Cox</t>
        </is>
      </c>
      <c r="B868" s="1" t="n">
        <v>1</v>
      </c>
      <c r="C868" s="1" t="n"/>
      <c r="D868" s="1" t="n"/>
      <c r="E868" s="4" t="inlineStr">
        <is>
          <t>RoboCop</t>
        </is>
      </c>
      <c r="F868" s="1" t="inlineStr">
        <is>
          <t>F0268</t>
        </is>
      </c>
    </row>
    <row r="869" ht="15.75" customHeight="1" s="95">
      <c r="A869" s="1" t="inlineStr">
        <is>
          <t>Rooney Mara</t>
        </is>
      </c>
      <c r="B869" s="1" t="n">
        <v>1</v>
      </c>
      <c r="C869" s="1" t="n">
        <v>2011</v>
      </c>
      <c r="D869" s="1" t="n">
        <v>2011</v>
      </c>
      <c r="E869" s="4" t="inlineStr">
        <is>
          <t>The Girl with the Dragon Tattoo</t>
        </is>
      </c>
      <c r="F869" s="1" t="inlineStr">
        <is>
          <t>F0120</t>
        </is>
      </c>
    </row>
    <row r="870" ht="15.75" customHeight="1" s="95">
      <c r="A870" s="1" t="inlineStr">
        <is>
          <t>Rory Kinnear</t>
        </is>
      </c>
      <c r="B870" s="1" t="n">
        <v>1</v>
      </c>
      <c r="C870" s="1" t="n">
        <v>2014</v>
      </c>
      <c r="D870" s="1" t="n">
        <v>2014</v>
      </c>
      <c r="E870" s="4" t="inlineStr">
        <is>
          <t>The Imitation Game</t>
        </is>
      </c>
      <c r="F870" s="1" t="inlineStr">
        <is>
          <t>F0162</t>
        </is>
      </c>
    </row>
    <row r="871" ht="15.75" customHeight="1" s="95">
      <c r="A871" s="1" t="inlineStr">
        <is>
          <t>Rosamund Pike</t>
        </is>
      </c>
      <c r="B871" s="1" t="n">
        <v>1</v>
      </c>
      <c r="C871" s="1" t="n">
        <v>2012</v>
      </c>
      <c r="D871" s="1" t="n">
        <v>2012</v>
      </c>
      <c r="E871" s="4" t="inlineStr">
        <is>
          <t>Jack Reacher</t>
        </is>
      </c>
      <c r="F871" s="1" t="inlineStr">
        <is>
          <t>F0171</t>
        </is>
      </c>
    </row>
    <row r="872" ht="15.75" customHeight="1" s="95">
      <c r="A872" s="1" t="inlineStr">
        <is>
          <t>Rosario Dawson</t>
        </is>
      </c>
      <c r="B872" s="1" t="n">
        <v>1</v>
      </c>
      <c r="C872" s="1" t="n">
        <v>2017</v>
      </c>
      <c r="D872" s="1" t="n">
        <v>2017</v>
      </c>
      <c r="E872" s="4" t="inlineStr">
        <is>
          <t>The Lego Batman Movie</t>
        </is>
      </c>
      <c r="F872" s="1" t="inlineStr">
        <is>
          <t>F0193</t>
        </is>
      </c>
    </row>
    <row r="873" ht="15.75" customHeight="1" s="95">
      <c r="A873" s="1" t="inlineStr">
        <is>
          <t>Rosemary Harris</t>
        </is>
      </c>
      <c r="B873" s="1" t="n">
        <v>1</v>
      </c>
      <c r="C873" s="1" t="n">
        <v>2004</v>
      </c>
      <c r="D873" s="1" t="n">
        <v>2004</v>
      </c>
      <c r="E873" s="4" t="inlineStr">
        <is>
          <t>Spider-Man 2</t>
        </is>
      </c>
      <c r="F873" s="1" t="inlineStr">
        <is>
          <t>F0288</t>
        </is>
      </c>
    </row>
    <row r="874" ht="15.75" customHeight="1" s="95">
      <c r="A874" s="1" t="inlineStr">
        <is>
          <t>Rosie Huntington-Whiteley</t>
        </is>
      </c>
      <c r="B874" s="1" t="n">
        <v>1</v>
      </c>
      <c r="C874" s="1" t="n">
        <v>2011</v>
      </c>
      <c r="D874" s="1" t="n">
        <v>2011</v>
      </c>
      <c r="E874" s="4" t="inlineStr">
        <is>
          <t>Transformers: Dark of the Moon</t>
        </is>
      </c>
      <c r="F874" s="1" t="inlineStr">
        <is>
          <t>F0318</t>
        </is>
      </c>
    </row>
    <row r="875" ht="15.75" customHeight="1" s="95">
      <c r="A875" s="1" t="inlineStr">
        <is>
          <t>Rosie Perez</t>
        </is>
      </c>
      <c r="B875" s="1" t="n">
        <v>1</v>
      </c>
      <c r="C875" s="1" t="n">
        <v>2008</v>
      </c>
      <c r="D875" s="1" t="n">
        <v>2008</v>
      </c>
      <c r="E875" s="4" t="inlineStr">
        <is>
          <t>Pineapple Express</t>
        </is>
      </c>
      <c r="F875" s="1" t="inlineStr">
        <is>
          <t>F0247</t>
        </is>
      </c>
    </row>
    <row r="876" ht="15.75" customHeight="1" s="95">
      <c r="A876" s="1" t="inlineStr">
        <is>
          <t>Roxanne McKee</t>
        </is>
      </c>
      <c r="B876" s="1" t="n">
        <v>1</v>
      </c>
      <c r="C876" s="1" t="n">
        <v>2014</v>
      </c>
      <c r="D876" s="1" t="n">
        <v>2014</v>
      </c>
      <c r="E876" s="4" t="inlineStr">
        <is>
          <t>The Legend of Hercules</t>
        </is>
      </c>
      <c r="F876" s="1" t="inlineStr">
        <is>
          <t>F0148</t>
        </is>
      </c>
    </row>
    <row r="877" ht="15.75" customHeight="1" s="95">
      <c r="A877" s="1" t="inlineStr">
        <is>
          <t>Ruby Barnhill</t>
        </is>
      </c>
      <c r="B877" s="1" t="n">
        <v>1</v>
      </c>
      <c r="C877" s="1" t="n">
        <v>2016</v>
      </c>
      <c r="D877" s="1" t="n">
        <v>2016</v>
      </c>
      <c r="E877" s="4" t="inlineStr">
        <is>
          <t>The BFG</t>
        </is>
      </c>
      <c r="F877" s="1" t="inlineStr">
        <is>
          <t>F0047</t>
        </is>
      </c>
    </row>
    <row r="878" ht="15.75" customHeight="1" s="95">
      <c r="A878" s="1" t="inlineStr">
        <is>
          <t>Rufus Sewell</t>
        </is>
      </c>
      <c r="B878" s="1" t="n">
        <v>1</v>
      </c>
      <c r="C878" s="1" t="n">
        <v>2014</v>
      </c>
      <c r="D878" s="1" t="n">
        <v>2014</v>
      </c>
      <c r="E878" s="4" t="inlineStr">
        <is>
          <t>Hercules</t>
        </is>
      </c>
      <c r="F878" s="1" t="inlineStr">
        <is>
          <t>F0147</t>
        </is>
      </c>
    </row>
    <row r="879" ht="15.75" customHeight="1" s="95">
      <c r="A879" s="1" t="inlineStr">
        <is>
          <t>Rupert Friend</t>
        </is>
      </c>
      <c r="B879" s="1" t="n">
        <v>1</v>
      </c>
      <c r="C879" s="1" t="n">
        <v>2025</v>
      </c>
      <c r="D879" s="1" t="n">
        <v>2025</v>
      </c>
      <c r="E879" s="4" t="inlineStr">
        <is>
          <t>Jurassic World Rebirth</t>
        </is>
      </c>
      <c r="F879" s="1" t="inlineStr">
        <is>
          <t>F0182</t>
        </is>
      </c>
    </row>
    <row r="880" ht="15.75" customHeight="1" s="95">
      <c r="A880" s="1" t="inlineStr">
        <is>
          <t>Ryan Dunn</t>
        </is>
      </c>
      <c r="B880" s="1" t="n">
        <v>1</v>
      </c>
      <c r="C880" s="1" t="n">
        <v>2010</v>
      </c>
      <c r="D880" s="1" t="n">
        <v>2010</v>
      </c>
      <c r="E880" s="4" t="inlineStr">
        <is>
          <t>Jackass 3D</t>
        </is>
      </c>
      <c r="F880" s="1" t="inlineStr">
        <is>
          <t>F0172</t>
        </is>
      </c>
    </row>
    <row r="881" ht="15.75" customHeight="1" s="95">
      <c r="A881" s="1" t="inlineStr">
        <is>
          <t>Ryan Potter</t>
        </is>
      </c>
      <c r="B881" s="1" t="n">
        <v>1</v>
      </c>
      <c r="C881" s="1" t="n">
        <v>2014</v>
      </c>
      <c r="D881" s="1" t="n">
        <v>2014</v>
      </c>
      <c r="E881" s="4" t="inlineStr">
        <is>
          <t>Big Hero 6</t>
        </is>
      </c>
      <c r="F881" s="1" t="inlineStr">
        <is>
          <t>F0048</t>
        </is>
      </c>
    </row>
    <row r="882" ht="15.75" customHeight="1" s="95">
      <c r="A882" s="1" t="inlineStr">
        <is>
          <t>Saffron Burrows</t>
        </is>
      </c>
      <c r="B882" s="1" t="n">
        <v>1</v>
      </c>
      <c r="C882" s="1" t="n">
        <v>2008</v>
      </c>
      <c r="D882" s="1" t="n">
        <v>2008</v>
      </c>
      <c r="E882" s="4" t="inlineStr">
        <is>
          <t>The Bank Job</t>
        </is>
      </c>
      <c r="F882" s="1" t="inlineStr">
        <is>
          <t>F0040</t>
        </is>
      </c>
    </row>
    <row r="883" ht="15.75" customHeight="1" s="95">
      <c r="A883" s="1" t="inlineStr">
        <is>
          <t>Sally Hawkins</t>
        </is>
      </c>
      <c r="B883" s="1" t="n">
        <v>1</v>
      </c>
      <c r="C883" s="1" t="n">
        <v>2014</v>
      </c>
      <c r="D883" s="1" t="n">
        <v>2014</v>
      </c>
      <c r="E883" s="4" t="inlineStr">
        <is>
          <t>Paddington</t>
        </is>
      </c>
      <c r="F883" s="1" t="inlineStr">
        <is>
          <t>F0244</t>
        </is>
      </c>
    </row>
    <row r="884" ht="15.75" customHeight="1" s="95">
      <c r="A884" s="1" t="inlineStr">
        <is>
          <t>Sam Claflin</t>
        </is>
      </c>
      <c r="B884" s="1" t="n">
        <v>1</v>
      </c>
      <c r="C884" s="1" t="n">
        <v>2012</v>
      </c>
      <c r="D884" s="1" t="n">
        <v>2012</v>
      </c>
      <c r="E884" s="4" t="inlineStr">
        <is>
          <t>Snow White and the Huntsman</t>
        </is>
      </c>
      <c r="F884" s="1" t="inlineStr">
        <is>
          <t>F0284</t>
        </is>
      </c>
    </row>
    <row r="885" ht="15.75" customHeight="1" s="95">
      <c r="A885" s="1" t="inlineStr">
        <is>
          <t>Sam Shepard</t>
        </is>
      </c>
      <c r="B885" s="1" t="n">
        <v>1</v>
      </c>
      <c r="C885" s="1" t="n">
        <v>2012</v>
      </c>
      <c r="D885" s="1" t="n">
        <v>2012</v>
      </c>
      <c r="E885" s="4" t="inlineStr">
        <is>
          <t>Safe House</t>
        </is>
      </c>
      <c r="F885" s="1" t="inlineStr">
        <is>
          <t>F0272</t>
        </is>
      </c>
    </row>
    <row r="886" ht="15.75" customHeight="1" s="95">
      <c r="A886" s="1" t="inlineStr">
        <is>
          <t>Samuel Joslin</t>
        </is>
      </c>
      <c r="B886" s="1" t="n">
        <v>1</v>
      </c>
      <c r="C886" s="1" t="n">
        <v>2014</v>
      </c>
      <c r="D886" s="1" t="n">
        <v>2014</v>
      </c>
      <c r="E886" s="4" t="inlineStr">
        <is>
          <t>Paddington</t>
        </is>
      </c>
      <c r="F886" s="1" t="inlineStr">
        <is>
          <t>F0244</t>
        </is>
      </c>
    </row>
    <row r="887" ht="15.75" customHeight="1" s="95">
      <c r="A887" s="1" t="inlineStr">
        <is>
          <t>Sayed Badreya</t>
        </is>
      </c>
      <c r="B887" s="1" t="n">
        <v>1</v>
      </c>
      <c r="C887" s="1" t="n">
        <v>2012</v>
      </c>
      <c r="D887" s="1" t="n">
        <v>2012</v>
      </c>
      <c r="E887" s="4" t="inlineStr">
        <is>
          <t>The Dictator</t>
        </is>
      </c>
      <c r="F887" s="1" t="inlineStr">
        <is>
          <t>F0085</t>
        </is>
      </c>
    </row>
    <row r="888" ht="15.75" customHeight="1" s="95">
      <c r="A888" s="1" t="inlineStr">
        <is>
          <t>Scoot McNairy</t>
        </is>
      </c>
      <c r="B888" s="1" t="n">
        <v>1</v>
      </c>
      <c r="C888" s="1" t="n">
        <v>2012</v>
      </c>
      <c r="D888" s="1" t="n">
        <v>2012</v>
      </c>
      <c r="E888" s="4" t="inlineStr">
        <is>
          <t>Killing Them Softly</t>
        </is>
      </c>
      <c r="F888" s="1" t="inlineStr">
        <is>
          <t>F0187</t>
        </is>
      </c>
    </row>
    <row r="889" ht="15.75" customHeight="1" s="95">
      <c r="A889" s="1" t="inlineStr">
        <is>
          <t>Scott Adkins</t>
        </is>
      </c>
      <c r="B889" s="1" t="n">
        <v>1</v>
      </c>
      <c r="C889" s="1" t="n">
        <v>2014</v>
      </c>
      <c r="D889" s="1" t="n">
        <v>2014</v>
      </c>
      <c r="E889" s="4" t="inlineStr">
        <is>
          <t>The Legend of Hercules</t>
        </is>
      </c>
      <c r="F889" s="1" t="inlineStr">
        <is>
          <t>F0148</t>
        </is>
      </c>
    </row>
    <row r="890" ht="15.75" customHeight="1" s="95">
      <c r="A890" s="1" t="inlineStr">
        <is>
          <t>Scott Adsit</t>
        </is>
      </c>
      <c r="B890" s="1" t="n">
        <v>1</v>
      </c>
      <c r="C890" s="1" t="n">
        <v>2014</v>
      </c>
      <c r="D890" s="1" t="n">
        <v>2014</v>
      </c>
      <c r="E890" s="4" t="inlineStr">
        <is>
          <t>Big Hero 6</t>
        </is>
      </c>
      <c r="F890" s="1" t="inlineStr">
        <is>
          <t>F0048</t>
        </is>
      </c>
    </row>
    <row r="891" ht="15.75" customHeight="1" s="95">
      <c r="A891" s="1" t="inlineStr">
        <is>
          <t>Scott Glenn</t>
        </is>
      </c>
      <c r="B891" s="1" t="n">
        <v>1</v>
      </c>
      <c r="C891" s="1" t="n">
        <v>2007</v>
      </c>
      <c r="D891" s="1" t="n">
        <v>2007</v>
      </c>
      <c r="E891" s="4" t="inlineStr">
        <is>
          <t>The Bourne Ultimatum</t>
        </is>
      </c>
      <c r="F891" s="1" t="inlineStr">
        <is>
          <t>F0055</t>
        </is>
      </c>
    </row>
    <row r="892" ht="15.75" customHeight="1" s="95">
      <c r="A892" s="1" t="inlineStr">
        <is>
          <t>Scott Speedman</t>
        </is>
      </c>
      <c r="B892" s="1" t="n">
        <v>1</v>
      </c>
      <c r="C892" s="1" t="n">
        <v>2006</v>
      </c>
      <c r="D892" s="1" t="n">
        <v>2006</v>
      </c>
      <c r="E892" s="4" t="inlineStr">
        <is>
          <t>Underworld: Evolution</t>
        </is>
      </c>
      <c r="F892" s="1" t="inlineStr">
        <is>
          <t>F0326</t>
        </is>
      </c>
    </row>
    <row r="893" ht="15.75" customHeight="1" s="95">
      <c r="A893" s="1" t="inlineStr">
        <is>
          <t>Sean Hayes</t>
        </is>
      </c>
      <c r="B893" s="1" t="n">
        <v>1</v>
      </c>
      <c r="C893" s="1" t="n">
        <v>2007</v>
      </c>
      <c r="D893" s="1" t="n">
        <v>2007</v>
      </c>
      <c r="E893" s="4" t="inlineStr">
        <is>
          <t>The Bucket List</t>
        </is>
      </c>
      <c r="F893" s="1" t="inlineStr">
        <is>
          <t>F0060</t>
        </is>
      </c>
    </row>
    <row r="894" ht="15.75" customHeight="1" s="95">
      <c r="A894" s="1" t="inlineStr">
        <is>
          <t>Seth Meyers</t>
        </is>
      </c>
      <c r="B894" s="1" t="n">
        <v>1</v>
      </c>
      <c r="C894" s="1" t="n">
        <v>2008</v>
      </c>
      <c r="D894" s="1" t="n">
        <v>2008</v>
      </c>
      <c r="E894" s="4" t="inlineStr">
        <is>
          <t>Journey to the Center of the Earth</t>
        </is>
      </c>
      <c r="F894" s="1" t="inlineStr">
        <is>
          <t>F0174</t>
        </is>
      </c>
    </row>
    <row r="895" ht="15.75" customHeight="1" s="95">
      <c r="A895" s="1" t="inlineStr">
        <is>
          <t>Shad Moss</t>
        </is>
      </c>
      <c r="B895" s="1" t="n">
        <v>1</v>
      </c>
      <c r="C895" s="1" t="n">
        <v>2006</v>
      </c>
      <c r="D895" s="1" t="n">
        <v>2006</v>
      </c>
      <c r="E895" s="4" t="inlineStr">
        <is>
          <t>The Fast and the Furious: Tokyo Drift</t>
        </is>
      </c>
      <c r="F895" s="1" t="inlineStr">
        <is>
          <t>F0103</t>
        </is>
      </c>
    </row>
    <row r="896" ht="15.75" customHeight="1" s="95">
      <c r="A896" s="1" t="inlineStr">
        <is>
          <t>Shailene Woodley</t>
        </is>
      </c>
      <c r="B896" s="1" t="n">
        <v>1</v>
      </c>
      <c r="C896" s="1" t="n">
        <v>2014</v>
      </c>
      <c r="D896" s="1" t="n">
        <v>2014</v>
      </c>
      <c r="E896" s="4" t="inlineStr">
        <is>
          <t>Divergent</t>
        </is>
      </c>
      <c r="F896" s="1" t="inlineStr">
        <is>
          <t>F0089</t>
        </is>
      </c>
    </row>
    <row r="897" ht="15.75" customHeight="1" s="95">
      <c r="A897" s="1" t="inlineStr">
        <is>
          <t>Sienna Miller</t>
        </is>
      </c>
      <c r="B897" s="1" t="n">
        <v>1</v>
      </c>
      <c r="C897" s="1" t="n">
        <v>2009</v>
      </c>
      <c r="D897" s="1" t="n">
        <v>2009</v>
      </c>
      <c r="E897" s="4" t="inlineStr">
        <is>
          <t>G.I. Joe: The Rise of Cobra</t>
        </is>
      </c>
      <c r="F897" s="1" t="inlineStr">
        <is>
          <t>F0118</t>
        </is>
      </c>
    </row>
    <row r="898" ht="15.75" customHeight="1" s="95">
      <c r="A898" s="1" t="inlineStr">
        <is>
          <t>Simon Greenall</t>
        </is>
      </c>
      <c r="B898" s="1" t="n">
        <v>1</v>
      </c>
      <c r="C898" s="1" t="n">
        <v>2013</v>
      </c>
      <c r="D898" s="1" t="n">
        <v>2013</v>
      </c>
      <c r="E898" s="4" t="inlineStr">
        <is>
          <t>Alan Partridge: Alpha Papa</t>
        </is>
      </c>
      <c r="F898" s="1" t="inlineStr">
        <is>
          <t>F0014</t>
        </is>
      </c>
    </row>
    <row r="899" ht="15.75" customHeight="1" s="95">
      <c r="A899" s="1" t="inlineStr">
        <is>
          <t>Song Kang-ho</t>
        </is>
      </c>
      <c r="B899" s="1" t="n">
        <v>1</v>
      </c>
      <c r="C899" s="1" t="n">
        <v>2013</v>
      </c>
      <c r="D899" s="1" t="n">
        <v>2013</v>
      </c>
      <c r="E899" s="4" t="inlineStr">
        <is>
          <t>Snowpiercer</t>
        </is>
      </c>
      <c r="F899" s="1" t="inlineStr">
        <is>
          <t>F0283</t>
        </is>
      </c>
    </row>
    <row r="900" ht="15.75" customHeight="1" s="95">
      <c r="A900" s="1" t="inlineStr">
        <is>
          <t>Stacy Keach</t>
        </is>
      </c>
      <c r="B900" s="1" t="n">
        <v>1</v>
      </c>
      <c r="C900" s="1" t="n">
        <v>2012</v>
      </c>
      <c r="D900" s="1" t="n">
        <v>2012</v>
      </c>
      <c r="E900" s="4" t="inlineStr">
        <is>
          <t>The Bourne Legacy</t>
        </is>
      </c>
      <c r="F900" s="1" t="inlineStr">
        <is>
          <t>F0056</t>
        </is>
      </c>
    </row>
    <row r="901" ht="15.75" customHeight="1" s="95">
      <c r="A901" s="1" t="inlineStr">
        <is>
          <t>Stanley Tucci</t>
        </is>
      </c>
      <c r="B901" s="1" t="n">
        <v>1</v>
      </c>
      <c r="C901" s="1" t="n">
        <v>2014</v>
      </c>
      <c r="D901" s="1" t="n">
        <v>2014</v>
      </c>
      <c r="E901" s="4" t="inlineStr">
        <is>
          <t>Transformers: Age of Extinction</t>
        </is>
      </c>
      <c r="F901" s="1" t="inlineStr">
        <is>
          <t>F0319</t>
        </is>
      </c>
    </row>
    <row r="902" ht="15.75" customHeight="1" s="95">
      <c r="A902" s="1" t="inlineStr">
        <is>
          <t>Stephanie Beatriz</t>
        </is>
      </c>
      <c r="B902" s="1" t="n">
        <v>1</v>
      </c>
      <c r="C902" s="1" t="n">
        <v>2019</v>
      </c>
      <c r="D902" s="1" t="n">
        <v>2019</v>
      </c>
      <c r="E902" s="4" t="inlineStr">
        <is>
          <t>The Lego Movie 2: The Second Part</t>
        </is>
      </c>
      <c r="F902" s="1" t="inlineStr">
        <is>
          <t>F0196</t>
        </is>
      </c>
    </row>
    <row r="903" ht="15.75" customHeight="1" s="95">
      <c r="A903" s="1" t="inlineStr">
        <is>
          <t>Stephen Campbell Moore</t>
        </is>
      </c>
      <c r="B903" s="1" t="n">
        <v>1</v>
      </c>
      <c r="C903" s="1" t="n">
        <v>2008</v>
      </c>
      <c r="D903" s="1" t="n">
        <v>2008</v>
      </c>
      <c r="E903" s="4" t="inlineStr">
        <is>
          <t>The Bank Job</t>
        </is>
      </c>
      <c r="F903" s="1" t="inlineStr">
        <is>
          <t>F0040</t>
        </is>
      </c>
    </row>
    <row r="904" ht="15.75" customHeight="1" s="95">
      <c r="A904" s="1" t="inlineStr">
        <is>
          <t>Stephen Lang</t>
        </is>
      </c>
      <c r="B904" s="1" t="n">
        <v>1</v>
      </c>
      <c r="C904" s="1" t="n">
        <v>2009</v>
      </c>
      <c r="D904" s="1" t="n">
        <v>2009</v>
      </c>
      <c r="E904" s="4" t="inlineStr">
        <is>
          <t>Avatar</t>
        </is>
      </c>
      <c r="F904" s="1" t="inlineStr">
        <is>
          <t>F0028</t>
        </is>
      </c>
    </row>
    <row r="905" ht="15.75" customHeight="1" s="95">
      <c r="A905" s="1" t="inlineStr">
        <is>
          <t>Stephen Rea</t>
        </is>
      </c>
      <c r="B905" s="1" t="n">
        <v>1</v>
      </c>
      <c r="C905" s="1" t="n">
        <v>2012</v>
      </c>
      <c r="D905" s="1" t="n">
        <v>2012</v>
      </c>
      <c r="E905" s="4" t="inlineStr">
        <is>
          <t>Underworld: Awakening</t>
        </is>
      </c>
      <c r="F905" s="1" t="inlineStr">
        <is>
          <t>F0328</t>
        </is>
      </c>
    </row>
    <row r="906" ht="15.75" customHeight="1" s="95">
      <c r="A906" s="1" t="inlineStr">
        <is>
          <t>Steve Martin</t>
        </is>
      </c>
      <c r="B906" s="1" t="n">
        <v>1</v>
      </c>
      <c r="C906" s="1" t="n">
        <v>2015</v>
      </c>
      <c r="D906" s="1" t="n">
        <v>2015</v>
      </c>
      <c r="E906" s="4" t="inlineStr">
        <is>
          <t>Home</t>
        </is>
      </c>
      <c r="F906" s="1" t="inlineStr">
        <is>
          <t>F0153</t>
        </is>
      </c>
    </row>
    <row r="907" ht="15.75" customHeight="1" s="95">
      <c r="A907" s="1" t="inlineStr">
        <is>
          <t>Steve Whitmire</t>
        </is>
      </c>
      <c r="B907" s="1" t="n">
        <v>1</v>
      </c>
      <c r="C907" s="1" t="n">
        <v>2014</v>
      </c>
      <c r="D907" s="1" t="n">
        <v>2014</v>
      </c>
      <c r="E907" s="4" t="inlineStr">
        <is>
          <t>Muppets Most Wanted</t>
        </is>
      </c>
      <c r="F907" s="1" t="inlineStr">
        <is>
          <t>F0232</t>
        </is>
      </c>
    </row>
    <row r="908" ht="15.75" customHeight="1" s="95">
      <c r="A908" s="1" t="inlineStr">
        <is>
          <t>Steve Zahn</t>
        </is>
      </c>
      <c r="B908" s="1" t="n">
        <v>1</v>
      </c>
      <c r="C908" s="1" t="n">
        <v>2017</v>
      </c>
      <c r="D908" s="1" t="n">
        <v>2017</v>
      </c>
      <c r="E908" s="4" t="inlineStr">
        <is>
          <t>War for the Planet of the Apes</t>
        </is>
      </c>
      <c r="F908" s="1" t="inlineStr">
        <is>
          <t>F0255</t>
        </is>
      </c>
    </row>
    <row r="909" ht="15.75" customHeight="1" s="95">
      <c r="A909" s="1" t="inlineStr">
        <is>
          <t>Steve-O</t>
        </is>
      </c>
      <c r="B909" s="1" t="n">
        <v>1</v>
      </c>
      <c r="C909" s="1" t="n">
        <v>2010</v>
      </c>
      <c r="D909" s="1" t="n">
        <v>2010</v>
      </c>
      <c r="E909" s="4" t="inlineStr">
        <is>
          <t>Jackass 3D</t>
        </is>
      </c>
      <c r="F909" s="1" t="inlineStr">
        <is>
          <t>F0172</t>
        </is>
      </c>
    </row>
    <row r="910" ht="15.75" customHeight="1" s="95">
      <c r="A910" s="1" t="inlineStr">
        <is>
          <t>Steven Mackintosh</t>
        </is>
      </c>
      <c r="B910" s="1" t="n">
        <v>1</v>
      </c>
      <c r="C910" s="1" t="n">
        <v>2009</v>
      </c>
      <c r="D910" s="1" t="n">
        <v>2009</v>
      </c>
      <c r="E910" s="4" t="inlineStr">
        <is>
          <t>Underworld: Rise of the Lycans</t>
        </is>
      </c>
      <c r="F910" s="1" t="inlineStr">
        <is>
          <t>F0327</t>
        </is>
      </c>
    </row>
    <row r="911" ht="15.75" customHeight="1" s="95">
      <c r="A911" s="1" t="inlineStr">
        <is>
          <t>Sung Kang</t>
        </is>
      </c>
      <c r="B911" s="1" t="n">
        <v>1</v>
      </c>
      <c r="C911" s="1" t="n">
        <v>2006</v>
      </c>
      <c r="D911" s="1" t="n">
        <v>2006</v>
      </c>
      <c r="E911" s="4" t="inlineStr">
        <is>
          <t>The Fast and the Furious: Tokyo Drift</t>
        </is>
      </c>
      <c r="F911" s="1" t="inlineStr">
        <is>
          <t>F0103</t>
        </is>
      </c>
    </row>
    <row r="912" ht="15.75" customHeight="1" s="95">
      <c r="A912" s="1" t="inlineStr">
        <is>
          <t>Sylvaine Strike</t>
        </is>
      </c>
      <c r="B912" s="1" t="n">
        <v>1</v>
      </c>
      <c r="C912" s="1" t="n">
        <v>2009</v>
      </c>
      <c r="D912" s="1" t="n">
        <v>2009</v>
      </c>
      <c r="E912" s="4" t="inlineStr">
        <is>
          <t>District 9</t>
        </is>
      </c>
      <c r="F912" s="1" t="inlineStr">
        <is>
          <t>F0088</t>
        </is>
      </c>
    </row>
    <row r="913" ht="15.75" customHeight="1" s="95">
      <c r="A913" s="1" t="inlineStr">
        <is>
          <t>Tao Okamoto</t>
        </is>
      </c>
      <c r="B913" s="1" t="n">
        <v>1</v>
      </c>
      <c r="C913" s="1" t="n">
        <v>2013</v>
      </c>
      <c r="D913" s="1" t="n">
        <v>2013</v>
      </c>
      <c r="E913" s="4" t="inlineStr">
        <is>
          <t>The Wolverine</t>
        </is>
      </c>
      <c r="F913" s="1" t="inlineStr">
        <is>
          <t>F0347</t>
        </is>
      </c>
    </row>
    <row r="914" ht="15.75" customHeight="1" s="95">
      <c r="A914" s="1" t="inlineStr">
        <is>
          <t>Taron Egerton</t>
        </is>
      </c>
      <c r="B914" s="1" t="n">
        <v>1</v>
      </c>
      <c r="C914" s="1" t="n">
        <v>2019</v>
      </c>
      <c r="D914" s="1" t="n">
        <v>2019</v>
      </c>
      <c r="E914" s="4" t="inlineStr">
        <is>
          <t>Rocketman</t>
        </is>
      </c>
      <c r="F914" s="1" t="inlineStr">
        <is>
          <t>F0269</t>
        </is>
      </c>
    </row>
    <row r="915" ht="15.75" customHeight="1" s="95">
      <c r="A915" s="1" t="inlineStr">
        <is>
          <t>Tatiana Pajković</t>
        </is>
      </c>
      <c r="B915" s="1" t="n">
        <v>1</v>
      </c>
      <c r="C915" s="1" t="n">
        <v>2015</v>
      </c>
      <c r="D915" s="1" t="n">
        <v>2015</v>
      </c>
      <c r="E915" s="4" t="inlineStr">
        <is>
          <t>The Transporter Refueled</t>
        </is>
      </c>
      <c r="F915" s="1" t="inlineStr">
        <is>
          <t>F0323</t>
        </is>
      </c>
    </row>
    <row r="916" ht="15.75" customHeight="1" s="95">
      <c r="A916" s="1" t="inlineStr">
        <is>
          <t>Taylor Kitsch</t>
        </is>
      </c>
      <c r="B916" s="1" t="n">
        <v>1</v>
      </c>
      <c r="C916" s="1" t="n">
        <v>2013</v>
      </c>
      <c r="D916" s="1" t="n">
        <v>2013</v>
      </c>
      <c r="E916" s="4" t="inlineStr">
        <is>
          <t>Lone Survivor</t>
        </is>
      </c>
      <c r="F916" s="1" t="inlineStr">
        <is>
          <t>F0202</t>
        </is>
      </c>
    </row>
    <row r="917" ht="15.75" customHeight="1" s="95">
      <c r="A917" s="1" t="inlineStr">
        <is>
          <t>Tchéky Karyo</t>
        </is>
      </c>
      <c r="B917" s="1" t="n">
        <v>1</v>
      </c>
      <c r="C917" s="1" t="n">
        <v>1995</v>
      </c>
      <c r="D917" s="1" t="n">
        <v>1995</v>
      </c>
      <c r="E917" s="4" t="inlineStr">
        <is>
          <t>Bad Boys</t>
        </is>
      </c>
      <c r="F917" s="1" t="inlineStr">
        <is>
          <t>F0036</t>
        </is>
      </c>
    </row>
    <row r="918" ht="15.75" customHeight="1" s="95">
      <c r="A918" s="1" t="inlineStr">
        <is>
          <t>Terrence Howard</t>
        </is>
      </c>
      <c r="B918" s="1" t="n">
        <v>1</v>
      </c>
      <c r="C918" s="1" t="n">
        <v>2013</v>
      </c>
      <c r="D918" s="1" t="n">
        <v>2013</v>
      </c>
      <c r="E918" s="4" t="inlineStr">
        <is>
          <t>Prisoners</t>
        </is>
      </c>
      <c r="F918" s="1" t="inlineStr">
        <is>
          <t>F0258</t>
        </is>
      </c>
    </row>
    <row r="919" ht="15.75" customHeight="1" s="95">
      <c r="A919" s="1" t="inlineStr">
        <is>
          <t>Terry Notary</t>
        </is>
      </c>
      <c r="B919" s="1" t="n">
        <v>1</v>
      </c>
      <c r="C919" s="1" t="n">
        <v>2017</v>
      </c>
      <c r="D919" s="1" t="n">
        <v>2017</v>
      </c>
      <c r="E919" s="4" t="inlineStr">
        <is>
          <t>War for the Planet of the Apes</t>
        </is>
      </c>
      <c r="F919" s="1" t="inlineStr">
        <is>
          <t>F0255</t>
        </is>
      </c>
    </row>
    <row r="920" ht="15.75" customHeight="1" s="95">
      <c r="A920" s="1" t="inlineStr">
        <is>
          <t>Tessa Thompson</t>
        </is>
      </c>
      <c r="B920" s="1" t="n">
        <v>1</v>
      </c>
      <c r="C920" s="1" t="n">
        <v>2015</v>
      </c>
      <c r="D920" s="1" t="n">
        <v>2015</v>
      </c>
      <c r="E920" s="4" t="inlineStr">
        <is>
          <t>Creed</t>
        </is>
      </c>
      <c r="F920" s="1" t="inlineStr">
        <is>
          <t>F0074</t>
        </is>
      </c>
    </row>
    <row r="921" ht="15.75" customHeight="1" s="95">
      <c r="A921" s="1" t="inlineStr">
        <is>
          <t>Thomas Brodie-Sangster</t>
        </is>
      </c>
      <c r="B921" s="1" t="n">
        <v>1</v>
      </c>
      <c r="C921" s="1" t="n">
        <v>2014</v>
      </c>
      <c r="D921" s="1" t="n">
        <v>2014</v>
      </c>
      <c r="E921" s="4" t="inlineStr">
        <is>
          <t>The Maze Runner</t>
        </is>
      </c>
      <c r="F921" s="1" t="inlineStr">
        <is>
          <t>F0217</t>
        </is>
      </c>
    </row>
    <row r="922" ht="15.75" customHeight="1" s="95">
      <c r="A922" s="1" t="inlineStr">
        <is>
          <t>Thomas Haden Church</t>
        </is>
      </c>
      <c r="B922" s="1" t="n">
        <v>1</v>
      </c>
      <c r="C922" s="1" t="n">
        <v>2007</v>
      </c>
      <c r="D922" s="1" t="n">
        <v>2007</v>
      </c>
      <c r="E922" s="4" t="inlineStr">
        <is>
          <t>Spider-Man 3</t>
        </is>
      </c>
      <c r="F922" s="1" t="inlineStr">
        <is>
          <t>F0289</t>
        </is>
      </c>
    </row>
    <row r="923" ht="15.75" customHeight="1" s="95">
      <c r="A923" s="1" t="inlineStr">
        <is>
          <t>Thomasin McKenzie</t>
        </is>
      </c>
      <c r="B923" s="1" t="n">
        <v>1</v>
      </c>
      <c r="C923" s="1" t="n">
        <v>2019</v>
      </c>
      <c r="D923" s="1" t="n">
        <v>2019</v>
      </c>
      <c r="E923" s="4" t="inlineStr">
        <is>
          <t>Jojo Rabbit</t>
        </is>
      </c>
      <c r="F923" s="1" t="inlineStr">
        <is>
          <t>F0170</t>
        </is>
      </c>
    </row>
    <row r="924" ht="15.75" customHeight="1" s="95">
      <c r="A924" s="1" t="inlineStr">
        <is>
          <t>Tiffany Haddish</t>
        </is>
      </c>
      <c r="B924" s="1" t="n">
        <v>1</v>
      </c>
      <c r="C924" s="1" t="n">
        <v>2019</v>
      </c>
      <c r="D924" s="1" t="n">
        <v>2019</v>
      </c>
      <c r="E924" s="4" t="inlineStr">
        <is>
          <t>The Lego Movie 2: The Second Part</t>
        </is>
      </c>
      <c r="F924" s="1" t="inlineStr">
        <is>
          <t>F0196</t>
        </is>
      </c>
    </row>
    <row r="925" ht="15.75" customHeight="1" s="95">
      <c r="A925" s="1" t="inlineStr">
        <is>
          <t>Tilda Swinton</t>
        </is>
      </c>
      <c r="B925" s="1" t="n">
        <v>1</v>
      </c>
      <c r="C925" s="1" t="n">
        <v>2013</v>
      </c>
      <c r="D925" s="1" t="n">
        <v>2013</v>
      </c>
      <c r="E925" s="4" t="inlineStr">
        <is>
          <t>Snowpiercer</t>
        </is>
      </c>
      <c r="F925" s="1" t="inlineStr">
        <is>
          <t>F0283</t>
        </is>
      </c>
    </row>
    <row r="926" ht="15.75" customHeight="1" s="95">
      <c r="A926" s="1" t="inlineStr">
        <is>
          <t>Timothy Olyphant</t>
        </is>
      </c>
      <c r="B926" s="1" t="n">
        <v>1</v>
      </c>
      <c r="C926" s="1" t="n">
        <v>2007</v>
      </c>
      <c r="D926" s="1" t="n">
        <v>2007</v>
      </c>
      <c r="E926" s="4" t="inlineStr">
        <is>
          <t>Live Free or Die Hard</t>
        </is>
      </c>
      <c r="F926" s="1" t="inlineStr">
        <is>
          <t>F0086</t>
        </is>
      </c>
    </row>
    <row r="927" ht="15.75" customHeight="1" s="95">
      <c r="A927" s="1" t="inlineStr">
        <is>
          <t>Timothy Spall</t>
        </is>
      </c>
      <c r="B927" s="1" t="n">
        <v>1</v>
      </c>
      <c r="C927" s="1" t="n">
        <v>2010</v>
      </c>
      <c r="D927" s="1" t="n">
        <v>2010</v>
      </c>
      <c r="E927" s="4" t="inlineStr">
        <is>
          <t>The King's Speech</t>
        </is>
      </c>
      <c r="F927" s="1" t="inlineStr">
        <is>
          <t>F0189</t>
        </is>
      </c>
    </row>
    <row r="928" ht="15.75" customHeight="1" s="95">
      <c r="A928" s="1" t="inlineStr">
        <is>
          <t>Timothée Chalamet</t>
        </is>
      </c>
      <c r="B928" s="1" t="n">
        <v>1</v>
      </c>
      <c r="C928" s="1" t="n">
        <v>2023</v>
      </c>
      <c r="D928" s="1" t="n">
        <v>2023</v>
      </c>
      <c r="E928" s="4" t="inlineStr">
        <is>
          <t>Wonka</t>
        </is>
      </c>
      <c r="F928" s="1" t="inlineStr">
        <is>
          <t>F0338</t>
        </is>
      </c>
    </row>
    <row r="929" ht="15.75" customHeight="1" s="95">
      <c r="A929" s="1" t="inlineStr">
        <is>
          <t>Tina Fey</t>
        </is>
      </c>
      <c r="B929" s="1" t="n">
        <v>1</v>
      </c>
      <c r="C929" s="1" t="n">
        <v>2014</v>
      </c>
      <c r="D929" s="1" t="n">
        <v>2014</v>
      </c>
      <c r="E929" s="4" t="inlineStr">
        <is>
          <t>Muppets Most Wanted</t>
        </is>
      </c>
      <c r="F929" s="1" t="inlineStr">
        <is>
          <t>F0232</t>
        </is>
      </c>
    </row>
    <row r="930" ht="15.75" customHeight="1" s="95">
      <c r="A930" s="1" t="inlineStr">
        <is>
          <t>Tobias Menzies</t>
        </is>
      </c>
      <c r="B930" s="1" t="n">
        <v>1</v>
      </c>
      <c r="C930" s="1" t="n">
        <v>2025</v>
      </c>
      <c r="D930" s="1" t="n">
        <v>2025</v>
      </c>
      <c r="E930" s="4" t="inlineStr">
        <is>
          <t>F1</t>
        </is>
      </c>
      <c r="F930" s="1" t="inlineStr">
        <is>
          <t>F0098</t>
        </is>
      </c>
    </row>
    <row r="931" ht="15.75" customHeight="1" s="95">
      <c r="A931" s="1" t="inlineStr">
        <is>
          <t>Toby Kebbell</t>
        </is>
      </c>
      <c r="B931" s="1" t="n">
        <v>1</v>
      </c>
      <c r="C931" s="1" t="n">
        <v>2014</v>
      </c>
      <c r="D931" s="1" t="n">
        <v>2014</v>
      </c>
      <c r="E931" s="4" t="inlineStr">
        <is>
          <t>Dawn of the Planet of the Apes</t>
        </is>
      </c>
      <c r="F931" s="1" t="inlineStr">
        <is>
          <t>F0254</t>
        </is>
      </c>
    </row>
    <row r="932" ht="15.75" customHeight="1" s="95">
      <c r="A932" s="1" t="inlineStr">
        <is>
          <t>Tom Cavanagh</t>
        </is>
      </c>
      <c r="B932" s="1" t="n">
        <v>1</v>
      </c>
      <c r="C932" s="1" t="n">
        <v>2010</v>
      </c>
      <c r="D932" s="1" t="n">
        <v>2010</v>
      </c>
      <c r="E932" s="4" t="inlineStr">
        <is>
          <t>Yogi Bear</t>
        </is>
      </c>
      <c r="F932" s="1" t="inlineStr">
        <is>
          <t>F0348</t>
        </is>
      </c>
    </row>
    <row r="933" ht="15.75" customHeight="1" s="95">
      <c r="A933" s="1" t="inlineStr">
        <is>
          <t>Tom Felton</t>
        </is>
      </c>
      <c r="B933" s="1" t="n">
        <v>1</v>
      </c>
      <c r="C933" s="1" t="n">
        <v>2001</v>
      </c>
      <c r="D933" s="1" t="n">
        <v>2001</v>
      </c>
      <c r="E933" s="4" t="inlineStr">
        <is>
          <t>Harry Potter and the Philosopher's Stone</t>
        </is>
      </c>
      <c r="F933" s="1" t="inlineStr">
        <is>
          <t>F0137</t>
        </is>
      </c>
    </row>
    <row r="934" ht="15.75" customHeight="1" s="95">
      <c r="A934" s="1" t="inlineStr">
        <is>
          <t>Tom Hiddleston</t>
        </is>
      </c>
      <c r="B934" s="1" t="n">
        <v>1</v>
      </c>
      <c r="C934" s="1" t="n">
        <v>2017</v>
      </c>
      <c r="D934" s="1" t="n">
        <v>2017</v>
      </c>
      <c r="E934" s="4" t="inlineStr">
        <is>
          <t>Kong: Skull Island</t>
        </is>
      </c>
      <c r="F934" s="1" t="inlineStr">
        <is>
          <t>F0190</t>
        </is>
      </c>
    </row>
    <row r="935" ht="15.75" customHeight="1" s="95">
      <c r="A935" s="1" t="inlineStr">
        <is>
          <t>Tom Hughes</t>
        </is>
      </c>
      <c r="B935" s="1" t="n">
        <v>1</v>
      </c>
      <c r="C935" s="1" t="n">
        <v>2010</v>
      </c>
      <c r="D935" s="1" t="n">
        <v>2010</v>
      </c>
      <c r="E935" s="4" t="inlineStr">
        <is>
          <t>Sex &amp; Drugs &amp; Rock &amp; Roll</t>
        </is>
      </c>
      <c r="F935" s="1" t="inlineStr">
        <is>
          <t>F0277</t>
        </is>
      </c>
    </row>
    <row r="936" ht="15.75" customHeight="1" s="95">
      <c r="A936" s="1" t="inlineStr">
        <is>
          <t>Tom Sizemore</t>
        </is>
      </c>
      <c r="B936" s="1" t="n">
        <v>1</v>
      </c>
      <c r="C936" s="1" t="n">
        <v>2001</v>
      </c>
      <c r="D936" s="1" t="n">
        <v>2001</v>
      </c>
      <c r="E936" s="4" t="inlineStr">
        <is>
          <t>Black Hawk Down</t>
        </is>
      </c>
      <c r="F936" s="1" t="inlineStr">
        <is>
          <t>F0050</t>
        </is>
      </c>
    </row>
    <row r="937" ht="15.75" customHeight="1" s="95">
      <c r="A937" s="1" t="inlineStr">
        <is>
          <t>Tom Skerritt</t>
        </is>
      </c>
      <c r="B937" s="1" t="n">
        <v>1</v>
      </c>
      <c r="C937" s="1" t="n">
        <v>1979</v>
      </c>
      <c r="D937" s="1" t="n">
        <v>1979</v>
      </c>
      <c r="E937" s="4" t="inlineStr">
        <is>
          <t>Alien</t>
        </is>
      </c>
      <c r="F937" s="1" t="inlineStr">
        <is>
          <t>F0015</t>
        </is>
      </c>
    </row>
    <row r="938" ht="15.75" customHeight="1" s="95">
      <c r="A938" s="1" t="inlineStr">
        <is>
          <t>Tom Wilkinson</t>
        </is>
      </c>
      <c r="B938" s="1" t="n">
        <v>1</v>
      </c>
      <c r="C938" s="1" t="n">
        <v>2009</v>
      </c>
      <c r="D938" s="1" t="n">
        <v>2009</v>
      </c>
      <c r="E938" s="4" t="inlineStr">
        <is>
          <t>44 Inch Chest</t>
        </is>
      </c>
      <c r="F938" s="1" t="inlineStr">
        <is>
          <t>F0010</t>
        </is>
      </c>
    </row>
    <row r="939" ht="15.75" customHeight="1" s="95">
      <c r="A939" s="1" t="inlineStr">
        <is>
          <t>Tony Curran</t>
        </is>
      </c>
      <c r="B939" s="1" t="n">
        <v>1</v>
      </c>
      <c r="C939" s="1" t="n">
        <v>2006</v>
      </c>
      <c r="D939" s="1" t="n">
        <v>2006</v>
      </c>
      <c r="E939" s="4" t="inlineStr">
        <is>
          <t>Underworld: Evolution</t>
        </is>
      </c>
      <c r="F939" s="1" t="inlineStr">
        <is>
          <t>F0326</t>
        </is>
      </c>
    </row>
    <row r="940" ht="15.75" customHeight="1" s="95">
      <c r="A940" s="1" t="inlineStr">
        <is>
          <t>Tony Hale</t>
        </is>
      </c>
      <c r="B940" s="1" t="n">
        <v>1</v>
      </c>
      <c r="C940" s="1" t="n">
        <v>2019</v>
      </c>
      <c r="D940" s="1" t="n">
        <v>2019</v>
      </c>
      <c r="E940" s="4" t="inlineStr">
        <is>
          <t>Toy Story 4</t>
        </is>
      </c>
      <c r="F940" s="1" t="inlineStr">
        <is>
          <t>F0315</t>
        </is>
      </c>
    </row>
    <row r="941" ht="15.75" customHeight="1" s="95">
      <c r="A941" s="1" t="inlineStr">
        <is>
          <t>Tony Todd</t>
        </is>
      </c>
      <c r="B941" s="1" t="n">
        <v>1</v>
      </c>
      <c r="C941" s="1" t="n">
        <v>2009</v>
      </c>
      <c r="D941" s="1" t="n">
        <v>2009</v>
      </c>
      <c r="E941" s="4" t="inlineStr">
        <is>
          <t>Transformers: Revenge of the Fallen</t>
        </is>
      </c>
      <c r="F941" s="1" t="inlineStr">
        <is>
          <t>F0317</t>
        </is>
      </c>
    </row>
    <row r="942" ht="15.75" customHeight="1" s="95">
      <c r="A942" s="1" t="inlineStr">
        <is>
          <t>Topher Grace</t>
        </is>
      </c>
      <c r="B942" s="1" t="n">
        <v>1</v>
      </c>
      <c r="C942" s="1" t="n">
        <v>2007</v>
      </c>
      <c r="D942" s="1" t="n">
        <v>2007</v>
      </c>
      <c r="E942" s="4" t="inlineStr">
        <is>
          <t>Spider-Man 3</t>
        </is>
      </c>
      <c r="F942" s="1" t="inlineStr">
        <is>
          <t>F0289</t>
        </is>
      </c>
    </row>
    <row r="943" ht="15.75" customHeight="1" s="95">
      <c r="A943" s="1" t="inlineStr">
        <is>
          <t>Tracy Morgan</t>
        </is>
      </c>
      <c r="B943" s="1" t="n">
        <v>1</v>
      </c>
      <c r="C943" s="1" t="n">
        <v>2010</v>
      </c>
      <c r="D943" s="1" t="n">
        <v>2010</v>
      </c>
      <c r="E943" s="4" t="inlineStr">
        <is>
          <t>Cop Out</t>
        </is>
      </c>
      <c r="F943" s="1" t="inlineStr">
        <is>
          <t>F0069</t>
        </is>
      </c>
    </row>
    <row r="944" ht="15.75" customHeight="1" s="95">
      <c r="A944" s="1" t="inlineStr">
        <is>
          <t>Travis Willingham</t>
        </is>
      </c>
      <c r="B944" s="1" t="n">
        <v>1</v>
      </c>
      <c r="C944" s="1" t="n">
        <v>2013</v>
      </c>
      <c r="D944" s="1" t="n">
        <v>2013</v>
      </c>
      <c r="E944" s="4" t="inlineStr">
        <is>
          <t>Lego Batman: The Movie - DC Super Heroes Unite</t>
        </is>
      </c>
      <c r="F944" s="1" t="inlineStr">
        <is>
          <t>F0194</t>
        </is>
      </c>
    </row>
    <row r="945" ht="15.75" customHeight="1" s="95">
      <c r="A945" s="1" t="inlineStr">
        <is>
          <t>Trevor Morgan</t>
        </is>
      </c>
      <c r="B945" s="1" t="n">
        <v>1</v>
      </c>
      <c r="C945" s="1" t="n">
        <v>2001</v>
      </c>
      <c r="D945" s="1" t="n">
        <v>2001</v>
      </c>
      <c r="E945" s="4" t="inlineStr">
        <is>
          <t>Jurassic Park III</t>
        </is>
      </c>
      <c r="F945" s="1" t="inlineStr">
        <is>
          <t>F0178</t>
        </is>
      </c>
    </row>
    <row r="946" ht="15.75" customHeight="1" s="95">
      <c r="A946" s="1" t="inlineStr">
        <is>
          <t>Ty Burrell</t>
        </is>
      </c>
      <c r="B946" s="1" t="n">
        <v>1</v>
      </c>
      <c r="C946" s="1" t="n">
        <v>2014</v>
      </c>
      <c r="D946" s="1" t="n">
        <v>2014</v>
      </c>
      <c r="E946" s="4" t="inlineStr">
        <is>
          <t>Muppets Most Wanted</t>
        </is>
      </c>
      <c r="F946" s="1" t="inlineStr">
        <is>
          <t>F0232</t>
        </is>
      </c>
    </row>
    <row r="947" ht="15.75" customHeight="1" s="95">
      <c r="A947" s="1" t="inlineStr">
        <is>
          <t>Ty Simpkins</t>
        </is>
      </c>
      <c r="B947" s="1" t="n">
        <v>1</v>
      </c>
      <c r="C947" s="1" t="n">
        <v>2015</v>
      </c>
      <c r="D947" s="1" t="n">
        <v>2015</v>
      </c>
      <c r="E947" s="4" t="inlineStr">
        <is>
          <t>Jurassic World</t>
        </is>
      </c>
      <c r="F947" s="1" t="inlineStr">
        <is>
          <t>F0179</t>
        </is>
      </c>
    </row>
    <row r="948" ht="15.75" customHeight="1" s="95">
      <c r="A948" s="1" t="inlineStr">
        <is>
          <t>Vanessa Kirby</t>
        </is>
      </c>
      <c r="B948" s="1" t="n">
        <v>1</v>
      </c>
      <c r="C948" s="1" t="n">
        <v>2019</v>
      </c>
      <c r="D948" s="1" t="n">
        <v>2019</v>
      </c>
      <c r="E948" s="4" t="inlineStr">
        <is>
          <t>Fast &amp; Furious Presents: Hobbs &amp; Shaw</t>
        </is>
      </c>
      <c r="F948" s="1" t="inlineStr">
        <is>
          <t>F0111</t>
        </is>
      </c>
    </row>
    <row r="949" ht="15.75" customHeight="1" s="95">
      <c r="A949" s="1" t="inlineStr">
        <is>
          <t>Veronica Cartwright</t>
        </is>
      </c>
      <c r="B949" s="1" t="n">
        <v>1</v>
      </c>
      <c r="C949" s="1" t="n">
        <v>1979</v>
      </c>
      <c r="D949" s="1" t="n">
        <v>1979</v>
      </c>
      <c r="E949" s="4" t="inlineStr">
        <is>
          <t>Alien</t>
        </is>
      </c>
      <c r="F949" s="1" t="inlineStr">
        <is>
          <t>F0015</t>
        </is>
      </c>
    </row>
    <row r="950" ht="15.75" customHeight="1" s="95">
      <c r="A950" s="1" t="inlineStr">
        <is>
          <t>Vicky McClure</t>
        </is>
      </c>
      <c r="B950" s="1" t="n">
        <v>1</v>
      </c>
      <c r="C950" s="1" t="n">
        <v>2013</v>
      </c>
      <c r="D950" s="1" t="n">
        <v>2013</v>
      </c>
      <c r="E950" s="4" t="inlineStr">
        <is>
          <t>Hummingbird</t>
        </is>
      </c>
      <c r="F950" s="1" t="inlineStr">
        <is>
          <t>F0156</t>
        </is>
      </c>
    </row>
    <row r="951" ht="15.75" customHeight="1" s="95">
      <c r="A951" s="1" t="inlineStr">
        <is>
          <t>Victor Garber</t>
        </is>
      </c>
      <c r="B951" s="1" t="n">
        <v>1</v>
      </c>
      <c r="C951" s="1" t="n">
        <v>2012</v>
      </c>
      <c r="D951" s="1" t="n">
        <v>2012</v>
      </c>
      <c r="E951" s="4" t="inlineStr">
        <is>
          <t>Argo</t>
        </is>
      </c>
      <c r="F951" s="1" t="inlineStr">
        <is>
          <t>F0025</t>
        </is>
      </c>
    </row>
    <row r="952" ht="15.75" customHeight="1" s="95">
      <c r="A952" s="1" t="inlineStr">
        <is>
          <t>Viola Davis</t>
        </is>
      </c>
      <c r="B952" s="1" t="n">
        <v>1</v>
      </c>
      <c r="C952" s="1" t="n">
        <v>2013</v>
      </c>
      <c r="D952" s="1" t="n">
        <v>2013</v>
      </c>
      <c r="E952" s="4" t="inlineStr">
        <is>
          <t>Prisoners</t>
        </is>
      </c>
      <c r="F952" s="1" t="inlineStr">
        <is>
          <t>F0258</t>
        </is>
      </c>
    </row>
    <row r="953" ht="15.75" customHeight="1" s="95">
      <c r="A953" s="1" t="inlineStr">
        <is>
          <t>Virginia Madsen</t>
        </is>
      </c>
      <c r="B953" s="1" t="n">
        <v>1</v>
      </c>
      <c r="C953" s="1" t="n">
        <v>2006</v>
      </c>
      <c r="D953" s="1" t="n">
        <v>2006</v>
      </c>
      <c r="E953" s="4" t="inlineStr">
        <is>
          <t>Firewall</t>
        </is>
      </c>
      <c r="F953" s="1" t="inlineStr">
        <is>
          <t>F0114</t>
        </is>
      </c>
    </row>
    <row r="954" ht="15.75" customHeight="1" s="95">
      <c r="A954" s="1" t="inlineStr">
        <is>
          <t>Viviane Senna</t>
        </is>
      </c>
      <c r="B954" s="1" t="n">
        <v>1</v>
      </c>
      <c r="C954" s="1" t="n">
        <v>2010</v>
      </c>
      <c r="D954" s="1" t="n">
        <v>2010</v>
      </c>
      <c r="E954" s="4" t="inlineStr">
        <is>
          <t>Senna</t>
        </is>
      </c>
      <c r="F954" s="1" t="inlineStr">
        <is>
          <t>F0275</t>
        </is>
      </c>
    </row>
    <row r="955" ht="15.75" customHeight="1" s="95">
      <c r="A955" s="1" t="inlineStr">
        <is>
          <t>Wagner Moura</t>
        </is>
      </c>
      <c r="B955" s="1" t="n">
        <v>1</v>
      </c>
      <c r="C955" s="1" t="n">
        <v>2013</v>
      </c>
      <c r="D955" s="1" t="n">
        <v>2013</v>
      </c>
      <c r="E955" s="4" t="inlineStr">
        <is>
          <t>Elysium</t>
        </is>
      </c>
      <c r="F955" s="1" t="inlineStr">
        <is>
          <t>F0093</t>
        </is>
      </c>
    </row>
    <row r="956" ht="15.75" customHeight="1" s="95">
      <c r="A956" s="1" t="inlineStr">
        <is>
          <t>Walter Catlett</t>
        </is>
      </c>
      <c r="B956" s="1" t="n">
        <v>1</v>
      </c>
      <c r="C956" s="1" t="n">
        <v>1940</v>
      </c>
      <c r="D956" s="1" t="n">
        <v>1940</v>
      </c>
      <c r="E956" s="4" t="inlineStr">
        <is>
          <t>Pinocchio</t>
        </is>
      </c>
      <c r="F956" s="1" t="inlineStr">
        <is>
          <t>F0248</t>
        </is>
      </c>
    </row>
    <row r="957" ht="15.75" customHeight="1" s="95">
      <c r="A957" s="1" t="inlineStr">
        <is>
          <t>Wang ZhenWei</t>
        </is>
      </c>
      <c r="B957" s="1" t="n">
        <v>1</v>
      </c>
      <c r="C957" s="1" t="n">
        <v>2010</v>
      </c>
      <c r="D957" s="1" t="n">
        <v>2010</v>
      </c>
      <c r="E957" s="4" t="inlineStr">
        <is>
          <t>The Karate Kid</t>
        </is>
      </c>
      <c r="F957" s="1" t="inlineStr">
        <is>
          <t>F0184</t>
        </is>
      </c>
    </row>
    <row r="958" ht="15.75" customHeight="1" s="95">
      <c r="A958" s="1" t="inlineStr">
        <is>
          <t>Wendi McLendon-Covey</t>
        </is>
      </c>
      <c r="B958" s="1" t="n">
        <v>1</v>
      </c>
      <c r="C958" s="1" t="n">
        <v>2011</v>
      </c>
      <c r="D958" s="1" t="n">
        <v>2011</v>
      </c>
      <c r="E958" s="4" t="inlineStr">
        <is>
          <t>Bridesmaids</t>
        </is>
      </c>
      <c r="F958" s="1" t="inlineStr">
        <is>
          <t>F0058</t>
        </is>
      </c>
    </row>
    <row r="959" ht="15.75" customHeight="1" s="95">
      <c r="A959" s="1" t="inlineStr">
        <is>
          <t>Wenwen Han</t>
        </is>
      </c>
      <c r="B959" s="1" t="n">
        <v>1</v>
      </c>
      <c r="C959" s="1" t="n">
        <v>2010</v>
      </c>
      <c r="D959" s="1" t="n">
        <v>2010</v>
      </c>
      <c r="E959" s="4" t="inlineStr">
        <is>
          <t>The Karate Kid</t>
        </is>
      </c>
      <c r="F959" s="1" t="inlineStr">
        <is>
          <t>F0184</t>
        </is>
      </c>
    </row>
    <row r="960" ht="15.75" customHeight="1" s="95">
      <c r="A960" s="1" t="inlineStr">
        <is>
          <t>Will Forte</t>
        </is>
      </c>
      <c r="B960" s="1" t="n">
        <v>1</v>
      </c>
      <c r="C960" s="1" t="n">
        <v>2013</v>
      </c>
      <c r="D960" s="1" t="n">
        <v>2013</v>
      </c>
      <c r="E960" s="4" t="inlineStr">
        <is>
          <t>Cloudy with a Chance of Meatballs 2</t>
        </is>
      </c>
      <c r="F960" s="1" t="inlineStr">
        <is>
          <t>F0067</t>
        </is>
      </c>
    </row>
    <row r="961" ht="15.75" customHeight="1" s="95">
      <c r="A961" s="1" t="inlineStr">
        <is>
          <t>Will Friedle</t>
        </is>
      </c>
      <c r="B961" s="1" t="n">
        <v>1</v>
      </c>
      <c r="C961" s="1" t="n">
        <v>2016</v>
      </c>
      <c r="D961" s="1" t="n">
        <v>2016</v>
      </c>
      <c r="E961" s="4" t="inlineStr">
        <is>
          <t>Lego DC Comics Super Heroes: Justice League - Gotham City Breakout</t>
        </is>
      </c>
      <c r="F961" s="1" t="inlineStr">
        <is>
          <t>F0198</t>
        </is>
      </c>
    </row>
    <row r="962" ht="15.75" customHeight="1" s="95">
      <c r="A962" s="1" t="inlineStr">
        <is>
          <t>Will Rothhaar</t>
        </is>
      </c>
      <c r="B962" s="1" t="n">
        <v>1</v>
      </c>
      <c r="C962" s="1" t="n">
        <v>2011</v>
      </c>
      <c r="D962" s="1" t="n">
        <v>2011</v>
      </c>
      <c r="E962" s="4" t="inlineStr">
        <is>
          <t>Battle: Los Angeles</t>
        </is>
      </c>
      <c r="F962" s="1" t="inlineStr">
        <is>
          <t>F0046</t>
        </is>
      </c>
    </row>
    <row r="963" ht="15.75" customHeight="1" s="95">
      <c r="A963" s="1" t="inlineStr">
        <is>
          <t>Willem Dafoe</t>
        </is>
      </c>
      <c r="B963" s="1" t="n">
        <v>1</v>
      </c>
      <c r="C963" s="1" t="n">
        <v>2002</v>
      </c>
      <c r="D963" s="1" t="n">
        <v>2002</v>
      </c>
      <c r="E963" s="4" t="inlineStr">
        <is>
          <t>Spider-Man</t>
        </is>
      </c>
      <c r="F963" s="1" t="inlineStr">
        <is>
          <t>F0287</t>
        </is>
      </c>
    </row>
    <row r="964" ht="15.75" customHeight="1" s="95">
      <c r="A964" s="1" t="inlineStr">
        <is>
          <t>William Fichtner</t>
        </is>
      </c>
      <c r="B964" s="1" t="n">
        <v>1</v>
      </c>
      <c r="C964" s="1" t="n">
        <v>2001</v>
      </c>
      <c r="D964" s="1" t="n">
        <v>2001</v>
      </c>
      <c r="E964" s="4" t="inlineStr">
        <is>
          <t>Black Hawk Down</t>
        </is>
      </c>
      <c r="F964" s="1" t="inlineStr">
        <is>
          <t>F0050</t>
        </is>
      </c>
    </row>
    <row r="965" ht="15.75" customHeight="1" s="95">
      <c r="A965" s="1" t="inlineStr">
        <is>
          <t>William Hurt</t>
        </is>
      </c>
      <c r="B965" s="1" t="n">
        <v>1</v>
      </c>
      <c r="C965" s="1" t="n">
        <v>2010</v>
      </c>
      <c r="D965" s="1" t="n">
        <v>2010</v>
      </c>
      <c r="E965" s="4" t="inlineStr">
        <is>
          <t>Robin Hood</t>
        </is>
      </c>
      <c r="F965" s="1" t="inlineStr">
        <is>
          <t>F0267</t>
        </is>
      </c>
    </row>
    <row r="966" ht="15.75" customHeight="1" s="95">
      <c r="A966" s="1" t="inlineStr">
        <is>
          <t>Winona Ryder</t>
        </is>
      </c>
      <c r="B966" s="1" t="n">
        <v>1</v>
      </c>
      <c r="C966" s="1" t="n">
        <v>1997</v>
      </c>
      <c r="D966" s="1" t="n">
        <v>1997</v>
      </c>
      <c r="E966" s="4" t="inlineStr">
        <is>
          <t>Alien Resurrection</t>
        </is>
      </c>
      <c r="F966" s="1" t="inlineStr">
        <is>
          <t>F0018</t>
        </is>
      </c>
    </row>
    <row r="967" ht="15.75" customHeight="1" s="95">
      <c r="A967" s="1" t="inlineStr">
        <is>
          <t>Wyatt Russell</t>
        </is>
      </c>
      <c r="B967" s="1" t="n">
        <v>1</v>
      </c>
      <c r="C967" s="1" t="n">
        <v>2014</v>
      </c>
      <c r="D967" s="1" t="n">
        <v>2014</v>
      </c>
      <c r="E967" s="4" t="inlineStr">
        <is>
          <t>22 Jump Street</t>
        </is>
      </c>
      <c r="F967" s="1" t="inlineStr">
        <is>
          <t>F0008</t>
        </is>
      </c>
    </row>
    <row r="968" ht="15.75" customHeight="1" s="95">
      <c r="A968" s="1" t="inlineStr">
        <is>
          <t>Yvan Attal</t>
        </is>
      </c>
      <c r="B968" s="1" t="n">
        <v>1</v>
      </c>
      <c r="C968" s="1" t="n">
        <v>2007</v>
      </c>
      <c r="D968" s="1" t="n">
        <v>2007</v>
      </c>
      <c r="E968" s="4" t="inlineStr">
        <is>
          <t>Rush Hour 3</t>
        </is>
      </c>
      <c r="F968" s="1" t="inlineStr">
        <is>
          <t>F0271</t>
        </is>
      </c>
    </row>
    <row r="969" ht="15.75" customHeight="1" s="95">
      <c r="A969" s="1" t="inlineStr">
        <is>
          <t>Yvonne Strahovski</t>
        </is>
      </c>
      <c r="B969" s="1" t="n">
        <v>1</v>
      </c>
      <c r="C969" s="1" t="n">
        <v>2014</v>
      </c>
      <c r="D969" s="1" t="n">
        <v>2014</v>
      </c>
      <c r="E969" s="4" t="inlineStr">
        <is>
          <t>I, Frankenstein</t>
        </is>
      </c>
      <c r="F969" s="1" t="inlineStr">
        <is>
          <t>F0159</t>
        </is>
      </c>
    </row>
    <row r="970" ht="15.75" customHeight="1" s="95">
      <c r="A970" s="1" t="inlineStr">
        <is>
          <t>Zachary Quinto</t>
        </is>
      </c>
      <c r="B970" s="1" t="n">
        <v>1</v>
      </c>
      <c r="C970" s="1" t="n">
        <v>2009</v>
      </c>
      <c r="D970" s="1" t="n">
        <v>2009</v>
      </c>
      <c r="E970" s="4" t="inlineStr">
        <is>
          <t>Star Trek</t>
        </is>
      </c>
      <c r="F970" s="1" t="inlineStr">
        <is>
          <t>F0291</t>
        </is>
      </c>
    </row>
    <row r="971" ht="15.75" customHeight="1" s="95">
      <c r="A971" s="1" t="inlineStr">
        <is>
          <t>Zazie Beetz</t>
        </is>
      </c>
      <c r="B971" s="1" t="n">
        <v>1</v>
      </c>
      <c r="C971" s="1" t="n">
        <v>2018</v>
      </c>
      <c r="D971" s="1" t="n">
        <v>2018</v>
      </c>
      <c r="E971" s="4" t="inlineStr">
        <is>
          <t>Deadpool 2</t>
        </is>
      </c>
      <c r="F971" s="1" t="inlineStr">
        <is>
          <t>F0077</t>
        </is>
      </c>
    </row>
    <row r="972" ht="15.75" customHeight="1" s="95">
      <c r="A972" s="1" t="inlineStr">
        <is>
          <t>Zendaya</t>
        </is>
      </c>
      <c r="B972" s="1" t="n">
        <v>1</v>
      </c>
      <c r="C972" s="1" t="n">
        <v>2017</v>
      </c>
      <c r="D972" s="1" t="n">
        <v>2017</v>
      </c>
      <c r="E972" s="4" t="inlineStr">
        <is>
          <t>The Greatest Showman</t>
        </is>
      </c>
      <c r="F972" s="1" t="inlineStr">
        <is>
          <t>F0127</t>
        </is>
      </c>
    </row>
    <row r="973" ht="15.75" customHeight="1" s="95">
      <c r="A973" s="1" t="inlineStr">
        <is>
          <t>Zhang Ziyi</t>
        </is>
      </c>
      <c r="B973" s="1" t="n">
        <v>1</v>
      </c>
      <c r="C973" s="1" t="n">
        <v>2019</v>
      </c>
      <c r="D973" s="1" t="n">
        <v>2019</v>
      </c>
      <c r="E973" s="4" t="inlineStr">
        <is>
          <t>Godzilla: King of the Monsters</t>
        </is>
      </c>
      <c r="F973" s="1" t="inlineStr">
        <is>
          <t>F0122</t>
        </is>
      </c>
    </row>
    <row r="974" ht="15.75" customHeight="1" s="95">
      <c r="A974" s="1" t="inlineStr">
        <is>
          <t>Zoe Saldaña</t>
        </is>
      </c>
      <c r="B974" s="1" t="n">
        <v>1</v>
      </c>
      <c r="C974" s="1" t="n">
        <v>2009</v>
      </c>
      <c r="D974" s="1" t="n">
        <v>2009</v>
      </c>
      <c r="E974" s="4" t="inlineStr">
        <is>
          <t>Avatar</t>
        </is>
      </c>
      <c r="F974" s="1" t="inlineStr">
        <is>
          <t>F0028</t>
        </is>
      </c>
    </row>
    <row r="975" ht="15.75" customHeight="1" s="95">
      <c r="A975" s="47" t="inlineStr">
        <is>
          <t>Zoey Deutch</t>
        </is>
      </c>
      <c r="B975" s="47" t="n">
        <v>1</v>
      </c>
      <c r="C975" s="47" t="n">
        <v>2016</v>
      </c>
      <c r="D975" s="47" t="n">
        <v>2016</v>
      </c>
      <c r="E975" s="54" t="inlineStr">
        <is>
          <t>Dirty Grandpa</t>
        </is>
      </c>
      <c r="F975" s="47" t="inlineStr">
        <is>
          <t>F0087</t>
        </is>
      </c>
    </row>
    <row r="976" ht="15.75" customHeight="1" s="95"/>
    <row r="977" ht="15.75" customHeight="1" s="95"/>
    <row r="978" ht="15.75" customHeight="1" s="95"/>
    <row r="979" ht="15.75" customHeight="1" s="95"/>
    <row r="980" ht="15.75" customHeight="1" s="95"/>
    <row r="981" ht="15.75" customHeight="1" s="95"/>
    <row r="982" ht="15.75" customHeight="1" s="95"/>
    <row r="983" ht="15.75" customHeight="1" s="95"/>
    <row r="984" ht="15.75" customHeight="1" s="95"/>
    <row r="985" ht="15.75" customHeight="1" s="95"/>
    <row r="986" ht="15.75" customHeight="1" s="95"/>
    <row r="987" ht="15.75" customHeight="1" s="95"/>
    <row r="988" ht="15.75" customHeight="1" s="95"/>
    <row r="989" ht="15.75" customHeight="1" s="95"/>
    <row r="990" ht="15.75" customHeight="1" s="95"/>
    <row r="991" ht="15.75" customHeight="1" s="95"/>
    <row r="992" ht="15.75" customHeight="1" s="95"/>
    <row r="993" ht="15.75" customHeight="1" s="95"/>
    <row r="994" ht="15.75" customHeight="1" s="95"/>
    <row r="995" ht="15.75" customHeight="1" s="95"/>
    <row r="996" ht="15.75" customHeight="1" s="95"/>
    <row r="997" ht="15.75" customHeight="1" s="95"/>
    <row r="998" ht="15.75" customHeight="1" s="95"/>
    <row r="999" ht="15.75" customHeight="1" s="95"/>
    <row r="1000" ht="15.75" customHeight="1" s="95"/>
  </sheetData>
  <mergeCells count="2">
    <mergeCell ref="A2:F2"/>
    <mergeCell ref="A1:F1"/>
  </mergeCells>
  <pageMargins left="0.7" right="0.7" top="0.75" bottom="0.75" header="0.3" footer="0.3"/>
  <tableParts count="1">
    <tablePart xmlns:r="http://schemas.openxmlformats.org/officeDocument/2006/relationships" r:id="rId1"/>
  </tableParts>
</worksheet>
</file>

<file path=xl/worksheets/sheet6.xml><?xml version="1.0" encoding="utf-8"?>
<worksheet xmlns="http://schemas.openxmlformats.org/spreadsheetml/2006/main">
  <sheetPr>
    <outlinePr summaryBelow="1" summaryRight="1"/>
    <pageSetUpPr/>
  </sheetPr>
  <dimension ref="A1:F251"/>
  <sheetViews>
    <sheetView workbookViewId="0">
      <selection activeCell="A1" sqref="A1"/>
    </sheetView>
  </sheetViews>
  <sheetFormatPr baseColWidth="8" defaultColWidth="14.42578125" defaultRowHeight="15"/>
  <cols>
    <col width="28" customWidth="1" style="95" min="1" max="1"/>
    <col width="12" customWidth="1" style="95" min="2" max="2"/>
    <col width="13" customWidth="1" style="95" min="3" max="4"/>
    <col width="65" customWidth="1" style="95" min="5" max="5"/>
    <col width="35" customWidth="1" style="95" min="6" max="6"/>
    <col width="8.7109375" customWidth="1" style="95" min="7" max="26"/>
  </cols>
  <sheetData>
    <row r="1" ht="23.25" customHeight="1" s="95">
      <c r="A1" s="106" t="inlineStr">
        <is>
          <t>🎥 DIRECTORS</t>
        </is>
      </c>
    </row>
    <row r="2">
      <c r="A2" s="105" t="inlineStr">
        <is>
          <t>Search or filter this sheet by director to see every film in your collection credited to them.</t>
        </is>
      </c>
    </row>
    <row r="4">
      <c r="A4" s="37" t="inlineStr">
        <is>
          <t>Director</t>
        </is>
      </c>
      <c r="B4" s="37" t="inlineStr">
        <is>
          <t>Films Owned</t>
        </is>
      </c>
      <c r="C4" s="37" t="inlineStr">
        <is>
          <t>Earliest Film</t>
        </is>
      </c>
      <c r="D4" s="37" t="inlineStr">
        <is>
          <t>Latest Film</t>
        </is>
      </c>
      <c r="E4" s="37" t="inlineStr">
        <is>
          <t>Films in Collection</t>
        </is>
      </c>
      <c r="F4" s="37" t="inlineStr">
        <is>
          <t>Film IDs</t>
        </is>
      </c>
    </row>
    <row r="5" ht="45" customHeight="1" s="95">
      <c r="A5" s="1" t="inlineStr">
        <is>
          <t>Michael Bay</t>
        </is>
      </c>
      <c r="B5" s="1" t="n">
        <v>8</v>
      </c>
      <c r="C5" s="1" t="n">
        <v>1995</v>
      </c>
      <c r="D5" s="1" t="n">
        <v>2017</v>
      </c>
      <c r="E5" s="4" t="inlineStr">
        <is>
          <t>Bad Boys, Bad Boys II, Pearl Harbor, Transformers, Transformers: Revenge of the Fallen, Transformers: Dark of the Moon, Transformers: Age of Extinction, Transformers: The Last Knight</t>
        </is>
      </c>
      <c r="F5" s="1" t="inlineStr">
        <is>
          <t>F0036, F0037, F0246, F0316, F0317, F0318, F0319, F0320</t>
        </is>
      </c>
    </row>
    <row r="6" ht="30" customHeight="1" s="95">
      <c r="A6" s="1" t="inlineStr">
        <is>
          <t>Christopher Nolan</t>
        </is>
      </c>
      <c r="B6" s="1" t="n">
        <v>7</v>
      </c>
      <c r="C6" s="1" t="n">
        <v>2005</v>
      </c>
      <c r="D6" s="1" t="n">
        <v>2023</v>
      </c>
      <c r="E6" s="4" t="inlineStr">
        <is>
          <t>Batman Begins, The Dark Knight, The Dark Knight Rises, Inception, Interstellar, Oppenheimer, The Prestige</t>
        </is>
      </c>
      <c r="F6" s="1" t="inlineStr">
        <is>
          <t>F0043, F0044, F0045, F0165, F0168, F0242, F0257</t>
        </is>
      </c>
    </row>
    <row r="7" ht="60" customHeight="1" s="95">
      <c r="A7" s="1" t="inlineStr">
        <is>
          <t>Peter Jackson</t>
        </is>
      </c>
      <c r="B7" s="1" t="n">
        <v>7</v>
      </c>
      <c r="C7" s="1" t="n">
        <v>2001</v>
      </c>
      <c r="D7" s="1" t="n">
        <v>2014</v>
      </c>
      <c r="E7" s="4" t="inlineStr">
        <is>
          <t>The Hobbit: An Unexpected Journey, The Hobbit: The Desolation of Smaug, The Hobbit: The Battle of the Five Armies, King Kong, The Lord of the Rings: The Fellowship of the Ring, The Lord of the Rings: The Two Towers, The Lord of the Rings: The Return of the King</t>
        </is>
      </c>
      <c r="F7" s="1" t="inlineStr">
        <is>
          <t>F0150, F0151, F0152, F0188, F0203, F0204, F0205</t>
        </is>
      </c>
    </row>
    <row r="8" ht="30" customHeight="1" s="95">
      <c r="A8" s="1" t="inlineStr">
        <is>
          <t>Ridley Scott</t>
        </is>
      </c>
      <c r="B8" s="1" t="n">
        <v>6</v>
      </c>
      <c r="C8" s="1" t="n">
        <v>1979</v>
      </c>
      <c r="D8" s="1" t="n">
        <v>2015</v>
      </c>
      <c r="E8" s="4" t="inlineStr">
        <is>
          <t>Alien, Black Hawk Down, Body of Lies, The Martian, Prometheus, Robin Hood</t>
        </is>
      </c>
      <c r="F8" s="1" t="inlineStr">
        <is>
          <t>F0015, F0050, F0051, F0213, F0259, F0267</t>
        </is>
      </c>
    </row>
    <row r="9" ht="30" customHeight="1" s="95">
      <c r="A9" s="1" t="inlineStr">
        <is>
          <t>Bryan Singer</t>
        </is>
      </c>
      <c r="B9" s="1" t="n">
        <v>5</v>
      </c>
      <c r="C9" s="1" t="n">
        <v>2000</v>
      </c>
      <c r="D9" s="1" t="n">
        <v>2018</v>
      </c>
      <c r="E9" s="4" t="inlineStr">
        <is>
          <t>Bohemian Rhapsody, X-Men: Days of Future Past, X-Men: Apocalypse, X-Men, X2: X-Men United</t>
        </is>
      </c>
      <c r="F9" s="1" t="inlineStr">
        <is>
          <t>F0052, F0341, F0342, F0344, F0345</t>
        </is>
      </c>
    </row>
    <row r="10" ht="45" customHeight="1" s="95">
      <c r="A10" s="1" t="inlineStr">
        <is>
          <t>Christopher McQuarrie</t>
        </is>
      </c>
      <c r="B10" s="1" t="n">
        <v>5</v>
      </c>
      <c r="C10" s="1" t="n">
        <v>2012</v>
      </c>
      <c r="D10" s="1" t="n">
        <v>2025</v>
      </c>
      <c r="E10" s="4" t="inlineStr">
        <is>
          <t>Jack Reacher, Mission: Impossible - Rogue Nation, Mission: Impossible - Fallout, Mission: Impossible - Dead Reckoning Part One, Mission: Impossible - The Final Reckoning</t>
        </is>
      </c>
      <c r="F10" s="1" t="inlineStr">
        <is>
          <t>F0171, F0225, F0226, F0227, F0228</t>
        </is>
      </c>
    </row>
    <row r="11">
      <c r="A11" s="1" t="inlineStr">
        <is>
          <t>David Fincher</t>
        </is>
      </c>
      <c r="B11" s="1" t="n">
        <v>5</v>
      </c>
      <c r="C11" s="1" t="n">
        <v>1992</v>
      </c>
      <c r="D11" s="1" t="n">
        <v>2011</v>
      </c>
      <c r="E11" s="4" t="inlineStr">
        <is>
          <t>Alien³, Fight Club, The Girl with the Dragon Tattoo, Se7en, Zodiac</t>
        </is>
      </c>
      <c r="F11" s="1" t="inlineStr">
        <is>
          <t>F0017, F0112, F0120, F0276, F0350</t>
        </is>
      </c>
    </row>
    <row r="12" ht="60" customHeight="1" s="95">
      <c r="A12" s="1" t="inlineStr">
        <is>
          <t>David Yates</t>
        </is>
      </c>
      <c r="B12" s="1" t="n">
        <v>5</v>
      </c>
      <c r="C12" s="1" t="n">
        <v>2007</v>
      </c>
      <c r="D12" s="1" t="n">
        <v>2016</v>
      </c>
      <c r="E12" s="4" t="inlineStr">
        <is>
          <t>Fantastic Beasts and Where to Find Them, Harry Potter and the Order of the Phoenix, Harry Potter and the Half-Blood Prince, Harry Potter and the Deathly Hallows: Part 1, Harry Potter and the Deathly Hallows: Part 2</t>
        </is>
      </c>
      <c r="F12" s="1" t="inlineStr">
        <is>
          <t>F0100, F0141, F0142, F0143, F0144</t>
        </is>
      </c>
    </row>
    <row r="13" ht="30" customHeight="1" s="95">
      <c r="A13" s="1" t="inlineStr">
        <is>
          <t>J.J. Abrams</t>
        </is>
      </c>
      <c r="B13" s="1" t="n">
        <v>5</v>
      </c>
      <c r="C13" s="1" t="n">
        <v>2006</v>
      </c>
      <c r="D13" s="1" t="n">
        <v>2019</v>
      </c>
      <c r="E13" s="4" t="inlineStr">
        <is>
          <t>Mission: Impossible III, Star Trek, Star Wars: The Force Awakens, Star Wars: The Rise of Skywalker, Super 8</t>
        </is>
      </c>
      <c r="F13" s="1" t="inlineStr">
        <is>
          <t>F0223, F0291, F0298, F0300, F0302</t>
        </is>
      </c>
    </row>
    <row r="14" ht="30" customHeight="1" s="95">
      <c r="A14" s="1" t="inlineStr">
        <is>
          <t>Justin Lin</t>
        </is>
      </c>
      <c r="B14" s="1" t="n">
        <v>5</v>
      </c>
      <c r="C14" s="1" t="n">
        <v>2006</v>
      </c>
      <c r="D14" s="1" t="n">
        <v>2021</v>
      </c>
      <c r="E14" s="4" t="inlineStr">
        <is>
          <t>The Fast and the Furious: Tokyo Drift, Fast &amp; Furious, Fast Five, Fast &amp; Furious 6, F9: The Fast Saga</t>
        </is>
      </c>
      <c r="F14" s="1" t="inlineStr">
        <is>
          <t>F0103, F0104, F0105, F0106, F0109</t>
        </is>
      </c>
    </row>
    <row r="15" ht="30" customHeight="1" s="95">
      <c r="A15" s="1" t="inlineStr">
        <is>
          <t>Steven Spielberg</t>
        </is>
      </c>
      <c r="B15" s="1" t="n">
        <v>5</v>
      </c>
      <c r="C15" s="1" t="n">
        <v>1993</v>
      </c>
      <c r="D15" s="1" t="n">
        <v>2016</v>
      </c>
      <c r="E15" s="4" t="inlineStr">
        <is>
          <t>The BFG, Catch Me If You Can, Jurassic Park, The Lost World: Jurassic Park, War of the Worlds</t>
        </is>
      </c>
      <c r="F15" s="1" t="inlineStr">
        <is>
          <t>F0047, F0064, F0176, F0177, F0332</t>
        </is>
      </c>
    </row>
    <row r="16">
      <c r="A16" s="1" t="inlineStr">
        <is>
          <t>Carlos Saldanha</t>
        </is>
      </c>
      <c r="B16" s="1" t="n">
        <v>4</v>
      </c>
      <c r="C16" s="1" t="n">
        <v>2006</v>
      </c>
      <c r="D16" s="1" t="n">
        <v>2014</v>
      </c>
      <c r="E16" s="4" t="inlineStr">
        <is>
          <t>Ice Age: The Meltdown, Ice Age: Dawn of the Dinosaurs, Rio, Rio 2</t>
        </is>
      </c>
      <c r="F16" s="1" t="inlineStr">
        <is>
          <t>F0160, F0161, F0265, F0266</t>
        </is>
      </c>
    </row>
    <row r="17">
      <c r="A17" s="1" t="inlineStr">
        <is>
          <t>Edgar Wright</t>
        </is>
      </c>
      <c r="B17" s="1" t="n">
        <v>4</v>
      </c>
      <c r="C17" s="1" t="n">
        <v>2004</v>
      </c>
      <c r="D17" s="1" t="n">
        <v>2017</v>
      </c>
      <c r="E17" s="4" t="inlineStr">
        <is>
          <t>Baby Driver, Shaun of the Dead, Hot Fuzz, The World's End</t>
        </is>
      </c>
      <c r="F17" s="1" t="inlineStr">
        <is>
          <t>F0032, F0070, F0071, F0072</t>
        </is>
      </c>
    </row>
    <row r="18" ht="45" customHeight="1" s="95">
      <c r="A18" s="1" t="inlineStr">
        <is>
          <t>George Lucas</t>
        </is>
      </c>
      <c r="B18" s="1" t="n">
        <v>4</v>
      </c>
      <c r="C18" s="1" t="n">
        <v>1977</v>
      </c>
      <c r="D18" s="1" t="n">
        <v>2005</v>
      </c>
      <c r="E18" s="4" t="inlineStr">
        <is>
          <t>Star Wars: Episode I – The Phantom Menace, Star Wars: Episode II – Attack of the Clones, Star Wars: Episode III – Revenge of the Sith, Star Wars: Episode IV – A New Hope</t>
        </is>
      </c>
      <c r="F18" s="1" t="inlineStr">
        <is>
          <t>F0292, F0293, F0294, F0295</t>
        </is>
      </c>
    </row>
    <row r="19" ht="30" customHeight="1" s="95">
      <c r="A19" s="1" t="inlineStr">
        <is>
          <t>Paul Greengrass</t>
        </is>
      </c>
      <c r="B19" s="1" t="n">
        <v>4</v>
      </c>
      <c r="C19" s="1" t="n">
        <v>2004</v>
      </c>
      <c r="D19" s="1" t="n">
        <v>2013</v>
      </c>
      <c r="E19" s="4" t="inlineStr">
        <is>
          <t>The Bourne Supremacy, The Bourne Ultimatum, Captain Phillips, Green Zone</t>
        </is>
      </c>
      <c r="F19" s="1" t="inlineStr">
        <is>
          <t>F0054, F0055, F0062, F0129</t>
        </is>
      </c>
    </row>
    <row r="20">
      <c r="A20" s="1" t="inlineStr">
        <is>
          <t>Pierre Coffin</t>
        </is>
      </c>
      <c r="B20" s="1" t="n">
        <v>4</v>
      </c>
      <c r="C20" s="1" t="n">
        <v>2010</v>
      </c>
      <c r="D20" s="1" t="n">
        <v>2017</v>
      </c>
      <c r="E20" s="4" t="inlineStr">
        <is>
          <t>Despicable Me, Despicable Me 2, Despicable Me 3, Minions</t>
        </is>
      </c>
      <c r="F20" s="1" t="inlineStr">
        <is>
          <t>F0082, F0083, F0084, F0220</t>
        </is>
      </c>
    </row>
    <row r="21" ht="15.75" customHeight="1" s="95">
      <c r="A21" s="1" t="inlineStr">
        <is>
          <t>Todd Phillips</t>
        </is>
      </c>
      <c r="B21" s="1" t="n">
        <v>4</v>
      </c>
      <c r="C21" s="1" t="n">
        <v>2009</v>
      </c>
      <c r="D21" s="1" t="n">
        <v>2013</v>
      </c>
      <c r="E21" s="4" t="inlineStr">
        <is>
          <t>Due Date, The Hangover, The Hangover Part II, The Hangover Part III</t>
        </is>
      </c>
      <c r="F21" s="1" t="inlineStr">
        <is>
          <t>F0091, F0134, F0135, F0136</t>
        </is>
      </c>
    </row>
    <row r="22" ht="15.75" customHeight="1" s="95">
      <c r="A22" s="1" t="inlineStr">
        <is>
          <t>Andrew Stanton</t>
        </is>
      </c>
      <c r="B22" s="1" t="n">
        <v>3</v>
      </c>
      <c r="C22" s="1" t="n">
        <v>1998</v>
      </c>
      <c r="D22" s="1" t="n">
        <v>2016</v>
      </c>
      <c r="E22" s="4" t="inlineStr">
        <is>
          <t>A Bug's Life, Finding Dory, WALL·E</t>
        </is>
      </c>
      <c r="F22" s="1" t="inlineStr">
        <is>
          <t>F0012, F0113, F0331</t>
        </is>
      </c>
    </row>
    <row r="23" ht="15.75" customHeight="1" s="95">
      <c r="A23" s="1" t="inlineStr">
        <is>
          <t>Antoine Fuqua</t>
        </is>
      </c>
      <c r="B23" s="1" t="n">
        <v>3</v>
      </c>
      <c r="C23" s="1" t="n">
        <v>2013</v>
      </c>
      <c r="D23" s="1" t="n">
        <v>2016</v>
      </c>
      <c r="E23" s="4" t="inlineStr">
        <is>
          <t>The Magnificent Seven, Olympus Has Fallen, Southpaw</t>
        </is>
      </c>
      <c r="F23" s="1" t="inlineStr">
        <is>
          <t>F0207, F0240, F0286</t>
        </is>
      </c>
    </row>
    <row r="24" ht="15.75" customHeight="1" s="95">
      <c r="A24" s="1" t="inlineStr">
        <is>
          <t>Brett Ratner</t>
        </is>
      </c>
      <c r="B24" s="1" t="n">
        <v>3</v>
      </c>
      <c r="C24" s="1" t="n">
        <v>2006</v>
      </c>
      <c r="D24" s="1" t="n">
        <v>2014</v>
      </c>
      <c r="E24" s="4" t="inlineStr">
        <is>
          <t>Hercules, Rush Hour 3, X-Men: The Last Stand</t>
        </is>
      </c>
      <c r="F24" s="1" t="inlineStr">
        <is>
          <t>F0147, F0271, F0346</t>
        </is>
      </c>
    </row>
    <row r="25" ht="15.75" customHeight="1" s="95">
      <c r="A25" s="1" t="inlineStr">
        <is>
          <t>Chris Renaud</t>
        </is>
      </c>
      <c r="B25" s="1" t="n">
        <v>3</v>
      </c>
      <c r="C25" s="1" t="n">
        <v>2010</v>
      </c>
      <c r="D25" s="1" t="n">
        <v>2016</v>
      </c>
      <c r="E25" s="4" t="inlineStr">
        <is>
          <t>Despicable Me, Despicable Me 2, The Secret Life of Pets</t>
        </is>
      </c>
      <c r="F25" s="1" t="inlineStr">
        <is>
          <t>F0082, F0083, F0274</t>
        </is>
      </c>
    </row>
    <row r="26" ht="15.75" customHeight="1" s="95">
      <c r="A26" s="1" t="inlineStr">
        <is>
          <t>Christopher Miller</t>
        </is>
      </c>
      <c r="B26" s="1" t="n">
        <v>3</v>
      </c>
      <c r="C26" s="1" t="n">
        <v>2012</v>
      </c>
      <c r="D26" s="1" t="n">
        <v>2014</v>
      </c>
      <c r="E26" s="4" t="inlineStr">
        <is>
          <t>21 Jump Street, 22 Jump Street, The Lego Movie</t>
        </is>
      </c>
      <c r="F26" s="1" t="inlineStr">
        <is>
          <t>F0007, F0008, F0195</t>
        </is>
      </c>
    </row>
    <row r="27" ht="15.75" customHeight="1" s="95">
      <c r="A27" s="1" t="inlineStr">
        <is>
          <t>David Leitch</t>
        </is>
      </c>
      <c r="B27" s="1" t="n">
        <v>3</v>
      </c>
      <c r="C27" s="1" t="n">
        <v>2018</v>
      </c>
      <c r="D27" s="1" t="n">
        <v>2024</v>
      </c>
      <c r="E27" s="4" t="inlineStr">
        <is>
          <t>Deadpool 2, The Fall Guy, Fast &amp; Furious Presents: Hobbs &amp; Shaw</t>
        </is>
      </c>
      <c r="F27" s="1" t="inlineStr">
        <is>
          <t>F0077, F0099, F0111</t>
        </is>
      </c>
    </row>
    <row r="28" ht="15.75" customHeight="1" s="95">
      <c r="A28" s="1" t="inlineStr">
        <is>
          <t>Dennis Dugan</t>
        </is>
      </c>
      <c r="B28" s="1" t="n">
        <v>3</v>
      </c>
      <c r="C28" s="1" t="n">
        <v>2010</v>
      </c>
      <c r="D28" s="1" t="n">
        <v>2013</v>
      </c>
      <c r="E28" s="4" t="inlineStr">
        <is>
          <t>Grown Ups, Grown Ups 2, Just Go with It</t>
        </is>
      </c>
      <c r="F28" s="1" t="inlineStr">
        <is>
          <t>F0131, F0132, F0183</t>
        </is>
      </c>
    </row>
    <row r="29" ht="15.75" customHeight="1" s="95">
      <c r="A29" s="1" t="inlineStr">
        <is>
          <t>Doug Liman</t>
        </is>
      </c>
      <c r="B29" s="1" t="n">
        <v>3</v>
      </c>
      <c r="C29" s="1" t="n">
        <v>2002</v>
      </c>
      <c r="D29" s="1" t="n">
        <v>2008</v>
      </c>
      <c r="E29" s="4" t="inlineStr">
        <is>
          <t>The Bourne Identity, Jumper, Mr. &amp; Mrs. Smith</t>
        </is>
      </c>
      <c r="F29" s="1" t="inlineStr">
        <is>
          <t>F0053, F0175, F0231</t>
        </is>
      </c>
    </row>
    <row r="30" ht="15.75" customHeight="1" s="95">
      <c r="A30" s="1" t="inlineStr">
        <is>
          <t>F. Gary Gray</t>
        </is>
      </c>
      <c r="B30" s="1" t="n">
        <v>3</v>
      </c>
      <c r="C30" s="1" t="n">
        <v>2009</v>
      </c>
      <c r="D30" s="1" t="n">
        <v>2017</v>
      </c>
      <c r="E30" s="4" t="inlineStr">
        <is>
          <t>The Fate of the Furious, Law Abiding Citizen, Straight Outta Compton</t>
        </is>
      </c>
      <c r="F30" s="1" t="inlineStr">
        <is>
          <t>F0108, F0191, F0301</t>
        </is>
      </c>
    </row>
    <row r="31" ht="15.75" customHeight="1" s="95">
      <c r="A31" s="1" t="inlineStr">
        <is>
          <t>Guy Ritchie</t>
        </is>
      </c>
      <c r="B31" s="1" t="n">
        <v>3</v>
      </c>
      <c r="C31" s="1" t="n">
        <v>2009</v>
      </c>
      <c r="D31" s="1" t="n">
        <v>2020</v>
      </c>
      <c r="E31" s="4" t="inlineStr">
        <is>
          <t>The Gentlemen, Sherlock Holmes, Sherlock Holmes: A Game of Shadows</t>
        </is>
      </c>
      <c r="F31" s="1" t="inlineStr">
        <is>
          <t>F0119, F0278, F0279</t>
        </is>
      </c>
    </row>
    <row r="32" ht="15.75" customHeight="1" s="95">
      <c r="A32" s="1" t="inlineStr">
        <is>
          <t>John Lasseter</t>
        </is>
      </c>
      <c r="B32" s="1" t="n">
        <v>3</v>
      </c>
      <c r="C32" s="1" t="n">
        <v>1995</v>
      </c>
      <c r="D32" s="1" t="n">
        <v>1999</v>
      </c>
      <c r="E32" s="4" t="inlineStr">
        <is>
          <t>A Bug's Life, Toy Story, Toy Story 2</t>
        </is>
      </c>
      <c r="F32" s="1" t="inlineStr">
        <is>
          <t>F0012, F0312, F0313</t>
        </is>
      </c>
    </row>
    <row r="33" ht="15.75" customHeight="1" s="95">
      <c r="A33" s="1" t="inlineStr">
        <is>
          <t>Jon Favreau</t>
        </is>
      </c>
      <c r="B33" s="1" t="n">
        <v>3</v>
      </c>
      <c r="C33" s="1" t="n">
        <v>2003</v>
      </c>
      <c r="D33" s="1" t="n">
        <v>2014</v>
      </c>
      <c r="E33" s="4" t="inlineStr">
        <is>
          <t>Chef, Cowboys &amp; Aliens, Elf</t>
        </is>
      </c>
      <c r="F33" s="1" t="inlineStr">
        <is>
          <t>F0065, F0073, F0092</t>
        </is>
      </c>
    </row>
    <row r="34" ht="15.75" customHeight="1" s="95">
      <c r="A34" s="1" t="inlineStr">
        <is>
          <t>Lana Wachowski</t>
        </is>
      </c>
      <c r="B34" s="1" t="n">
        <v>3</v>
      </c>
      <c r="C34" s="1" t="n">
        <v>1999</v>
      </c>
      <c r="D34" s="1" t="n">
        <v>2003</v>
      </c>
      <c r="E34" s="4" t="inlineStr">
        <is>
          <t>The Matrix, The Matrix Reloaded, The Matrix Revolutions</t>
        </is>
      </c>
      <c r="F34" s="1" t="inlineStr">
        <is>
          <t>F0214, F0215, F0216</t>
        </is>
      </c>
    </row>
    <row r="35" ht="15.75" customHeight="1" s="95">
      <c r="A35" s="1" t="inlineStr">
        <is>
          <t>Lee Unkrich</t>
        </is>
      </c>
      <c r="B35" s="1" t="n">
        <v>3</v>
      </c>
      <c r="C35" s="1" t="n">
        <v>1999</v>
      </c>
      <c r="D35" s="1" t="n">
        <v>2010</v>
      </c>
      <c r="E35" s="4" t="inlineStr">
        <is>
          <t>Monsters, Inc., Toy Story 2, Toy Story 3</t>
        </is>
      </c>
      <c r="F35" s="1" t="inlineStr">
        <is>
          <t>F0229, F0313, F0314</t>
        </is>
      </c>
    </row>
    <row r="36" ht="15.75" customHeight="1" s="95">
      <c r="A36" s="1" t="inlineStr">
        <is>
          <t>Lilly Wachowski</t>
        </is>
      </c>
      <c r="B36" s="1" t="n">
        <v>3</v>
      </c>
      <c r="C36" s="1" t="n">
        <v>1999</v>
      </c>
      <c r="D36" s="1" t="n">
        <v>2003</v>
      </c>
      <c r="E36" s="4" t="inlineStr">
        <is>
          <t>The Matrix, The Matrix Reloaded, The Matrix Revolutions</t>
        </is>
      </c>
      <c r="F36" s="1" t="inlineStr">
        <is>
          <t>F0214, F0215, F0216</t>
        </is>
      </c>
    </row>
    <row r="37" ht="15.75" customHeight="1" s="95">
      <c r="A37" s="1" t="inlineStr">
        <is>
          <t>Louis Leterrier</t>
        </is>
      </c>
      <c r="B37" s="1" t="n">
        <v>3</v>
      </c>
      <c r="C37" s="1" t="n">
        <v>2010</v>
      </c>
      <c r="D37" s="1" t="n">
        <v>2023</v>
      </c>
      <c r="E37" s="4" t="inlineStr">
        <is>
          <t>Clash of the Titans, Fast X, Grimsby</t>
        </is>
      </c>
      <c r="F37" s="1" t="inlineStr">
        <is>
          <t>F0066, F0110, F0130</t>
        </is>
      </c>
    </row>
    <row r="38" ht="15.75" customHeight="1" s="95">
      <c r="A38" s="1" t="inlineStr">
        <is>
          <t>Matt Reeves</t>
        </is>
      </c>
      <c r="B38" s="1" t="n">
        <v>3</v>
      </c>
      <c r="C38" s="1" t="n">
        <v>2014</v>
      </c>
      <c r="D38" s="1" t="n">
        <v>2022</v>
      </c>
      <c r="E38" s="4" t="inlineStr">
        <is>
          <t>The Batman, Dawn of the Planet of the Apes, War for the Planet of the Apes</t>
        </is>
      </c>
      <c r="F38" s="1" t="inlineStr">
        <is>
          <t>F0042, F0254, F0255</t>
        </is>
      </c>
    </row>
    <row r="39" ht="15.75" customHeight="1" s="95">
      <c r="A39" s="1" t="inlineStr">
        <is>
          <t>Paul Feig</t>
        </is>
      </c>
      <c r="B39" s="1" t="n">
        <v>3</v>
      </c>
      <c r="C39" s="1" t="n">
        <v>2011</v>
      </c>
      <c r="D39" s="1" t="n">
        <v>2015</v>
      </c>
      <c r="E39" s="4" t="inlineStr">
        <is>
          <t>Bridesmaids, The Heat, Spy</t>
        </is>
      </c>
      <c r="F39" s="1" t="inlineStr">
        <is>
          <t>F0058, F0146, F0290</t>
        </is>
      </c>
    </row>
    <row r="40" ht="15.75" customHeight="1" s="95">
      <c r="A40" s="1" t="inlineStr">
        <is>
          <t>Pete Docter</t>
        </is>
      </c>
      <c r="B40" s="1" t="n">
        <v>3</v>
      </c>
      <c r="C40" s="1" t="n">
        <v>2001</v>
      </c>
      <c r="D40" s="1" t="n">
        <v>2015</v>
      </c>
      <c r="E40" s="4" t="inlineStr">
        <is>
          <t>Inside Out, Monsters, Inc., Up</t>
        </is>
      </c>
      <c r="F40" s="1" t="inlineStr">
        <is>
          <t>F0167, F0229, F0330</t>
        </is>
      </c>
    </row>
    <row r="41" ht="15.75" customHeight="1" s="95">
      <c r="A41" s="1" t="inlineStr">
        <is>
          <t>Phil Lord</t>
        </is>
      </c>
      <c r="B41" s="1" t="n">
        <v>3</v>
      </c>
      <c r="C41" s="1" t="n">
        <v>2012</v>
      </c>
      <c r="D41" s="1" t="n">
        <v>2014</v>
      </c>
      <c r="E41" s="4" t="inlineStr">
        <is>
          <t>21 Jump Street, 22 Jump Street, The Lego Movie</t>
        </is>
      </c>
      <c r="F41" s="1" t="inlineStr">
        <is>
          <t>F0007, F0008, F0195</t>
        </is>
      </c>
    </row>
    <row r="42" ht="15.75" customHeight="1" s="95">
      <c r="A42" s="1" t="inlineStr">
        <is>
          <t>Quentin Tarantino</t>
        </is>
      </c>
      <c r="B42" s="1" t="n">
        <v>3</v>
      </c>
      <c r="C42" s="1" t="n">
        <v>2009</v>
      </c>
      <c r="D42" s="1" t="n">
        <v>2019</v>
      </c>
      <c r="E42" s="4" t="inlineStr">
        <is>
          <t>Django Unchained, Inglourious Basterds, Once Upon a Time… in Hollywood</t>
        </is>
      </c>
      <c r="F42" s="1" t="inlineStr">
        <is>
          <t>F0090, F0166, F0241</t>
        </is>
      </c>
    </row>
    <row r="43" ht="15.75" customHeight="1" s="95">
      <c r="A43" s="1" t="inlineStr">
        <is>
          <t>Robert Zemeckis</t>
        </is>
      </c>
      <c r="B43" s="1" t="n">
        <v>3</v>
      </c>
      <c r="C43" s="1" t="n">
        <v>1985</v>
      </c>
      <c r="D43" s="1" t="n">
        <v>1990</v>
      </c>
      <c r="E43" s="4" t="inlineStr">
        <is>
          <t>Back to the Future, Back to the Future Part II, Back to the Future Part III</t>
        </is>
      </c>
      <c r="F43" s="1" t="inlineStr">
        <is>
          <t>F0033, F0034, F0035</t>
        </is>
      </c>
    </row>
    <row r="44" ht="15.75" customHeight="1" s="95">
      <c r="A44" s="1" t="inlineStr">
        <is>
          <t>Sam Raimi</t>
        </is>
      </c>
      <c r="B44" s="1" t="n">
        <v>3</v>
      </c>
      <c r="C44" s="1" t="n">
        <v>2002</v>
      </c>
      <c r="D44" s="1" t="n">
        <v>2007</v>
      </c>
      <c r="E44" s="4" t="inlineStr">
        <is>
          <t>Spider-Man, Spider-Man 2, Spider-Man 3</t>
        </is>
      </c>
      <c r="F44" s="1" t="inlineStr">
        <is>
          <t>F0287, F0288, F0289</t>
        </is>
      </c>
    </row>
    <row r="45" ht="15.75" customHeight="1" s="95">
      <c r="A45" s="1" t="inlineStr">
        <is>
          <t>Anthony Russo</t>
        </is>
      </c>
      <c r="B45" s="1" t="n">
        <v>2</v>
      </c>
      <c r="C45" s="1" t="n">
        <v>2018</v>
      </c>
      <c r="D45" s="1" t="n">
        <v>2019</v>
      </c>
      <c r="E45" s="4" t="inlineStr">
        <is>
          <t>Avengers: Infinity War, Avengers: Endgame</t>
        </is>
      </c>
      <c r="F45" s="1" t="inlineStr">
        <is>
          <t>F0030, F0031</t>
        </is>
      </c>
    </row>
    <row r="46" ht="15.75" customHeight="1" s="95">
      <c r="A46" s="1" t="inlineStr">
        <is>
          <t>Barry Sonnenfeld</t>
        </is>
      </c>
      <c r="B46" s="1" t="n">
        <v>2</v>
      </c>
      <c r="C46" s="1" t="n">
        <v>1997</v>
      </c>
      <c r="D46" s="1" t="n">
        <v>2012</v>
      </c>
      <c r="E46" s="4" t="inlineStr">
        <is>
          <t>Men in Black, Men in Black 3</t>
        </is>
      </c>
      <c r="F46" s="1" t="inlineStr">
        <is>
          <t>F0218, F0219</t>
        </is>
      </c>
    </row>
    <row r="47" ht="15.75" customHeight="1" s="95">
      <c r="A47" s="1" t="inlineStr">
        <is>
          <t>Chris Columbus</t>
        </is>
      </c>
      <c r="B47" s="1" t="n">
        <v>2</v>
      </c>
      <c r="C47" s="1" t="n">
        <v>2001</v>
      </c>
      <c r="D47" s="1" t="n">
        <v>2002</v>
      </c>
      <c r="E47" s="4" t="inlineStr">
        <is>
          <t>Harry Potter and the Philosopher's Stone, Harry Potter and the Chamber of Secrets</t>
        </is>
      </c>
      <c r="F47" s="1" t="inlineStr">
        <is>
          <t>F0137, F0138</t>
        </is>
      </c>
    </row>
    <row r="48" ht="15.75" customHeight="1" s="95">
      <c r="A48" s="1" t="inlineStr">
        <is>
          <t>Chris Sanders</t>
        </is>
      </c>
      <c r="B48" s="1" t="n">
        <v>2</v>
      </c>
      <c r="C48" s="1" t="n">
        <v>2010</v>
      </c>
      <c r="D48" s="1" t="n">
        <v>2013</v>
      </c>
      <c r="E48" s="4" t="inlineStr">
        <is>
          <t>The Croods, How to Train Your Dragon</t>
        </is>
      </c>
      <c r="F48" s="1" t="inlineStr">
        <is>
          <t>F0075, F0154</t>
        </is>
      </c>
    </row>
    <row r="49" ht="15.75" customHeight="1" s="95">
      <c r="A49" s="1" t="inlineStr">
        <is>
          <t>Colin Trevorrow</t>
        </is>
      </c>
      <c r="B49" s="1" t="n">
        <v>2</v>
      </c>
      <c r="C49" s="1" t="n">
        <v>2015</v>
      </c>
      <c r="D49" s="1" t="n">
        <v>2022</v>
      </c>
      <c r="E49" s="4" t="inlineStr">
        <is>
          <t>Jurassic World, Jurassic World Dominion</t>
        </is>
      </c>
      <c r="F49" s="1" t="inlineStr">
        <is>
          <t>F0179, F0181</t>
        </is>
      </c>
    </row>
    <row r="50" ht="15.75" customHeight="1" s="95">
      <c r="A50" s="1" t="inlineStr">
        <is>
          <t>Dean DeBlois</t>
        </is>
      </c>
      <c r="B50" s="1" t="n">
        <v>2</v>
      </c>
      <c r="C50" s="1" t="n">
        <v>2010</v>
      </c>
      <c r="D50" s="1" t="n">
        <v>2014</v>
      </c>
      <c r="E50" s="4" t="inlineStr">
        <is>
          <t>How to Train Your Dragon, How to Train Your Dragon 2</t>
        </is>
      </c>
      <c r="F50" s="1" t="inlineStr">
        <is>
          <t>F0154, F0155</t>
        </is>
      </c>
    </row>
    <row r="51" ht="15.75" customHeight="1" s="95">
      <c r="A51" s="1" t="inlineStr">
        <is>
          <t>Eric Brevig</t>
        </is>
      </c>
      <c r="B51" s="1" t="n">
        <v>2</v>
      </c>
      <c r="C51" s="1" t="n">
        <v>2008</v>
      </c>
      <c r="D51" s="1" t="n">
        <v>2010</v>
      </c>
      <c r="E51" s="4" t="inlineStr">
        <is>
          <t>Journey to the Center of the Earth, Yogi Bear</t>
        </is>
      </c>
      <c r="F51" s="1" t="inlineStr">
        <is>
          <t>F0174, F0348</t>
        </is>
      </c>
    </row>
    <row r="52" ht="15.75" customHeight="1" s="95">
      <c r="A52" s="1" t="inlineStr">
        <is>
          <t>Ethan Coen</t>
        </is>
      </c>
      <c r="B52" s="1" t="n">
        <v>2</v>
      </c>
      <c r="C52" s="1" t="n">
        <v>1998</v>
      </c>
      <c r="D52" s="1" t="n">
        <v>2010</v>
      </c>
      <c r="E52" s="4" t="inlineStr">
        <is>
          <t>The Big Lebowski, True Grit</t>
        </is>
      </c>
      <c r="F52" s="1" t="inlineStr">
        <is>
          <t>F0049, F0325</t>
        </is>
      </c>
    </row>
    <row r="53" ht="15.75" customHeight="1" s="95">
      <c r="A53" s="1" t="inlineStr">
        <is>
          <t>Gareth Edwards</t>
        </is>
      </c>
      <c r="B53" s="1" t="n">
        <v>2</v>
      </c>
      <c r="C53" s="1" t="n">
        <v>2014</v>
      </c>
      <c r="D53" s="1" t="n">
        <v>2025</v>
      </c>
      <c r="E53" s="4" t="inlineStr">
        <is>
          <t>Godzilla, Jurassic World Rebirth</t>
        </is>
      </c>
      <c r="F53" s="1" t="inlineStr">
        <is>
          <t>F0121, F0182</t>
        </is>
      </c>
    </row>
    <row r="54" ht="15.75" customHeight="1" s="95">
      <c r="A54" s="1" t="inlineStr">
        <is>
          <t>Gavin O'Connor</t>
        </is>
      </c>
      <c r="B54" s="1" t="n">
        <v>2</v>
      </c>
      <c r="C54" s="1" t="n">
        <v>2011</v>
      </c>
      <c r="D54" s="1" t="n">
        <v>2016</v>
      </c>
      <c r="E54" s="4" t="inlineStr">
        <is>
          <t>The Accountant, Warrior</t>
        </is>
      </c>
      <c r="F54" s="1" t="inlineStr">
        <is>
          <t>F0013, F0333</t>
        </is>
      </c>
    </row>
    <row r="55" ht="15.75" customHeight="1" s="95">
      <c r="A55" s="1" t="inlineStr">
        <is>
          <t>Greg Mottola</t>
        </is>
      </c>
      <c r="B55" s="1" t="n">
        <v>2</v>
      </c>
      <c r="C55" s="1" t="n">
        <v>2007</v>
      </c>
      <c r="D55" s="1" t="n">
        <v>2011</v>
      </c>
      <c r="E55" s="4" t="inlineStr">
        <is>
          <t>Paul, Superbad</t>
        </is>
      </c>
      <c r="F55" s="1" t="inlineStr">
        <is>
          <t>F0245, F0303</t>
        </is>
      </c>
    </row>
    <row r="56" ht="15.75" customHeight="1" s="95">
      <c r="A56" s="1" t="inlineStr">
        <is>
          <t>James Cameron</t>
        </is>
      </c>
      <c r="B56" s="1" t="n">
        <v>2</v>
      </c>
      <c r="C56" s="1" t="n">
        <v>1986</v>
      </c>
      <c r="D56" s="1" t="n">
        <v>2009</v>
      </c>
      <c r="E56" s="4" t="inlineStr">
        <is>
          <t>Aliens, Avatar</t>
        </is>
      </c>
      <c r="F56" s="1" t="inlineStr">
        <is>
          <t>F0016, F0028</t>
        </is>
      </c>
    </row>
    <row r="57" ht="15.75" customHeight="1" s="95">
      <c r="A57" s="1" t="inlineStr">
        <is>
          <t>James Mangold</t>
        </is>
      </c>
      <c r="B57" s="1" t="n">
        <v>2</v>
      </c>
      <c r="C57" s="1" t="n">
        <v>2013</v>
      </c>
      <c r="D57" s="1" t="n">
        <v>2017</v>
      </c>
      <c r="E57" s="4" t="inlineStr">
        <is>
          <t>Logan, The Wolverine</t>
        </is>
      </c>
      <c r="F57" s="1" t="inlineStr">
        <is>
          <t>F0201, F0347</t>
        </is>
      </c>
    </row>
    <row r="58" ht="15.75" customHeight="1" s="95">
      <c r="A58" s="1" t="inlineStr">
        <is>
          <t>Joe Russo</t>
        </is>
      </c>
      <c r="B58" s="1" t="n">
        <v>2</v>
      </c>
      <c r="C58" s="1" t="n">
        <v>2018</v>
      </c>
      <c r="D58" s="1" t="n">
        <v>2019</v>
      </c>
      <c r="E58" s="4" t="inlineStr">
        <is>
          <t>Avengers: Infinity War, Avengers: Endgame</t>
        </is>
      </c>
      <c r="F58" s="1" t="inlineStr">
        <is>
          <t>F0030, F0031</t>
        </is>
      </c>
    </row>
    <row r="59" ht="15.75" customHeight="1" s="95">
      <c r="A59" s="1" t="inlineStr">
        <is>
          <t>Joel Coen</t>
        </is>
      </c>
      <c r="B59" s="1" t="n">
        <v>2</v>
      </c>
      <c r="C59" s="1" t="n">
        <v>1998</v>
      </c>
      <c r="D59" s="1" t="n">
        <v>2010</v>
      </c>
      <c r="E59" s="4" t="inlineStr">
        <is>
          <t>The Big Lebowski, True Grit</t>
        </is>
      </c>
      <c r="F59" s="1" t="inlineStr">
        <is>
          <t>F0049, F0325</t>
        </is>
      </c>
    </row>
    <row r="60" ht="15.75" customHeight="1" s="95">
      <c r="A60" s="1" t="inlineStr">
        <is>
          <t>Jonathan Liebesman</t>
        </is>
      </c>
      <c r="B60" s="1" t="n">
        <v>2</v>
      </c>
      <c r="C60" s="1" t="n">
        <v>2011</v>
      </c>
      <c r="D60" s="1" t="n">
        <v>2014</v>
      </c>
      <c r="E60" s="4" t="inlineStr">
        <is>
          <t>Battle: Los Angeles, Teenage Mutant Ninja Turtles</t>
        </is>
      </c>
      <c r="F60" s="1" t="inlineStr">
        <is>
          <t>F0046, F0309</t>
        </is>
      </c>
    </row>
    <row r="61" ht="15.75" customHeight="1" s="95">
      <c r="A61" s="1" t="inlineStr">
        <is>
          <t>Joseph Kosinski</t>
        </is>
      </c>
      <c r="B61" s="1" t="n">
        <v>2</v>
      </c>
      <c r="C61" s="1" t="n">
        <v>2013</v>
      </c>
      <c r="D61" s="1" t="n">
        <v>2025</v>
      </c>
      <c r="E61" s="4" t="inlineStr">
        <is>
          <t>F1, Oblivion</t>
        </is>
      </c>
      <c r="F61" s="1" t="inlineStr">
        <is>
          <t>F0098, F0239</t>
        </is>
      </c>
    </row>
    <row r="62" ht="15.75" customHeight="1" s="95">
      <c r="A62" s="1" t="inlineStr">
        <is>
          <t>Kyle Balda</t>
        </is>
      </c>
      <c r="B62" s="1" t="n">
        <v>2</v>
      </c>
      <c r="C62" s="1" t="n">
        <v>2015</v>
      </c>
      <c r="D62" s="1" t="n">
        <v>2017</v>
      </c>
      <c r="E62" s="4" t="inlineStr">
        <is>
          <t>Despicable Me 3, Minions</t>
        </is>
      </c>
      <c r="F62" s="1" t="inlineStr">
        <is>
          <t>F0084, F0220</t>
        </is>
      </c>
    </row>
    <row r="63" ht="15.75" customHeight="1" s="95">
      <c r="A63" s="1" t="inlineStr">
        <is>
          <t>Larry Charles</t>
        </is>
      </c>
      <c r="B63" s="1" t="n">
        <v>2</v>
      </c>
      <c r="C63" s="1" t="n">
        <v>2009</v>
      </c>
      <c r="D63" s="1" t="n">
        <v>2012</v>
      </c>
      <c r="E63" s="4" t="inlineStr">
        <is>
          <t>Brüno, The Dictator</t>
        </is>
      </c>
      <c r="F63" s="1" t="inlineStr">
        <is>
          <t>F0059, F0085</t>
        </is>
      </c>
    </row>
    <row r="64" ht="15.75" customHeight="1" s="95">
      <c r="A64" s="1" t="inlineStr">
        <is>
          <t>Len Wiseman</t>
        </is>
      </c>
      <c r="B64" s="1" t="n">
        <v>2</v>
      </c>
      <c r="C64" s="1" t="n">
        <v>2006</v>
      </c>
      <c r="D64" s="1" t="n">
        <v>2007</v>
      </c>
      <c r="E64" s="4" t="inlineStr">
        <is>
          <t>Live Free or Die Hard, Underworld: Evolution</t>
        </is>
      </c>
      <c r="F64" s="1" t="inlineStr">
        <is>
          <t>F0086, F0326</t>
        </is>
      </c>
    </row>
    <row r="65" ht="15.75" customHeight="1" s="95">
      <c r="A65" s="1" t="inlineStr">
        <is>
          <t>Martin Campbell</t>
        </is>
      </c>
      <c r="B65" s="1" t="n">
        <v>2</v>
      </c>
      <c r="C65" s="1" t="n">
        <v>2006</v>
      </c>
      <c r="D65" s="1" t="n">
        <v>2011</v>
      </c>
      <c r="E65" s="4" t="inlineStr">
        <is>
          <t>Casino Royale, Green Lantern</t>
        </is>
      </c>
      <c r="F65" s="1" t="inlineStr">
        <is>
          <t>F0001, F0128</t>
        </is>
      </c>
    </row>
    <row r="66" ht="15.75" customHeight="1" s="95">
      <c r="A66" s="1" t="inlineStr">
        <is>
          <t>Matthew Vaughn</t>
        </is>
      </c>
      <c r="B66" s="1" t="n">
        <v>2</v>
      </c>
      <c r="C66" s="1" t="n">
        <v>2010</v>
      </c>
      <c r="D66" s="1" t="n">
        <v>2011</v>
      </c>
      <c r="E66" s="4" t="inlineStr">
        <is>
          <t>Kick-Ass, X-Men: First Class</t>
        </is>
      </c>
      <c r="F66" s="1" t="inlineStr">
        <is>
          <t>F0185, F0340</t>
        </is>
      </c>
    </row>
    <row r="67" ht="15.75" customHeight="1" s="95">
      <c r="A67" s="1" t="inlineStr">
        <is>
          <t>Neill Blomkamp</t>
        </is>
      </c>
      <c r="B67" s="1" t="n">
        <v>2</v>
      </c>
      <c r="C67" s="1" t="n">
        <v>2009</v>
      </c>
      <c r="D67" s="1" t="n">
        <v>2013</v>
      </c>
      <c r="E67" s="4" t="inlineStr">
        <is>
          <t>District 9, Elysium</t>
        </is>
      </c>
      <c r="F67" s="1" t="inlineStr">
        <is>
          <t>F0088, F0093</t>
        </is>
      </c>
    </row>
    <row r="68" ht="15.75" customHeight="1" s="95">
      <c r="A68" s="1" t="inlineStr">
        <is>
          <t>Patrick Hughes</t>
        </is>
      </c>
      <c r="B68" s="1" t="n">
        <v>2</v>
      </c>
      <c r="C68" s="1" t="n">
        <v>2014</v>
      </c>
      <c r="D68" s="1" t="n">
        <v>2017</v>
      </c>
      <c r="E68" s="4" t="inlineStr">
        <is>
          <t>The Expendables 3, The Hitman's Bodyguard</t>
        </is>
      </c>
      <c r="F68" s="1" t="inlineStr">
        <is>
          <t>F0097, F0149</t>
        </is>
      </c>
    </row>
    <row r="69" ht="15.75" customHeight="1" s="95">
      <c r="A69" s="1" t="inlineStr">
        <is>
          <t>Paul King</t>
        </is>
      </c>
      <c r="B69" s="1" t="n">
        <v>2</v>
      </c>
      <c r="C69" s="1" t="n">
        <v>2014</v>
      </c>
      <c r="D69" s="1" t="n">
        <v>2023</v>
      </c>
      <c r="E69" s="4" t="inlineStr">
        <is>
          <t>Paddington, Wonka</t>
        </is>
      </c>
      <c r="F69" s="1" t="inlineStr">
        <is>
          <t>F0244, F0338</t>
        </is>
      </c>
    </row>
    <row r="70" ht="15.75" customHeight="1" s="95">
      <c r="A70" s="1" t="inlineStr">
        <is>
          <t>Rich Moore</t>
        </is>
      </c>
      <c r="B70" s="1" t="n">
        <v>2</v>
      </c>
      <c r="C70" s="1" t="n">
        <v>2012</v>
      </c>
      <c r="D70" s="1" t="n">
        <v>2018</v>
      </c>
      <c r="E70" s="4" t="inlineStr">
        <is>
          <t>Wreck-It Ralph, Ralph Breaks the Internet</t>
        </is>
      </c>
      <c r="F70" s="1" t="inlineStr">
        <is>
          <t>F0336, F0337</t>
        </is>
      </c>
    </row>
    <row r="71" ht="15.75" customHeight="1" s="95">
      <c r="A71" s="1" t="inlineStr">
        <is>
          <t>Roland Emmerich</t>
        </is>
      </c>
      <c r="B71" s="1" t="n">
        <v>2</v>
      </c>
      <c r="C71" s="1" t="n">
        <v>2009</v>
      </c>
      <c r="D71" s="1" t="n">
        <v>2013</v>
      </c>
      <c r="E71" s="4" t="inlineStr">
        <is>
          <t>2012, White House Down</t>
        </is>
      </c>
      <c r="F71" s="1" t="inlineStr">
        <is>
          <t>F0006, F0335</t>
        </is>
      </c>
    </row>
    <row r="72" ht="15.75" customHeight="1" s="95">
      <c r="A72" s="1" t="inlineStr">
        <is>
          <t>Ron Howard</t>
        </is>
      </c>
      <c r="B72" s="1" t="n">
        <v>2</v>
      </c>
      <c r="C72" s="1" t="n">
        <v>2009</v>
      </c>
      <c r="D72" s="1" t="n">
        <v>2013</v>
      </c>
      <c r="E72" s="4" t="inlineStr">
        <is>
          <t>Angels &amp; Demons, Rush</t>
        </is>
      </c>
      <c r="F72" s="1" t="inlineStr">
        <is>
          <t>F0023, F0270</t>
        </is>
      </c>
    </row>
    <row r="73" ht="15.75" customHeight="1" s="95">
      <c r="A73" s="1" t="inlineStr">
        <is>
          <t>Sam Mendes</t>
        </is>
      </c>
      <c r="B73" s="1" t="n">
        <v>2</v>
      </c>
      <c r="C73" s="1" t="n">
        <v>2012</v>
      </c>
      <c r="D73" s="1" t="n">
        <v>2015</v>
      </c>
      <c r="E73" s="4" t="inlineStr">
        <is>
          <t>Skyfall, Spectre</t>
        </is>
      </c>
      <c r="F73" s="1" t="inlineStr">
        <is>
          <t>F0003, F0004</t>
        </is>
      </c>
    </row>
    <row r="74" ht="15.75" customHeight="1" s="95">
      <c r="A74" s="1" t="inlineStr">
        <is>
          <t>Seth MacFarlane</t>
        </is>
      </c>
      <c r="B74" s="1" t="n">
        <v>2</v>
      </c>
      <c r="C74" s="1" t="n">
        <v>2012</v>
      </c>
      <c r="D74" s="1" t="n">
        <v>2014</v>
      </c>
      <c r="E74" s="4" t="inlineStr">
        <is>
          <t>A Million Ways to Die in the West, Ted</t>
        </is>
      </c>
      <c r="F74" s="1" t="inlineStr">
        <is>
          <t>F0021, F0308</t>
        </is>
      </c>
    </row>
    <row r="75" ht="15.75" customHeight="1" s="95">
      <c r="A75" s="1" t="inlineStr">
        <is>
          <t>Shane Black</t>
        </is>
      </c>
      <c r="B75" s="1" t="n">
        <v>2</v>
      </c>
      <c r="C75" s="1" t="n">
        <v>2013</v>
      </c>
      <c r="D75" s="1" t="n">
        <v>2016</v>
      </c>
      <c r="E75" s="4" t="inlineStr">
        <is>
          <t>Iron Man 3, The Nice Guys</t>
        </is>
      </c>
      <c r="F75" s="1" t="inlineStr">
        <is>
          <t>F0169, F0235</t>
        </is>
      </c>
    </row>
    <row r="76" ht="15.75" customHeight="1" s="95">
      <c r="A76" s="1" t="inlineStr">
        <is>
          <t>Shawn Levy</t>
        </is>
      </c>
      <c r="B76" s="1" t="n">
        <v>2</v>
      </c>
      <c r="C76" s="1" t="n">
        <v>2009</v>
      </c>
      <c r="D76" s="1" t="n">
        <v>2024</v>
      </c>
      <c r="E76" s="4" t="inlineStr">
        <is>
          <t>Deadpool &amp; Wolverine, Night at the Museum: Battle of the Smithsonian</t>
        </is>
      </c>
      <c r="F76" s="1" t="inlineStr">
        <is>
          <t>F0078, F0236</t>
        </is>
      </c>
    </row>
    <row r="77" ht="15.75" customHeight="1" s="95">
      <c r="A77" s="1" t="inlineStr">
        <is>
          <t>Simon West</t>
        </is>
      </c>
      <c r="B77" s="1" t="n">
        <v>2</v>
      </c>
      <c r="C77" s="1" t="n">
        <v>1997</v>
      </c>
      <c r="D77" s="1" t="n">
        <v>2012</v>
      </c>
      <c r="E77" s="4" t="inlineStr">
        <is>
          <t>Con Air, The Expendables 2</t>
        </is>
      </c>
      <c r="F77" s="1" t="inlineStr">
        <is>
          <t>F0068, F0096</t>
        </is>
      </c>
    </row>
    <row r="78" ht="15.75" customHeight="1" s="95">
      <c r="A78" s="1" t="inlineStr">
        <is>
          <t>Sylvester Stallone</t>
        </is>
      </c>
      <c r="B78" s="1" t="n">
        <v>2</v>
      </c>
      <c r="C78" s="1" t="n">
        <v>2008</v>
      </c>
      <c r="D78" s="1" t="n">
        <v>2010</v>
      </c>
      <c r="E78" s="4" t="inlineStr">
        <is>
          <t>The Expendables, Rambo</t>
        </is>
      </c>
      <c r="F78" s="1" t="inlineStr">
        <is>
          <t>F0095, F0261</t>
        </is>
      </c>
    </row>
    <row r="79" ht="15.75" customHeight="1" s="95">
      <c r="A79" s="1" t="inlineStr">
        <is>
          <t>Tom Hooper</t>
        </is>
      </c>
      <c r="B79" s="1" t="n">
        <v>2</v>
      </c>
      <c r="C79" s="1" t="n">
        <v>2010</v>
      </c>
      <c r="D79" s="1" t="n">
        <v>2012</v>
      </c>
      <c r="E79" s="4" t="inlineStr">
        <is>
          <t>The King's Speech, Les Misérables</t>
        </is>
      </c>
      <c r="F79" s="1" t="inlineStr">
        <is>
          <t>F0189, F0199</t>
        </is>
      </c>
    </row>
    <row r="80" ht="15.75" customHeight="1" s="95">
      <c r="A80" s="1" t="inlineStr">
        <is>
          <t>Wes Ball</t>
        </is>
      </c>
      <c r="B80" s="1" t="n">
        <v>2</v>
      </c>
      <c r="C80" s="1" t="n">
        <v>2014</v>
      </c>
      <c r="D80" s="1" t="n">
        <v>2024</v>
      </c>
      <c r="E80" s="4" t="inlineStr">
        <is>
          <t>The Maze Runner, Kingdom of the Planet of the Apes</t>
        </is>
      </c>
      <c r="F80" s="1" t="inlineStr">
        <is>
          <t>F0217, F0256</t>
        </is>
      </c>
    </row>
    <row r="81" ht="15.75" customHeight="1" s="95">
      <c r="A81" s="1" t="inlineStr">
        <is>
          <t>Aaron Harvey</t>
        </is>
      </c>
      <c r="B81" s="1" t="n">
        <v>1</v>
      </c>
      <c r="C81" s="1" t="n">
        <v>2011</v>
      </c>
      <c r="D81" s="1" t="n">
        <v>2011</v>
      </c>
      <c r="E81" s="4" t="inlineStr">
        <is>
          <t>Catch.44</t>
        </is>
      </c>
      <c r="F81" s="1" t="inlineStr">
        <is>
          <t>F0063</t>
        </is>
      </c>
    </row>
    <row r="82" ht="15.75" customHeight="1" s="95">
      <c r="A82" s="1" t="inlineStr">
        <is>
          <t>Aaron Horvath</t>
        </is>
      </c>
      <c r="B82" s="1" t="n">
        <v>1</v>
      </c>
      <c r="C82" s="1" t="n">
        <v>2023</v>
      </c>
      <c r="D82" s="1" t="n">
        <v>2023</v>
      </c>
      <c r="E82" s="4" t="inlineStr">
        <is>
          <t>The Super Mario Bros. Movie</t>
        </is>
      </c>
      <c r="F82" s="1" t="inlineStr">
        <is>
          <t>F0212</t>
        </is>
      </c>
    </row>
    <row r="83" ht="15.75" customHeight="1" s="95">
      <c r="A83" s="1" t="inlineStr">
        <is>
          <t>Adam Deacon</t>
        </is>
      </c>
      <c r="B83" s="1" t="n">
        <v>1</v>
      </c>
      <c r="C83" s="1" t="n">
        <v>2011</v>
      </c>
      <c r="D83" s="1" t="n">
        <v>2011</v>
      </c>
      <c r="E83" s="4" t="inlineStr">
        <is>
          <t>Anuvahood</t>
        </is>
      </c>
      <c r="F83" s="1" t="inlineStr">
        <is>
          <t>F0024</t>
        </is>
      </c>
    </row>
    <row r="84" ht="15.75" customHeight="1" s="95">
      <c r="A84" s="1" t="inlineStr">
        <is>
          <t>Adam McKay</t>
        </is>
      </c>
      <c r="B84" s="1" t="n">
        <v>1</v>
      </c>
      <c r="C84" s="1" t="n">
        <v>2004</v>
      </c>
      <c r="D84" s="1" t="n">
        <v>2004</v>
      </c>
      <c r="E84" s="4" t="inlineStr">
        <is>
          <t>Anchorman: The Legend of Ron Burgundy</t>
        </is>
      </c>
      <c r="F84" s="1" t="inlineStr">
        <is>
          <t>F0022</t>
        </is>
      </c>
    </row>
    <row r="85" ht="15.75" customHeight="1" s="95">
      <c r="A85" s="1" t="inlineStr">
        <is>
          <t>Adam Wingard</t>
        </is>
      </c>
      <c r="B85" s="1" t="n">
        <v>1</v>
      </c>
      <c r="C85" s="1" t="n">
        <v>2021</v>
      </c>
      <c r="D85" s="1" t="n">
        <v>2021</v>
      </c>
      <c r="E85" s="4" t="inlineStr">
        <is>
          <t>Godzilla vs. Kong</t>
        </is>
      </c>
      <c r="F85" s="1" t="inlineStr">
        <is>
          <t>F0123</t>
        </is>
      </c>
    </row>
    <row r="86" ht="15.75" customHeight="1" s="95">
      <c r="A86" s="1" t="inlineStr">
        <is>
          <t>Alfonso Cuarón</t>
        </is>
      </c>
      <c r="B86" s="1" t="n">
        <v>1</v>
      </c>
      <c r="C86" s="1" t="n">
        <v>2004</v>
      </c>
      <c r="D86" s="1" t="n">
        <v>2004</v>
      </c>
      <c r="E86" s="4" t="inlineStr">
        <is>
          <t>Harry Potter and the Prisoner of Azkaban</t>
        </is>
      </c>
      <c r="F86" s="1" t="inlineStr">
        <is>
          <t>F0139</t>
        </is>
      </c>
    </row>
    <row r="87" ht="15.75" customHeight="1" s="95">
      <c r="A87" s="1" t="inlineStr">
        <is>
          <t>Andrew Dominik</t>
        </is>
      </c>
      <c r="B87" s="1" t="n">
        <v>1</v>
      </c>
      <c r="C87" s="1" t="n">
        <v>2012</v>
      </c>
      <c r="D87" s="1" t="n">
        <v>2012</v>
      </c>
      <c r="E87" s="4" t="inlineStr">
        <is>
          <t>Killing Them Softly</t>
        </is>
      </c>
      <c r="F87" s="1" t="inlineStr">
        <is>
          <t>F0187</t>
        </is>
      </c>
    </row>
    <row r="88" ht="15.75" customHeight="1" s="95">
      <c r="A88" s="1" t="inlineStr">
        <is>
          <t>Angus MacLane</t>
        </is>
      </c>
      <c r="B88" s="1" t="n">
        <v>1</v>
      </c>
      <c r="C88" s="1" t="n">
        <v>2016</v>
      </c>
      <c r="D88" s="1" t="n">
        <v>2016</v>
      </c>
      <c r="E88" s="4" t="inlineStr">
        <is>
          <t>Finding Dory</t>
        </is>
      </c>
      <c r="F88" s="1" t="inlineStr">
        <is>
          <t>F0113</t>
        </is>
      </c>
    </row>
    <row r="89" ht="15.75" customHeight="1" s="95">
      <c r="A89" s="1" t="inlineStr">
        <is>
          <t>Asger Leth</t>
        </is>
      </c>
      <c r="B89" s="1" t="n">
        <v>1</v>
      </c>
      <c r="C89" s="1" t="n">
        <v>2012</v>
      </c>
      <c r="D89" s="1" t="n">
        <v>2012</v>
      </c>
      <c r="E89" s="4" t="inlineStr">
        <is>
          <t>Man on a Ledge</t>
        </is>
      </c>
      <c r="F89" s="1" t="inlineStr">
        <is>
          <t>F0210</t>
        </is>
      </c>
    </row>
    <row r="90" ht="15.75" customHeight="1" s="95">
      <c r="A90" s="1" t="inlineStr">
        <is>
          <t>Ash Brannon</t>
        </is>
      </c>
      <c r="B90" s="1" t="n">
        <v>1</v>
      </c>
      <c r="C90" s="1" t="n">
        <v>1999</v>
      </c>
      <c r="D90" s="1" t="n">
        <v>1999</v>
      </c>
      <c r="E90" s="4" t="inlineStr">
        <is>
          <t>Toy Story 2</t>
        </is>
      </c>
      <c r="F90" s="1" t="inlineStr">
        <is>
          <t>F0313</t>
        </is>
      </c>
    </row>
    <row r="91" ht="15.75" customHeight="1" s="95">
      <c r="A91" s="1" t="inlineStr">
        <is>
          <t>Asif Kapadia</t>
        </is>
      </c>
      <c r="B91" s="1" t="n">
        <v>1</v>
      </c>
      <c r="C91" s="1" t="n">
        <v>2010</v>
      </c>
      <c r="D91" s="1" t="n">
        <v>2010</v>
      </c>
      <c r="E91" s="4" t="inlineStr">
        <is>
          <t>Senna</t>
        </is>
      </c>
      <c r="F91" s="1" t="inlineStr">
        <is>
          <t>F0275</t>
        </is>
      </c>
    </row>
    <row r="92" ht="15.75" customHeight="1" s="95">
      <c r="A92" s="1" t="inlineStr">
        <is>
          <t>Baz Luhrmann</t>
        </is>
      </c>
      <c r="B92" s="1" t="n">
        <v>1</v>
      </c>
      <c r="C92" s="1" t="n">
        <v>2013</v>
      </c>
      <c r="D92" s="1" t="n">
        <v>2013</v>
      </c>
      <c r="E92" s="4" t="inlineStr">
        <is>
          <t>The Great Gatsby</t>
        </is>
      </c>
      <c r="F92" s="1" t="inlineStr">
        <is>
          <t>F0126</t>
        </is>
      </c>
    </row>
    <row r="93" ht="15.75" customHeight="1" s="95">
      <c r="A93" s="1" t="inlineStr">
        <is>
          <t>Ben Affleck</t>
        </is>
      </c>
      <c r="B93" s="1" t="n">
        <v>1</v>
      </c>
      <c r="C93" s="1" t="n">
        <v>2012</v>
      </c>
      <c r="D93" s="1" t="n">
        <v>2012</v>
      </c>
      <c r="E93" s="4" t="inlineStr">
        <is>
          <t>Argo</t>
        </is>
      </c>
      <c r="F93" s="1" t="inlineStr">
        <is>
          <t>F0025</t>
        </is>
      </c>
    </row>
    <row r="94" ht="15.75" customHeight="1" s="95">
      <c r="A94" s="1" t="inlineStr">
        <is>
          <t>Ben Palmer</t>
        </is>
      </c>
      <c r="B94" s="1" t="n">
        <v>1</v>
      </c>
      <c r="C94" s="1" t="n">
        <v>2011</v>
      </c>
      <c r="D94" s="1" t="n">
        <v>2011</v>
      </c>
      <c r="E94" s="4" t="inlineStr">
        <is>
          <t>The Inbetweeners Movie</t>
        </is>
      </c>
      <c r="F94" s="1" t="inlineStr">
        <is>
          <t>F0163</t>
        </is>
      </c>
    </row>
    <row r="95" ht="15.75" customHeight="1" s="95">
      <c r="A95" s="1" t="inlineStr">
        <is>
          <t>Ben Sharpsteen</t>
        </is>
      </c>
      <c r="B95" s="1" t="n">
        <v>1</v>
      </c>
      <c r="C95" s="1" t="n">
        <v>1940</v>
      </c>
      <c r="D95" s="1" t="n">
        <v>1940</v>
      </c>
      <c r="E95" s="4" t="inlineStr">
        <is>
          <t>Pinocchio</t>
        </is>
      </c>
      <c r="F95" s="1" t="inlineStr">
        <is>
          <t>F0248</t>
        </is>
      </c>
    </row>
    <row r="96" ht="15.75" customHeight="1" s="95">
      <c r="A96" s="1" t="inlineStr">
        <is>
          <t>Ben Stiller</t>
        </is>
      </c>
      <c r="B96" s="1" t="n">
        <v>1</v>
      </c>
      <c r="C96" s="1" t="n">
        <v>2008</v>
      </c>
      <c r="D96" s="1" t="n">
        <v>2008</v>
      </c>
      <c r="E96" s="4" t="inlineStr">
        <is>
          <t>Tropic Thunder</t>
        </is>
      </c>
      <c r="F96" s="1" t="inlineStr">
        <is>
          <t>F0324</t>
        </is>
      </c>
    </row>
    <row r="97" ht="15.75" customHeight="1" s="95">
      <c r="A97" s="1" t="inlineStr">
        <is>
          <t>Bill Roberts</t>
        </is>
      </c>
      <c r="B97" s="1" t="n">
        <v>1</v>
      </c>
      <c r="C97" s="1" t="n">
        <v>1940</v>
      </c>
      <c r="D97" s="1" t="n">
        <v>1940</v>
      </c>
      <c r="E97" s="4" t="inlineStr">
        <is>
          <t>Pinocchio</t>
        </is>
      </c>
      <c r="F97" s="1" t="inlineStr">
        <is>
          <t>F0248</t>
        </is>
      </c>
    </row>
    <row r="98" ht="15.75" customHeight="1" s="95">
      <c r="A98" s="1" t="inlineStr">
        <is>
          <t>Björn Stein</t>
        </is>
      </c>
      <c r="B98" s="1" t="n">
        <v>1</v>
      </c>
      <c r="C98" s="1" t="n">
        <v>2012</v>
      </c>
      <c r="D98" s="1" t="n">
        <v>2012</v>
      </c>
      <c r="E98" s="4" t="inlineStr">
        <is>
          <t>Underworld: Awakening</t>
        </is>
      </c>
      <c r="F98" s="1" t="inlineStr">
        <is>
          <t>F0328</t>
        </is>
      </c>
    </row>
    <row r="99" ht="15.75" customHeight="1" s="95">
      <c r="A99" s="1" t="inlineStr">
        <is>
          <t>Bob Peterson</t>
        </is>
      </c>
      <c r="B99" s="1" t="n">
        <v>1</v>
      </c>
      <c r="C99" s="1" t="n">
        <v>2009</v>
      </c>
      <c r="D99" s="1" t="n">
        <v>2009</v>
      </c>
      <c r="E99" s="4" t="inlineStr">
        <is>
          <t>Up</t>
        </is>
      </c>
      <c r="F99" s="1" t="inlineStr">
        <is>
          <t>F0330</t>
        </is>
      </c>
    </row>
    <row r="100" ht="15.75" customHeight="1" s="95">
      <c r="A100" s="1" t="inlineStr">
        <is>
          <t>Bong Joon Ho</t>
        </is>
      </c>
      <c r="B100" s="1" t="n">
        <v>1</v>
      </c>
      <c r="C100" s="1" t="n">
        <v>2013</v>
      </c>
      <c r="D100" s="1" t="n">
        <v>2013</v>
      </c>
      <c r="E100" s="4" t="inlineStr">
        <is>
          <t>Snowpiercer</t>
        </is>
      </c>
      <c r="F100" s="1" t="inlineStr">
        <is>
          <t>F0283</t>
        </is>
      </c>
    </row>
    <row r="101" ht="15.75" customHeight="1" s="95">
      <c r="A101" s="1" t="inlineStr">
        <is>
          <t>Brad Bird</t>
        </is>
      </c>
      <c r="B101" s="1" t="n">
        <v>1</v>
      </c>
      <c r="C101" s="1" t="n">
        <v>2011</v>
      </c>
      <c r="D101" s="1" t="n">
        <v>2011</v>
      </c>
      <c r="E101" s="4" t="inlineStr">
        <is>
          <t>Mission: Impossible - Ghost Protocol</t>
        </is>
      </c>
      <c r="F101" s="1" t="inlineStr">
        <is>
          <t>F0224</t>
        </is>
      </c>
    </row>
    <row r="102" ht="15.75" customHeight="1" s="95">
      <c r="A102" s="1" t="inlineStr">
        <is>
          <t>Brandon Vietti</t>
        </is>
      </c>
      <c r="B102" s="1" t="n">
        <v>1</v>
      </c>
      <c r="C102" s="1" t="n">
        <v>2015</v>
      </c>
      <c r="D102" s="1" t="n">
        <v>2015</v>
      </c>
      <c r="E102" s="4" t="inlineStr">
        <is>
          <t>Lego DC Comics Super Heroes: Justice League vs. Bizarro League</t>
        </is>
      </c>
      <c r="F102" s="1" t="inlineStr">
        <is>
          <t>F0197</t>
        </is>
      </c>
    </row>
    <row r="103" ht="15.75" customHeight="1" s="95">
      <c r="A103" s="1" t="inlineStr">
        <is>
          <t>Brian De Palma</t>
        </is>
      </c>
      <c r="B103" s="1" t="n">
        <v>1</v>
      </c>
      <c r="C103" s="1" t="n">
        <v>1996</v>
      </c>
      <c r="D103" s="1" t="n">
        <v>1996</v>
      </c>
      <c r="E103" s="4" t="inlineStr">
        <is>
          <t>Mission: Impossible</t>
        </is>
      </c>
      <c r="F103" s="1" t="inlineStr">
        <is>
          <t>F0221</t>
        </is>
      </c>
    </row>
    <row r="104" ht="15.75" customHeight="1" s="95">
      <c r="A104" s="1" t="inlineStr">
        <is>
          <t>Camille Delamarre</t>
        </is>
      </c>
      <c r="B104" s="1" t="n">
        <v>1</v>
      </c>
      <c r="C104" s="1" t="n">
        <v>2015</v>
      </c>
      <c r="D104" s="1" t="n">
        <v>2015</v>
      </c>
      <c r="E104" s="4" t="inlineStr">
        <is>
          <t>The Transporter Refueled</t>
        </is>
      </c>
      <c r="F104" s="1" t="inlineStr">
        <is>
          <t>F0323</t>
        </is>
      </c>
    </row>
    <row r="105" ht="15.75" customHeight="1" s="95">
      <c r="A105" s="1" t="inlineStr">
        <is>
          <t>Cary Joji Fukunaga</t>
        </is>
      </c>
      <c r="B105" s="1" t="n">
        <v>1</v>
      </c>
      <c r="C105" s="1" t="n">
        <v>2021</v>
      </c>
      <c r="D105" s="1" t="n">
        <v>2021</v>
      </c>
      <c r="E105" s="4" t="inlineStr">
        <is>
          <t>No Time to Die</t>
        </is>
      </c>
      <c r="F105" s="1" t="inlineStr">
        <is>
          <t>F0005</t>
        </is>
      </c>
    </row>
    <row r="106" ht="15.75" customHeight="1" s="95">
      <c r="A106" s="1" t="inlineStr">
        <is>
          <t>Chris Buck</t>
        </is>
      </c>
      <c r="B106" s="1" t="n">
        <v>1</v>
      </c>
      <c r="C106" s="1" t="n">
        <v>2013</v>
      </c>
      <c r="D106" s="1" t="n">
        <v>2013</v>
      </c>
      <c r="E106" s="4" t="inlineStr">
        <is>
          <t>Frozen</t>
        </is>
      </c>
      <c r="F106" s="1" t="inlineStr">
        <is>
          <t>F0116</t>
        </is>
      </c>
    </row>
    <row r="107" ht="15.75" customHeight="1" s="95">
      <c r="A107" s="1" t="inlineStr">
        <is>
          <t>Chris McKay</t>
        </is>
      </c>
      <c r="B107" s="1" t="n">
        <v>1</v>
      </c>
      <c r="C107" s="1" t="n">
        <v>2017</v>
      </c>
      <c r="D107" s="1" t="n">
        <v>2017</v>
      </c>
      <c r="E107" s="4" t="inlineStr">
        <is>
          <t>The Lego Batman Movie</t>
        </is>
      </c>
      <c r="F107" s="1" t="inlineStr">
        <is>
          <t>F0193</t>
        </is>
      </c>
    </row>
    <row r="108" ht="15.75" customHeight="1" s="95">
      <c r="A108" s="1" t="inlineStr">
        <is>
          <t>Chris Williams</t>
        </is>
      </c>
      <c r="B108" s="1" t="n">
        <v>1</v>
      </c>
      <c r="C108" s="1" t="n">
        <v>2014</v>
      </c>
      <c r="D108" s="1" t="n">
        <v>2014</v>
      </c>
      <c r="E108" s="4" t="inlineStr">
        <is>
          <t>Big Hero 6</t>
        </is>
      </c>
      <c r="F108" s="1" t="inlineStr">
        <is>
          <t>F0048</t>
        </is>
      </c>
    </row>
    <row r="109" ht="15.75" customHeight="1" s="95">
      <c r="A109" s="1" t="inlineStr">
        <is>
          <t>Christophe Lourdelet</t>
        </is>
      </c>
      <c r="B109" s="1" t="n">
        <v>1</v>
      </c>
      <c r="C109" s="1" t="n">
        <v>2016</v>
      </c>
      <c r="D109" s="1" t="n">
        <v>2016</v>
      </c>
      <c r="E109" s="4" t="inlineStr">
        <is>
          <t>Sing</t>
        </is>
      </c>
      <c r="F109" s="1" t="inlineStr">
        <is>
          <t>F0280</t>
        </is>
      </c>
    </row>
    <row r="110" ht="15.75" customHeight="1" s="95">
      <c r="A110" s="1" t="inlineStr">
        <is>
          <t>Clint Eastwood</t>
        </is>
      </c>
      <c r="B110" s="1" t="n">
        <v>1</v>
      </c>
      <c r="C110" s="1" t="n">
        <v>2008</v>
      </c>
      <c r="D110" s="1" t="n">
        <v>2008</v>
      </c>
      <c r="E110" s="4" t="inlineStr">
        <is>
          <t>Gran Torino</t>
        </is>
      </c>
      <c r="F110" s="1" t="inlineStr">
        <is>
          <t>F0125</t>
        </is>
      </c>
    </row>
    <row r="111" ht="15.75" customHeight="1" s="95">
      <c r="A111" s="1" t="inlineStr">
        <is>
          <t>Cody Cameron</t>
        </is>
      </c>
      <c r="B111" s="1" t="n">
        <v>1</v>
      </c>
      <c r="C111" s="1" t="n">
        <v>2013</v>
      </c>
      <c r="D111" s="1" t="n">
        <v>2013</v>
      </c>
      <c r="E111" s="4" t="inlineStr">
        <is>
          <t>Cloudy with a Chance of Meatballs 2</t>
        </is>
      </c>
      <c r="F111" s="1" t="inlineStr">
        <is>
          <t>F0067</t>
        </is>
      </c>
    </row>
    <row r="112" ht="15.75" customHeight="1" s="95">
      <c r="A112" s="1" t="inlineStr">
        <is>
          <t>Damon Beesley</t>
        </is>
      </c>
      <c r="B112" s="1" t="n">
        <v>1</v>
      </c>
      <c r="C112" s="1" t="n">
        <v>2014</v>
      </c>
      <c r="D112" s="1" t="n">
        <v>2014</v>
      </c>
      <c r="E112" s="4" t="inlineStr">
        <is>
          <t>The Inbetweeners 2</t>
        </is>
      </c>
      <c r="F112" s="1" t="inlineStr">
        <is>
          <t>F0164</t>
        </is>
      </c>
    </row>
    <row r="113" ht="15.75" customHeight="1" s="95">
      <c r="A113" s="1" t="inlineStr">
        <is>
          <t>Dan Mazer</t>
        </is>
      </c>
      <c r="B113" s="1" t="n">
        <v>1</v>
      </c>
      <c r="C113" s="1" t="n">
        <v>2016</v>
      </c>
      <c r="D113" s="1" t="n">
        <v>2016</v>
      </c>
      <c r="E113" s="4" t="inlineStr">
        <is>
          <t>Dirty Grandpa</t>
        </is>
      </c>
      <c r="F113" s="1" t="inlineStr">
        <is>
          <t>F0087</t>
        </is>
      </c>
    </row>
    <row r="114" ht="15.75" customHeight="1" s="95">
      <c r="A114" s="1" t="inlineStr">
        <is>
          <t>Dan Scanlon</t>
        </is>
      </c>
      <c r="B114" s="1" t="n">
        <v>1</v>
      </c>
      <c r="C114" s="1" t="n">
        <v>2013</v>
      </c>
      <c r="D114" s="1" t="n">
        <v>2013</v>
      </c>
      <c r="E114" s="4" t="inlineStr">
        <is>
          <t>Monsters University</t>
        </is>
      </c>
      <c r="F114" s="1" t="inlineStr">
        <is>
          <t>F0230</t>
        </is>
      </c>
    </row>
    <row r="115" ht="15.75" customHeight="1" s="95">
      <c r="A115" s="1" t="inlineStr">
        <is>
          <t>Daniel Espinosa</t>
        </is>
      </c>
      <c r="B115" s="1" t="n">
        <v>1</v>
      </c>
      <c r="C115" s="1" t="n">
        <v>2012</v>
      </c>
      <c r="D115" s="1" t="n">
        <v>2012</v>
      </c>
      <c r="E115" s="4" t="inlineStr">
        <is>
          <t>Safe House</t>
        </is>
      </c>
      <c r="F115" s="1" t="inlineStr">
        <is>
          <t>F0272</t>
        </is>
      </c>
    </row>
    <row r="116" ht="15.75" customHeight="1" s="95">
      <c r="A116" s="1" t="inlineStr">
        <is>
          <t>Daniel Toland</t>
        </is>
      </c>
      <c r="B116" s="1" t="n">
        <v>1</v>
      </c>
      <c r="C116" s="1" t="n">
        <v>2011</v>
      </c>
      <c r="D116" s="1" t="n">
        <v>2011</v>
      </c>
      <c r="E116" s="4" t="inlineStr">
        <is>
          <t>Anuvahood</t>
        </is>
      </c>
      <c r="F116" s="1" t="inlineStr">
        <is>
          <t>F0024</t>
        </is>
      </c>
    </row>
    <row r="117" ht="15.75" customHeight="1" s="95">
      <c r="A117" s="1" t="inlineStr">
        <is>
          <t>Danny Boyle</t>
        </is>
      </c>
      <c r="B117" s="1" t="n">
        <v>1</v>
      </c>
      <c r="C117" s="1" t="n">
        <v>2008</v>
      </c>
      <c r="D117" s="1" t="n">
        <v>2008</v>
      </c>
      <c r="E117" s="4" t="inlineStr">
        <is>
          <t>Slumdog Millionaire</t>
        </is>
      </c>
      <c r="F117" s="1" t="inlineStr">
        <is>
          <t>F0281</t>
        </is>
      </c>
    </row>
    <row r="118" ht="15.75" customHeight="1" s="95">
      <c r="A118" s="1" t="inlineStr">
        <is>
          <t>Darren Aronofsky</t>
        </is>
      </c>
      <c r="B118" s="1" t="n">
        <v>1</v>
      </c>
      <c r="C118" s="1" t="n">
        <v>2014</v>
      </c>
      <c r="D118" s="1" t="n">
        <v>2014</v>
      </c>
      <c r="E118" s="4" t="inlineStr">
        <is>
          <t>Noah</t>
        </is>
      </c>
      <c r="F118" s="1" t="inlineStr">
        <is>
          <t>F0238</t>
        </is>
      </c>
    </row>
    <row r="119" ht="15.75" customHeight="1" s="95">
      <c r="A119" s="1" t="inlineStr">
        <is>
          <t>David Ayer</t>
        </is>
      </c>
      <c r="B119" s="1" t="n">
        <v>1</v>
      </c>
      <c r="C119" s="1" t="n">
        <v>2014</v>
      </c>
      <c r="D119" s="1" t="n">
        <v>2014</v>
      </c>
      <c r="E119" s="4" t="inlineStr">
        <is>
          <t>Fury</t>
        </is>
      </c>
      <c r="F119" s="1" t="inlineStr">
        <is>
          <t>F0117</t>
        </is>
      </c>
    </row>
    <row r="120" ht="15.75" customHeight="1" s="95">
      <c r="A120" s="1" t="inlineStr">
        <is>
          <t>David Gordon Green</t>
        </is>
      </c>
      <c r="B120" s="1" t="n">
        <v>1</v>
      </c>
      <c r="C120" s="1" t="n">
        <v>2008</v>
      </c>
      <c r="D120" s="1" t="n">
        <v>2008</v>
      </c>
      <c r="E120" s="4" t="inlineStr">
        <is>
          <t>Pineapple Express</t>
        </is>
      </c>
      <c r="F120" s="1" t="inlineStr">
        <is>
          <t>F0247</t>
        </is>
      </c>
    </row>
    <row r="121" ht="15.75" customHeight="1" s="95">
      <c r="A121" s="1" t="inlineStr">
        <is>
          <t>David O. Russell</t>
        </is>
      </c>
      <c r="B121" s="1" t="n">
        <v>1</v>
      </c>
      <c r="C121" s="1" t="n">
        <v>2013</v>
      </c>
      <c r="D121" s="1" t="n">
        <v>2013</v>
      </c>
      <c r="E121" s="4" t="inlineStr">
        <is>
          <t>American Hustle</t>
        </is>
      </c>
      <c r="F121" s="1" t="inlineStr">
        <is>
          <t>F0020</t>
        </is>
      </c>
    </row>
    <row r="122" ht="15.75" customHeight="1" s="95">
      <c r="A122" s="1" t="inlineStr">
        <is>
          <t>David Peers</t>
        </is>
      </c>
      <c r="B122" s="1" t="n">
        <v>1</v>
      </c>
      <c r="C122" s="1" t="n">
        <v>2011</v>
      </c>
      <c r="D122" s="1" t="n">
        <v>2011</v>
      </c>
      <c r="E122" s="4" t="inlineStr">
        <is>
          <t>Happy Feet Two</t>
        </is>
      </c>
      <c r="F122" s="1" t="inlineStr">
        <is>
          <t>F0145</t>
        </is>
      </c>
    </row>
    <row r="123" ht="15.75" customHeight="1" s="95">
      <c r="A123" s="1" t="inlineStr">
        <is>
          <t>David Silverman</t>
        </is>
      </c>
      <c r="B123" s="1" t="n">
        <v>1</v>
      </c>
      <c r="C123" s="1" t="n">
        <v>2001</v>
      </c>
      <c r="D123" s="1" t="n">
        <v>2001</v>
      </c>
      <c r="E123" s="4" t="inlineStr">
        <is>
          <t>Monsters, Inc.</t>
        </is>
      </c>
      <c r="F123" s="1" t="inlineStr">
        <is>
          <t>F0229</t>
        </is>
      </c>
    </row>
    <row r="124" ht="15.75" customHeight="1" s="95">
      <c r="A124" s="1" t="inlineStr">
        <is>
          <t>David Twohy</t>
        </is>
      </c>
      <c r="B124" s="1" t="n">
        <v>1</v>
      </c>
      <c r="C124" s="1" t="n">
        <v>2013</v>
      </c>
      <c r="D124" s="1" t="n">
        <v>2013</v>
      </c>
      <c r="E124" s="4" t="inlineStr">
        <is>
          <t>Riddick</t>
        </is>
      </c>
      <c r="F124" s="1" t="inlineStr">
        <is>
          <t>F0264</t>
        </is>
      </c>
    </row>
    <row r="125" ht="15.75" customHeight="1" s="95">
      <c r="A125" s="1" t="inlineStr">
        <is>
          <t>Declan Lowney</t>
        </is>
      </c>
      <c r="B125" s="1" t="n">
        <v>1</v>
      </c>
      <c r="C125" s="1" t="n">
        <v>2013</v>
      </c>
      <c r="D125" s="1" t="n">
        <v>2013</v>
      </c>
      <c r="E125" s="4" t="inlineStr">
        <is>
          <t>Alan Partridge: Alpha Papa</t>
        </is>
      </c>
      <c r="F125" s="1" t="inlineStr">
        <is>
          <t>F0014</t>
        </is>
      </c>
    </row>
    <row r="126" ht="15.75" customHeight="1" s="95">
      <c r="A126" s="1" t="inlineStr">
        <is>
          <t>Denis Villeneuve</t>
        </is>
      </c>
      <c r="B126" s="1" t="n">
        <v>1</v>
      </c>
      <c r="C126" s="1" t="n">
        <v>2013</v>
      </c>
      <c r="D126" s="1" t="n">
        <v>2013</v>
      </c>
      <c r="E126" s="4" t="inlineStr">
        <is>
          <t>Prisoners</t>
        </is>
      </c>
      <c r="F126" s="1" t="inlineStr">
        <is>
          <t>F0258</t>
        </is>
      </c>
    </row>
    <row r="127" ht="15.75" customHeight="1" s="95">
      <c r="A127" s="1" t="inlineStr">
        <is>
          <t>Dexter Fletcher</t>
        </is>
      </c>
      <c r="B127" s="1" t="n">
        <v>1</v>
      </c>
      <c r="C127" s="1" t="n">
        <v>2019</v>
      </c>
      <c r="D127" s="1" t="n">
        <v>2019</v>
      </c>
      <c r="E127" s="4" t="inlineStr">
        <is>
          <t>Rocketman</t>
        </is>
      </c>
      <c r="F127" s="1" t="inlineStr">
        <is>
          <t>F0269</t>
        </is>
      </c>
    </row>
    <row r="128" ht="15.75" customHeight="1" s="95">
      <c r="A128" s="1" t="inlineStr">
        <is>
          <t>Don Hall</t>
        </is>
      </c>
      <c r="B128" s="1" t="n">
        <v>1</v>
      </c>
      <c r="C128" s="1" t="n">
        <v>2014</v>
      </c>
      <c r="D128" s="1" t="n">
        <v>2014</v>
      </c>
      <c r="E128" s="4" t="inlineStr">
        <is>
          <t>Big Hero 6</t>
        </is>
      </c>
      <c r="F128" s="1" t="inlineStr">
        <is>
          <t>F0048</t>
        </is>
      </c>
    </row>
    <row r="129" ht="15.75" customHeight="1" s="95">
      <c r="A129" s="1" t="inlineStr">
        <is>
          <t>Duncan Jones</t>
        </is>
      </c>
      <c r="B129" s="1" t="n">
        <v>1</v>
      </c>
      <c r="C129" s="1" t="n">
        <v>2011</v>
      </c>
      <c r="D129" s="1" t="n">
        <v>2011</v>
      </c>
      <c r="E129" s="4" t="inlineStr">
        <is>
          <t>Source Code</t>
        </is>
      </c>
      <c r="F129" s="1" t="inlineStr">
        <is>
          <t>F0285</t>
        </is>
      </c>
    </row>
    <row r="130" ht="15.75" customHeight="1" s="95">
      <c r="A130" s="1" t="inlineStr">
        <is>
          <t>Elizabeth Banks</t>
        </is>
      </c>
      <c r="B130" s="1" t="n">
        <v>1</v>
      </c>
      <c r="C130" s="1" t="n">
        <v>2015</v>
      </c>
      <c r="D130" s="1" t="n">
        <v>2015</v>
      </c>
      <c r="E130" s="4" t="inlineStr">
        <is>
          <t>Pitch Perfect 2</t>
        </is>
      </c>
      <c r="F130" s="1" t="inlineStr">
        <is>
          <t>F0251</t>
        </is>
      </c>
    </row>
    <row r="131" ht="15.75" customHeight="1" s="95">
      <c r="A131" s="1" t="inlineStr">
        <is>
          <t>Eric Guillon</t>
        </is>
      </c>
      <c r="B131" s="1" t="n">
        <v>1</v>
      </c>
      <c r="C131" s="1" t="n">
        <v>2017</v>
      </c>
      <c r="D131" s="1" t="n">
        <v>2017</v>
      </c>
      <c r="E131" s="4" t="inlineStr">
        <is>
          <t>Despicable Me 3</t>
        </is>
      </c>
      <c r="F131" s="1" t="inlineStr">
        <is>
          <t>F0084</t>
        </is>
      </c>
    </row>
    <row r="132" ht="15.75" customHeight="1" s="95">
      <c r="A132" s="1" t="inlineStr">
        <is>
          <t>Fabien Polack</t>
        </is>
      </c>
      <c r="B132" s="1" t="n">
        <v>1</v>
      </c>
      <c r="C132" s="1" t="n">
        <v>2023</v>
      </c>
      <c r="D132" s="1" t="n">
        <v>2023</v>
      </c>
      <c r="E132" s="4" t="inlineStr">
        <is>
          <t>The Super Mario Bros. Movie</t>
        </is>
      </c>
      <c r="F132" s="1" t="inlineStr">
        <is>
          <t>F0212</t>
        </is>
      </c>
    </row>
    <row r="133" ht="15.75" customHeight="1" s="95">
      <c r="A133" s="1" t="inlineStr">
        <is>
          <t>Francis Lawrence</t>
        </is>
      </c>
      <c r="B133" s="1" t="n">
        <v>1</v>
      </c>
      <c r="C133" s="1" t="n">
        <v>2014</v>
      </c>
      <c r="D133" s="1" t="n">
        <v>2014</v>
      </c>
      <c r="E133" s="4" t="inlineStr">
        <is>
          <t>The Hunger Games: Mockingjay - Part 1</t>
        </is>
      </c>
      <c r="F133" s="1" t="inlineStr">
        <is>
          <t>F0158</t>
        </is>
      </c>
    </row>
    <row r="134" ht="15.75" customHeight="1" s="95">
      <c r="A134" s="1" t="inlineStr">
        <is>
          <t>Gabriele Muccino</t>
        </is>
      </c>
      <c r="B134" s="1" t="n">
        <v>1</v>
      </c>
      <c r="C134" s="1" t="n">
        <v>2006</v>
      </c>
      <c r="D134" s="1" t="n">
        <v>2006</v>
      </c>
      <c r="E134" s="4" t="inlineStr">
        <is>
          <t>The Pursuit of Happyness</t>
        </is>
      </c>
      <c r="F134" s="1" t="inlineStr">
        <is>
          <t>F0260</t>
        </is>
      </c>
    </row>
    <row r="135" ht="15.75" customHeight="1" s="95">
      <c r="A135" s="1" t="inlineStr">
        <is>
          <t>Garth Jennings</t>
        </is>
      </c>
      <c r="B135" s="1" t="n">
        <v>1</v>
      </c>
      <c r="C135" s="1" t="n">
        <v>2016</v>
      </c>
      <c r="D135" s="1" t="n">
        <v>2016</v>
      </c>
      <c r="E135" s="4" t="inlineStr">
        <is>
          <t>Sing</t>
        </is>
      </c>
      <c r="F135" s="1" t="inlineStr">
        <is>
          <t>F0280</t>
        </is>
      </c>
    </row>
    <row r="136" ht="15.75" customHeight="1" s="95">
      <c r="A136" s="1" t="inlineStr">
        <is>
          <t>Gary Eck</t>
        </is>
      </c>
      <c r="B136" s="1" t="n">
        <v>1</v>
      </c>
      <c r="C136" s="1" t="n">
        <v>2011</v>
      </c>
      <c r="D136" s="1" t="n">
        <v>2011</v>
      </c>
      <c r="E136" s="4" t="inlineStr">
        <is>
          <t>Happy Feet Two</t>
        </is>
      </c>
      <c r="F136" s="1" t="inlineStr">
        <is>
          <t>F0145</t>
        </is>
      </c>
    </row>
    <row r="137" ht="15.75" customHeight="1" s="95">
      <c r="A137" s="1" t="inlineStr">
        <is>
          <t>Gary Ross</t>
        </is>
      </c>
      <c r="B137" s="1" t="n">
        <v>1</v>
      </c>
      <c r="C137" s="1" t="n">
        <v>2012</v>
      </c>
      <c r="D137" s="1" t="n">
        <v>2012</v>
      </c>
      <c r="E137" s="4" t="inlineStr">
        <is>
          <t>The Hunger Games</t>
        </is>
      </c>
      <c r="F137" s="1" t="inlineStr">
        <is>
          <t>F0157</t>
        </is>
      </c>
    </row>
    <row r="138" ht="15.75" customHeight="1" s="95">
      <c r="A138" s="1" t="inlineStr">
        <is>
          <t>Gavin Hood</t>
        </is>
      </c>
      <c r="B138" s="1" t="n">
        <v>1</v>
      </c>
      <c r="C138" s="1" t="n">
        <v>2009</v>
      </c>
      <c r="D138" s="1" t="n">
        <v>2009</v>
      </c>
      <c r="E138" s="4" t="inlineStr">
        <is>
          <t>X-Men Origins: Wolverine</t>
        </is>
      </c>
      <c r="F138" s="1" t="inlineStr">
        <is>
          <t>F0343</t>
        </is>
      </c>
    </row>
    <row r="139" ht="15.75" customHeight="1" s="95">
      <c r="A139" s="1" t="inlineStr">
        <is>
          <t>George Miller</t>
        </is>
      </c>
      <c r="B139" s="1" t="n">
        <v>1</v>
      </c>
      <c r="C139" s="1" t="n">
        <v>2011</v>
      </c>
      <c r="D139" s="1" t="n">
        <v>2011</v>
      </c>
      <c r="E139" s="4" t="inlineStr">
        <is>
          <t>Happy Feet Two</t>
        </is>
      </c>
      <c r="F139" s="1" t="inlineStr">
        <is>
          <t>F0145</t>
        </is>
      </c>
    </row>
    <row r="140" ht="15.75" customHeight="1" s="95">
      <c r="A140" s="1" t="inlineStr">
        <is>
          <t>Greta Gerwig</t>
        </is>
      </c>
      <c r="B140" s="1" t="n">
        <v>1</v>
      </c>
      <c r="C140" s="1" t="n">
        <v>2023</v>
      </c>
      <c r="D140" s="1" t="n">
        <v>2023</v>
      </c>
      <c r="E140" s="4" t="inlineStr">
        <is>
          <t>Barbie</t>
        </is>
      </c>
      <c r="F140" s="1" t="inlineStr">
        <is>
          <t>F0041</t>
        </is>
      </c>
    </row>
    <row r="141" ht="15.75" customHeight="1" s="95">
      <c r="A141" s="1" t="inlineStr">
        <is>
          <t>Guillermo del Toro</t>
        </is>
      </c>
      <c r="B141" s="1" t="n">
        <v>1</v>
      </c>
      <c r="C141" s="1" t="n">
        <v>2013</v>
      </c>
      <c r="D141" s="1" t="n">
        <v>2013</v>
      </c>
      <c r="E141" s="4" t="inlineStr">
        <is>
          <t>Pacific Rim</t>
        </is>
      </c>
      <c r="F141" s="1" t="inlineStr">
        <is>
          <t>F0243</t>
        </is>
      </c>
    </row>
    <row r="142" ht="15.75" customHeight="1" s="95">
      <c r="A142" s="1" t="inlineStr">
        <is>
          <t>Gus Van Sant</t>
        </is>
      </c>
      <c r="B142" s="1" t="n">
        <v>1</v>
      </c>
      <c r="C142" s="1" t="n">
        <v>1997</v>
      </c>
      <c r="D142" s="1" t="n">
        <v>1997</v>
      </c>
      <c r="E142" s="4" t="inlineStr">
        <is>
          <t>Good Will Hunting</t>
        </is>
      </c>
      <c r="F142" s="1" t="inlineStr">
        <is>
          <t>F0124</t>
        </is>
      </c>
    </row>
    <row r="143" ht="15.75" customHeight="1" s="95">
      <c r="A143" s="1" t="inlineStr">
        <is>
          <t>Hamilton Luske</t>
        </is>
      </c>
      <c r="B143" s="1" t="n">
        <v>1</v>
      </c>
      <c r="C143" s="1" t="n">
        <v>1940</v>
      </c>
      <c r="D143" s="1" t="n">
        <v>1940</v>
      </c>
      <c r="E143" s="4" t="inlineStr">
        <is>
          <t>Pinocchio</t>
        </is>
      </c>
      <c r="F143" s="1" t="inlineStr">
        <is>
          <t>F0248</t>
        </is>
      </c>
    </row>
    <row r="144" ht="15.75" customHeight="1" s="95">
      <c r="A144" s="1" t="inlineStr">
        <is>
          <t>Harald Zwart</t>
        </is>
      </c>
      <c r="B144" s="1" t="n">
        <v>1</v>
      </c>
      <c r="C144" s="1" t="n">
        <v>2010</v>
      </c>
      <c r="D144" s="1" t="n">
        <v>2010</v>
      </c>
      <c r="E144" s="4" t="inlineStr">
        <is>
          <t>The Karate Kid</t>
        </is>
      </c>
      <c r="F144" s="1" t="inlineStr">
        <is>
          <t>F0184</t>
        </is>
      </c>
    </row>
    <row r="145" ht="15.75" customHeight="1" s="95">
      <c r="A145" s="1" t="inlineStr">
        <is>
          <t>Iain Morris</t>
        </is>
      </c>
      <c r="B145" s="1" t="n">
        <v>1</v>
      </c>
      <c r="C145" s="1" t="n">
        <v>2014</v>
      </c>
      <c r="D145" s="1" t="n">
        <v>2014</v>
      </c>
      <c r="E145" s="4" t="inlineStr">
        <is>
          <t>The Inbetweeners 2</t>
        </is>
      </c>
      <c r="F145" s="1" t="inlineStr">
        <is>
          <t>F0164</t>
        </is>
      </c>
    </row>
    <row r="146" ht="15.75" customHeight="1" s="95">
      <c r="A146" s="1" t="inlineStr">
        <is>
          <t>Irvin Kershner</t>
        </is>
      </c>
      <c r="B146" s="1" t="n">
        <v>1</v>
      </c>
      <c r="C146" s="1" t="n">
        <v>1980</v>
      </c>
      <c r="D146" s="1" t="n">
        <v>1980</v>
      </c>
      <c r="E146" s="4" t="inlineStr">
        <is>
          <t>Star Wars: Episode V – The Empire Strikes Back</t>
        </is>
      </c>
      <c r="F146" s="1" t="inlineStr">
        <is>
          <t>F0296</t>
        </is>
      </c>
    </row>
    <row r="147" ht="15.75" customHeight="1" s="95">
      <c r="A147" s="1" t="inlineStr">
        <is>
          <t>J. A. Bayona</t>
        </is>
      </c>
      <c r="B147" s="1" t="n">
        <v>1</v>
      </c>
      <c r="C147" s="1" t="n">
        <v>2018</v>
      </c>
      <c r="D147" s="1" t="n">
        <v>2018</v>
      </c>
      <c r="E147" s="4" t="inlineStr">
        <is>
          <t>Jurassic World: Fallen Kingdom</t>
        </is>
      </c>
      <c r="F147" s="1" t="inlineStr">
        <is>
          <t>F0180</t>
        </is>
      </c>
    </row>
    <row r="148" ht="15.75" customHeight="1" s="95">
      <c r="A148" s="1" t="inlineStr">
        <is>
          <t>Jack Kinney</t>
        </is>
      </c>
      <c r="B148" s="1" t="n">
        <v>1</v>
      </c>
      <c r="C148" s="1" t="n">
        <v>1940</v>
      </c>
      <c r="D148" s="1" t="n">
        <v>1940</v>
      </c>
      <c r="E148" s="4" t="inlineStr">
        <is>
          <t>Pinocchio</t>
        </is>
      </c>
      <c r="F148" s="1" t="inlineStr">
        <is>
          <t>F0248</t>
        </is>
      </c>
    </row>
    <row r="149" ht="15.75" customHeight="1" s="95">
      <c r="A149" s="1" t="inlineStr">
        <is>
          <t>Jake Kasdan</t>
        </is>
      </c>
      <c r="B149" s="1" t="n">
        <v>1</v>
      </c>
      <c r="C149" s="1" t="n">
        <v>2011</v>
      </c>
      <c r="D149" s="1" t="n">
        <v>2011</v>
      </c>
      <c r="E149" s="4" t="inlineStr">
        <is>
          <t>Bad Teacher</t>
        </is>
      </c>
      <c r="F149" s="1" t="inlineStr">
        <is>
          <t>F0039</t>
        </is>
      </c>
    </row>
    <row r="150" ht="15.75" customHeight="1" s="95">
      <c r="A150" s="1" t="inlineStr">
        <is>
          <t>James Bobin</t>
        </is>
      </c>
      <c r="B150" s="1" t="n">
        <v>1</v>
      </c>
      <c r="C150" s="1" t="n">
        <v>2014</v>
      </c>
      <c r="D150" s="1" t="n">
        <v>2014</v>
      </c>
      <c r="E150" s="4" t="inlineStr">
        <is>
          <t>Muppets Most Wanted</t>
        </is>
      </c>
      <c r="F150" s="1" t="inlineStr">
        <is>
          <t>F0232</t>
        </is>
      </c>
    </row>
    <row r="151" ht="15.75" customHeight="1" s="95">
      <c r="A151" s="1" t="inlineStr">
        <is>
          <t>James Marsh</t>
        </is>
      </c>
      <c r="B151" s="1" t="n">
        <v>1</v>
      </c>
      <c r="C151" s="1" t="n">
        <v>2014</v>
      </c>
      <c r="D151" s="1" t="n">
        <v>2014</v>
      </c>
      <c r="E151" s="4" t="inlineStr">
        <is>
          <t>The Theory of Everything</t>
        </is>
      </c>
      <c r="F151" s="1" t="inlineStr">
        <is>
          <t>F0311</t>
        </is>
      </c>
    </row>
    <row r="152" ht="15.75" customHeight="1" s="95">
      <c r="A152" s="1" t="inlineStr">
        <is>
          <t>James Wan</t>
        </is>
      </c>
      <c r="B152" s="1" t="n">
        <v>1</v>
      </c>
      <c r="C152" s="1" t="n">
        <v>2015</v>
      </c>
      <c r="D152" s="1" t="n">
        <v>2015</v>
      </c>
      <c r="E152" s="4" t="inlineStr">
        <is>
          <t>Furious 7</t>
        </is>
      </c>
      <c r="F152" s="1" t="inlineStr">
        <is>
          <t>F0107</t>
        </is>
      </c>
    </row>
    <row r="153" ht="15.75" customHeight="1" s="95">
      <c r="A153" s="1" t="inlineStr">
        <is>
          <t>Jason Moore</t>
        </is>
      </c>
      <c r="B153" s="1" t="n">
        <v>1</v>
      </c>
      <c r="C153" s="1" t="n">
        <v>2012</v>
      </c>
      <c r="D153" s="1" t="n">
        <v>2012</v>
      </c>
      <c r="E153" s="4" t="inlineStr">
        <is>
          <t>Pitch Perfect</t>
        </is>
      </c>
      <c r="F153" s="1" t="inlineStr">
        <is>
          <t>F0250</t>
        </is>
      </c>
    </row>
    <row r="154" ht="15.75" customHeight="1" s="95">
      <c r="A154" s="1" t="inlineStr">
        <is>
          <t>Jaume Collet-Serra</t>
        </is>
      </c>
      <c r="B154" s="1" t="n">
        <v>1</v>
      </c>
      <c r="C154" s="1" t="n">
        <v>2011</v>
      </c>
      <c r="D154" s="1" t="n">
        <v>2011</v>
      </c>
      <c r="E154" s="4" t="inlineStr">
        <is>
          <t>Unknown</t>
        </is>
      </c>
      <c r="F154" s="1" t="inlineStr">
        <is>
          <t>F0329</t>
        </is>
      </c>
    </row>
    <row r="155" ht="15.75" customHeight="1" s="95">
      <c r="A155" s="1" t="inlineStr">
        <is>
          <t>Jean-Pierre Jeunet</t>
        </is>
      </c>
      <c r="B155" s="1" t="n">
        <v>1</v>
      </c>
      <c r="C155" s="1" t="n">
        <v>1997</v>
      </c>
      <c r="D155" s="1" t="n">
        <v>1997</v>
      </c>
      <c r="E155" s="4" t="inlineStr">
        <is>
          <t>Alien Resurrection</t>
        </is>
      </c>
      <c r="F155" s="1" t="inlineStr">
        <is>
          <t>F0018</t>
        </is>
      </c>
    </row>
    <row r="156" ht="15.75" customHeight="1" s="95">
      <c r="A156" s="1" t="inlineStr">
        <is>
          <t>Jeff Tremaine</t>
        </is>
      </c>
      <c r="B156" s="1" t="n">
        <v>1</v>
      </c>
      <c r="C156" s="1" t="n">
        <v>2010</v>
      </c>
      <c r="D156" s="1" t="n">
        <v>2010</v>
      </c>
      <c r="E156" s="4" t="inlineStr">
        <is>
          <t>Jackass 3D</t>
        </is>
      </c>
      <c r="F156" s="1" t="inlineStr">
        <is>
          <t>F0172</t>
        </is>
      </c>
    </row>
    <row r="157" ht="15.75" customHeight="1" s="95">
      <c r="A157" s="1" t="inlineStr">
        <is>
          <t>Jeff Wadlow</t>
        </is>
      </c>
      <c r="B157" s="1" t="n">
        <v>1</v>
      </c>
      <c r="C157" s="1" t="n">
        <v>2013</v>
      </c>
      <c r="D157" s="1" t="n">
        <v>2013</v>
      </c>
      <c r="E157" s="4" t="inlineStr">
        <is>
          <t>Kick-Ass 2</t>
        </is>
      </c>
      <c r="F157" s="1" t="inlineStr">
        <is>
          <t>F0186</t>
        </is>
      </c>
    </row>
    <row r="158" ht="15.75" customHeight="1" s="95">
      <c r="A158" s="1" t="inlineStr">
        <is>
          <t>Jennifer Lee</t>
        </is>
      </c>
      <c r="B158" s="1" t="n">
        <v>1</v>
      </c>
      <c r="C158" s="1" t="n">
        <v>2013</v>
      </c>
      <c r="D158" s="1" t="n">
        <v>2013</v>
      </c>
      <c r="E158" s="4" t="inlineStr">
        <is>
          <t>Frozen</t>
        </is>
      </c>
      <c r="F158" s="1" t="inlineStr">
        <is>
          <t>F0116</t>
        </is>
      </c>
    </row>
    <row r="159" ht="15.75" customHeight="1" s="95">
      <c r="A159" s="1" t="inlineStr">
        <is>
          <t>Jimmy Hayward</t>
        </is>
      </c>
      <c r="B159" s="1" t="n">
        <v>1</v>
      </c>
      <c r="C159" s="1" t="n">
        <v>2010</v>
      </c>
      <c r="D159" s="1" t="n">
        <v>2010</v>
      </c>
      <c r="E159" s="4" t="inlineStr">
        <is>
          <t>Jonah Hex</t>
        </is>
      </c>
      <c r="F159" s="1" t="inlineStr">
        <is>
          <t>F0173</t>
        </is>
      </c>
    </row>
    <row r="160" ht="15.75" customHeight="1" s="95">
      <c r="A160" s="1" t="inlineStr">
        <is>
          <t>Joe Carnahan</t>
        </is>
      </c>
      <c r="B160" s="1" t="n">
        <v>1</v>
      </c>
      <c r="C160" s="1" t="n">
        <v>2010</v>
      </c>
      <c r="D160" s="1" t="n">
        <v>2010</v>
      </c>
      <c r="E160" s="4" t="inlineStr">
        <is>
          <t>The A-Team</t>
        </is>
      </c>
      <c r="F160" s="1" t="inlineStr">
        <is>
          <t>F0026</t>
        </is>
      </c>
    </row>
    <row r="161" ht="15.75" customHeight="1" s="95">
      <c r="A161" s="1" t="inlineStr">
        <is>
          <t>Joe Cornish</t>
        </is>
      </c>
      <c r="B161" s="1" t="n">
        <v>1</v>
      </c>
      <c r="C161" s="1" t="n">
        <v>2011</v>
      </c>
      <c r="D161" s="1" t="n">
        <v>2011</v>
      </c>
      <c r="E161" s="4" t="inlineStr">
        <is>
          <t>Attack the Block</t>
        </is>
      </c>
      <c r="F161" s="1" t="inlineStr">
        <is>
          <t>F0027</t>
        </is>
      </c>
    </row>
    <row r="162" ht="15.75" customHeight="1" s="95">
      <c r="A162" s="1" t="inlineStr">
        <is>
          <t>Joe Johnston</t>
        </is>
      </c>
      <c r="B162" s="1" t="n">
        <v>1</v>
      </c>
      <c r="C162" s="1" t="n">
        <v>2001</v>
      </c>
      <c r="D162" s="1" t="n">
        <v>2001</v>
      </c>
      <c r="E162" s="4" t="inlineStr">
        <is>
          <t>Jurassic Park III</t>
        </is>
      </c>
      <c r="F162" s="1" t="inlineStr">
        <is>
          <t>F0178</t>
        </is>
      </c>
    </row>
    <row r="163" ht="15.75" customHeight="1" s="95">
      <c r="A163" s="1" t="inlineStr">
        <is>
          <t>John Hillcoat</t>
        </is>
      </c>
      <c r="B163" s="1" t="n">
        <v>1</v>
      </c>
      <c r="C163" s="1" t="n">
        <v>2012</v>
      </c>
      <c r="D163" s="1" t="n">
        <v>2012</v>
      </c>
      <c r="E163" s="4" t="inlineStr">
        <is>
          <t>Lawless</t>
        </is>
      </c>
      <c r="F163" s="1" t="inlineStr">
        <is>
          <t>F0192</t>
        </is>
      </c>
    </row>
    <row r="164" ht="15.75" customHeight="1" s="95">
      <c r="A164" s="1" t="inlineStr">
        <is>
          <t>John Hughes</t>
        </is>
      </c>
      <c r="B164" s="1" t="n">
        <v>1</v>
      </c>
      <c r="C164" s="1" t="n">
        <v>1985</v>
      </c>
      <c r="D164" s="1" t="n">
        <v>1985</v>
      </c>
      <c r="E164" s="4" t="inlineStr">
        <is>
          <t>The Breakfast Club</t>
        </is>
      </c>
      <c r="F164" s="1" t="inlineStr">
        <is>
          <t>F0057</t>
        </is>
      </c>
    </row>
    <row r="165" ht="15.75" customHeight="1" s="95">
      <c r="A165" s="1" t="inlineStr">
        <is>
          <t>John Singleton</t>
        </is>
      </c>
      <c r="B165" s="1" t="n">
        <v>1</v>
      </c>
      <c r="C165" s="1" t="n">
        <v>2003</v>
      </c>
      <c r="D165" s="1" t="n">
        <v>2003</v>
      </c>
      <c r="E165" s="4" t="inlineStr">
        <is>
          <t>2 Fast 2 Furious</t>
        </is>
      </c>
      <c r="F165" s="1" t="inlineStr">
        <is>
          <t>F0102</t>
        </is>
      </c>
    </row>
    <row r="166" ht="15.75" customHeight="1" s="95">
      <c r="A166" s="1" t="inlineStr">
        <is>
          <t>John Woo</t>
        </is>
      </c>
      <c r="B166" s="1" t="n">
        <v>1</v>
      </c>
      <c r="C166" s="1" t="n">
        <v>2000</v>
      </c>
      <c r="D166" s="1" t="n">
        <v>2000</v>
      </c>
      <c r="E166" s="4" t="inlineStr">
        <is>
          <t>Mission: Impossible II</t>
        </is>
      </c>
      <c r="F166" s="1" t="inlineStr">
        <is>
          <t>F0222</t>
        </is>
      </c>
    </row>
    <row r="167" ht="15.75" customHeight="1" s="95">
      <c r="A167" s="1" t="inlineStr">
        <is>
          <t>Jon Burton</t>
        </is>
      </c>
      <c r="B167" s="1" t="n">
        <v>1</v>
      </c>
      <c r="C167" s="1" t="n">
        <v>2013</v>
      </c>
      <c r="D167" s="1" t="n">
        <v>2013</v>
      </c>
      <c r="E167" s="4" t="inlineStr">
        <is>
          <t>Lego Batman: The Movie - DC Super Heroes Unite</t>
        </is>
      </c>
      <c r="F167" s="1" t="inlineStr">
        <is>
          <t>F0194</t>
        </is>
      </c>
    </row>
    <row r="168" ht="15.75" customHeight="1" s="95">
      <c r="A168" s="1" t="inlineStr">
        <is>
          <t>Jon Lucas</t>
        </is>
      </c>
      <c r="B168" s="1" t="n">
        <v>1</v>
      </c>
      <c r="C168" s="1" t="n">
        <v>2016</v>
      </c>
      <c r="D168" s="1" t="n">
        <v>2016</v>
      </c>
      <c r="E168" s="4" t="inlineStr">
        <is>
          <t>Bad Moms</t>
        </is>
      </c>
      <c r="F168" s="1" t="inlineStr">
        <is>
          <t>F0038</t>
        </is>
      </c>
    </row>
    <row r="169" ht="15.75" customHeight="1" s="95">
      <c r="A169" s="1" t="inlineStr">
        <is>
          <t>Jon Turteltaub</t>
        </is>
      </c>
      <c r="B169" s="1" t="n">
        <v>1</v>
      </c>
      <c r="C169" s="1" t="n">
        <v>2007</v>
      </c>
      <c r="D169" s="1" t="n">
        <v>2007</v>
      </c>
      <c r="E169" s="4" t="inlineStr">
        <is>
          <t>National Treasure: Book of Secrets</t>
        </is>
      </c>
      <c r="F169" s="1" t="inlineStr">
        <is>
          <t>F0233</t>
        </is>
      </c>
    </row>
    <row r="170" ht="15.75" customHeight="1" s="95">
      <c r="A170" s="1" t="inlineStr">
        <is>
          <t>Jonathan Levine</t>
        </is>
      </c>
      <c r="B170" s="1" t="n">
        <v>1</v>
      </c>
      <c r="C170" s="1" t="n">
        <v>2011</v>
      </c>
      <c r="D170" s="1" t="n">
        <v>2011</v>
      </c>
      <c r="E170" s="4" t="inlineStr">
        <is>
          <t>50/50</t>
        </is>
      </c>
      <c r="F170" s="1" t="inlineStr">
        <is>
          <t>F0011</t>
        </is>
      </c>
    </row>
    <row r="171" ht="15.75" customHeight="1" s="95">
      <c r="A171" s="1" t="inlineStr">
        <is>
          <t>Jordan Vogt-Roberts</t>
        </is>
      </c>
      <c r="B171" s="1" t="n">
        <v>1</v>
      </c>
      <c r="C171" s="1" t="n">
        <v>2017</v>
      </c>
      <c r="D171" s="1" t="n">
        <v>2017</v>
      </c>
      <c r="E171" s="4" t="inlineStr">
        <is>
          <t>Kong: Skull Island</t>
        </is>
      </c>
      <c r="F171" s="1" t="inlineStr">
        <is>
          <t>F0190</t>
        </is>
      </c>
    </row>
    <row r="172" ht="15.75" customHeight="1" s="95">
      <c r="A172" s="1" t="inlineStr">
        <is>
          <t>Josh Cooley</t>
        </is>
      </c>
      <c r="B172" s="1" t="n">
        <v>1</v>
      </c>
      <c r="C172" s="1" t="n">
        <v>2019</v>
      </c>
      <c r="D172" s="1" t="n">
        <v>2019</v>
      </c>
      <c r="E172" s="4" t="inlineStr">
        <is>
          <t>Toy Story 4</t>
        </is>
      </c>
      <c r="F172" s="1" t="inlineStr">
        <is>
          <t>F0315</t>
        </is>
      </c>
    </row>
    <row r="173" ht="15.75" customHeight="1" s="95">
      <c r="A173" s="1" t="inlineStr">
        <is>
          <t>Joss Whedon</t>
        </is>
      </c>
      <c r="B173" s="1" t="n">
        <v>1</v>
      </c>
      <c r="C173" s="1" t="n">
        <v>2012</v>
      </c>
      <c r="D173" s="1" t="n">
        <v>2012</v>
      </c>
      <c r="E173" s="4" t="inlineStr">
        <is>
          <t>The Avengers</t>
        </is>
      </c>
      <c r="F173" s="1" t="inlineStr">
        <is>
          <t>F0029</t>
        </is>
      </c>
    </row>
    <row r="174" ht="15.75" customHeight="1" s="95">
      <c r="A174" s="1" t="inlineStr">
        <is>
          <t>Kathryn Bigelow</t>
        </is>
      </c>
      <c r="B174" s="1" t="n">
        <v>1</v>
      </c>
      <c r="C174" s="1" t="n">
        <v>2012</v>
      </c>
      <c r="D174" s="1" t="n">
        <v>2012</v>
      </c>
      <c r="E174" s="4" t="inlineStr">
        <is>
          <t>Zero Dark Thirty</t>
        </is>
      </c>
      <c r="F174" s="1" t="inlineStr">
        <is>
          <t>F0349</t>
        </is>
      </c>
    </row>
    <row r="175" ht="15.75" customHeight="1" s="95">
      <c r="A175" s="1" t="inlineStr">
        <is>
          <t>Ken Scott</t>
        </is>
      </c>
      <c r="B175" s="1" t="n">
        <v>1</v>
      </c>
      <c r="C175" s="1" t="n">
        <v>2013</v>
      </c>
      <c r="D175" s="1" t="n">
        <v>2013</v>
      </c>
      <c r="E175" s="4" t="inlineStr">
        <is>
          <t>Delivery Man</t>
        </is>
      </c>
      <c r="F175" s="1" t="inlineStr">
        <is>
          <t>F0080</t>
        </is>
      </c>
    </row>
    <row r="176" ht="15.75" customHeight="1" s="95">
      <c r="A176" s="1" t="inlineStr">
        <is>
          <t>Kevin Smith</t>
        </is>
      </c>
      <c r="B176" s="1" t="n">
        <v>1</v>
      </c>
      <c r="C176" s="1" t="n">
        <v>2010</v>
      </c>
      <c r="D176" s="1" t="n">
        <v>2010</v>
      </c>
      <c r="E176" s="4" t="inlineStr">
        <is>
          <t>Cop Out</t>
        </is>
      </c>
      <c r="F176" s="1" t="inlineStr">
        <is>
          <t>F0069</t>
        </is>
      </c>
    </row>
    <row r="177" ht="15.75" customHeight="1" s="95">
      <c r="A177" s="1" t="inlineStr">
        <is>
          <t>Kirk DeMicco</t>
        </is>
      </c>
      <c r="B177" s="1" t="n">
        <v>1</v>
      </c>
      <c r="C177" s="1" t="n">
        <v>2013</v>
      </c>
      <c r="D177" s="1" t="n">
        <v>2013</v>
      </c>
      <c r="E177" s="4" t="inlineStr">
        <is>
          <t>The Croods</t>
        </is>
      </c>
      <c r="F177" s="1" t="inlineStr">
        <is>
          <t>F0075</t>
        </is>
      </c>
    </row>
    <row r="178" ht="15.75" customHeight="1" s="95">
      <c r="A178" s="1" t="inlineStr">
        <is>
          <t>Kris Pearn</t>
        </is>
      </c>
      <c r="B178" s="1" t="n">
        <v>1</v>
      </c>
      <c r="C178" s="1" t="n">
        <v>2013</v>
      </c>
      <c r="D178" s="1" t="n">
        <v>2013</v>
      </c>
      <c r="E178" s="4" t="inlineStr">
        <is>
          <t>Cloudy with a Chance of Meatballs 2</t>
        </is>
      </c>
      <c r="F178" s="1" t="inlineStr">
        <is>
          <t>F0067</t>
        </is>
      </c>
    </row>
    <row r="179" ht="15.75" customHeight="1" s="95">
      <c r="A179" s="1" t="inlineStr">
        <is>
          <t>Lasse Hallström</t>
        </is>
      </c>
      <c r="B179" s="1" t="n">
        <v>1</v>
      </c>
      <c r="C179" s="1" t="n">
        <v>2010</v>
      </c>
      <c r="D179" s="1" t="n">
        <v>2010</v>
      </c>
      <c r="E179" s="4" t="inlineStr">
        <is>
          <t>Dear John</t>
        </is>
      </c>
      <c r="F179" s="1" t="inlineStr">
        <is>
          <t>F0079</t>
        </is>
      </c>
    </row>
    <row r="180" ht="15.75" customHeight="1" s="95">
      <c r="A180" s="1" t="inlineStr">
        <is>
          <t>Loveleen Tandan</t>
        </is>
      </c>
      <c r="B180" s="1" t="n">
        <v>1</v>
      </c>
      <c r="C180" s="1" t="n">
        <v>2008</v>
      </c>
      <c r="D180" s="1" t="n">
        <v>2008</v>
      </c>
      <c r="E180" s="4" t="inlineStr">
        <is>
          <t>Slumdog Millionaire</t>
        </is>
      </c>
      <c r="F180" s="1" t="inlineStr">
        <is>
          <t>F0281</t>
        </is>
      </c>
    </row>
    <row r="181" ht="15.75" customHeight="1" s="95">
      <c r="A181" s="1" t="inlineStr">
        <is>
          <t>Malcolm Venville</t>
        </is>
      </c>
      <c r="B181" s="1" t="n">
        <v>1</v>
      </c>
      <c r="C181" s="1" t="n">
        <v>2009</v>
      </c>
      <c r="D181" s="1" t="n">
        <v>2009</v>
      </c>
      <c r="E181" s="4" t="inlineStr">
        <is>
          <t>44 Inch Chest</t>
        </is>
      </c>
      <c r="F181" s="1" t="inlineStr">
        <is>
          <t>F0010</t>
        </is>
      </c>
    </row>
    <row r="182" ht="15.75" customHeight="1" s="95">
      <c r="A182" s="1" t="inlineStr">
        <is>
          <t>Marc Forster</t>
        </is>
      </c>
      <c r="B182" s="1" t="n">
        <v>1</v>
      </c>
      <c r="C182" s="1" t="n">
        <v>2008</v>
      </c>
      <c r="D182" s="1" t="n">
        <v>2008</v>
      </c>
      <c r="E182" s="4" t="inlineStr">
        <is>
          <t>Quantum of Solace</t>
        </is>
      </c>
      <c r="F182" s="1" t="inlineStr">
        <is>
          <t>F0002</t>
        </is>
      </c>
    </row>
    <row r="183" ht="15.75" customHeight="1" s="95">
      <c r="A183" s="1" t="inlineStr">
        <is>
          <t>Marc Webb</t>
        </is>
      </c>
      <c r="B183" s="1" t="n">
        <v>1</v>
      </c>
      <c r="C183" s="1" t="n">
        <v>2012</v>
      </c>
      <c r="D183" s="1" t="n">
        <v>2012</v>
      </c>
      <c r="E183" s="4" t="inlineStr">
        <is>
          <t>The Amazing Spider-Man</t>
        </is>
      </c>
      <c r="F183" s="1" t="inlineStr">
        <is>
          <t>F0019</t>
        </is>
      </c>
    </row>
    <row r="184" ht="15.75" customHeight="1" s="95">
      <c r="A184" s="1" t="inlineStr">
        <is>
          <t>Martin Scorsese</t>
        </is>
      </c>
      <c r="B184" s="1" t="n">
        <v>1</v>
      </c>
      <c r="C184" s="1" t="n">
        <v>2006</v>
      </c>
      <c r="D184" s="1" t="n">
        <v>2006</v>
      </c>
      <c r="E184" s="4" t="inlineStr">
        <is>
          <t>The Departed</t>
        </is>
      </c>
      <c r="F184" s="1" t="inlineStr">
        <is>
          <t>F0081</t>
        </is>
      </c>
    </row>
    <row r="185" ht="15.75" customHeight="1" s="95">
      <c r="A185" s="1" t="inlineStr">
        <is>
          <t>Mat Whitecross</t>
        </is>
      </c>
      <c r="B185" s="1" t="n">
        <v>1</v>
      </c>
      <c r="C185" s="1" t="n">
        <v>2010</v>
      </c>
      <c r="D185" s="1" t="n">
        <v>2010</v>
      </c>
      <c r="E185" s="4" t="inlineStr">
        <is>
          <t>Sex &amp; Drugs &amp; Rock &amp; Roll</t>
        </is>
      </c>
      <c r="F185" s="1" t="inlineStr">
        <is>
          <t>F0277</t>
        </is>
      </c>
    </row>
    <row r="186" ht="15.75" customHeight="1" s="95">
      <c r="A186" s="1" t="inlineStr">
        <is>
          <t>Matt Peters</t>
        </is>
      </c>
      <c r="B186" s="1" t="n">
        <v>1</v>
      </c>
      <c r="C186" s="1" t="n">
        <v>2016</v>
      </c>
      <c r="D186" s="1" t="n">
        <v>2016</v>
      </c>
      <c r="E186" s="4" t="inlineStr">
        <is>
          <t>Lego DC Comics Super Heroes: Justice League - Gotham City Breakout</t>
        </is>
      </c>
      <c r="F186" s="1" t="inlineStr">
        <is>
          <t>F0198</t>
        </is>
      </c>
    </row>
    <row r="187" ht="15.75" customHeight="1" s="95">
      <c r="A187" s="1" t="inlineStr">
        <is>
          <t>McG</t>
        </is>
      </c>
      <c r="B187" s="1" t="n">
        <v>1</v>
      </c>
      <c r="C187" s="1" t="n">
        <v>2009</v>
      </c>
      <c r="D187" s="1" t="n">
        <v>2009</v>
      </c>
      <c r="E187" s="4" t="inlineStr">
        <is>
          <t>Terminator Salvation</t>
        </is>
      </c>
      <c r="F187" s="1" t="inlineStr">
        <is>
          <t>F0310</t>
        </is>
      </c>
    </row>
    <row r="188" ht="15.75" customHeight="1" s="95">
      <c r="A188" s="1" t="inlineStr">
        <is>
          <t>Mel Gibson</t>
        </is>
      </c>
      <c r="B188" s="1" t="n">
        <v>1</v>
      </c>
      <c r="C188" s="1" t="n">
        <v>2016</v>
      </c>
      <c r="D188" s="1" t="n">
        <v>2016</v>
      </c>
      <c r="E188" s="4" t="inlineStr">
        <is>
          <t>Hacksaw Ridge</t>
        </is>
      </c>
      <c r="F188" s="1" t="inlineStr">
        <is>
          <t>F0133</t>
        </is>
      </c>
    </row>
    <row r="189" ht="15.75" customHeight="1" s="95">
      <c r="A189" s="1" t="inlineStr">
        <is>
          <t>Mel Stuart</t>
        </is>
      </c>
      <c r="B189" s="1" t="n">
        <v>1</v>
      </c>
      <c r="C189" s="1" t="n">
        <v>1971</v>
      </c>
      <c r="D189" s="1" t="n">
        <v>1971</v>
      </c>
      <c r="E189" s="4" t="inlineStr">
        <is>
          <t>Willy Wonka &amp; the Chocolate Factory</t>
        </is>
      </c>
      <c r="F189" s="1" t="inlineStr">
        <is>
          <t>F0339</t>
        </is>
      </c>
    </row>
    <row r="190" ht="15.75" customHeight="1" s="95">
      <c r="A190" s="1" t="inlineStr">
        <is>
          <t>Melchior Zwyer</t>
        </is>
      </c>
      <c r="B190" s="1" t="n">
        <v>1</v>
      </c>
      <c r="C190" s="1" t="n">
        <v>2016</v>
      </c>
      <c r="D190" s="1" t="n">
        <v>2016</v>
      </c>
      <c r="E190" s="4" t="inlineStr">
        <is>
          <t>Lego DC Comics Super Heroes: Justice League - Gotham City Breakout</t>
        </is>
      </c>
      <c r="F190" s="1" t="inlineStr">
        <is>
          <t>F0198</t>
        </is>
      </c>
    </row>
    <row r="191" ht="15.75" customHeight="1" s="95">
      <c r="A191" s="1" t="inlineStr">
        <is>
          <t>Michael Dougherty</t>
        </is>
      </c>
      <c r="B191" s="1" t="n">
        <v>1</v>
      </c>
      <c r="C191" s="1" t="n">
        <v>2019</v>
      </c>
      <c r="D191" s="1" t="n">
        <v>2019</v>
      </c>
      <c r="E191" s="4" t="inlineStr">
        <is>
          <t>Godzilla: King of the Monsters</t>
        </is>
      </c>
      <c r="F191" s="1" t="inlineStr">
        <is>
          <t>F0122</t>
        </is>
      </c>
    </row>
    <row r="192" ht="15.75" customHeight="1" s="95">
      <c r="A192" s="1" t="inlineStr">
        <is>
          <t>Michael Gracey</t>
        </is>
      </c>
      <c r="B192" s="1" t="n">
        <v>1</v>
      </c>
      <c r="C192" s="1" t="n">
        <v>2017</v>
      </c>
      <c r="D192" s="1" t="n">
        <v>2017</v>
      </c>
      <c r="E192" s="4" t="inlineStr">
        <is>
          <t>The Greatest Showman</t>
        </is>
      </c>
      <c r="F192" s="1" t="inlineStr">
        <is>
          <t>F0127</t>
        </is>
      </c>
    </row>
    <row r="193" ht="15.75" customHeight="1" s="95">
      <c r="A193" s="1" t="inlineStr">
        <is>
          <t>Michael Jelenic</t>
        </is>
      </c>
      <c r="B193" s="1" t="n">
        <v>1</v>
      </c>
      <c r="C193" s="1" t="n">
        <v>2023</v>
      </c>
      <c r="D193" s="1" t="n">
        <v>2023</v>
      </c>
      <c r="E193" s="4" t="inlineStr">
        <is>
          <t>The Super Mario Bros. Movie</t>
        </is>
      </c>
      <c r="F193" s="1" t="inlineStr">
        <is>
          <t>F0212</t>
        </is>
      </c>
    </row>
    <row r="194" ht="15.75" customHeight="1" s="95">
      <c r="A194" s="1" t="inlineStr">
        <is>
          <t>Mike Mitchell</t>
        </is>
      </c>
      <c r="B194" s="1" t="n">
        <v>1</v>
      </c>
      <c r="C194" s="1" t="n">
        <v>2019</v>
      </c>
      <c r="D194" s="1" t="n">
        <v>2019</v>
      </c>
      <c r="E194" s="4" t="inlineStr">
        <is>
          <t>The Lego Movie 2: The Second Part</t>
        </is>
      </c>
      <c r="F194" s="1" t="inlineStr">
        <is>
          <t>F0196</t>
        </is>
      </c>
    </row>
    <row r="195" ht="15.75" customHeight="1" s="95">
      <c r="A195" s="1" t="inlineStr">
        <is>
          <t>Mike Newell</t>
        </is>
      </c>
      <c r="B195" s="1" t="n">
        <v>1</v>
      </c>
      <c r="C195" s="1" t="n">
        <v>2005</v>
      </c>
      <c r="D195" s="1" t="n">
        <v>2005</v>
      </c>
      <c r="E195" s="4" t="inlineStr">
        <is>
          <t>Harry Potter and the Goblet of Fire</t>
        </is>
      </c>
      <c r="F195" s="1" t="inlineStr">
        <is>
          <t>F0140</t>
        </is>
      </c>
    </row>
    <row r="196" ht="15.75" customHeight="1" s="95">
      <c r="A196" s="1" t="inlineStr">
        <is>
          <t>Mike Thurmeier</t>
        </is>
      </c>
      <c r="B196" s="1" t="n">
        <v>1</v>
      </c>
      <c r="C196" s="1" t="n">
        <v>2009</v>
      </c>
      <c r="D196" s="1" t="n">
        <v>2009</v>
      </c>
      <c r="E196" s="4" t="inlineStr">
        <is>
          <t>Ice Age: Dawn of the Dinosaurs</t>
        </is>
      </c>
      <c r="F196" s="1" t="inlineStr">
        <is>
          <t>F0161</t>
        </is>
      </c>
    </row>
    <row r="197" ht="15.75" customHeight="1" s="95">
      <c r="A197" s="1" t="inlineStr">
        <is>
          <t>Morten Tyldum</t>
        </is>
      </c>
      <c r="B197" s="1" t="n">
        <v>1</v>
      </c>
      <c r="C197" s="1" t="n">
        <v>2014</v>
      </c>
      <c r="D197" s="1" t="n">
        <v>2014</v>
      </c>
      <c r="E197" s="4" t="inlineStr">
        <is>
          <t>The Imitation Game</t>
        </is>
      </c>
      <c r="F197" s="1" t="inlineStr">
        <is>
          <t>F0162</t>
        </is>
      </c>
    </row>
    <row r="198" ht="15.75" customHeight="1" s="95">
      <c r="A198" s="1" t="inlineStr">
        <is>
          <t>Måns Mårlind</t>
        </is>
      </c>
      <c r="B198" s="1" t="n">
        <v>1</v>
      </c>
      <c r="C198" s="1" t="n">
        <v>2012</v>
      </c>
      <c r="D198" s="1" t="n">
        <v>2012</v>
      </c>
      <c r="E198" s="4" t="inlineStr">
        <is>
          <t>Underworld: Awakening</t>
        </is>
      </c>
      <c r="F198" s="1" t="inlineStr">
        <is>
          <t>F0328</t>
        </is>
      </c>
    </row>
    <row r="199" ht="15.75" customHeight="1" s="95">
      <c r="A199" s="1" t="inlineStr">
        <is>
          <t>Neil Burger</t>
        </is>
      </c>
      <c r="B199" s="1" t="n">
        <v>1</v>
      </c>
      <c r="C199" s="1" t="n">
        <v>2014</v>
      </c>
      <c r="D199" s="1" t="n">
        <v>2014</v>
      </c>
      <c r="E199" s="4" t="inlineStr">
        <is>
          <t>Divergent</t>
        </is>
      </c>
      <c r="F199" s="1" t="inlineStr">
        <is>
          <t>F0089</t>
        </is>
      </c>
    </row>
    <row r="200" ht="15.75" customHeight="1" s="95">
      <c r="A200" s="1" t="inlineStr">
        <is>
          <t>Nelson Shin</t>
        </is>
      </c>
      <c r="B200" s="1" t="n">
        <v>1</v>
      </c>
      <c r="C200" s="1" t="n">
        <v>1986</v>
      </c>
      <c r="D200" s="1" t="n">
        <v>1986</v>
      </c>
      <c r="E200" s="4" t="inlineStr">
        <is>
          <t>The Transformers: The Movie</t>
        </is>
      </c>
      <c r="F200" s="1" t="inlineStr">
        <is>
          <t>F0322</t>
        </is>
      </c>
    </row>
    <row r="201" ht="15.75" customHeight="1" s="95">
      <c r="A201" s="1" t="inlineStr">
        <is>
          <t>Nicholas Stoller</t>
        </is>
      </c>
      <c r="B201" s="1" t="n">
        <v>1</v>
      </c>
      <c r="C201" s="1" t="n">
        <v>2008</v>
      </c>
      <c r="D201" s="1" t="n">
        <v>2008</v>
      </c>
      <c r="E201" s="4" t="inlineStr">
        <is>
          <t>Forgetting Sarah Marshall</t>
        </is>
      </c>
      <c r="F201" s="1" t="inlineStr">
        <is>
          <t>F0115</t>
        </is>
      </c>
    </row>
    <row r="202" ht="15.75" customHeight="1" s="95">
      <c r="A202" s="1" t="inlineStr">
        <is>
          <t>Nick Cassavetes</t>
        </is>
      </c>
      <c r="B202" s="1" t="n">
        <v>1</v>
      </c>
      <c r="C202" s="1" t="n">
        <v>2004</v>
      </c>
      <c r="D202" s="1" t="n">
        <v>2004</v>
      </c>
      <c r="E202" s="4" t="inlineStr">
        <is>
          <t>The Notebook</t>
        </is>
      </c>
      <c r="F202" s="1" t="inlineStr">
        <is>
          <t>F0237</t>
        </is>
      </c>
    </row>
    <row r="203" ht="15.75" customHeight="1" s="95">
      <c r="A203" s="1" t="inlineStr">
        <is>
          <t>Nick Love</t>
        </is>
      </c>
      <c r="B203" s="1" t="n">
        <v>1</v>
      </c>
      <c r="C203" s="1" t="n">
        <v>2012</v>
      </c>
      <c r="D203" s="1" t="n">
        <v>2012</v>
      </c>
      <c r="E203" s="4" t="inlineStr">
        <is>
          <t>The Sweeney</t>
        </is>
      </c>
      <c r="F203" s="1" t="inlineStr">
        <is>
          <t>F0305</t>
        </is>
      </c>
    </row>
    <row r="204" ht="15.75" customHeight="1" s="95">
      <c r="A204" s="1" t="inlineStr">
        <is>
          <t>Norman Ferguson</t>
        </is>
      </c>
      <c r="B204" s="1" t="n">
        <v>1</v>
      </c>
      <c r="C204" s="1" t="n">
        <v>1940</v>
      </c>
      <c r="D204" s="1" t="n">
        <v>1940</v>
      </c>
      <c r="E204" s="4" t="inlineStr">
        <is>
          <t>Pinocchio</t>
        </is>
      </c>
      <c r="F204" s="1" t="inlineStr">
        <is>
          <t>F0248</t>
        </is>
      </c>
    </row>
    <row r="205" ht="15.75" customHeight="1" s="95">
      <c r="A205" s="1" t="inlineStr">
        <is>
          <t>Olivier Megaton</t>
        </is>
      </c>
      <c r="B205" s="1" t="n">
        <v>1</v>
      </c>
      <c r="C205" s="1" t="n">
        <v>2012</v>
      </c>
      <c r="D205" s="1" t="n">
        <v>2012</v>
      </c>
      <c r="E205" s="4" t="inlineStr">
        <is>
          <t>Taken 2</t>
        </is>
      </c>
      <c r="F205" s="1" t="inlineStr">
        <is>
          <t>F0307</t>
        </is>
      </c>
    </row>
    <row r="206" ht="15.75" customHeight="1" s="95">
      <c r="A206" s="1" t="inlineStr">
        <is>
          <t>Patrick Tatopoulos</t>
        </is>
      </c>
      <c r="B206" s="1" t="n">
        <v>1</v>
      </c>
      <c r="C206" s="1" t="n">
        <v>2009</v>
      </c>
      <c r="D206" s="1" t="n">
        <v>2009</v>
      </c>
      <c r="E206" s="4" t="inlineStr">
        <is>
          <t>Underworld: Rise of the Lycans</t>
        </is>
      </c>
      <c r="F206" s="1" t="inlineStr">
        <is>
          <t>F0327</t>
        </is>
      </c>
    </row>
    <row r="207" ht="15.75" customHeight="1" s="95">
      <c r="A207" s="1" t="inlineStr">
        <is>
          <t>Paul Verhoeven</t>
        </is>
      </c>
      <c r="B207" s="1" t="n">
        <v>1</v>
      </c>
      <c r="C207" s="1" t="n"/>
      <c r="D207" s="1" t="n"/>
      <c r="E207" s="4" t="inlineStr">
        <is>
          <t>RoboCop</t>
        </is>
      </c>
      <c r="F207" s="1" t="inlineStr">
        <is>
          <t>F0268</t>
        </is>
      </c>
    </row>
    <row r="208" ht="15.75" customHeight="1" s="95">
      <c r="A208" s="1" t="inlineStr">
        <is>
          <t>Peter Berg</t>
        </is>
      </c>
      <c r="B208" s="1" t="n">
        <v>1</v>
      </c>
      <c r="C208" s="1" t="n">
        <v>2013</v>
      </c>
      <c r="D208" s="1" t="n">
        <v>2013</v>
      </c>
      <c r="E208" s="4" t="inlineStr">
        <is>
          <t>Lone Survivor</t>
        </is>
      </c>
      <c r="F208" s="1" t="inlineStr">
        <is>
          <t>F0202</t>
        </is>
      </c>
    </row>
    <row r="209" ht="15.75" customHeight="1" s="95">
      <c r="A209" s="1" t="inlineStr">
        <is>
          <t>Phil Johnston</t>
        </is>
      </c>
      <c r="B209" s="1" t="n">
        <v>1</v>
      </c>
      <c r="C209" s="1" t="n">
        <v>2018</v>
      </c>
      <c r="D209" s="1" t="n">
        <v>2018</v>
      </c>
      <c r="E209" s="4" t="inlineStr">
        <is>
          <t>Ralph Breaks the Internet</t>
        </is>
      </c>
      <c r="F209" s="1" t="inlineStr">
        <is>
          <t>F0337</t>
        </is>
      </c>
    </row>
    <row r="210" ht="15.75" customHeight="1" s="95">
      <c r="A210" s="1" t="inlineStr">
        <is>
          <t>Phillip Noyce</t>
        </is>
      </c>
      <c r="B210" s="1" t="n">
        <v>1</v>
      </c>
      <c r="C210" s="1" t="n">
        <v>2010</v>
      </c>
      <c r="D210" s="1" t="n">
        <v>2010</v>
      </c>
      <c r="E210" s="4" t="inlineStr">
        <is>
          <t>Salt</t>
        </is>
      </c>
      <c r="F210" s="1" t="inlineStr">
        <is>
          <t>F0273</t>
        </is>
      </c>
    </row>
    <row r="211" ht="15.75" customHeight="1" s="95">
      <c r="A211" s="1" t="inlineStr">
        <is>
          <t>Phyllida Lloyd</t>
        </is>
      </c>
      <c r="B211" s="1" t="n">
        <v>1</v>
      </c>
      <c r="C211" s="1" t="n">
        <v>2008</v>
      </c>
      <c r="D211" s="1" t="n">
        <v>2008</v>
      </c>
      <c r="E211" s="4" t="inlineStr">
        <is>
          <t>Mamma Mia!</t>
        </is>
      </c>
      <c r="F211" s="1" t="inlineStr">
        <is>
          <t>F0209</t>
        </is>
      </c>
    </row>
    <row r="212" ht="15.75" customHeight="1" s="95">
      <c r="A212" s="1" t="inlineStr">
        <is>
          <t>Pierre Leduc</t>
        </is>
      </c>
      <c r="B212" s="1" t="n">
        <v>1</v>
      </c>
      <c r="C212" s="1" t="n">
        <v>2023</v>
      </c>
      <c r="D212" s="1" t="n">
        <v>2023</v>
      </c>
      <c r="E212" s="4" t="inlineStr">
        <is>
          <t>The Super Mario Bros. Movie</t>
        </is>
      </c>
      <c r="F212" s="1" t="inlineStr">
        <is>
          <t>F0212</t>
        </is>
      </c>
    </row>
    <row r="213" ht="15.75" customHeight="1" s="95">
      <c r="A213" s="1" t="inlineStr">
        <is>
          <t>Pierre Morel</t>
        </is>
      </c>
      <c r="B213" s="1" t="n">
        <v>1</v>
      </c>
      <c r="C213" s="1" t="n">
        <v>2008</v>
      </c>
      <c r="D213" s="1" t="n">
        <v>2008</v>
      </c>
      <c r="E213" s="4" t="inlineStr">
        <is>
          <t>Taken</t>
        </is>
      </c>
      <c r="F213" s="1" t="inlineStr">
        <is>
          <t>F0306</t>
        </is>
      </c>
    </row>
    <row r="214" ht="15.75" customHeight="1" s="95">
      <c r="A214" s="1" t="inlineStr">
        <is>
          <t>Raja Gosnell</t>
        </is>
      </c>
      <c r="B214" s="1" t="n">
        <v>1</v>
      </c>
      <c r="C214" s="1" t="n">
        <v>2013</v>
      </c>
      <c r="D214" s="1" t="n">
        <v>2013</v>
      </c>
      <c r="E214" s="4" t="inlineStr">
        <is>
          <t>The Smurfs 2</t>
        </is>
      </c>
      <c r="F214" s="1" t="inlineStr">
        <is>
          <t>F0282</t>
        </is>
      </c>
    </row>
    <row r="215" ht="15.75" customHeight="1" s="95">
      <c r="A215" s="1" t="inlineStr">
        <is>
          <t>Renny Harlin</t>
        </is>
      </c>
      <c r="B215" s="1" t="n">
        <v>1</v>
      </c>
      <c r="C215" s="1" t="n">
        <v>2014</v>
      </c>
      <c r="D215" s="1" t="n">
        <v>2014</v>
      </c>
      <c r="E215" s="4" t="inlineStr">
        <is>
          <t>The Legend of Hercules</t>
        </is>
      </c>
      <c r="F215" s="1" t="inlineStr">
        <is>
          <t>F0148</t>
        </is>
      </c>
    </row>
    <row r="216" ht="15.75" customHeight="1" s="95">
      <c r="A216" s="1" t="inlineStr">
        <is>
          <t>Rian Johnson</t>
        </is>
      </c>
      <c r="B216" s="1" t="n">
        <v>1</v>
      </c>
      <c r="C216" s="1" t="n">
        <v>2017</v>
      </c>
      <c r="D216" s="1" t="n">
        <v>2017</v>
      </c>
      <c r="E216" s="4" t="inlineStr">
        <is>
          <t>Star Wars: The Last Jedi</t>
        </is>
      </c>
      <c r="F216" s="1" t="inlineStr">
        <is>
          <t>F0299</t>
        </is>
      </c>
    </row>
    <row r="217" ht="15.75" customHeight="1" s="95">
      <c r="A217" s="1" t="inlineStr">
        <is>
          <t>Richard Donner</t>
        </is>
      </c>
      <c r="B217" s="1" t="n">
        <v>1</v>
      </c>
      <c r="C217" s="1" t="n">
        <v>2025</v>
      </c>
      <c r="D217" s="1" t="n">
        <v>2025</v>
      </c>
      <c r="E217" s="4" t="inlineStr">
        <is>
          <t>Superman</t>
        </is>
      </c>
      <c r="F217" s="1" t="inlineStr">
        <is>
          <t>F0304</t>
        </is>
      </c>
    </row>
    <row r="218" ht="15.75" customHeight="1" s="95">
      <c r="A218" s="1" t="inlineStr">
        <is>
          <t>Richard Loncraine</t>
        </is>
      </c>
      <c r="B218" s="1" t="n">
        <v>1</v>
      </c>
      <c r="C218" s="1" t="n">
        <v>2006</v>
      </c>
      <c r="D218" s="1" t="n">
        <v>2006</v>
      </c>
      <c r="E218" s="4" t="inlineStr">
        <is>
          <t>Firewall</t>
        </is>
      </c>
      <c r="F218" s="1" t="inlineStr">
        <is>
          <t>F0114</t>
        </is>
      </c>
    </row>
    <row r="219" ht="15.75" customHeight="1" s="95">
      <c r="A219" s="1" t="inlineStr">
        <is>
          <t>Richard Marquand</t>
        </is>
      </c>
      <c r="B219" s="1" t="n">
        <v>1</v>
      </c>
      <c r="C219" s="1" t="n">
        <v>1983</v>
      </c>
      <c r="D219" s="1" t="n">
        <v>1983</v>
      </c>
      <c r="E219" s="4" t="inlineStr">
        <is>
          <t>Star Wars: Episode VI – Return of the Jedi</t>
        </is>
      </c>
      <c r="F219" s="1" t="inlineStr">
        <is>
          <t>F0297</t>
        </is>
      </c>
    </row>
    <row r="220" ht="15.75" customHeight="1" s="95">
      <c r="A220" s="1" t="inlineStr">
        <is>
          <t>Rob Bowman</t>
        </is>
      </c>
      <c r="B220" s="1" t="n">
        <v>1</v>
      </c>
      <c r="C220" s="1" t="n">
        <v>2002</v>
      </c>
      <c r="D220" s="1" t="n">
        <v>2002</v>
      </c>
      <c r="E220" s="4" t="inlineStr">
        <is>
          <t>Reign of Fire</t>
        </is>
      </c>
      <c r="F220" s="1" t="inlineStr">
        <is>
          <t>F0263</t>
        </is>
      </c>
    </row>
    <row r="221" ht="15.75" customHeight="1" s="95">
      <c r="A221" s="1" t="inlineStr">
        <is>
          <t>Rob Cohen</t>
        </is>
      </c>
      <c r="B221" s="1" t="n">
        <v>1</v>
      </c>
      <c r="C221" s="1" t="n">
        <v>2001</v>
      </c>
      <c r="D221" s="1" t="n">
        <v>2001</v>
      </c>
      <c r="E221" s="4" t="inlineStr">
        <is>
          <t>The Fast and the Furious</t>
        </is>
      </c>
      <c r="F221" s="1" t="inlineStr">
        <is>
          <t>F0101</t>
        </is>
      </c>
    </row>
    <row r="222" ht="15.75" customHeight="1" s="95">
      <c r="A222" s="1" t="inlineStr">
        <is>
          <t>Rob Marshall</t>
        </is>
      </c>
      <c r="B222" s="1" t="n">
        <v>1</v>
      </c>
      <c r="C222" s="1" t="n">
        <v>2011</v>
      </c>
      <c r="D222" s="1" t="n">
        <v>2011</v>
      </c>
      <c r="E222" s="4" t="inlineStr">
        <is>
          <t>Pirates of the Caribbean: On Stranger Tides</t>
        </is>
      </c>
      <c r="F222" s="1" t="inlineStr">
        <is>
          <t>F0249</t>
        </is>
      </c>
    </row>
    <row r="223" ht="15.75" customHeight="1" s="95">
      <c r="A223" s="1" t="inlineStr">
        <is>
          <t>Rob Minkoff</t>
        </is>
      </c>
      <c r="B223" s="1" t="n">
        <v>1</v>
      </c>
      <c r="C223" s="1" t="n">
        <v>1994</v>
      </c>
      <c r="D223" s="1" t="n">
        <v>1994</v>
      </c>
      <c r="E223" s="4" t="inlineStr">
        <is>
          <t>The Lion King</t>
        </is>
      </c>
      <c r="F223" s="1" t="inlineStr">
        <is>
          <t>F0200</t>
        </is>
      </c>
    </row>
    <row r="224" ht="15.75" customHeight="1" s="95">
      <c r="A224" s="1" t="inlineStr">
        <is>
          <t>Rob Reiner</t>
        </is>
      </c>
      <c r="B224" s="1" t="n">
        <v>1</v>
      </c>
      <c r="C224" s="1" t="n">
        <v>2007</v>
      </c>
      <c r="D224" s="1" t="n">
        <v>2007</v>
      </c>
      <c r="E224" s="4" t="inlineStr">
        <is>
          <t>The Bucket List</t>
        </is>
      </c>
      <c r="F224" s="1" t="inlineStr">
        <is>
          <t>F0060</t>
        </is>
      </c>
    </row>
    <row r="225" ht="15.75" customHeight="1" s="95">
      <c r="A225" s="1" t="inlineStr">
        <is>
          <t>Robert Schwentke</t>
        </is>
      </c>
      <c r="B225" s="1" t="n">
        <v>1</v>
      </c>
      <c r="C225" s="1" t="n">
        <v>2010</v>
      </c>
      <c r="D225" s="1" t="n">
        <v>2010</v>
      </c>
      <c r="E225" s="4" t="inlineStr">
        <is>
          <t>RED</t>
        </is>
      </c>
      <c r="F225" s="1" t="inlineStr">
        <is>
          <t>F0262</t>
        </is>
      </c>
    </row>
    <row r="226" ht="15.75" customHeight="1" s="95">
      <c r="A226" s="1" t="inlineStr">
        <is>
          <t>Robert Stromberg</t>
        </is>
      </c>
      <c r="B226" s="1" t="n">
        <v>1</v>
      </c>
      <c r="C226" s="1" t="n">
        <v>2014</v>
      </c>
      <c r="D226" s="1" t="n">
        <v>2014</v>
      </c>
      <c r="E226" s="4" t="inlineStr">
        <is>
          <t>Maleficent</t>
        </is>
      </c>
      <c r="F226" s="1" t="inlineStr">
        <is>
          <t>F0208</t>
        </is>
      </c>
    </row>
    <row r="227" ht="15.75" customHeight="1" s="95">
      <c r="A227" s="1" t="inlineStr">
        <is>
          <t>Roger Allers</t>
        </is>
      </c>
      <c r="B227" s="1" t="n">
        <v>1</v>
      </c>
      <c r="C227" s="1" t="n">
        <v>1994</v>
      </c>
      <c r="D227" s="1" t="n">
        <v>1994</v>
      </c>
      <c r="E227" s="4" t="inlineStr">
        <is>
          <t>The Lion King</t>
        </is>
      </c>
      <c r="F227" s="1" t="inlineStr">
        <is>
          <t>F0200</t>
        </is>
      </c>
    </row>
    <row r="228" ht="15.75" customHeight="1" s="95">
      <c r="A228" s="1" t="inlineStr">
        <is>
          <t>Roger Donaldson</t>
        </is>
      </c>
      <c r="B228" s="1" t="n">
        <v>1</v>
      </c>
      <c r="C228" s="1" t="n">
        <v>2008</v>
      </c>
      <c r="D228" s="1" t="n">
        <v>2008</v>
      </c>
      <c r="E228" s="4" t="inlineStr">
        <is>
          <t>The Bank Job</t>
        </is>
      </c>
      <c r="F228" s="1" t="inlineStr">
        <is>
          <t>F0040</t>
        </is>
      </c>
    </row>
    <row r="229" ht="15.75" customHeight="1" s="95">
      <c r="A229" s="1" t="inlineStr">
        <is>
          <t>Ronnie Del Carmen</t>
        </is>
      </c>
      <c r="B229" s="1" t="n">
        <v>1</v>
      </c>
      <c r="C229" s="1" t="n">
        <v>2015</v>
      </c>
      <c r="D229" s="1" t="n">
        <v>2015</v>
      </c>
      <c r="E229" s="4" t="inlineStr">
        <is>
          <t>Inside Out</t>
        </is>
      </c>
      <c r="F229" s="1" t="inlineStr">
        <is>
          <t>F0167</t>
        </is>
      </c>
    </row>
    <row r="230" ht="15.75" customHeight="1" s="95">
      <c r="A230" s="1" t="inlineStr">
        <is>
          <t>Ruben Fleischer</t>
        </is>
      </c>
      <c r="B230" s="1" t="n">
        <v>1</v>
      </c>
      <c r="C230" s="1" t="n">
        <v>2011</v>
      </c>
      <c r="D230" s="1" t="n">
        <v>2011</v>
      </c>
      <c r="E230" s="4" t="inlineStr">
        <is>
          <t>30 Minutes or Less</t>
        </is>
      </c>
      <c r="F230" s="1" t="inlineStr">
        <is>
          <t>F0009</t>
        </is>
      </c>
    </row>
    <row r="231" ht="15.75" customHeight="1" s="95">
      <c r="A231" s="1" t="inlineStr">
        <is>
          <t>Rupert Sanders</t>
        </is>
      </c>
      <c r="B231" s="1" t="n">
        <v>1</v>
      </c>
      <c r="C231" s="1" t="n">
        <v>2012</v>
      </c>
      <c r="D231" s="1" t="n">
        <v>2012</v>
      </c>
      <c r="E231" s="4" t="inlineStr">
        <is>
          <t>Snow White and the Huntsman</t>
        </is>
      </c>
      <c r="F231" s="1" t="inlineStr">
        <is>
          <t>F0284</t>
        </is>
      </c>
    </row>
    <row r="232" ht="15.75" customHeight="1" s="95">
      <c r="A232" s="1" t="inlineStr">
        <is>
          <t>Rupert Wyatt</t>
        </is>
      </c>
      <c r="B232" s="1" t="n">
        <v>1</v>
      </c>
      <c r="C232" s="1" t="n">
        <v>2011</v>
      </c>
      <c r="D232" s="1" t="n">
        <v>2011</v>
      </c>
      <c r="E232" s="4" t="inlineStr">
        <is>
          <t>Rise of the Planet of the Apes</t>
        </is>
      </c>
      <c r="F232" s="1" t="inlineStr">
        <is>
          <t>F0253</t>
        </is>
      </c>
    </row>
    <row r="233" ht="15.75" customHeight="1" s="95">
      <c r="A233" s="1" t="inlineStr">
        <is>
          <t>Ryan Coogler</t>
        </is>
      </c>
      <c r="B233" s="1" t="n">
        <v>1</v>
      </c>
      <c r="C233" s="1" t="n">
        <v>2015</v>
      </c>
      <c r="D233" s="1" t="n">
        <v>2015</v>
      </c>
      <c r="E233" s="4" t="inlineStr">
        <is>
          <t>Creed</t>
        </is>
      </c>
      <c r="F233" s="1" t="inlineStr">
        <is>
          <t>F0074</t>
        </is>
      </c>
    </row>
    <row r="234" ht="15.75" customHeight="1" s="95">
      <c r="A234" s="1" t="inlineStr">
        <is>
          <t>Scott Moore</t>
        </is>
      </c>
      <c r="B234" s="1" t="n">
        <v>1</v>
      </c>
      <c r="C234" s="1" t="n">
        <v>2016</v>
      </c>
      <c r="D234" s="1" t="n">
        <v>2016</v>
      </c>
      <c r="E234" s="4" t="inlineStr">
        <is>
          <t>Bad Moms</t>
        </is>
      </c>
      <c r="F234" s="1" t="inlineStr">
        <is>
          <t>F0038</t>
        </is>
      </c>
    </row>
    <row r="235" ht="15.75" customHeight="1" s="95">
      <c r="A235" s="1" t="inlineStr">
        <is>
          <t>Scott Waugh</t>
        </is>
      </c>
      <c r="B235" s="1" t="n">
        <v>1</v>
      </c>
      <c r="C235" s="1" t="n">
        <v>2014</v>
      </c>
      <c r="D235" s="1" t="n">
        <v>2014</v>
      </c>
      <c r="E235" s="4" t="inlineStr">
        <is>
          <t>Need for Speed</t>
        </is>
      </c>
      <c r="F235" s="1" t="inlineStr">
        <is>
          <t>F0234</t>
        </is>
      </c>
    </row>
    <row r="236" ht="15.75" customHeight="1" s="95">
      <c r="A236" s="1" t="inlineStr">
        <is>
          <t>Stephen Sommers</t>
        </is>
      </c>
      <c r="B236" s="1" t="n">
        <v>1</v>
      </c>
      <c r="C236" s="1" t="n">
        <v>2009</v>
      </c>
      <c r="D236" s="1" t="n">
        <v>2009</v>
      </c>
      <c r="E236" s="4" t="inlineStr">
        <is>
          <t>G.I. Joe: The Rise of Cobra</t>
        </is>
      </c>
      <c r="F236" s="1" t="inlineStr">
        <is>
          <t>F0118</t>
        </is>
      </c>
    </row>
    <row r="237" ht="15.75" customHeight="1" s="95">
      <c r="A237" s="1" t="inlineStr">
        <is>
          <t>Steven Caple Jr.</t>
        </is>
      </c>
      <c r="B237" s="1" t="n">
        <v>1</v>
      </c>
      <c r="C237" s="1" t="n">
        <v>2023</v>
      </c>
      <c r="D237" s="1" t="n">
        <v>2023</v>
      </c>
      <c r="E237" s="4" t="inlineStr">
        <is>
          <t>Transformers: Rise of the Beasts</t>
        </is>
      </c>
      <c r="F237" s="1" t="inlineStr">
        <is>
          <t>F0321</t>
        </is>
      </c>
    </row>
    <row r="238" ht="15.75" customHeight="1" s="95">
      <c r="A238" s="1" t="inlineStr">
        <is>
          <t>Steven Knight</t>
        </is>
      </c>
      <c r="B238" s="1" t="n">
        <v>1</v>
      </c>
      <c r="C238" s="1" t="n">
        <v>2013</v>
      </c>
      <c r="D238" s="1" t="n">
        <v>2013</v>
      </c>
      <c r="E238" s="4" t="inlineStr">
        <is>
          <t>Hummingbird</t>
        </is>
      </c>
      <c r="F238" s="1" t="inlineStr">
        <is>
          <t>F0156</t>
        </is>
      </c>
    </row>
    <row r="239" ht="15.75" customHeight="1" s="95">
      <c r="A239" s="1" t="inlineStr">
        <is>
          <t>Steven Soderbergh</t>
        </is>
      </c>
      <c r="B239" s="1" t="n">
        <v>1</v>
      </c>
      <c r="C239" s="1" t="n">
        <v>2012</v>
      </c>
      <c r="D239" s="1" t="n">
        <v>2012</v>
      </c>
      <c r="E239" s="4" t="inlineStr">
        <is>
          <t>Magic Mike</t>
        </is>
      </c>
      <c r="F239" s="1" t="inlineStr">
        <is>
          <t>F0206</t>
        </is>
      </c>
    </row>
    <row r="240" ht="15.75" customHeight="1" s="95">
      <c r="A240" s="1" t="inlineStr">
        <is>
          <t>Stuart Beattie</t>
        </is>
      </c>
      <c r="B240" s="1" t="n">
        <v>1</v>
      </c>
      <c r="C240" s="1" t="n">
        <v>2014</v>
      </c>
      <c r="D240" s="1" t="n">
        <v>2014</v>
      </c>
      <c r="E240" s="4" t="inlineStr">
        <is>
          <t>I, Frankenstein</t>
        </is>
      </c>
      <c r="F240" s="1" t="inlineStr">
        <is>
          <t>F0159</t>
        </is>
      </c>
    </row>
    <row r="241" ht="15.75" customHeight="1" s="95">
      <c r="A241" s="1" t="inlineStr">
        <is>
          <t>T. Hee</t>
        </is>
      </c>
      <c r="B241" s="1" t="n">
        <v>1</v>
      </c>
      <c r="C241" s="1" t="n">
        <v>1940</v>
      </c>
      <c r="D241" s="1" t="n">
        <v>1940</v>
      </c>
      <c r="E241" s="4" t="inlineStr">
        <is>
          <t>Pinocchio</t>
        </is>
      </c>
      <c r="F241" s="1" t="inlineStr">
        <is>
          <t>F0248</t>
        </is>
      </c>
    </row>
    <row r="242" ht="15.75" customHeight="1" s="95">
      <c r="A242" s="1" t="inlineStr">
        <is>
          <t>Taika Waititi</t>
        </is>
      </c>
      <c r="B242" s="1" t="n">
        <v>1</v>
      </c>
      <c r="C242" s="1" t="n">
        <v>2019</v>
      </c>
      <c r="D242" s="1" t="n">
        <v>2019</v>
      </c>
      <c r="E242" s="4" t="inlineStr">
        <is>
          <t>Jojo Rabbit</t>
        </is>
      </c>
      <c r="F242" s="1" t="inlineStr">
        <is>
          <t>F0170</t>
        </is>
      </c>
    </row>
    <row r="243" ht="15.75" customHeight="1" s="95">
      <c r="A243" s="1" t="inlineStr">
        <is>
          <t>Tim Johnson</t>
        </is>
      </c>
      <c r="B243" s="1" t="n">
        <v>1</v>
      </c>
      <c r="C243" s="1" t="n">
        <v>2015</v>
      </c>
      <c r="D243" s="1" t="n">
        <v>2015</v>
      </c>
      <c r="E243" s="4" t="inlineStr">
        <is>
          <t>Home</t>
        </is>
      </c>
      <c r="F243" s="1" t="inlineStr">
        <is>
          <t>F0153</t>
        </is>
      </c>
    </row>
    <row r="244" ht="15.75" customHeight="1" s="95">
      <c r="A244" s="1" t="inlineStr">
        <is>
          <t>Tim Miller</t>
        </is>
      </c>
      <c r="B244" s="1" t="n">
        <v>1</v>
      </c>
      <c r="C244" s="1" t="n">
        <v>2016</v>
      </c>
      <c r="D244" s="1" t="n">
        <v>2016</v>
      </c>
      <c r="E244" s="4" t="inlineStr">
        <is>
          <t>Deadpool</t>
        </is>
      </c>
      <c r="F244" s="1" t="inlineStr">
        <is>
          <t>F0076</t>
        </is>
      </c>
    </row>
    <row r="245" ht="15.75" customHeight="1" s="95">
      <c r="A245" s="1" t="inlineStr">
        <is>
          <t>Tony Gilroy</t>
        </is>
      </c>
      <c r="B245" s="1" t="n">
        <v>1</v>
      </c>
      <c r="C245" s="1" t="n">
        <v>2012</v>
      </c>
      <c r="D245" s="1" t="n">
        <v>2012</v>
      </c>
      <c r="E245" s="4" t="inlineStr">
        <is>
          <t>The Bourne Legacy</t>
        </is>
      </c>
      <c r="F245" s="1" t="inlineStr">
        <is>
          <t>F0056</t>
        </is>
      </c>
    </row>
    <row r="246" ht="15.75" customHeight="1" s="95">
      <c r="A246" s="1" t="inlineStr">
        <is>
          <t>Tony Scott</t>
        </is>
      </c>
      <c r="B246" s="1" t="n">
        <v>1</v>
      </c>
      <c r="C246" s="1" t="n">
        <v>1998</v>
      </c>
      <c r="D246" s="1" t="n">
        <v>1998</v>
      </c>
      <c r="E246" s="4" t="inlineStr">
        <is>
          <t>Enemy of the State</t>
        </is>
      </c>
      <c r="F246" s="1" t="inlineStr">
        <is>
          <t>F0094</t>
        </is>
      </c>
    </row>
    <row r="247" ht="15.75" customHeight="1" s="95">
      <c r="A247" s="1" t="inlineStr">
        <is>
          <t>Travis Knight</t>
        </is>
      </c>
      <c r="B247" s="1" t="n">
        <v>1</v>
      </c>
      <c r="C247" s="1" t="n">
        <v>2018</v>
      </c>
      <c r="D247" s="1" t="n">
        <v>2018</v>
      </c>
      <c r="E247" s="4" t="inlineStr">
        <is>
          <t>Bumblebee</t>
        </is>
      </c>
      <c r="F247" s="1" t="inlineStr">
        <is>
          <t>F0061</t>
        </is>
      </c>
    </row>
    <row r="248" ht="15.75" customHeight="1" s="95">
      <c r="A248" s="1" t="inlineStr">
        <is>
          <t>Trish Sie</t>
        </is>
      </c>
      <c r="B248" s="1" t="n">
        <v>1</v>
      </c>
      <c r="C248" s="1" t="n">
        <v>2017</v>
      </c>
      <c r="D248" s="1" t="n">
        <v>2017</v>
      </c>
      <c r="E248" s="4" t="inlineStr">
        <is>
          <t>Pitch Perfect 3</t>
        </is>
      </c>
      <c r="F248" s="1" t="inlineStr">
        <is>
          <t>F0252</t>
        </is>
      </c>
    </row>
    <row r="249" ht="15.75" customHeight="1" s="95">
      <c r="A249" s="1" t="inlineStr">
        <is>
          <t>Walter Hill</t>
        </is>
      </c>
      <c r="B249" s="1" t="n">
        <v>1</v>
      </c>
      <c r="C249" s="1" t="n">
        <v>1979</v>
      </c>
      <c r="D249" s="1" t="n">
        <v>1979</v>
      </c>
      <c r="E249" s="4" t="inlineStr">
        <is>
          <t>The Warriors</t>
        </is>
      </c>
      <c r="F249" s="1" t="inlineStr">
        <is>
          <t>F0334</t>
        </is>
      </c>
    </row>
    <row r="250" ht="15.75" customHeight="1" s="95">
      <c r="A250" s="1" t="inlineStr">
        <is>
          <t>Wilfred Jackson</t>
        </is>
      </c>
      <c r="B250" s="1" t="n">
        <v>1</v>
      </c>
      <c r="C250" s="1" t="n">
        <v>1940</v>
      </c>
      <c r="D250" s="1" t="n">
        <v>1940</v>
      </c>
      <c r="E250" s="4" t="inlineStr">
        <is>
          <t>Pinocchio</t>
        </is>
      </c>
      <c r="F250" s="1" t="inlineStr">
        <is>
          <t>F0248</t>
        </is>
      </c>
    </row>
    <row r="251" ht="15.75" customHeight="1" s="95">
      <c r="A251" s="47" t="inlineStr">
        <is>
          <t>Zack Snyder</t>
        </is>
      </c>
      <c r="B251" s="47" t="n">
        <v>1</v>
      </c>
      <c r="C251" s="47" t="n">
        <v>2013</v>
      </c>
      <c r="D251" s="47" t="n">
        <v>2013</v>
      </c>
      <c r="E251" s="54" t="inlineStr">
        <is>
          <t>Man of Steel</t>
        </is>
      </c>
      <c r="F251" s="47" t="inlineStr">
        <is>
          <t>F0211</t>
        </is>
      </c>
    </row>
    <row r="252" ht="15.75" customHeight="1" s="95"/>
    <row r="253" ht="15.75" customHeight="1" s="95"/>
    <row r="254" ht="15.75" customHeight="1" s="95"/>
    <row r="255" ht="15.75" customHeight="1" s="95"/>
    <row r="256" ht="15.75" customHeight="1" s="95"/>
    <row r="257" ht="15.75" customHeight="1" s="95"/>
    <row r="258" ht="15.75" customHeight="1" s="95"/>
    <row r="259" ht="15.75" customHeight="1" s="95"/>
    <row r="260" ht="15.75" customHeight="1" s="95"/>
    <row r="261" ht="15.75" customHeight="1" s="95"/>
    <row r="262" ht="15.75" customHeight="1" s="95"/>
    <row r="263" ht="15.75" customHeight="1" s="95"/>
    <row r="264" ht="15.75" customHeight="1" s="95"/>
    <row r="265" ht="15.75" customHeight="1" s="95"/>
    <row r="266" ht="15.75" customHeight="1" s="95"/>
    <row r="267" ht="15.75" customHeight="1" s="95"/>
    <row r="268" ht="15.75" customHeight="1" s="95"/>
    <row r="269" ht="15.75" customHeight="1" s="95"/>
    <row r="270" ht="15.75" customHeight="1" s="95"/>
    <row r="271" ht="15.75" customHeight="1" s="95"/>
    <row r="272" ht="15.75" customHeight="1" s="95"/>
    <row r="273" ht="15.75" customHeight="1" s="95"/>
    <row r="274" ht="15.75" customHeight="1" s="95"/>
    <row r="275" ht="15.75" customHeight="1" s="95"/>
    <row r="276" ht="15.75" customHeight="1" s="95"/>
    <row r="277" ht="15.75" customHeight="1" s="95"/>
    <row r="278" ht="15.75" customHeight="1" s="95"/>
    <row r="279" ht="15.75" customHeight="1" s="95"/>
    <row r="280" ht="15.75" customHeight="1" s="95"/>
    <row r="281" ht="15.75" customHeight="1" s="95"/>
    <row r="282" ht="15.75" customHeight="1" s="95"/>
    <row r="283" ht="15.75" customHeight="1" s="95"/>
    <row r="284" ht="15.75" customHeight="1" s="95"/>
    <row r="285" ht="15.75" customHeight="1" s="95"/>
    <row r="286" ht="15.75" customHeight="1" s="95"/>
    <row r="287" ht="15.75" customHeight="1" s="95"/>
    <row r="288" ht="15.75" customHeight="1" s="95"/>
    <row r="289" ht="15.75" customHeight="1" s="95"/>
    <row r="290" ht="15.75" customHeight="1" s="95"/>
    <row r="291" ht="15.75" customHeight="1" s="95"/>
    <row r="292" ht="15.75" customHeight="1" s="95"/>
    <row r="293" ht="15.75" customHeight="1" s="95"/>
    <row r="294" ht="15.75" customHeight="1" s="95"/>
    <row r="295" ht="15.75" customHeight="1" s="95"/>
    <row r="296" ht="15.75" customHeight="1" s="95"/>
    <row r="297" ht="15.75" customHeight="1" s="95"/>
    <row r="298" ht="15.75" customHeight="1" s="95"/>
    <row r="299" ht="15.75" customHeight="1" s="95"/>
    <row r="300" ht="15.75" customHeight="1" s="95"/>
    <row r="301" ht="15.75" customHeight="1" s="95"/>
    <row r="302" ht="15.75" customHeight="1" s="95"/>
    <row r="303" ht="15.75" customHeight="1" s="95"/>
    <row r="304" ht="15.75" customHeight="1" s="95"/>
    <row r="305" ht="15.75" customHeight="1" s="95"/>
    <row r="306" ht="15.75" customHeight="1" s="95"/>
    <row r="307" ht="15.75" customHeight="1" s="95"/>
    <row r="308" ht="15.75" customHeight="1" s="95"/>
    <row r="309" ht="15.75" customHeight="1" s="95"/>
    <row r="310" ht="15.75" customHeight="1" s="95"/>
    <row r="311" ht="15.75" customHeight="1" s="95"/>
    <row r="312" ht="15.75" customHeight="1" s="95"/>
    <row r="313" ht="15.75" customHeight="1" s="95"/>
    <row r="314" ht="15.75" customHeight="1" s="95"/>
    <row r="315" ht="15.75" customHeight="1" s="95"/>
    <row r="316" ht="15.75" customHeight="1" s="95"/>
    <row r="317" ht="15.75" customHeight="1" s="95"/>
    <row r="318" ht="15.75" customHeight="1" s="95"/>
    <row r="319" ht="15.75" customHeight="1" s="95"/>
    <row r="320" ht="15.75" customHeight="1" s="95"/>
    <row r="321" ht="15.75" customHeight="1" s="95"/>
    <row r="322" ht="15.75" customHeight="1" s="95"/>
    <row r="323" ht="15.75" customHeight="1" s="95"/>
    <row r="324" ht="15.75" customHeight="1" s="95"/>
    <row r="325" ht="15.75" customHeight="1" s="95"/>
    <row r="326" ht="15.75" customHeight="1" s="95"/>
    <row r="327" ht="15.75" customHeight="1" s="95"/>
    <row r="328" ht="15.75" customHeight="1" s="95"/>
    <row r="329" ht="15.75" customHeight="1" s="95"/>
    <row r="330" ht="15.75" customHeight="1" s="95"/>
    <row r="331" ht="15.75" customHeight="1" s="95"/>
    <row r="332" ht="15.75" customHeight="1" s="95"/>
    <row r="333" ht="15.75" customHeight="1" s="95"/>
    <row r="334" ht="15.75" customHeight="1" s="95"/>
    <row r="335" ht="15.75" customHeight="1" s="95"/>
    <row r="336" ht="15.75" customHeight="1" s="95"/>
    <row r="337" ht="15.75" customHeight="1" s="95"/>
    <row r="338" ht="15.75" customHeight="1" s="95"/>
    <row r="339" ht="15.75" customHeight="1" s="95"/>
    <row r="340" ht="15.75" customHeight="1" s="95"/>
    <row r="341" ht="15.75" customHeight="1" s="95"/>
    <row r="342" ht="15.75" customHeight="1" s="95"/>
    <row r="343" ht="15.75" customHeight="1" s="95"/>
    <row r="344" ht="15.75" customHeight="1" s="95"/>
    <row r="345" ht="15.75" customHeight="1" s="95"/>
    <row r="346" ht="15.75" customHeight="1" s="95"/>
    <row r="347" ht="15.75" customHeight="1" s="95"/>
    <row r="348" ht="15.75" customHeight="1" s="95"/>
    <row r="349" ht="15.75" customHeight="1" s="95"/>
    <row r="350" ht="15.75" customHeight="1" s="95"/>
    <row r="351" ht="15.75" customHeight="1" s="95"/>
    <row r="352" ht="15.75" customHeight="1" s="95"/>
    <row r="353" ht="15.75" customHeight="1" s="95"/>
    <row r="354" ht="15.75" customHeight="1" s="95"/>
    <row r="355" ht="15.75" customHeight="1" s="95"/>
    <row r="356" ht="15.75" customHeight="1" s="95"/>
    <row r="357" ht="15.75" customHeight="1" s="95"/>
    <row r="358" ht="15.75" customHeight="1" s="95"/>
    <row r="359" ht="15.75" customHeight="1" s="95"/>
    <row r="360" ht="15.75" customHeight="1" s="95"/>
    <row r="361" ht="15.75" customHeight="1" s="95"/>
    <row r="362" ht="15.75" customHeight="1" s="95"/>
    <row r="363" ht="15.75" customHeight="1" s="95"/>
    <row r="364" ht="15.75" customHeight="1" s="95"/>
    <row r="365" ht="15.75" customHeight="1" s="95"/>
    <row r="366" ht="15.75" customHeight="1" s="95"/>
    <row r="367" ht="15.75" customHeight="1" s="95"/>
    <row r="368" ht="15.75" customHeight="1" s="95"/>
    <row r="369" ht="15.75" customHeight="1" s="95"/>
    <row r="370" ht="15.75" customHeight="1" s="95"/>
    <row r="371" ht="15.75" customHeight="1" s="95"/>
    <row r="372" ht="15.75" customHeight="1" s="95"/>
    <row r="373" ht="15.75" customHeight="1" s="95"/>
    <row r="374" ht="15.75" customHeight="1" s="95"/>
    <row r="375" ht="15.75" customHeight="1" s="95"/>
    <row r="376" ht="15.75" customHeight="1" s="95"/>
    <row r="377" ht="15.75" customHeight="1" s="95"/>
    <row r="378" ht="15.75" customHeight="1" s="95"/>
    <row r="379" ht="15.75" customHeight="1" s="95"/>
    <row r="380" ht="15.75" customHeight="1" s="95"/>
    <row r="381" ht="15.75" customHeight="1" s="95"/>
    <row r="382" ht="15.75" customHeight="1" s="95"/>
    <row r="383" ht="15.75" customHeight="1" s="95"/>
    <row r="384" ht="15.75" customHeight="1" s="95"/>
    <row r="385" ht="15.75" customHeight="1" s="95"/>
    <row r="386" ht="15.75" customHeight="1" s="95"/>
    <row r="387" ht="15.75" customHeight="1" s="95"/>
    <row r="388" ht="15.75" customHeight="1" s="95"/>
    <row r="389" ht="15.75" customHeight="1" s="95"/>
    <row r="390" ht="15.75" customHeight="1" s="95"/>
    <row r="391" ht="15.75" customHeight="1" s="95"/>
    <row r="392" ht="15.75" customHeight="1" s="95"/>
    <row r="393" ht="15.75" customHeight="1" s="95"/>
    <row r="394" ht="15.75" customHeight="1" s="95"/>
    <row r="395" ht="15.75" customHeight="1" s="95"/>
    <row r="396" ht="15.75" customHeight="1" s="95"/>
    <row r="397" ht="15.75" customHeight="1" s="95"/>
    <row r="398" ht="15.75" customHeight="1" s="95"/>
    <row r="399" ht="15.75" customHeight="1" s="95"/>
    <row r="400" ht="15.75" customHeight="1" s="95"/>
    <row r="401" ht="15.75" customHeight="1" s="95"/>
    <row r="402" ht="15.75" customHeight="1" s="95"/>
    <row r="403" ht="15.75" customHeight="1" s="95"/>
    <row r="404" ht="15.75" customHeight="1" s="95"/>
    <row r="405" ht="15.75" customHeight="1" s="95"/>
    <row r="406" ht="15.75" customHeight="1" s="95"/>
    <row r="407" ht="15.75" customHeight="1" s="95"/>
    <row r="408" ht="15.75" customHeight="1" s="95"/>
    <row r="409" ht="15.75" customHeight="1" s="95"/>
    <row r="410" ht="15.75" customHeight="1" s="95"/>
    <row r="411" ht="15.75" customHeight="1" s="95"/>
    <row r="412" ht="15.75" customHeight="1" s="95"/>
    <row r="413" ht="15.75" customHeight="1" s="95"/>
    <row r="414" ht="15.75" customHeight="1" s="95"/>
    <row r="415" ht="15.75" customHeight="1" s="95"/>
    <row r="416" ht="15.75" customHeight="1" s="95"/>
    <row r="417" ht="15.75" customHeight="1" s="95"/>
    <row r="418" ht="15.75" customHeight="1" s="95"/>
    <row r="419" ht="15.75" customHeight="1" s="95"/>
    <row r="420" ht="15.75" customHeight="1" s="95"/>
    <row r="421" ht="15.75" customHeight="1" s="95"/>
    <row r="422" ht="15.75" customHeight="1" s="95"/>
    <row r="423" ht="15.75" customHeight="1" s="95"/>
    <row r="424" ht="15.75" customHeight="1" s="95"/>
    <row r="425" ht="15.75" customHeight="1" s="95"/>
    <row r="426" ht="15.75" customHeight="1" s="95"/>
    <row r="427" ht="15.75" customHeight="1" s="95"/>
    <row r="428" ht="15.75" customHeight="1" s="95"/>
    <row r="429" ht="15.75" customHeight="1" s="95"/>
    <row r="430" ht="15.75" customHeight="1" s="95"/>
    <row r="431" ht="15.75" customHeight="1" s="95"/>
    <row r="432" ht="15.75" customHeight="1" s="95"/>
    <row r="433" ht="15.75" customHeight="1" s="95"/>
    <row r="434" ht="15.75" customHeight="1" s="95"/>
    <row r="435" ht="15.75" customHeight="1" s="95"/>
    <row r="436" ht="15.75" customHeight="1" s="95"/>
    <row r="437" ht="15.75" customHeight="1" s="95"/>
    <row r="438" ht="15.75" customHeight="1" s="95"/>
    <row r="439" ht="15.75" customHeight="1" s="95"/>
    <row r="440" ht="15.75" customHeight="1" s="95"/>
    <row r="441" ht="15.75" customHeight="1" s="95"/>
    <row r="442" ht="15.75" customHeight="1" s="95"/>
    <row r="443" ht="15.75" customHeight="1" s="95"/>
    <row r="444" ht="15.75" customHeight="1" s="95"/>
    <row r="445" ht="15.75" customHeight="1" s="95"/>
    <row r="446" ht="15.75" customHeight="1" s="95"/>
    <row r="447" ht="15.75" customHeight="1" s="95"/>
    <row r="448" ht="15.75" customHeight="1" s="95"/>
    <row r="449" ht="15.75" customHeight="1" s="95"/>
    <row r="450" ht="15.75" customHeight="1" s="95"/>
    <row r="451" ht="15.75" customHeight="1" s="95"/>
    <row r="452" ht="15.75" customHeight="1" s="95"/>
    <row r="453" ht="15.75" customHeight="1" s="95"/>
    <row r="454" ht="15.75" customHeight="1" s="95"/>
    <row r="455" ht="15.75" customHeight="1" s="95"/>
    <row r="456" ht="15.75" customHeight="1" s="95"/>
    <row r="457" ht="15.75" customHeight="1" s="95"/>
    <row r="458" ht="15.75" customHeight="1" s="95"/>
    <row r="459" ht="15.75" customHeight="1" s="95"/>
    <row r="460" ht="15.75" customHeight="1" s="95"/>
    <row r="461" ht="15.75" customHeight="1" s="95"/>
    <row r="462" ht="15.75" customHeight="1" s="95"/>
    <row r="463" ht="15.75" customHeight="1" s="95"/>
    <row r="464" ht="15.75" customHeight="1" s="95"/>
    <row r="465" ht="15.75" customHeight="1" s="95"/>
    <row r="466" ht="15.75" customHeight="1" s="95"/>
    <row r="467" ht="15.75" customHeight="1" s="95"/>
    <row r="468" ht="15.75" customHeight="1" s="95"/>
    <row r="469" ht="15.75" customHeight="1" s="95"/>
    <row r="470" ht="15.75" customHeight="1" s="95"/>
    <row r="471" ht="15.75" customHeight="1" s="95"/>
    <row r="472" ht="15.75" customHeight="1" s="95"/>
    <row r="473" ht="15.75" customHeight="1" s="95"/>
    <row r="474" ht="15.75" customHeight="1" s="95"/>
    <row r="475" ht="15.75" customHeight="1" s="95"/>
    <row r="476" ht="15.75" customHeight="1" s="95"/>
    <row r="477" ht="15.75" customHeight="1" s="95"/>
    <row r="478" ht="15.75" customHeight="1" s="95"/>
    <row r="479" ht="15.75" customHeight="1" s="95"/>
    <row r="480" ht="15.75" customHeight="1" s="95"/>
    <row r="481" ht="15.75" customHeight="1" s="95"/>
    <row r="482" ht="15.75" customHeight="1" s="95"/>
    <row r="483" ht="15.75" customHeight="1" s="95"/>
    <row r="484" ht="15.75" customHeight="1" s="95"/>
    <row r="485" ht="15.75" customHeight="1" s="95"/>
    <row r="486" ht="15.75" customHeight="1" s="95"/>
    <row r="487" ht="15.75" customHeight="1" s="95"/>
    <row r="488" ht="15.75" customHeight="1" s="95"/>
    <row r="489" ht="15.75" customHeight="1" s="95"/>
    <row r="490" ht="15.75" customHeight="1" s="95"/>
    <row r="491" ht="15.75" customHeight="1" s="95"/>
    <row r="492" ht="15.75" customHeight="1" s="95"/>
    <row r="493" ht="15.75" customHeight="1" s="95"/>
    <row r="494" ht="15.75" customHeight="1" s="95"/>
    <row r="495" ht="15.75" customHeight="1" s="95"/>
    <row r="496" ht="15.75" customHeight="1" s="95"/>
    <row r="497" ht="15.75" customHeight="1" s="95"/>
    <row r="498" ht="15.75" customHeight="1" s="95"/>
    <row r="499" ht="15.75" customHeight="1" s="95"/>
    <row r="500" ht="15.75" customHeight="1" s="95"/>
    <row r="501" ht="15.75" customHeight="1" s="95"/>
    <row r="502" ht="15.75" customHeight="1" s="95"/>
    <row r="503" ht="15.75" customHeight="1" s="95"/>
    <row r="504" ht="15.75" customHeight="1" s="95"/>
    <row r="505" ht="15.75" customHeight="1" s="95"/>
    <row r="506" ht="15.75" customHeight="1" s="95"/>
    <row r="507" ht="15.75" customHeight="1" s="95"/>
    <row r="508" ht="15.75" customHeight="1" s="95"/>
    <row r="509" ht="15.75" customHeight="1" s="95"/>
    <row r="510" ht="15.75" customHeight="1" s="95"/>
    <row r="511" ht="15.75" customHeight="1" s="95"/>
    <row r="512" ht="15.75" customHeight="1" s="95"/>
    <row r="513" ht="15.75" customHeight="1" s="95"/>
    <row r="514" ht="15.75" customHeight="1" s="95"/>
    <row r="515" ht="15.75" customHeight="1" s="95"/>
    <row r="516" ht="15.75" customHeight="1" s="95"/>
    <row r="517" ht="15.75" customHeight="1" s="95"/>
    <row r="518" ht="15.75" customHeight="1" s="95"/>
    <row r="519" ht="15.75" customHeight="1" s="95"/>
    <row r="520" ht="15.75" customHeight="1" s="95"/>
    <row r="521" ht="15.75" customHeight="1" s="95"/>
    <row r="522" ht="15.75" customHeight="1" s="95"/>
    <row r="523" ht="15.75" customHeight="1" s="95"/>
    <row r="524" ht="15.75" customHeight="1" s="95"/>
    <row r="525" ht="15.75" customHeight="1" s="95"/>
    <row r="526" ht="15.75" customHeight="1" s="95"/>
    <row r="527" ht="15.75" customHeight="1" s="95"/>
    <row r="528" ht="15.75" customHeight="1" s="95"/>
    <row r="529" ht="15.75" customHeight="1" s="95"/>
    <row r="530" ht="15.75" customHeight="1" s="95"/>
    <row r="531" ht="15.75" customHeight="1" s="95"/>
    <row r="532" ht="15.75" customHeight="1" s="95"/>
    <row r="533" ht="15.75" customHeight="1" s="95"/>
    <row r="534" ht="15.75" customHeight="1" s="95"/>
    <row r="535" ht="15.75" customHeight="1" s="95"/>
    <row r="536" ht="15.75" customHeight="1" s="95"/>
    <row r="537" ht="15.75" customHeight="1" s="95"/>
    <row r="538" ht="15.75" customHeight="1" s="95"/>
    <row r="539" ht="15.75" customHeight="1" s="95"/>
    <row r="540" ht="15.75" customHeight="1" s="95"/>
    <row r="541" ht="15.75" customHeight="1" s="95"/>
    <row r="542" ht="15.75" customHeight="1" s="95"/>
    <row r="543" ht="15.75" customHeight="1" s="95"/>
    <row r="544" ht="15.75" customHeight="1" s="95"/>
    <row r="545" ht="15.75" customHeight="1" s="95"/>
    <row r="546" ht="15.75" customHeight="1" s="95"/>
    <row r="547" ht="15.75" customHeight="1" s="95"/>
    <row r="548" ht="15.75" customHeight="1" s="95"/>
    <row r="549" ht="15.75" customHeight="1" s="95"/>
    <row r="550" ht="15.75" customHeight="1" s="95"/>
    <row r="551" ht="15.75" customHeight="1" s="95"/>
    <row r="552" ht="15.75" customHeight="1" s="95"/>
    <row r="553" ht="15.75" customHeight="1" s="95"/>
    <row r="554" ht="15.75" customHeight="1" s="95"/>
    <row r="555" ht="15.75" customHeight="1" s="95"/>
    <row r="556" ht="15.75" customHeight="1" s="95"/>
    <row r="557" ht="15.75" customHeight="1" s="95"/>
    <row r="558" ht="15.75" customHeight="1" s="95"/>
    <row r="559" ht="15.75" customHeight="1" s="95"/>
    <row r="560" ht="15.75" customHeight="1" s="95"/>
    <row r="561" ht="15.75" customHeight="1" s="95"/>
    <row r="562" ht="15.75" customHeight="1" s="95"/>
    <row r="563" ht="15.75" customHeight="1" s="95"/>
    <row r="564" ht="15.75" customHeight="1" s="95"/>
    <row r="565" ht="15.75" customHeight="1" s="95"/>
    <row r="566" ht="15.75" customHeight="1" s="95"/>
    <row r="567" ht="15.75" customHeight="1" s="95"/>
    <row r="568" ht="15.75" customHeight="1" s="95"/>
    <row r="569" ht="15.75" customHeight="1" s="95"/>
    <row r="570" ht="15.75" customHeight="1" s="95"/>
    <row r="571" ht="15.75" customHeight="1" s="95"/>
    <row r="572" ht="15.75" customHeight="1" s="95"/>
    <row r="573" ht="15.75" customHeight="1" s="95"/>
    <row r="574" ht="15.75" customHeight="1" s="95"/>
    <row r="575" ht="15.75" customHeight="1" s="95"/>
    <row r="576" ht="15.75" customHeight="1" s="95"/>
    <row r="577" ht="15.75" customHeight="1" s="95"/>
    <row r="578" ht="15.75" customHeight="1" s="95"/>
    <row r="579" ht="15.75" customHeight="1" s="95"/>
    <row r="580" ht="15.75" customHeight="1" s="95"/>
    <row r="581" ht="15.75" customHeight="1" s="95"/>
    <row r="582" ht="15.75" customHeight="1" s="95"/>
    <row r="583" ht="15.75" customHeight="1" s="95"/>
    <row r="584" ht="15.75" customHeight="1" s="95"/>
    <row r="585" ht="15.75" customHeight="1" s="95"/>
    <row r="586" ht="15.75" customHeight="1" s="95"/>
    <row r="587" ht="15.75" customHeight="1" s="95"/>
    <row r="588" ht="15.75" customHeight="1" s="95"/>
    <row r="589" ht="15.75" customHeight="1" s="95"/>
    <row r="590" ht="15.75" customHeight="1" s="95"/>
    <row r="591" ht="15.75" customHeight="1" s="95"/>
    <row r="592" ht="15.75" customHeight="1" s="95"/>
    <row r="593" ht="15.75" customHeight="1" s="95"/>
    <row r="594" ht="15.75" customHeight="1" s="95"/>
    <row r="595" ht="15.75" customHeight="1" s="95"/>
    <row r="596" ht="15.75" customHeight="1" s="95"/>
    <row r="597" ht="15.75" customHeight="1" s="95"/>
    <row r="598" ht="15.75" customHeight="1" s="95"/>
    <row r="599" ht="15.75" customHeight="1" s="95"/>
    <row r="600" ht="15.75" customHeight="1" s="95"/>
    <row r="601" ht="15.75" customHeight="1" s="95"/>
    <row r="602" ht="15.75" customHeight="1" s="95"/>
    <row r="603" ht="15.75" customHeight="1" s="95"/>
    <row r="604" ht="15.75" customHeight="1" s="95"/>
    <row r="605" ht="15.75" customHeight="1" s="95"/>
    <row r="606" ht="15.75" customHeight="1" s="95"/>
    <row r="607" ht="15.75" customHeight="1" s="95"/>
    <row r="608" ht="15.75" customHeight="1" s="95"/>
    <row r="609" ht="15.75" customHeight="1" s="95"/>
    <row r="610" ht="15.75" customHeight="1" s="95"/>
    <row r="611" ht="15.75" customHeight="1" s="95"/>
    <row r="612" ht="15.75" customHeight="1" s="95"/>
    <row r="613" ht="15.75" customHeight="1" s="95"/>
    <row r="614" ht="15.75" customHeight="1" s="95"/>
    <row r="615" ht="15.75" customHeight="1" s="95"/>
    <row r="616" ht="15.75" customHeight="1" s="95"/>
    <row r="617" ht="15.75" customHeight="1" s="95"/>
    <row r="618" ht="15.75" customHeight="1" s="95"/>
    <row r="619" ht="15.75" customHeight="1" s="95"/>
    <row r="620" ht="15.75" customHeight="1" s="95"/>
    <row r="621" ht="15.75" customHeight="1" s="95"/>
    <row r="622" ht="15.75" customHeight="1" s="95"/>
    <row r="623" ht="15.75" customHeight="1" s="95"/>
    <row r="624" ht="15.75" customHeight="1" s="95"/>
    <row r="625" ht="15.75" customHeight="1" s="95"/>
    <row r="626" ht="15.75" customHeight="1" s="95"/>
    <row r="627" ht="15.75" customHeight="1" s="95"/>
    <row r="628" ht="15.75" customHeight="1" s="95"/>
    <row r="629" ht="15.75" customHeight="1" s="95"/>
    <row r="630" ht="15.75" customHeight="1" s="95"/>
    <row r="631" ht="15.75" customHeight="1" s="95"/>
    <row r="632" ht="15.75" customHeight="1" s="95"/>
    <row r="633" ht="15.75" customHeight="1" s="95"/>
    <row r="634" ht="15.75" customHeight="1" s="95"/>
    <row r="635" ht="15.75" customHeight="1" s="95"/>
    <row r="636" ht="15.75" customHeight="1" s="95"/>
    <row r="637" ht="15.75" customHeight="1" s="95"/>
    <row r="638" ht="15.75" customHeight="1" s="95"/>
    <row r="639" ht="15.75" customHeight="1" s="95"/>
    <row r="640" ht="15.75" customHeight="1" s="95"/>
    <row r="641" ht="15.75" customHeight="1" s="95"/>
    <row r="642" ht="15.75" customHeight="1" s="95"/>
    <row r="643" ht="15.75" customHeight="1" s="95"/>
    <row r="644" ht="15.75" customHeight="1" s="95"/>
    <row r="645" ht="15.75" customHeight="1" s="95"/>
    <row r="646" ht="15.75" customHeight="1" s="95"/>
    <row r="647" ht="15.75" customHeight="1" s="95"/>
    <row r="648" ht="15.75" customHeight="1" s="95"/>
    <row r="649" ht="15.75" customHeight="1" s="95"/>
    <row r="650" ht="15.75" customHeight="1" s="95"/>
    <row r="651" ht="15.75" customHeight="1" s="95"/>
    <row r="652" ht="15.75" customHeight="1" s="95"/>
    <row r="653" ht="15.75" customHeight="1" s="95"/>
    <row r="654" ht="15.75" customHeight="1" s="95"/>
    <row r="655" ht="15.75" customHeight="1" s="95"/>
    <row r="656" ht="15.75" customHeight="1" s="95"/>
    <row r="657" ht="15.75" customHeight="1" s="95"/>
    <row r="658" ht="15.75" customHeight="1" s="95"/>
    <row r="659" ht="15.75" customHeight="1" s="95"/>
    <row r="660" ht="15.75" customHeight="1" s="95"/>
    <row r="661" ht="15.75" customHeight="1" s="95"/>
    <row r="662" ht="15.75" customHeight="1" s="95"/>
    <row r="663" ht="15.75" customHeight="1" s="95"/>
    <row r="664" ht="15.75" customHeight="1" s="95"/>
    <row r="665" ht="15.75" customHeight="1" s="95"/>
    <row r="666" ht="15.75" customHeight="1" s="95"/>
    <row r="667" ht="15.75" customHeight="1" s="95"/>
    <row r="668" ht="15.75" customHeight="1" s="95"/>
    <row r="669" ht="15.75" customHeight="1" s="95"/>
    <row r="670" ht="15.75" customHeight="1" s="95"/>
    <row r="671" ht="15.75" customHeight="1" s="95"/>
    <row r="672" ht="15.75" customHeight="1" s="95"/>
    <row r="673" ht="15.75" customHeight="1" s="95"/>
    <row r="674" ht="15.75" customHeight="1" s="95"/>
    <row r="675" ht="15.75" customHeight="1" s="95"/>
    <row r="676" ht="15.75" customHeight="1" s="95"/>
    <row r="677" ht="15.75" customHeight="1" s="95"/>
    <row r="678" ht="15.75" customHeight="1" s="95"/>
    <row r="679" ht="15.75" customHeight="1" s="95"/>
    <row r="680" ht="15.75" customHeight="1" s="95"/>
    <row r="681" ht="15.75" customHeight="1" s="95"/>
    <row r="682" ht="15.75" customHeight="1" s="95"/>
    <row r="683" ht="15.75" customHeight="1" s="95"/>
    <row r="684" ht="15.75" customHeight="1" s="95"/>
    <row r="685" ht="15.75" customHeight="1" s="95"/>
    <row r="686" ht="15.75" customHeight="1" s="95"/>
    <row r="687" ht="15.75" customHeight="1" s="95"/>
    <row r="688" ht="15.75" customHeight="1" s="95"/>
    <row r="689" ht="15.75" customHeight="1" s="95"/>
    <row r="690" ht="15.75" customHeight="1" s="95"/>
    <row r="691" ht="15.75" customHeight="1" s="95"/>
    <row r="692" ht="15.75" customHeight="1" s="95"/>
    <row r="693" ht="15.75" customHeight="1" s="95"/>
    <row r="694" ht="15.75" customHeight="1" s="95"/>
    <row r="695" ht="15.75" customHeight="1" s="95"/>
    <row r="696" ht="15.75" customHeight="1" s="95"/>
    <row r="697" ht="15.75" customHeight="1" s="95"/>
    <row r="698" ht="15.75" customHeight="1" s="95"/>
    <row r="699" ht="15.75" customHeight="1" s="95"/>
    <row r="700" ht="15.75" customHeight="1" s="95"/>
    <row r="701" ht="15.75" customHeight="1" s="95"/>
    <row r="702" ht="15.75" customHeight="1" s="95"/>
    <row r="703" ht="15.75" customHeight="1" s="95"/>
    <row r="704" ht="15.75" customHeight="1" s="95"/>
    <row r="705" ht="15.75" customHeight="1" s="95"/>
    <row r="706" ht="15.75" customHeight="1" s="95"/>
    <row r="707" ht="15.75" customHeight="1" s="95"/>
    <row r="708" ht="15.75" customHeight="1" s="95"/>
    <row r="709" ht="15.75" customHeight="1" s="95"/>
    <row r="710" ht="15.75" customHeight="1" s="95"/>
    <row r="711" ht="15.75" customHeight="1" s="95"/>
    <row r="712" ht="15.75" customHeight="1" s="95"/>
    <row r="713" ht="15.75" customHeight="1" s="95"/>
    <row r="714" ht="15.75" customHeight="1" s="95"/>
    <row r="715" ht="15.75" customHeight="1" s="95"/>
    <row r="716" ht="15.75" customHeight="1" s="95"/>
    <row r="717" ht="15.75" customHeight="1" s="95"/>
    <row r="718" ht="15.75" customHeight="1" s="95"/>
    <row r="719" ht="15.75" customHeight="1" s="95"/>
    <row r="720" ht="15.75" customHeight="1" s="95"/>
    <row r="721" ht="15.75" customHeight="1" s="95"/>
    <row r="722" ht="15.75" customHeight="1" s="95"/>
    <row r="723" ht="15.75" customHeight="1" s="95"/>
    <row r="724" ht="15.75" customHeight="1" s="95"/>
    <row r="725" ht="15.75" customHeight="1" s="95"/>
    <row r="726" ht="15.75" customHeight="1" s="95"/>
    <row r="727" ht="15.75" customHeight="1" s="95"/>
    <row r="728" ht="15.75" customHeight="1" s="95"/>
    <row r="729" ht="15.75" customHeight="1" s="95"/>
    <row r="730" ht="15.75" customHeight="1" s="95"/>
    <row r="731" ht="15.75" customHeight="1" s="95"/>
    <row r="732" ht="15.75" customHeight="1" s="95"/>
    <row r="733" ht="15.75" customHeight="1" s="95"/>
    <row r="734" ht="15.75" customHeight="1" s="95"/>
    <row r="735" ht="15.75" customHeight="1" s="95"/>
    <row r="736" ht="15.75" customHeight="1" s="95"/>
    <row r="737" ht="15.75" customHeight="1" s="95"/>
    <row r="738" ht="15.75" customHeight="1" s="95"/>
    <row r="739" ht="15.75" customHeight="1" s="95"/>
    <row r="740" ht="15.75" customHeight="1" s="95"/>
    <row r="741" ht="15.75" customHeight="1" s="95"/>
    <row r="742" ht="15.75" customHeight="1" s="95"/>
    <row r="743" ht="15.75" customHeight="1" s="95"/>
    <row r="744" ht="15.75" customHeight="1" s="95"/>
    <row r="745" ht="15.75" customHeight="1" s="95"/>
    <row r="746" ht="15.75" customHeight="1" s="95"/>
    <row r="747" ht="15.75" customHeight="1" s="95"/>
    <row r="748" ht="15.75" customHeight="1" s="95"/>
    <row r="749" ht="15.75" customHeight="1" s="95"/>
    <row r="750" ht="15.75" customHeight="1" s="95"/>
    <row r="751" ht="15.75" customHeight="1" s="95"/>
    <row r="752" ht="15.75" customHeight="1" s="95"/>
    <row r="753" ht="15.75" customHeight="1" s="95"/>
    <row r="754" ht="15.75" customHeight="1" s="95"/>
    <row r="755" ht="15.75" customHeight="1" s="95"/>
    <row r="756" ht="15.75" customHeight="1" s="95"/>
    <row r="757" ht="15.75" customHeight="1" s="95"/>
    <row r="758" ht="15.75" customHeight="1" s="95"/>
    <row r="759" ht="15.75" customHeight="1" s="95"/>
    <row r="760" ht="15.75" customHeight="1" s="95"/>
    <row r="761" ht="15.75" customHeight="1" s="95"/>
    <row r="762" ht="15.75" customHeight="1" s="95"/>
    <row r="763" ht="15.75" customHeight="1" s="95"/>
    <row r="764" ht="15.75" customHeight="1" s="95"/>
    <row r="765" ht="15.75" customHeight="1" s="95"/>
    <row r="766" ht="15.75" customHeight="1" s="95"/>
    <row r="767" ht="15.75" customHeight="1" s="95"/>
    <row r="768" ht="15.75" customHeight="1" s="95"/>
    <row r="769" ht="15.75" customHeight="1" s="95"/>
    <row r="770" ht="15.75" customHeight="1" s="95"/>
    <row r="771" ht="15.75" customHeight="1" s="95"/>
    <row r="772" ht="15.75" customHeight="1" s="95"/>
    <row r="773" ht="15.75" customHeight="1" s="95"/>
    <row r="774" ht="15.75" customHeight="1" s="95"/>
    <row r="775" ht="15.75" customHeight="1" s="95"/>
    <row r="776" ht="15.75" customHeight="1" s="95"/>
    <row r="777" ht="15.75" customHeight="1" s="95"/>
    <row r="778" ht="15.75" customHeight="1" s="95"/>
    <row r="779" ht="15.75" customHeight="1" s="95"/>
    <row r="780" ht="15.75" customHeight="1" s="95"/>
    <row r="781" ht="15.75" customHeight="1" s="95"/>
    <row r="782" ht="15.75" customHeight="1" s="95"/>
    <row r="783" ht="15.75" customHeight="1" s="95"/>
    <row r="784" ht="15.75" customHeight="1" s="95"/>
    <row r="785" ht="15.75" customHeight="1" s="95"/>
    <row r="786" ht="15.75" customHeight="1" s="95"/>
    <row r="787" ht="15.75" customHeight="1" s="95"/>
    <row r="788" ht="15.75" customHeight="1" s="95"/>
    <row r="789" ht="15.75" customHeight="1" s="95"/>
    <row r="790" ht="15.75" customHeight="1" s="95"/>
    <row r="791" ht="15.75" customHeight="1" s="95"/>
    <row r="792" ht="15.75" customHeight="1" s="95"/>
    <row r="793" ht="15.75" customHeight="1" s="95"/>
    <row r="794" ht="15.75" customHeight="1" s="95"/>
    <row r="795" ht="15.75" customHeight="1" s="95"/>
    <row r="796" ht="15.75" customHeight="1" s="95"/>
    <row r="797" ht="15.75" customHeight="1" s="95"/>
    <row r="798" ht="15.75" customHeight="1" s="95"/>
    <row r="799" ht="15.75" customHeight="1" s="95"/>
    <row r="800" ht="15.75" customHeight="1" s="95"/>
    <row r="801" ht="15.75" customHeight="1" s="95"/>
    <row r="802" ht="15.75" customHeight="1" s="95"/>
    <row r="803" ht="15.75" customHeight="1" s="95"/>
    <row r="804" ht="15.75" customHeight="1" s="95"/>
    <row r="805" ht="15.75" customHeight="1" s="95"/>
    <row r="806" ht="15.75" customHeight="1" s="95"/>
    <row r="807" ht="15.75" customHeight="1" s="95"/>
    <row r="808" ht="15.75" customHeight="1" s="95"/>
    <row r="809" ht="15.75" customHeight="1" s="95"/>
    <row r="810" ht="15.75" customHeight="1" s="95"/>
    <row r="811" ht="15.75" customHeight="1" s="95"/>
    <row r="812" ht="15.75" customHeight="1" s="95"/>
    <row r="813" ht="15.75" customHeight="1" s="95"/>
    <row r="814" ht="15.75" customHeight="1" s="95"/>
    <row r="815" ht="15.75" customHeight="1" s="95"/>
    <row r="816" ht="15.75" customHeight="1" s="95"/>
    <row r="817" ht="15.75" customHeight="1" s="95"/>
    <row r="818" ht="15.75" customHeight="1" s="95"/>
    <row r="819" ht="15.75" customHeight="1" s="95"/>
    <row r="820" ht="15.75" customHeight="1" s="95"/>
    <row r="821" ht="15.75" customHeight="1" s="95"/>
    <row r="822" ht="15.75" customHeight="1" s="95"/>
    <row r="823" ht="15.75" customHeight="1" s="95"/>
    <row r="824" ht="15.75" customHeight="1" s="95"/>
    <row r="825" ht="15.75" customHeight="1" s="95"/>
    <row r="826" ht="15.75" customHeight="1" s="95"/>
    <row r="827" ht="15.75" customHeight="1" s="95"/>
    <row r="828" ht="15.75" customHeight="1" s="95"/>
    <row r="829" ht="15.75" customHeight="1" s="95"/>
    <row r="830" ht="15.75" customHeight="1" s="95"/>
    <row r="831" ht="15.75" customHeight="1" s="95"/>
    <row r="832" ht="15.75" customHeight="1" s="95"/>
    <row r="833" ht="15.75" customHeight="1" s="95"/>
    <row r="834" ht="15.75" customHeight="1" s="95"/>
    <row r="835" ht="15.75" customHeight="1" s="95"/>
    <row r="836" ht="15.75" customHeight="1" s="95"/>
    <row r="837" ht="15.75" customHeight="1" s="95"/>
    <row r="838" ht="15.75" customHeight="1" s="95"/>
    <row r="839" ht="15.75" customHeight="1" s="95"/>
    <row r="840" ht="15.75" customHeight="1" s="95"/>
    <row r="841" ht="15.75" customHeight="1" s="95"/>
    <row r="842" ht="15.75" customHeight="1" s="95"/>
    <row r="843" ht="15.75" customHeight="1" s="95"/>
    <row r="844" ht="15.75" customHeight="1" s="95"/>
    <row r="845" ht="15.75" customHeight="1" s="95"/>
    <row r="846" ht="15.75" customHeight="1" s="95"/>
    <row r="847" ht="15.75" customHeight="1" s="95"/>
    <row r="848" ht="15.75" customHeight="1" s="95"/>
    <row r="849" ht="15.75" customHeight="1" s="95"/>
    <row r="850" ht="15.75" customHeight="1" s="95"/>
    <row r="851" ht="15.75" customHeight="1" s="95"/>
    <row r="852" ht="15.75" customHeight="1" s="95"/>
    <row r="853" ht="15.75" customHeight="1" s="95"/>
    <row r="854" ht="15.75" customHeight="1" s="95"/>
    <row r="855" ht="15.75" customHeight="1" s="95"/>
    <row r="856" ht="15.75" customHeight="1" s="95"/>
    <row r="857" ht="15.75" customHeight="1" s="95"/>
    <row r="858" ht="15.75" customHeight="1" s="95"/>
    <row r="859" ht="15.75" customHeight="1" s="95"/>
    <row r="860" ht="15.75" customHeight="1" s="95"/>
    <row r="861" ht="15.75" customHeight="1" s="95"/>
    <row r="862" ht="15.75" customHeight="1" s="95"/>
    <row r="863" ht="15.75" customHeight="1" s="95"/>
    <row r="864" ht="15.75" customHeight="1" s="95"/>
    <row r="865" ht="15.75" customHeight="1" s="95"/>
    <row r="866" ht="15.75" customHeight="1" s="95"/>
    <row r="867" ht="15.75" customHeight="1" s="95"/>
    <row r="868" ht="15.75" customHeight="1" s="95"/>
    <row r="869" ht="15.75" customHeight="1" s="95"/>
    <row r="870" ht="15.75" customHeight="1" s="95"/>
    <row r="871" ht="15.75" customHeight="1" s="95"/>
    <row r="872" ht="15.75" customHeight="1" s="95"/>
    <row r="873" ht="15.75" customHeight="1" s="95"/>
    <row r="874" ht="15.75" customHeight="1" s="95"/>
    <row r="875" ht="15.75" customHeight="1" s="95"/>
    <row r="876" ht="15.75" customHeight="1" s="95"/>
    <row r="877" ht="15.75" customHeight="1" s="95"/>
    <row r="878" ht="15.75" customHeight="1" s="95"/>
    <row r="879" ht="15.75" customHeight="1" s="95"/>
    <row r="880" ht="15.75" customHeight="1" s="95"/>
    <row r="881" ht="15.75" customHeight="1" s="95"/>
    <row r="882" ht="15.75" customHeight="1" s="95"/>
    <row r="883" ht="15.75" customHeight="1" s="95"/>
    <row r="884" ht="15.75" customHeight="1" s="95"/>
    <row r="885" ht="15.75" customHeight="1" s="95"/>
    <row r="886" ht="15.75" customHeight="1" s="95"/>
    <row r="887" ht="15.75" customHeight="1" s="95"/>
    <row r="888" ht="15.75" customHeight="1" s="95"/>
    <row r="889" ht="15.75" customHeight="1" s="95"/>
    <row r="890" ht="15.75" customHeight="1" s="95"/>
    <row r="891" ht="15.75" customHeight="1" s="95"/>
    <row r="892" ht="15.75" customHeight="1" s="95"/>
    <row r="893" ht="15.75" customHeight="1" s="95"/>
    <row r="894" ht="15.75" customHeight="1" s="95"/>
    <row r="895" ht="15.75" customHeight="1" s="95"/>
    <row r="896" ht="15.75" customHeight="1" s="95"/>
    <row r="897" ht="15.75" customHeight="1" s="95"/>
    <row r="898" ht="15.75" customHeight="1" s="95"/>
    <row r="899" ht="15.75" customHeight="1" s="95"/>
    <row r="900" ht="15.75" customHeight="1" s="95"/>
    <row r="901" ht="15.75" customHeight="1" s="95"/>
    <row r="902" ht="15.75" customHeight="1" s="95"/>
    <row r="903" ht="15.75" customHeight="1" s="95"/>
    <row r="904" ht="15.75" customHeight="1" s="95"/>
    <row r="905" ht="15.75" customHeight="1" s="95"/>
    <row r="906" ht="15.75" customHeight="1" s="95"/>
    <row r="907" ht="15.75" customHeight="1" s="95"/>
    <row r="908" ht="15.75" customHeight="1" s="95"/>
    <row r="909" ht="15.75" customHeight="1" s="95"/>
    <row r="910" ht="15.75" customHeight="1" s="95"/>
    <row r="911" ht="15.75" customHeight="1" s="95"/>
    <row r="912" ht="15.75" customHeight="1" s="95"/>
    <row r="913" ht="15.75" customHeight="1" s="95"/>
    <row r="914" ht="15.75" customHeight="1" s="95"/>
    <row r="915" ht="15.75" customHeight="1" s="95"/>
    <row r="916" ht="15.75" customHeight="1" s="95"/>
    <row r="917" ht="15.75" customHeight="1" s="95"/>
    <row r="918" ht="15.75" customHeight="1" s="95"/>
    <row r="919" ht="15.75" customHeight="1" s="95"/>
    <row r="920" ht="15.75" customHeight="1" s="95"/>
    <row r="921" ht="15.75" customHeight="1" s="95"/>
    <row r="922" ht="15.75" customHeight="1" s="95"/>
    <row r="923" ht="15.75" customHeight="1" s="95"/>
    <row r="924" ht="15.75" customHeight="1" s="95"/>
    <row r="925" ht="15.75" customHeight="1" s="95"/>
    <row r="926" ht="15.75" customHeight="1" s="95"/>
    <row r="927" ht="15.75" customHeight="1" s="95"/>
    <row r="928" ht="15.75" customHeight="1" s="95"/>
    <row r="929" ht="15.75" customHeight="1" s="95"/>
    <row r="930" ht="15.75" customHeight="1" s="95"/>
    <row r="931" ht="15.75" customHeight="1" s="95"/>
    <row r="932" ht="15.75" customHeight="1" s="95"/>
    <row r="933" ht="15.75" customHeight="1" s="95"/>
    <row r="934" ht="15.75" customHeight="1" s="95"/>
    <row r="935" ht="15.75" customHeight="1" s="95"/>
    <row r="936" ht="15.75" customHeight="1" s="95"/>
    <row r="937" ht="15.75" customHeight="1" s="95"/>
    <row r="938" ht="15.75" customHeight="1" s="95"/>
    <row r="939" ht="15.75" customHeight="1" s="95"/>
    <row r="940" ht="15.75" customHeight="1" s="95"/>
    <row r="941" ht="15.75" customHeight="1" s="95"/>
    <row r="942" ht="15.75" customHeight="1" s="95"/>
    <row r="943" ht="15.75" customHeight="1" s="95"/>
    <row r="944" ht="15.75" customHeight="1" s="95"/>
    <row r="945" ht="15.75" customHeight="1" s="95"/>
    <row r="946" ht="15.75" customHeight="1" s="95"/>
    <row r="947" ht="15.75" customHeight="1" s="95"/>
    <row r="948" ht="15.75" customHeight="1" s="95"/>
    <row r="949" ht="15.75" customHeight="1" s="95"/>
    <row r="950" ht="15.75" customHeight="1" s="95"/>
    <row r="951" ht="15.75" customHeight="1" s="95"/>
    <row r="952" ht="15.75" customHeight="1" s="95"/>
    <row r="953" ht="15.75" customHeight="1" s="95"/>
    <row r="954" ht="15.75" customHeight="1" s="95"/>
    <row r="955" ht="15.75" customHeight="1" s="95"/>
    <row r="956" ht="15.75" customHeight="1" s="95"/>
    <row r="957" ht="15.75" customHeight="1" s="95"/>
    <row r="958" ht="15.75" customHeight="1" s="95"/>
    <row r="959" ht="15.75" customHeight="1" s="95"/>
    <row r="960" ht="15.75" customHeight="1" s="95"/>
    <row r="961" ht="15.75" customHeight="1" s="95"/>
    <row r="962" ht="15.75" customHeight="1" s="95"/>
    <row r="963" ht="15.75" customHeight="1" s="95"/>
    <row r="964" ht="15.75" customHeight="1" s="95"/>
    <row r="965" ht="15.75" customHeight="1" s="95"/>
    <row r="966" ht="15.75" customHeight="1" s="95"/>
    <row r="967" ht="15.75" customHeight="1" s="95"/>
    <row r="968" ht="15.75" customHeight="1" s="95"/>
    <row r="969" ht="15.75" customHeight="1" s="95"/>
    <row r="970" ht="15.75" customHeight="1" s="95"/>
    <row r="971" ht="15.75" customHeight="1" s="95"/>
    <row r="972" ht="15.75" customHeight="1" s="95"/>
    <row r="973" ht="15.75" customHeight="1" s="95"/>
    <row r="974" ht="15.75" customHeight="1" s="95"/>
    <row r="975" ht="15.75" customHeight="1" s="95"/>
    <row r="976" ht="15.75" customHeight="1" s="95"/>
    <row r="977" ht="15.75" customHeight="1" s="95"/>
    <row r="978" ht="15.75" customHeight="1" s="95"/>
    <row r="979" ht="15.75" customHeight="1" s="95"/>
    <row r="980" ht="15.75" customHeight="1" s="95"/>
    <row r="981" ht="15.75" customHeight="1" s="95"/>
    <row r="982" ht="15.75" customHeight="1" s="95"/>
    <row r="983" ht="15.75" customHeight="1" s="95"/>
    <row r="984" ht="15.75" customHeight="1" s="95"/>
    <row r="985" ht="15.75" customHeight="1" s="95"/>
    <row r="986" ht="15.75" customHeight="1" s="95"/>
    <row r="987" ht="15.75" customHeight="1" s="95"/>
    <row r="988" ht="15.75" customHeight="1" s="95"/>
    <row r="989" ht="15.75" customHeight="1" s="95"/>
    <row r="990" ht="15.75" customHeight="1" s="95"/>
    <row r="991" ht="15.75" customHeight="1" s="95"/>
    <row r="992" ht="15.75" customHeight="1" s="95"/>
    <row r="993" ht="15.75" customHeight="1" s="95"/>
    <row r="994" ht="15.75" customHeight="1" s="95"/>
    <row r="995" ht="15.75" customHeight="1" s="95"/>
    <row r="996" ht="15.75" customHeight="1" s="95"/>
    <row r="997" ht="15.75" customHeight="1" s="95"/>
    <row r="998" ht="15.75" customHeight="1" s="95"/>
    <row r="999" ht="15.75" customHeight="1" s="95"/>
    <row r="1000" ht="15.75" customHeight="1" s="95"/>
  </sheetData>
  <mergeCells count="2">
    <mergeCell ref="A2:F2"/>
    <mergeCell ref="A1:F1"/>
  </mergeCells>
  <pageMargins left="0.7" right="0.7" top="0.75" bottom="0.75" header="0.3" footer="0.3"/>
  <tableParts count="1">
    <tablePart xmlns:r="http://schemas.openxmlformats.org/officeDocument/2006/relationships" r:id="rId1"/>
  </tableParts>
</worksheet>
</file>

<file path=xl/worksheets/sheet7.xml><?xml version="1.0" encoding="utf-8"?>
<worksheet xmlns="http://schemas.openxmlformats.org/spreadsheetml/2006/main">
  <sheetPr>
    <outlinePr summaryBelow="1" summaryRight="1"/>
    <pageSetUpPr/>
  </sheetPr>
  <dimension ref="A1:R354"/>
  <sheetViews>
    <sheetView workbookViewId="0">
      <selection activeCell="A1" sqref="A1"/>
    </sheetView>
  </sheetViews>
  <sheetFormatPr baseColWidth="8" defaultRowHeight="15"/>
  <cols>
    <col width="10" customWidth="1" style="95" min="1" max="1"/>
    <col width="40" customWidth="1" style="95" min="2" max="2"/>
    <col width="8" customWidth="1" style="95" min="3" max="3"/>
    <col width="12" customWidth="1" style="95" min="4" max="4"/>
    <col width="9" customWidth="1" style="95" min="5" max="5"/>
    <col width="15" customWidth="1" style="95" min="6" max="6"/>
    <col width="12" customWidth="1" style="95" min="7" max="7"/>
    <col width="11" customWidth="1" style="95" min="8" max="8"/>
    <col width="30" customWidth="1" style="95" min="9" max="9"/>
    <col width="14" customWidth="1" style="95" min="10" max="10"/>
    <col width="13" customWidth="1" style="95" min="11" max="11"/>
    <col width="28" customWidth="1" style="95" min="12" max="12"/>
    <col width="13" customWidth="1" style="95" min="13" max="13"/>
    <col width="12" customWidth="1" style="95" min="14" max="14"/>
    <col width="17" customWidth="1" style="95" min="15" max="15"/>
    <col width="50" customWidth="1" style="95" min="16" max="16"/>
    <col width="62" customWidth="1" style="95" min="17" max="17"/>
    <col width="34" customWidth="1" style="95" min="18" max="18"/>
  </cols>
  <sheetData>
    <row r="1" ht="23.25" customHeight="1" s="95">
      <c r="A1" s="108" t="inlineStr">
        <is>
          <t>🏆 ACADEMY AWARDS</t>
        </is>
      </c>
    </row>
    <row r="2">
      <c r="A2" s="107" t="inlineStr">
        <is>
          <t>Oscar history for every film in your collection. Filter by Best Picture, wins, acting, directing, writing or animated feature.</t>
        </is>
      </c>
    </row>
    <row r="4" ht="30" customHeight="1" s="95">
      <c r="A4" s="70" t="inlineStr">
        <is>
          <t>Film ID</t>
        </is>
      </c>
      <c r="B4" s="70" t="inlineStr">
        <is>
          <t>Title</t>
        </is>
      </c>
      <c r="C4" s="70" t="inlineStr">
        <is>
          <t>Year</t>
        </is>
      </c>
      <c r="D4" s="70" t="inlineStr">
        <is>
          <t>Nominations</t>
        </is>
      </c>
      <c r="E4" s="70" t="inlineStr">
        <is>
          <t>Wins</t>
        </is>
      </c>
      <c r="F4" s="70" t="inlineStr">
        <is>
          <t>Best Picture</t>
        </is>
      </c>
      <c r="G4" s="70" t="inlineStr">
        <is>
          <t>Acting Noms</t>
        </is>
      </c>
      <c r="H4" s="70" t="inlineStr">
        <is>
          <t>Acting Wins</t>
        </is>
      </c>
      <c r="I4" s="70" t="inlineStr">
        <is>
          <t>Acting Winner(s)</t>
        </is>
      </c>
      <c r="J4" s="70" t="inlineStr">
        <is>
          <t>Directing Noms</t>
        </is>
      </c>
      <c r="K4" s="70" t="inlineStr">
        <is>
          <t>Directing Wins</t>
        </is>
      </c>
      <c r="L4" s="70" t="inlineStr">
        <is>
          <t>Director Winner(s)</t>
        </is>
      </c>
      <c r="M4" s="70" t="inlineStr">
        <is>
          <t>Writing Noms</t>
        </is>
      </c>
      <c r="N4" s="70" t="inlineStr">
        <is>
          <t>Writing Wins</t>
        </is>
      </c>
      <c r="O4" s="70" t="inlineStr">
        <is>
          <t>Animated Feature</t>
        </is>
      </c>
      <c r="P4" s="70" t="inlineStr">
        <is>
          <t>Winning Categories</t>
        </is>
      </c>
      <c r="Q4" s="70" t="inlineStr">
        <is>
          <t>All Nominated Categories</t>
        </is>
      </c>
      <c r="R4" s="70" t="inlineStr">
        <is>
          <t>Source</t>
        </is>
      </c>
    </row>
    <row r="5">
      <c r="A5" t="inlineStr">
        <is>
          <t>F0001</t>
        </is>
      </c>
      <c r="B5" t="inlineStr">
        <is>
          <t>Casino Royale</t>
        </is>
      </c>
      <c r="C5" t="inlineStr">
        <is>
          <t>2006</t>
        </is>
      </c>
      <c r="D5" t="n">
        <v>0</v>
      </c>
      <c r="E5" t="n">
        <v>0</v>
      </c>
      <c r="G5" t="n">
        <v>0</v>
      </c>
      <c r="H5" t="n">
        <v>0</v>
      </c>
      <c r="I5" s="64" t="n"/>
      <c r="J5" s="64" t="n">
        <v>0</v>
      </c>
      <c r="K5" s="64" t="n">
        <v>0</v>
      </c>
      <c r="L5" s="64" t="n"/>
      <c r="M5" s="64" t="n">
        <v>0</v>
      </c>
      <c r="N5" s="64" t="n">
        <v>0</v>
      </c>
      <c r="O5" s="64" t="n"/>
      <c r="P5" s="64" t="n"/>
      <c r="Q5" s="64" t="n"/>
      <c r="R5" s="64" t="inlineStr">
        <is>
          <t>https://github.com/DLu/oscar_data</t>
        </is>
      </c>
    </row>
    <row r="6">
      <c r="A6" t="inlineStr">
        <is>
          <t>F0002</t>
        </is>
      </c>
      <c r="B6" t="inlineStr">
        <is>
          <t>Quantum of Solace</t>
        </is>
      </c>
      <c r="C6" t="inlineStr">
        <is>
          <t>2008</t>
        </is>
      </c>
      <c r="D6" t="n">
        <v>0</v>
      </c>
      <c r="E6" t="n">
        <v>0</v>
      </c>
      <c r="G6" t="n">
        <v>0</v>
      </c>
      <c r="H6" t="n">
        <v>0</v>
      </c>
      <c r="I6" s="64" t="n"/>
      <c r="J6" s="64" t="n">
        <v>0</v>
      </c>
      <c r="K6" s="64" t="n">
        <v>0</v>
      </c>
      <c r="L6" s="64" t="n"/>
      <c r="M6" s="64" t="n">
        <v>0</v>
      </c>
      <c r="N6" s="64" t="n">
        <v>0</v>
      </c>
      <c r="O6" s="64" t="n"/>
      <c r="P6" s="64" t="n"/>
      <c r="Q6" s="64" t="n"/>
      <c r="R6" s="64" t="inlineStr">
        <is>
          <t>https://github.com/DLu/oscar_data</t>
        </is>
      </c>
    </row>
    <row r="7" ht="30" customHeight="1" s="95">
      <c r="A7" t="inlineStr">
        <is>
          <t>F0003</t>
        </is>
      </c>
      <c r="B7" t="inlineStr">
        <is>
          <t>Skyfall</t>
        </is>
      </c>
      <c r="C7" t="inlineStr">
        <is>
          <t>2012</t>
        </is>
      </c>
      <c r="D7" t="n">
        <v>5</v>
      </c>
      <c r="E7" t="n">
        <v>2</v>
      </c>
      <c r="G7" t="n">
        <v>0</v>
      </c>
      <c r="H7" t="n">
        <v>0</v>
      </c>
      <c r="I7" s="64" t="n"/>
      <c r="J7" s="64" t="n">
        <v>0</v>
      </c>
      <c r="K7" s="64" t="n">
        <v>0</v>
      </c>
      <c r="L7" s="64" t="n"/>
      <c r="M7" s="64" t="n">
        <v>0</v>
      </c>
      <c r="N7" s="64" t="n">
        <v>0</v>
      </c>
      <c r="O7" s="64" t="n"/>
      <c r="P7" s="64" t="inlineStr">
        <is>
          <t>MUSIC (Original Song); SOUND EDITING</t>
        </is>
      </c>
      <c r="Q7" s="64" t="inlineStr">
        <is>
          <t>CINEMATOGRAPHY; MUSIC (Original Score); MUSIC (Original Song); SOUND EDITING; SOUND MIXING</t>
        </is>
      </c>
      <c r="R7" s="64" t="inlineStr">
        <is>
          <t>https://github.com/DLu/oscar_data</t>
        </is>
      </c>
    </row>
    <row r="8">
      <c r="A8" t="inlineStr">
        <is>
          <t>F0004</t>
        </is>
      </c>
      <c r="B8" t="inlineStr">
        <is>
          <t>Spectre</t>
        </is>
      </c>
      <c r="C8" t="inlineStr">
        <is>
          <t>2015</t>
        </is>
      </c>
      <c r="D8" t="n">
        <v>1</v>
      </c>
      <c r="E8" t="n">
        <v>1</v>
      </c>
      <c r="G8" t="n">
        <v>0</v>
      </c>
      <c r="H8" t="n">
        <v>0</v>
      </c>
      <c r="I8" s="64" t="n"/>
      <c r="J8" s="64" t="n">
        <v>0</v>
      </c>
      <c r="K8" s="64" t="n">
        <v>0</v>
      </c>
      <c r="L8" s="64" t="n"/>
      <c r="M8" s="64" t="n">
        <v>0</v>
      </c>
      <c r="N8" s="64" t="n">
        <v>0</v>
      </c>
      <c r="O8" s="64" t="n"/>
      <c r="P8" s="64" t="inlineStr">
        <is>
          <t>MUSIC (Original Song)</t>
        </is>
      </c>
      <c r="Q8" s="64" t="inlineStr">
        <is>
          <t>MUSIC (Original Song)</t>
        </is>
      </c>
      <c r="R8" s="64" t="inlineStr">
        <is>
          <t>https://github.com/DLu/oscar_data</t>
        </is>
      </c>
    </row>
    <row r="9">
      <c r="A9" t="inlineStr">
        <is>
          <t>F0005</t>
        </is>
      </c>
      <c r="B9" t="inlineStr">
        <is>
          <t>No Time to Die</t>
        </is>
      </c>
      <c r="C9" t="inlineStr">
        <is>
          <t>2021</t>
        </is>
      </c>
      <c r="D9" t="n">
        <v>3</v>
      </c>
      <c r="E9" t="n">
        <v>1</v>
      </c>
      <c r="G9" t="n">
        <v>0</v>
      </c>
      <c r="H9" t="n">
        <v>0</v>
      </c>
      <c r="I9" s="64" t="n"/>
      <c r="J9" s="64" t="n">
        <v>0</v>
      </c>
      <c r="K9" s="64" t="n">
        <v>0</v>
      </c>
      <c r="L9" s="64" t="n"/>
      <c r="M9" s="64" t="n">
        <v>0</v>
      </c>
      <c r="N9" s="64" t="n">
        <v>0</v>
      </c>
      <c r="O9" s="64" t="n"/>
      <c r="P9" s="64" t="inlineStr">
        <is>
          <t>MUSIC (Original Song)</t>
        </is>
      </c>
      <c r="Q9" s="64" t="inlineStr">
        <is>
          <t>MUSIC (Original Song); SOUND MIXING; VISUAL EFFECTS</t>
        </is>
      </c>
      <c r="R9" s="64" t="inlineStr">
        <is>
          <t>https://github.com/DLu/oscar_data</t>
        </is>
      </c>
    </row>
    <row r="10">
      <c r="A10" t="inlineStr">
        <is>
          <t>F0006</t>
        </is>
      </c>
      <c r="B10" t="inlineStr">
        <is>
          <t>2012</t>
        </is>
      </c>
      <c r="C10" t="inlineStr">
        <is>
          <t>2009</t>
        </is>
      </c>
      <c r="D10" t="n">
        <v>0</v>
      </c>
      <c r="E10" t="n">
        <v>0</v>
      </c>
      <c r="G10" t="n">
        <v>0</v>
      </c>
      <c r="H10" t="n">
        <v>0</v>
      </c>
      <c r="I10" s="64" t="n"/>
      <c r="J10" s="64" t="n">
        <v>0</v>
      </c>
      <c r="K10" s="64" t="n">
        <v>0</v>
      </c>
      <c r="L10" s="64" t="n"/>
      <c r="M10" s="64" t="n">
        <v>0</v>
      </c>
      <c r="N10" s="64" t="n">
        <v>0</v>
      </c>
      <c r="O10" s="64" t="n"/>
      <c r="P10" s="64" t="n"/>
      <c r="Q10" s="64" t="n"/>
      <c r="R10" s="64" t="inlineStr">
        <is>
          <t>https://github.com/DLu/oscar_data</t>
        </is>
      </c>
    </row>
    <row r="11">
      <c r="A11" t="inlineStr">
        <is>
          <t>F0007</t>
        </is>
      </c>
      <c r="B11" t="inlineStr">
        <is>
          <t>21 Jump Street</t>
        </is>
      </c>
      <c r="C11" t="inlineStr">
        <is>
          <t>2012</t>
        </is>
      </c>
      <c r="D11" t="n">
        <v>0</v>
      </c>
      <c r="E11" t="n">
        <v>0</v>
      </c>
      <c r="G11" t="n">
        <v>0</v>
      </c>
      <c r="H11" t="n">
        <v>0</v>
      </c>
      <c r="I11" s="64" t="n"/>
      <c r="J11" s="64" t="n">
        <v>0</v>
      </c>
      <c r="K11" s="64" t="n">
        <v>0</v>
      </c>
      <c r="L11" s="64" t="n"/>
      <c r="M11" s="64" t="n">
        <v>0</v>
      </c>
      <c r="N11" s="64" t="n">
        <v>0</v>
      </c>
      <c r="O11" s="64" t="n"/>
      <c r="P11" s="64" t="n"/>
      <c r="Q11" s="64" t="n"/>
      <c r="R11" s="64" t="inlineStr">
        <is>
          <t>https://github.com/DLu/oscar_data</t>
        </is>
      </c>
    </row>
    <row r="12">
      <c r="A12" t="inlineStr">
        <is>
          <t>F0008</t>
        </is>
      </c>
      <c r="B12" t="inlineStr">
        <is>
          <t>22 Jump Street</t>
        </is>
      </c>
      <c r="C12" t="inlineStr">
        <is>
          <t>2014</t>
        </is>
      </c>
      <c r="D12" t="n">
        <v>0</v>
      </c>
      <c r="E12" t="n">
        <v>0</v>
      </c>
      <c r="G12" t="n">
        <v>0</v>
      </c>
      <c r="H12" t="n">
        <v>0</v>
      </c>
      <c r="I12" s="64" t="n"/>
      <c r="J12" s="64" t="n">
        <v>0</v>
      </c>
      <c r="K12" s="64" t="n">
        <v>0</v>
      </c>
      <c r="L12" s="64" t="n"/>
      <c r="M12" s="64" t="n">
        <v>0</v>
      </c>
      <c r="N12" s="64" t="n">
        <v>0</v>
      </c>
      <c r="O12" s="64" t="n"/>
      <c r="P12" s="64" t="n"/>
      <c r="Q12" s="64" t="n"/>
      <c r="R12" s="64" t="inlineStr">
        <is>
          <t>https://github.com/DLu/oscar_data</t>
        </is>
      </c>
    </row>
    <row r="13">
      <c r="A13" t="inlineStr">
        <is>
          <t>F0009</t>
        </is>
      </c>
      <c r="B13" t="inlineStr">
        <is>
          <t>30 Minutes or Less</t>
        </is>
      </c>
      <c r="C13" t="inlineStr">
        <is>
          <t>2011</t>
        </is>
      </c>
      <c r="D13" t="n">
        <v>0</v>
      </c>
      <c r="E13" t="n">
        <v>0</v>
      </c>
      <c r="G13" t="n">
        <v>0</v>
      </c>
      <c r="H13" t="n">
        <v>0</v>
      </c>
      <c r="I13" s="64" t="n"/>
      <c r="J13" s="64" t="n">
        <v>0</v>
      </c>
      <c r="K13" s="64" t="n">
        <v>0</v>
      </c>
      <c r="L13" s="64" t="n"/>
      <c r="M13" s="64" t="n">
        <v>0</v>
      </c>
      <c r="N13" s="64" t="n">
        <v>0</v>
      </c>
      <c r="O13" s="64" t="n"/>
      <c r="P13" s="64" t="n"/>
      <c r="Q13" s="64" t="n"/>
      <c r="R13" s="64" t="inlineStr">
        <is>
          <t>https://github.com/DLu/oscar_data</t>
        </is>
      </c>
    </row>
    <row r="14">
      <c r="A14" t="inlineStr">
        <is>
          <t>F0010</t>
        </is>
      </c>
      <c r="B14" t="inlineStr">
        <is>
          <t>44 Inch Chest</t>
        </is>
      </c>
      <c r="C14" t="inlineStr">
        <is>
          <t>2009</t>
        </is>
      </c>
      <c r="D14" t="n">
        <v>0</v>
      </c>
      <c r="E14" t="n">
        <v>0</v>
      </c>
      <c r="G14" t="n">
        <v>0</v>
      </c>
      <c r="H14" t="n">
        <v>0</v>
      </c>
      <c r="I14" s="64" t="n"/>
      <c r="J14" s="64" t="n">
        <v>0</v>
      </c>
      <c r="K14" s="64" t="n">
        <v>0</v>
      </c>
      <c r="L14" s="64" t="n"/>
      <c r="M14" s="64" t="n">
        <v>0</v>
      </c>
      <c r="N14" s="64" t="n">
        <v>0</v>
      </c>
      <c r="O14" s="64" t="n"/>
      <c r="P14" s="64" t="n"/>
      <c r="Q14" s="64" t="n"/>
      <c r="R14" s="64" t="inlineStr">
        <is>
          <t>https://github.com/DLu/oscar_data</t>
        </is>
      </c>
    </row>
    <row r="15">
      <c r="A15" t="inlineStr">
        <is>
          <t>F0011</t>
        </is>
      </c>
      <c r="B15" t="inlineStr">
        <is>
          <t>50/50</t>
        </is>
      </c>
      <c r="C15" t="inlineStr">
        <is>
          <t>2011</t>
        </is>
      </c>
      <c r="D15" t="n">
        <v>0</v>
      </c>
      <c r="E15" t="n">
        <v>0</v>
      </c>
      <c r="G15" t="n">
        <v>0</v>
      </c>
      <c r="H15" t="n">
        <v>0</v>
      </c>
      <c r="I15" s="64" t="n"/>
      <c r="J15" s="64" t="n">
        <v>0</v>
      </c>
      <c r="K15" s="64" t="n">
        <v>0</v>
      </c>
      <c r="L15" s="64" t="n"/>
      <c r="M15" s="64" t="n">
        <v>0</v>
      </c>
      <c r="N15" s="64" t="n">
        <v>0</v>
      </c>
      <c r="O15" s="64" t="n"/>
      <c r="P15" s="64" t="n"/>
      <c r="Q15" s="64" t="n"/>
      <c r="R15" s="64" t="inlineStr">
        <is>
          <t>https://github.com/DLu/oscar_data</t>
        </is>
      </c>
    </row>
    <row r="16">
      <c r="A16" t="inlineStr">
        <is>
          <t>F0012</t>
        </is>
      </c>
      <c r="B16" t="inlineStr">
        <is>
          <t>A Bug's Life</t>
        </is>
      </c>
      <c r="C16" t="inlineStr">
        <is>
          <t>1998</t>
        </is>
      </c>
      <c r="D16" t="n">
        <v>1</v>
      </c>
      <c r="E16" t="n">
        <v>0</v>
      </c>
      <c r="G16" t="n">
        <v>0</v>
      </c>
      <c r="H16" t="n">
        <v>0</v>
      </c>
      <c r="I16" s="64" t="n"/>
      <c r="J16" s="64" t="n">
        <v>0</v>
      </c>
      <c r="K16" s="64" t="n">
        <v>0</v>
      </c>
      <c r="L16" s="64" t="n"/>
      <c r="M16" s="64" t="n">
        <v>0</v>
      </c>
      <c r="N16" s="64" t="n">
        <v>0</v>
      </c>
      <c r="O16" s="64" t="n"/>
      <c r="P16" s="64" t="n"/>
      <c r="Q16" s="64" t="inlineStr">
        <is>
          <t>MUSIC (Original Song Score or Adaptation Score)</t>
        </is>
      </c>
      <c r="R16" s="64" t="inlineStr">
        <is>
          <t>https://github.com/DLu/oscar_data</t>
        </is>
      </c>
    </row>
    <row r="17">
      <c r="A17" t="inlineStr">
        <is>
          <t>F0013</t>
        </is>
      </c>
      <c r="B17" t="inlineStr">
        <is>
          <t>The Accountant</t>
        </is>
      </c>
      <c r="C17" t="inlineStr">
        <is>
          <t>2016</t>
        </is>
      </c>
      <c r="D17" t="n">
        <v>0</v>
      </c>
      <c r="E17" t="n">
        <v>0</v>
      </c>
      <c r="G17" t="n">
        <v>0</v>
      </c>
      <c r="H17" t="n">
        <v>0</v>
      </c>
      <c r="I17" s="64" t="n"/>
      <c r="J17" s="64" t="n">
        <v>0</v>
      </c>
      <c r="K17" s="64" t="n">
        <v>0</v>
      </c>
      <c r="L17" s="64" t="n"/>
      <c r="M17" s="64" t="n">
        <v>0</v>
      </c>
      <c r="N17" s="64" t="n">
        <v>0</v>
      </c>
      <c r="O17" s="64" t="n"/>
      <c r="P17" s="64" t="n"/>
      <c r="Q17" s="64" t="n"/>
      <c r="R17" s="64" t="inlineStr">
        <is>
          <t>https://github.com/DLu/oscar_data</t>
        </is>
      </c>
    </row>
    <row r="18">
      <c r="A18" t="inlineStr">
        <is>
          <t>F0014</t>
        </is>
      </c>
      <c r="B18" t="inlineStr">
        <is>
          <t>Alan Partridge: Alpha Papa</t>
        </is>
      </c>
      <c r="C18" t="inlineStr">
        <is>
          <t>2013</t>
        </is>
      </c>
      <c r="D18" t="n">
        <v>0</v>
      </c>
      <c r="E18" t="n">
        <v>0</v>
      </c>
      <c r="G18" t="n">
        <v>0</v>
      </c>
      <c r="H18" t="n">
        <v>0</v>
      </c>
      <c r="I18" s="64" t="n"/>
      <c r="J18" s="64" t="n">
        <v>0</v>
      </c>
      <c r="K18" s="64" t="n">
        <v>0</v>
      </c>
      <c r="L18" s="64" t="n"/>
      <c r="M18" s="64" t="n">
        <v>0</v>
      </c>
      <c r="N18" s="64" t="n">
        <v>0</v>
      </c>
      <c r="O18" s="64" t="n"/>
      <c r="P18" s="64" t="n"/>
      <c r="Q18" s="64" t="n"/>
      <c r="R18" s="64" t="inlineStr">
        <is>
          <t>https://github.com/DLu/oscar_data</t>
        </is>
      </c>
    </row>
    <row r="19">
      <c r="A19" t="inlineStr">
        <is>
          <t>F0015</t>
        </is>
      </c>
      <c r="B19" t="inlineStr">
        <is>
          <t>Alien</t>
        </is>
      </c>
      <c r="C19" t="inlineStr">
        <is>
          <t>1979</t>
        </is>
      </c>
      <c r="D19" t="n">
        <v>2</v>
      </c>
      <c r="E19" t="n">
        <v>1</v>
      </c>
      <c r="G19" t="n">
        <v>0</v>
      </c>
      <c r="H19" t="n">
        <v>0</v>
      </c>
      <c r="I19" s="64" t="n"/>
      <c r="J19" s="64" t="n">
        <v>0</v>
      </c>
      <c r="K19" s="64" t="n">
        <v>0</v>
      </c>
      <c r="L19" s="64" t="n"/>
      <c r="M19" s="64" t="n">
        <v>0</v>
      </c>
      <c r="N19" s="64" t="n">
        <v>0</v>
      </c>
      <c r="O19" s="64" t="n"/>
      <c r="P19" s="64" t="inlineStr">
        <is>
          <t>VISUAL EFFECTS</t>
        </is>
      </c>
      <c r="Q19" s="64" t="inlineStr">
        <is>
          <t>ART DIRECTION; VISUAL EFFECTS</t>
        </is>
      </c>
      <c r="R19" s="64" t="inlineStr">
        <is>
          <t>https://github.com/DLu/oscar_data</t>
        </is>
      </c>
    </row>
    <row r="20" ht="30" customHeight="1" s="95">
      <c r="A20" t="inlineStr">
        <is>
          <t>F0016</t>
        </is>
      </c>
      <c r="B20" t="inlineStr">
        <is>
          <t>Aliens</t>
        </is>
      </c>
      <c r="C20" t="inlineStr">
        <is>
          <t>1986</t>
        </is>
      </c>
      <c r="D20" t="n">
        <v>7</v>
      </c>
      <c r="E20" t="n">
        <v>2</v>
      </c>
      <c r="G20" t="n">
        <v>1</v>
      </c>
      <c r="H20" t="n">
        <v>0</v>
      </c>
      <c r="I20" s="64" t="n"/>
      <c r="J20" s="64" t="n">
        <v>0</v>
      </c>
      <c r="K20" s="64" t="n">
        <v>0</v>
      </c>
      <c r="L20" s="64" t="n"/>
      <c r="M20" s="64" t="n">
        <v>0</v>
      </c>
      <c r="N20" s="64" t="n">
        <v>0</v>
      </c>
      <c r="O20" s="64" t="n"/>
      <c r="P20" s="64" t="inlineStr">
        <is>
          <t>SOUND EDITING; VISUAL EFFECTS</t>
        </is>
      </c>
      <c r="Q20" s="64" t="inlineStr">
        <is>
          <t>ACTRESS IN A LEADING ROLE; ART DIRECTION; FILM EDITING; MUSIC (Original Score); SOUND MIXING; SOUND EDITING; VISUAL EFFECTS</t>
        </is>
      </c>
      <c r="R20" s="64" t="inlineStr">
        <is>
          <t>https://github.com/DLu/oscar_data</t>
        </is>
      </c>
    </row>
    <row r="21">
      <c r="A21" t="inlineStr">
        <is>
          <t>F0017</t>
        </is>
      </c>
      <c r="B21" t="inlineStr">
        <is>
          <t>Alien³</t>
        </is>
      </c>
      <c r="C21" t="inlineStr">
        <is>
          <t>1992</t>
        </is>
      </c>
      <c r="D21" t="n">
        <v>0</v>
      </c>
      <c r="E21" t="n">
        <v>0</v>
      </c>
      <c r="G21" t="n">
        <v>0</v>
      </c>
      <c r="H21" t="n">
        <v>0</v>
      </c>
      <c r="I21" s="64" t="n"/>
      <c r="J21" s="64" t="n">
        <v>0</v>
      </c>
      <c r="K21" s="64" t="n">
        <v>0</v>
      </c>
      <c r="L21" s="64" t="n"/>
      <c r="M21" s="64" t="n">
        <v>0</v>
      </c>
      <c r="N21" s="64" t="n">
        <v>0</v>
      </c>
      <c r="O21" s="64" t="n"/>
      <c r="P21" s="64" t="n"/>
      <c r="Q21" s="64" t="n"/>
      <c r="R21" s="64" t="inlineStr">
        <is>
          <t>https://github.com/DLu/oscar_data</t>
        </is>
      </c>
    </row>
    <row r="22">
      <c r="A22" t="inlineStr">
        <is>
          <t>F0018</t>
        </is>
      </c>
      <c r="B22" t="inlineStr">
        <is>
          <t>Alien Resurrection</t>
        </is>
      </c>
      <c r="C22" t="inlineStr">
        <is>
          <t>1997</t>
        </is>
      </c>
      <c r="D22" t="n">
        <v>0</v>
      </c>
      <c r="E22" t="n">
        <v>0</v>
      </c>
      <c r="G22" t="n">
        <v>0</v>
      </c>
      <c r="H22" t="n">
        <v>0</v>
      </c>
      <c r="I22" s="64" t="n"/>
      <c r="J22" s="64" t="n">
        <v>0</v>
      </c>
      <c r="K22" s="64" t="n">
        <v>0</v>
      </c>
      <c r="L22" s="64" t="n"/>
      <c r="M22" s="64" t="n">
        <v>0</v>
      </c>
      <c r="N22" s="64" t="n">
        <v>0</v>
      </c>
      <c r="O22" s="64" t="n"/>
      <c r="P22" s="64" t="n"/>
      <c r="Q22" s="64" t="n"/>
      <c r="R22" s="64" t="inlineStr">
        <is>
          <t>https://github.com/DLu/oscar_data</t>
        </is>
      </c>
    </row>
    <row r="23">
      <c r="A23" t="inlineStr">
        <is>
          <t>F0019</t>
        </is>
      </c>
      <c r="B23" t="inlineStr">
        <is>
          <t>The Amazing Spider-Man</t>
        </is>
      </c>
      <c r="C23" t="inlineStr">
        <is>
          <t>2012</t>
        </is>
      </c>
      <c r="D23" t="n">
        <v>0</v>
      </c>
      <c r="E23" t="n">
        <v>0</v>
      </c>
      <c r="G23" t="n">
        <v>0</v>
      </c>
      <c r="H23" t="n">
        <v>0</v>
      </c>
      <c r="I23" s="64" t="n"/>
      <c r="J23" s="64" t="n">
        <v>0</v>
      </c>
      <c r="K23" s="64" t="n">
        <v>0</v>
      </c>
      <c r="L23" s="64" t="n"/>
      <c r="M23" s="64" t="n">
        <v>0</v>
      </c>
      <c r="N23" s="64" t="n">
        <v>0</v>
      </c>
      <c r="O23" s="64" t="n"/>
      <c r="P23" s="64" t="n"/>
      <c r="Q23" s="64" t="n"/>
      <c r="R23" s="64" t="inlineStr">
        <is>
          <t>https://github.com/DLu/oscar_data</t>
        </is>
      </c>
    </row>
    <row r="24" ht="60" customHeight="1" s="95">
      <c r="A24" t="inlineStr">
        <is>
          <t>F0020</t>
        </is>
      </c>
      <c r="B24" t="inlineStr">
        <is>
          <t>American Hustle</t>
        </is>
      </c>
      <c r="C24" t="inlineStr">
        <is>
          <t>2013</t>
        </is>
      </c>
      <c r="D24" t="n">
        <v>10</v>
      </c>
      <c r="E24" t="n">
        <v>0</v>
      </c>
      <c r="F24" t="inlineStr">
        <is>
          <t>Nominated</t>
        </is>
      </c>
      <c r="G24" t="n">
        <v>4</v>
      </c>
      <c r="H24" t="n">
        <v>0</v>
      </c>
      <c r="I24" s="64" t="n"/>
      <c r="J24" s="64" t="n">
        <v>1</v>
      </c>
      <c r="K24" s="64" t="n">
        <v>0</v>
      </c>
      <c r="L24" s="64" t="n"/>
      <c r="M24" s="64" t="n">
        <v>1</v>
      </c>
      <c r="N24" s="64" t="n">
        <v>0</v>
      </c>
      <c r="O24" s="64" t="n"/>
      <c r="P24" s="64" t="n"/>
      <c r="Q24" s="64" t="inlineStr">
        <is>
          <t>ACTOR IN A LEADING ROLE; ACTOR IN A SUPPORTING ROLE; ACTRESS IN A LEADING ROLE; ACTRESS IN A SUPPORTING ROLE; COSTUME DESIGN; DIRECTING; FILM EDITING; BEST PICTURE; ART DIRECTION; WRITING (Original Screenplay)</t>
        </is>
      </c>
      <c r="R24" s="64" t="inlineStr">
        <is>
          <t>https://github.com/DLu/oscar_data</t>
        </is>
      </c>
    </row>
    <row r="25">
      <c r="A25" t="inlineStr">
        <is>
          <t>F0021</t>
        </is>
      </c>
      <c r="B25" t="inlineStr">
        <is>
          <t>A Million Ways to Die in the West</t>
        </is>
      </c>
      <c r="C25" t="inlineStr">
        <is>
          <t>2014</t>
        </is>
      </c>
      <c r="D25" t="n">
        <v>0</v>
      </c>
      <c r="E25" t="n">
        <v>0</v>
      </c>
      <c r="G25" t="n">
        <v>0</v>
      </c>
      <c r="H25" t="n">
        <v>0</v>
      </c>
      <c r="I25" s="64" t="n"/>
      <c r="J25" s="64" t="n">
        <v>0</v>
      </c>
      <c r="K25" s="64" t="n">
        <v>0</v>
      </c>
      <c r="L25" s="64" t="n"/>
      <c r="M25" s="64" t="n">
        <v>0</v>
      </c>
      <c r="N25" s="64" t="n">
        <v>0</v>
      </c>
      <c r="O25" s="64" t="n"/>
      <c r="P25" s="64" t="n"/>
      <c r="Q25" s="64" t="n"/>
      <c r="R25" s="64" t="inlineStr">
        <is>
          <t>https://github.com/DLu/oscar_data</t>
        </is>
      </c>
    </row>
    <row r="26">
      <c r="A26" t="inlineStr">
        <is>
          <t>F0022</t>
        </is>
      </c>
      <c r="B26" t="inlineStr">
        <is>
          <t>Anchorman: The Legend of Ron Burgundy</t>
        </is>
      </c>
      <c r="C26" t="inlineStr">
        <is>
          <t>2004</t>
        </is>
      </c>
      <c r="D26" t="n">
        <v>0</v>
      </c>
      <c r="E26" t="n">
        <v>0</v>
      </c>
      <c r="G26" t="n">
        <v>0</v>
      </c>
      <c r="H26" t="n">
        <v>0</v>
      </c>
      <c r="I26" s="64" t="n"/>
      <c r="J26" s="64" t="n">
        <v>0</v>
      </c>
      <c r="K26" s="64" t="n">
        <v>0</v>
      </c>
      <c r="L26" s="64" t="n"/>
      <c r="M26" s="64" t="n">
        <v>0</v>
      </c>
      <c r="N26" s="64" t="n">
        <v>0</v>
      </c>
      <c r="O26" s="64" t="n"/>
      <c r="P26" s="64" t="n"/>
      <c r="Q26" s="64" t="n"/>
      <c r="R26" s="64" t="inlineStr">
        <is>
          <t>https://github.com/DLu/oscar_data</t>
        </is>
      </c>
    </row>
    <row r="27">
      <c r="A27" t="inlineStr">
        <is>
          <t>F0023</t>
        </is>
      </c>
      <c r="B27" t="inlineStr">
        <is>
          <t>Angels &amp; Demons</t>
        </is>
      </c>
      <c r="C27" t="inlineStr">
        <is>
          <t>2009</t>
        </is>
      </c>
      <c r="D27" t="n">
        <v>0</v>
      </c>
      <c r="E27" t="n">
        <v>0</v>
      </c>
      <c r="G27" t="n">
        <v>0</v>
      </c>
      <c r="H27" t="n">
        <v>0</v>
      </c>
      <c r="I27" s="64" t="n"/>
      <c r="J27" s="64" t="n">
        <v>0</v>
      </c>
      <c r="K27" s="64" t="n">
        <v>0</v>
      </c>
      <c r="L27" s="64" t="n"/>
      <c r="M27" s="64" t="n">
        <v>0</v>
      </c>
      <c r="N27" s="64" t="n">
        <v>0</v>
      </c>
      <c r="O27" s="64" t="n"/>
      <c r="P27" s="64" t="n"/>
      <c r="Q27" s="64" t="n"/>
      <c r="R27" s="64" t="inlineStr">
        <is>
          <t>https://github.com/DLu/oscar_data</t>
        </is>
      </c>
    </row>
    <row r="28">
      <c r="A28" t="inlineStr">
        <is>
          <t>F0024</t>
        </is>
      </c>
      <c r="B28" t="inlineStr">
        <is>
          <t>Anuvahood</t>
        </is>
      </c>
      <c r="C28" t="inlineStr">
        <is>
          <t>2011</t>
        </is>
      </c>
      <c r="D28" t="n">
        <v>0</v>
      </c>
      <c r="E28" t="n">
        <v>0</v>
      </c>
      <c r="G28" t="n">
        <v>0</v>
      </c>
      <c r="H28" t="n">
        <v>0</v>
      </c>
      <c r="I28" s="64" t="n"/>
      <c r="J28" s="64" t="n">
        <v>0</v>
      </c>
      <c r="K28" s="64" t="n">
        <v>0</v>
      </c>
      <c r="L28" s="64" t="n"/>
      <c r="M28" s="64" t="n">
        <v>0</v>
      </c>
      <c r="N28" s="64" t="n">
        <v>0</v>
      </c>
      <c r="O28" s="64" t="n"/>
      <c r="P28" s="64" t="n"/>
      <c r="Q28" s="64" t="n"/>
      <c r="R28" s="64" t="inlineStr">
        <is>
          <t>https://github.com/DLu/oscar_data</t>
        </is>
      </c>
    </row>
    <row r="29" ht="45" customHeight="1" s="95">
      <c r="A29" t="inlineStr">
        <is>
          <t>F0025</t>
        </is>
      </c>
      <c r="B29" t="inlineStr">
        <is>
          <t>Argo</t>
        </is>
      </c>
      <c r="C29" t="inlineStr">
        <is>
          <t>2012</t>
        </is>
      </c>
      <c r="D29" t="n">
        <v>7</v>
      </c>
      <c r="E29" t="n">
        <v>3</v>
      </c>
      <c r="F29" t="inlineStr">
        <is>
          <t>Winner</t>
        </is>
      </c>
      <c r="G29" t="n">
        <v>1</v>
      </c>
      <c r="H29" t="n">
        <v>0</v>
      </c>
      <c r="I29" s="64" t="n"/>
      <c r="J29" s="64" t="n">
        <v>0</v>
      </c>
      <c r="K29" s="64" t="n">
        <v>0</v>
      </c>
      <c r="L29" s="64" t="n"/>
      <c r="M29" s="64" t="n">
        <v>1</v>
      </c>
      <c r="N29" s="64" t="n">
        <v>1</v>
      </c>
      <c r="O29" s="64" t="n"/>
      <c r="P29" s="64" t="inlineStr">
        <is>
          <t>FILM EDITING; BEST PICTURE; WRITING (Adapted Screenplay)</t>
        </is>
      </c>
      <c r="Q29" s="64" t="inlineStr">
        <is>
          <t>ACTOR IN A SUPPORTING ROLE; FILM EDITING; MUSIC (Original Score); BEST PICTURE; SOUND EDITING; SOUND MIXING; WRITING (Adapted Screenplay)</t>
        </is>
      </c>
      <c r="R29" s="64" t="inlineStr">
        <is>
          <t>https://github.com/DLu/oscar_data</t>
        </is>
      </c>
    </row>
    <row r="30">
      <c r="A30" t="inlineStr">
        <is>
          <t>F0026</t>
        </is>
      </c>
      <c r="B30" t="inlineStr">
        <is>
          <t>The A-Team</t>
        </is>
      </c>
      <c r="C30" t="inlineStr">
        <is>
          <t>2010</t>
        </is>
      </c>
      <c r="D30" t="n">
        <v>0</v>
      </c>
      <c r="E30" t="n">
        <v>0</v>
      </c>
      <c r="G30" t="n">
        <v>0</v>
      </c>
      <c r="H30" t="n">
        <v>0</v>
      </c>
      <c r="I30" s="64" t="n"/>
      <c r="J30" s="64" t="n">
        <v>0</v>
      </c>
      <c r="K30" s="64" t="n">
        <v>0</v>
      </c>
      <c r="L30" s="64" t="n"/>
      <c r="M30" s="64" t="n">
        <v>0</v>
      </c>
      <c r="N30" s="64" t="n">
        <v>0</v>
      </c>
      <c r="O30" s="64" t="n"/>
      <c r="P30" s="64" t="n"/>
      <c r="Q30" s="64" t="n"/>
      <c r="R30" s="64" t="inlineStr">
        <is>
          <t>https://github.com/DLu/oscar_data</t>
        </is>
      </c>
    </row>
    <row r="31">
      <c r="A31" t="inlineStr">
        <is>
          <t>F0027</t>
        </is>
      </c>
      <c r="B31" t="inlineStr">
        <is>
          <t>Attack the Block</t>
        </is>
      </c>
      <c r="C31" t="inlineStr">
        <is>
          <t>2011</t>
        </is>
      </c>
      <c r="D31" t="n">
        <v>0</v>
      </c>
      <c r="E31" t="n">
        <v>0</v>
      </c>
      <c r="G31" t="n">
        <v>0</v>
      </c>
      <c r="H31" t="n">
        <v>0</v>
      </c>
      <c r="I31" s="64" t="n"/>
      <c r="J31" s="64" t="n">
        <v>0</v>
      </c>
      <c r="K31" s="64" t="n">
        <v>0</v>
      </c>
      <c r="L31" s="64" t="n"/>
      <c r="M31" s="64" t="n">
        <v>0</v>
      </c>
      <c r="N31" s="64" t="n">
        <v>0</v>
      </c>
      <c r="O31" s="64" t="n"/>
      <c r="P31" s="64" t="n"/>
      <c r="Q31" s="64" t="n"/>
      <c r="R31" s="64" t="inlineStr">
        <is>
          <t>https://github.com/DLu/oscar_data</t>
        </is>
      </c>
    </row>
    <row r="32" ht="45" customHeight="1" s="95">
      <c r="A32" t="inlineStr">
        <is>
          <t>F0028</t>
        </is>
      </c>
      <c r="B32" t="inlineStr">
        <is>
          <t>Avatar</t>
        </is>
      </c>
      <c r="C32" t="inlineStr">
        <is>
          <t>2009</t>
        </is>
      </c>
      <c r="D32" t="n">
        <v>9</v>
      </c>
      <c r="E32" t="n">
        <v>3</v>
      </c>
      <c r="F32" t="inlineStr">
        <is>
          <t>Nominated</t>
        </is>
      </c>
      <c r="G32" t="n">
        <v>0</v>
      </c>
      <c r="H32" t="n">
        <v>0</v>
      </c>
      <c r="I32" s="64" t="n"/>
      <c r="J32" s="64" t="n">
        <v>1</v>
      </c>
      <c r="K32" s="64" t="n">
        <v>0</v>
      </c>
      <c r="L32" s="64" t="n"/>
      <c r="M32" s="64" t="n">
        <v>0</v>
      </c>
      <c r="N32" s="64" t="n">
        <v>0</v>
      </c>
      <c r="O32" s="64" t="n"/>
      <c r="P32" s="64" t="inlineStr">
        <is>
          <t>ART DIRECTION; CINEMATOGRAPHY; VISUAL EFFECTS</t>
        </is>
      </c>
      <c r="Q32" s="64" t="inlineStr">
        <is>
          <t>ART DIRECTION; CINEMATOGRAPHY; DIRECTING; FILM EDITING; MUSIC (Original Score); BEST PICTURE; SOUND EDITING; SOUND MIXING; VISUAL EFFECTS</t>
        </is>
      </c>
      <c r="R32" s="64" t="inlineStr">
        <is>
          <t>https://github.com/DLu/oscar_data</t>
        </is>
      </c>
    </row>
    <row r="33">
      <c r="A33" t="inlineStr">
        <is>
          <t>F0029</t>
        </is>
      </c>
      <c r="B33" t="inlineStr">
        <is>
          <t>The Avengers</t>
        </is>
      </c>
      <c r="C33" t="inlineStr">
        <is>
          <t>2012</t>
        </is>
      </c>
      <c r="D33" t="n">
        <v>1</v>
      </c>
      <c r="E33" t="n">
        <v>0</v>
      </c>
      <c r="G33" t="n">
        <v>0</v>
      </c>
      <c r="H33" t="n">
        <v>0</v>
      </c>
      <c r="I33" s="64" t="n"/>
      <c r="J33" s="64" t="n">
        <v>0</v>
      </c>
      <c r="K33" s="64" t="n">
        <v>0</v>
      </c>
      <c r="L33" s="64" t="n"/>
      <c r="M33" s="64" t="n">
        <v>0</v>
      </c>
      <c r="N33" s="64" t="n">
        <v>0</v>
      </c>
      <c r="O33" s="64" t="n"/>
      <c r="P33" s="64" t="n"/>
      <c r="Q33" s="64" t="inlineStr">
        <is>
          <t>VISUAL EFFECTS</t>
        </is>
      </c>
      <c r="R33" s="64" t="inlineStr">
        <is>
          <t>https://github.com/DLu/oscar_data</t>
        </is>
      </c>
    </row>
    <row r="34">
      <c r="A34" t="inlineStr">
        <is>
          <t>F0030</t>
        </is>
      </c>
      <c r="B34" t="inlineStr">
        <is>
          <t>Avengers: Infinity War</t>
        </is>
      </c>
      <c r="C34" t="inlineStr">
        <is>
          <t>2018</t>
        </is>
      </c>
      <c r="D34" t="n">
        <v>1</v>
      </c>
      <c r="E34" t="n">
        <v>0</v>
      </c>
      <c r="G34" t="n">
        <v>0</v>
      </c>
      <c r="H34" t="n">
        <v>0</v>
      </c>
      <c r="I34" s="64" t="n"/>
      <c r="J34" s="64" t="n">
        <v>0</v>
      </c>
      <c r="K34" s="64" t="n">
        <v>0</v>
      </c>
      <c r="L34" s="64" t="n"/>
      <c r="M34" s="64" t="n">
        <v>0</v>
      </c>
      <c r="N34" s="64" t="n">
        <v>0</v>
      </c>
      <c r="O34" s="64" t="n"/>
      <c r="P34" s="64" t="n"/>
      <c r="Q34" s="64" t="inlineStr">
        <is>
          <t>VISUAL EFFECTS</t>
        </is>
      </c>
      <c r="R34" s="64" t="inlineStr">
        <is>
          <t>https://github.com/DLu/oscar_data</t>
        </is>
      </c>
    </row>
    <row r="35">
      <c r="A35" t="inlineStr">
        <is>
          <t>F0031</t>
        </is>
      </c>
      <c r="B35" t="inlineStr">
        <is>
          <t>Avengers: Endgame</t>
        </is>
      </c>
      <c r="C35" t="inlineStr">
        <is>
          <t>2019</t>
        </is>
      </c>
      <c r="D35" t="n">
        <v>1</v>
      </c>
      <c r="E35" t="n">
        <v>0</v>
      </c>
      <c r="G35" t="n">
        <v>0</v>
      </c>
      <c r="H35" t="n">
        <v>0</v>
      </c>
      <c r="I35" s="64" t="n"/>
      <c r="J35" s="64" t="n">
        <v>0</v>
      </c>
      <c r="K35" s="64" t="n">
        <v>0</v>
      </c>
      <c r="L35" s="64" t="n"/>
      <c r="M35" s="64" t="n">
        <v>0</v>
      </c>
      <c r="N35" s="64" t="n">
        <v>0</v>
      </c>
      <c r="O35" s="64" t="n"/>
      <c r="P35" s="64" t="n"/>
      <c r="Q35" s="64" t="inlineStr">
        <is>
          <t>VISUAL EFFECTS</t>
        </is>
      </c>
      <c r="R35" s="64" t="inlineStr">
        <is>
          <t>https://github.com/DLu/oscar_data</t>
        </is>
      </c>
    </row>
    <row r="36">
      <c r="A36" t="inlineStr">
        <is>
          <t>F0032</t>
        </is>
      </c>
      <c r="B36" t="inlineStr">
        <is>
          <t>Baby Driver</t>
        </is>
      </c>
      <c r="C36" t="inlineStr">
        <is>
          <t>2017</t>
        </is>
      </c>
      <c r="D36" t="n">
        <v>3</v>
      </c>
      <c r="E36" t="n">
        <v>0</v>
      </c>
      <c r="G36" t="n">
        <v>0</v>
      </c>
      <c r="H36" t="n">
        <v>0</v>
      </c>
      <c r="I36" s="64" t="n"/>
      <c r="J36" s="64" t="n">
        <v>0</v>
      </c>
      <c r="K36" s="64" t="n">
        <v>0</v>
      </c>
      <c r="L36" s="64" t="n"/>
      <c r="M36" s="64" t="n">
        <v>0</v>
      </c>
      <c r="N36" s="64" t="n">
        <v>0</v>
      </c>
      <c r="O36" s="64" t="n"/>
      <c r="P36" s="64" t="n"/>
      <c r="Q36" s="64" t="inlineStr">
        <is>
          <t>FILM EDITING; SOUND EDITING; SOUND MIXING</t>
        </is>
      </c>
      <c r="R36" s="64" t="inlineStr">
        <is>
          <t>https://github.com/DLu/oscar_data</t>
        </is>
      </c>
    </row>
    <row r="37" ht="30" customHeight="1" s="95">
      <c r="A37" t="inlineStr">
        <is>
          <t>F0033</t>
        </is>
      </c>
      <c r="B37" t="inlineStr">
        <is>
          <t>Back to the Future</t>
        </is>
      </c>
      <c r="C37" t="inlineStr">
        <is>
          <t>1985</t>
        </is>
      </c>
      <c r="D37" t="n">
        <v>4</v>
      </c>
      <c r="E37" t="n">
        <v>1</v>
      </c>
      <c r="G37" t="n">
        <v>0</v>
      </c>
      <c r="H37" t="n">
        <v>0</v>
      </c>
      <c r="I37" s="64" t="n"/>
      <c r="J37" s="64" t="n">
        <v>0</v>
      </c>
      <c r="K37" s="64" t="n">
        <v>0</v>
      </c>
      <c r="L37" s="64" t="n"/>
      <c r="M37" s="64" t="n">
        <v>1</v>
      </c>
      <c r="N37" s="64" t="n">
        <v>0</v>
      </c>
      <c r="O37" s="64" t="n"/>
      <c r="P37" s="64" t="inlineStr">
        <is>
          <t>SOUND EDITING</t>
        </is>
      </c>
      <c r="Q37" s="64" t="inlineStr">
        <is>
          <t>MUSIC (Original Song); SOUND MIXING; SOUND EDITING; WRITING (Original Screenplay)</t>
        </is>
      </c>
      <c r="R37" s="64" t="inlineStr">
        <is>
          <t>https://github.com/DLu/oscar_data</t>
        </is>
      </c>
    </row>
    <row r="38">
      <c r="A38" t="inlineStr">
        <is>
          <t>F0034</t>
        </is>
      </c>
      <c r="B38" t="inlineStr">
        <is>
          <t>Back to the Future Part II</t>
        </is>
      </c>
      <c r="C38" t="inlineStr">
        <is>
          <t>1989</t>
        </is>
      </c>
      <c r="D38" t="n">
        <v>1</v>
      </c>
      <c r="E38" t="n">
        <v>0</v>
      </c>
      <c r="G38" t="n">
        <v>0</v>
      </c>
      <c r="H38" t="n">
        <v>0</v>
      </c>
      <c r="I38" s="64" t="n"/>
      <c r="J38" s="64" t="n">
        <v>0</v>
      </c>
      <c r="K38" s="64" t="n">
        <v>0</v>
      </c>
      <c r="L38" s="64" t="n"/>
      <c r="M38" s="64" t="n">
        <v>0</v>
      </c>
      <c r="N38" s="64" t="n">
        <v>0</v>
      </c>
      <c r="O38" s="64" t="n"/>
      <c r="P38" s="64" t="n"/>
      <c r="Q38" s="64" t="inlineStr">
        <is>
          <t>VISUAL EFFECTS</t>
        </is>
      </c>
      <c r="R38" s="64" t="inlineStr">
        <is>
          <t>https://github.com/DLu/oscar_data</t>
        </is>
      </c>
    </row>
    <row r="39">
      <c r="A39" t="inlineStr">
        <is>
          <t>F0035</t>
        </is>
      </c>
      <c r="B39" t="inlineStr">
        <is>
          <t>Back to the Future Part III</t>
        </is>
      </c>
      <c r="C39" t="inlineStr">
        <is>
          <t>1990</t>
        </is>
      </c>
      <c r="D39" t="n">
        <v>0</v>
      </c>
      <c r="E39" t="n">
        <v>0</v>
      </c>
      <c r="G39" t="n">
        <v>0</v>
      </c>
      <c r="H39" t="n">
        <v>0</v>
      </c>
      <c r="I39" s="64" t="n"/>
      <c r="J39" s="64" t="n">
        <v>0</v>
      </c>
      <c r="K39" s="64" t="n">
        <v>0</v>
      </c>
      <c r="L39" s="64" t="n"/>
      <c r="M39" s="64" t="n">
        <v>0</v>
      </c>
      <c r="N39" s="64" t="n">
        <v>0</v>
      </c>
      <c r="O39" s="64" t="n"/>
      <c r="P39" s="64" t="n"/>
      <c r="Q39" s="64" t="n"/>
      <c r="R39" s="64" t="inlineStr">
        <is>
          <t>https://github.com/DLu/oscar_data</t>
        </is>
      </c>
    </row>
    <row r="40">
      <c r="A40" t="inlineStr">
        <is>
          <t>F0036</t>
        </is>
      </c>
      <c r="B40" t="inlineStr">
        <is>
          <t>Bad Boys</t>
        </is>
      </c>
      <c r="C40" t="inlineStr">
        <is>
          <t>1995</t>
        </is>
      </c>
      <c r="D40" t="n">
        <v>0</v>
      </c>
      <c r="E40" t="n">
        <v>0</v>
      </c>
      <c r="G40" t="n">
        <v>0</v>
      </c>
      <c r="H40" t="n">
        <v>0</v>
      </c>
      <c r="I40" s="64" t="n"/>
      <c r="J40" s="64" t="n">
        <v>0</v>
      </c>
      <c r="K40" s="64" t="n">
        <v>0</v>
      </c>
      <c r="L40" s="64" t="n"/>
      <c r="M40" s="64" t="n">
        <v>0</v>
      </c>
      <c r="N40" s="64" t="n">
        <v>0</v>
      </c>
      <c r="O40" s="64" t="n"/>
      <c r="P40" s="64" t="n"/>
      <c r="Q40" s="64" t="n"/>
      <c r="R40" s="64" t="inlineStr">
        <is>
          <t>https://github.com/DLu/oscar_data</t>
        </is>
      </c>
    </row>
    <row r="41">
      <c r="A41" t="inlineStr">
        <is>
          <t>F0037</t>
        </is>
      </c>
      <c r="B41" t="inlineStr">
        <is>
          <t>Bad Boys II</t>
        </is>
      </c>
      <c r="C41" t="inlineStr">
        <is>
          <t>2003</t>
        </is>
      </c>
      <c r="D41" t="n">
        <v>0</v>
      </c>
      <c r="E41" t="n">
        <v>0</v>
      </c>
      <c r="G41" t="n">
        <v>0</v>
      </c>
      <c r="H41" t="n">
        <v>0</v>
      </c>
      <c r="I41" s="64" t="n"/>
      <c r="J41" s="64" t="n">
        <v>0</v>
      </c>
      <c r="K41" s="64" t="n">
        <v>0</v>
      </c>
      <c r="L41" s="64" t="n"/>
      <c r="M41" s="64" t="n">
        <v>0</v>
      </c>
      <c r="N41" s="64" t="n">
        <v>0</v>
      </c>
      <c r="O41" s="64" t="n"/>
      <c r="P41" s="64" t="n"/>
      <c r="Q41" s="64" t="n"/>
      <c r="R41" s="64" t="inlineStr">
        <is>
          <t>https://github.com/DLu/oscar_data</t>
        </is>
      </c>
    </row>
    <row r="42">
      <c r="A42" t="inlineStr">
        <is>
          <t>F0038</t>
        </is>
      </c>
      <c r="B42" t="inlineStr">
        <is>
          <t>Bad Moms</t>
        </is>
      </c>
      <c r="C42" t="inlineStr">
        <is>
          <t>2016</t>
        </is>
      </c>
      <c r="D42" t="n">
        <v>0</v>
      </c>
      <c r="E42" t="n">
        <v>0</v>
      </c>
      <c r="G42" t="n">
        <v>0</v>
      </c>
      <c r="H42" t="n">
        <v>0</v>
      </c>
      <c r="I42" s="64" t="n"/>
      <c r="J42" s="64" t="n">
        <v>0</v>
      </c>
      <c r="K42" s="64" t="n">
        <v>0</v>
      </c>
      <c r="L42" s="64" t="n"/>
      <c r="M42" s="64" t="n">
        <v>0</v>
      </c>
      <c r="N42" s="64" t="n">
        <v>0</v>
      </c>
      <c r="O42" s="64" t="n"/>
      <c r="P42" s="64" t="n"/>
      <c r="Q42" s="64" t="n"/>
      <c r="R42" s="64" t="inlineStr">
        <is>
          <t>https://github.com/DLu/oscar_data</t>
        </is>
      </c>
    </row>
    <row r="43">
      <c r="A43" t="inlineStr">
        <is>
          <t>F0039</t>
        </is>
      </c>
      <c r="B43" t="inlineStr">
        <is>
          <t>Bad Teacher</t>
        </is>
      </c>
      <c r="C43" t="inlineStr">
        <is>
          <t>2011</t>
        </is>
      </c>
      <c r="D43" t="n">
        <v>0</v>
      </c>
      <c r="E43" t="n">
        <v>0</v>
      </c>
      <c r="G43" t="n">
        <v>0</v>
      </c>
      <c r="H43" t="n">
        <v>0</v>
      </c>
      <c r="I43" s="64" t="n"/>
      <c r="J43" s="64" t="n">
        <v>0</v>
      </c>
      <c r="K43" s="64" t="n">
        <v>0</v>
      </c>
      <c r="L43" s="64" t="n"/>
      <c r="M43" s="64" t="n">
        <v>0</v>
      </c>
      <c r="N43" s="64" t="n">
        <v>0</v>
      </c>
      <c r="O43" s="64" t="n"/>
      <c r="P43" s="64" t="n"/>
      <c r="Q43" s="64" t="n"/>
      <c r="R43" s="64" t="inlineStr">
        <is>
          <t>https://github.com/DLu/oscar_data</t>
        </is>
      </c>
    </row>
    <row r="44">
      <c r="A44" t="inlineStr">
        <is>
          <t>F0040</t>
        </is>
      </c>
      <c r="B44" t="inlineStr">
        <is>
          <t>The Bank Job</t>
        </is>
      </c>
      <c r="C44" t="inlineStr">
        <is>
          <t>2008</t>
        </is>
      </c>
      <c r="D44" t="n">
        <v>0</v>
      </c>
      <c r="E44" t="n">
        <v>0</v>
      </c>
      <c r="G44" t="n">
        <v>0</v>
      </c>
      <c r="H44" t="n">
        <v>0</v>
      </c>
      <c r="I44" s="64" t="n"/>
      <c r="J44" s="64" t="n">
        <v>0</v>
      </c>
      <c r="K44" s="64" t="n">
        <v>0</v>
      </c>
      <c r="L44" s="64" t="n"/>
      <c r="M44" s="64" t="n">
        <v>0</v>
      </c>
      <c r="N44" s="64" t="n">
        <v>0</v>
      </c>
      <c r="O44" s="64" t="n"/>
      <c r="P44" s="64" t="n"/>
      <c r="Q44" s="64" t="n"/>
      <c r="R44" s="64" t="inlineStr">
        <is>
          <t>https://github.com/DLu/oscar_data</t>
        </is>
      </c>
    </row>
    <row r="45" ht="45" customHeight="1" s="95">
      <c r="A45" t="inlineStr">
        <is>
          <t>F0041</t>
        </is>
      </c>
      <c r="B45" t="inlineStr">
        <is>
          <t>Barbie</t>
        </is>
      </c>
      <c r="C45" t="inlineStr">
        <is>
          <t>2023</t>
        </is>
      </c>
      <c r="D45" t="n">
        <v>8</v>
      </c>
      <c r="E45" t="n">
        <v>1</v>
      </c>
      <c r="F45" t="inlineStr">
        <is>
          <t>Nominated</t>
        </is>
      </c>
      <c r="G45" t="n">
        <v>2</v>
      </c>
      <c r="H45" t="n">
        <v>0</v>
      </c>
      <c r="I45" s="64" t="n"/>
      <c r="J45" s="64" t="n">
        <v>0</v>
      </c>
      <c r="K45" s="64" t="n">
        <v>0</v>
      </c>
      <c r="L45" s="64" t="n"/>
      <c r="M45" s="64" t="n">
        <v>1</v>
      </c>
      <c r="N45" s="64" t="n">
        <v>0</v>
      </c>
      <c r="O45" s="64" t="n"/>
      <c r="P45" s="64" t="inlineStr">
        <is>
          <t>MUSIC (Original Song)</t>
        </is>
      </c>
      <c r="Q45" s="64" t="inlineStr">
        <is>
          <t>ACTOR IN A SUPPORTING ROLE; ACTRESS IN A SUPPORTING ROLE; COSTUME DESIGN; MUSIC (Original Song); BEST PICTURE; ART DIRECTION; WRITING (Adapted Screenplay)</t>
        </is>
      </c>
      <c r="R45" s="64" t="inlineStr">
        <is>
          <t>https://github.com/DLu/oscar_data</t>
        </is>
      </c>
    </row>
    <row r="46">
      <c r="A46" t="inlineStr">
        <is>
          <t>F0042</t>
        </is>
      </c>
      <c r="B46" t="inlineStr">
        <is>
          <t>The Batman</t>
        </is>
      </c>
      <c r="C46" t="inlineStr">
        <is>
          <t>2022</t>
        </is>
      </c>
      <c r="D46" t="n">
        <v>3</v>
      </c>
      <c r="E46" t="n">
        <v>0</v>
      </c>
      <c r="G46" t="n">
        <v>0</v>
      </c>
      <c r="H46" t="n">
        <v>0</v>
      </c>
      <c r="I46" s="64" t="n"/>
      <c r="J46" s="64" t="n">
        <v>0</v>
      </c>
      <c r="K46" s="64" t="n">
        <v>0</v>
      </c>
      <c r="L46" s="64" t="n"/>
      <c r="M46" s="64" t="n">
        <v>0</v>
      </c>
      <c r="N46" s="64" t="n">
        <v>0</v>
      </c>
      <c r="O46" s="64" t="n"/>
      <c r="P46" s="64" t="n"/>
      <c r="Q46" s="64" t="inlineStr">
        <is>
          <t>MAKEUP AND HAIRSTYLING; SOUND MIXING; VISUAL EFFECTS</t>
        </is>
      </c>
      <c r="R46" s="64" t="inlineStr">
        <is>
          <t>https://github.com/DLu/oscar_data</t>
        </is>
      </c>
    </row>
    <row r="47">
      <c r="A47" t="inlineStr">
        <is>
          <t>F0043</t>
        </is>
      </c>
      <c r="B47" t="inlineStr">
        <is>
          <t>Batman Begins</t>
        </is>
      </c>
      <c r="C47" t="inlineStr">
        <is>
          <t>2005</t>
        </is>
      </c>
      <c r="D47" t="n">
        <v>1</v>
      </c>
      <c r="E47" t="n">
        <v>0</v>
      </c>
      <c r="G47" t="n">
        <v>0</v>
      </c>
      <c r="H47" t="n">
        <v>0</v>
      </c>
      <c r="I47" s="64" t="n"/>
      <c r="J47" s="64" t="n">
        <v>0</v>
      </c>
      <c r="K47" s="64" t="n">
        <v>0</v>
      </c>
      <c r="L47" s="64" t="n"/>
      <c r="M47" s="64" t="n">
        <v>0</v>
      </c>
      <c r="N47" s="64" t="n">
        <v>0</v>
      </c>
      <c r="O47" s="64" t="n"/>
      <c r="P47" s="64" t="n"/>
      <c r="Q47" s="64" t="inlineStr">
        <is>
          <t>CINEMATOGRAPHY</t>
        </is>
      </c>
      <c r="R47" s="64" t="inlineStr">
        <is>
          <t>https://github.com/DLu/oscar_data</t>
        </is>
      </c>
    </row>
    <row r="48" ht="45" customHeight="1" s="95">
      <c r="A48" t="inlineStr">
        <is>
          <t>F0044</t>
        </is>
      </c>
      <c r="B48" t="inlineStr">
        <is>
          <t>The Dark Knight</t>
        </is>
      </c>
      <c r="C48" t="inlineStr">
        <is>
          <t>2008</t>
        </is>
      </c>
      <c r="D48" t="n">
        <v>8</v>
      </c>
      <c r="E48" t="n">
        <v>2</v>
      </c>
      <c r="G48" t="n">
        <v>1</v>
      </c>
      <c r="H48" t="n">
        <v>1</v>
      </c>
      <c r="I48" s="64" t="inlineStr">
        <is>
          <t>Heath Ledger</t>
        </is>
      </c>
      <c r="J48" s="64" t="n">
        <v>0</v>
      </c>
      <c r="K48" s="64" t="n">
        <v>0</v>
      </c>
      <c r="L48" s="64" t="n"/>
      <c r="M48" s="64" t="n">
        <v>0</v>
      </c>
      <c r="N48" s="64" t="n">
        <v>0</v>
      </c>
      <c r="O48" s="64" t="n"/>
      <c r="P48" s="64" t="inlineStr">
        <is>
          <t>ACTOR IN A SUPPORTING ROLE; SOUND EDITING</t>
        </is>
      </c>
      <c r="Q48" s="64" t="inlineStr">
        <is>
          <t>ACTOR IN A SUPPORTING ROLE; ART DIRECTION; CINEMATOGRAPHY; FILM EDITING; MAKEUP AND HAIRSTYLING; SOUND EDITING; SOUND MIXING; VISUAL EFFECTS</t>
        </is>
      </c>
      <c r="R48" s="64" t="inlineStr">
        <is>
          <t>https://github.com/DLu/oscar_data</t>
        </is>
      </c>
    </row>
    <row r="49">
      <c r="A49" t="inlineStr">
        <is>
          <t>F0045</t>
        </is>
      </c>
      <c r="B49" t="inlineStr">
        <is>
          <t>The Dark Knight Rises</t>
        </is>
      </c>
      <c r="C49" t="inlineStr">
        <is>
          <t>2012</t>
        </is>
      </c>
      <c r="D49" t="n">
        <v>0</v>
      </c>
      <c r="E49" t="n">
        <v>0</v>
      </c>
      <c r="G49" t="n">
        <v>0</v>
      </c>
      <c r="H49" t="n">
        <v>0</v>
      </c>
      <c r="I49" s="64" t="n"/>
      <c r="J49" s="64" t="n">
        <v>0</v>
      </c>
      <c r="K49" s="64" t="n">
        <v>0</v>
      </c>
      <c r="L49" s="64" t="n"/>
      <c r="M49" s="64" t="n">
        <v>0</v>
      </c>
      <c r="N49" s="64" t="n">
        <v>0</v>
      </c>
      <c r="O49" s="64" t="n"/>
      <c r="P49" s="64" t="n"/>
      <c r="Q49" s="64" t="n"/>
      <c r="R49" s="64" t="inlineStr">
        <is>
          <t>https://github.com/DLu/oscar_data</t>
        </is>
      </c>
    </row>
    <row r="50">
      <c r="A50" t="inlineStr">
        <is>
          <t>F0046</t>
        </is>
      </c>
      <c r="B50" t="inlineStr">
        <is>
          <t>Battle: Los Angeles</t>
        </is>
      </c>
      <c r="C50" t="inlineStr">
        <is>
          <t>2011</t>
        </is>
      </c>
      <c r="D50" t="n">
        <v>0</v>
      </c>
      <c r="E50" t="n">
        <v>0</v>
      </c>
      <c r="G50" t="n">
        <v>0</v>
      </c>
      <c r="H50" t="n">
        <v>0</v>
      </c>
      <c r="I50" s="64" t="n"/>
      <c r="J50" s="64" t="n">
        <v>0</v>
      </c>
      <c r="K50" s="64" t="n">
        <v>0</v>
      </c>
      <c r="L50" s="64" t="n"/>
      <c r="M50" s="64" t="n">
        <v>0</v>
      </c>
      <c r="N50" s="64" t="n">
        <v>0</v>
      </c>
      <c r="O50" s="64" t="n"/>
      <c r="P50" s="64" t="n"/>
      <c r="Q50" s="64" t="n"/>
      <c r="R50" s="64" t="inlineStr">
        <is>
          <t>https://github.com/DLu/oscar_data</t>
        </is>
      </c>
    </row>
    <row r="51">
      <c r="A51" t="inlineStr">
        <is>
          <t>F0047</t>
        </is>
      </c>
      <c r="B51" t="inlineStr">
        <is>
          <t>The BFG</t>
        </is>
      </c>
      <c r="C51" t="inlineStr">
        <is>
          <t>2016</t>
        </is>
      </c>
      <c r="D51" t="n">
        <v>0</v>
      </c>
      <c r="E51" t="n">
        <v>0</v>
      </c>
      <c r="G51" t="n">
        <v>0</v>
      </c>
      <c r="H51" t="n">
        <v>0</v>
      </c>
      <c r="I51" s="64" t="n"/>
      <c r="J51" s="64" t="n">
        <v>0</v>
      </c>
      <c r="K51" s="64" t="n">
        <v>0</v>
      </c>
      <c r="L51" s="64" t="n"/>
      <c r="M51" s="64" t="n">
        <v>0</v>
      </c>
      <c r="N51" s="64" t="n">
        <v>0</v>
      </c>
      <c r="O51" s="64" t="n"/>
      <c r="P51" s="64" t="n"/>
      <c r="Q51" s="64" t="n"/>
      <c r="R51" s="64" t="inlineStr">
        <is>
          <t>https://github.com/DLu/oscar_data</t>
        </is>
      </c>
    </row>
    <row r="52">
      <c r="A52" t="inlineStr">
        <is>
          <t>F0048</t>
        </is>
      </c>
      <c r="B52" t="inlineStr">
        <is>
          <t>Big Hero 6</t>
        </is>
      </c>
      <c r="C52" t="inlineStr">
        <is>
          <t>2014</t>
        </is>
      </c>
      <c r="D52" t="n">
        <v>1</v>
      </c>
      <c r="E52" t="n">
        <v>1</v>
      </c>
      <c r="G52" t="n">
        <v>0</v>
      </c>
      <c r="H52" t="n">
        <v>0</v>
      </c>
      <c r="I52" s="64" t="n"/>
      <c r="J52" s="64" t="n">
        <v>0</v>
      </c>
      <c r="K52" s="64" t="n">
        <v>0</v>
      </c>
      <c r="L52" s="64" t="n"/>
      <c r="M52" s="64" t="n">
        <v>0</v>
      </c>
      <c r="N52" s="64" t="n">
        <v>0</v>
      </c>
      <c r="O52" s="64" t="inlineStr">
        <is>
          <t>Winner</t>
        </is>
      </c>
      <c r="P52" s="64" t="inlineStr">
        <is>
          <t>ANIMATED FEATURE FILM</t>
        </is>
      </c>
      <c r="Q52" s="64" t="inlineStr">
        <is>
          <t>ANIMATED FEATURE FILM</t>
        </is>
      </c>
      <c r="R52" s="64" t="inlineStr">
        <is>
          <t>https://github.com/DLu/oscar_data</t>
        </is>
      </c>
    </row>
    <row r="53">
      <c r="A53" t="inlineStr">
        <is>
          <t>F0049</t>
        </is>
      </c>
      <c r="B53" t="inlineStr">
        <is>
          <t>The Big Lebowski</t>
        </is>
      </c>
      <c r="C53" t="inlineStr">
        <is>
          <t>1998</t>
        </is>
      </c>
      <c r="D53" t="n">
        <v>0</v>
      </c>
      <c r="E53" t="n">
        <v>0</v>
      </c>
      <c r="G53" t="n">
        <v>0</v>
      </c>
      <c r="H53" t="n">
        <v>0</v>
      </c>
      <c r="I53" s="64" t="n"/>
      <c r="J53" s="64" t="n">
        <v>0</v>
      </c>
      <c r="K53" s="64" t="n">
        <v>0</v>
      </c>
      <c r="L53" s="64" t="n"/>
      <c r="M53" s="64" t="n">
        <v>0</v>
      </c>
      <c r="N53" s="64" t="n">
        <v>0</v>
      </c>
      <c r="O53" s="64" t="n"/>
      <c r="P53" s="64" t="n"/>
      <c r="Q53" s="64" t="n"/>
      <c r="R53" s="64" t="inlineStr">
        <is>
          <t>https://github.com/DLu/oscar_data</t>
        </is>
      </c>
    </row>
    <row r="54">
      <c r="A54" t="inlineStr">
        <is>
          <t>F0050</t>
        </is>
      </c>
      <c r="B54" t="inlineStr">
        <is>
          <t>Black Hawk Down</t>
        </is>
      </c>
      <c r="C54" t="inlineStr">
        <is>
          <t>2001</t>
        </is>
      </c>
      <c r="D54" t="n">
        <v>4</v>
      </c>
      <c r="E54" t="n">
        <v>2</v>
      </c>
      <c r="G54" t="n">
        <v>0</v>
      </c>
      <c r="H54" t="n">
        <v>0</v>
      </c>
      <c r="I54" s="64" t="n"/>
      <c r="J54" s="64" t="n">
        <v>1</v>
      </c>
      <c r="K54" s="64" t="n">
        <v>0</v>
      </c>
      <c r="L54" s="64" t="n"/>
      <c r="M54" s="64" t="n">
        <v>0</v>
      </c>
      <c r="N54" s="64" t="n">
        <v>0</v>
      </c>
      <c r="O54" s="64" t="n"/>
      <c r="P54" s="64" t="inlineStr">
        <is>
          <t>FILM EDITING; SOUND MIXING</t>
        </is>
      </c>
      <c r="Q54" s="64" t="inlineStr">
        <is>
          <t>CINEMATOGRAPHY; DIRECTING; FILM EDITING; SOUND MIXING</t>
        </is>
      </c>
      <c r="R54" s="64" t="inlineStr">
        <is>
          <t>https://github.com/DLu/oscar_data</t>
        </is>
      </c>
    </row>
    <row r="55">
      <c r="A55" t="inlineStr">
        <is>
          <t>F0051</t>
        </is>
      </c>
      <c r="B55" t="inlineStr">
        <is>
          <t>Body of Lies</t>
        </is>
      </c>
      <c r="C55" t="inlineStr">
        <is>
          <t>2008</t>
        </is>
      </c>
      <c r="D55" t="n">
        <v>0</v>
      </c>
      <c r="E55" t="n">
        <v>0</v>
      </c>
      <c r="G55" t="n">
        <v>0</v>
      </c>
      <c r="H55" t="n">
        <v>0</v>
      </c>
      <c r="I55" s="64" t="n"/>
      <c r="J55" s="64" t="n">
        <v>0</v>
      </c>
      <c r="K55" s="64" t="n">
        <v>0</v>
      </c>
      <c r="L55" s="64" t="n"/>
      <c r="M55" s="64" t="n">
        <v>0</v>
      </c>
      <c r="N55" s="64" t="n">
        <v>0</v>
      </c>
      <c r="O55" s="64" t="n"/>
      <c r="P55" s="64" t="n"/>
      <c r="Q55" s="64" t="n"/>
      <c r="R55" s="64" t="inlineStr">
        <is>
          <t>https://github.com/DLu/oscar_data</t>
        </is>
      </c>
    </row>
    <row r="56" ht="30" customHeight="1" s="95">
      <c r="A56" t="inlineStr">
        <is>
          <t>F0052</t>
        </is>
      </c>
      <c r="B56" t="inlineStr">
        <is>
          <t>Bohemian Rhapsody</t>
        </is>
      </c>
      <c r="C56" t="inlineStr">
        <is>
          <t>2018</t>
        </is>
      </c>
      <c r="D56" t="n">
        <v>5</v>
      </c>
      <c r="E56" t="n">
        <v>4</v>
      </c>
      <c r="F56" t="inlineStr">
        <is>
          <t>Nominated</t>
        </is>
      </c>
      <c r="G56" t="n">
        <v>1</v>
      </c>
      <c r="H56" t="n">
        <v>1</v>
      </c>
      <c r="I56" s="64" t="inlineStr">
        <is>
          <t>Rami Malek</t>
        </is>
      </c>
      <c r="J56" s="64" t="n">
        <v>0</v>
      </c>
      <c r="K56" s="64" t="n">
        <v>0</v>
      </c>
      <c r="L56" s="64" t="n"/>
      <c r="M56" s="64" t="n">
        <v>0</v>
      </c>
      <c r="N56" s="64" t="n">
        <v>0</v>
      </c>
      <c r="O56" s="64" t="n"/>
      <c r="P56" s="64" t="inlineStr">
        <is>
          <t>ACTOR IN A LEADING ROLE; FILM EDITING; SOUND EDITING; SOUND MIXING</t>
        </is>
      </c>
      <c r="Q56" s="64" t="inlineStr">
        <is>
          <t>ACTOR IN A LEADING ROLE; FILM EDITING; BEST PICTURE; SOUND EDITING; SOUND MIXING</t>
        </is>
      </c>
      <c r="R56" s="64" t="inlineStr">
        <is>
          <t>https://github.com/DLu/oscar_data</t>
        </is>
      </c>
    </row>
    <row r="57">
      <c r="A57" t="inlineStr">
        <is>
          <t>F0053</t>
        </is>
      </c>
      <c r="B57" t="inlineStr">
        <is>
          <t>The Bourne Identity</t>
        </is>
      </c>
      <c r="C57" t="inlineStr">
        <is>
          <t>2002</t>
        </is>
      </c>
      <c r="D57" t="n">
        <v>0</v>
      </c>
      <c r="E57" t="n">
        <v>0</v>
      </c>
      <c r="G57" t="n">
        <v>0</v>
      </c>
      <c r="H57" t="n">
        <v>0</v>
      </c>
      <c r="I57" s="64" t="n"/>
      <c r="J57" s="64" t="n">
        <v>0</v>
      </c>
      <c r="K57" s="64" t="n">
        <v>0</v>
      </c>
      <c r="L57" s="64" t="n"/>
      <c r="M57" s="64" t="n">
        <v>0</v>
      </c>
      <c r="N57" s="64" t="n">
        <v>0</v>
      </c>
      <c r="O57" s="64" t="n"/>
      <c r="P57" s="64" t="n"/>
      <c r="Q57" s="64" t="n"/>
      <c r="R57" s="64" t="inlineStr">
        <is>
          <t>https://github.com/DLu/oscar_data</t>
        </is>
      </c>
    </row>
    <row r="58">
      <c r="A58" t="inlineStr">
        <is>
          <t>F0054</t>
        </is>
      </c>
      <c r="B58" t="inlineStr">
        <is>
          <t>The Bourne Supremacy</t>
        </is>
      </c>
      <c r="C58" t="inlineStr">
        <is>
          <t>2004</t>
        </is>
      </c>
      <c r="D58" t="n">
        <v>0</v>
      </c>
      <c r="E58" t="n">
        <v>0</v>
      </c>
      <c r="G58" t="n">
        <v>0</v>
      </c>
      <c r="H58" t="n">
        <v>0</v>
      </c>
      <c r="I58" s="64" t="n"/>
      <c r="J58" s="64" t="n">
        <v>0</v>
      </c>
      <c r="K58" s="64" t="n">
        <v>0</v>
      </c>
      <c r="L58" s="64" t="n"/>
      <c r="M58" s="64" t="n">
        <v>0</v>
      </c>
      <c r="N58" s="64" t="n">
        <v>0</v>
      </c>
      <c r="O58" s="64" t="n"/>
      <c r="P58" s="64" t="n"/>
      <c r="Q58" s="64" t="n"/>
      <c r="R58" s="64" t="inlineStr">
        <is>
          <t>https://github.com/DLu/oscar_data</t>
        </is>
      </c>
    </row>
    <row r="59">
      <c r="A59" t="inlineStr">
        <is>
          <t>F0055</t>
        </is>
      </c>
      <c r="B59" t="inlineStr">
        <is>
          <t>The Bourne Ultimatum</t>
        </is>
      </c>
      <c r="C59" t="inlineStr">
        <is>
          <t>2007</t>
        </is>
      </c>
      <c r="D59" t="n">
        <v>3</v>
      </c>
      <c r="E59" t="n">
        <v>3</v>
      </c>
      <c r="G59" t="n">
        <v>0</v>
      </c>
      <c r="H59" t="n">
        <v>0</v>
      </c>
      <c r="I59" s="64" t="n"/>
      <c r="J59" s="64" t="n">
        <v>0</v>
      </c>
      <c r="K59" s="64" t="n">
        <v>0</v>
      </c>
      <c r="L59" s="64" t="n"/>
      <c r="M59" s="64" t="n">
        <v>0</v>
      </c>
      <c r="N59" s="64" t="n">
        <v>0</v>
      </c>
      <c r="O59" s="64" t="n"/>
      <c r="P59" s="64" t="inlineStr">
        <is>
          <t>FILM EDITING; SOUND EDITING; SOUND MIXING</t>
        </is>
      </c>
      <c r="Q59" s="64" t="inlineStr">
        <is>
          <t>FILM EDITING; SOUND EDITING; SOUND MIXING</t>
        </is>
      </c>
      <c r="R59" s="64" t="inlineStr">
        <is>
          <t>https://github.com/DLu/oscar_data</t>
        </is>
      </c>
    </row>
    <row r="60">
      <c r="A60" t="inlineStr">
        <is>
          <t>F0056</t>
        </is>
      </c>
      <c r="B60" t="inlineStr">
        <is>
          <t>The Bourne Legacy</t>
        </is>
      </c>
      <c r="C60" t="inlineStr">
        <is>
          <t>2012</t>
        </is>
      </c>
      <c r="D60" t="n">
        <v>0</v>
      </c>
      <c r="E60" t="n">
        <v>0</v>
      </c>
      <c r="G60" t="n">
        <v>0</v>
      </c>
      <c r="H60" t="n">
        <v>0</v>
      </c>
      <c r="I60" s="64" t="n"/>
      <c r="J60" s="64" t="n">
        <v>0</v>
      </c>
      <c r="K60" s="64" t="n">
        <v>0</v>
      </c>
      <c r="L60" s="64" t="n"/>
      <c r="M60" s="64" t="n">
        <v>0</v>
      </c>
      <c r="N60" s="64" t="n">
        <v>0</v>
      </c>
      <c r="O60" s="64" t="n"/>
      <c r="P60" s="64" t="n"/>
      <c r="Q60" s="64" t="n"/>
      <c r="R60" s="64" t="inlineStr">
        <is>
          <t>https://github.com/DLu/oscar_data</t>
        </is>
      </c>
    </row>
    <row r="61">
      <c r="A61" t="inlineStr">
        <is>
          <t>F0057</t>
        </is>
      </c>
      <c r="B61" t="inlineStr">
        <is>
          <t>The Breakfast Club</t>
        </is>
      </c>
      <c r="C61" t="inlineStr">
        <is>
          <t>1985</t>
        </is>
      </c>
      <c r="D61" t="n">
        <v>0</v>
      </c>
      <c r="E61" t="n">
        <v>0</v>
      </c>
      <c r="G61" t="n">
        <v>0</v>
      </c>
      <c r="H61" t="n">
        <v>0</v>
      </c>
      <c r="I61" s="64" t="n"/>
      <c r="J61" s="64" t="n">
        <v>0</v>
      </c>
      <c r="K61" s="64" t="n">
        <v>0</v>
      </c>
      <c r="L61" s="64" t="n"/>
      <c r="M61" s="64" t="n">
        <v>0</v>
      </c>
      <c r="N61" s="64" t="n">
        <v>0</v>
      </c>
      <c r="O61" s="64" t="n"/>
      <c r="P61" s="64" t="n"/>
      <c r="Q61" s="64" t="n"/>
      <c r="R61" s="64" t="inlineStr">
        <is>
          <t>https://github.com/DLu/oscar_data</t>
        </is>
      </c>
    </row>
    <row r="62">
      <c r="A62" t="inlineStr">
        <is>
          <t>F0058</t>
        </is>
      </c>
      <c r="B62" t="inlineStr">
        <is>
          <t>Bridesmaids</t>
        </is>
      </c>
      <c r="C62" t="inlineStr">
        <is>
          <t>2011</t>
        </is>
      </c>
      <c r="D62" t="n">
        <v>2</v>
      </c>
      <c r="E62" t="n">
        <v>0</v>
      </c>
      <c r="G62" t="n">
        <v>1</v>
      </c>
      <c r="H62" t="n">
        <v>0</v>
      </c>
      <c r="I62" s="64" t="n"/>
      <c r="J62" s="64" t="n">
        <v>0</v>
      </c>
      <c r="K62" s="64" t="n">
        <v>0</v>
      </c>
      <c r="L62" s="64" t="n"/>
      <c r="M62" s="64" t="n">
        <v>1</v>
      </c>
      <c r="N62" s="64" t="n">
        <v>0</v>
      </c>
      <c r="O62" s="64" t="n"/>
      <c r="P62" s="64" t="n"/>
      <c r="Q62" s="64" t="inlineStr">
        <is>
          <t>ACTRESS IN A SUPPORTING ROLE; WRITING (Original Screenplay)</t>
        </is>
      </c>
      <c r="R62" s="64" t="inlineStr">
        <is>
          <t>https://github.com/DLu/oscar_data</t>
        </is>
      </c>
    </row>
    <row r="63">
      <c r="A63" t="inlineStr">
        <is>
          <t>F0059</t>
        </is>
      </c>
      <c r="B63" t="inlineStr">
        <is>
          <t>Brüno</t>
        </is>
      </c>
      <c r="C63" t="inlineStr">
        <is>
          <t>2009</t>
        </is>
      </c>
      <c r="D63" t="n">
        <v>0</v>
      </c>
      <c r="E63" t="n">
        <v>0</v>
      </c>
      <c r="G63" t="n">
        <v>0</v>
      </c>
      <c r="H63" t="n">
        <v>0</v>
      </c>
      <c r="I63" s="64" t="n"/>
      <c r="J63" s="64" t="n">
        <v>0</v>
      </c>
      <c r="K63" s="64" t="n">
        <v>0</v>
      </c>
      <c r="L63" s="64" t="n"/>
      <c r="M63" s="64" t="n">
        <v>0</v>
      </c>
      <c r="N63" s="64" t="n">
        <v>0</v>
      </c>
      <c r="O63" s="64" t="n"/>
      <c r="P63" s="64" t="n"/>
      <c r="Q63" s="64" t="n"/>
      <c r="R63" s="64" t="inlineStr">
        <is>
          <t>https://github.com/DLu/oscar_data</t>
        </is>
      </c>
    </row>
    <row r="64">
      <c r="A64" t="inlineStr">
        <is>
          <t>F0060</t>
        </is>
      </c>
      <c r="B64" t="inlineStr">
        <is>
          <t>The Bucket List</t>
        </is>
      </c>
      <c r="C64" t="inlineStr">
        <is>
          <t>2007</t>
        </is>
      </c>
      <c r="D64" t="n">
        <v>0</v>
      </c>
      <c r="E64" t="n">
        <v>0</v>
      </c>
      <c r="G64" t="n">
        <v>0</v>
      </c>
      <c r="H64" t="n">
        <v>0</v>
      </c>
      <c r="I64" s="64" t="n"/>
      <c r="J64" s="64" t="n">
        <v>0</v>
      </c>
      <c r="K64" s="64" t="n">
        <v>0</v>
      </c>
      <c r="L64" s="64" t="n"/>
      <c r="M64" s="64" t="n">
        <v>0</v>
      </c>
      <c r="N64" s="64" t="n">
        <v>0</v>
      </c>
      <c r="O64" s="64" t="n"/>
      <c r="P64" s="64" t="n"/>
      <c r="Q64" s="64" t="n"/>
      <c r="R64" s="64" t="inlineStr">
        <is>
          <t>https://github.com/DLu/oscar_data</t>
        </is>
      </c>
    </row>
    <row r="65">
      <c r="A65" t="inlineStr">
        <is>
          <t>F0061</t>
        </is>
      </c>
      <c r="B65" t="inlineStr">
        <is>
          <t>Bumblebee</t>
        </is>
      </c>
      <c r="C65" t="inlineStr">
        <is>
          <t>2018</t>
        </is>
      </c>
      <c r="D65" t="n">
        <v>0</v>
      </c>
      <c r="E65" t="n">
        <v>0</v>
      </c>
      <c r="G65" t="n">
        <v>0</v>
      </c>
      <c r="H65" t="n">
        <v>0</v>
      </c>
      <c r="I65" s="64" t="n"/>
      <c r="J65" s="64" t="n">
        <v>0</v>
      </c>
      <c r="K65" s="64" t="n">
        <v>0</v>
      </c>
      <c r="L65" s="64" t="n"/>
      <c r="M65" s="64" t="n">
        <v>0</v>
      </c>
      <c r="N65" s="64" t="n">
        <v>0</v>
      </c>
      <c r="O65" s="64" t="n"/>
      <c r="P65" s="64" t="n"/>
      <c r="Q65" s="64" t="n"/>
      <c r="R65" s="64" t="inlineStr">
        <is>
          <t>https://github.com/DLu/oscar_data</t>
        </is>
      </c>
    </row>
    <row r="66" ht="30" customHeight="1" s="95">
      <c r="A66" t="inlineStr">
        <is>
          <t>F0062</t>
        </is>
      </c>
      <c r="B66" t="inlineStr">
        <is>
          <t>Captain Phillips</t>
        </is>
      </c>
      <c r="C66" t="inlineStr">
        <is>
          <t>2013</t>
        </is>
      </c>
      <c r="D66" t="n">
        <v>6</v>
      </c>
      <c r="E66" t="n">
        <v>0</v>
      </c>
      <c r="F66" t="inlineStr">
        <is>
          <t>Nominated</t>
        </is>
      </c>
      <c r="G66" t="n">
        <v>1</v>
      </c>
      <c r="H66" t="n">
        <v>0</v>
      </c>
      <c r="I66" s="64" t="n"/>
      <c r="J66" s="64" t="n">
        <v>0</v>
      </c>
      <c r="K66" s="64" t="n">
        <v>0</v>
      </c>
      <c r="L66" s="64" t="n"/>
      <c r="M66" s="64" t="n">
        <v>1</v>
      </c>
      <c r="N66" s="64" t="n">
        <v>0</v>
      </c>
      <c r="O66" s="64" t="n"/>
      <c r="P66" s="64" t="n"/>
      <c r="Q66" s="64" t="inlineStr">
        <is>
          <t>ACTOR IN A SUPPORTING ROLE; FILM EDITING; BEST PICTURE; SOUND EDITING; SOUND MIXING; WRITING (Adapted Screenplay)</t>
        </is>
      </c>
      <c r="R66" s="64" t="inlineStr">
        <is>
          <t>https://github.com/DLu/oscar_data</t>
        </is>
      </c>
    </row>
    <row r="67">
      <c r="A67" t="inlineStr">
        <is>
          <t>F0063</t>
        </is>
      </c>
      <c r="B67" t="inlineStr">
        <is>
          <t>Catch.44</t>
        </is>
      </c>
      <c r="C67" t="inlineStr">
        <is>
          <t>2011</t>
        </is>
      </c>
      <c r="D67" t="n">
        <v>0</v>
      </c>
      <c r="E67" t="n">
        <v>0</v>
      </c>
      <c r="G67" t="n">
        <v>0</v>
      </c>
      <c r="H67" t="n">
        <v>0</v>
      </c>
      <c r="I67" s="64" t="n"/>
      <c r="J67" s="64" t="n">
        <v>0</v>
      </c>
      <c r="K67" s="64" t="n">
        <v>0</v>
      </c>
      <c r="L67" s="64" t="n"/>
      <c r="M67" s="64" t="n">
        <v>0</v>
      </c>
      <c r="N67" s="64" t="n">
        <v>0</v>
      </c>
      <c r="O67" s="64" t="n"/>
      <c r="P67" s="64" t="n"/>
      <c r="Q67" s="64" t="n"/>
      <c r="R67" s="64" t="inlineStr">
        <is>
          <t>https://github.com/DLu/oscar_data</t>
        </is>
      </c>
    </row>
    <row r="68">
      <c r="A68" t="inlineStr">
        <is>
          <t>F0064</t>
        </is>
      </c>
      <c r="B68" t="inlineStr">
        <is>
          <t>Catch Me If You Can</t>
        </is>
      </c>
      <c r="C68" t="inlineStr">
        <is>
          <t>2002</t>
        </is>
      </c>
      <c r="D68" t="n">
        <v>2</v>
      </c>
      <c r="E68" t="n">
        <v>0</v>
      </c>
      <c r="G68" t="n">
        <v>1</v>
      </c>
      <c r="H68" t="n">
        <v>0</v>
      </c>
      <c r="I68" s="64" t="n"/>
      <c r="J68" s="64" t="n">
        <v>0</v>
      </c>
      <c r="K68" s="64" t="n">
        <v>0</v>
      </c>
      <c r="L68" s="64" t="n"/>
      <c r="M68" s="64" t="n">
        <v>0</v>
      </c>
      <c r="N68" s="64" t="n">
        <v>0</v>
      </c>
      <c r="O68" s="64" t="n"/>
      <c r="P68" s="64" t="n"/>
      <c r="Q68" s="64" t="inlineStr">
        <is>
          <t>ACTOR IN A SUPPORTING ROLE; MUSIC (Original Score)</t>
        </is>
      </c>
      <c r="R68" s="64" t="inlineStr">
        <is>
          <t>https://github.com/DLu/oscar_data</t>
        </is>
      </c>
    </row>
    <row r="69">
      <c r="A69" t="inlineStr">
        <is>
          <t>F0065</t>
        </is>
      </c>
      <c r="B69" t="inlineStr">
        <is>
          <t>Chef</t>
        </is>
      </c>
      <c r="C69" t="inlineStr">
        <is>
          <t>2014</t>
        </is>
      </c>
      <c r="D69" t="n">
        <v>0</v>
      </c>
      <c r="E69" t="n">
        <v>0</v>
      </c>
      <c r="G69" t="n">
        <v>0</v>
      </c>
      <c r="H69" t="n">
        <v>0</v>
      </c>
      <c r="I69" s="64" t="n"/>
      <c r="J69" s="64" t="n">
        <v>0</v>
      </c>
      <c r="K69" s="64" t="n">
        <v>0</v>
      </c>
      <c r="L69" s="64" t="n"/>
      <c r="M69" s="64" t="n">
        <v>0</v>
      </c>
      <c r="N69" s="64" t="n">
        <v>0</v>
      </c>
      <c r="O69" s="64" t="n"/>
      <c r="P69" s="64" t="n"/>
      <c r="Q69" s="64" t="n"/>
      <c r="R69" s="64" t="inlineStr">
        <is>
          <t>https://github.com/DLu/oscar_data</t>
        </is>
      </c>
    </row>
    <row r="70">
      <c r="A70" t="inlineStr">
        <is>
          <t>F0066</t>
        </is>
      </c>
      <c r="B70" t="inlineStr">
        <is>
          <t>Clash of the Titans</t>
        </is>
      </c>
      <c r="C70" t="inlineStr">
        <is>
          <t>2010</t>
        </is>
      </c>
      <c r="D70" t="n">
        <v>0</v>
      </c>
      <c r="E70" t="n">
        <v>0</v>
      </c>
      <c r="G70" t="n">
        <v>0</v>
      </c>
      <c r="H70" t="n">
        <v>0</v>
      </c>
      <c r="I70" s="64" t="n"/>
      <c r="J70" s="64" t="n">
        <v>0</v>
      </c>
      <c r="K70" s="64" t="n">
        <v>0</v>
      </c>
      <c r="L70" s="64" t="n"/>
      <c r="M70" s="64" t="n">
        <v>0</v>
      </c>
      <c r="N70" s="64" t="n">
        <v>0</v>
      </c>
      <c r="O70" s="64" t="n"/>
      <c r="P70" s="64" t="n"/>
      <c r="Q70" s="64" t="n"/>
      <c r="R70" s="64" t="inlineStr">
        <is>
          <t>https://github.com/DLu/oscar_data</t>
        </is>
      </c>
    </row>
    <row r="71">
      <c r="A71" t="inlineStr">
        <is>
          <t>F0067</t>
        </is>
      </c>
      <c r="B71" t="inlineStr">
        <is>
          <t>Cloudy with a Chance of Meatballs 2</t>
        </is>
      </c>
      <c r="C71" t="inlineStr">
        <is>
          <t>2013</t>
        </is>
      </c>
      <c r="D71" t="n">
        <v>0</v>
      </c>
      <c r="E71" t="n">
        <v>0</v>
      </c>
      <c r="G71" t="n">
        <v>0</v>
      </c>
      <c r="H71" t="n">
        <v>0</v>
      </c>
      <c r="I71" s="64" t="n"/>
      <c r="J71" s="64" t="n">
        <v>0</v>
      </c>
      <c r="K71" s="64" t="n">
        <v>0</v>
      </c>
      <c r="L71" s="64" t="n"/>
      <c r="M71" s="64" t="n">
        <v>0</v>
      </c>
      <c r="N71" s="64" t="n">
        <v>0</v>
      </c>
      <c r="O71" s="64" t="n"/>
      <c r="P71" s="64" t="n"/>
      <c r="Q71" s="64" t="n"/>
      <c r="R71" s="64" t="inlineStr">
        <is>
          <t>https://github.com/DLu/oscar_data</t>
        </is>
      </c>
    </row>
    <row r="72">
      <c r="A72" t="inlineStr">
        <is>
          <t>F0068</t>
        </is>
      </c>
      <c r="B72" t="inlineStr">
        <is>
          <t>Con Air</t>
        </is>
      </c>
      <c r="C72" t="inlineStr">
        <is>
          <t>1997</t>
        </is>
      </c>
      <c r="D72" t="n">
        <v>2</v>
      </c>
      <c r="E72" t="n">
        <v>0</v>
      </c>
      <c r="G72" t="n">
        <v>0</v>
      </c>
      <c r="H72" t="n">
        <v>0</v>
      </c>
      <c r="I72" s="64" t="n"/>
      <c r="J72" s="64" t="n">
        <v>0</v>
      </c>
      <c r="K72" s="64" t="n">
        <v>0</v>
      </c>
      <c r="L72" s="64" t="n"/>
      <c r="M72" s="64" t="n">
        <v>0</v>
      </c>
      <c r="N72" s="64" t="n">
        <v>0</v>
      </c>
      <c r="O72" s="64" t="n"/>
      <c r="P72" s="64" t="n"/>
      <c r="Q72" s="64" t="inlineStr">
        <is>
          <t>MUSIC (Original Song); SOUND MIXING</t>
        </is>
      </c>
      <c r="R72" s="64" t="inlineStr">
        <is>
          <t>https://github.com/DLu/oscar_data</t>
        </is>
      </c>
    </row>
    <row r="73">
      <c r="A73" t="inlineStr">
        <is>
          <t>F0069</t>
        </is>
      </c>
      <c r="B73" t="inlineStr">
        <is>
          <t>Cop Out</t>
        </is>
      </c>
      <c r="C73" t="inlineStr">
        <is>
          <t>2010</t>
        </is>
      </c>
      <c r="D73" t="n">
        <v>0</v>
      </c>
      <c r="E73" t="n">
        <v>0</v>
      </c>
      <c r="G73" t="n">
        <v>0</v>
      </c>
      <c r="H73" t="n">
        <v>0</v>
      </c>
      <c r="I73" s="64" t="n"/>
      <c r="J73" s="64" t="n">
        <v>0</v>
      </c>
      <c r="K73" s="64" t="n">
        <v>0</v>
      </c>
      <c r="L73" s="64" t="n"/>
      <c r="M73" s="64" t="n">
        <v>0</v>
      </c>
      <c r="N73" s="64" t="n">
        <v>0</v>
      </c>
      <c r="O73" s="64" t="n"/>
      <c r="P73" s="64" t="n"/>
      <c r="Q73" s="64" t="n"/>
      <c r="R73" s="64" t="inlineStr">
        <is>
          <t>https://github.com/DLu/oscar_data</t>
        </is>
      </c>
    </row>
    <row r="74">
      <c r="A74" t="inlineStr">
        <is>
          <t>F0070</t>
        </is>
      </c>
      <c r="B74" t="inlineStr">
        <is>
          <t>Shaun of the Dead</t>
        </is>
      </c>
      <c r="C74" t="inlineStr">
        <is>
          <t>2004</t>
        </is>
      </c>
      <c r="D74" t="n">
        <v>0</v>
      </c>
      <c r="E74" t="n">
        <v>0</v>
      </c>
      <c r="G74" t="n">
        <v>0</v>
      </c>
      <c r="H74" t="n">
        <v>0</v>
      </c>
      <c r="I74" s="64" t="n"/>
      <c r="J74" s="64" t="n">
        <v>0</v>
      </c>
      <c r="K74" s="64" t="n">
        <v>0</v>
      </c>
      <c r="L74" s="64" t="n"/>
      <c r="M74" s="64" t="n">
        <v>0</v>
      </c>
      <c r="N74" s="64" t="n">
        <v>0</v>
      </c>
      <c r="O74" s="64" t="n"/>
      <c r="P74" s="64" t="n"/>
      <c r="Q74" s="64" t="n"/>
      <c r="R74" s="64" t="inlineStr">
        <is>
          <t>https://github.com/DLu/oscar_data</t>
        </is>
      </c>
    </row>
    <row r="75">
      <c r="A75" t="inlineStr">
        <is>
          <t>F0071</t>
        </is>
      </c>
      <c r="B75" t="inlineStr">
        <is>
          <t>Hot Fuzz</t>
        </is>
      </c>
      <c r="C75" t="inlineStr">
        <is>
          <t>2007</t>
        </is>
      </c>
      <c r="D75" t="n">
        <v>0</v>
      </c>
      <c r="E75" t="n">
        <v>0</v>
      </c>
      <c r="G75" t="n">
        <v>0</v>
      </c>
      <c r="H75" t="n">
        <v>0</v>
      </c>
      <c r="I75" s="64" t="n"/>
      <c r="J75" s="64" t="n">
        <v>0</v>
      </c>
      <c r="K75" s="64" t="n">
        <v>0</v>
      </c>
      <c r="L75" s="64" t="n"/>
      <c r="M75" s="64" t="n">
        <v>0</v>
      </c>
      <c r="N75" s="64" t="n">
        <v>0</v>
      </c>
      <c r="O75" s="64" t="n"/>
      <c r="P75" s="64" t="n"/>
      <c r="Q75" s="64" t="n"/>
      <c r="R75" s="64" t="inlineStr">
        <is>
          <t>https://github.com/DLu/oscar_data</t>
        </is>
      </c>
    </row>
    <row r="76">
      <c r="A76" t="inlineStr">
        <is>
          <t>F0072</t>
        </is>
      </c>
      <c r="B76" t="inlineStr">
        <is>
          <t>The World's End</t>
        </is>
      </c>
      <c r="C76" t="inlineStr">
        <is>
          <t>2013</t>
        </is>
      </c>
      <c r="D76" t="n">
        <v>0</v>
      </c>
      <c r="E76" t="n">
        <v>0</v>
      </c>
      <c r="G76" t="n">
        <v>0</v>
      </c>
      <c r="H76" t="n">
        <v>0</v>
      </c>
      <c r="I76" s="64" t="n"/>
      <c r="J76" s="64" t="n">
        <v>0</v>
      </c>
      <c r="K76" s="64" t="n">
        <v>0</v>
      </c>
      <c r="L76" s="64" t="n"/>
      <c r="M76" s="64" t="n">
        <v>0</v>
      </c>
      <c r="N76" s="64" t="n">
        <v>0</v>
      </c>
      <c r="O76" s="64" t="n"/>
      <c r="P76" s="64" t="n"/>
      <c r="Q76" s="64" t="n"/>
      <c r="R76" s="64" t="inlineStr">
        <is>
          <t>https://github.com/DLu/oscar_data</t>
        </is>
      </c>
    </row>
    <row r="77">
      <c r="A77" t="inlineStr">
        <is>
          <t>F0073</t>
        </is>
      </c>
      <c r="B77" t="inlineStr">
        <is>
          <t>Cowboys &amp; Aliens</t>
        </is>
      </c>
      <c r="C77" t="inlineStr">
        <is>
          <t>2011</t>
        </is>
      </c>
      <c r="D77" t="n">
        <v>0</v>
      </c>
      <c r="E77" t="n">
        <v>0</v>
      </c>
      <c r="G77" t="n">
        <v>0</v>
      </c>
      <c r="H77" t="n">
        <v>0</v>
      </c>
      <c r="I77" s="64" t="n"/>
      <c r="J77" s="64" t="n">
        <v>0</v>
      </c>
      <c r="K77" s="64" t="n">
        <v>0</v>
      </c>
      <c r="L77" s="64" t="n"/>
      <c r="M77" s="64" t="n">
        <v>0</v>
      </c>
      <c r="N77" s="64" t="n">
        <v>0</v>
      </c>
      <c r="O77" s="64" t="n"/>
      <c r="P77" s="64" t="n"/>
      <c r="Q77" s="64" t="n"/>
      <c r="R77" s="64" t="inlineStr">
        <is>
          <t>https://github.com/DLu/oscar_data</t>
        </is>
      </c>
    </row>
    <row r="78">
      <c r="A78" t="inlineStr">
        <is>
          <t>F0074</t>
        </is>
      </c>
      <c r="B78" t="inlineStr">
        <is>
          <t>Creed</t>
        </is>
      </c>
      <c r="C78" t="inlineStr">
        <is>
          <t>2015</t>
        </is>
      </c>
      <c r="D78" t="n">
        <v>1</v>
      </c>
      <c r="E78" t="n">
        <v>0</v>
      </c>
      <c r="G78" t="n">
        <v>1</v>
      </c>
      <c r="H78" t="n">
        <v>0</v>
      </c>
      <c r="I78" s="64" t="n"/>
      <c r="J78" s="64" t="n">
        <v>0</v>
      </c>
      <c r="K78" s="64" t="n">
        <v>0</v>
      </c>
      <c r="L78" s="64" t="n"/>
      <c r="M78" s="64" t="n">
        <v>0</v>
      </c>
      <c r="N78" s="64" t="n">
        <v>0</v>
      </c>
      <c r="O78" s="64" t="n"/>
      <c r="P78" s="64" t="n"/>
      <c r="Q78" s="64" t="inlineStr">
        <is>
          <t>ACTOR IN A SUPPORTING ROLE</t>
        </is>
      </c>
      <c r="R78" s="64" t="inlineStr">
        <is>
          <t>https://github.com/DLu/oscar_data</t>
        </is>
      </c>
    </row>
    <row r="79">
      <c r="A79" t="inlineStr">
        <is>
          <t>F0075</t>
        </is>
      </c>
      <c r="B79" t="inlineStr">
        <is>
          <t>The Croods</t>
        </is>
      </c>
      <c r="C79" t="inlineStr">
        <is>
          <t>2013</t>
        </is>
      </c>
      <c r="D79" t="n">
        <v>1</v>
      </c>
      <c r="E79" t="n">
        <v>0</v>
      </c>
      <c r="G79" t="n">
        <v>0</v>
      </c>
      <c r="H79" t="n">
        <v>0</v>
      </c>
      <c r="I79" s="64" t="n"/>
      <c r="J79" s="64" t="n">
        <v>0</v>
      </c>
      <c r="K79" s="64" t="n">
        <v>0</v>
      </c>
      <c r="L79" s="64" t="n"/>
      <c r="M79" s="64" t="n">
        <v>0</v>
      </c>
      <c r="N79" s="64" t="n">
        <v>0</v>
      </c>
      <c r="O79" s="64" t="inlineStr">
        <is>
          <t>Nominated</t>
        </is>
      </c>
      <c r="P79" s="64" t="n"/>
      <c r="Q79" s="64" t="inlineStr">
        <is>
          <t>ANIMATED FEATURE FILM</t>
        </is>
      </c>
      <c r="R79" s="64" t="inlineStr">
        <is>
          <t>https://github.com/DLu/oscar_data</t>
        </is>
      </c>
    </row>
    <row r="80">
      <c r="A80" t="inlineStr">
        <is>
          <t>F0076</t>
        </is>
      </c>
      <c r="B80" t="inlineStr">
        <is>
          <t>Deadpool</t>
        </is>
      </c>
      <c r="C80" t="inlineStr">
        <is>
          <t>2016</t>
        </is>
      </c>
      <c r="D80" t="n">
        <v>0</v>
      </c>
      <c r="E80" t="n">
        <v>0</v>
      </c>
      <c r="G80" t="n">
        <v>0</v>
      </c>
      <c r="H80" t="n">
        <v>0</v>
      </c>
      <c r="I80" s="64" t="n"/>
      <c r="J80" s="64" t="n">
        <v>0</v>
      </c>
      <c r="K80" s="64" t="n">
        <v>0</v>
      </c>
      <c r="L80" s="64" t="n"/>
      <c r="M80" s="64" t="n">
        <v>0</v>
      </c>
      <c r="N80" s="64" t="n">
        <v>0</v>
      </c>
      <c r="O80" s="64" t="n"/>
      <c r="P80" s="64" t="n"/>
      <c r="Q80" s="64" t="n"/>
      <c r="R80" s="64" t="inlineStr">
        <is>
          <t>https://github.com/DLu/oscar_data</t>
        </is>
      </c>
    </row>
    <row r="81">
      <c r="A81" t="inlineStr">
        <is>
          <t>F0077</t>
        </is>
      </c>
      <c r="B81" t="inlineStr">
        <is>
          <t>Deadpool 2</t>
        </is>
      </c>
      <c r="C81" t="inlineStr">
        <is>
          <t>2018</t>
        </is>
      </c>
      <c r="D81" t="n">
        <v>0</v>
      </c>
      <c r="E81" t="n">
        <v>0</v>
      </c>
      <c r="G81" t="n">
        <v>0</v>
      </c>
      <c r="H81" t="n">
        <v>0</v>
      </c>
      <c r="I81" s="64" t="n"/>
      <c r="J81" s="64" t="n">
        <v>0</v>
      </c>
      <c r="K81" s="64" t="n">
        <v>0</v>
      </c>
      <c r="L81" s="64" t="n"/>
      <c r="M81" s="64" t="n">
        <v>0</v>
      </c>
      <c r="N81" s="64" t="n">
        <v>0</v>
      </c>
      <c r="O81" s="64" t="n"/>
      <c r="P81" s="64" t="n"/>
      <c r="Q81" s="64" t="n"/>
      <c r="R81" s="64" t="inlineStr">
        <is>
          <t>https://github.com/DLu/oscar_data</t>
        </is>
      </c>
    </row>
    <row r="82">
      <c r="A82" t="inlineStr">
        <is>
          <t>F0078</t>
        </is>
      </c>
      <c r="B82" t="inlineStr">
        <is>
          <t>Deadpool &amp; Wolverine</t>
        </is>
      </c>
      <c r="C82" t="inlineStr">
        <is>
          <t>2024</t>
        </is>
      </c>
      <c r="D82" t="n">
        <v>0</v>
      </c>
      <c r="E82" t="n">
        <v>0</v>
      </c>
      <c r="G82" t="n">
        <v>0</v>
      </c>
      <c r="H82" t="n">
        <v>0</v>
      </c>
      <c r="I82" s="64" t="n"/>
      <c r="J82" s="64" t="n">
        <v>0</v>
      </c>
      <c r="K82" s="64" t="n">
        <v>0</v>
      </c>
      <c r="L82" s="64" t="n"/>
      <c r="M82" s="64" t="n">
        <v>0</v>
      </c>
      <c r="N82" s="64" t="n">
        <v>0</v>
      </c>
      <c r="O82" s="64" t="n"/>
      <c r="P82" s="64" t="n"/>
      <c r="Q82" s="64" t="n"/>
      <c r="R82" s="64" t="inlineStr">
        <is>
          <t>https://github.com/DLu/oscar_data</t>
        </is>
      </c>
    </row>
    <row r="83">
      <c r="A83" t="inlineStr">
        <is>
          <t>F0079</t>
        </is>
      </c>
      <c r="B83" t="inlineStr">
        <is>
          <t>Dear John</t>
        </is>
      </c>
      <c r="C83" t="inlineStr">
        <is>
          <t>2010</t>
        </is>
      </c>
      <c r="D83" t="n">
        <v>0</v>
      </c>
      <c r="E83" t="n">
        <v>0</v>
      </c>
      <c r="G83" t="n">
        <v>0</v>
      </c>
      <c r="H83" t="n">
        <v>0</v>
      </c>
      <c r="I83" s="64" t="n"/>
      <c r="J83" s="64" t="n">
        <v>0</v>
      </c>
      <c r="K83" s="64" t="n">
        <v>0</v>
      </c>
      <c r="L83" s="64" t="n"/>
      <c r="M83" s="64" t="n">
        <v>0</v>
      </c>
      <c r="N83" s="64" t="n">
        <v>0</v>
      </c>
      <c r="O83" s="64" t="n"/>
      <c r="P83" s="64" t="n"/>
      <c r="Q83" s="64" t="n"/>
      <c r="R83" s="64" t="inlineStr">
        <is>
          <t>https://github.com/DLu/oscar_data</t>
        </is>
      </c>
    </row>
    <row r="84">
      <c r="A84" t="inlineStr">
        <is>
          <t>F0080</t>
        </is>
      </c>
      <c r="B84" t="inlineStr">
        <is>
          <t>Delivery Man</t>
        </is>
      </c>
      <c r="C84" t="inlineStr">
        <is>
          <t>2013</t>
        </is>
      </c>
      <c r="D84" t="n">
        <v>0</v>
      </c>
      <c r="E84" t="n">
        <v>0</v>
      </c>
      <c r="G84" t="n">
        <v>0</v>
      </c>
      <c r="H84" t="n">
        <v>0</v>
      </c>
      <c r="I84" s="64" t="n"/>
      <c r="J84" s="64" t="n">
        <v>0</v>
      </c>
      <c r="K84" s="64" t="n">
        <v>0</v>
      </c>
      <c r="L84" s="64" t="n"/>
      <c r="M84" s="64" t="n">
        <v>0</v>
      </c>
      <c r="N84" s="64" t="n">
        <v>0</v>
      </c>
      <c r="O84" s="64" t="n"/>
      <c r="P84" s="64" t="n"/>
      <c r="Q84" s="64" t="n"/>
      <c r="R84" s="64" t="inlineStr">
        <is>
          <t>https://github.com/DLu/oscar_data</t>
        </is>
      </c>
    </row>
    <row r="85" ht="30" customHeight="1" s="95">
      <c r="A85" t="inlineStr">
        <is>
          <t>F0081</t>
        </is>
      </c>
      <c r="B85" t="inlineStr">
        <is>
          <t>The Departed</t>
        </is>
      </c>
      <c r="C85" t="inlineStr">
        <is>
          <t>2006</t>
        </is>
      </c>
      <c r="D85" t="n">
        <v>5</v>
      </c>
      <c r="E85" t="n">
        <v>4</v>
      </c>
      <c r="F85" t="inlineStr">
        <is>
          <t>Winner</t>
        </is>
      </c>
      <c r="G85" t="n">
        <v>1</v>
      </c>
      <c r="H85" t="n">
        <v>0</v>
      </c>
      <c r="I85" s="64" t="n"/>
      <c r="J85" s="64" t="n">
        <v>1</v>
      </c>
      <c r="K85" s="64" t="n">
        <v>1</v>
      </c>
      <c r="L85" s="64" t="inlineStr">
        <is>
          <t>Martin Scorsese</t>
        </is>
      </c>
      <c r="M85" s="64" t="n">
        <v>1</v>
      </c>
      <c r="N85" s="64" t="n">
        <v>1</v>
      </c>
      <c r="O85" s="64" t="n"/>
      <c r="P85" s="64" t="inlineStr">
        <is>
          <t>DIRECTING; FILM EDITING; BEST PICTURE; WRITING (Adapted Screenplay)</t>
        </is>
      </c>
      <c r="Q85" s="64" t="inlineStr">
        <is>
          <t>ACTOR IN A SUPPORTING ROLE; DIRECTING; FILM EDITING; BEST PICTURE; WRITING (Adapted Screenplay)</t>
        </is>
      </c>
      <c r="R85" s="64" t="inlineStr">
        <is>
          <t>https://github.com/DLu/oscar_data</t>
        </is>
      </c>
    </row>
    <row r="86">
      <c r="A86" t="inlineStr">
        <is>
          <t>F0082</t>
        </is>
      </c>
      <c r="B86" t="inlineStr">
        <is>
          <t>Despicable Me</t>
        </is>
      </c>
      <c r="C86" t="inlineStr">
        <is>
          <t>2010</t>
        </is>
      </c>
      <c r="D86" t="n">
        <v>0</v>
      </c>
      <c r="E86" t="n">
        <v>0</v>
      </c>
      <c r="G86" t="n">
        <v>0</v>
      </c>
      <c r="H86" t="n">
        <v>0</v>
      </c>
      <c r="I86" s="64" t="n"/>
      <c r="J86" s="64" t="n">
        <v>0</v>
      </c>
      <c r="K86" s="64" t="n">
        <v>0</v>
      </c>
      <c r="L86" s="64" t="n"/>
      <c r="M86" s="64" t="n">
        <v>0</v>
      </c>
      <c r="N86" s="64" t="n">
        <v>0</v>
      </c>
      <c r="O86" s="64" t="n"/>
      <c r="P86" s="64" t="n"/>
      <c r="Q86" s="64" t="n"/>
      <c r="R86" s="64" t="inlineStr">
        <is>
          <t>https://github.com/DLu/oscar_data</t>
        </is>
      </c>
    </row>
    <row r="87">
      <c r="A87" t="inlineStr">
        <is>
          <t>F0083</t>
        </is>
      </c>
      <c r="B87" t="inlineStr">
        <is>
          <t>Despicable Me 2</t>
        </is>
      </c>
      <c r="C87" t="inlineStr">
        <is>
          <t>2013</t>
        </is>
      </c>
      <c r="D87" t="n">
        <v>2</v>
      </c>
      <c r="E87" t="n">
        <v>0</v>
      </c>
      <c r="G87" t="n">
        <v>0</v>
      </c>
      <c r="H87" t="n">
        <v>0</v>
      </c>
      <c r="I87" s="64" t="n"/>
      <c r="J87" s="64" t="n">
        <v>0</v>
      </c>
      <c r="K87" s="64" t="n">
        <v>0</v>
      </c>
      <c r="L87" s="64" t="n"/>
      <c r="M87" s="64" t="n">
        <v>0</v>
      </c>
      <c r="N87" s="64" t="n">
        <v>0</v>
      </c>
      <c r="O87" s="64" t="inlineStr">
        <is>
          <t>Nominated</t>
        </is>
      </c>
      <c r="P87" s="64" t="n"/>
      <c r="Q87" s="64" t="inlineStr">
        <is>
          <t>ANIMATED FEATURE FILM; MUSIC (Original Song)</t>
        </is>
      </c>
      <c r="R87" s="64" t="inlineStr">
        <is>
          <t>https://github.com/DLu/oscar_data</t>
        </is>
      </c>
    </row>
    <row r="88">
      <c r="A88" t="inlineStr">
        <is>
          <t>F0084</t>
        </is>
      </c>
      <c r="B88" t="inlineStr">
        <is>
          <t>Despicable Me 3</t>
        </is>
      </c>
      <c r="C88" t="inlineStr">
        <is>
          <t>2017</t>
        </is>
      </c>
      <c r="D88" t="n">
        <v>0</v>
      </c>
      <c r="E88" t="n">
        <v>0</v>
      </c>
      <c r="G88" t="n">
        <v>0</v>
      </c>
      <c r="H88" t="n">
        <v>0</v>
      </c>
      <c r="I88" s="64" t="n"/>
      <c r="J88" s="64" t="n">
        <v>0</v>
      </c>
      <c r="K88" s="64" t="n">
        <v>0</v>
      </c>
      <c r="L88" s="64" t="n"/>
      <c r="M88" s="64" t="n">
        <v>0</v>
      </c>
      <c r="N88" s="64" t="n">
        <v>0</v>
      </c>
      <c r="O88" s="64" t="n"/>
      <c r="P88" s="64" t="n"/>
      <c r="Q88" s="64" t="n"/>
      <c r="R88" s="64" t="inlineStr">
        <is>
          <t>https://github.com/DLu/oscar_data</t>
        </is>
      </c>
    </row>
    <row r="89">
      <c r="A89" t="inlineStr">
        <is>
          <t>F0085</t>
        </is>
      </c>
      <c r="B89" t="inlineStr">
        <is>
          <t>The Dictator</t>
        </is>
      </c>
      <c r="C89" t="inlineStr">
        <is>
          <t>2012</t>
        </is>
      </c>
      <c r="D89" t="n">
        <v>0</v>
      </c>
      <c r="E89" t="n">
        <v>0</v>
      </c>
      <c r="G89" t="n">
        <v>0</v>
      </c>
      <c r="H89" t="n">
        <v>0</v>
      </c>
      <c r="I89" s="64" t="n"/>
      <c r="J89" s="64" t="n">
        <v>0</v>
      </c>
      <c r="K89" s="64" t="n">
        <v>0</v>
      </c>
      <c r="L89" s="64" t="n"/>
      <c r="M89" s="64" t="n">
        <v>0</v>
      </c>
      <c r="N89" s="64" t="n">
        <v>0</v>
      </c>
      <c r="O89" s="64" t="n"/>
      <c r="P89" s="64" t="n"/>
      <c r="Q89" s="64" t="n"/>
      <c r="R89" s="64" t="inlineStr">
        <is>
          <t>https://github.com/DLu/oscar_data</t>
        </is>
      </c>
    </row>
    <row r="90">
      <c r="A90" t="inlineStr">
        <is>
          <t>F0086</t>
        </is>
      </c>
      <c r="B90" t="inlineStr">
        <is>
          <t>Live Free or Die Hard</t>
        </is>
      </c>
      <c r="C90" t="inlineStr">
        <is>
          <t>2007</t>
        </is>
      </c>
      <c r="D90" t="n">
        <v>0</v>
      </c>
      <c r="E90" t="n">
        <v>0</v>
      </c>
      <c r="G90" t="n">
        <v>0</v>
      </c>
      <c r="H90" t="n">
        <v>0</v>
      </c>
      <c r="I90" s="64" t="n"/>
      <c r="J90" s="64" t="n">
        <v>0</v>
      </c>
      <c r="K90" s="64" t="n">
        <v>0</v>
      </c>
      <c r="L90" s="64" t="n"/>
      <c r="M90" s="64" t="n">
        <v>0</v>
      </c>
      <c r="N90" s="64" t="n">
        <v>0</v>
      </c>
      <c r="O90" s="64" t="n"/>
      <c r="P90" s="64" t="n"/>
      <c r="Q90" s="64" t="n"/>
      <c r="R90" s="64" t="inlineStr">
        <is>
          <t>https://github.com/DLu/oscar_data</t>
        </is>
      </c>
    </row>
    <row r="91">
      <c r="A91" t="inlineStr">
        <is>
          <t>F0087</t>
        </is>
      </c>
      <c r="B91" t="inlineStr">
        <is>
          <t>Dirty Grandpa</t>
        </is>
      </c>
      <c r="C91" t="inlineStr">
        <is>
          <t>2016</t>
        </is>
      </c>
      <c r="D91" t="n">
        <v>0</v>
      </c>
      <c r="E91" t="n">
        <v>0</v>
      </c>
      <c r="G91" t="n">
        <v>0</v>
      </c>
      <c r="H91" t="n">
        <v>0</v>
      </c>
      <c r="I91" s="64" t="n"/>
      <c r="J91" s="64" t="n">
        <v>0</v>
      </c>
      <c r="K91" s="64" t="n">
        <v>0</v>
      </c>
      <c r="L91" s="64" t="n"/>
      <c r="M91" s="64" t="n">
        <v>0</v>
      </c>
      <c r="N91" s="64" t="n">
        <v>0</v>
      </c>
      <c r="O91" s="64" t="n"/>
      <c r="P91" s="64" t="n"/>
      <c r="Q91" s="64" t="n"/>
      <c r="R91" s="64" t="inlineStr">
        <is>
          <t>https://github.com/DLu/oscar_data</t>
        </is>
      </c>
    </row>
    <row r="92" ht="30" customHeight="1" s="95">
      <c r="A92" t="inlineStr">
        <is>
          <t>F0088</t>
        </is>
      </c>
      <c r="B92" t="inlineStr">
        <is>
          <t>District 9</t>
        </is>
      </c>
      <c r="C92" t="inlineStr">
        <is>
          <t>2009</t>
        </is>
      </c>
      <c r="D92" t="n">
        <v>4</v>
      </c>
      <c r="E92" t="n">
        <v>0</v>
      </c>
      <c r="F92" t="inlineStr">
        <is>
          <t>Nominated</t>
        </is>
      </c>
      <c r="G92" t="n">
        <v>0</v>
      </c>
      <c r="H92" t="n">
        <v>0</v>
      </c>
      <c r="I92" s="64" t="n"/>
      <c r="J92" s="64" t="n">
        <v>0</v>
      </c>
      <c r="K92" s="64" t="n">
        <v>0</v>
      </c>
      <c r="L92" s="64" t="n"/>
      <c r="M92" s="64" t="n">
        <v>1</v>
      </c>
      <c r="N92" s="64" t="n">
        <v>0</v>
      </c>
      <c r="O92" s="64" t="n"/>
      <c r="P92" s="64" t="n"/>
      <c r="Q92" s="64" t="inlineStr">
        <is>
          <t>FILM EDITING; BEST PICTURE; VISUAL EFFECTS; WRITING (Adapted Screenplay)</t>
        </is>
      </c>
      <c r="R92" s="64" t="inlineStr">
        <is>
          <t>https://github.com/DLu/oscar_data</t>
        </is>
      </c>
    </row>
    <row r="93">
      <c r="A93" t="inlineStr">
        <is>
          <t>F0089</t>
        </is>
      </c>
      <c r="B93" t="inlineStr">
        <is>
          <t>Divergent</t>
        </is>
      </c>
      <c r="C93" t="inlineStr">
        <is>
          <t>2014</t>
        </is>
      </c>
      <c r="D93" t="n">
        <v>0</v>
      </c>
      <c r="E93" t="n">
        <v>0</v>
      </c>
      <c r="G93" t="n">
        <v>0</v>
      </c>
      <c r="H93" t="n">
        <v>0</v>
      </c>
      <c r="I93" s="64" t="n"/>
      <c r="J93" s="64" t="n">
        <v>0</v>
      </c>
      <c r="K93" s="64" t="n">
        <v>0</v>
      </c>
      <c r="L93" s="64" t="n"/>
      <c r="M93" s="64" t="n">
        <v>0</v>
      </c>
      <c r="N93" s="64" t="n">
        <v>0</v>
      </c>
      <c r="O93" s="64" t="n"/>
      <c r="P93" s="64" t="n"/>
      <c r="Q93" s="64" t="n"/>
      <c r="R93" s="64" t="inlineStr">
        <is>
          <t>https://github.com/DLu/oscar_data</t>
        </is>
      </c>
    </row>
    <row r="94" ht="30" customHeight="1" s="95">
      <c r="A94" t="inlineStr">
        <is>
          <t>F0090</t>
        </is>
      </c>
      <c r="B94" t="inlineStr">
        <is>
          <t>Django Unchained</t>
        </is>
      </c>
      <c r="C94" t="inlineStr">
        <is>
          <t>2012</t>
        </is>
      </c>
      <c r="D94" t="n">
        <v>5</v>
      </c>
      <c r="E94" t="n">
        <v>2</v>
      </c>
      <c r="F94" t="inlineStr">
        <is>
          <t>Nominated</t>
        </is>
      </c>
      <c r="G94" t="n">
        <v>1</v>
      </c>
      <c r="H94" t="n">
        <v>1</v>
      </c>
      <c r="I94" s="64" t="inlineStr">
        <is>
          <t>Christoph Waltz</t>
        </is>
      </c>
      <c r="J94" s="64" t="n">
        <v>0</v>
      </c>
      <c r="K94" s="64" t="n">
        <v>0</v>
      </c>
      <c r="L94" s="64" t="n"/>
      <c r="M94" s="64" t="n">
        <v>1</v>
      </c>
      <c r="N94" s="64" t="n">
        <v>1</v>
      </c>
      <c r="O94" s="64" t="n"/>
      <c r="P94" s="64" t="inlineStr">
        <is>
          <t>ACTOR IN A SUPPORTING ROLE; WRITING (Original Screenplay)</t>
        </is>
      </c>
      <c r="Q94" s="64" t="inlineStr">
        <is>
          <t>ACTOR IN A SUPPORTING ROLE; CINEMATOGRAPHY; BEST PICTURE; SOUND EDITING; WRITING (Original Screenplay)</t>
        </is>
      </c>
      <c r="R94" s="64" t="inlineStr">
        <is>
          <t>https://github.com/DLu/oscar_data</t>
        </is>
      </c>
    </row>
    <row r="95">
      <c r="A95" t="inlineStr">
        <is>
          <t>F0091</t>
        </is>
      </c>
      <c r="B95" t="inlineStr">
        <is>
          <t>Due Date</t>
        </is>
      </c>
      <c r="C95" t="inlineStr">
        <is>
          <t>2010</t>
        </is>
      </c>
      <c r="D95" t="n">
        <v>0</v>
      </c>
      <c r="E95" t="n">
        <v>0</v>
      </c>
      <c r="G95" t="n">
        <v>0</v>
      </c>
      <c r="H95" t="n">
        <v>0</v>
      </c>
      <c r="I95" s="64" t="n"/>
      <c r="J95" s="64" t="n">
        <v>0</v>
      </c>
      <c r="K95" s="64" t="n">
        <v>0</v>
      </c>
      <c r="L95" s="64" t="n"/>
      <c r="M95" s="64" t="n">
        <v>0</v>
      </c>
      <c r="N95" s="64" t="n">
        <v>0</v>
      </c>
      <c r="O95" s="64" t="n"/>
      <c r="P95" s="64" t="n"/>
      <c r="Q95" s="64" t="n"/>
      <c r="R95" s="64" t="inlineStr">
        <is>
          <t>https://github.com/DLu/oscar_data</t>
        </is>
      </c>
    </row>
    <row r="96">
      <c r="A96" t="inlineStr">
        <is>
          <t>F0092</t>
        </is>
      </c>
      <c r="B96" t="inlineStr">
        <is>
          <t>Elf</t>
        </is>
      </c>
      <c r="C96" t="inlineStr">
        <is>
          <t>2003</t>
        </is>
      </c>
      <c r="D96" t="n">
        <v>0</v>
      </c>
      <c r="E96" t="n">
        <v>0</v>
      </c>
      <c r="G96" t="n">
        <v>0</v>
      </c>
      <c r="H96" t="n">
        <v>0</v>
      </c>
      <c r="I96" s="64" t="n"/>
      <c r="J96" s="64" t="n">
        <v>0</v>
      </c>
      <c r="K96" s="64" t="n">
        <v>0</v>
      </c>
      <c r="L96" s="64" t="n"/>
      <c r="M96" s="64" t="n">
        <v>0</v>
      </c>
      <c r="N96" s="64" t="n">
        <v>0</v>
      </c>
      <c r="O96" s="64" t="n"/>
      <c r="P96" s="64" t="n"/>
      <c r="Q96" s="64" t="n"/>
      <c r="R96" s="64" t="inlineStr">
        <is>
          <t>https://github.com/DLu/oscar_data</t>
        </is>
      </c>
    </row>
    <row r="97">
      <c r="A97" t="inlineStr">
        <is>
          <t>F0093</t>
        </is>
      </c>
      <c r="B97" t="inlineStr">
        <is>
          <t>Elysium</t>
        </is>
      </c>
      <c r="C97" t="inlineStr">
        <is>
          <t>2013</t>
        </is>
      </c>
      <c r="D97" t="n">
        <v>0</v>
      </c>
      <c r="E97" t="n">
        <v>0</v>
      </c>
      <c r="G97" t="n">
        <v>0</v>
      </c>
      <c r="H97" t="n">
        <v>0</v>
      </c>
      <c r="I97" s="64" t="n"/>
      <c r="J97" s="64" t="n">
        <v>0</v>
      </c>
      <c r="K97" s="64" t="n">
        <v>0</v>
      </c>
      <c r="L97" s="64" t="n"/>
      <c r="M97" s="64" t="n">
        <v>0</v>
      </c>
      <c r="N97" s="64" t="n">
        <v>0</v>
      </c>
      <c r="O97" s="64" t="n"/>
      <c r="P97" s="64" t="n"/>
      <c r="Q97" s="64" t="n"/>
      <c r="R97" s="64" t="inlineStr">
        <is>
          <t>https://github.com/DLu/oscar_data</t>
        </is>
      </c>
    </row>
    <row r="98">
      <c r="A98" t="inlineStr">
        <is>
          <t>F0094</t>
        </is>
      </c>
      <c r="B98" t="inlineStr">
        <is>
          <t>Enemy of the State</t>
        </is>
      </c>
      <c r="C98" t="inlineStr">
        <is>
          <t>1998</t>
        </is>
      </c>
      <c r="D98" t="n">
        <v>0</v>
      </c>
      <c r="E98" t="n">
        <v>0</v>
      </c>
      <c r="G98" t="n">
        <v>0</v>
      </c>
      <c r="H98" t="n">
        <v>0</v>
      </c>
      <c r="I98" s="64" t="n"/>
      <c r="J98" s="64" t="n">
        <v>0</v>
      </c>
      <c r="K98" s="64" t="n">
        <v>0</v>
      </c>
      <c r="L98" s="64" t="n"/>
      <c r="M98" s="64" t="n">
        <v>0</v>
      </c>
      <c r="N98" s="64" t="n">
        <v>0</v>
      </c>
      <c r="O98" s="64" t="n"/>
      <c r="P98" s="64" t="n"/>
      <c r="Q98" s="64" t="n"/>
      <c r="R98" s="64" t="inlineStr">
        <is>
          <t>https://github.com/DLu/oscar_data</t>
        </is>
      </c>
    </row>
    <row r="99">
      <c r="A99" t="inlineStr">
        <is>
          <t>F0095</t>
        </is>
      </c>
      <c r="B99" t="inlineStr">
        <is>
          <t>The Expendables</t>
        </is>
      </c>
      <c r="C99" t="inlineStr">
        <is>
          <t>2010</t>
        </is>
      </c>
      <c r="D99" t="n">
        <v>0</v>
      </c>
      <c r="E99" t="n">
        <v>0</v>
      </c>
      <c r="G99" t="n">
        <v>0</v>
      </c>
      <c r="H99" t="n">
        <v>0</v>
      </c>
      <c r="I99" s="64" t="n"/>
      <c r="J99" s="64" t="n">
        <v>0</v>
      </c>
      <c r="K99" s="64" t="n">
        <v>0</v>
      </c>
      <c r="L99" s="64" t="n"/>
      <c r="M99" s="64" t="n">
        <v>0</v>
      </c>
      <c r="N99" s="64" t="n">
        <v>0</v>
      </c>
      <c r="O99" s="64" t="n"/>
      <c r="P99" s="64" t="n"/>
      <c r="Q99" s="64" t="n"/>
      <c r="R99" s="64" t="inlineStr">
        <is>
          <t>https://github.com/DLu/oscar_data</t>
        </is>
      </c>
    </row>
    <row r="100">
      <c r="A100" t="inlineStr">
        <is>
          <t>F0096</t>
        </is>
      </c>
      <c r="B100" t="inlineStr">
        <is>
          <t>The Expendables 2</t>
        </is>
      </c>
      <c r="C100" t="inlineStr">
        <is>
          <t>2012</t>
        </is>
      </c>
      <c r="D100" t="n">
        <v>0</v>
      </c>
      <c r="E100" t="n">
        <v>0</v>
      </c>
      <c r="G100" t="n">
        <v>0</v>
      </c>
      <c r="H100" t="n">
        <v>0</v>
      </c>
      <c r="I100" s="64" t="n"/>
      <c r="J100" s="64" t="n">
        <v>0</v>
      </c>
      <c r="K100" s="64" t="n">
        <v>0</v>
      </c>
      <c r="L100" s="64" t="n"/>
      <c r="M100" s="64" t="n">
        <v>0</v>
      </c>
      <c r="N100" s="64" t="n">
        <v>0</v>
      </c>
      <c r="O100" s="64" t="n"/>
      <c r="P100" s="64" t="n"/>
      <c r="Q100" s="64" t="n"/>
      <c r="R100" s="64" t="inlineStr">
        <is>
          <t>https://github.com/DLu/oscar_data</t>
        </is>
      </c>
    </row>
    <row r="101">
      <c r="A101" t="inlineStr">
        <is>
          <t>F0097</t>
        </is>
      </c>
      <c r="B101" t="inlineStr">
        <is>
          <t>The Expendables 3</t>
        </is>
      </c>
      <c r="C101" t="inlineStr">
        <is>
          <t>2014</t>
        </is>
      </c>
      <c r="D101" t="n">
        <v>0</v>
      </c>
      <c r="E101" t="n">
        <v>0</v>
      </c>
      <c r="G101" t="n">
        <v>0</v>
      </c>
      <c r="H101" t="n">
        <v>0</v>
      </c>
      <c r="I101" s="64" t="n"/>
      <c r="J101" s="64" t="n">
        <v>0</v>
      </c>
      <c r="K101" s="64" t="n">
        <v>0</v>
      </c>
      <c r="L101" s="64" t="n"/>
      <c r="M101" s="64" t="n">
        <v>0</v>
      </c>
      <c r="N101" s="64" t="n">
        <v>0</v>
      </c>
      <c r="O101" s="64" t="n"/>
      <c r="P101" s="64" t="n"/>
      <c r="Q101" s="64" t="n"/>
      <c r="R101" s="64" t="inlineStr">
        <is>
          <t>https://github.com/DLu/oscar_data</t>
        </is>
      </c>
    </row>
    <row r="102">
      <c r="A102" t="inlineStr">
        <is>
          <t>F0098</t>
        </is>
      </c>
      <c r="B102" t="inlineStr">
        <is>
          <t>F1</t>
        </is>
      </c>
      <c r="C102" t="inlineStr">
        <is>
          <t>2025</t>
        </is>
      </c>
      <c r="D102" t="n">
        <v>4</v>
      </c>
      <c r="E102" t="n">
        <v>1</v>
      </c>
      <c r="F102" t="inlineStr">
        <is>
          <t>Nominated</t>
        </is>
      </c>
      <c r="G102" t="n">
        <v>0</v>
      </c>
      <c r="H102" t="n">
        <v>0</v>
      </c>
      <c r="I102" s="64" t="n"/>
      <c r="J102" s="64" t="n">
        <v>0</v>
      </c>
      <c r="K102" s="64" t="n">
        <v>0</v>
      </c>
      <c r="L102" s="64" t="n"/>
      <c r="M102" s="64" t="n">
        <v>0</v>
      </c>
      <c r="N102" s="64" t="n">
        <v>0</v>
      </c>
      <c r="O102" s="64" t="n"/>
      <c r="P102" s="64" t="inlineStr">
        <is>
          <t>SOUND MIXING</t>
        </is>
      </c>
      <c r="Q102" s="64" t="inlineStr">
        <is>
          <t>FILM EDITING; BEST PICTURE; SOUND MIXING; VISUAL EFFECTS</t>
        </is>
      </c>
      <c r="R102" s="64" t="inlineStr">
        <is>
          <t>https://github.com/DLu/oscar_data</t>
        </is>
      </c>
    </row>
    <row r="103">
      <c r="A103" t="inlineStr">
        <is>
          <t>F0099</t>
        </is>
      </c>
      <c r="B103" t="inlineStr">
        <is>
          <t>The Fall Guy</t>
        </is>
      </c>
      <c r="C103" t="inlineStr">
        <is>
          <t>2024</t>
        </is>
      </c>
      <c r="D103" t="n">
        <v>0</v>
      </c>
      <c r="E103" t="n">
        <v>0</v>
      </c>
      <c r="G103" t="n">
        <v>0</v>
      </c>
      <c r="H103" t="n">
        <v>0</v>
      </c>
      <c r="I103" s="64" t="n"/>
      <c r="J103" s="64" t="n">
        <v>0</v>
      </c>
      <c r="K103" s="64" t="n">
        <v>0</v>
      </c>
      <c r="L103" s="64" t="n"/>
      <c r="M103" s="64" t="n">
        <v>0</v>
      </c>
      <c r="N103" s="64" t="n">
        <v>0</v>
      </c>
      <c r="O103" s="64" t="n"/>
      <c r="P103" s="64" t="n"/>
      <c r="Q103" s="64" t="n"/>
      <c r="R103" s="64" t="inlineStr">
        <is>
          <t>https://github.com/DLu/oscar_data</t>
        </is>
      </c>
    </row>
    <row r="104">
      <c r="A104" t="inlineStr">
        <is>
          <t>F0100</t>
        </is>
      </c>
      <c r="B104" t="inlineStr">
        <is>
          <t>Fantastic Beasts and Where to Find Them</t>
        </is>
      </c>
      <c r="C104" t="inlineStr">
        <is>
          <t>2016</t>
        </is>
      </c>
      <c r="D104" t="n">
        <v>2</v>
      </c>
      <c r="E104" t="n">
        <v>1</v>
      </c>
      <c r="G104" t="n">
        <v>0</v>
      </c>
      <c r="H104" t="n">
        <v>0</v>
      </c>
      <c r="I104" s="64" t="n"/>
      <c r="J104" s="64" t="n">
        <v>0</v>
      </c>
      <c r="K104" s="64" t="n">
        <v>0</v>
      </c>
      <c r="L104" s="64" t="n"/>
      <c r="M104" s="64" t="n">
        <v>0</v>
      </c>
      <c r="N104" s="64" t="n">
        <v>0</v>
      </c>
      <c r="O104" s="64" t="n"/>
      <c r="P104" s="64" t="inlineStr">
        <is>
          <t>COSTUME DESIGN</t>
        </is>
      </c>
      <c r="Q104" s="64" t="inlineStr">
        <is>
          <t>COSTUME DESIGN; ART DIRECTION</t>
        </is>
      </c>
      <c r="R104" s="64" t="inlineStr">
        <is>
          <t>https://github.com/DLu/oscar_data</t>
        </is>
      </c>
    </row>
    <row r="105">
      <c r="A105" t="inlineStr">
        <is>
          <t>F0101</t>
        </is>
      </c>
      <c r="B105" t="inlineStr">
        <is>
          <t>The Fast and the Furious</t>
        </is>
      </c>
      <c r="C105" t="inlineStr">
        <is>
          <t>2001</t>
        </is>
      </c>
      <c r="D105" t="n">
        <v>0</v>
      </c>
      <c r="E105" t="n">
        <v>0</v>
      </c>
      <c r="G105" t="n">
        <v>0</v>
      </c>
      <c r="H105" t="n">
        <v>0</v>
      </c>
      <c r="I105" s="64" t="n"/>
      <c r="J105" s="64" t="n">
        <v>0</v>
      </c>
      <c r="K105" s="64" t="n">
        <v>0</v>
      </c>
      <c r="L105" s="64" t="n"/>
      <c r="M105" s="64" t="n">
        <v>0</v>
      </c>
      <c r="N105" s="64" t="n">
        <v>0</v>
      </c>
      <c r="O105" s="64" t="n"/>
      <c r="P105" s="64" t="n"/>
      <c r="Q105" s="64" t="n"/>
      <c r="R105" s="64" t="inlineStr">
        <is>
          <t>https://github.com/DLu/oscar_data</t>
        </is>
      </c>
    </row>
    <row r="106">
      <c r="A106" t="inlineStr">
        <is>
          <t>F0102</t>
        </is>
      </c>
      <c r="B106" t="inlineStr">
        <is>
          <t>2 Fast 2 Furious</t>
        </is>
      </c>
      <c r="C106" t="inlineStr">
        <is>
          <t>2003</t>
        </is>
      </c>
      <c r="D106" t="n">
        <v>0</v>
      </c>
      <c r="E106" t="n">
        <v>0</v>
      </c>
      <c r="G106" t="n">
        <v>0</v>
      </c>
      <c r="H106" t="n">
        <v>0</v>
      </c>
      <c r="I106" s="64" t="n"/>
      <c r="J106" s="64" t="n">
        <v>0</v>
      </c>
      <c r="K106" s="64" t="n">
        <v>0</v>
      </c>
      <c r="L106" s="64" t="n"/>
      <c r="M106" s="64" t="n">
        <v>0</v>
      </c>
      <c r="N106" s="64" t="n">
        <v>0</v>
      </c>
      <c r="O106" s="64" t="n"/>
      <c r="P106" s="64" t="n"/>
      <c r="Q106" s="64" t="n"/>
      <c r="R106" s="64" t="inlineStr">
        <is>
          <t>https://github.com/DLu/oscar_data</t>
        </is>
      </c>
    </row>
    <row r="107">
      <c r="A107" t="inlineStr">
        <is>
          <t>F0103</t>
        </is>
      </c>
      <c r="B107" t="inlineStr">
        <is>
          <t>The Fast and the Furious: Tokyo Drift</t>
        </is>
      </c>
      <c r="C107" t="inlineStr">
        <is>
          <t>2006</t>
        </is>
      </c>
      <c r="D107" t="n">
        <v>0</v>
      </c>
      <c r="E107" t="n">
        <v>0</v>
      </c>
      <c r="G107" t="n">
        <v>0</v>
      </c>
      <c r="H107" t="n">
        <v>0</v>
      </c>
      <c r="I107" s="64" t="n"/>
      <c r="J107" s="64" t="n">
        <v>0</v>
      </c>
      <c r="K107" s="64" t="n">
        <v>0</v>
      </c>
      <c r="L107" s="64" t="n"/>
      <c r="M107" s="64" t="n">
        <v>0</v>
      </c>
      <c r="N107" s="64" t="n">
        <v>0</v>
      </c>
      <c r="O107" s="64" t="n"/>
      <c r="P107" s="64" t="n"/>
      <c r="Q107" s="64" t="n"/>
      <c r="R107" s="64" t="inlineStr">
        <is>
          <t>https://github.com/DLu/oscar_data</t>
        </is>
      </c>
    </row>
    <row r="108">
      <c r="A108" t="inlineStr">
        <is>
          <t>F0104</t>
        </is>
      </c>
      <c r="B108" t="inlineStr">
        <is>
          <t>Fast &amp; Furious</t>
        </is>
      </c>
      <c r="C108" t="inlineStr">
        <is>
          <t>2009</t>
        </is>
      </c>
      <c r="D108" t="n">
        <v>0</v>
      </c>
      <c r="E108" t="n">
        <v>0</v>
      </c>
      <c r="G108" t="n">
        <v>0</v>
      </c>
      <c r="H108" t="n">
        <v>0</v>
      </c>
      <c r="I108" s="64" t="n"/>
      <c r="J108" s="64" t="n">
        <v>0</v>
      </c>
      <c r="K108" s="64" t="n">
        <v>0</v>
      </c>
      <c r="L108" s="64" t="n"/>
      <c r="M108" s="64" t="n">
        <v>0</v>
      </c>
      <c r="N108" s="64" t="n">
        <v>0</v>
      </c>
      <c r="O108" s="64" t="n"/>
      <c r="P108" s="64" t="n"/>
      <c r="Q108" s="64" t="n"/>
      <c r="R108" s="64" t="inlineStr">
        <is>
          <t>https://github.com/DLu/oscar_data</t>
        </is>
      </c>
    </row>
    <row r="109">
      <c r="A109" t="inlineStr">
        <is>
          <t>F0105</t>
        </is>
      </c>
      <c r="B109" t="inlineStr">
        <is>
          <t>Fast Five</t>
        </is>
      </c>
      <c r="C109" t="inlineStr">
        <is>
          <t>2011</t>
        </is>
      </c>
      <c r="D109" t="n">
        <v>0</v>
      </c>
      <c r="E109" t="n">
        <v>0</v>
      </c>
      <c r="G109" t="n">
        <v>0</v>
      </c>
      <c r="H109" t="n">
        <v>0</v>
      </c>
      <c r="I109" s="64" t="n"/>
      <c r="J109" s="64" t="n">
        <v>0</v>
      </c>
      <c r="K109" s="64" t="n">
        <v>0</v>
      </c>
      <c r="L109" s="64" t="n"/>
      <c r="M109" s="64" t="n">
        <v>0</v>
      </c>
      <c r="N109" s="64" t="n">
        <v>0</v>
      </c>
      <c r="O109" s="64" t="n"/>
      <c r="P109" s="64" t="n"/>
      <c r="Q109" s="64" t="n"/>
      <c r="R109" s="64" t="inlineStr">
        <is>
          <t>https://github.com/DLu/oscar_data</t>
        </is>
      </c>
    </row>
    <row r="110">
      <c r="A110" t="inlineStr">
        <is>
          <t>F0106</t>
        </is>
      </c>
      <c r="B110" t="inlineStr">
        <is>
          <t>Fast &amp; Furious 6</t>
        </is>
      </c>
      <c r="C110" t="inlineStr">
        <is>
          <t>2013</t>
        </is>
      </c>
      <c r="D110" t="n">
        <v>0</v>
      </c>
      <c r="E110" t="n">
        <v>0</v>
      </c>
      <c r="G110" t="n">
        <v>0</v>
      </c>
      <c r="H110" t="n">
        <v>0</v>
      </c>
      <c r="I110" s="64" t="n"/>
      <c r="J110" s="64" t="n">
        <v>0</v>
      </c>
      <c r="K110" s="64" t="n">
        <v>0</v>
      </c>
      <c r="L110" s="64" t="n"/>
      <c r="M110" s="64" t="n">
        <v>0</v>
      </c>
      <c r="N110" s="64" t="n">
        <v>0</v>
      </c>
      <c r="O110" s="64" t="n"/>
      <c r="P110" s="64" t="n"/>
      <c r="Q110" s="64" t="n"/>
      <c r="R110" s="64" t="inlineStr">
        <is>
          <t>https://github.com/DLu/oscar_data</t>
        </is>
      </c>
    </row>
    <row r="111">
      <c r="A111" t="inlineStr">
        <is>
          <t>F0107</t>
        </is>
      </c>
      <c r="B111" t="inlineStr">
        <is>
          <t>Furious 7</t>
        </is>
      </c>
      <c r="C111" t="inlineStr">
        <is>
          <t>2015</t>
        </is>
      </c>
      <c r="D111" t="n">
        <v>0</v>
      </c>
      <c r="E111" t="n">
        <v>0</v>
      </c>
      <c r="G111" t="n">
        <v>0</v>
      </c>
      <c r="H111" t="n">
        <v>0</v>
      </c>
      <c r="I111" s="64" t="n"/>
      <c r="J111" s="64" t="n">
        <v>0</v>
      </c>
      <c r="K111" s="64" t="n">
        <v>0</v>
      </c>
      <c r="L111" s="64" t="n"/>
      <c r="M111" s="64" t="n">
        <v>0</v>
      </c>
      <c r="N111" s="64" t="n">
        <v>0</v>
      </c>
      <c r="O111" s="64" t="n"/>
      <c r="P111" s="64" t="n"/>
      <c r="Q111" s="64" t="n"/>
      <c r="R111" s="64" t="inlineStr">
        <is>
          <t>https://github.com/DLu/oscar_data</t>
        </is>
      </c>
    </row>
    <row r="112">
      <c r="A112" t="inlineStr">
        <is>
          <t>F0108</t>
        </is>
      </c>
      <c r="B112" t="inlineStr">
        <is>
          <t>The Fate of the Furious</t>
        </is>
      </c>
      <c r="C112" t="inlineStr">
        <is>
          <t>2017</t>
        </is>
      </c>
      <c r="D112" t="n">
        <v>0</v>
      </c>
      <c r="E112" t="n">
        <v>0</v>
      </c>
      <c r="G112" t="n">
        <v>0</v>
      </c>
      <c r="H112" t="n">
        <v>0</v>
      </c>
      <c r="I112" s="64" t="n"/>
      <c r="J112" s="64" t="n">
        <v>0</v>
      </c>
      <c r="K112" s="64" t="n">
        <v>0</v>
      </c>
      <c r="L112" s="64" t="n"/>
      <c r="M112" s="64" t="n">
        <v>0</v>
      </c>
      <c r="N112" s="64" t="n">
        <v>0</v>
      </c>
      <c r="O112" s="64" t="n"/>
      <c r="P112" s="64" t="n"/>
      <c r="Q112" s="64" t="n"/>
      <c r="R112" s="64" t="inlineStr">
        <is>
          <t>https://github.com/DLu/oscar_data</t>
        </is>
      </c>
    </row>
    <row r="113">
      <c r="A113" t="inlineStr">
        <is>
          <t>F0109</t>
        </is>
      </c>
      <c r="B113" t="inlineStr">
        <is>
          <t>F9: The Fast Saga</t>
        </is>
      </c>
      <c r="C113" t="inlineStr">
        <is>
          <t>2021</t>
        </is>
      </c>
      <c r="D113" t="n">
        <v>0</v>
      </c>
      <c r="E113" t="n">
        <v>0</v>
      </c>
      <c r="G113" t="n">
        <v>0</v>
      </c>
      <c r="H113" t="n">
        <v>0</v>
      </c>
      <c r="I113" s="64" t="n"/>
      <c r="J113" s="64" t="n">
        <v>0</v>
      </c>
      <c r="K113" s="64" t="n">
        <v>0</v>
      </c>
      <c r="L113" s="64" t="n"/>
      <c r="M113" s="64" t="n">
        <v>0</v>
      </c>
      <c r="N113" s="64" t="n">
        <v>0</v>
      </c>
      <c r="O113" s="64" t="n"/>
      <c r="P113" s="64" t="n"/>
      <c r="Q113" s="64" t="n"/>
      <c r="R113" s="64" t="inlineStr">
        <is>
          <t>https://github.com/DLu/oscar_data</t>
        </is>
      </c>
    </row>
    <row r="114">
      <c r="A114" t="inlineStr">
        <is>
          <t>F0110</t>
        </is>
      </c>
      <c r="B114" t="inlineStr">
        <is>
          <t>Fast X</t>
        </is>
      </c>
      <c r="C114" t="inlineStr">
        <is>
          <t>2023</t>
        </is>
      </c>
      <c r="D114" t="n">
        <v>0</v>
      </c>
      <c r="E114" t="n">
        <v>0</v>
      </c>
      <c r="G114" t="n">
        <v>0</v>
      </c>
      <c r="H114" t="n">
        <v>0</v>
      </c>
      <c r="I114" s="64" t="n"/>
      <c r="J114" s="64" t="n">
        <v>0</v>
      </c>
      <c r="K114" s="64" t="n">
        <v>0</v>
      </c>
      <c r="L114" s="64" t="n"/>
      <c r="M114" s="64" t="n">
        <v>0</v>
      </c>
      <c r="N114" s="64" t="n">
        <v>0</v>
      </c>
      <c r="O114" s="64" t="n"/>
      <c r="P114" s="64" t="n"/>
      <c r="Q114" s="64" t="n"/>
      <c r="R114" s="64" t="inlineStr">
        <is>
          <t>https://github.com/DLu/oscar_data</t>
        </is>
      </c>
    </row>
    <row r="115">
      <c r="A115" t="inlineStr">
        <is>
          <t>F0111</t>
        </is>
      </c>
      <c r="B115" t="inlineStr">
        <is>
          <t>Fast &amp; Furious Presents: Hobbs &amp; Shaw</t>
        </is>
      </c>
      <c r="C115" t="inlineStr">
        <is>
          <t>2019</t>
        </is>
      </c>
      <c r="D115" t="n">
        <v>0</v>
      </c>
      <c r="E115" t="n">
        <v>0</v>
      </c>
      <c r="G115" t="n">
        <v>0</v>
      </c>
      <c r="H115" t="n">
        <v>0</v>
      </c>
      <c r="I115" s="64" t="n"/>
      <c r="J115" s="64" t="n">
        <v>0</v>
      </c>
      <c r="K115" s="64" t="n">
        <v>0</v>
      </c>
      <c r="L115" s="64" t="n"/>
      <c r="M115" s="64" t="n">
        <v>0</v>
      </c>
      <c r="N115" s="64" t="n">
        <v>0</v>
      </c>
      <c r="O115" s="64" t="n"/>
      <c r="P115" s="64" t="n"/>
      <c r="Q115" s="64" t="n"/>
      <c r="R115" s="64" t="inlineStr">
        <is>
          <t>https://github.com/DLu/oscar_data</t>
        </is>
      </c>
    </row>
    <row r="116">
      <c r="A116" t="inlineStr">
        <is>
          <t>F0112</t>
        </is>
      </c>
      <c r="B116" t="inlineStr">
        <is>
          <t>Fight Club</t>
        </is>
      </c>
      <c r="C116" t="inlineStr">
        <is>
          <t>1999</t>
        </is>
      </c>
      <c r="D116" t="n">
        <v>1</v>
      </c>
      <c r="E116" t="n">
        <v>0</v>
      </c>
      <c r="G116" t="n">
        <v>0</v>
      </c>
      <c r="H116" t="n">
        <v>0</v>
      </c>
      <c r="I116" s="64" t="n"/>
      <c r="J116" s="64" t="n">
        <v>0</v>
      </c>
      <c r="K116" s="64" t="n">
        <v>0</v>
      </c>
      <c r="L116" s="64" t="n"/>
      <c r="M116" s="64" t="n">
        <v>0</v>
      </c>
      <c r="N116" s="64" t="n">
        <v>0</v>
      </c>
      <c r="O116" s="64" t="n"/>
      <c r="P116" s="64" t="n"/>
      <c r="Q116" s="64" t="inlineStr">
        <is>
          <t>SOUND EDITING</t>
        </is>
      </c>
      <c r="R116" s="64" t="inlineStr">
        <is>
          <t>https://github.com/DLu/oscar_data</t>
        </is>
      </c>
    </row>
    <row r="117">
      <c r="A117" t="inlineStr">
        <is>
          <t>F0113</t>
        </is>
      </c>
      <c r="B117" t="inlineStr">
        <is>
          <t>Finding Dory</t>
        </is>
      </c>
      <c r="C117" t="inlineStr">
        <is>
          <t>2016</t>
        </is>
      </c>
      <c r="D117" t="n">
        <v>0</v>
      </c>
      <c r="E117" t="n">
        <v>0</v>
      </c>
      <c r="G117" t="n">
        <v>0</v>
      </c>
      <c r="H117" t="n">
        <v>0</v>
      </c>
      <c r="I117" s="64" t="n"/>
      <c r="J117" s="64" t="n">
        <v>0</v>
      </c>
      <c r="K117" s="64" t="n">
        <v>0</v>
      </c>
      <c r="L117" s="64" t="n"/>
      <c r="M117" s="64" t="n">
        <v>0</v>
      </c>
      <c r="N117" s="64" t="n">
        <v>0</v>
      </c>
      <c r="O117" s="64" t="n"/>
      <c r="P117" s="64" t="n"/>
      <c r="Q117" s="64" t="n"/>
      <c r="R117" s="64" t="inlineStr">
        <is>
          <t>https://github.com/DLu/oscar_data</t>
        </is>
      </c>
    </row>
    <row r="118">
      <c r="A118" t="inlineStr">
        <is>
          <t>F0114</t>
        </is>
      </c>
      <c r="B118" t="inlineStr">
        <is>
          <t>Firewall</t>
        </is>
      </c>
      <c r="C118" t="inlineStr">
        <is>
          <t>2006</t>
        </is>
      </c>
      <c r="D118" t="n">
        <v>0</v>
      </c>
      <c r="E118" t="n">
        <v>0</v>
      </c>
      <c r="G118" t="n">
        <v>0</v>
      </c>
      <c r="H118" t="n">
        <v>0</v>
      </c>
      <c r="I118" s="64" t="n"/>
      <c r="J118" s="64" t="n">
        <v>0</v>
      </c>
      <c r="K118" s="64" t="n">
        <v>0</v>
      </c>
      <c r="L118" s="64" t="n"/>
      <c r="M118" s="64" t="n">
        <v>0</v>
      </c>
      <c r="N118" s="64" t="n">
        <v>0</v>
      </c>
      <c r="O118" s="64" t="n"/>
      <c r="P118" s="64" t="n"/>
      <c r="Q118" s="64" t="n"/>
      <c r="R118" s="64" t="inlineStr">
        <is>
          <t>https://github.com/DLu/oscar_data</t>
        </is>
      </c>
    </row>
    <row r="119">
      <c r="A119" t="inlineStr">
        <is>
          <t>F0115</t>
        </is>
      </c>
      <c r="B119" t="inlineStr">
        <is>
          <t>Forgetting Sarah Marshall</t>
        </is>
      </c>
      <c r="C119" t="inlineStr">
        <is>
          <t>2008</t>
        </is>
      </c>
      <c r="D119" t="n">
        <v>0</v>
      </c>
      <c r="E119" t="n">
        <v>0</v>
      </c>
      <c r="G119" t="n">
        <v>0</v>
      </c>
      <c r="H119" t="n">
        <v>0</v>
      </c>
      <c r="I119" s="64" t="n"/>
      <c r="J119" s="64" t="n">
        <v>0</v>
      </c>
      <c r="K119" s="64" t="n">
        <v>0</v>
      </c>
      <c r="L119" s="64" t="n"/>
      <c r="M119" s="64" t="n">
        <v>0</v>
      </c>
      <c r="N119" s="64" t="n">
        <v>0</v>
      </c>
      <c r="O119" s="64" t="n"/>
      <c r="P119" s="64" t="n"/>
      <c r="Q119" s="64" t="n"/>
      <c r="R119" s="64" t="inlineStr">
        <is>
          <t>https://github.com/DLu/oscar_data</t>
        </is>
      </c>
    </row>
    <row r="120">
      <c r="A120" t="inlineStr">
        <is>
          <t>F0116</t>
        </is>
      </c>
      <c r="B120" t="inlineStr">
        <is>
          <t>Frozen</t>
        </is>
      </c>
      <c r="C120" t="inlineStr">
        <is>
          <t>2013</t>
        </is>
      </c>
      <c r="D120" t="n">
        <v>2</v>
      </c>
      <c r="E120" t="n">
        <v>2</v>
      </c>
      <c r="G120" t="n">
        <v>0</v>
      </c>
      <c r="H120" t="n">
        <v>0</v>
      </c>
      <c r="I120" s="64" t="n"/>
      <c r="J120" s="64" t="n">
        <v>0</v>
      </c>
      <c r="K120" s="64" t="n">
        <v>0</v>
      </c>
      <c r="L120" s="64" t="n"/>
      <c r="M120" s="64" t="n">
        <v>0</v>
      </c>
      <c r="N120" s="64" t="n">
        <v>0</v>
      </c>
      <c r="O120" s="64" t="inlineStr">
        <is>
          <t>Winner</t>
        </is>
      </c>
      <c r="P120" s="64" t="inlineStr">
        <is>
          <t>ANIMATED FEATURE FILM; MUSIC (Original Song)</t>
        </is>
      </c>
      <c r="Q120" s="64" t="inlineStr">
        <is>
          <t>ANIMATED FEATURE FILM; MUSIC (Original Song)</t>
        </is>
      </c>
      <c r="R120" s="64" t="inlineStr">
        <is>
          <t>https://github.com/DLu/oscar_data</t>
        </is>
      </c>
    </row>
    <row r="121">
      <c r="A121" t="inlineStr">
        <is>
          <t>F0117</t>
        </is>
      </c>
      <c r="B121" t="inlineStr">
        <is>
          <t>Fury</t>
        </is>
      </c>
      <c r="C121" t="inlineStr">
        <is>
          <t>2014</t>
        </is>
      </c>
      <c r="D121" t="n">
        <v>0</v>
      </c>
      <c r="E121" t="n">
        <v>0</v>
      </c>
      <c r="G121" t="n">
        <v>0</v>
      </c>
      <c r="H121" t="n">
        <v>0</v>
      </c>
      <c r="I121" s="64" t="n"/>
      <c r="J121" s="64" t="n">
        <v>0</v>
      </c>
      <c r="K121" s="64" t="n">
        <v>0</v>
      </c>
      <c r="L121" s="64" t="n"/>
      <c r="M121" s="64" t="n">
        <v>0</v>
      </c>
      <c r="N121" s="64" t="n">
        <v>0</v>
      </c>
      <c r="O121" s="64" t="n"/>
      <c r="P121" s="64" t="n"/>
      <c r="Q121" s="64" t="n"/>
      <c r="R121" s="64" t="inlineStr">
        <is>
          <t>https://github.com/DLu/oscar_data</t>
        </is>
      </c>
    </row>
    <row r="122">
      <c r="A122" t="inlineStr">
        <is>
          <t>F0118</t>
        </is>
      </c>
      <c r="B122" t="inlineStr">
        <is>
          <t>G.I. Joe: The Rise of Cobra</t>
        </is>
      </c>
      <c r="C122" t="inlineStr">
        <is>
          <t>2009</t>
        </is>
      </c>
      <c r="D122" t="n">
        <v>0</v>
      </c>
      <c r="E122" t="n">
        <v>0</v>
      </c>
      <c r="G122" t="n">
        <v>0</v>
      </c>
      <c r="H122" t="n">
        <v>0</v>
      </c>
      <c r="I122" s="64" t="n"/>
      <c r="J122" s="64" t="n">
        <v>0</v>
      </c>
      <c r="K122" s="64" t="n">
        <v>0</v>
      </c>
      <c r="L122" s="64" t="n"/>
      <c r="M122" s="64" t="n">
        <v>0</v>
      </c>
      <c r="N122" s="64" t="n">
        <v>0</v>
      </c>
      <c r="O122" s="64" t="n"/>
      <c r="P122" s="64" t="n"/>
      <c r="Q122" s="64" t="n"/>
      <c r="R122" s="64" t="inlineStr">
        <is>
          <t>https://github.com/DLu/oscar_data</t>
        </is>
      </c>
    </row>
    <row r="123">
      <c r="A123" t="inlineStr">
        <is>
          <t>F0119</t>
        </is>
      </c>
      <c r="B123" t="inlineStr">
        <is>
          <t>The Gentlemen</t>
        </is>
      </c>
      <c r="C123" t="inlineStr">
        <is>
          <t>2020</t>
        </is>
      </c>
      <c r="D123" t="n">
        <v>0</v>
      </c>
      <c r="E123" t="n">
        <v>0</v>
      </c>
      <c r="G123" t="n">
        <v>0</v>
      </c>
      <c r="H123" t="n">
        <v>0</v>
      </c>
      <c r="I123" s="64" t="n"/>
      <c r="J123" s="64" t="n">
        <v>0</v>
      </c>
      <c r="K123" s="64" t="n">
        <v>0</v>
      </c>
      <c r="L123" s="64" t="n"/>
      <c r="M123" s="64" t="n">
        <v>0</v>
      </c>
      <c r="N123" s="64" t="n">
        <v>0</v>
      </c>
      <c r="O123" s="64" t="n"/>
      <c r="P123" s="64" t="n"/>
      <c r="Q123" s="64" t="n"/>
      <c r="R123" s="64" t="inlineStr">
        <is>
          <t>https://github.com/DLu/oscar_data</t>
        </is>
      </c>
    </row>
    <row r="124" ht="30" customHeight="1" s="95">
      <c r="A124" t="inlineStr">
        <is>
          <t>F0120</t>
        </is>
      </c>
      <c r="B124" t="inlineStr">
        <is>
          <t>The Girl with the Dragon Tattoo</t>
        </is>
      </c>
      <c r="C124" t="inlineStr">
        <is>
          <t>2011</t>
        </is>
      </c>
      <c r="D124" t="n">
        <v>5</v>
      </c>
      <c r="E124" t="n">
        <v>1</v>
      </c>
      <c r="G124" t="n">
        <v>1</v>
      </c>
      <c r="H124" t="n">
        <v>0</v>
      </c>
      <c r="I124" s="64" t="n"/>
      <c r="J124" s="64" t="n">
        <v>0</v>
      </c>
      <c r="K124" s="64" t="n">
        <v>0</v>
      </c>
      <c r="L124" s="64" t="n"/>
      <c r="M124" s="64" t="n">
        <v>0</v>
      </c>
      <c r="N124" s="64" t="n">
        <v>0</v>
      </c>
      <c r="O124" s="64" t="n"/>
      <c r="P124" s="64" t="inlineStr">
        <is>
          <t>FILM EDITING</t>
        </is>
      </c>
      <c r="Q124" s="64" t="inlineStr">
        <is>
          <t>ACTRESS IN A LEADING ROLE; CINEMATOGRAPHY; FILM EDITING; SOUND EDITING; SOUND MIXING</t>
        </is>
      </c>
      <c r="R124" s="64" t="inlineStr">
        <is>
          <t>https://github.com/DLu/oscar_data</t>
        </is>
      </c>
    </row>
    <row r="125">
      <c r="A125" t="inlineStr">
        <is>
          <t>F0121</t>
        </is>
      </c>
      <c r="B125" t="inlineStr">
        <is>
          <t>Godzilla</t>
        </is>
      </c>
      <c r="C125" t="inlineStr">
        <is>
          <t>2014</t>
        </is>
      </c>
      <c r="D125" t="n">
        <v>0</v>
      </c>
      <c r="E125" t="n">
        <v>0</v>
      </c>
      <c r="G125" t="n">
        <v>0</v>
      </c>
      <c r="H125" t="n">
        <v>0</v>
      </c>
      <c r="I125" s="64" t="n"/>
      <c r="J125" s="64" t="n">
        <v>0</v>
      </c>
      <c r="K125" s="64" t="n">
        <v>0</v>
      </c>
      <c r="L125" s="64" t="n"/>
      <c r="M125" s="64" t="n">
        <v>0</v>
      </c>
      <c r="N125" s="64" t="n">
        <v>0</v>
      </c>
      <c r="O125" s="64" t="n"/>
      <c r="P125" s="64" t="n"/>
      <c r="Q125" s="64" t="n"/>
      <c r="R125" s="64" t="inlineStr">
        <is>
          <t>https://github.com/DLu/oscar_data</t>
        </is>
      </c>
    </row>
    <row r="126">
      <c r="A126" t="inlineStr">
        <is>
          <t>F0122</t>
        </is>
      </c>
      <c r="B126" t="inlineStr">
        <is>
          <t>Godzilla: King of the Monsters</t>
        </is>
      </c>
      <c r="C126" t="inlineStr">
        <is>
          <t>2019</t>
        </is>
      </c>
      <c r="D126" t="n">
        <v>0</v>
      </c>
      <c r="E126" t="n">
        <v>0</v>
      </c>
      <c r="G126" t="n">
        <v>0</v>
      </c>
      <c r="H126" t="n">
        <v>0</v>
      </c>
      <c r="I126" s="64" t="n"/>
      <c r="J126" s="64" t="n">
        <v>0</v>
      </c>
      <c r="K126" s="64" t="n">
        <v>0</v>
      </c>
      <c r="L126" s="64" t="n"/>
      <c r="M126" s="64" t="n">
        <v>0</v>
      </c>
      <c r="N126" s="64" t="n">
        <v>0</v>
      </c>
      <c r="O126" s="64" t="n"/>
      <c r="P126" s="64" t="n"/>
      <c r="Q126" s="64" t="n"/>
      <c r="R126" s="64" t="inlineStr">
        <is>
          <t>https://github.com/DLu/oscar_data</t>
        </is>
      </c>
    </row>
    <row r="127">
      <c r="A127" t="inlineStr">
        <is>
          <t>F0123</t>
        </is>
      </c>
      <c r="B127" t="inlineStr">
        <is>
          <t>Godzilla vs. Kong</t>
        </is>
      </c>
      <c r="C127" t="inlineStr">
        <is>
          <t>2021</t>
        </is>
      </c>
      <c r="D127" t="n">
        <v>0</v>
      </c>
      <c r="E127" t="n">
        <v>0</v>
      </c>
      <c r="G127" t="n">
        <v>0</v>
      </c>
      <c r="H127" t="n">
        <v>0</v>
      </c>
      <c r="I127" s="64" t="n"/>
      <c r="J127" s="64" t="n">
        <v>0</v>
      </c>
      <c r="K127" s="64" t="n">
        <v>0</v>
      </c>
      <c r="L127" s="64" t="n"/>
      <c r="M127" s="64" t="n">
        <v>0</v>
      </c>
      <c r="N127" s="64" t="n">
        <v>0</v>
      </c>
      <c r="O127" s="64" t="n"/>
      <c r="P127" s="64" t="n"/>
      <c r="Q127" s="64" t="n"/>
      <c r="R127" s="64" t="inlineStr">
        <is>
          <t>https://github.com/DLu/oscar_data</t>
        </is>
      </c>
    </row>
    <row r="128" ht="60" customHeight="1" s="95">
      <c r="A128" t="inlineStr">
        <is>
          <t>F0124</t>
        </is>
      </c>
      <c r="B128" t="inlineStr">
        <is>
          <t>Good Will Hunting</t>
        </is>
      </c>
      <c r="C128" t="inlineStr">
        <is>
          <t>1997</t>
        </is>
      </c>
      <c r="D128" t="n">
        <v>9</v>
      </c>
      <c r="E128" t="n">
        <v>2</v>
      </c>
      <c r="F128" t="inlineStr">
        <is>
          <t>Nominated</t>
        </is>
      </c>
      <c r="G128" t="n">
        <v>3</v>
      </c>
      <c r="H128" t="n">
        <v>1</v>
      </c>
      <c r="I128" s="64" t="inlineStr">
        <is>
          <t>Robin Williams</t>
        </is>
      </c>
      <c r="J128" s="64" t="n">
        <v>1</v>
      </c>
      <c r="K128" s="64" t="n">
        <v>0</v>
      </c>
      <c r="L128" s="64" t="n"/>
      <c r="M128" s="64" t="n">
        <v>1</v>
      </c>
      <c r="N128" s="64" t="n">
        <v>1</v>
      </c>
      <c r="O128" s="64" t="n"/>
      <c r="P128" s="64" t="inlineStr">
        <is>
          <t>ACTOR IN A SUPPORTING ROLE; WRITING (Original Screenplay)</t>
        </is>
      </c>
      <c r="Q128" s="64" t="inlineStr">
        <is>
          <t>ACTOR IN A LEADING ROLE; ACTOR IN A SUPPORTING ROLE; ACTRESS IN A SUPPORTING ROLE; DIRECTING; FILM EDITING; MUSIC (Original Score); MUSIC (Original Song); BEST PICTURE; WRITING (Original Screenplay)</t>
        </is>
      </c>
      <c r="R128" s="64" t="inlineStr">
        <is>
          <t>https://github.com/DLu/oscar_data</t>
        </is>
      </c>
    </row>
    <row r="129">
      <c r="A129" t="inlineStr">
        <is>
          <t>F0125</t>
        </is>
      </c>
      <c r="B129" t="inlineStr">
        <is>
          <t>Gran Torino</t>
        </is>
      </c>
      <c r="C129" t="inlineStr">
        <is>
          <t>2008</t>
        </is>
      </c>
      <c r="D129" t="n">
        <v>0</v>
      </c>
      <c r="E129" t="n">
        <v>0</v>
      </c>
      <c r="G129" t="n">
        <v>0</v>
      </c>
      <c r="H129" t="n">
        <v>0</v>
      </c>
      <c r="I129" s="64" t="n"/>
      <c r="J129" s="64" t="n">
        <v>0</v>
      </c>
      <c r="K129" s="64" t="n">
        <v>0</v>
      </c>
      <c r="L129" s="64" t="n"/>
      <c r="M129" s="64" t="n">
        <v>0</v>
      </c>
      <c r="N129" s="64" t="n">
        <v>0</v>
      </c>
      <c r="O129" s="64" t="n"/>
      <c r="P129" s="64" t="n"/>
      <c r="Q129" s="64" t="n"/>
      <c r="R129" s="64" t="inlineStr">
        <is>
          <t>https://github.com/DLu/oscar_data</t>
        </is>
      </c>
    </row>
    <row r="130">
      <c r="A130" t="inlineStr">
        <is>
          <t>F0126</t>
        </is>
      </c>
      <c r="B130" t="inlineStr">
        <is>
          <t>The Great Gatsby</t>
        </is>
      </c>
      <c r="C130" t="inlineStr">
        <is>
          <t>2013</t>
        </is>
      </c>
      <c r="D130" t="n">
        <v>2</v>
      </c>
      <c r="E130" t="n">
        <v>2</v>
      </c>
      <c r="G130" t="n">
        <v>0</v>
      </c>
      <c r="H130" t="n">
        <v>0</v>
      </c>
      <c r="I130" s="64" t="n"/>
      <c r="J130" s="64" t="n">
        <v>0</v>
      </c>
      <c r="K130" s="64" t="n">
        <v>0</v>
      </c>
      <c r="L130" s="64" t="n"/>
      <c r="M130" s="64" t="n">
        <v>0</v>
      </c>
      <c r="N130" s="64" t="n">
        <v>0</v>
      </c>
      <c r="O130" s="64" t="n"/>
      <c r="P130" s="64" t="inlineStr">
        <is>
          <t>COSTUME DESIGN; ART DIRECTION</t>
        </is>
      </c>
      <c r="Q130" s="64" t="inlineStr">
        <is>
          <t>COSTUME DESIGN; ART DIRECTION</t>
        </is>
      </c>
      <c r="R130" s="64" t="inlineStr">
        <is>
          <t>https://github.com/DLu/oscar_data</t>
        </is>
      </c>
    </row>
    <row r="131">
      <c r="A131" t="inlineStr">
        <is>
          <t>F0127</t>
        </is>
      </c>
      <c r="B131" t="inlineStr">
        <is>
          <t>The Greatest Showman</t>
        </is>
      </c>
      <c r="C131" t="inlineStr">
        <is>
          <t>2017</t>
        </is>
      </c>
      <c r="D131" t="n">
        <v>1</v>
      </c>
      <c r="E131" t="n">
        <v>0</v>
      </c>
      <c r="G131" t="n">
        <v>0</v>
      </c>
      <c r="H131" t="n">
        <v>0</v>
      </c>
      <c r="I131" s="64" t="n"/>
      <c r="J131" s="64" t="n">
        <v>0</v>
      </c>
      <c r="K131" s="64" t="n">
        <v>0</v>
      </c>
      <c r="L131" s="64" t="n"/>
      <c r="M131" s="64" t="n">
        <v>0</v>
      </c>
      <c r="N131" s="64" t="n">
        <v>0</v>
      </c>
      <c r="O131" s="64" t="n"/>
      <c r="P131" s="64" t="n"/>
      <c r="Q131" s="64" t="inlineStr">
        <is>
          <t>MUSIC (Original Song)</t>
        </is>
      </c>
      <c r="R131" s="64" t="inlineStr">
        <is>
          <t>https://github.com/DLu/oscar_data</t>
        </is>
      </c>
    </row>
    <row r="132">
      <c r="A132" t="inlineStr">
        <is>
          <t>F0128</t>
        </is>
      </c>
      <c r="B132" t="inlineStr">
        <is>
          <t>Green Lantern</t>
        </is>
      </c>
      <c r="C132" t="inlineStr">
        <is>
          <t>2011</t>
        </is>
      </c>
      <c r="D132" t="n">
        <v>0</v>
      </c>
      <c r="E132" t="n">
        <v>0</v>
      </c>
      <c r="G132" t="n">
        <v>0</v>
      </c>
      <c r="H132" t="n">
        <v>0</v>
      </c>
      <c r="I132" s="64" t="n"/>
      <c r="J132" s="64" t="n">
        <v>0</v>
      </c>
      <c r="K132" s="64" t="n">
        <v>0</v>
      </c>
      <c r="L132" s="64" t="n"/>
      <c r="M132" s="64" t="n">
        <v>0</v>
      </c>
      <c r="N132" s="64" t="n">
        <v>0</v>
      </c>
      <c r="O132" s="64" t="n"/>
      <c r="P132" s="64" t="n"/>
      <c r="Q132" s="64" t="n"/>
      <c r="R132" s="64" t="inlineStr">
        <is>
          <t>https://github.com/DLu/oscar_data</t>
        </is>
      </c>
    </row>
    <row r="133">
      <c r="A133" t="inlineStr">
        <is>
          <t>F0129</t>
        </is>
      </c>
      <c r="B133" t="inlineStr">
        <is>
          <t>Green Zone</t>
        </is>
      </c>
      <c r="C133" t="inlineStr">
        <is>
          <t>2010</t>
        </is>
      </c>
      <c r="D133" t="n">
        <v>0</v>
      </c>
      <c r="E133" t="n">
        <v>0</v>
      </c>
      <c r="G133" t="n">
        <v>0</v>
      </c>
      <c r="H133" t="n">
        <v>0</v>
      </c>
      <c r="I133" s="64" t="n"/>
      <c r="J133" s="64" t="n">
        <v>0</v>
      </c>
      <c r="K133" s="64" t="n">
        <v>0</v>
      </c>
      <c r="L133" s="64" t="n"/>
      <c r="M133" s="64" t="n">
        <v>0</v>
      </c>
      <c r="N133" s="64" t="n">
        <v>0</v>
      </c>
      <c r="O133" s="64" t="n"/>
      <c r="P133" s="64" t="n"/>
      <c r="Q133" s="64" t="n"/>
      <c r="R133" s="64" t="inlineStr">
        <is>
          <t>https://github.com/DLu/oscar_data</t>
        </is>
      </c>
    </row>
    <row r="134">
      <c r="A134" t="inlineStr">
        <is>
          <t>F0130</t>
        </is>
      </c>
      <c r="B134" t="inlineStr">
        <is>
          <t>Grimsby</t>
        </is>
      </c>
      <c r="C134" t="inlineStr">
        <is>
          <t>2016</t>
        </is>
      </c>
      <c r="D134" t="n">
        <v>0</v>
      </c>
      <c r="E134" t="n">
        <v>0</v>
      </c>
      <c r="G134" t="n">
        <v>0</v>
      </c>
      <c r="H134" t="n">
        <v>0</v>
      </c>
      <c r="I134" s="64" t="n"/>
      <c r="J134" s="64" t="n">
        <v>0</v>
      </c>
      <c r="K134" s="64" t="n">
        <v>0</v>
      </c>
      <c r="L134" s="64" t="n"/>
      <c r="M134" s="64" t="n">
        <v>0</v>
      </c>
      <c r="N134" s="64" t="n">
        <v>0</v>
      </c>
      <c r="O134" s="64" t="n"/>
      <c r="P134" s="64" t="n"/>
      <c r="Q134" s="64" t="n"/>
      <c r="R134" s="64" t="inlineStr">
        <is>
          <t>https://github.com/DLu/oscar_data</t>
        </is>
      </c>
    </row>
    <row r="135">
      <c r="A135" t="inlineStr">
        <is>
          <t>F0131</t>
        </is>
      </c>
      <c r="B135" t="inlineStr">
        <is>
          <t>Grown Ups</t>
        </is>
      </c>
      <c r="C135" t="inlineStr">
        <is>
          <t>2010</t>
        </is>
      </c>
      <c r="D135" t="n">
        <v>0</v>
      </c>
      <c r="E135" t="n">
        <v>0</v>
      </c>
      <c r="G135" t="n">
        <v>0</v>
      </c>
      <c r="H135" t="n">
        <v>0</v>
      </c>
      <c r="I135" s="64" t="n"/>
      <c r="J135" s="64" t="n">
        <v>0</v>
      </c>
      <c r="K135" s="64" t="n">
        <v>0</v>
      </c>
      <c r="L135" s="64" t="n"/>
      <c r="M135" s="64" t="n">
        <v>0</v>
      </c>
      <c r="N135" s="64" t="n">
        <v>0</v>
      </c>
      <c r="O135" s="64" t="n"/>
      <c r="P135" s="64" t="n"/>
      <c r="Q135" s="64" t="n"/>
      <c r="R135" s="64" t="inlineStr">
        <is>
          <t>https://github.com/DLu/oscar_data</t>
        </is>
      </c>
    </row>
    <row r="136">
      <c r="A136" t="inlineStr">
        <is>
          <t>F0132</t>
        </is>
      </c>
      <c r="B136" t="inlineStr">
        <is>
          <t>Grown Ups 2</t>
        </is>
      </c>
      <c r="C136" t="inlineStr">
        <is>
          <t>2013</t>
        </is>
      </c>
      <c r="D136" t="n">
        <v>0</v>
      </c>
      <c r="E136" t="n">
        <v>0</v>
      </c>
      <c r="G136" t="n">
        <v>0</v>
      </c>
      <c r="H136" t="n">
        <v>0</v>
      </c>
      <c r="I136" s="64" t="n"/>
      <c r="J136" s="64" t="n">
        <v>0</v>
      </c>
      <c r="K136" s="64" t="n">
        <v>0</v>
      </c>
      <c r="L136" s="64" t="n"/>
      <c r="M136" s="64" t="n">
        <v>0</v>
      </c>
      <c r="N136" s="64" t="n">
        <v>0</v>
      </c>
      <c r="O136" s="64" t="n"/>
      <c r="P136" s="64" t="n"/>
      <c r="Q136" s="64" t="n"/>
      <c r="R136" s="64" t="inlineStr">
        <is>
          <t>https://github.com/DLu/oscar_data</t>
        </is>
      </c>
    </row>
    <row r="137" ht="30" customHeight="1" s="95">
      <c r="A137" t="inlineStr">
        <is>
          <t>F0133</t>
        </is>
      </c>
      <c r="B137" t="inlineStr">
        <is>
          <t>Hacksaw Ridge</t>
        </is>
      </c>
      <c r="C137" t="inlineStr">
        <is>
          <t>2016</t>
        </is>
      </c>
      <c r="D137" t="n">
        <v>6</v>
      </c>
      <c r="E137" t="n">
        <v>2</v>
      </c>
      <c r="F137" t="inlineStr">
        <is>
          <t>Nominated</t>
        </is>
      </c>
      <c r="G137" t="n">
        <v>1</v>
      </c>
      <c r="H137" t="n">
        <v>0</v>
      </c>
      <c r="I137" s="64" t="n"/>
      <c r="J137" s="64" t="n">
        <v>1</v>
      </c>
      <c r="K137" s="64" t="n">
        <v>0</v>
      </c>
      <c r="L137" s="64" t="n"/>
      <c r="M137" s="64" t="n">
        <v>0</v>
      </c>
      <c r="N137" s="64" t="n">
        <v>0</v>
      </c>
      <c r="O137" s="64" t="n"/>
      <c r="P137" s="64" t="inlineStr">
        <is>
          <t>FILM EDITING; SOUND MIXING</t>
        </is>
      </c>
      <c r="Q137" s="64" t="inlineStr">
        <is>
          <t>ACTOR IN A LEADING ROLE; DIRECTING; FILM EDITING; BEST PICTURE; SOUND EDITING; SOUND MIXING</t>
        </is>
      </c>
      <c r="R137" s="64" t="inlineStr">
        <is>
          <t>https://github.com/DLu/oscar_data</t>
        </is>
      </c>
    </row>
    <row r="138">
      <c r="A138" t="inlineStr">
        <is>
          <t>F0134</t>
        </is>
      </c>
      <c r="B138" t="inlineStr">
        <is>
          <t>The Hangover</t>
        </is>
      </c>
      <c r="C138" t="inlineStr">
        <is>
          <t>2009</t>
        </is>
      </c>
      <c r="D138" t="n">
        <v>0</v>
      </c>
      <c r="E138" t="n">
        <v>0</v>
      </c>
      <c r="G138" t="n">
        <v>0</v>
      </c>
      <c r="H138" t="n">
        <v>0</v>
      </c>
      <c r="I138" s="64" t="n"/>
      <c r="J138" s="64" t="n">
        <v>0</v>
      </c>
      <c r="K138" s="64" t="n">
        <v>0</v>
      </c>
      <c r="L138" s="64" t="n"/>
      <c r="M138" s="64" t="n">
        <v>0</v>
      </c>
      <c r="N138" s="64" t="n">
        <v>0</v>
      </c>
      <c r="O138" s="64" t="n"/>
      <c r="P138" s="64" t="n"/>
      <c r="Q138" s="64" t="n"/>
      <c r="R138" s="64" t="inlineStr">
        <is>
          <t>https://github.com/DLu/oscar_data</t>
        </is>
      </c>
    </row>
    <row r="139">
      <c r="A139" t="inlineStr">
        <is>
          <t>F0135</t>
        </is>
      </c>
      <c r="B139" t="inlineStr">
        <is>
          <t>The Hangover Part II</t>
        </is>
      </c>
      <c r="C139" t="inlineStr">
        <is>
          <t>2011</t>
        </is>
      </c>
      <c r="D139" t="n">
        <v>0</v>
      </c>
      <c r="E139" t="n">
        <v>0</v>
      </c>
      <c r="G139" t="n">
        <v>0</v>
      </c>
      <c r="H139" t="n">
        <v>0</v>
      </c>
      <c r="I139" s="64" t="n"/>
      <c r="J139" s="64" t="n">
        <v>0</v>
      </c>
      <c r="K139" s="64" t="n">
        <v>0</v>
      </c>
      <c r="L139" s="64" t="n"/>
      <c r="M139" s="64" t="n">
        <v>0</v>
      </c>
      <c r="N139" s="64" t="n">
        <v>0</v>
      </c>
      <c r="O139" s="64" t="n"/>
      <c r="P139" s="64" t="n"/>
      <c r="Q139" s="64" t="n"/>
      <c r="R139" s="64" t="inlineStr">
        <is>
          <t>https://github.com/DLu/oscar_data</t>
        </is>
      </c>
    </row>
    <row r="140">
      <c r="A140" t="inlineStr">
        <is>
          <t>F0136</t>
        </is>
      </c>
      <c r="B140" t="inlineStr">
        <is>
          <t>The Hangover Part III</t>
        </is>
      </c>
      <c r="C140" t="inlineStr">
        <is>
          <t>2013</t>
        </is>
      </c>
      <c r="D140" t="n">
        <v>0</v>
      </c>
      <c r="E140" t="n">
        <v>0</v>
      </c>
      <c r="G140" t="n">
        <v>0</v>
      </c>
      <c r="H140" t="n">
        <v>0</v>
      </c>
      <c r="I140" s="64" t="n"/>
      <c r="J140" s="64" t="n">
        <v>0</v>
      </c>
      <c r="K140" s="64" t="n">
        <v>0</v>
      </c>
      <c r="L140" s="64" t="n"/>
      <c r="M140" s="64" t="n">
        <v>0</v>
      </c>
      <c r="N140" s="64" t="n">
        <v>0</v>
      </c>
      <c r="O140" s="64" t="n"/>
      <c r="P140" s="64" t="n"/>
      <c r="Q140" s="64" t="n"/>
      <c r="R140" s="64" t="inlineStr">
        <is>
          <t>https://github.com/DLu/oscar_data</t>
        </is>
      </c>
    </row>
    <row r="141">
      <c r="A141" t="inlineStr">
        <is>
          <t>F0137</t>
        </is>
      </c>
      <c r="B141" t="inlineStr">
        <is>
          <t>Harry Potter and the Philosopher's Stone</t>
        </is>
      </c>
      <c r="C141" t="inlineStr">
        <is>
          <t>2001</t>
        </is>
      </c>
      <c r="D141" t="n">
        <v>0</v>
      </c>
      <c r="E141" t="n">
        <v>0</v>
      </c>
      <c r="G141" t="n">
        <v>0</v>
      </c>
      <c r="H141" t="n">
        <v>0</v>
      </c>
      <c r="I141" s="64" t="n"/>
      <c r="J141" s="64" t="n">
        <v>0</v>
      </c>
      <c r="K141" s="64" t="n">
        <v>0</v>
      </c>
      <c r="L141" s="64" t="n"/>
      <c r="M141" s="64" t="n">
        <v>0</v>
      </c>
      <c r="N141" s="64" t="n">
        <v>0</v>
      </c>
      <c r="O141" s="64" t="n"/>
      <c r="P141" s="64" t="n"/>
      <c r="Q141" s="64" t="n"/>
      <c r="R141" s="64" t="inlineStr">
        <is>
          <t>https://github.com/DLu/oscar_data</t>
        </is>
      </c>
    </row>
    <row r="142">
      <c r="A142" t="inlineStr">
        <is>
          <t>F0138</t>
        </is>
      </c>
      <c r="B142" t="inlineStr">
        <is>
          <t>Harry Potter and the Chamber of Secrets</t>
        </is>
      </c>
      <c r="C142" t="inlineStr">
        <is>
          <t>2002</t>
        </is>
      </c>
      <c r="D142" t="n">
        <v>0</v>
      </c>
      <c r="E142" t="n">
        <v>0</v>
      </c>
      <c r="G142" t="n">
        <v>0</v>
      </c>
      <c r="H142" t="n">
        <v>0</v>
      </c>
      <c r="I142" s="64" t="n"/>
      <c r="J142" s="64" t="n">
        <v>0</v>
      </c>
      <c r="K142" s="64" t="n">
        <v>0</v>
      </c>
      <c r="L142" s="64" t="n"/>
      <c r="M142" s="64" t="n">
        <v>0</v>
      </c>
      <c r="N142" s="64" t="n">
        <v>0</v>
      </c>
      <c r="O142" s="64" t="n"/>
      <c r="P142" s="64" t="n"/>
      <c r="Q142" s="64" t="n"/>
      <c r="R142" s="64" t="inlineStr">
        <is>
          <t>https://github.com/DLu/oscar_data</t>
        </is>
      </c>
    </row>
    <row r="143">
      <c r="A143" t="inlineStr">
        <is>
          <t>F0139</t>
        </is>
      </c>
      <c r="B143" t="inlineStr">
        <is>
          <t>Harry Potter and the Prisoner of Azkaban</t>
        </is>
      </c>
      <c r="C143" t="inlineStr">
        <is>
          <t>2004</t>
        </is>
      </c>
      <c r="D143" t="n">
        <v>2</v>
      </c>
      <c r="E143" t="n">
        <v>0</v>
      </c>
      <c r="G143" t="n">
        <v>0</v>
      </c>
      <c r="H143" t="n">
        <v>0</v>
      </c>
      <c r="I143" s="64" t="n"/>
      <c r="J143" s="64" t="n">
        <v>0</v>
      </c>
      <c r="K143" s="64" t="n">
        <v>0</v>
      </c>
      <c r="L143" s="64" t="n"/>
      <c r="M143" s="64" t="n">
        <v>0</v>
      </c>
      <c r="N143" s="64" t="n">
        <v>0</v>
      </c>
      <c r="O143" s="64" t="n"/>
      <c r="P143" s="64" t="n"/>
      <c r="Q143" s="64" t="inlineStr">
        <is>
          <t>MUSIC (Original Score); VISUAL EFFECTS</t>
        </is>
      </c>
      <c r="R143" s="64" t="inlineStr">
        <is>
          <t>https://github.com/DLu/oscar_data</t>
        </is>
      </c>
    </row>
    <row r="144">
      <c r="A144" t="inlineStr">
        <is>
          <t>F0140</t>
        </is>
      </c>
      <c r="B144" t="inlineStr">
        <is>
          <t>Harry Potter and the Goblet of Fire</t>
        </is>
      </c>
      <c r="C144" t="inlineStr">
        <is>
          <t>2005</t>
        </is>
      </c>
      <c r="D144" t="n">
        <v>1</v>
      </c>
      <c r="E144" t="n">
        <v>0</v>
      </c>
      <c r="G144" t="n">
        <v>0</v>
      </c>
      <c r="H144" t="n">
        <v>0</v>
      </c>
      <c r="I144" s="64" t="n"/>
      <c r="J144" s="64" t="n">
        <v>0</v>
      </c>
      <c r="K144" s="64" t="n">
        <v>0</v>
      </c>
      <c r="L144" s="64" t="n"/>
      <c r="M144" s="64" t="n">
        <v>0</v>
      </c>
      <c r="N144" s="64" t="n">
        <v>0</v>
      </c>
      <c r="O144" s="64" t="n"/>
      <c r="P144" s="64" t="n"/>
      <c r="Q144" s="64" t="inlineStr">
        <is>
          <t>ART DIRECTION</t>
        </is>
      </c>
      <c r="R144" s="64" t="inlineStr">
        <is>
          <t>https://github.com/DLu/oscar_data</t>
        </is>
      </c>
    </row>
    <row r="145">
      <c r="A145" t="inlineStr">
        <is>
          <t>F0141</t>
        </is>
      </c>
      <c r="B145" t="inlineStr">
        <is>
          <t>Harry Potter and the Order of the Phoenix</t>
        </is>
      </c>
      <c r="C145" t="inlineStr">
        <is>
          <t>2007</t>
        </is>
      </c>
      <c r="D145" t="n">
        <v>0</v>
      </c>
      <c r="E145" t="n">
        <v>0</v>
      </c>
      <c r="G145" t="n">
        <v>0</v>
      </c>
      <c r="H145" t="n">
        <v>0</v>
      </c>
      <c r="I145" s="64" t="n"/>
      <c r="J145" s="64" t="n">
        <v>0</v>
      </c>
      <c r="K145" s="64" t="n">
        <v>0</v>
      </c>
      <c r="L145" s="64" t="n"/>
      <c r="M145" s="64" t="n">
        <v>0</v>
      </c>
      <c r="N145" s="64" t="n">
        <v>0</v>
      </c>
      <c r="O145" s="64" t="n"/>
      <c r="P145" s="64" t="n"/>
      <c r="Q145" s="64" t="n"/>
      <c r="R145" s="64" t="inlineStr">
        <is>
          <t>https://github.com/DLu/oscar_data</t>
        </is>
      </c>
    </row>
    <row r="146">
      <c r="A146" t="inlineStr">
        <is>
          <t>F0142</t>
        </is>
      </c>
      <c r="B146" t="inlineStr">
        <is>
          <t>Harry Potter and the Half-Blood Prince</t>
        </is>
      </c>
      <c r="C146" t="inlineStr">
        <is>
          <t>2009</t>
        </is>
      </c>
      <c r="D146" t="n">
        <v>1</v>
      </c>
      <c r="E146" t="n">
        <v>0</v>
      </c>
      <c r="G146" t="n">
        <v>0</v>
      </c>
      <c r="H146" t="n">
        <v>0</v>
      </c>
      <c r="I146" s="64" t="n"/>
      <c r="J146" s="64" t="n">
        <v>0</v>
      </c>
      <c r="K146" s="64" t="n">
        <v>0</v>
      </c>
      <c r="L146" s="64" t="n"/>
      <c r="M146" s="64" t="n">
        <v>0</v>
      </c>
      <c r="N146" s="64" t="n">
        <v>0</v>
      </c>
      <c r="O146" s="64" t="n"/>
      <c r="P146" s="64" t="n"/>
      <c r="Q146" s="64" t="inlineStr">
        <is>
          <t>CINEMATOGRAPHY</t>
        </is>
      </c>
      <c r="R146" s="64" t="inlineStr">
        <is>
          <t>https://github.com/DLu/oscar_data</t>
        </is>
      </c>
    </row>
    <row r="147">
      <c r="A147" t="inlineStr">
        <is>
          <t>F0143</t>
        </is>
      </c>
      <c r="B147" t="inlineStr">
        <is>
          <t>Harry Potter and the Deathly Hallows: Part 1</t>
        </is>
      </c>
      <c r="C147" t="inlineStr">
        <is>
          <t>2010</t>
        </is>
      </c>
      <c r="D147" t="n">
        <v>2</v>
      </c>
      <c r="E147" t="n">
        <v>0</v>
      </c>
      <c r="G147" t="n">
        <v>0</v>
      </c>
      <c r="H147" t="n">
        <v>0</v>
      </c>
      <c r="I147" s="64" t="n"/>
      <c r="J147" s="64" t="n">
        <v>0</v>
      </c>
      <c r="K147" s="64" t="n">
        <v>0</v>
      </c>
      <c r="L147" s="64" t="n"/>
      <c r="M147" s="64" t="n">
        <v>0</v>
      </c>
      <c r="N147" s="64" t="n">
        <v>0</v>
      </c>
      <c r="O147" s="64" t="n"/>
      <c r="P147" s="64" t="n"/>
      <c r="Q147" s="64" t="inlineStr">
        <is>
          <t>ART DIRECTION; VISUAL EFFECTS</t>
        </is>
      </c>
      <c r="R147" s="64" t="inlineStr">
        <is>
          <t>https://github.com/DLu/oscar_data</t>
        </is>
      </c>
    </row>
    <row r="148">
      <c r="A148" t="inlineStr">
        <is>
          <t>F0144</t>
        </is>
      </c>
      <c r="B148" t="inlineStr">
        <is>
          <t>Harry Potter and the Deathly Hallows: Part 2</t>
        </is>
      </c>
      <c r="C148" t="inlineStr">
        <is>
          <t>2011</t>
        </is>
      </c>
      <c r="D148" t="n">
        <v>3</v>
      </c>
      <c r="E148" t="n">
        <v>0</v>
      </c>
      <c r="G148" t="n">
        <v>0</v>
      </c>
      <c r="H148" t="n">
        <v>0</v>
      </c>
      <c r="I148" s="64" t="n"/>
      <c r="J148" s="64" t="n">
        <v>0</v>
      </c>
      <c r="K148" s="64" t="n">
        <v>0</v>
      </c>
      <c r="L148" s="64" t="n"/>
      <c r="M148" s="64" t="n">
        <v>0</v>
      </c>
      <c r="N148" s="64" t="n">
        <v>0</v>
      </c>
      <c r="O148" s="64" t="n"/>
      <c r="P148" s="64" t="n"/>
      <c r="Q148" s="64" t="inlineStr">
        <is>
          <t>ART DIRECTION; MAKEUP AND HAIRSTYLING; VISUAL EFFECTS</t>
        </is>
      </c>
      <c r="R148" s="64" t="inlineStr">
        <is>
          <t>https://github.com/DLu/oscar_data</t>
        </is>
      </c>
    </row>
    <row r="149">
      <c r="A149" t="inlineStr">
        <is>
          <t>F0145</t>
        </is>
      </c>
      <c r="B149" t="inlineStr">
        <is>
          <t>Happy Feet Two</t>
        </is>
      </c>
      <c r="C149" t="inlineStr">
        <is>
          <t>2011</t>
        </is>
      </c>
      <c r="D149" t="n">
        <v>0</v>
      </c>
      <c r="E149" t="n">
        <v>0</v>
      </c>
      <c r="G149" t="n">
        <v>0</v>
      </c>
      <c r="H149" t="n">
        <v>0</v>
      </c>
      <c r="I149" s="64" t="n"/>
      <c r="J149" s="64" t="n">
        <v>0</v>
      </c>
      <c r="K149" s="64" t="n">
        <v>0</v>
      </c>
      <c r="L149" s="64" t="n"/>
      <c r="M149" s="64" t="n">
        <v>0</v>
      </c>
      <c r="N149" s="64" t="n">
        <v>0</v>
      </c>
      <c r="O149" s="64" t="n"/>
      <c r="P149" s="64" t="n"/>
      <c r="Q149" s="64" t="n"/>
      <c r="R149" s="64" t="inlineStr">
        <is>
          <t>https://github.com/DLu/oscar_data</t>
        </is>
      </c>
    </row>
    <row r="150">
      <c r="A150" t="inlineStr">
        <is>
          <t>F0146</t>
        </is>
      </c>
      <c r="B150" t="inlineStr">
        <is>
          <t>The Heat</t>
        </is>
      </c>
      <c r="C150" t="inlineStr">
        <is>
          <t>2013</t>
        </is>
      </c>
      <c r="D150" t="n">
        <v>0</v>
      </c>
      <c r="E150" t="n">
        <v>0</v>
      </c>
      <c r="G150" t="n">
        <v>0</v>
      </c>
      <c r="H150" t="n">
        <v>0</v>
      </c>
      <c r="I150" s="64" t="n"/>
      <c r="J150" s="64" t="n">
        <v>0</v>
      </c>
      <c r="K150" s="64" t="n">
        <v>0</v>
      </c>
      <c r="L150" s="64" t="n"/>
      <c r="M150" s="64" t="n">
        <v>0</v>
      </c>
      <c r="N150" s="64" t="n">
        <v>0</v>
      </c>
      <c r="O150" s="64" t="n"/>
      <c r="P150" s="64" t="n"/>
      <c r="Q150" s="64" t="n"/>
      <c r="R150" s="64" t="inlineStr">
        <is>
          <t>https://github.com/DLu/oscar_data</t>
        </is>
      </c>
    </row>
    <row r="151">
      <c r="A151" t="inlineStr">
        <is>
          <t>F0147</t>
        </is>
      </c>
      <c r="B151" t="inlineStr">
        <is>
          <t>Hercules</t>
        </is>
      </c>
      <c r="C151" t="inlineStr">
        <is>
          <t>2014</t>
        </is>
      </c>
      <c r="D151" t="n">
        <v>0</v>
      </c>
      <c r="E151" t="n">
        <v>0</v>
      </c>
      <c r="G151" t="n">
        <v>0</v>
      </c>
      <c r="H151" t="n">
        <v>0</v>
      </c>
      <c r="I151" s="64" t="n"/>
      <c r="J151" s="64" t="n">
        <v>0</v>
      </c>
      <c r="K151" s="64" t="n">
        <v>0</v>
      </c>
      <c r="L151" s="64" t="n"/>
      <c r="M151" s="64" t="n">
        <v>0</v>
      </c>
      <c r="N151" s="64" t="n">
        <v>0</v>
      </c>
      <c r="O151" s="64" t="n"/>
      <c r="P151" s="64" t="n"/>
      <c r="Q151" s="64" t="n"/>
      <c r="R151" s="64" t="inlineStr">
        <is>
          <t>https://github.com/DLu/oscar_data</t>
        </is>
      </c>
    </row>
    <row r="152">
      <c r="A152" t="inlineStr">
        <is>
          <t>F0148</t>
        </is>
      </c>
      <c r="B152" t="inlineStr">
        <is>
          <t>The Legend of Hercules</t>
        </is>
      </c>
      <c r="C152" t="inlineStr">
        <is>
          <t>2014</t>
        </is>
      </c>
      <c r="D152" t="n">
        <v>0</v>
      </c>
      <c r="E152" t="n">
        <v>0</v>
      </c>
      <c r="G152" t="n">
        <v>0</v>
      </c>
      <c r="H152" t="n">
        <v>0</v>
      </c>
      <c r="I152" s="64" t="n"/>
      <c r="J152" s="64" t="n">
        <v>0</v>
      </c>
      <c r="K152" s="64" t="n">
        <v>0</v>
      </c>
      <c r="L152" s="64" t="n"/>
      <c r="M152" s="64" t="n">
        <v>0</v>
      </c>
      <c r="N152" s="64" t="n">
        <v>0</v>
      </c>
      <c r="O152" s="64" t="n"/>
      <c r="P152" s="64" t="n"/>
      <c r="Q152" s="64" t="n"/>
      <c r="R152" s="64" t="inlineStr">
        <is>
          <t>https://github.com/DLu/oscar_data</t>
        </is>
      </c>
    </row>
    <row r="153">
      <c r="A153" t="inlineStr">
        <is>
          <t>F0149</t>
        </is>
      </c>
      <c r="B153" t="inlineStr">
        <is>
          <t>The Hitman's Bodyguard</t>
        </is>
      </c>
      <c r="C153" t="inlineStr">
        <is>
          <t>2017</t>
        </is>
      </c>
      <c r="D153" t="n">
        <v>0</v>
      </c>
      <c r="E153" t="n">
        <v>0</v>
      </c>
      <c r="G153" t="n">
        <v>0</v>
      </c>
      <c r="H153" t="n">
        <v>0</v>
      </c>
      <c r="I153" s="64" t="n"/>
      <c r="J153" s="64" t="n">
        <v>0</v>
      </c>
      <c r="K153" s="64" t="n">
        <v>0</v>
      </c>
      <c r="L153" s="64" t="n"/>
      <c r="M153" s="64" t="n">
        <v>0</v>
      </c>
      <c r="N153" s="64" t="n">
        <v>0</v>
      </c>
      <c r="O153" s="64" t="n"/>
      <c r="P153" s="64" t="n"/>
      <c r="Q153" s="64" t="n"/>
      <c r="R153" s="64" t="inlineStr">
        <is>
          <t>https://github.com/DLu/oscar_data</t>
        </is>
      </c>
    </row>
    <row r="154">
      <c r="A154" t="inlineStr">
        <is>
          <t>F0150</t>
        </is>
      </c>
      <c r="B154" t="inlineStr">
        <is>
          <t>The Hobbit: An Unexpected Journey</t>
        </is>
      </c>
      <c r="C154" t="inlineStr">
        <is>
          <t>2012</t>
        </is>
      </c>
      <c r="D154" t="n">
        <v>3</v>
      </c>
      <c r="E154" t="n">
        <v>0</v>
      </c>
      <c r="G154" t="n">
        <v>0</v>
      </c>
      <c r="H154" t="n">
        <v>0</v>
      </c>
      <c r="I154" s="64" t="n"/>
      <c r="J154" s="64" t="n">
        <v>0</v>
      </c>
      <c r="K154" s="64" t="n">
        <v>0</v>
      </c>
      <c r="L154" s="64" t="n"/>
      <c r="M154" s="64" t="n">
        <v>0</v>
      </c>
      <c r="N154" s="64" t="n">
        <v>0</v>
      </c>
      <c r="O154" s="64" t="n"/>
      <c r="P154" s="64" t="n"/>
      <c r="Q154" s="64" t="inlineStr">
        <is>
          <t>MAKEUP AND HAIRSTYLING; ART DIRECTION; VISUAL EFFECTS</t>
        </is>
      </c>
      <c r="R154" s="64" t="inlineStr">
        <is>
          <t>https://github.com/DLu/oscar_data</t>
        </is>
      </c>
    </row>
    <row r="155">
      <c r="A155" t="inlineStr">
        <is>
          <t>F0151</t>
        </is>
      </c>
      <c r="B155" t="inlineStr">
        <is>
          <t>The Hobbit: The Desolation of Smaug</t>
        </is>
      </c>
      <c r="C155" t="inlineStr">
        <is>
          <t>2013</t>
        </is>
      </c>
      <c r="D155" t="n">
        <v>3</v>
      </c>
      <c r="E155" t="n">
        <v>0</v>
      </c>
      <c r="G155" t="n">
        <v>0</v>
      </c>
      <c r="H155" t="n">
        <v>0</v>
      </c>
      <c r="I155" s="64" t="n"/>
      <c r="J155" s="64" t="n">
        <v>0</v>
      </c>
      <c r="K155" s="64" t="n">
        <v>0</v>
      </c>
      <c r="L155" s="64" t="n"/>
      <c r="M155" s="64" t="n">
        <v>0</v>
      </c>
      <c r="N155" s="64" t="n">
        <v>0</v>
      </c>
      <c r="O155" s="64" t="n"/>
      <c r="P155" s="64" t="n"/>
      <c r="Q155" s="64" t="inlineStr">
        <is>
          <t>SOUND EDITING; SOUND MIXING; VISUAL EFFECTS</t>
        </is>
      </c>
      <c r="R155" s="64" t="inlineStr">
        <is>
          <t>https://github.com/DLu/oscar_data</t>
        </is>
      </c>
    </row>
    <row r="156">
      <c r="A156" t="inlineStr">
        <is>
          <t>F0152</t>
        </is>
      </c>
      <c r="B156" t="inlineStr">
        <is>
          <t>The Hobbit: The Battle of the Five Armies</t>
        </is>
      </c>
      <c r="C156" t="inlineStr">
        <is>
          <t>2014</t>
        </is>
      </c>
      <c r="D156" t="n">
        <v>1</v>
      </c>
      <c r="E156" t="n">
        <v>0</v>
      </c>
      <c r="G156" t="n">
        <v>0</v>
      </c>
      <c r="H156" t="n">
        <v>0</v>
      </c>
      <c r="I156" s="64" t="n"/>
      <c r="J156" s="64" t="n">
        <v>0</v>
      </c>
      <c r="K156" s="64" t="n">
        <v>0</v>
      </c>
      <c r="L156" s="64" t="n"/>
      <c r="M156" s="64" t="n">
        <v>0</v>
      </c>
      <c r="N156" s="64" t="n">
        <v>0</v>
      </c>
      <c r="O156" s="64" t="n"/>
      <c r="P156" s="64" t="n"/>
      <c r="Q156" s="64" t="inlineStr">
        <is>
          <t>SOUND EDITING</t>
        </is>
      </c>
      <c r="R156" s="64" t="inlineStr">
        <is>
          <t>https://github.com/DLu/oscar_data</t>
        </is>
      </c>
    </row>
    <row r="157">
      <c r="A157" t="inlineStr">
        <is>
          <t>F0153</t>
        </is>
      </c>
      <c r="B157" t="inlineStr">
        <is>
          <t>Home</t>
        </is>
      </c>
      <c r="C157" t="inlineStr">
        <is>
          <t>2015</t>
        </is>
      </c>
      <c r="D157" t="n">
        <v>0</v>
      </c>
      <c r="E157" t="n">
        <v>0</v>
      </c>
      <c r="G157" t="n">
        <v>0</v>
      </c>
      <c r="H157" t="n">
        <v>0</v>
      </c>
      <c r="I157" s="64" t="n"/>
      <c r="J157" s="64" t="n">
        <v>0</v>
      </c>
      <c r="K157" s="64" t="n">
        <v>0</v>
      </c>
      <c r="L157" s="64" t="n"/>
      <c r="M157" s="64" t="n">
        <v>0</v>
      </c>
      <c r="N157" s="64" t="n">
        <v>0</v>
      </c>
      <c r="O157" s="64" t="n"/>
      <c r="P157" s="64" t="n"/>
      <c r="Q157" s="64" t="n"/>
      <c r="R157" s="64" t="inlineStr">
        <is>
          <t>https://github.com/DLu/oscar_data</t>
        </is>
      </c>
    </row>
    <row r="158">
      <c r="A158" t="inlineStr">
        <is>
          <t>F0154</t>
        </is>
      </c>
      <c r="B158" t="inlineStr">
        <is>
          <t>How to Train Your Dragon</t>
        </is>
      </c>
      <c r="C158" t="inlineStr">
        <is>
          <t>2010</t>
        </is>
      </c>
      <c r="D158" t="n">
        <v>2</v>
      </c>
      <c r="E158" t="n">
        <v>0</v>
      </c>
      <c r="G158" t="n">
        <v>0</v>
      </c>
      <c r="H158" t="n">
        <v>0</v>
      </c>
      <c r="I158" s="64" t="n"/>
      <c r="J158" s="64" t="n">
        <v>0</v>
      </c>
      <c r="K158" s="64" t="n">
        <v>0</v>
      </c>
      <c r="L158" s="64" t="n"/>
      <c r="M158" s="64" t="n">
        <v>0</v>
      </c>
      <c r="N158" s="64" t="n">
        <v>0</v>
      </c>
      <c r="O158" s="64" t="inlineStr">
        <is>
          <t>Nominated</t>
        </is>
      </c>
      <c r="P158" s="64" t="n"/>
      <c r="Q158" s="64" t="inlineStr">
        <is>
          <t>ANIMATED FEATURE FILM; MUSIC (Original Score)</t>
        </is>
      </c>
      <c r="R158" s="64" t="inlineStr">
        <is>
          <t>https://github.com/DLu/oscar_data</t>
        </is>
      </c>
    </row>
    <row r="159">
      <c r="A159" t="inlineStr">
        <is>
          <t>F0155</t>
        </is>
      </c>
      <c r="B159" t="inlineStr">
        <is>
          <t>How to Train Your Dragon 2</t>
        </is>
      </c>
      <c r="C159" t="inlineStr">
        <is>
          <t>2014</t>
        </is>
      </c>
      <c r="D159" t="n">
        <v>1</v>
      </c>
      <c r="E159" t="n">
        <v>0</v>
      </c>
      <c r="G159" t="n">
        <v>0</v>
      </c>
      <c r="H159" t="n">
        <v>0</v>
      </c>
      <c r="I159" s="64" t="n"/>
      <c r="J159" s="64" t="n">
        <v>0</v>
      </c>
      <c r="K159" s="64" t="n">
        <v>0</v>
      </c>
      <c r="L159" s="64" t="n"/>
      <c r="M159" s="64" t="n">
        <v>0</v>
      </c>
      <c r="N159" s="64" t="n">
        <v>0</v>
      </c>
      <c r="O159" s="64" t="inlineStr">
        <is>
          <t>Nominated</t>
        </is>
      </c>
      <c r="P159" s="64" t="n"/>
      <c r="Q159" s="64" t="inlineStr">
        <is>
          <t>ANIMATED FEATURE FILM</t>
        </is>
      </c>
      <c r="R159" s="64" t="inlineStr">
        <is>
          <t>https://github.com/DLu/oscar_data</t>
        </is>
      </c>
    </row>
    <row r="160">
      <c r="A160" t="inlineStr">
        <is>
          <t>F0156</t>
        </is>
      </c>
      <c r="B160" t="inlineStr">
        <is>
          <t>Hummingbird</t>
        </is>
      </c>
      <c r="C160" t="inlineStr">
        <is>
          <t>2013</t>
        </is>
      </c>
      <c r="D160" t="n">
        <v>0</v>
      </c>
      <c r="E160" t="n">
        <v>0</v>
      </c>
      <c r="G160" t="n">
        <v>0</v>
      </c>
      <c r="H160" t="n">
        <v>0</v>
      </c>
      <c r="I160" s="64" t="n"/>
      <c r="J160" s="64" t="n">
        <v>0</v>
      </c>
      <c r="K160" s="64" t="n">
        <v>0</v>
      </c>
      <c r="L160" s="64" t="n"/>
      <c r="M160" s="64" t="n">
        <v>0</v>
      </c>
      <c r="N160" s="64" t="n">
        <v>0</v>
      </c>
      <c r="O160" s="64" t="n"/>
      <c r="P160" s="64" t="n"/>
      <c r="Q160" s="64" t="n"/>
      <c r="R160" s="64" t="inlineStr">
        <is>
          <t>https://github.com/DLu/oscar_data</t>
        </is>
      </c>
    </row>
    <row r="161">
      <c r="A161" t="inlineStr">
        <is>
          <t>F0157</t>
        </is>
      </c>
      <c r="B161" t="inlineStr">
        <is>
          <t>The Hunger Games</t>
        </is>
      </c>
      <c r="C161" t="inlineStr">
        <is>
          <t>2012</t>
        </is>
      </c>
      <c r="D161" t="n">
        <v>0</v>
      </c>
      <c r="E161" t="n">
        <v>0</v>
      </c>
      <c r="G161" t="n">
        <v>0</v>
      </c>
      <c r="H161" t="n">
        <v>0</v>
      </c>
      <c r="I161" s="64" t="n"/>
      <c r="J161" s="64" t="n">
        <v>0</v>
      </c>
      <c r="K161" s="64" t="n">
        <v>0</v>
      </c>
      <c r="L161" s="64" t="n"/>
      <c r="M161" s="64" t="n">
        <v>0</v>
      </c>
      <c r="N161" s="64" t="n">
        <v>0</v>
      </c>
      <c r="O161" s="64" t="n"/>
      <c r="P161" s="64" t="n"/>
      <c r="Q161" s="64" t="n"/>
      <c r="R161" s="64" t="inlineStr">
        <is>
          <t>https://github.com/DLu/oscar_data</t>
        </is>
      </c>
    </row>
    <row r="162">
      <c r="A162" t="inlineStr">
        <is>
          <t>F0158</t>
        </is>
      </c>
      <c r="B162" t="inlineStr">
        <is>
          <t>The Hunger Games: Mockingjay - Part 1</t>
        </is>
      </c>
      <c r="C162" t="inlineStr">
        <is>
          <t>2014</t>
        </is>
      </c>
      <c r="D162" t="n">
        <v>0</v>
      </c>
      <c r="E162" t="n">
        <v>0</v>
      </c>
      <c r="G162" t="n">
        <v>0</v>
      </c>
      <c r="H162" t="n">
        <v>0</v>
      </c>
      <c r="I162" s="64" t="n"/>
      <c r="J162" s="64" t="n">
        <v>0</v>
      </c>
      <c r="K162" s="64" t="n">
        <v>0</v>
      </c>
      <c r="L162" s="64" t="n"/>
      <c r="M162" s="64" t="n">
        <v>0</v>
      </c>
      <c r="N162" s="64" t="n">
        <v>0</v>
      </c>
      <c r="O162" s="64" t="n"/>
      <c r="P162" s="64" t="n"/>
      <c r="Q162" s="64" t="n"/>
      <c r="R162" s="64" t="inlineStr">
        <is>
          <t>https://github.com/DLu/oscar_data</t>
        </is>
      </c>
    </row>
    <row r="163">
      <c r="A163" t="inlineStr">
        <is>
          <t>F0159</t>
        </is>
      </c>
      <c r="B163" t="inlineStr">
        <is>
          <t>I, Frankenstein</t>
        </is>
      </c>
      <c r="C163" t="inlineStr">
        <is>
          <t>2014</t>
        </is>
      </c>
      <c r="D163" t="n">
        <v>0</v>
      </c>
      <c r="E163" t="n">
        <v>0</v>
      </c>
      <c r="G163" t="n">
        <v>0</v>
      </c>
      <c r="H163" t="n">
        <v>0</v>
      </c>
      <c r="I163" s="64" t="n"/>
      <c r="J163" s="64" t="n">
        <v>0</v>
      </c>
      <c r="K163" s="64" t="n">
        <v>0</v>
      </c>
      <c r="L163" s="64" t="n"/>
      <c r="M163" s="64" t="n">
        <v>0</v>
      </c>
      <c r="N163" s="64" t="n">
        <v>0</v>
      </c>
      <c r="O163" s="64" t="n"/>
      <c r="P163" s="64" t="n"/>
      <c r="Q163" s="64" t="n"/>
      <c r="R163" s="64" t="inlineStr">
        <is>
          <t>https://github.com/DLu/oscar_data</t>
        </is>
      </c>
    </row>
    <row r="164">
      <c r="A164" t="inlineStr">
        <is>
          <t>F0160</t>
        </is>
      </c>
      <c r="B164" t="inlineStr">
        <is>
          <t>Ice Age: The Meltdown</t>
        </is>
      </c>
      <c r="C164" t="inlineStr">
        <is>
          <t>2006</t>
        </is>
      </c>
      <c r="D164" t="n">
        <v>0</v>
      </c>
      <c r="E164" t="n">
        <v>0</v>
      </c>
      <c r="G164" t="n">
        <v>0</v>
      </c>
      <c r="H164" t="n">
        <v>0</v>
      </c>
      <c r="I164" s="64" t="n"/>
      <c r="J164" s="64" t="n">
        <v>0</v>
      </c>
      <c r="K164" s="64" t="n">
        <v>0</v>
      </c>
      <c r="L164" s="64" t="n"/>
      <c r="M164" s="64" t="n">
        <v>0</v>
      </c>
      <c r="N164" s="64" t="n">
        <v>0</v>
      </c>
      <c r="O164" s="64" t="n"/>
      <c r="P164" s="64" t="n"/>
      <c r="Q164" s="64" t="n"/>
      <c r="R164" s="64" t="inlineStr">
        <is>
          <t>https://github.com/DLu/oscar_data</t>
        </is>
      </c>
    </row>
    <row r="165">
      <c r="A165" t="inlineStr">
        <is>
          <t>F0161</t>
        </is>
      </c>
      <c r="B165" t="inlineStr">
        <is>
          <t>Ice Age: Dawn of the Dinosaurs</t>
        </is>
      </c>
      <c r="C165" t="inlineStr">
        <is>
          <t>2009</t>
        </is>
      </c>
      <c r="D165" t="n">
        <v>0</v>
      </c>
      <c r="E165" t="n">
        <v>0</v>
      </c>
      <c r="G165" t="n">
        <v>0</v>
      </c>
      <c r="H165" t="n">
        <v>0</v>
      </c>
      <c r="I165" s="64" t="n"/>
      <c r="J165" s="64" t="n">
        <v>0</v>
      </c>
      <c r="K165" s="64" t="n">
        <v>0</v>
      </c>
      <c r="L165" s="64" t="n"/>
      <c r="M165" s="64" t="n">
        <v>0</v>
      </c>
      <c r="N165" s="64" t="n">
        <v>0</v>
      </c>
      <c r="O165" s="64" t="n"/>
      <c r="P165" s="64" t="n"/>
      <c r="Q165" s="64" t="n"/>
      <c r="R165" s="64" t="inlineStr">
        <is>
          <t>https://github.com/DLu/oscar_data</t>
        </is>
      </c>
    </row>
    <row r="166" ht="45" customHeight="1" s="95">
      <c r="A166" t="inlineStr">
        <is>
          <t>F0162</t>
        </is>
      </c>
      <c r="B166" t="inlineStr">
        <is>
          <t>The Imitation Game</t>
        </is>
      </c>
      <c r="C166" t="inlineStr">
        <is>
          <t>2014</t>
        </is>
      </c>
      <c r="D166" t="n">
        <v>8</v>
      </c>
      <c r="E166" t="n">
        <v>1</v>
      </c>
      <c r="F166" t="inlineStr">
        <is>
          <t>Nominated</t>
        </is>
      </c>
      <c r="G166" t="n">
        <v>2</v>
      </c>
      <c r="H166" t="n">
        <v>0</v>
      </c>
      <c r="I166" s="64" t="n"/>
      <c r="J166" s="64" t="n">
        <v>1</v>
      </c>
      <c r="K166" s="64" t="n">
        <v>0</v>
      </c>
      <c r="L166" s="64" t="n"/>
      <c r="M166" s="64" t="n">
        <v>1</v>
      </c>
      <c r="N166" s="64" t="n">
        <v>1</v>
      </c>
      <c r="O166" s="64" t="n"/>
      <c r="P166" s="64" t="inlineStr">
        <is>
          <t>WRITING (Adapted Screenplay)</t>
        </is>
      </c>
      <c r="Q166" s="64" t="inlineStr">
        <is>
          <t>ACTOR IN A LEADING ROLE; ACTRESS IN A SUPPORTING ROLE; DIRECTING; FILM EDITING; MUSIC (Original Score); BEST PICTURE; ART DIRECTION; WRITING (Adapted Screenplay)</t>
        </is>
      </c>
      <c r="R166" s="64" t="inlineStr">
        <is>
          <t>https://github.com/DLu/oscar_data</t>
        </is>
      </c>
    </row>
    <row r="167">
      <c r="A167" t="inlineStr">
        <is>
          <t>F0163</t>
        </is>
      </c>
      <c r="B167" t="inlineStr">
        <is>
          <t>The Inbetweeners Movie</t>
        </is>
      </c>
      <c r="C167" t="inlineStr">
        <is>
          <t>2011</t>
        </is>
      </c>
      <c r="D167" t="n">
        <v>0</v>
      </c>
      <c r="E167" t="n">
        <v>0</v>
      </c>
      <c r="G167" t="n">
        <v>0</v>
      </c>
      <c r="H167" t="n">
        <v>0</v>
      </c>
      <c r="I167" s="64" t="n"/>
      <c r="J167" s="64" t="n">
        <v>0</v>
      </c>
      <c r="K167" s="64" t="n">
        <v>0</v>
      </c>
      <c r="L167" s="64" t="n"/>
      <c r="M167" s="64" t="n">
        <v>0</v>
      </c>
      <c r="N167" s="64" t="n">
        <v>0</v>
      </c>
      <c r="O167" s="64" t="n"/>
      <c r="P167" s="64" t="n"/>
      <c r="Q167" s="64" t="n"/>
      <c r="R167" s="64" t="inlineStr">
        <is>
          <t>https://github.com/DLu/oscar_data</t>
        </is>
      </c>
    </row>
    <row r="168">
      <c r="A168" t="inlineStr">
        <is>
          <t>F0164</t>
        </is>
      </c>
      <c r="B168" t="inlineStr">
        <is>
          <t>The Inbetweeners 2</t>
        </is>
      </c>
      <c r="C168" t="inlineStr">
        <is>
          <t>2014</t>
        </is>
      </c>
      <c r="D168" t="n">
        <v>0</v>
      </c>
      <c r="E168" t="n">
        <v>0</v>
      </c>
      <c r="G168" t="n">
        <v>0</v>
      </c>
      <c r="H168" t="n">
        <v>0</v>
      </c>
      <c r="I168" s="64" t="n"/>
      <c r="J168" s="64" t="n">
        <v>0</v>
      </c>
      <c r="K168" s="64" t="n">
        <v>0</v>
      </c>
      <c r="L168" s="64" t="n"/>
      <c r="M168" s="64" t="n">
        <v>0</v>
      </c>
      <c r="N168" s="64" t="n">
        <v>0</v>
      </c>
      <c r="O168" s="64" t="n"/>
      <c r="P168" s="64" t="n"/>
      <c r="Q168" s="64" t="n"/>
      <c r="R168" s="64" t="inlineStr">
        <is>
          <t>https://github.com/DLu/oscar_data</t>
        </is>
      </c>
    </row>
    <row r="169" ht="45" customHeight="1" s="95">
      <c r="A169" t="inlineStr">
        <is>
          <t>F0165</t>
        </is>
      </c>
      <c r="B169" t="inlineStr">
        <is>
          <t>Inception</t>
        </is>
      </c>
      <c r="C169" t="inlineStr">
        <is>
          <t>2010</t>
        </is>
      </c>
      <c r="D169" t="n">
        <v>8</v>
      </c>
      <c r="E169" t="n">
        <v>4</v>
      </c>
      <c r="F169" t="inlineStr">
        <is>
          <t>Nominated</t>
        </is>
      </c>
      <c r="G169" t="n">
        <v>0</v>
      </c>
      <c r="H169" t="n">
        <v>0</v>
      </c>
      <c r="I169" s="64" t="n"/>
      <c r="J169" s="64" t="n">
        <v>0</v>
      </c>
      <c r="K169" s="64" t="n">
        <v>0</v>
      </c>
      <c r="L169" s="64" t="n"/>
      <c r="M169" s="64" t="n">
        <v>1</v>
      </c>
      <c r="N169" s="64" t="n">
        <v>0</v>
      </c>
      <c r="O169" s="64" t="n"/>
      <c r="P169" s="64" t="inlineStr">
        <is>
          <t>CINEMATOGRAPHY; SOUND EDITING; SOUND MIXING; VISUAL EFFECTS</t>
        </is>
      </c>
      <c r="Q169" s="64" t="inlineStr">
        <is>
          <t>ART DIRECTION; CINEMATOGRAPHY; MUSIC (Original Score); BEST PICTURE; SOUND EDITING; SOUND MIXING; VISUAL EFFECTS; WRITING (Original Screenplay)</t>
        </is>
      </c>
      <c r="R169" s="64" t="inlineStr">
        <is>
          <t>https://github.com/DLu/oscar_data</t>
        </is>
      </c>
    </row>
    <row r="170" ht="45" customHeight="1" s="95">
      <c r="A170" t="inlineStr">
        <is>
          <t>F0166</t>
        </is>
      </c>
      <c r="B170" t="inlineStr">
        <is>
          <t>Inglourious Basterds</t>
        </is>
      </c>
      <c r="C170" t="inlineStr">
        <is>
          <t>2009</t>
        </is>
      </c>
      <c r="D170" t="n">
        <v>8</v>
      </c>
      <c r="E170" t="n">
        <v>1</v>
      </c>
      <c r="F170" t="inlineStr">
        <is>
          <t>Nominated</t>
        </is>
      </c>
      <c r="G170" t="n">
        <v>1</v>
      </c>
      <c r="H170" t="n">
        <v>1</v>
      </c>
      <c r="I170" s="64" t="inlineStr">
        <is>
          <t>Christoph Waltz</t>
        </is>
      </c>
      <c r="J170" s="64" t="n">
        <v>1</v>
      </c>
      <c r="K170" s="64" t="n">
        <v>0</v>
      </c>
      <c r="L170" s="64" t="n"/>
      <c r="M170" s="64" t="n">
        <v>1</v>
      </c>
      <c r="N170" s="64" t="n">
        <v>0</v>
      </c>
      <c r="O170" s="64" t="n"/>
      <c r="P170" s="64" t="inlineStr">
        <is>
          <t>ACTOR IN A SUPPORTING ROLE</t>
        </is>
      </c>
      <c r="Q170" s="64" t="inlineStr">
        <is>
          <t>ACTOR IN A SUPPORTING ROLE; CINEMATOGRAPHY; DIRECTING; FILM EDITING; BEST PICTURE; SOUND EDITING; SOUND MIXING; WRITING (Original Screenplay)</t>
        </is>
      </c>
      <c r="R170" s="64" t="inlineStr">
        <is>
          <t>https://github.com/DLu/oscar_data</t>
        </is>
      </c>
    </row>
    <row r="171">
      <c r="A171" t="inlineStr">
        <is>
          <t>F0167</t>
        </is>
      </c>
      <c r="B171" t="inlineStr">
        <is>
          <t>Inside Out</t>
        </is>
      </c>
      <c r="C171" t="inlineStr">
        <is>
          <t>2015</t>
        </is>
      </c>
      <c r="D171" t="n">
        <v>2</v>
      </c>
      <c r="E171" t="n">
        <v>1</v>
      </c>
      <c r="G171" t="n">
        <v>0</v>
      </c>
      <c r="H171" t="n">
        <v>0</v>
      </c>
      <c r="I171" s="64" t="n"/>
      <c r="J171" s="64" t="n">
        <v>0</v>
      </c>
      <c r="K171" s="64" t="n">
        <v>0</v>
      </c>
      <c r="L171" s="64" t="n"/>
      <c r="M171" s="64" t="n">
        <v>1</v>
      </c>
      <c r="N171" s="64" t="n">
        <v>0</v>
      </c>
      <c r="O171" s="64" t="inlineStr">
        <is>
          <t>Winner</t>
        </is>
      </c>
      <c r="P171" s="64" t="inlineStr">
        <is>
          <t>ANIMATED FEATURE FILM</t>
        </is>
      </c>
      <c r="Q171" s="64" t="inlineStr">
        <is>
          <t>ANIMATED FEATURE FILM; WRITING (Original Screenplay)</t>
        </is>
      </c>
      <c r="R171" s="64" t="inlineStr">
        <is>
          <t>https://github.com/DLu/oscar_data</t>
        </is>
      </c>
    </row>
    <row r="172" ht="30" customHeight="1" s="95">
      <c r="A172" t="inlineStr">
        <is>
          <t>F0168</t>
        </is>
      </c>
      <c r="B172" t="inlineStr">
        <is>
          <t>Interstellar</t>
        </is>
      </c>
      <c r="C172" t="inlineStr">
        <is>
          <t>2014</t>
        </is>
      </c>
      <c r="D172" t="n">
        <v>5</v>
      </c>
      <c r="E172" t="n">
        <v>1</v>
      </c>
      <c r="G172" t="n">
        <v>0</v>
      </c>
      <c r="H172" t="n">
        <v>0</v>
      </c>
      <c r="I172" s="64" t="n"/>
      <c r="J172" s="64" t="n">
        <v>0</v>
      </c>
      <c r="K172" s="64" t="n">
        <v>0</v>
      </c>
      <c r="L172" s="64" t="n"/>
      <c r="M172" s="64" t="n">
        <v>0</v>
      </c>
      <c r="N172" s="64" t="n">
        <v>0</v>
      </c>
      <c r="O172" s="64" t="n"/>
      <c r="P172" s="64" t="inlineStr">
        <is>
          <t>VISUAL EFFECTS</t>
        </is>
      </c>
      <c r="Q172" s="64" t="inlineStr">
        <is>
          <t>MUSIC (Original Score); ART DIRECTION; SOUND EDITING; SOUND MIXING; VISUAL EFFECTS</t>
        </is>
      </c>
      <c r="R172" s="64" t="inlineStr">
        <is>
          <t>https://github.com/DLu/oscar_data</t>
        </is>
      </c>
    </row>
    <row r="173">
      <c r="A173" t="inlineStr">
        <is>
          <t>F0169</t>
        </is>
      </c>
      <c r="B173" t="inlineStr">
        <is>
          <t>Iron Man 3</t>
        </is>
      </c>
      <c r="C173" t="inlineStr">
        <is>
          <t>2013</t>
        </is>
      </c>
      <c r="D173" t="n">
        <v>1</v>
      </c>
      <c r="E173" t="n">
        <v>0</v>
      </c>
      <c r="G173" t="n">
        <v>0</v>
      </c>
      <c r="H173" t="n">
        <v>0</v>
      </c>
      <c r="I173" s="64" t="n"/>
      <c r="J173" s="64" t="n">
        <v>0</v>
      </c>
      <c r="K173" s="64" t="n">
        <v>0</v>
      </c>
      <c r="L173" s="64" t="n"/>
      <c r="M173" s="64" t="n">
        <v>0</v>
      </c>
      <c r="N173" s="64" t="n">
        <v>0</v>
      </c>
      <c r="O173" s="64" t="n"/>
      <c r="P173" s="64" t="n"/>
      <c r="Q173" s="64" t="inlineStr">
        <is>
          <t>VISUAL EFFECTS</t>
        </is>
      </c>
      <c r="R173" s="64" t="inlineStr">
        <is>
          <t>https://github.com/DLu/oscar_data</t>
        </is>
      </c>
    </row>
    <row r="174" ht="30" customHeight="1" s="95">
      <c r="A174" t="inlineStr">
        <is>
          <t>F0170</t>
        </is>
      </c>
      <c r="B174" t="inlineStr">
        <is>
          <t>Jojo Rabbit</t>
        </is>
      </c>
      <c r="C174" t="inlineStr">
        <is>
          <t>2019</t>
        </is>
      </c>
      <c r="D174" t="n">
        <v>6</v>
      </c>
      <c r="E174" t="n">
        <v>1</v>
      </c>
      <c r="F174" t="inlineStr">
        <is>
          <t>Nominated</t>
        </is>
      </c>
      <c r="G174" t="n">
        <v>1</v>
      </c>
      <c r="H174" t="n">
        <v>0</v>
      </c>
      <c r="I174" s="64" t="n"/>
      <c r="J174" s="64" t="n">
        <v>0</v>
      </c>
      <c r="K174" s="64" t="n">
        <v>0</v>
      </c>
      <c r="L174" s="64" t="n"/>
      <c r="M174" s="64" t="n">
        <v>1</v>
      </c>
      <c r="N174" s="64" t="n">
        <v>1</v>
      </c>
      <c r="O174" s="64" t="n"/>
      <c r="P174" s="64" t="inlineStr">
        <is>
          <t>WRITING (Adapted Screenplay)</t>
        </is>
      </c>
      <c r="Q174" s="64" t="inlineStr">
        <is>
          <t>ACTRESS IN A SUPPORTING ROLE; COSTUME DESIGN; FILM EDITING; BEST PICTURE; ART DIRECTION; WRITING (Adapted Screenplay)</t>
        </is>
      </c>
      <c r="R174" s="64" t="inlineStr">
        <is>
          <t>https://github.com/DLu/oscar_data</t>
        </is>
      </c>
    </row>
    <row r="175">
      <c r="A175" t="inlineStr">
        <is>
          <t>F0171</t>
        </is>
      </c>
      <c r="B175" t="inlineStr">
        <is>
          <t>Jack Reacher</t>
        </is>
      </c>
      <c r="C175" t="inlineStr">
        <is>
          <t>2012</t>
        </is>
      </c>
      <c r="D175" t="n">
        <v>0</v>
      </c>
      <c r="E175" t="n">
        <v>0</v>
      </c>
      <c r="G175" t="n">
        <v>0</v>
      </c>
      <c r="H175" t="n">
        <v>0</v>
      </c>
      <c r="I175" s="64" t="n"/>
      <c r="J175" s="64" t="n">
        <v>0</v>
      </c>
      <c r="K175" s="64" t="n">
        <v>0</v>
      </c>
      <c r="L175" s="64" t="n"/>
      <c r="M175" s="64" t="n">
        <v>0</v>
      </c>
      <c r="N175" s="64" t="n">
        <v>0</v>
      </c>
      <c r="O175" s="64" t="n"/>
      <c r="P175" s="64" t="n"/>
      <c r="Q175" s="64" t="n"/>
      <c r="R175" s="64" t="inlineStr">
        <is>
          <t>https://github.com/DLu/oscar_data</t>
        </is>
      </c>
    </row>
    <row r="176">
      <c r="A176" t="inlineStr">
        <is>
          <t>F0172</t>
        </is>
      </c>
      <c r="B176" t="inlineStr">
        <is>
          <t>Jackass 3D</t>
        </is>
      </c>
      <c r="C176" t="inlineStr">
        <is>
          <t>2010</t>
        </is>
      </c>
      <c r="D176" t="n">
        <v>0</v>
      </c>
      <c r="E176" t="n">
        <v>0</v>
      </c>
      <c r="G176" t="n">
        <v>0</v>
      </c>
      <c r="H176" t="n">
        <v>0</v>
      </c>
      <c r="I176" s="64" t="n"/>
      <c r="J176" s="64" t="n">
        <v>0</v>
      </c>
      <c r="K176" s="64" t="n">
        <v>0</v>
      </c>
      <c r="L176" s="64" t="n"/>
      <c r="M176" s="64" t="n">
        <v>0</v>
      </c>
      <c r="N176" s="64" t="n">
        <v>0</v>
      </c>
      <c r="O176" s="64" t="n"/>
      <c r="P176" s="64" t="n"/>
      <c r="Q176" s="64" t="n"/>
      <c r="R176" s="64" t="inlineStr">
        <is>
          <t>https://github.com/DLu/oscar_data</t>
        </is>
      </c>
    </row>
    <row r="177">
      <c r="A177" t="inlineStr">
        <is>
          <t>F0173</t>
        </is>
      </c>
      <c r="B177" t="inlineStr">
        <is>
          <t>Jonah Hex</t>
        </is>
      </c>
      <c r="C177" t="inlineStr">
        <is>
          <t>2010</t>
        </is>
      </c>
      <c r="D177" t="n">
        <v>0</v>
      </c>
      <c r="E177" t="n">
        <v>0</v>
      </c>
      <c r="G177" t="n">
        <v>0</v>
      </c>
      <c r="H177" t="n">
        <v>0</v>
      </c>
      <c r="I177" s="64" t="n"/>
      <c r="J177" s="64" t="n">
        <v>0</v>
      </c>
      <c r="K177" s="64" t="n">
        <v>0</v>
      </c>
      <c r="L177" s="64" t="n"/>
      <c r="M177" s="64" t="n">
        <v>0</v>
      </c>
      <c r="N177" s="64" t="n">
        <v>0</v>
      </c>
      <c r="O177" s="64" t="n"/>
      <c r="P177" s="64" t="n"/>
      <c r="Q177" s="64" t="n"/>
      <c r="R177" s="64" t="inlineStr">
        <is>
          <t>https://github.com/DLu/oscar_data</t>
        </is>
      </c>
    </row>
    <row r="178">
      <c r="A178" t="inlineStr">
        <is>
          <t>F0174</t>
        </is>
      </c>
      <c r="B178" t="inlineStr">
        <is>
          <t>Journey to the Center of the Earth</t>
        </is>
      </c>
      <c r="C178" t="inlineStr">
        <is>
          <t>2008</t>
        </is>
      </c>
      <c r="D178" t="n">
        <v>0</v>
      </c>
      <c r="E178" t="n">
        <v>0</v>
      </c>
      <c r="G178" t="n">
        <v>0</v>
      </c>
      <c r="H178" t="n">
        <v>0</v>
      </c>
      <c r="I178" s="64" t="n"/>
      <c r="J178" s="64" t="n">
        <v>0</v>
      </c>
      <c r="K178" s="64" t="n">
        <v>0</v>
      </c>
      <c r="L178" s="64" t="n"/>
      <c r="M178" s="64" t="n">
        <v>0</v>
      </c>
      <c r="N178" s="64" t="n">
        <v>0</v>
      </c>
      <c r="O178" s="64" t="n"/>
      <c r="P178" s="64" t="n"/>
      <c r="Q178" s="64" t="n"/>
      <c r="R178" s="64" t="inlineStr">
        <is>
          <t>https://github.com/DLu/oscar_data</t>
        </is>
      </c>
    </row>
    <row r="179">
      <c r="A179" t="inlineStr">
        <is>
          <t>F0175</t>
        </is>
      </c>
      <c r="B179" t="inlineStr">
        <is>
          <t>Jumper</t>
        </is>
      </c>
      <c r="C179" t="inlineStr">
        <is>
          <t>2008</t>
        </is>
      </c>
      <c r="D179" t="n">
        <v>0</v>
      </c>
      <c r="E179" t="n">
        <v>0</v>
      </c>
      <c r="G179" t="n">
        <v>0</v>
      </c>
      <c r="H179" t="n">
        <v>0</v>
      </c>
      <c r="I179" s="64" t="n"/>
      <c r="J179" s="64" t="n">
        <v>0</v>
      </c>
      <c r="K179" s="64" t="n">
        <v>0</v>
      </c>
      <c r="L179" s="64" t="n"/>
      <c r="M179" s="64" t="n">
        <v>0</v>
      </c>
      <c r="N179" s="64" t="n">
        <v>0</v>
      </c>
      <c r="O179" s="64" t="n"/>
      <c r="P179" s="64" t="n"/>
      <c r="Q179" s="64" t="n"/>
      <c r="R179" s="64" t="inlineStr">
        <is>
          <t>https://github.com/DLu/oscar_data</t>
        </is>
      </c>
    </row>
    <row r="180">
      <c r="A180" t="inlineStr">
        <is>
          <t>F0176</t>
        </is>
      </c>
      <c r="B180" t="inlineStr">
        <is>
          <t>Jurassic Park</t>
        </is>
      </c>
      <c r="C180" t="inlineStr">
        <is>
          <t>1993</t>
        </is>
      </c>
      <c r="D180" t="n">
        <v>3</v>
      </c>
      <c r="E180" t="n">
        <v>3</v>
      </c>
      <c r="G180" t="n">
        <v>0</v>
      </c>
      <c r="H180" t="n">
        <v>0</v>
      </c>
      <c r="I180" s="64" t="n"/>
      <c r="J180" s="64" t="n">
        <v>0</v>
      </c>
      <c r="K180" s="64" t="n">
        <v>0</v>
      </c>
      <c r="L180" s="64" t="n"/>
      <c r="M180" s="64" t="n">
        <v>0</v>
      </c>
      <c r="N180" s="64" t="n">
        <v>0</v>
      </c>
      <c r="O180" s="64" t="n"/>
      <c r="P180" s="64" t="inlineStr">
        <is>
          <t>SOUND MIXING; SOUND EDITING; VISUAL EFFECTS</t>
        </is>
      </c>
      <c r="Q180" s="64" t="inlineStr">
        <is>
          <t>SOUND MIXING; SOUND EDITING; VISUAL EFFECTS</t>
        </is>
      </c>
      <c r="R180" s="64" t="inlineStr">
        <is>
          <t>https://github.com/DLu/oscar_data</t>
        </is>
      </c>
    </row>
    <row r="181">
      <c r="A181" t="inlineStr">
        <is>
          <t>F0177</t>
        </is>
      </c>
      <c r="B181" t="inlineStr">
        <is>
          <t>The Lost World: Jurassic Park</t>
        </is>
      </c>
      <c r="C181" t="inlineStr">
        <is>
          <t>1997</t>
        </is>
      </c>
      <c r="D181" t="n">
        <v>1</v>
      </c>
      <c r="E181" t="n">
        <v>0</v>
      </c>
      <c r="G181" t="n">
        <v>0</v>
      </c>
      <c r="H181" t="n">
        <v>0</v>
      </c>
      <c r="I181" s="64" t="n"/>
      <c r="J181" s="64" t="n">
        <v>0</v>
      </c>
      <c r="K181" s="64" t="n">
        <v>0</v>
      </c>
      <c r="L181" s="64" t="n"/>
      <c r="M181" s="64" t="n">
        <v>0</v>
      </c>
      <c r="N181" s="64" t="n">
        <v>0</v>
      </c>
      <c r="O181" s="64" t="n"/>
      <c r="P181" s="64" t="n"/>
      <c r="Q181" s="64" t="inlineStr">
        <is>
          <t>VISUAL EFFECTS</t>
        </is>
      </c>
      <c r="R181" s="64" t="inlineStr">
        <is>
          <t>https://github.com/DLu/oscar_data</t>
        </is>
      </c>
    </row>
    <row r="182">
      <c r="A182" t="inlineStr">
        <is>
          <t>F0178</t>
        </is>
      </c>
      <c r="B182" t="inlineStr">
        <is>
          <t>Jurassic Park III</t>
        </is>
      </c>
      <c r="C182" t="inlineStr">
        <is>
          <t>2001</t>
        </is>
      </c>
      <c r="D182" t="n">
        <v>0</v>
      </c>
      <c r="E182" t="n">
        <v>0</v>
      </c>
      <c r="G182" t="n">
        <v>0</v>
      </c>
      <c r="H182" t="n">
        <v>0</v>
      </c>
      <c r="I182" s="64" t="n"/>
      <c r="J182" s="64" t="n">
        <v>0</v>
      </c>
      <c r="K182" s="64" t="n">
        <v>0</v>
      </c>
      <c r="L182" s="64" t="n"/>
      <c r="M182" s="64" t="n">
        <v>0</v>
      </c>
      <c r="N182" s="64" t="n">
        <v>0</v>
      </c>
      <c r="O182" s="64" t="n"/>
      <c r="P182" s="64" t="n"/>
      <c r="Q182" s="64" t="n"/>
      <c r="R182" s="64" t="inlineStr">
        <is>
          <t>https://github.com/DLu/oscar_data</t>
        </is>
      </c>
    </row>
    <row r="183">
      <c r="A183" t="inlineStr">
        <is>
          <t>F0179</t>
        </is>
      </c>
      <c r="B183" t="inlineStr">
        <is>
          <t>Jurassic World</t>
        </is>
      </c>
      <c r="C183" t="inlineStr">
        <is>
          <t>2015</t>
        </is>
      </c>
      <c r="D183" t="n">
        <v>0</v>
      </c>
      <c r="E183" t="n">
        <v>0</v>
      </c>
      <c r="G183" t="n">
        <v>0</v>
      </c>
      <c r="H183" t="n">
        <v>0</v>
      </c>
      <c r="I183" s="64" t="n"/>
      <c r="J183" s="64" t="n">
        <v>0</v>
      </c>
      <c r="K183" s="64" t="n">
        <v>0</v>
      </c>
      <c r="L183" s="64" t="n"/>
      <c r="M183" s="64" t="n">
        <v>0</v>
      </c>
      <c r="N183" s="64" t="n">
        <v>0</v>
      </c>
      <c r="O183" s="64" t="n"/>
      <c r="P183" s="64" t="n"/>
      <c r="Q183" s="64" t="n"/>
      <c r="R183" s="64" t="inlineStr">
        <is>
          <t>https://github.com/DLu/oscar_data</t>
        </is>
      </c>
    </row>
    <row r="184">
      <c r="A184" t="inlineStr">
        <is>
          <t>F0180</t>
        </is>
      </c>
      <c r="B184" t="inlineStr">
        <is>
          <t>Jurassic World: Fallen Kingdom</t>
        </is>
      </c>
      <c r="C184" t="inlineStr">
        <is>
          <t>2018</t>
        </is>
      </c>
      <c r="D184" t="n">
        <v>0</v>
      </c>
      <c r="E184" t="n">
        <v>0</v>
      </c>
      <c r="G184" t="n">
        <v>0</v>
      </c>
      <c r="H184" t="n">
        <v>0</v>
      </c>
      <c r="I184" s="64" t="n"/>
      <c r="J184" s="64" t="n">
        <v>0</v>
      </c>
      <c r="K184" s="64" t="n">
        <v>0</v>
      </c>
      <c r="L184" s="64" t="n"/>
      <c r="M184" s="64" t="n">
        <v>0</v>
      </c>
      <c r="N184" s="64" t="n">
        <v>0</v>
      </c>
      <c r="O184" s="64" t="n"/>
      <c r="P184" s="64" t="n"/>
      <c r="Q184" s="64" t="n"/>
      <c r="R184" s="64" t="inlineStr">
        <is>
          <t>https://github.com/DLu/oscar_data</t>
        </is>
      </c>
    </row>
    <row r="185">
      <c r="A185" t="inlineStr">
        <is>
          <t>F0181</t>
        </is>
      </c>
      <c r="B185" t="inlineStr">
        <is>
          <t>Jurassic World Dominion</t>
        </is>
      </c>
      <c r="C185" t="inlineStr">
        <is>
          <t>2022</t>
        </is>
      </c>
      <c r="D185" t="n">
        <v>0</v>
      </c>
      <c r="E185" t="n">
        <v>0</v>
      </c>
      <c r="G185" t="n">
        <v>0</v>
      </c>
      <c r="H185" t="n">
        <v>0</v>
      </c>
      <c r="I185" s="64" t="n"/>
      <c r="J185" s="64" t="n">
        <v>0</v>
      </c>
      <c r="K185" s="64" t="n">
        <v>0</v>
      </c>
      <c r="L185" s="64" t="n"/>
      <c r="M185" s="64" t="n">
        <v>0</v>
      </c>
      <c r="N185" s="64" t="n">
        <v>0</v>
      </c>
      <c r="O185" s="64" t="n"/>
      <c r="P185" s="64" t="n"/>
      <c r="Q185" s="64" t="n"/>
      <c r="R185" s="64" t="inlineStr">
        <is>
          <t>https://github.com/DLu/oscar_data</t>
        </is>
      </c>
    </row>
    <row r="186">
      <c r="A186" t="inlineStr">
        <is>
          <t>F0182</t>
        </is>
      </c>
      <c r="B186" t="inlineStr">
        <is>
          <t>Jurassic World Rebirth</t>
        </is>
      </c>
      <c r="C186" t="inlineStr">
        <is>
          <t>2025</t>
        </is>
      </c>
      <c r="D186" t="n">
        <v>1</v>
      </c>
      <c r="E186" t="n">
        <v>0</v>
      </c>
      <c r="G186" t="n">
        <v>0</v>
      </c>
      <c r="H186" t="n">
        <v>0</v>
      </c>
      <c r="I186" s="64" t="n"/>
      <c r="J186" s="64" t="n">
        <v>0</v>
      </c>
      <c r="K186" s="64" t="n">
        <v>0</v>
      </c>
      <c r="L186" s="64" t="n"/>
      <c r="M186" s="64" t="n">
        <v>0</v>
      </c>
      <c r="N186" s="64" t="n">
        <v>0</v>
      </c>
      <c r="O186" s="64" t="n"/>
      <c r="P186" s="64" t="n"/>
      <c r="Q186" s="64" t="inlineStr">
        <is>
          <t>VISUAL EFFECTS</t>
        </is>
      </c>
      <c r="R186" s="64" t="inlineStr">
        <is>
          <t>https://github.com/DLu/oscar_data</t>
        </is>
      </c>
    </row>
    <row r="187">
      <c r="A187" t="inlineStr">
        <is>
          <t>F0183</t>
        </is>
      </c>
      <c r="B187" t="inlineStr">
        <is>
          <t>Just Go with It</t>
        </is>
      </c>
      <c r="C187" t="inlineStr">
        <is>
          <t>2011</t>
        </is>
      </c>
      <c r="D187" t="n">
        <v>0</v>
      </c>
      <c r="E187" t="n">
        <v>0</v>
      </c>
      <c r="G187" t="n">
        <v>0</v>
      </c>
      <c r="H187" t="n">
        <v>0</v>
      </c>
      <c r="I187" s="64" t="n"/>
      <c r="J187" s="64" t="n">
        <v>0</v>
      </c>
      <c r="K187" s="64" t="n">
        <v>0</v>
      </c>
      <c r="L187" s="64" t="n"/>
      <c r="M187" s="64" t="n">
        <v>0</v>
      </c>
      <c r="N187" s="64" t="n">
        <v>0</v>
      </c>
      <c r="O187" s="64" t="n"/>
      <c r="P187" s="64" t="n"/>
      <c r="Q187" s="64" t="n"/>
      <c r="R187" s="64" t="inlineStr">
        <is>
          <t>https://github.com/DLu/oscar_data</t>
        </is>
      </c>
    </row>
    <row r="188">
      <c r="A188" t="inlineStr">
        <is>
          <t>F0184</t>
        </is>
      </c>
      <c r="B188" t="inlineStr">
        <is>
          <t>The Karate Kid</t>
        </is>
      </c>
      <c r="C188" t="inlineStr">
        <is>
          <t>2010</t>
        </is>
      </c>
      <c r="D188" t="n">
        <v>0</v>
      </c>
      <c r="E188" t="n">
        <v>0</v>
      </c>
      <c r="G188" t="n">
        <v>0</v>
      </c>
      <c r="H188" t="n">
        <v>0</v>
      </c>
      <c r="I188" s="64" t="n"/>
      <c r="J188" s="64" t="n">
        <v>0</v>
      </c>
      <c r="K188" s="64" t="n">
        <v>0</v>
      </c>
      <c r="L188" s="64" t="n"/>
      <c r="M188" s="64" t="n">
        <v>0</v>
      </c>
      <c r="N188" s="64" t="n">
        <v>0</v>
      </c>
      <c r="O188" s="64" t="n"/>
      <c r="P188" s="64" t="n"/>
      <c r="Q188" s="64" t="n"/>
      <c r="R188" s="64" t="inlineStr">
        <is>
          <t>https://github.com/DLu/oscar_data</t>
        </is>
      </c>
    </row>
    <row r="189">
      <c r="A189" t="inlineStr">
        <is>
          <t>F0185</t>
        </is>
      </c>
      <c r="B189" t="inlineStr">
        <is>
          <t>Kick-Ass</t>
        </is>
      </c>
      <c r="C189" t="inlineStr">
        <is>
          <t>2010</t>
        </is>
      </c>
      <c r="D189" t="n">
        <v>0</v>
      </c>
      <c r="E189" t="n">
        <v>0</v>
      </c>
      <c r="G189" t="n">
        <v>0</v>
      </c>
      <c r="H189" t="n">
        <v>0</v>
      </c>
      <c r="I189" s="64" t="n"/>
      <c r="J189" s="64" t="n">
        <v>0</v>
      </c>
      <c r="K189" s="64" t="n">
        <v>0</v>
      </c>
      <c r="L189" s="64" t="n"/>
      <c r="M189" s="64" t="n">
        <v>0</v>
      </c>
      <c r="N189" s="64" t="n">
        <v>0</v>
      </c>
      <c r="O189" s="64" t="n"/>
      <c r="P189" s="64" t="n"/>
      <c r="Q189" s="64" t="n"/>
      <c r="R189" s="64" t="inlineStr">
        <is>
          <t>https://github.com/DLu/oscar_data</t>
        </is>
      </c>
    </row>
    <row r="190">
      <c r="A190" t="inlineStr">
        <is>
          <t>F0186</t>
        </is>
      </c>
      <c r="B190" t="inlineStr">
        <is>
          <t>Kick-Ass 2</t>
        </is>
      </c>
      <c r="C190" t="inlineStr">
        <is>
          <t>2013</t>
        </is>
      </c>
      <c r="D190" t="n">
        <v>0</v>
      </c>
      <c r="E190" t="n">
        <v>0</v>
      </c>
      <c r="G190" t="n">
        <v>0</v>
      </c>
      <c r="H190" t="n">
        <v>0</v>
      </c>
      <c r="I190" s="64" t="n"/>
      <c r="J190" s="64" t="n">
        <v>0</v>
      </c>
      <c r="K190" s="64" t="n">
        <v>0</v>
      </c>
      <c r="L190" s="64" t="n"/>
      <c r="M190" s="64" t="n">
        <v>0</v>
      </c>
      <c r="N190" s="64" t="n">
        <v>0</v>
      </c>
      <c r="O190" s="64" t="n"/>
      <c r="P190" s="64" t="n"/>
      <c r="Q190" s="64" t="n"/>
      <c r="R190" s="64" t="inlineStr">
        <is>
          <t>https://github.com/DLu/oscar_data</t>
        </is>
      </c>
    </row>
    <row r="191">
      <c r="A191" t="inlineStr">
        <is>
          <t>F0187</t>
        </is>
      </c>
      <c r="B191" t="inlineStr">
        <is>
          <t>Killing Them Softly</t>
        </is>
      </c>
      <c r="C191" t="inlineStr">
        <is>
          <t>2012</t>
        </is>
      </c>
      <c r="D191" t="n">
        <v>0</v>
      </c>
      <c r="E191" t="n">
        <v>0</v>
      </c>
      <c r="G191" t="n">
        <v>0</v>
      </c>
      <c r="H191" t="n">
        <v>0</v>
      </c>
      <c r="I191" s="64" t="n"/>
      <c r="J191" s="64" t="n">
        <v>0</v>
      </c>
      <c r="K191" s="64" t="n">
        <v>0</v>
      </c>
      <c r="L191" s="64" t="n"/>
      <c r="M191" s="64" t="n">
        <v>0</v>
      </c>
      <c r="N191" s="64" t="n">
        <v>0</v>
      </c>
      <c r="O191" s="64" t="n"/>
      <c r="P191" s="64" t="n"/>
      <c r="Q191" s="64" t="n"/>
      <c r="R191" s="64" t="inlineStr">
        <is>
          <t>https://github.com/DLu/oscar_data</t>
        </is>
      </c>
    </row>
    <row r="192">
      <c r="A192" t="inlineStr">
        <is>
          <t>F0188</t>
        </is>
      </c>
      <c r="B192" t="inlineStr">
        <is>
          <t>King Kong</t>
        </is>
      </c>
      <c r="C192" t="inlineStr">
        <is>
          <t>2005</t>
        </is>
      </c>
      <c r="D192" t="n">
        <v>4</v>
      </c>
      <c r="E192" t="n">
        <v>3</v>
      </c>
      <c r="G192" t="n">
        <v>0</v>
      </c>
      <c r="H192" t="n">
        <v>0</v>
      </c>
      <c r="I192" s="64" t="n"/>
      <c r="J192" s="64" t="n">
        <v>0</v>
      </c>
      <c r="K192" s="64" t="n">
        <v>0</v>
      </c>
      <c r="L192" s="64" t="n"/>
      <c r="M192" s="64" t="n">
        <v>0</v>
      </c>
      <c r="N192" s="64" t="n">
        <v>0</v>
      </c>
      <c r="O192" s="64" t="n"/>
      <c r="P192" s="64" t="inlineStr">
        <is>
          <t>SOUND EDITING; SOUND MIXING; VISUAL EFFECTS</t>
        </is>
      </c>
      <c r="Q192" s="64" t="inlineStr">
        <is>
          <t>ART DIRECTION; SOUND EDITING; SOUND MIXING; VISUAL EFFECTS</t>
        </is>
      </c>
      <c r="R192" s="64" t="inlineStr">
        <is>
          <t>https://github.com/DLu/oscar_data</t>
        </is>
      </c>
    </row>
    <row r="193" ht="75" customHeight="1" s="95">
      <c r="A193" t="inlineStr">
        <is>
          <t>F0189</t>
        </is>
      </c>
      <c r="B193" t="inlineStr">
        <is>
          <t>The King's Speech</t>
        </is>
      </c>
      <c r="C193" t="inlineStr">
        <is>
          <t>2010</t>
        </is>
      </c>
      <c r="D193" t="n">
        <v>12</v>
      </c>
      <c r="E193" t="n">
        <v>4</v>
      </c>
      <c r="F193" t="inlineStr">
        <is>
          <t>Winner</t>
        </is>
      </c>
      <c r="G193" t="n">
        <v>3</v>
      </c>
      <c r="H193" t="n">
        <v>1</v>
      </c>
      <c r="I193" s="64" t="inlineStr">
        <is>
          <t>Colin Firth</t>
        </is>
      </c>
      <c r="J193" s="64" t="n">
        <v>1</v>
      </c>
      <c r="K193" s="64" t="n">
        <v>1</v>
      </c>
      <c r="L193" s="64" t="inlineStr">
        <is>
          <t>Tom Hooper</t>
        </is>
      </c>
      <c r="M193" s="64" t="n">
        <v>1</v>
      </c>
      <c r="N193" s="64" t="n">
        <v>1</v>
      </c>
      <c r="O193" s="64" t="n"/>
      <c r="P193" s="64" t="inlineStr">
        <is>
          <t>ACTOR IN A LEADING ROLE; DIRECTING; BEST PICTURE; WRITING (Original Screenplay)</t>
        </is>
      </c>
      <c r="Q193" s="64" t="inlineStr">
        <is>
          <t>ACTOR IN A LEADING ROLE; ACTOR IN A SUPPORTING ROLE; ACTRESS IN A SUPPORTING ROLE; ART DIRECTION; CINEMATOGRAPHY; COSTUME DESIGN; DIRECTING; FILM EDITING; MUSIC (Original Score); BEST PICTURE; SOUND MIXING; WRITING (Original Screenplay)</t>
        </is>
      </c>
      <c r="R193" s="64" t="inlineStr">
        <is>
          <t>https://github.com/DLu/oscar_data</t>
        </is>
      </c>
    </row>
    <row r="194">
      <c r="A194" t="inlineStr">
        <is>
          <t>F0190</t>
        </is>
      </c>
      <c r="B194" t="inlineStr">
        <is>
          <t>Kong: Skull Island</t>
        </is>
      </c>
      <c r="C194" t="inlineStr">
        <is>
          <t>2017</t>
        </is>
      </c>
      <c r="D194" t="n">
        <v>1</v>
      </c>
      <c r="E194" t="n">
        <v>0</v>
      </c>
      <c r="G194" t="n">
        <v>0</v>
      </c>
      <c r="H194" t="n">
        <v>0</v>
      </c>
      <c r="I194" s="64" t="n"/>
      <c r="J194" s="64" t="n">
        <v>0</v>
      </c>
      <c r="K194" s="64" t="n">
        <v>0</v>
      </c>
      <c r="L194" s="64" t="n"/>
      <c r="M194" s="64" t="n">
        <v>0</v>
      </c>
      <c r="N194" s="64" t="n">
        <v>0</v>
      </c>
      <c r="O194" s="64" t="n"/>
      <c r="P194" s="64" t="n"/>
      <c r="Q194" s="64" t="inlineStr">
        <is>
          <t>VISUAL EFFECTS</t>
        </is>
      </c>
      <c r="R194" s="64" t="inlineStr">
        <is>
          <t>https://github.com/DLu/oscar_data</t>
        </is>
      </c>
    </row>
    <row r="195">
      <c r="A195" t="inlineStr">
        <is>
          <t>F0191</t>
        </is>
      </c>
      <c r="B195" t="inlineStr">
        <is>
          <t>Law Abiding Citizen</t>
        </is>
      </c>
      <c r="C195" t="inlineStr">
        <is>
          <t>2009</t>
        </is>
      </c>
      <c r="D195" t="n">
        <v>0</v>
      </c>
      <c r="E195" t="n">
        <v>0</v>
      </c>
      <c r="G195" t="n">
        <v>0</v>
      </c>
      <c r="H195" t="n">
        <v>0</v>
      </c>
      <c r="I195" s="64" t="n"/>
      <c r="J195" s="64" t="n">
        <v>0</v>
      </c>
      <c r="K195" s="64" t="n">
        <v>0</v>
      </c>
      <c r="L195" s="64" t="n"/>
      <c r="M195" s="64" t="n">
        <v>0</v>
      </c>
      <c r="N195" s="64" t="n">
        <v>0</v>
      </c>
      <c r="O195" s="64" t="n"/>
      <c r="P195" s="64" t="n"/>
      <c r="Q195" s="64" t="n"/>
      <c r="R195" s="64" t="inlineStr">
        <is>
          <t>https://github.com/DLu/oscar_data</t>
        </is>
      </c>
    </row>
    <row r="196">
      <c r="A196" t="inlineStr">
        <is>
          <t>F0192</t>
        </is>
      </c>
      <c r="B196" t="inlineStr">
        <is>
          <t>Lawless</t>
        </is>
      </c>
      <c r="C196" t="inlineStr">
        <is>
          <t>2012</t>
        </is>
      </c>
      <c r="D196" t="n">
        <v>0</v>
      </c>
      <c r="E196" t="n">
        <v>0</v>
      </c>
      <c r="G196" t="n">
        <v>0</v>
      </c>
      <c r="H196" t="n">
        <v>0</v>
      </c>
      <c r="I196" s="64" t="n"/>
      <c r="J196" s="64" t="n">
        <v>0</v>
      </c>
      <c r="K196" s="64" t="n">
        <v>0</v>
      </c>
      <c r="L196" s="64" t="n"/>
      <c r="M196" s="64" t="n">
        <v>0</v>
      </c>
      <c r="N196" s="64" t="n">
        <v>0</v>
      </c>
      <c r="O196" s="64" t="n"/>
      <c r="P196" s="64" t="n"/>
      <c r="Q196" s="64" t="n"/>
      <c r="R196" s="64" t="inlineStr">
        <is>
          <t>https://github.com/DLu/oscar_data</t>
        </is>
      </c>
    </row>
    <row r="197">
      <c r="A197" t="inlineStr">
        <is>
          <t>F0193</t>
        </is>
      </c>
      <c r="B197" t="inlineStr">
        <is>
          <t>The Lego Batman Movie</t>
        </is>
      </c>
      <c r="C197" t="inlineStr">
        <is>
          <t>2017</t>
        </is>
      </c>
      <c r="D197" t="n">
        <v>0</v>
      </c>
      <c r="E197" t="n">
        <v>0</v>
      </c>
      <c r="G197" t="n">
        <v>0</v>
      </c>
      <c r="H197" t="n">
        <v>0</v>
      </c>
      <c r="I197" s="64" t="n"/>
      <c r="J197" s="64" t="n">
        <v>0</v>
      </c>
      <c r="K197" s="64" t="n">
        <v>0</v>
      </c>
      <c r="L197" s="64" t="n"/>
      <c r="M197" s="64" t="n">
        <v>0</v>
      </c>
      <c r="N197" s="64" t="n">
        <v>0</v>
      </c>
      <c r="O197" s="64" t="n"/>
      <c r="P197" s="64" t="n"/>
      <c r="Q197" s="64" t="n"/>
      <c r="R197" s="64" t="inlineStr">
        <is>
          <t>https://github.com/DLu/oscar_data</t>
        </is>
      </c>
    </row>
    <row r="198">
      <c r="A198" t="inlineStr">
        <is>
          <t>F0194</t>
        </is>
      </c>
      <c r="B198" t="inlineStr">
        <is>
          <t>Lego Batman: The Movie - DC Super Heroes Unite</t>
        </is>
      </c>
      <c r="C198" t="inlineStr">
        <is>
          <t>2013</t>
        </is>
      </c>
      <c r="D198" t="n">
        <v>0</v>
      </c>
      <c r="E198" t="n">
        <v>0</v>
      </c>
      <c r="G198" t="n">
        <v>0</v>
      </c>
      <c r="H198" t="n">
        <v>0</v>
      </c>
      <c r="I198" s="64" t="n"/>
      <c r="J198" s="64" t="n">
        <v>0</v>
      </c>
      <c r="K198" s="64" t="n">
        <v>0</v>
      </c>
      <c r="L198" s="64" t="n"/>
      <c r="M198" s="64" t="n">
        <v>0</v>
      </c>
      <c r="N198" s="64" t="n">
        <v>0</v>
      </c>
      <c r="O198" s="64" t="n"/>
      <c r="P198" s="64" t="n"/>
      <c r="Q198" s="64" t="n"/>
      <c r="R198" s="64" t="inlineStr">
        <is>
          <t>https://github.com/DLu/oscar_data</t>
        </is>
      </c>
    </row>
    <row r="199">
      <c r="A199" t="inlineStr">
        <is>
          <t>F0195</t>
        </is>
      </c>
      <c r="B199" t="inlineStr">
        <is>
          <t>The Lego Movie</t>
        </is>
      </c>
      <c r="C199" t="inlineStr">
        <is>
          <t>2014</t>
        </is>
      </c>
      <c r="D199" t="n">
        <v>1</v>
      </c>
      <c r="E199" t="n">
        <v>0</v>
      </c>
      <c r="G199" t="n">
        <v>0</v>
      </c>
      <c r="H199" t="n">
        <v>0</v>
      </c>
      <c r="I199" s="64" t="n"/>
      <c r="J199" s="64" t="n">
        <v>0</v>
      </c>
      <c r="K199" s="64" t="n">
        <v>0</v>
      </c>
      <c r="L199" s="64" t="n"/>
      <c r="M199" s="64" t="n">
        <v>0</v>
      </c>
      <c r="N199" s="64" t="n">
        <v>0</v>
      </c>
      <c r="O199" s="64" t="n"/>
      <c r="P199" s="64" t="n"/>
      <c r="Q199" s="64" t="inlineStr">
        <is>
          <t>MUSIC (Original Song)</t>
        </is>
      </c>
      <c r="R199" s="64" t="inlineStr">
        <is>
          <t>https://github.com/DLu/oscar_data</t>
        </is>
      </c>
    </row>
    <row r="200">
      <c r="A200" t="inlineStr">
        <is>
          <t>F0196</t>
        </is>
      </c>
      <c r="B200" t="inlineStr">
        <is>
          <t>The Lego Movie 2: The Second Part</t>
        </is>
      </c>
      <c r="C200" t="inlineStr">
        <is>
          <t>2019</t>
        </is>
      </c>
      <c r="D200" t="n">
        <v>0</v>
      </c>
      <c r="E200" t="n">
        <v>0</v>
      </c>
      <c r="G200" t="n">
        <v>0</v>
      </c>
      <c r="H200" t="n">
        <v>0</v>
      </c>
      <c r="I200" s="64" t="n"/>
      <c r="J200" s="64" t="n">
        <v>0</v>
      </c>
      <c r="K200" s="64" t="n">
        <v>0</v>
      </c>
      <c r="L200" s="64" t="n"/>
      <c r="M200" s="64" t="n">
        <v>0</v>
      </c>
      <c r="N200" s="64" t="n">
        <v>0</v>
      </c>
      <c r="O200" s="64" t="n"/>
      <c r="P200" s="64" t="n"/>
      <c r="Q200" s="64" t="n"/>
      <c r="R200" s="64" t="inlineStr">
        <is>
          <t>https://github.com/DLu/oscar_data</t>
        </is>
      </c>
    </row>
    <row r="201">
      <c r="A201" t="inlineStr">
        <is>
          <t>F0197</t>
        </is>
      </c>
      <c r="B201" t="inlineStr">
        <is>
          <t>Lego DC Comics Super Heroes: Justice League vs. Bizarro League</t>
        </is>
      </c>
      <c r="C201" t="inlineStr">
        <is>
          <t>2015</t>
        </is>
      </c>
      <c r="D201" t="n">
        <v>0</v>
      </c>
      <c r="E201" t="n">
        <v>0</v>
      </c>
      <c r="G201" t="n">
        <v>0</v>
      </c>
      <c r="H201" t="n">
        <v>0</v>
      </c>
      <c r="I201" s="64" t="n"/>
      <c r="J201" s="64" t="n">
        <v>0</v>
      </c>
      <c r="K201" s="64" t="n">
        <v>0</v>
      </c>
      <c r="L201" s="64" t="n"/>
      <c r="M201" s="64" t="n">
        <v>0</v>
      </c>
      <c r="N201" s="64" t="n">
        <v>0</v>
      </c>
      <c r="O201" s="64" t="n"/>
      <c r="P201" s="64" t="n"/>
      <c r="Q201" s="64" t="n"/>
      <c r="R201" s="64" t="inlineStr">
        <is>
          <t>https://github.com/DLu/oscar_data</t>
        </is>
      </c>
    </row>
    <row r="202">
      <c r="A202" t="inlineStr">
        <is>
          <t>F0198</t>
        </is>
      </c>
      <c r="B202" t="inlineStr">
        <is>
          <t>Lego DC Comics Super Heroes: Justice League - Gotham City Breakout</t>
        </is>
      </c>
      <c r="C202" t="inlineStr">
        <is>
          <t>2016</t>
        </is>
      </c>
      <c r="D202" t="n">
        <v>0</v>
      </c>
      <c r="E202" t="n">
        <v>0</v>
      </c>
      <c r="G202" t="n">
        <v>0</v>
      </c>
      <c r="H202" t="n">
        <v>0</v>
      </c>
      <c r="I202" s="64" t="n"/>
      <c r="J202" s="64" t="n">
        <v>0</v>
      </c>
      <c r="K202" s="64" t="n">
        <v>0</v>
      </c>
      <c r="L202" s="64" t="n"/>
      <c r="M202" s="64" t="n">
        <v>0</v>
      </c>
      <c r="N202" s="64" t="n">
        <v>0</v>
      </c>
      <c r="O202" s="64" t="n"/>
      <c r="P202" s="64" t="n"/>
      <c r="Q202" s="64" t="n"/>
      <c r="R202" s="64" t="inlineStr">
        <is>
          <t>https://github.com/DLu/oscar_data</t>
        </is>
      </c>
    </row>
    <row r="203" ht="45" customHeight="1" s="95">
      <c r="A203" t="inlineStr">
        <is>
          <t>F0199</t>
        </is>
      </c>
      <c r="B203" t="inlineStr">
        <is>
          <t>Les Misérables</t>
        </is>
      </c>
      <c r="C203" t="inlineStr">
        <is>
          <t>2012</t>
        </is>
      </c>
      <c r="D203" t="n">
        <v>8</v>
      </c>
      <c r="E203" t="n">
        <v>3</v>
      </c>
      <c r="F203" t="inlineStr">
        <is>
          <t>Nominated</t>
        </is>
      </c>
      <c r="G203" t="n">
        <v>2</v>
      </c>
      <c r="H203" t="n">
        <v>1</v>
      </c>
      <c r="I203" s="64" t="inlineStr">
        <is>
          <t>Anne Hathaway</t>
        </is>
      </c>
      <c r="J203" s="64" t="n">
        <v>0</v>
      </c>
      <c r="K203" s="64" t="n">
        <v>0</v>
      </c>
      <c r="L203" s="64" t="n"/>
      <c r="M203" s="64" t="n">
        <v>0</v>
      </c>
      <c r="N203" s="64" t="n">
        <v>0</v>
      </c>
      <c r="O203" s="64" t="n"/>
      <c r="P203" s="64" t="inlineStr">
        <is>
          <t>ACTRESS IN A SUPPORTING ROLE; MAKEUP AND HAIRSTYLING; SOUND MIXING</t>
        </is>
      </c>
      <c r="Q203" s="64" t="inlineStr">
        <is>
          <t>ACTOR IN A LEADING ROLE; ACTRESS IN A SUPPORTING ROLE; COSTUME DESIGN; MAKEUP AND HAIRSTYLING; MUSIC (Original Song); BEST PICTURE; ART DIRECTION; SOUND MIXING</t>
        </is>
      </c>
      <c r="R203" s="64" t="inlineStr">
        <is>
          <t>https://github.com/DLu/oscar_data</t>
        </is>
      </c>
    </row>
    <row r="204">
      <c r="A204" t="inlineStr">
        <is>
          <t>F0200</t>
        </is>
      </c>
      <c r="B204" t="inlineStr">
        <is>
          <t>The Lion King</t>
        </is>
      </c>
      <c r="C204" t="inlineStr">
        <is>
          <t>1994</t>
        </is>
      </c>
      <c r="D204" t="n">
        <v>3</v>
      </c>
      <c r="E204" t="n">
        <v>2</v>
      </c>
      <c r="G204" t="n">
        <v>0</v>
      </c>
      <c r="H204" t="n">
        <v>0</v>
      </c>
      <c r="I204" s="64" t="n"/>
      <c r="J204" s="64" t="n">
        <v>0</v>
      </c>
      <c r="K204" s="64" t="n">
        <v>0</v>
      </c>
      <c r="L204" s="64" t="n"/>
      <c r="M204" s="64" t="n">
        <v>0</v>
      </c>
      <c r="N204" s="64" t="n">
        <v>0</v>
      </c>
      <c r="O204" s="64" t="n"/>
      <c r="P204" s="64" t="inlineStr">
        <is>
          <t>MUSIC (Original Score); MUSIC (Original Song)</t>
        </is>
      </c>
      <c r="Q204" s="64" t="inlineStr">
        <is>
          <t>MUSIC (Original Score); MUSIC (Original Song)</t>
        </is>
      </c>
      <c r="R204" s="64" t="inlineStr">
        <is>
          <t>https://github.com/DLu/oscar_data</t>
        </is>
      </c>
    </row>
    <row r="205">
      <c r="A205" t="inlineStr">
        <is>
          <t>F0201</t>
        </is>
      </c>
      <c r="B205" t="inlineStr">
        <is>
          <t>Logan</t>
        </is>
      </c>
      <c r="C205" t="inlineStr">
        <is>
          <t>2017</t>
        </is>
      </c>
      <c r="D205" t="n">
        <v>1</v>
      </c>
      <c r="E205" t="n">
        <v>0</v>
      </c>
      <c r="G205" t="n">
        <v>0</v>
      </c>
      <c r="H205" t="n">
        <v>0</v>
      </c>
      <c r="I205" s="64" t="n"/>
      <c r="J205" s="64" t="n">
        <v>0</v>
      </c>
      <c r="K205" s="64" t="n">
        <v>0</v>
      </c>
      <c r="L205" s="64" t="n"/>
      <c r="M205" s="64" t="n">
        <v>1</v>
      </c>
      <c r="N205" s="64" t="n">
        <v>0</v>
      </c>
      <c r="O205" s="64" t="n"/>
      <c r="P205" s="64" t="n"/>
      <c r="Q205" s="64" t="inlineStr">
        <is>
          <t>WRITING (Adapted Screenplay)</t>
        </is>
      </c>
      <c r="R205" s="64" t="inlineStr">
        <is>
          <t>https://github.com/DLu/oscar_data</t>
        </is>
      </c>
    </row>
    <row r="206">
      <c r="A206" t="inlineStr">
        <is>
          <t>F0202</t>
        </is>
      </c>
      <c r="B206" t="inlineStr">
        <is>
          <t>Lone Survivor</t>
        </is>
      </c>
      <c r="C206" t="inlineStr">
        <is>
          <t>2013</t>
        </is>
      </c>
      <c r="D206" t="n">
        <v>2</v>
      </c>
      <c r="E206" t="n">
        <v>0</v>
      </c>
      <c r="G206" t="n">
        <v>0</v>
      </c>
      <c r="H206" t="n">
        <v>0</v>
      </c>
      <c r="I206" s="64" t="n"/>
      <c r="J206" s="64" t="n">
        <v>0</v>
      </c>
      <c r="K206" s="64" t="n">
        <v>0</v>
      </c>
      <c r="L206" s="64" t="n"/>
      <c r="M206" s="64" t="n">
        <v>0</v>
      </c>
      <c r="N206" s="64" t="n">
        <v>0</v>
      </c>
      <c r="O206" s="64" t="n"/>
      <c r="P206" s="64" t="n"/>
      <c r="Q206" s="64" t="inlineStr">
        <is>
          <t>SOUND EDITING; SOUND MIXING</t>
        </is>
      </c>
      <c r="R206" s="64" t="inlineStr">
        <is>
          <t>https://github.com/DLu/oscar_data</t>
        </is>
      </c>
    </row>
    <row r="207" ht="75" customHeight="1" s="95">
      <c r="A207" t="inlineStr">
        <is>
          <t>F0203</t>
        </is>
      </c>
      <c r="B207" t="inlineStr">
        <is>
          <t>The Lord of the Rings: The Fellowship of the Ring</t>
        </is>
      </c>
      <c r="C207" t="inlineStr">
        <is>
          <t>2001</t>
        </is>
      </c>
      <c r="D207" t="n">
        <v>13</v>
      </c>
      <c r="E207" t="n">
        <v>4</v>
      </c>
      <c r="F207" t="inlineStr">
        <is>
          <t>Nominated</t>
        </is>
      </c>
      <c r="G207" t="n">
        <v>1</v>
      </c>
      <c r="H207" t="n">
        <v>0</v>
      </c>
      <c r="I207" s="64" t="n"/>
      <c r="J207" s="64" t="n">
        <v>1</v>
      </c>
      <c r="K207" s="64" t="n">
        <v>0</v>
      </c>
      <c r="L207" s="64" t="n"/>
      <c r="M207" s="64" t="n">
        <v>1</v>
      </c>
      <c r="N207" s="64" t="n">
        <v>0</v>
      </c>
      <c r="O207" s="64" t="n"/>
      <c r="P207" s="64" t="inlineStr">
        <is>
          <t>CINEMATOGRAPHY; MAKEUP AND HAIRSTYLING; MUSIC (Original Score); VISUAL EFFECTS</t>
        </is>
      </c>
      <c r="Q207" s="64" t="inlineStr">
        <is>
          <t>ACTOR IN A SUPPORTING ROLE; ART DIRECTION; CINEMATOGRAPHY; COSTUME DESIGN; DIRECTING; FILM EDITING; MAKEUP AND HAIRSTYLING; MUSIC (Original Score); MUSIC (Original Song); BEST PICTURE; SOUND MIXING; VISUAL EFFECTS; WRITING (Adapted Screenplay)</t>
        </is>
      </c>
      <c r="R207" s="64" t="inlineStr">
        <is>
          <t>https://github.com/DLu/oscar_data</t>
        </is>
      </c>
    </row>
    <row r="208" ht="30" customHeight="1" s="95">
      <c r="A208" t="inlineStr">
        <is>
          <t>F0204</t>
        </is>
      </c>
      <c r="B208" t="inlineStr">
        <is>
          <t>The Lord of the Rings: The Two Towers</t>
        </is>
      </c>
      <c r="C208" t="inlineStr">
        <is>
          <t>2002</t>
        </is>
      </c>
      <c r="D208" t="n">
        <v>6</v>
      </c>
      <c r="E208" t="n">
        <v>2</v>
      </c>
      <c r="F208" t="inlineStr">
        <is>
          <t>Nominated</t>
        </is>
      </c>
      <c r="G208" t="n">
        <v>0</v>
      </c>
      <c r="H208" t="n">
        <v>0</v>
      </c>
      <c r="I208" s="64" t="n"/>
      <c r="J208" s="64" t="n">
        <v>0</v>
      </c>
      <c r="K208" s="64" t="n">
        <v>0</v>
      </c>
      <c r="L208" s="64" t="n"/>
      <c r="M208" s="64" t="n">
        <v>0</v>
      </c>
      <c r="N208" s="64" t="n">
        <v>0</v>
      </c>
      <c r="O208" s="64" t="n"/>
      <c r="P208" s="64" t="inlineStr">
        <is>
          <t>SOUND EDITING; VISUAL EFFECTS</t>
        </is>
      </c>
      <c r="Q208" s="64" t="inlineStr">
        <is>
          <t>ART DIRECTION; FILM EDITING; BEST PICTURE; SOUND MIXING; SOUND EDITING; VISUAL EFFECTS</t>
        </is>
      </c>
      <c r="R208" s="64" t="inlineStr">
        <is>
          <t>https://github.com/DLu/oscar_data</t>
        </is>
      </c>
    </row>
    <row r="209" ht="75" customHeight="1" s="95">
      <c r="A209" t="inlineStr">
        <is>
          <t>F0205</t>
        </is>
      </c>
      <c r="B209" t="inlineStr">
        <is>
          <t>The Lord of the Rings: The Return of the King</t>
        </is>
      </c>
      <c r="C209" t="inlineStr">
        <is>
          <t>2003</t>
        </is>
      </c>
      <c r="D209" t="n">
        <v>11</v>
      </c>
      <c r="E209" t="n">
        <v>11</v>
      </c>
      <c r="F209" t="inlineStr">
        <is>
          <t>Winner</t>
        </is>
      </c>
      <c r="G209" t="n">
        <v>0</v>
      </c>
      <c r="H209" t="n">
        <v>0</v>
      </c>
      <c r="I209" s="64" t="n"/>
      <c r="J209" s="64" t="n">
        <v>1</v>
      </c>
      <c r="K209" s="64" t="n">
        <v>1</v>
      </c>
      <c r="L209" s="64" t="inlineStr">
        <is>
          <t>Peter Jackson</t>
        </is>
      </c>
      <c r="M209" s="64" t="n">
        <v>1</v>
      </c>
      <c r="N209" s="64" t="n">
        <v>1</v>
      </c>
      <c r="O209" s="64" t="n"/>
      <c r="P209" s="64" t="inlineStr">
        <is>
          <t>ART DIRECTION; COSTUME DESIGN; DIRECTING; FILM EDITING; MAKEUP AND HAIRSTYLING; MUSIC (Original Score); MUSIC (Original Song); BEST PICTURE; SOUND MIXING; VISUAL EFFECTS; WRITING (Adapted Screenplay)</t>
        </is>
      </c>
      <c r="Q209" s="64" t="inlineStr">
        <is>
          <t>ART DIRECTION; COSTUME DESIGN; DIRECTING; FILM EDITING; MAKEUP AND HAIRSTYLING; MUSIC (Original Score); MUSIC (Original Song); BEST PICTURE; SOUND MIXING; VISUAL EFFECTS; WRITING (Adapted Screenplay)</t>
        </is>
      </c>
      <c r="R209" s="64" t="inlineStr">
        <is>
          <t>https://github.com/DLu/oscar_data</t>
        </is>
      </c>
    </row>
    <row r="210">
      <c r="A210" t="inlineStr">
        <is>
          <t>F0206</t>
        </is>
      </c>
      <c r="B210" t="inlineStr">
        <is>
          <t>Magic Mike</t>
        </is>
      </c>
      <c r="C210" t="inlineStr">
        <is>
          <t>2012</t>
        </is>
      </c>
      <c r="D210" t="n">
        <v>0</v>
      </c>
      <c r="E210" t="n">
        <v>0</v>
      </c>
      <c r="G210" t="n">
        <v>0</v>
      </c>
      <c r="H210" t="n">
        <v>0</v>
      </c>
      <c r="I210" s="64" t="n"/>
      <c r="J210" s="64" t="n">
        <v>0</v>
      </c>
      <c r="K210" s="64" t="n">
        <v>0</v>
      </c>
      <c r="L210" s="64" t="n"/>
      <c r="M210" s="64" t="n">
        <v>0</v>
      </c>
      <c r="N210" s="64" t="n">
        <v>0</v>
      </c>
      <c r="O210" s="64" t="n"/>
      <c r="P210" s="64" t="n"/>
      <c r="Q210" s="64" t="n"/>
      <c r="R210" s="64" t="inlineStr">
        <is>
          <t>https://github.com/DLu/oscar_data</t>
        </is>
      </c>
    </row>
    <row r="211">
      <c r="A211" t="inlineStr">
        <is>
          <t>F0207</t>
        </is>
      </c>
      <c r="B211" t="inlineStr">
        <is>
          <t>The Magnificent Seven</t>
        </is>
      </c>
      <c r="C211" t="inlineStr">
        <is>
          <t>2016</t>
        </is>
      </c>
      <c r="D211" t="n">
        <v>0</v>
      </c>
      <c r="E211" t="n">
        <v>0</v>
      </c>
      <c r="G211" t="n">
        <v>0</v>
      </c>
      <c r="H211" t="n">
        <v>0</v>
      </c>
      <c r="I211" s="64" t="n"/>
      <c r="J211" s="64" t="n">
        <v>0</v>
      </c>
      <c r="K211" s="64" t="n">
        <v>0</v>
      </c>
      <c r="L211" s="64" t="n"/>
      <c r="M211" s="64" t="n">
        <v>0</v>
      </c>
      <c r="N211" s="64" t="n">
        <v>0</v>
      </c>
      <c r="O211" s="64" t="n"/>
      <c r="P211" s="64" t="n"/>
      <c r="Q211" s="64" t="n"/>
      <c r="R211" s="64" t="inlineStr">
        <is>
          <t>https://github.com/DLu/oscar_data</t>
        </is>
      </c>
    </row>
    <row r="212">
      <c r="A212" t="inlineStr">
        <is>
          <t>F0208</t>
        </is>
      </c>
      <c r="B212" t="inlineStr">
        <is>
          <t>Maleficent</t>
        </is>
      </c>
      <c r="C212" t="inlineStr">
        <is>
          <t>2014</t>
        </is>
      </c>
      <c r="D212" t="n">
        <v>1</v>
      </c>
      <c r="E212" t="n">
        <v>0</v>
      </c>
      <c r="G212" t="n">
        <v>0</v>
      </c>
      <c r="H212" t="n">
        <v>0</v>
      </c>
      <c r="I212" s="64" t="n"/>
      <c r="J212" s="64" t="n">
        <v>0</v>
      </c>
      <c r="K212" s="64" t="n">
        <v>0</v>
      </c>
      <c r="L212" s="64" t="n"/>
      <c r="M212" s="64" t="n">
        <v>0</v>
      </c>
      <c r="N212" s="64" t="n">
        <v>0</v>
      </c>
      <c r="O212" s="64" t="n"/>
      <c r="P212" s="64" t="n"/>
      <c r="Q212" s="64" t="inlineStr">
        <is>
          <t>COSTUME DESIGN</t>
        </is>
      </c>
      <c r="R212" s="64" t="inlineStr">
        <is>
          <t>https://github.com/DLu/oscar_data</t>
        </is>
      </c>
    </row>
    <row r="213">
      <c r="A213" t="inlineStr">
        <is>
          <t>F0209</t>
        </is>
      </c>
      <c r="B213" t="inlineStr">
        <is>
          <t>Mamma Mia!</t>
        </is>
      </c>
      <c r="C213" t="inlineStr">
        <is>
          <t>2008</t>
        </is>
      </c>
      <c r="D213" t="n">
        <v>0</v>
      </c>
      <c r="E213" t="n">
        <v>0</v>
      </c>
      <c r="G213" t="n">
        <v>0</v>
      </c>
      <c r="H213" t="n">
        <v>0</v>
      </c>
      <c r="I213" s="64" t="n"/>
      <c r="J213" s="64" t="n">
        <v>0</v>
      </c>
      <c r="K213" s="64" t="n">
        <v>0</v>
      </c>
      <c r="L213" s="64" t="n"/>
      <c r="M213" s="64" t="n">
        <v>0</v>
      </c>
      <c r="N213" s="64" t="n">
        <v>0</v>
      </c>
      <c r="O213" s="64" t="n"/>
      <c r="P213" s="64" t="n"/>
      <c r="Q213" s="64" t="n"/>
      <c r="R213" s="64" t="inlineStr">
        <is>
          <t>https://github.com/DLu/oscar_data</t>
        </is>
      </c>
    </row>
    <row r="214">
      <c r="A214" t="inlineStr">
        <is>
          <t>F0210</t>
        </is>
      </c>
      <c r="B214" t="inlineStr">
        <is>
          <t>Man on a Ledge</t>
        </is>
      </c>
      <c r="C214" t="inlineStr">
        <is>
          <t>2012</t>
        </is>
      </c>
      <c r="D214" t="n">
        <v>0</v>
      </c>
      <c r="E214" t="n">
        <v>0</v>
      </c>
      <c r="G214" t="n">
        <v>0</v>
      </c>
      <c r="H214" t="n">
        <v>0</v>
      </c>
      <c r="I214" s="64" t="n"/>
      <c r="J214" s="64" t="n">
        <v>0</v>
      </c>
      <c r="K214" s="64" t="n">
        <v>0</v>
      </c>
      <c r="L214" s="64" t="n"/>
      <c r="M214" s="64" t="n">
        <v>0</v>
      </c>
      <c r="N214" s="64" t="n">
        <v>0</v>
      </c>
      <c r="O214" s="64" t="n"/>
      <c r="P214" s="64" t="n"/>
      <c r="Q214" s="64" t="n"/>
      <c r="R214" s="64" t="inlineStr">
        <is>
          <t>https://github.com/DLu/oscar_data</t>
        </is>
      </c>
    </row>
    <row r="215">
      <c r="A215" t="inlineStr">
        <is>
          <t>F0211</t>
        </is>
      </c>
      <c r="B215" t="inlineStr">
        <is>
          <t>Man of Steel</t>
        </is>
      </c>
      <c r="C215" t="inlineStr">
        <is>
          <t>2013</t>
        </is>
      </c>
      <c r="D215" t="n">
        <v>0</v>
      </c>
      <c r="E215" t="n">
        <v>0</v>
      </c>
      <c r="G215" t="n">
        <v>0</v>
      </c>
      <c r="H215" t="n">
        <v>0</v>
      </c>
      <c r="I215" s="64" t="n"/>
      <c r="J215" s="64" t="n">
        <v>0</v>
      </c>
      <c r="K215" s="64" t="n">
        <v>0</v>
      </c>
      <c r="L215" s="64" t="n"/>
      <c r="M215" s="64" t="n">
        <v>0</v>
      </c>
      <c r="N215" s="64" t="n">
        <v>0</v>
      </c>
      <c r="O215" s="64" t="n"/>
      <c r="P215" s="64" t="n"/>
      <c r="Q215" s="64" t="n"/>
      <c r="R215" s="64" t="inlineStr">
        <is>
          <t>https://github.com/DLu/oscar_data</t>
        </is>
      </c>
    </row>
    <row r="216">
      <c r="A216" t="inlineStr">
        <is>
          <t>F0212</t>
        </is>
      </c>
      <c r="B216" t="inlineStr">
        <is>
          <t>The Super Mario Bros. Movie</t>
        </is>
      </c>
      <c r="C216" t="inlineStr">
        <is>
          <t>2023</t>
        </is>
      </c>
      <c r="D216" t="n">
        <v>0</v>
      </c>
      <c r="E216" t="n">
        <v>0</v>
      </c>
      <c r="G216" t="n">
        <v>0</v>
      </c>
      <c r="H216" t="n">
        <v>0</v>
      </c>
      <c r="I216" s="64" t="n"/>
      <c r="J216" s="64" t="n">
        <v>0</v>
      </c>
      <c r="K216" s="64" t="n">
        <v>0</v>
      </c>
      <c r="L216" s="64" t="n"/>
      <c r="M216" s="64" t="n">
        <v>0</v>
      </c>
      <c r="N216" s="64" t="n">
        <v>0</v>
      </c>
      <c r="O216" s="64" t="n"/>
      <c r="P216" s="64" t="n"/>
      <c r="Q216" s="64" t="n"/>
      <c r="R216" s="64" t="inlineStr">
        <is>
          <t>https://github.com/DLu/oscar_data</t>
        </is>
      </c>
    </row>
    <row r="217" ht="45" customHeight="1" s="95">
      <c r="A217" t="inlineStr">
        <is>
          <t>F0213</t>
        </is>
      </c>
      <c r="B217" t="inlineStr">
        <is>
          <t>The Martian</t>
        </is>
      </c>
      <c r="C217" t="inlineStr">
        <is>
          <t>2015</t>
        </is>
      </c>
      <c r="D217" t="n">
        <v>7</v>
      </c>
      <c r="E217" t="n">
        <v>0</v>
      </c>
      <c r="F217" t="inlineStr">
        <is>
          <t>Nominated</t>
        </is>
      </c>
      <c r="G217" t="n">
        <v>1</v>
      </c>
      <c r="H217" t="n">
        <v>0</v>
      </c>
      <c r="I217" s="64" t="n"/>
      <c r="J217" s="64" t="n">
        <v>0</v>
      </c>
      <c r="K217" s="64" t="n">
        <v>0</v>
      </c>
      <c r="L217" s="64" t="n"/>
      <c r="M217" s="64" t="n">
        <v>1</v>
      </c>
      <c r="N217" s="64" t="n">
        <v>0</v>
      </c>
      <c r="O217" s="64" t="n"/>
      <c r="P217" s="64" t="n"/>
      <c r="Q217" s="64" t="inlineStr">
        <is>
          <t>ACTOR IN A LEADING ROLE; BEST PICTURE; ART DIRECTION; SOUND EDITING; SOUND MIXING; VISUAL EFFECTS; WRITING (Adapted Screenplay)</t>
        </is>
      </c>
      <c r="R217" s="64" t="inlineStr">
        <is>
          <t>https://github.com/DLu/oscar_data</t>
        </is>
      </c>
    </row>
    <row r="218" ht="30" customHeight="1" s="95">
      <c r="A218" t="inlineStr">
        <is>
          <t>F0214</t>
        </is>
      </c>
      <c r="B218" t="inlineStr">
        <is>
          <t>The Matrix</t>
        </is>
      </c>
      <c r="C218" t="inlineStr">
        <is>
          <t>1999</t>
        </is>
      </c>
      <c r="D218" t="n">
        <v>4</v>
      </c>
      <c r="E218" t="n">
        <v>4</v>
      </c>
      <c r="G218" t="n">
        <v>0</v>
      </c>
      <c r="H218" t="n">
        <v>0</v>
      </c>
      <c r="I218" s="64" t="n"/>
      <c r="J218" s="64" t="n">
        <v>0</v>
      </c>
      <c r="K218" s="64" t="n">
        <v>0</v>
      </c>
      <c r="L218" s="64" t="n"/>
      <c r="M218" s="64" t="n">
        <v>0</v>
      </c>
      <c r="N218" s="64" t="n">
        <v>0</v>
      </c>
      <c r="O218" s="64" t="n"/>
      <c r="P218" s="64" t="inlineStr">
        <is>
          <t>FILM EDITING; SOUND MIXING; SOUND EDITING; VISUAL EFFECTS</t>
        </is>
      </c>
      <c r="Q218" s="64" t="inlineStr">
        <is>
          <t>FILM EDITING; SOUND MIXING; SOUND EDITING; VISUAL EFFECTS</t>
        </is>
      </c>
      <c r="R218" s="64" t="inlineStr">
        <is>
          <t>https://github.com/DLu/oscar_data</t>
        </is>
      </c>
    </row>
    <row r="219">
      <c r="A219" t="inlineStr">
        <is>
          <t>F0215</t>
        </is>
      </c>
      <c r="B219" t="inlineStr">
        <is>
          <t>The Matrix Reloaded</t>
        </is>
      </c>
      <c r="C219" t="inlineStr">
        <is>
          <t>2003</t>
        </is>
      </c>
      <c r="D219" t="n">
        <v>0</v>
      </c>
      <c r="E219" t="n">
        <v>0</v>
      </c>
      <c r="G219" t="n">
        <v>0</v>
      </c>
      <c r="H219" t="n">
        <v>0</v>
      </c>
      <c r="I219" s="64" t="n"/>
      <c r="J219" s="64" t="n">
        <v>0</v>
      </c>
      <c r="K219" s="64" t="n">
        <v>0</v>
      </c>
      <c r="L219" s="64" t="n"/>
      <c r="M219" s="64" t="n">
        <v>0</v>
      </c>
      <c r="N219" s="64" t="n">
        <v>0</v>
      </c>
      <c r="O219" s="64" t="n"/>
      <c r="P219" s="64" t="n"/>
      <c r="Q219" s="64" t="n"/>
      <c r="R219" s="64" t="inlineStr">
        <is>
          <t>https://github.com/DLu/oscar_data</t>
        </is>
      </c>
    </row>
    <row r="220">
      <c r="A220" t="inlineStr">
        <is>
          <t>F0216</t>
        </is>
      </c>
      <c r="B220" t="inlineStr">
        <is>
          <t>The Matrix Revolutions</t>
        </is>
      </c>
      <c r="C220" t="inlineStr">
        <is>
          <t>2003</t>
        </is>
      </c>
      <c r="D220" t="n">
        <v>0</v>
      </c>
      <c r="E220" t="n">
        <v>0</v>
      </c>
      <c r="G220" t="n">
        <v>0</v>
      </c>
      <c r="H220" t="n">
        <v>0</v>
      </c>
      <c r="I220" s="64" t="n"/>
      <c r="J220" s="64" t="n">
        <v>0</v>
      </c>
      <c r="K220" s="64" t="n">
        <v>0</v>
      </c>
      <c r="L220" s="64" t="n"/>
      <c r="M220" s="64" t="n">
        <v>0</v>
      </c>
      <c r="N220" s="64" t="n">
        <v>0</v>
      </c>
      <c r="O220" s="64" t="n"/>
      <c r="P220" s="64" t="n"/>
      <c r="Q220" s="64" t="n"/>
      <c r="R220" s="64" t="inlineStr">
        <is>
          <t>https://github.com/DLu/oscar_data</t>
        </is>
      </c>
    </row>
    <row r="221">
      <c r="A221" t="inlineStr">
        <is>
          <t>F0217</t>
        </is>
      </c>
      <c r="B221" t="inlineStr">
        <is>
          <t>The Maze Runner</t>
        </is>
      </c>
      <c r="C221" t="inlineStr">
        <is>
          <t>2014</t>
        </is>
      </c>
      <c r="D221" t="n">
        <v>0</v>
      </c>
      <c r="E221" t="n">
        <v>0</v>
      </c>
      <c r="G221" t="n">
        <v>0</v>
      </c>
      <c r="H221" t="n">
        <v>0</v>
      </c>
      <c r="I221" s="64" t="n"/>
      <c r="J221" s="64" t="n">
        <v>0</v>
      </c>
      <c r="K221" s="64" t="n">
        <v>0</v>
      </c>
      <c r="L221" s="64" t="n"/>
      <c r="M221" s="64" t="n">
        <v>0</v>
      </c>
      <c r="N221" s="64" t="n">
        <v>0</v>
      </c>
      <c r="O221" s="64" t="n"/>
      <c r="P221" s="64" t="n"/>
      <c r="Q221" s="64" t="n"/>
      <c r="R221" s="64" t="inlineStr">
        <is>
          <t>https://github.com/DLu/oscar_data</t>
        </is>
      </c>
    </row>
    <row r="222" ht="30" customHeight="1" s="95">
      <c r="A222" t="inlineStr">
        <is>
          <t>F0218</t>
        </is>
      </c>
      <c r="B222" t="inlineStr">
        <is>
          <t>Men in Black</t>
        </is>
      </c>
      <c r="C222" t="inlineStr">
        <is>
          <t>1997</t>
        </is>
      </c>
      <c r="D222" t="n">
        <v>3</v>
      </c>
      <c r="E222" t="n">
        <v>1</v>
      </c>
      <c r="G222" t="n">
        <v>0</v>
      </c>
      <c r="H222" t="n">
        <v>0</v>
      </c>
      <c r="I222" s="64" t="n"/>
      <c r="J222" s="64" t="n">
        <v>0</v>
      </c>
      <c r="K222" s="64" t="n">
        <v>0</v>
      </c>
      <c r="L222" s="64" t="n"/>
      <c r="M222" s="64" t="n">
        <v>0</v>
      </c>
      <c r="N222" s="64" t="n">
        <v>0</v>
      </c>
      <c r="O222" s="64" t="n"/>
      <c r="P222" s="64" t="inlineStr">
        <is>
          <t>MAKEUP AND HAIRSTYLING</t>
        </is>
      </c>
      <c r="Q222" s="64" t="inlineStr">
        <is>
          <t>ART DIRECTION; MAKEUP AND HAIRSTYLING; MUSIC (Original Song Score or Adaptation Score)</t>
        </is>
      </c>
      <c r="R222" s="64" t="inlineStr">
        <is>
          <t>https://github.com/DLu/oscar_data</t>
        </is>
      </c>
    </row>
    <row r="223">
      <c r="A223" t="inlineStr">
        <is>
          <t>F0219</t>
        </is>
      </c>
      <c r="B223" t="inlineStr">
        <is>
          <t>Men in Black 3</t>
        </is>
      </c>
      <c r="C223" t="inlineStr">
        <is>
          <t>2012</t>
        </is>
      </c>
      <c r="D223" t="n">
        <v>0</v>
      </c>
      <c r="E223" t="n">
        <v>0</v>
      </c>
      <c r="G223" t="n">
        <v>0</v>
      </c>
      <c r="H223" t="n">
        <v>0</v>
      </c>
      <c r="I223" s="64" t="n"/>
      <c r="J223" s="64" t="n">
        <v>0</v>
      </c>
      <c r="K223" s="64" t="n">
        <v>0</v>
      </c>
      <c r="L223" s="64" t="n"/>
      <c r="M223" s="64" t="n">
        <v>0</v>
      </c>
      <c r="N223" s="64" t="n">
        <v>0</v>
      </c>
      <c r="O223" s="64" t="n"/>
      <c r="P223" s="64" t="n"/>
      <c r="Q223" s="64" t="n"/>
      <c r="R223" s="64" t="inlineStr">
        <is>
          <t>https://github.com/DLu/oscar_data</t>
        </is>
      </c>
    </row>
    <row r="224">
      <c r="A224" t="inlineStr">
        <is>
          <t>F0220</t>
        </is>
      </c>
      <c r="B224" t="inlineStr">
        <is>
          <t>Minions</t>
        </is>
      </c>
      <c r="C224" t="inlineStr">
        <is>
          <t>2015</t>
        </is>
      </c>
      <c r="D224" t="n">
        <v>0</v>
      </c>
      <c r="E224" t="n">
        <v>0</v>
      </c>
      <c r="G224" t="n">
        <v>0</v>
      </c>
      <c r="H224" t="n">
        <v>0</v>
      </c>
      <c r="I224" s="64" t="n"/>
      <c r="J224" s="64" t="n">
        <v>0</v>
      </c>
      <c r="K224" s="64" t="n">
        <v>0</v>
      </c>
      <c r="L224" s="64" t="n"/>
      <c r="M224" s="64" t="n">
        <v>0</v>
      </c>
      <c r="N224" s="64" t="n">
        <v>0</v>
      </c>
      <c r="O224" s="64" t="n"/>
      <c r="P224" s="64" t="n"/>
      <c r="Q224" s="64" t="n"/>
      <c r="R224" s="64" t="inlineStr">
        <is>
          <t>https://github.com/DLu/oscar_data</t>
        </is>
      </c>
    </row>
    <row r="225">
      <c r="A225" t="inlineStr">
        <is>
          <t>F0221</t>
        </is>
      </c>
      <c r="B225" t="inlineStr">
        <is>
          <t>Mission: Impossible</t>
        </is>
      </c>
      <c r="C225" t="inlineStr">
        <is>
          <t>1996</t>
        </is>
      </c>
      <c r="D225" t="n">
        <v>0</v>
      </c>
      <c r="E225" t="n">
        <v>0</v>
      </c>
      <c r="G225" t="n">
        <v>0</v>
      </c>
      <c r="H225" t="n">
        <v>0</v>
      </c>
      <c r="I225" s="64" t="n"/>
      <c r="J225" s="64" t="n">
        <v>0</v>
      </c>
      <c r="K225" s="64" t="n">
        <v>0</v>
      </c>
      <c r="L225" s="64" t="n"/>
      <c r="M225" s="64" t="n">
        <v>0</v>
      </c>
      <c r="N225" s="64" t="n">
        <v>0</v>
      </c>
      <c r="O225" s="64" t="n"/>
      <c r="P225" s="64" t="n"/>
      <c r="Q225" s="64" t="n"/>
      <c r="R225" s="64" t="inlineStr">
        <is>
          <t>https://github.com/DLu/oscar_data</t>
        </is>
      </c>
    </row>
    <row r="226">
      <c r="A226" t="inlineStr">
        <is>
          <t>F0222</t>
        </is>
      </c>
      <c r="B226" t="inlineStr">
        <is>
          <t>Mission: Impossible II</t>
        </is>
      </c>
      <c r="C226" t="inlineStr">
        <is>
          <t>2000</t>
        </is>
      </c>
      <c r="D226" t="n">
        <v>0</v>
      </c>
      <c r="E226" t="n">
        <v>0</v>
      </c>
      <c r="G226" t="n">
        <v>0</v>
      </c>
      <c r="H226" t="n">
        <v>0</v>
      </c>
      <c r="I226" s="64" t="n"/>
      <c r="J226" s="64" t="n">
        <v>0</v>
      </c>
      <c r="K226" s="64" t="n">
        <v>0</v>
      </c>
      <c r="L226" s="64" t="n"/>
      <c r="M226" s="64" t="n">
        <v>0</v>
      </c>
      <c r="N226" s="64" t="n">
        <v>0</v>
      </c>
      <c r="O226" s="64" t="n"/>
      <c r="P226" s="64" t="n"/>
      <c r="Q226" s="64" t="n"/>
      <c r="R226" s="64" t="inlineStr">
        <is>
          <t>https://github.com/DLu/oscar_data</t>
        </is>
      </c>
    </row>
    <row r="227">
      <c r="A227" t="inlineStr">
        <is>
          <t>F0223</t>
        </is>
      </c>
      <c r="B227" t="inlineStr">
        <is>
          <t>Mission: Impossible III</t>
        </is>
      </c>
      <c r="C227" t="inlineStr">
        <is>
          <t>2006</t>
        </is>
      </c>
      <c r="D227" t="n">
        <v>0</v>
      </c>
      <c r="E227" t="n">
        <v>0</v>
      </c>
      <c r="G227" t="n">
        <v>0</v>
      </c>
      <c r="H227" t="n">
        <v>0</v>
      </c>
      <c r="I227" s="64" t="n"/>
      <c r="J227" s="64" t="n">
        <v>0</v>
      </c>
      <c r="K227" s="64" t="n">
        <v>0</v>
      </c>
      <c r="L227" s="64" t="n"/>
      <c r="M227" s="64" t="n">
        <v>0</v>
      </c>
      <c r="N227" s="64" t="n">
        <v>0</v>
      </c>
      <c r="O227" s="64" t="n"/>
      <c r="P227" s="64" t="n"/>
      <c r="Q227" s="64" t="n"/>
      <c r="R227" s="64" t="inlineStr">
        <is>
          <t>https://github.com/DLu/oscar_data</t>
        </is>
      </c>
    </row>
    <row r="228">
      <c r="A228" t="inlineStr">
        <is>
          <t>F0224</t>
        </is>
      </c>
      <c r="B228" t="inlineStr">
        <is>
          <t>Mission: Impossible - Ghost Protocol</t>
        </is>
      </c>
      <c r="C228" t="inlineStr">
        <is>
          <t>2011</t>
        </is>
      </c>
      <c r="D228" t="n">
        <v>0</v>
      </c>
      <c r="E228" t="n">
        <v>0</v>
      </c>
      <c r="G228" t="n">
        <v>0</v>
      </c>
      <c r="H228" t="n">
        <v>0</v>
      </c>
      <c r="I228" s="64" t="n"/>
      <c r="J228" s="64" t="n">
        <v>0</v>
      </c>
      <c r="K228" s="64" t="n">
        <v>0</v>
      </c>
      <c r="L228" s="64" t="n"/>
      <c r="M228" s="64" t="n">
        <v>0</v>
      </c>
      <c r="N228" s="64" t="n">
        <v>0</v>
      </c>
      <c r="O228" s="64" t="n"/>
      <c r="P228" s="64" t="n"/>
      <c r="Q228" s="64" t="n"/>
      <c r="R228" s="64" t="inlineStr">
        <is>
          <t>https://github.com/DLu/oscar_data</t>
        </is>
      </c>
    </row>
    <row r="229">
      <c r="A229" t="inlineStr">
        <is>
          <t>F0225</t>
        </is>
      </c>
      <c r="B229" t="inlineStr">
        <is>
          <t>Mission: Impossible - Rogue Nation</t>
        </is>
      </c>
      <c r="C229" t="inlineStr">
        <is>
          <t>2015</t>
        </is>
      </c>
      <c r="D229" t="n">
        <v>0</v>
      </c>
      <c r="E229" t="n">
        <v>0</v>
      </c>
      <c r="G229" t="n">
        <v>0</v>
      </c>
      <c r="H229" t="n">
        <v>0</v>
      </c>
      <c r="I229" s="64" t="n"/>
      <c r="J229" s="64" t="n">
        <v>0</v>
      </c>
      <c r="K229" s="64" t="n">
        <v>0</v>
      </c>
      <c r="L229" s="64" t="n"/>
      <c r="M229" s="64" t="n">
        <v>0</v>
      </c>
      <c r="N229" s="64" t="n">
        <v>0</v>
      </c>
      <c r="O229" s="64" t="n"/>
      <c r="P229" s="64" t="n"/>
      <c r="Q229" s="64" t="n"/>
      <c r="R229" s="64" t="inlineStr">
        <is>
          <t>https://github.com/DLu/oscar_data</t>
        </is>
      </c>
    </row>
    <row r="230">
      <c r="A230" t="inlineStr">
        <is>
          <t>F0226</t>
        </is>
      </c>
      <c r="B230" t="inlineStr">
        <is>
          <t>Mission: Impossible - Fallout</t>
        </is>
      </c>
      <c r="C230" t="inlineStr">
        <is>
          <t>2018</t>
        </is>
      </c>
      <c r="D230" t="n">
        <v>0</v>
      </c>
      <c r="E230" t="n">
        <v>0</v>
      </c>
      <c r="G230" t="n">
        <v>0</v>
      </c>
      <c r="H230" t="n">
        <v>0</v>
      </c>
      <c r="I230" s="64" t="n"/>
      <c r="J230" s="64" t="n">
        <v>0</v>
      </c>
      <c r="K230" s="64" t="n">
        <v>0</v>
      </c>
      <c r="L230" s="64" t="n"/>
      <c r="M230" s="64" t="n">
        <v>0</v>
      </c>
      <c r="N230" s="64" t="n">
        <v>0</v>
      </c>
      <c r="O230" s="64" t="n"/>
      <c r="P230" s="64" t="n"/>
      <c r="Q230" s="64" t="n"/>
      <c r="R230" s="64" t="inlineStr">
        <is>
          <t>https://github.com/DLu/oscar_data</t>
        </is>
      </c>
    </row>
    <row r="231">
      <c r="A231" t="inlineStr">
        <is>
          <t>F0227</t>
        </is>
      </c>
      <c r="B231" t="inlineStr">
        <is>
          <t>Mission: Impossible - Dead Reckoning Part One</t>
        </is>
      </c>
      <c r="C231" t="inlineStr">
        <is>
          <t>2023</t>
        </is>
      </c>
      <c r="D231" t="n">
        <v>2</v>
      </c>
      <c r="E231" t="n">
        <v>0</v>
      </c>
      <c r="G231" t="n">
        <v>0</v>
      </c>
      <c r="H231" t="n">
        <v>0</v>
      </c>
      <c r="I231" s="64" t="n"/>
      <c r="J231" s="64" t="n">
        <v>0</v>
      </c>
      <c r="K231" s="64" t="n">
        <v>0</v>
      </c>
      <c r="L231" s="64" t="n"/>
      <c r="M231" s="64" t="n">
        <v>0</v>
      </c>
      <c r="N231" s="64" t="n">
        <v>0</v>
      </c>
      <c r="O231" s="64" t="n"/>
      <c r="P231" s="64" t="n"/>
      <c r="Q231" s="64" t="inlineStr">
        <is>
          <t>SOUND MIXING; VISUAL EFFECTS</t>
        </is>
      </c>
      <c r="R231" s="64" t="inlineStr">
        <is>
          <t>https://github.com/DLu/oscar_data</t>
        </is>
      </c>
    </row>
    <row r="232">
      <c r="A232" t="inlineStr">
        <is>
          <t>F0228</t>
        </is>
      </c>
      <c r="B232" t="inlineStr">
        <is>
          <t>Mission: Impossible - The Final Reckoning</t>
        </is>
      </c>
      <c r="C232" t="inlineStr">
        <is>
          <t>2025</t>
        </is>
      </c>
      <c r="D232" t="n">
        <v>0</v>
      </c>
      <c r="E232" t="n">
        <v>0</v>
      </c>
      <c r="G232" t="n">
        <v>0</v>
      </c>
      <c r="H232" t="n">
        <v>0</v>
      </c>
      <c r="I232" s="64" t="n"/>
      <c r="J232" s="64" t="n">
        <v>0</v>
      </c>
      <c r="K232" s="64" t="n">
        <v>0</v>
      </c>
      <c r="L232" s="64" t="n"/>
      <c r="M232" s="64" t="n">
        <v>0</v>
      </c>
      <c r="N232" s="64" t="n">
        <v>0</v>
      </c>
      <c r="O232" s="64" t="n"/>
      <c r="P232" s="64" t="n"/>
      <c r="Q232" s="64" t="n"/>
      <c r="R232" s="64" t="inlineStr">
        <is>
          <t>https://github.com/DLu/oscar_data</t>
        </is>
      </c>
    </row>
    <row r="233" ht="30" customHeight="1" s="95">
      <c r="A233" t="inlineStr">
        <is>
          <t>F0229</t>
        </is>
      </c>
      <c r="B233" t="inlineStr">
        <is>
          <t>Monsters, Inc.</t>
        </is>
      </c>
      <c r="C233" t="inlineStr">
        <is>
          <t>2001</t>
        </is>
      </c>
      <c r="D233" t="n">
        <v>4</v>
      </c>
      <c r="E233" t="n">
        <v>1</v>
      </c>
      <c r="G233" t="n">
        <v>0</v>
      </c>
      <c r="H233" t="n">
        <v>0</v>
      </c>
      <c r="I233" s="64" t="n"/>
      <c r="J233" s="64" t="n">
        <v>0</v>
      </c>
      <c r="K233" s="64" t="n">
        <v>0</v>
      </c>
      <c r="L233" s="64" t="n"/>
      <c r="M233" s="64" t="n">
        <v>0</v>
      </c>
      <c r="N233" s="64" t="n">
        <v>0</v>
      </c>
      <c r="O233" s="64" t="inlineStr">
        <is>
          <t>Nominated</t>
        </is>
      </c>
      <c r="P233" s="64" t="inlineStr">
        <is>
          <t>MUSIC (Original Song)</t>
        </is>
      </c>
      <c r="Q233" s="64" t="inlineStr">
        <is>
          <t>ANIMATED FEATURE FILM; MUSIC (Original Score); MUSIC (Original Song); SOUND EDITING</t>
        </is>
      </c>
      <c r="R233" s="64" t="inlineStr">
        <is>
          <t>https://github.com/DLu/oscar_data</t>
        </is>
      </c>
    </row>
    <row r="234">
      <c r="A234" t="inlineStr">
        <is>
          <t>F0230</t>
        </is>
      </c>
      <c r="B234" t="inlineStr">
        <is>
          <t>Monsters University</t>
        </is>
      </c>
      <c r="C234" t="inlineStr">
        <is>
          <t>2013</t>
        </is>
      </c>
      <c r="D234" t="n">
        <v>0</v>
      </c>
      <c r="E234" t="n">
        <v>0</v>
      </c>
      <c r="G234" t="n">
        <v>0</v>
      </c>
      <c r="H234" t="n">
        <v>0</v>
      </c>
      <c r="I234" s="64" t="n"/>
      <c r="J234" s="64" t="n">
        <v>0</v>
      </c>
      <c r="K234" s="64" t="n">
        <v>0</v>
      </c>
      <c r="L234" s="64" t="n"/>
      <c r="M234" s="64" t="n">
        <v>0</v>
      </c>
      <c r="N234" s="64" t="n">
        <v>0</v>
      </c>
      <c r="O234" s="64" t="n"/>
      <c r="P234" s="64" t="n"/>
      <c r="Q234" s="64" t="n"/>
      <c r="R234" s="64" t="inlineStr">
        <is>
          <t>https://github.com/DLu/oscar_data</t>
        </is>
      </c>
    </row>
    <row r="235">
      <c r="A235" t="inlineStr">
        <is>
          <t>F0231</t>
        </is>
      </c>
      <c r="B235" t="inlineStr">
        <is>
          <t>Mr. &amp; Mrs. Smith</t>
        </is>
      </c>
      <c r="C235" t="inlineStr">
        <is>
          <t>2005</t>
        </is>
      </c>
      <c r="D235" t="n">
        <v>0</v>
      </c>
      <c r="E235" t="n">
        <v>0</v>
      </c>
      <c r="G235" t="n">
        <v>0</v>
      </c>
      <c r="H235" t="n">
        <v>0</v>
      </c>
      <c r="I235" s="64" t="n"/>
      <c r="J235" s="64" t="n">
        <v>0</v>
      </c>
      <c r="K235" s="64" t="n">
        <v>0</v>
      </c>
      <c r="L235" s="64" t="n"/>
      <c r="M235" s="64" t="n">
        <v>0</v>
      </c>
      <c r="N235" s="64" t="n">
        <v>0</v>
      </c>
      <c r="O235" s="64" t="n"/>
      <c r="P235" s="64" t="n"/>
      <c r="Q235" s="64" t="n"/>
      <c r="R235" s="64" t="inlineStr">
        <is>
          <t>https://github.com/DLu/oscar_data</t>
        </is>
      </c>
    </row>
    <row r="236">
      <c r="A236" t="inlineStr">
        <is>
          <t>F0232</t>
        </is>
      </c>
      <c r="B236" t="inlineStr">
        <is>
          <t>Muppets Most Wanted</t>
        </is>
      </c>
      <c r="C236" t="inlineStr">
        <is>
          <t>2014</t>
        </is>
      </c>
      <c r="D236" t="n">
        <v>0</v>
      </c>
      <c r="E236" t="n">
        <v>0</v>
      </c>
      <c r="G236" t="n">
        <v>0</v>
      </c>
      <c r="H236" t="n">
        <v>0</v>
      </c>
      <c r="I236" s="64" t="n"/>
      <c r="J236" s="64" t="n">
        <v>0</v>
      </c>
      <c r="K236" s="64" t="n">
        <v>0</v>
      </c>
      <c r="L236" s="64" t="n"/>
      <c r="M236" s="64" t="n">
        <v>0</v>
      </c>
      <c r="N236" s="64" t="n">
        <v>0</v>
      </c>
      <c r="O236" s="64" t="n"/>
      <c r="P236" s="64" t="n"/>
      <c r="Q236" s="64" t="n"/>
      <c r="R236" s="64" t="inlineStr">
        <is>
          <t>https://github.com/DLu/oscar_data</t>
        </is>
      </c>
    </row>
    <row r="237">
      <c r="A237" t="inlineStr">
        <is>
          <t>F0233</t>
        </is>
      </c>
      <c r="B237" t="inlineStr">
        <is>
          <t>National Treasure: Book of Secrets</t>
        </is>
      </c>
      <c r="C237" t="inlineStr">
        <is>
          <t>2007</t>
        </is>
      </c>
      <c r="D237" t="n">
        <v>0</v>
      </c>
      <c r="E237" t="n">
        <v>0</v>
      </c>
      <c r="G237" t="n">
        <v>0</v>
      </c>
      <c r="H237" t="n">
        <v>0</v>
      </c>
      <c r="I237" s="64" t="n"/>
      <c r="J237" s="64" t="n">
        <v>0</v>
      </c>
      <c r="K237" s="64" t="n">
        <v>0</v>
      </c>
      <c r="L237" s="64" t="n"/>
      <c r="M237" s="64" t="n">
        <v>0</v>
      </c>
      <c r="N237" s="64" t="n">
        <v>0</v>
      </c>
      <c r="O237" s="64" t="n"/>
      <c r="P237" s="64" t="n"/>
      <c r="Q237" s="64" t="n"/>
      <c r="R237" s="64" t="inlineStr">
        <is>
          <t>https://github.com/DLu/oscar_data</t>
        </is>
      </c>
    </row>
    <row r="238">
      <c r="A238" t="inlineStr">
        <is>
          <t>F0234</t>
        </is>
      </c>
      <c r="B238" t="inlineStr">
        <is>
          <t>Need for Speed</t>
        </is>
      </c>
      <c r="C238" t="inlineStr">
        <is>
          <t>2014</t>
        </is>
      </c>
      <c r="D238" t="n">
        <v>0</v>
      </c>
      <c r="E238" t="n">
        <v>0</v>
      </c>
      <c r="G238" t="n">
        <v>0</v>
      </c>
      <c r="H238" t="n">
        <v>0</v>
      </c>
      <c r="I238" s="64" t="n"/>
      <c r="J238" s="64" t="n">
        <v>0</v>
      </c>
      <c r="K238" s="64" t="n">
        <v>0</v>
      </c>
      <c r="L238" s="64" t="n"/>
      <c r="M238" s="64" t="n">
        <v>0</v>
      </c>
      <c r="N238" s="64" t="n">
        <v>0</v>
      </c>
      <c r="O238" s="64" t="n"/>
      <c r="P238" s="64" t="n"/>
      <c r="Q238" s="64" t="n"/>
      <c r="R238" s="64" t="inlineStr">
        <is>
          <t>https://github.com/DLu/oscar_data</t>
        </is>
      </c>
    </row>
    <row r="239">
      <c r="A239" t="inlineStr">
        <is>
          <t>F0235</t>
        </is>
      </c>
      <c r="B239" t="inlineStr">
        <is>
          <t>The Nice Guys</t>
        </is>
      </c>
      <c r="C239" t="inlineStr">
        <is>
          <t>2016</t>
        </is>
      </c>
      <c r="D239" t="n">
        <v>0</v>
      </c>
      <c r="E239" t="n">
        <v>0</v>
      </c>
      <c r="G239" t="n">
        <v>0</v>
      </c>
      <c r="H239" t="n">
        <v>0</v>
      </c>
      <c r="I239" s="64" t="n"/>
      <c r="J239" s="64" t="n">
        <v>0</v>
      </c>
      <c r="K239" s="64" t="n">
        <v>0</v>
      </c>
      <c r="L239" s="64" t="n"/>
      <c r="M239" s="64" t="n">
        <v>0</v>
      </c>
      <c r="N239" s="64" t="n">
        <v>0</v>
      </c>
      <c r="O239" s="64" t="n"/>
      <c r="P239" s="64" t="n"/>
      <c r="Q239" s="64" t="n"/>
      <c r="R239" s="64" t="inlineStr">
        <is>
          <t>https://github.com/DLu/oscar_data</t>
        </is>
      </c>
    </row>
    <row r="240">
      <c r="A240" t="inlineStr">
        <is>
          <t>F0236</t>
        </is>
      </c>
      <c r="B240" t="inlineStr">
        <is>
          <t>Night at the Museum: Battle of the Smithsonian</t>
        </is>
      </c>
      <c r="C240" t="inlineStr">
        <is>
          <t>2009</t>
        </is>
      </c>
      <c r="D240" t="n">
        <v>0</v>
      </c>
      <c r="E240" t="n">
        <v>0</v>
      </c>
      <c r="G240" t="n">
        <v>0</v>
      </c>
      <c r="H240" t="n">
        <v>0</v>
      </c>
      <c r="I240" s="64" t="n"/>
      <c r="J240" s="64" t="n">
        <v>0</v>
      </c>
      <c r="K240" s="64" t="n">
        <v>0</v>
      </c>
      <c r="L240" s="64" t="n"/>
      <c r="M240" s="64" t="n">
        <v>0</v>
      </c>
      <c r="N240" s="64" t="n">
        <v>0</v>
      </c>
      <c r="O240" s="64" t="n"/>
      <c r="P240" s="64" t="n"/>
      <c r="Q240" s="64" t="n"/>
      <c r="R240" s="64" t="inlineStr">
        <is>
          <t>https://github.com/DLu/oscar_data</t>
        </is>
      </c>
    </row>
    <row r="241">
      <c r="A241" t="inlineStr">
        <is>
          <t>F0237</t>
        </is>
      </c>
      <c r="B241" t="inlineStr">
        <is>
          <t>The Notebook</t>
        </is>
      </c>
      <c r="C241" t="inlineStr">
        <is>
          <t>2004</t>
        </is>
      </c>
      <c r="D241" t="n">
        <v>0</v>
      </c>
      <c r="E241" t="n">
        <v>0</v>
      </c>
      <c r="G241" t="n">
        <v>0</v>
      </c>
      <c r="H241" t="n">
        <v>0</v>
      </c>
      <c r="I241" s="64" t="n"/>
      <c r="J241" s="64" t="n">
        <v>0</v>
      </c>
      <c r="K241" s="64" t="n">
        <v>0</v>
      </c>
      <c r="L241" s="64" t="n"/>
      <c r="M241" s="64" t="n">
        <v>0</v>
      </c>
      <c r="N241" s="64" t="n">
        <v>0</v>
      </c>
      <c r="O241" s="64" t="n"/>
      <c r="P241" s="64" t="n"/>
      <c r="Q241" s="64" t="n"/>
      <c r="R241" s="64" t="inlineStr">
        <is>
          <t>https://github.com/DLu/oscar_data</t>
        </is>
      </c>
    </row>
    <row r="242">
      <c r="A242" t="inlineStr">
        <is>
          <t>F0238</t>
        </is>
      </c>
      <c r="B242" t="inlineStr">
        <is>
          <t>Noah</t>
        </is>
      </c>
      <c r="C242" t="inlineStr">
        <is>
          <t>2014</t>
        </is>
      </c>
      <c r="D242" t="n">
        <v>0</v>
      </c>
      <c r="E242" t="n">
        <v>0</v>
      </c>
      <c r="G242" t="n">
        <v>0</v>
      </c>
      <c r="H242" t="n">
        <v>0</v>
      </c>
      <c r="I242" s="64" t="n"/>
      <c r="J242" s="64" t="n">
        <v>0</v>
      </c>
      <c r="K242" s="64" t="n">
        <v>0</v>
      </c>
      <c r="L242" s="64" t="n"/>
      <c r="M242" s="64" t="n">
        <v>0</v>
      </c>
      <c r="N242" s="64" t="n">
        <v>0</v>
      </c>
      <c r="O242" s="64" t="n"/>
      <c r="P242" s="64" t="n"/>
      <c r="Q242" s="64" t="n"/>
      <c r="R242" s="64" t="inlineStr">
        <is>
          <t>https://github.com/DLu/oscar_data</t>
        </is>
      </c>
    </row>
    <row r="243">
      <c r="A243" t="inlineStr">
        <is>
          <t>F0239</t>
        </is>
      </c>
      <c r="B243" t="inlineStr">
        <is>
          <t>Oblivion</t>
        </is>
      </c>
      <c r="C243" t="inlineStr">
        <is>
          <t>2013</t>
        </is>
      </c>
      <c r="D243" t="n">
        <v>0</v>
      </c>
      <c r="E243" t="n">
        <v>0</v>
      </c>
      <c r="G243" t="n">
        <v>0</v>
      </c>
      <c r="H243" t="n">
        <v>0</v>
      </c>
      <c r="I243" s="64" t="n"/>
      <c r="J243" s="64" t="n">
        <v>0</v>
      </c>
      <c r="K243" s="64" t="n">
        <v>0</v>
      </c>
      <c r="L243" s="64" t="n"/>
      <c r="M243" s="64" t="n">
        <v>0</v>
      </c>
      <c r="N243" s="64" t="n">
        <v>0</v>
      </c>
      <c r="O243" s="64" t="n"/>
      <c r="P243" s="64" t="n"/>
      <c r="Q243" s="64" t="n"/>
      <c r="R243" s="64" t="inlineStr">
        <is>
          <t>https://github.com/DLu/oscar_data</t>
        </is>
      </c>
    </row>
    <row r="244">
      <c r="A244" t="inlineStr">
        <is>
          <t>F0240</t>
        </is>
      </c>
      <c r="B244" t="inlineStr">
        <is>
          <t>Olympus Has Fallen</t>
        </is>
      </c>
      <c r="C244" t="inlineStr">
        <is>
          <t>2013</t>
        </is>
      </c>
      <c r="D244" t="n">
        <v>0</v>
      </c>
      <c r="E244" t="n">
        <v>0</v>
      </c>
      <c r="G244" t="n">
        <v>0</v>
      </c>
      <c r="H244" t="n">
        <v>0</v>
      </c>
      <c r="I244" s="64" t="n"/>
      <c r="J244" s="64" t="n">
        <v>0</v>
      </c>
      <c r="K244" s="64" t="n">
        <v>0</v>
      </c>
      <c r="L244" s="64" t="n"/>
      <c r="M244" s="64" t="n">
        <v>0</v>
      </c>
      <c r="N244" s="64" t="n">
        <v>0</v>
      </c>
      <c r="O244" s="64" t="n"/>
      <c r="P244" s="64" t="n"/>
      <c r="Q244" s="64" t="n"/>
      <c r="R244" s="64" t="inlineStr">
        <is>
          <t>https://github.com/DLu/oscar_data</t>
        </is>
      </c>
    </row>
    <row r="245" ht="60" customHeight="1" s="95">
      <c r="A245" t="inlineStr">
        <is>
          <t>F0241</t>
        </is>
      </c>
      <c r="B245" t="inlineStr">
        <is>
          <t>Once Upon a Time… in Hollywood</t>
        </is>
      </c>
      <c r="C245" t="inlineStr">
        <is>
          <t>2019</t>
        </is>
      </c>
      <c r="D245" t="n">
        <v>10</v>
      </c>
      <c r="E245" t="n">
        <v>2</v>
      </c>
      <c r="F245" t="inlineStr">
        <is>
          <t>Nominated</t>
        </is>
      </c>
      <c r="G245" t="n">
        <v>2</v>
      </c>
      <c r="H245" t="n">
        <v>1</v>
      </c>
      <c r="I245" s="64" t="inlineStr">
        <is>
          <t>Brad Pitt</t>
        </is>
      </c>
      <c r="J245" s="64" t="n">
        <v>1</v>
      </c>
      <c r="K245" s="64" t="n">
        <v>0</v>
      </c>
      <c r="L245" s="64" t="n"/>
      <c r="M245" s="64" t="n">
        <v>1</v>
      </c>
      <c r="N245" s="64" t="n">
        <v>0</v>
      </c>
      <c r="O245" s="64" t="n"/>
      <c r="P245" s="64" t="inlineStr">
        <is>
          <t>ACTOR IN A SUPPORTING ROLE; ART DIRECTION</t>
        </is>
      </c>
      <c r="Q245" s="64" t="inlineStr">
        <is>
          <t>ACTOR IN A LEADING ROLE; ACTOR IN A SUPPORTING ROLE; CINEMATOGRAPHY; COSTUME DESIGN; DIRECTING; BEST PICTURE; ART DIRECTION; SOUND EDITING; SOUND MIXING; WRITING (Original Screenplay)</t>
        </is>
      </c>
      <c r="R245" s="64" t="inlineStr">
        <is>
          <t>https://github.com/DLu/oscar_data</t>
        </is>
      </c>
    </row>
    <row r="246" ht="75" customHeight="1" s="95">
      <c r="A246" t="inlineStr">
        <is>
          <t>F0242</t>
        </is>
      </c>
      <c r="B246" t="inlineStr">
        <is>
          <t>Oppenheimer</t>
        </is>
      </c>
      <c r="C246" t="inlineStr">
        <is>
          <t>2023</t>
        </is>
      </c>
      <c r="D246" t="n">
        <v>13</v>
      </c>
      <c r="E246" t="n">
        <v>7</v>
      </c>
      <c r="F246" t="inlineStr">
        <is>
          <t>Winner</t>
        </is>
      </c>
      <c r="G246" t="n">
        <v>3</v>
      </c>
      <c r="H246" t="n">
        <v>2</v>
      </c>
      <c r="I246" s="64" t="inlineStr">
        <is>
          <t>Cillian Murphy; Robert Downey Jr.</t>
        </is>
      </c>
      <c r="J246" s="64" t="n">
        <v>1</v>
      </c>
      <c r="K246" s="64" t="n">
        <v>1</v>
      </c>
      <c r="L246" s="64" t="inlineStr">
        <is>
          <t>Christopher Nolan</t>
        </is>
      </c>
      <c r="M246" s="64" t="n">
        <v>1</v>
      </c>
      <c r="N246" s="64" t="n">
        <v>0</v>
      </c>
      <c r="O246" s="64" t="n"/>
      <c r="P246" s="64" t="inlineStr">
        <is>
          <t>ACTOR IN A LEADING ROLE; ACTOR IN A SUPPORTING ROLE; CINEMATOGRAPHY; DIRECTING; FILM EDITING; MUSIC (Original Score); BEST PICTURE</t>
        </is>
      </c>
      <c r="Q246" s="64" t="inlineStr">
        <is>
          <t>ACTOR IN A LEADING ROLE; ACTOR IN A SUPPORTING ROLE; ACTRESS IN A SUPPORTING ROLE; CINEMATOGRAPHY; COSTUME DESIGN; DIRECTING; FILM EDITING; MAKEUP AND HAIRSTYLING; MUSIC (Original Score); BEST PICTURE; ART DIRECTION; SOUND MIXING; WRITING (Adapted Screenplay)</t>
        </is>
      </c>
      <c r="R246" s="64" t="inlineStr">
        <is>
          <t>https://github.com/DLu/oscar_data</t>
        </is>
      </c>
    </row>
    <row r="247">
      <c r="A247" t="inlineStr">
        <is>
          <t>F0243</t>
        </is>
      </c>
      <c r="B247" t="inlineStr">
        <is>
          <t>Pacific Rim</t>
        </is>
      </c>
      <c r="C247" t="inlineStr">
        <is>
          <t>2013</t>
        </is>
      </c>
      <c r="D247" t="n">
        <v>0</v>
      </c>
      <c r="E247" t="n">
        <v>0</v>
      </c>
      <c r="G247" t="n">
        <v>0</v>
      </c>
      <c r="H247" t="n">
        <v>0</v>
      </c>
      <c r="I247" s="64" t="n"/>
      <c r="J247" s="64" t="n">
        <v>0</v>
      </c>
      <c r="K247" s="64" t="n">
        <v>0</v>
      </c>
      <c r="L247" s="64" t="n"/>
      <c r="M247" s="64" t="n">
        <v>0</v>
      </c>
      <c r="N247" s="64" t="n">
        <v>0</v>
      </c>
      <c r="O247" s="64" t="n"/>
      <c r="P247" s="64" t="n"/>
      <c r="Q247" s="64" t="n"/>
      <c r="R247" s="64" t="inlineStr">
        <is>
          <t>https://github.com/DLu/oscar_data</t>
        </is>
      </c>
    </row>
    <row r="248">
      <c r="A248" t="inlineStr">
        <is>
          <t>F0244</t>
        </is>
      </c>
      <c r="B248" t="inlineStr">
        <is>
          <t>Paddington</t>
        </is>
      </c>
      <c r="C248" t="inlineStr">
        <is>
          <t>2014</t>
        </is>
      </c>
      <c r="D248" t="n">
        <v>0</v>
      </c>
      <c r="E248" t="n">
        <v>0</v>
      </c>
      <c r="G248" t="n">
        <v>0</v>
      </c>
      <c r="H248" t="n">
        <v>0</v>
      </c>
      <c r="I248" s="64" t="n"/>
      <c r="J248" s="64" t="n">
        <v>0</v>
      </c>
      <c r="K248" s="64" t="n">
        <v>0</v>
      </c>
      <c r="L248" s="64" t="n"/>
      <c r="M248" s="64" t="n">
        <v>0</v>
      </c>
      <c r="N248" s="64" t="n">
        <v>0</v>
      </c>
      <c r="O248" s="64" t="n"/>
      <c r="P248" s="64" t="n"/>
      <c r="Q248" s="64" t="n"/>
      <c r="R248" s="64" t="inlineStr">
        <is>
          <t>https://github.com/DLu/oscar_data</t>
        </is>
      </c>
    </row>
    <row r="249">
      <c r="A249" t="inlineStr">
        <is>
          <t>F0245</t>
        </is>
      </c>
      <c r="B249" t="inlineStr">
        <is>
          <t>Paul</t>
        </is>
      </c>
      <c r="C249" t="inlineStr">
        <is>
          <t>2011</t>
        </is>
      </c>
      <c r="D249" t="n">
        <v>0</v>
      </c>
      <c r="E249" t="n">
        <v>0</v>
      </c>
      <c r="G249" t="n">
        <v>0</v>
      </c>
      <c r="H249" t="n">
        <v>0</v>
      </c>
      <c r="I249" s="64" t="n"/>
      <c r="J249" s="64" t="n">
        <v>0</v>
      </c>
      <c r="K249" s="64" t="n">
        <v>0</v>
      </c>
      <c r="L249" s="64" t="n"/>
      <c r="M249" s="64" t="n">
        <v>0</v>
      </c>
      <c r="N249" s="64" t="n">
        <v>0</v>
      </c>
      <c r="O249" s="64" t="n"/>
      <c r="P249" s="64" t="n"/>
      <c r="Q249" s="64" t="n"/>
      <c r="R249" s="64" t="inlineStr">
        <is>
          <t>https://github.com/DLu/oscar_data</t>
        </is>
      </c>
    </row>
    <row r="250" ht="30" customHeight="1" s="95">
      <c r="A250" t="inlineStr">
        <is>
          <t>F0246</t>
        </is>
      </c>
      <c r="B250" t="inlineStr">
        <is>
          <t>Pearl Harbor</t>
        </is>
      </c>
      <c r="C250" t="inlineStr">
        <is>
          <t>2001</t>
        </is>
      </c>
      <c r="D250" t="n">
        <v>4</v>
      </c>
      <c r="E250" t="n">
        <v>1</v>
      </c>
      <c r="G250" t="n">
        <v>0</v>
      </c>
      <c r="H250" t="n">
        <v>0</v>
      </c>
      <c r="I250" s="64" t="n"/>
      <c r="J250" s="64" t="n">
        <v>0</v>
      </c>
      <c r="K250" s="64" t="n">
        <v>0</v>
      </c>
      <c r="L250" s="64" t="n"/>
      <c r="M250" s="64" t="n">
        <v>0</v>
      </c>
      <c r="N250" s="64" t="n">
        <v>0</v>
      </c>
      <c r="O250" s="64" t="n"/>
      <c r="P250" s="64" t="inlineStr">
        <is>
          <t>SOUND EDITING</t>
        </is>
      </c>
      <c r="Q250" s="64" t="inlineStr">
        <is>
          <t>MUSIC (Original Song); SOUND MIXING; SOUND EDITING; VISUAL EFFECTS</t>
        </is>
      </c>
      <c r="R250" s="64" t="inlineStr">
        <is>
          <t>https://github.com/DLu/oscar_data</t>
        </is>
      </c>
    </row>
    <row r="251">
      <c r="A251" t="inlineStr">
        <is>
          <t>F0247</t>
        </is>
      </c>
      <c r="B251" t="inlineStr">
        <is>
          <t>Pineapple Express</t>
        </is>
      </c>
      <c r="C251" t="inlineStr">
        <is>
          <t>2008</t>
        </is>
      </c>
      <c r="D251" t="n">
        <v>0</v>
      </c>
      <c r="E251" t="n">
        <v>0</v>
      </c>
      <c r="G251" t="n">
        <v>0</v>
      </c>
      <c r="H251" t="n">
        <v>0</v>
      </c>
      <c r="I251" s="64" t="n"/>
      <c r="J251" s="64" t="n">
        <v>0</v>
      </c>
      <c r="K251" s="64" t="n">
        <v>0</v>
      </c>
      <c r="L251" s="64" t="n"/>
      <c r="M251" s="64" t="n">
        <v>0</v>
      </c>
      <c r="N251" s="64" t="n">
        <v>0</v>
      </c>
      <c r="O251" s="64" t="n"/>
      <c r="P251" s="64" t="n"/>
      <c r="Q251" s="64" t="n"/>
      <c r="R251" s="64" t="inlineStr">
        <is>
          <t>https://github.com/DLu/oscar_data</t>
        </is>
      </c>
    </row>
    <row r="252">
      <c r="A252" t="inlineStr">
        <is>
          <t>F0248</t>
        </is>
      </c>
      <c r="B252" t="inlineStr">
        <is>
          <t>Pinocchio</t>
        </is>
      </c>
      <c r="C252" t="inlineStr">
        <is>
          <t>1940</t>
        </is>
      </c>
      <c r="D252" t="n">
        <v>2</v>
      </c>
      <c r="E252" t="n">
        <v>2</v>
      </c>
      <c r="G252" t="n">
        <v>0</v>
      </c>
      <c r="H252" t="n">
        <v>0</v>
      </c>
      <c r="I252" s="64" t="n"/>
      <c r="J252" s="64" t="n">
        <v>0</v>
      </c>
      <c r="K252" s="64" t="n">
        <v>0</v>
      </c>
      <c r="L252" s="64" t="n"/>
      <c r="M252" s="64" t="n">
        <v>0</v>
      </c>
      <c r="N252" s="64" t="n">
        <v>0</v>
      </c>
      <c r="O252" s="64" t="n"/>
      <c r="P252" s="64" t="inlineStr">
        <is>
          <t>MUSIC (Original Score); MUSIC (Original Song)</t>
        </is>
      </c>
      <c r="Q252" s="64" t="inlineStr">
        <is>
          <t>MUSIC (Original Score); MUSIC (Original Song)</t>
        </is>
      </c>
      <c r="R252" s="64" t="inlineStr">
        <is>
          <t>https://github.com/DLu/oscar_data</t>
        </is>
      </c>
    </row>
    <row r="253">
      <c r="A253" t="inlineStr">
        <is>
          <t>F0249</t>
        </is>
      </c>
      <c r="B253" t="inlineStr">
        <is>
          <t>Pirates of the Caribbean: On Stranger Tides</t>
        </is>
      </c>
      <c r="C253" t="inlineStr">
        <is>
          <t>2011</t>
        </is>
      </c>
      <c r="D253" t="n">
        <v>0</v>
      </c>
      <c r="E253" t="n">
        <v>0</v>
      </c>
      <c r="G253" t="n">
        <v>0</v>
      </c>
      <c r="H253" t="n">
        <v>0</v>
      </c>
      <c r="I253" s="64" t="n"/>
      <c r="J253" s="64" t="n">
        <v>0</v>
      </c>
      <c r="K253" s="64" t="n">
        <v>0</v>
      </c>
      <c r="L253" s="64" t="n"/>
      <c r="M253" s="64" t="n">
        <v>0</v>
      </c>
      <c r="N253" s="64" t="n">
        <v>0</v>
      </c>
      <c r="O253" s="64" t="n"/>
      <c r="P253" s="64" t="n"/>
      <c r="Q253" s="64" t="n"/>
      <c r="R253" s="64" t="inlineStr">
        <is>
          <t>https://github.com/DLu/oscar_data</t>
        </is>
      </c>
    </row>
    <row r="254">
      <c r="A254" t="inlineStr">
        <is>
          <t>F0250</t>
        </is>
      </c>
      <c r="B254" t="inlineStr">
        <is>
          <t>Pitch Perfect</t>
        </is>
      </c>
      <c r="C254" t="inlineStr">
        <is>
          <t>2012</t>
        </is>
      </c>
      <c r="D254" t="n">
        <v>0</v>
      </c>
      <c r="E254" t="n">
        <v>0</v>
      </c>
      <c r="G254" t="n">
        <v>0</v>
      </c>
      <c r="H254" t="n">
        <v>0</v>
      </c>
      <c r="I254" s="64" t="n"/>
      <c r="J254" s="64" t="n">
        <v>0</v>
      </c>
      <c r="K254" s="64" t="n">
        <v>0</v>
      </c>
      <c r="L254" s="64" t="n"/>
      <c r="M254" s="64" t="n">
        <v>0</v>
      </c>
      <c r="N254" s="64" t="n">
        <v>0</v>
      </c>
      <c r="O254" s="64" t="n"/>
      <c r="P254" s="64" t="n"/>
      <c r="Q254" s="64" t="n"/>
      <c r="R254" s="64" t="inlineStr">
        <is>
          <t>https://github.com/DLu/oscar_data</t>
        </is>
      </c>
    </row>
    <row r="255">
      <c r="A255" t="inlineStr">
        <is>
          <t>F0251</t>
        </is>
      </c>
      <c r="B255" t="inlineStr">
        <is>
          <t>Pitch Perfect 2</t>
        </is>
      </c>
      <c r="C255" t="inlineStr">
        <is>
          <t>2015</t>
        </is>
      </c>
      <c r="D255" t="n">
        <v>0</v>
      </c>
      <c r="E255" t="n">
        <v>0</v>
      </c>
      <c r="G255" t="n">
        <v>0</v>
      </c>
      <c r="H255" t="n">
        <v>0</v>
      </c>
      <c r="I255" s="64" t="n"/>
      <c r="J255" s="64" t="n">
        <v>0</v>
      </c>
      <c r="K255" s="64" t="n">
        <v>0</v>
      </c>
      <c r="L255" s="64" t="n"/>
      <c r="M255" s="64" t="n">
        <v>0</v>
      </c>
      <c r="N255" s="64" t="n">
        <v>0</v>
      </c>
      <c r="O255" s="64" t="n"/>
      <c r="P255" s="64" t="n"/>
      <c r="Q255" s="64" t="n"/>
      <c r="R255" s="64" t="inlineStr">
        <is>
          <t>https://github.com/DLu/oscar_data</t>
        </is>
      </c>
    </row>
    <row r="256">
      <c r="A256" t="inlineStr">
        <is>
          <t>F0252</t>
        </is>
      </c>
      <c r="B256" t="inlineStr">
        <is>
          <t>Pitch Perfect 3</t>
        </is>
      </c>
      <c r="C256" t="inlineStr">
        <is>
          <t>2017</t>
        </is>
      </c>
      <c r="D256" t="n">
        <v>0</v>
      </c>
      <c r="E256" t="n">
        <v>0</v>
      </c>
      <c r="G256" t="n">
        <v>0</v>
      </c>
      <c r="H256" t="n">
        <v>0</v>
      </c>
      <c r="I256" s="64" t="n"/>
      <c r="J256" s="64" t="n">
        <v>0</v>
      </c>
      <c r="K256" s="64" t="n">
        <v>0</v>
      </c>
      <c r="L256" s="64" t="n"/>
      <c r="M256" s="64" t="n">
        <v>0</v>
      </c>
      <c r="N256" s="64" t="n">
        <v>0</v>
      </c>
      <c r="O256" s="64" t="n"/>
      <c r="P256" s="64" t="n"/>
      <c r="Q256" s="64" t="n"/>
      <c r="R256" s="64" t="inlineStr">
        <is>
          <t>https://github.com/DLu/oscar_data</t>
        </is>
      </c>
    </row>
    <row r="257">
      <c r="A257" t="inlineStr">
        <is>
          <t>F0253</t>
        </is>
      </c>
      <c r="B257" t="inlineStr">
        <is>
          <t>Rise of the Planet of the Apes</t>
        </is>
      </c>
      <c r="C257" t="inlineStr">
        <is>
          <t>2011</t>
        </is>
      </c>
      <c r="D257" t="n">
        <v>1</v>
      </c>
      <c r="E257" t="n">
        <v>0</v>
      </c>
      <c r="G257" t="n">
        <v>0</v>
      </c>
      <c r="H257" t="n">
        <v>0</v>
      </c>
      <c r="I257" s="64" t="n"/>
      <c r="J257" s="64" t="n">
        <v>0</v>
      </c>
      <c r="K257" s="64" t="n">
        <v>0</v>
      </c>
      <c r="L257" s="64" t="n"/>
      <c r="M257" s="64" t="n">
        <v>0</v>
      </c>
      <c r="N257" s="64" t="n">
        <v>0</v>
      </c>
      <c r="O257" s="64" t="n"/>
      <c r="P257" s="64" t="n"/>
      <c r="Q257" s="64" t="inlineStr">
        <is>
          <t>VISUAL EFFECTS</t>
        </is>
      </c>
      <c r="R257" s="64" t="inlineStr">
        <is>
          <t>https://github.com/DLu/oscar_data</t>
        </is>
      </c>
    </row>
    <row r="258">
      <c r="A258" t="inlineStr">
        <is>
          <t>F0254</t>
        </is>
      </c>
      <c r="B258" t="inlineStr">
        <is>
          <t>Dawn of the Planet of the Apes</t>
        </is>
      </c>
      <c r="C258" t="inlineStr">
        <is>
          <t>2014</t>
        </is>
      </c>
      <c r="D258" t="n">
        <v>1</v>
      </c>
      <c r="E258" t="n">
        <v>0</v>
      </c>
      <c r="G258" t="n">
        <v>0</v>
      </c>
      <c r="H258" t="n">
        <v>0</v>
      </c>
      <c r="I258" s="64" t="n"/>
      <c r="J258" s="64" t="n">
        <v>0</v>
      </c>
      <c r="K258" s="64" t="n">
        <v>0</v>
      </c>
      <c r="L258" s="64" t="n"/>
      <c r="M258" s="64" t="n">
        <v>0</v>
      </c>
      <c r="N258" s="64" t="n">
        <v>0</v>
      </c>
      <c r="O258" s="64" t="n"/>
      <c r="P258" s="64" t="n"/>
      <c r="Q258" s="64" t="inlineStr">
        <is>
          <t>VISUAL EFFECTS</t>
        </is>
      </c>
      <c r="R258" s="64" t="inlineStr">
        <is>
          <t>https://github.com/DLu/oscar_data</t>
        </is>
      </c>
    </row>
    <row r="259">
      <c r="A259" t="inlineStr">
        <is>
          <t>F0255</t>
        </is>
      </c>
      <c r="B259" t="inlineStr">
        <is>
          <t>War for the Planet of the Apes</t>
        </is>
      </c>
      <c r="C259" t="inlineStr">
        <is>
          <t>2017</t>
        </is>
      </c>
      <c r="D259" t="n">
        <v>1</v>
      </c>
      <c r="E259" t="n">
        <v>0</v>
      </c>
      <c r="G259" t="n">
        <v>0</v>
      </c>
      <c r="H259" t="n">
        <v>0</v>
      </c>
      <c r="I259" s="64" t="n"/>
      <c r="J259" s="64" t="n">
        <v>0</v>
      </c>
      <c r="K259" s="64" t="n">
        <v>0</v>
      </c>
      <c r="L259" s="64" t="n"/>
      <c r="M259" s="64" t="n">
        <v>0</v>
      </c>
      <c r="N259" s="64" t="n">
        <v>0</v>
      </c>
      <c r="O259" s="64" t="n"/>
      <c r="P259" s="64" t="n"/>
      <c r="Q259" s="64" t="inlineStr">
        <is>
          <t>VISUAL EFFECTS</t>
        </is>
      </c>
      <c r="R259" s="64" t="inlineStr">
        <is>
          <t>https://github.com/DLu/oscar_data</t>
        </is>
      </c>
    </row>
    <row r="260">
      <c r="A260" t="inlineStr">
        <is>
          <t>F0256</t>
        </is>
      </c>
      <c r="B260" t="inlineStr">
        <is>
          <t>Kingdom of the Planet of the Apes</t>
        </is>
      </c>
      <c r="C260" t="inlineStr">
        <is>
          <t>2024</t>
        </is>
      </c>
      <c r="D260" t="n">
        <v>1</v>
      </c>
      <c r="E260" t="n">
        <v>0</v>
      </c>
      <c r="G260" t="n">
        <v>0</v>
      </c>
      <c r="H260" t="n">
        <v>0</v>
      </c>
      <c r="I260" s="64" t="n"/>
      <c r="J260" s="64" t="n">
        <v>0</v>
      </c>
      <c r="K260" s="64" t="n">
        <v>0</v>
      </c>
      <c r="L260" s="64" t="n"/>
      <c r="M260" s="64" t="n">
        <v>0</v>
      </c>
      <c r="N260" s="64" t="n">
        <v>0</v>
      </c>
      <c r="O260" s="64" t="n"/>
      <c r="P260" s="64" t="n"/>
      <c r="Q260" s="64" t="inlineStr">
        <is>
          <t>VISUAL EFFECTS</t>
        </is>
      </c>
      <c r="R260" s="64" t="inlineStr">
        <is>
          <t>https://github.com/DLu/oscar_data</t>
        </is>
      </c>
    </row>
    <row r="261">
      <c r="A261" t="inlineStr">
        <is>
          <t>F0257</t>
        </is>
      </c>
      <c r="B261" t="inlineStr">
        <is>
          <t>The Prestige</t>
        </is>
      </c>
      <c r="C261" t="inlineStr">
        <is>
          <t>2006</t>
        </is>
      </c>
      <c r="D261" t="n">
        <v>2</v>
      </c>
      <c r="E261" t="n">
        <v>0</v>
      </c>
      <c r="G261" t="n">
        <v>0</v>
      </c>
      <c r="H261" t="n">
        <v>0</v>
      </c>
      <c r="I261" s="64" t="n"/>
      <c r="J261" s="64" t="n">
        <v>0</v>
      </c>
      <c r="K261" s="64" t="n">
        <v>0</v>
      </c>
      <c r="L261" s="64" t="n"/>
      <c r="M261" s="64" t="n">
        <v>0</v>
      </c>
      <c r="N261" s="64" t="n">
        <v>0</v>
      </c>
      <c r="O261" s="64" t="n"/>
      <c r="P261" s="64" t="n"/>
      <c r="Q261" s="64" t="inlineStr">
        <is>
          <t>ART DIRECTION; CINEMATOGRAPHY</t>
        </is>
      </c>
      <c r="R261" s="64" t="inlineStr">
        <is>
          <t>https://github.com/DLu/oscar_data</t>
        </is>
      </c>
    </row>
    <row r="262">
      <c r="A262" t="inlineStr">
        <is>
          <t>F0258</t>
        </is>
      </c>
      <c r="B262" t="inlineStr">
        <is>
          <t>Prisoners</t>
        </is>
      </c>
      <c r="C262" t="inlineStr">
        <is>
          <t>2013</t>
        </is>
      </c>
      <c r="D262" t="n">
        <v>1</v>
      </c>
      <c r="E262" t="n">
        <v>0</v>
      </c>
      <c r="G262" t="n">
        <v>0</v>
      </c>
      <c r="H262" t="n">
        <v>0</v>
      </c>
      <c r="I262" s="64" t="n"/>
      <c r="J262" s="64" t="n">
        <v>0</v>
      </c>
      <c r="K262" s="64" t="n">
        <v>0</v>
      </c>
      <c r="L262" s="64" t="n"/>
      <c r="M262" s="64" t="n">
        <v>0</v>
      </c>
      <c r="N262" s="64" t="n">
        <v>0</v>
      </c>
      <c r="O262" s="64" t="n"/>
      <c r="P262" s="64" t="n"/>
      <c r="Q262" s="64" t="inlineStr">
        <is>
          <t>CINEMATOGRAPHY</t>
        </is>
      </c>
      <c r="R262" s="64" t="inlineStr">
        <is>
          <t>https://github.com/DLu/oscar_data</t>
        </is>
      </c>
    </row>
    <row r="263">
      <c r="A263" t="inlineStr">
        <is>
          <t>F0259</t>
        </is>
      </c>
      <c r="B263" t="inlineStr">
        <is>
          <t>Prometheus</t>
        </is>
      </c>
      <c r="C263" t="inlineStr">
        <is>
          <t>2012</t>
        </is>
      </c>
      <c r="D263" t="n">
        <v>1</v>
      </c>
      <c r="E263" t="n">
        <v>0</v>
      </c>
      <c r="G263" t="n">
        <v>0</v>
      </c>
      <c r="H263" t="n">
        <v>0</v>
      </c>
      <c r="I263" s="64" t="n"/>
      <c r="J263" s="64" t="n">
        <v>0</v>
      </c>
      <c r="K263" s="64" t="n">
        <v>0</v>
      </c>
      <c r="L263" s="64" t="n"/>
      <c r="M263" s="64" t="n">
        <v>0</v>
      </c>
      <c r="N263" s="64" t="n">
        <v>0</v>
      </c>
      <c r="O263" s="64" t="n"/>
      <c r="P263" s="64" t="n"/>
      <c r="Q263" s="64" t="inlineStr">
        <is>
          <t>VISUAL EFFECTS</t>
        </is>
      </c>
      <c r="R263" s="64" t="inlineStr">
        <is>
          <t>https://github.com/DLu/oscar_data</t>
        </is>
      </c>
    </row>
    <row r="264">
      <c r="A264" t="inlineStr">
        <is>
          <t>F0260</t>
        </is>
      </c>
      <c r="B264" t="inlineStr">
        <is>
          <t>The Pursuit of Happyness</t>
        </is>
      </c>
      <c r="C264" t="inlineStr">
        <is>
          <t>2006</t>
        </is>
      </c>
      <c r="D264" t="n">
        <v>1</v>
      </c>
      <c r="E264" t="n">
        <v>0</v>
      </c>
      <c r="G264" t="n">
        <v>1</v>
      </c>
      <c r="H264" t="n">
        <v>0</v>
      </c>
      <c r="I264" s="64" t="n"/>
      <c r="J264" s="64" t="n">
        <v>0</v>
      </c>
      <c r="K264" s="64" t="n">
        <v>0</v>
      </c>
      <c r="L264" s="64" t="n"/>
      <c r="M264" s="64" t="n">
        <v>0</v>
      </c>
      <c r="N264" s="64" t="n">
        <v>0</v>
      </c>
      <c r="O264" s="64" t="n"/>
      <c r="P264" s="64" t="n"/>
      <c r="Q264" s="64" t="inlineStr">
        <is>
          <t>ACTOR IN A LEADING ROLE</t>
        </is>
      </c>
      <c r="R264" s="64" t="inlineStr">
        <is>
          <t>https://github.com/DLu/oscar_data</t>
        </is>
      </c>
    </row>
    <row r="265">
      <c r="A265" t="inlineStr">
        <is>
          <t>F0261</t>
        </is>
      </c>
      <c r="B265" t="inlineStr">
        <is>
          <t>Rambo</t>
        </is>
      </c>
      <c r="C265" t="inlineStr">
        <is>
          <t>2008</t>
        </is>
      </c>
      <c r="D265" t="n">
        <v>0</v>
      </c>
      <c r="E265" t="n">
        <v>0</v>
      </c>
      <c r="G265" t="n">
        <v>0</v>
      </c>
      <c r="H265" t="n">
        <v>0</v>
      </c>
      <c r="I265" s="64" t="n"/>
      <c r="J265" s="64" t="n">
        <v>0</v>
      </c>
      <c r="K265" s="64" t="n">
        <v>0</v>
      </c>
      <c r="L265" s="64" t="n"/>
      <c r="M265" s="64" t="n">
        <v>0</v>
      </c>
      <c r="N265" s="64" t="n">
        <v>0</v>
      </c>
      <c r="O265" s="64" t="n"/>
      <c r="P265" s="64" t="n"/>
      <c r="Q265" s="64" t="n"/>
      <c r="R265" s="64" t="inlineStr">
        <is>
          <t>https://github.com/DLu/oscar_data</t>
        </is>
      </c>
    </row>
    <row r="266">
      <c r="A266" t="inlineStr">
        <is>
          <t>F0262</t>
        </is>
      </c>
      <c r="B266" t="inlineStr">
        <is>
          <t>RED</t>
        </is>
      </c>
      <c r="C266" t="inlineStr">
        <is>
          <t>2010</t>
        </is>
      </c>
      <c r="D266" t="n">
        <v>0</v>
      </c>
      <c r="E266" t="n">
        <v>0</v>
      </c>
      <c r="G266" t="n">
        <v>0</v>
      </c>
      <c r="H266" t="n">
        <v>0</v>
      </c>
      <c r="I266" s="64" t="n"/>
      <c r="J266" s="64" t="n">
        <v>0</v>
      </c>
      <c r="K266" s="64" t="n">
        <v>0</v>
      </c>
      <c r="L266" s="64" t="n"/>
      <c r="M266" s="64" t="n">
        <v>0</v>
      </c>
      <c r="N266" s="64" t="n">
        <v>0</v>
      </c>
      <c r="O266" s="64" t="n"/>
      <c r="P266" s="64" t="n"/>
      <c r="Q266" s="64" t="n"/>
      <c r="R266" s="64" t="inlineStr">
        <is>
          <t>https://github.com/DLu/oscar_data</t>
        </is>
      </c>
    </row>
    <row r="267">
      <c r="A267" t="inlineStr">
        <is>
          <t>F0263</t>
        </is>
      </c>
      <c r="B267" t="inlineStr">
        <is>
          <t>Reign of Fire</t>
        </is>
      </c>
      <c r="C267" t="inlineStr">
        <is>
          <t>2002</t>
        </is>
      </c>
      <c r="D267" t="n">
        <v>0</v>
      </c>
      <c r="E267" t="n">
        <v>0</v>
      </c>
      <c r="G267" t="n">
        <v>0</v>
      </c>
      <c r="H267" t="n">
        <v>0</v>
      </c>
      <c r="I267" s="64" t="n"/>
      <c r="J267" s="64" t="n">
        <v>0</v>
      </c>
      <c r="K267" s="64" t="n">
        <v>0</v>
      </c>
      <c r="L267" s="64" t="n"/>
      <c r="M267" s="64" t="n">
        <v>0</v>
      </c>
      <c r="N267" s="64" t="n">
        <v>0</v>
      </c>
      <c r="O267" s="64" t="n"/>
      <c r="P267" s="64" t="n"/>
      <c r="Q267" s="64" t="n"/>
      <c r="R267" s="64" t="inlineStr">
        <is>
          <t>https://github.com/DLu/oscar_data</t>
        </is>
      </c>
    </row>
    <row r="268">
      <c r="A268" t="inlineStr">
        <is>
          <t>F0264</t>
        </is>
      </c>
      <c r="B268" t="inlineStr">
        <is>
          <t>Riddick</t>
        </is>
      </c>
      <c r="C268" t="inlineStr">
        <is>
          <t>2013</t>
        </is>
      </c>
      <c r="D268" t="n">
        <v>0</v>
      </c>
      <c r="E268" t="n">
        <v>0</v>
      </c>
      <c r="G268" t="n">
        <v>0</v>
      </c>
      <c r="H268" t="n">
        <v>0</v>
      </c>
      <c r="I268" s="64" t="n"/>
      <c r="J268" s="64" t="n">
        <v>0</v>
      </c>
      <c r="K268" s="64" t="n">
        <v>0</v>
      </c>
      <c r="L268" s="64" t="n"/>
      <c r="M268" s="64" t="n">
        <v>0</v>
      </c>
      <c r="N268" s="64" t="n">
        <v>0</v>
      </c>
      <c r="O268" s="64" t="n"/>
      <c r="P268" s="64" t="n"/>
      <c r="Q268" s="64" t="n"/>
      <c r="R268" s="64" t="inlineStr">
        <is>
          <t>https://github.com/DLu/oscar_data</t>
        </is>
      </c>
    </row>
    <row r="269">
      <c r="A269" t="inlineStr">
        <is>
          <t>F0265</t>
        </is>
      </c>
      <c r="B269" t="inlineStr">
        <is>
          <t>Rio</t>
        </is>
      </c>
      <c r="C269" t="inlineStr">
        <is>
          <t>2011</t>
        </is>
      </c>
      <c r="D269" t="n">
        <v>1</v>
      </c>
      <c r="E269" t="n">
        <v>0</v>
      </c>
      <c r="G269" t="n">
        <v>0</v>
      </c>
      <c r="H269" t="n">
        <v>0</v>
      </c>
      <c r="I269" s="64" t="n"/>
      <c r="J269" s="64" t="n">
        <v>0</v>
      </c>
      <c r="K269" s="64" t="n">
        <v>0</v>
      </c>
      <c r="L269" s="64" t="n"/>
      <c r="M269" s="64" t="n">
        <v>0</v>
      </c>
      <c r="N269" s="64" t="n">
        <v>0</v>
      </c>
      <c r="O269" s="64" t="n"/>
      <c r="P269" s="64" t="n"/>
      <c r="Q269" s="64" t="inlineStr">
        <is>
          <t>MUSIC (Original Song)</t>
        </is>
      </c>
      <c r="R269" s="64" t="inlineStr">
        <is>
          <t>https://github.com/DLu/oscar_data</t>
        </is>
      </c>
    </row>
    <row r="270">
      <c r="A270" t="inlineStr">
        <is>
          <t>F0266</t>
        </is>
      </c>
      <c r="B270" t="inlineStr">
        <is>
          <t>Rio 2</t>
        </is>
      </c>
      <c r="C270" t="inlineStr">
        <is>
          <t>2014</t>
        </is>
      </c>
      <c r="D270" t="n">
        <v>0</v>
      </c>
      <c r="E270" t="n">
        <v>0</v>
      </c>
      <c r="G270" t="n">
        <v>0</v>
      </c>
      <c r="H270" t="n">
        <v>0</v>
      </c>
      <c r="I270" s="64" t="n"/>
      <c r="J270" s="64" t="n">
        <v>0</v>
      </c>
      <c r="K270" s="64" t="n">
        <v>0</v>
      </c>
      <c r="L270" s="64" t="n"/>
      <c r="M270" s="64" t="n">
        <v>0</v>
      </c>
      <c r="N270" s="64" t="n">
        <v>0</v>
      </c>
      <c r="O270" s="64" t="n"/>
      <c r="P270" s="64" t="n"/>
      <c r="Q270" s="64" t="n"/>
      <c r="R270" s="64" t="inlineStr">
        <is>
          <t>https://github.com/DLu/oscar_data</t>
        </is>
      </c>
    </row>
    <row r="271">
      <c r="A271" t="inlineStr">
        <is>
          <t>F0267</t>
        </is>
      </c>
      <c r="B271" t="inlineStr">
        <is>
          <t>Robin Hood</t>
        </is>
      </c>
      <c r="C271" t="inlineStr">
        <is>
          <t>2010</t>
        </is>
      </c>
      <c r="D271" t="n">
        <v>0</v>
      </c>
      <c r="E271" t="n">
        <v>0</v>
      </c>
      <c r="G271" t="n">
        <v>0</v>
      </c>
      <c r="H271" t="n">
        <v>0</v>
      </c>
      <c r="I271" s="64" t="n"/>
      <c r="J271" s="64" t="n">
        <v>0</v>
      </c>
      <c r="K271" s="64" t="n">
        <v>0</v>
      </c>
      <c r="L271" s="64" t="n"/>
      <c r="M271" s="64" t="n">
        <v>0</v>
      </c>
      <c r="N271" s="64" t="n">
        <v>0</v>
      </c>
      <c r="O271" s="64" t="n"/>
      <c r="P271" s="64" t="n"/>
      <c r="Q271" s="64" t="n"/>
      <c r="R271" s="64" t="inlineStr">
        <is>
          <t>https://github.com/DLu/oscar_data</t>
        </is>
      </c>
    </row>
    <row r="272">
      <c r="A272" t="inlineStr">
        <is>
          <t>F0268</t>
        </is>
      </c>
      <c r="B272" t="inlineStr">
        <is>
          <t>RoboCop</t>
        </is>
      </c>
      <c r="D272" t="n">
        <v>0</v>
      </c>
      <c r="E272" t="n">
        <v>0</v>
      </c>
      <c r="G272" t="n">
        <v>0</v>
      </c>
      <c r="H272" t="n">
        <v>0</v>
      </c>
      <c r="I272" s="64" t="n"/>
      <c r="J272" s="64" t="n">
        <v>0</v>
      </c>
      <c r="K272" s="64" t="n">
        <v>0</v>
      </c>
      <c r="L272" s="64" t="n"/>
      <c r="M272" s="64" t="n">
        <v>0</v>
      </c>
      <c r="N272" s="64" t="n">
        <v>0</v>
      </c>
      <c r="O272" s="64" t="n"/>
      <c r="P272" s="64" t="n"/>
      <c r="Q272" s="64" t="n"/>
      <c r="R272" s="64" t="inlineStr">
        <is>
          <t>https://github.com/DLu/oscar_data</t>
        </is>
      </c>
    </row>
    <row r="273">
      <c r="A273" t="inlineStr">
        <is>
          <t>F0269</t>
        </is>
      </c>
      <c r="B273" t="inlineStr">
        <is>
          <t>Rocketman</t>
        </is>
      </c>
      <c r="C273" t="inlineStr">
        <is>
          <t>2019</t>
        </is>
      </c>
      <c r="D273" t="n">
        <v>1</v>
      </c>
      <c r="E273" t="n">
        <v>1</v>
      </c>
      <c r="G273" t="n">
        <v>0</v>
      </c>
      <c r="H273" t="n">
        <v>0</v>
      </c>
      <c r="I273" s="64" t="n"/>
      <c r="J273" s="64" t="n">
        <v>0</v>
      </c>
      <c r="K273" s="64" t="n">
        <v>0</v>
      </c>
      <c r="L273" s="64" t="n"/>
      <c r="M273" s="64" t="n">
        <v>0</v>
      </c>
      <c r="N273" s="64" t="n">
        <v>0</v>
      </c>
      <c r="O273" s="64" t="n"/>
      <c r="P273" s="64" t="inlineStr">
        <is>
          <t>MUSIC (Original Song)</t>
        </is>
      </c>
      <c r="Q273" s="64" t="inlineStr">
        <is>
          <t>MUSIC (Original Song)</t>
        </is>
      </c>
      <c r="R273" s="64" t="inlineStr">
        <is>
          <t>https://github.com/DLu/oscar_data</t>
        </is>
      </c>
    </row>
    <row r="274">
      <c r="A274" t="inlineStr">
        <is>
          <t>F0270</t>
        </is>
      </c>
      <c r="B274" t="inlineStr">
        <is>
          <t>Rush</t>
        </is>
      </c>
      <c r="C274" t="inlineStr">
        <is>
          <t>2013</t>
        </is>
      </c>
      <c r="D274" t="n">
        <v>0</v>
      </c>
      <c r="E274" t="n">
        <v>0</v>
      </c>
      <c r="G274" t="n">
        <v>0</v>
      </c>
      <c r="H274" t="n">
        <v>0</v>
      </c>
      <c r="I274" s="64" t="n"/>
      <c r="J274" s="64" t="n">
        <v>0</v>
      </c>
      <c r="K274" s="64" t="n">
        <v>0</v>
      </c>
      <c r="L274" s="64" t="n"/>
      <c r="M274" s="64" t="n">
        <v>0</v>
      </c>
      <c r="N274" s="64" t="n">
        <v>0</v>
      </c>
      <c r="O274" s="64" t="n"/>
      <c r="P274" s="64" t="n"/>
      <c r="Q274" s="64" t="n"/>
      <c r="R274" s="64" t="inlineStr">
        <is>
          <t>https://github.com/DLu/oscar_data</t>
        </is>
      </c>
    </row>
    <row r="275">
      <c r="A275" t="inlineStr">
        <is>
          <t>F0271</t>
        </is>
      </c>
      <c r="B275" t="inlineStr">
        <is>
          <t>Rush Hour 3</t>
        </is>
      </c>
      <c r="C275" t="inlineStr">
        <is>
          <t>2007</t>
        </is>
      </c>
      <c r="D275" t="n">
        <v>0</v>
      </c>
      <c r="E275" t="n">
        <v>0</v>
      </c>
      <c r="G275" t="n">
        <v>0</v>
      </c>
      <c r="H275" t="n">
        <v>0</v>
      </c>
      <c r="I275" s="64" t="n"/>
      <c r="J275" s="64" t="n">
        <v>0</v>
      </c>
      <c r="K275" s="64" t="n">
        <v>0</v>
      </c>
      <c r="L275" s="64" t="n"/>
      <c r="M275" s="64" t="n">
        <v>0</v>
      </c>
      <c r="N275" s="64" t="n">
        <v>0</v>
      </c>
      <c r="O275" s="64" t="n"/>
      <c r="P275" s="64" t="n"/>
      <c r="Q275" s="64" t="n"/>
      <c r="R275" s="64" t="inlineStr">
        <is>
          <t>https://github.com/DLu/oscar_data</t>
        </is>
      </c>
    </row>
    <row r="276">
      <c r="A276" t="inlineStr">
        <is>
          <t>F0272</t>
        </is>
      </c>
      <c r="B276" t="inlineStr">
        <is>
          <t>Safe House</t>
        </is>
      </c>
      <c r="C276" t="inlineStr">
        <is>
          <t>2012</t>
        </is>
      </c>
      <c r="D276" t="n">
        <v>0</v>
      </c>
      <c r="E276" t="n">
        <v>0</v>
      </c>
      <c r="G276" t="n">
        <v>0</v>
      </c>
      <c r="H276" t="n">
        <v>0</v>
      </c>
      <c r="I276" s="64" t="n"/>
      <c r="J276" s="64" t="n">
        <v>0</v>
      </c>
      <c r="K276" s="64" t="n">
        <v>0</v>
      </c>
      <c r="L276" s="64" t="n"/>
      <c r="M276" s="64" t="n">
        <v>0</v>
      </c>
      <c r="N276" s="64" t="n">
        <v>0</v>
      </c>
      <c r="O276" s="64" t="n"/>
      <c r="P276" s="64" t="n"/>
      <c r="Q276" s="64" t="n"/>
      <c r="R276" s="64" t="inlineStr">
        <is>
          <t>https://github.com/DLu/oscar_data</t>
        </is>
      </c>
    </row>
    <row r="277">
      <c r="A277" t="inlineStr">
        <is>
          <t>F0273</t>
        </is>
      </c>
      <c r="B277" t="inlineStr">
        <is>
          <t>Salt</t>
        </is>
      </c>
      <c r="C277" t="inlineStr">
        <is>
          <t>2010</t>
        </is>
      </c>
      <c r="D277" t="n">
        <v>1</v>
      </c>
      <c r="E277" t="n">
        <v>0</v>
      </c>
      <c r="G277" t="n">
        <v>0</v>
      </c>
      <c r="H277" t="n">
        <v>0</v>
      </c>
      <c r="I277" s="64" t="n"/>
      <c r="J277" s="64" t="n">
        <v>0</v>
      </c>
      <c r="K277" s="64" t="n">
        <v>0</v>
      </c>
      <c r="L277" s="64" t="n"/>
      <c r="M277" s="64" t="n">
        <v>0</v>
      </c>
      <c r="N277" s="64" t="n">
        <v>0</v>
      </c>
      <c r="O277" s="64" t="n"/>
      <c r="P277" s="64" t="n"/>
      <c r="Q277" s="64" t="inlineStr">
        <is>
          <t>SOUND MIXING</t>
        </is>
      </c>
      <c r="R277" s="64" t="inlineStr">
        <is>
          <t>https://github.com/DLu/oscar_data</t>
        </is>
      </c>
    </row>
    <row r="278">
      <c r="A278" t="inlineStr">
        <is>
          <t>F0274</t>
        </is>
      </c>
      <c r="B278" t="inlineStr">
        <is>
          <t>The Secret Life of Pets</t>
        </is>
      </c>
      <c r="C278" t="inlineStr">
        <is>
          <t>2016</t>
        </is>
      </c>
      <c r="D278" t="n">
        <v>0</v>
      </c>
      <c r="E278" t="n">
        <v>0</v>
      </c>
      <c r="G278" t="n">
        <v>0</v>
      </c>
      <c r="H278" t="n">
        <v>0</v>
      </c>
      <c r="I278" s="64" t="n"/>
      <c r="J278" s="64" t="n">
        <v>0</v>
      </c>
      <c r="K278" s="64" t="n">
        <v>0</v>
      </c>
      <c r="L278" s="64" t="n"/>
      <c r="M278" s="64" t="n">
        <v>0</v>
      </c>
      <c r="N278" s="64" t="n">
        <v>0</v>
      </c>
      <c r="O278" s="64" t="n"/>
      <c r="P278" s="64" t="n"/>
      <c r="Q278" s="64" t="n"/>
      <c r="R278" s="64" t="inlineStr">
        <is>
          <t>https://github.com/DLu/oscar_data</t>
        </is>
      </c>
    </row>
    <row r="279">
      <c r="A279" t="inlineStr">
        <is>
          <t>F0275</t>
        </is>
      </c>
      <c r="B279" t="inlineStr">
        <is>
          <t>Senna</t>
        </is>
      </c>
      <c r="C279" t="inlineStr">
        <is>
          <t>2010</t>
        </is>
      </c>
      <c r="D279" t="n">
        <v>0</v>
      </c>
      <c r="E279" t="n">
        <v>0</v>
      </c>
      <c r="G279" t="n">
        <v>0</v>
      </c>
      <c r="H279" t="n">
        <v>0</v>
      </c>
      <c r="I279" s="64" t="n"/>
      <c r="J279" s="64" t="n">
        <v>0</v>
      </c>
      <c r="K279" s="64" t="n">
        <v>0</v>
      </c>
      <c r="L279" s="64" t="n"/>
      <c r="M279" s="64" t="n">
        <v>0</v>
      </c>
      <c r="N279" s="64" t="n">
        <v>0</v>
      </c>
      <c r="O279" s="64" t="n"/>
      <c r="P279" s="64" t="n"/>
      <c r="Q279" s="64" t="n"/>
      <c r="R279" s="64" t="inlineStr">
        <is>
          <t>https://github.com/DLu/oscar_data</t>
        </is>
      </c>
    </row>
    <row r="280">
      <c r="A280" t="inlineStr">
        <is>
          <t>F0276</t>
        </is>
      </c>
      <c r="B280" t="inlineStr">
        <is>
          <t>Se7en</t>
        </is>
      </c>
      <c r="C280" t="inlineStr">
        <is>
          <t>1995</t>
        </is>
      </c>
      <c r="D280" t="n">
        <v>1</v>
      </c>
      <c r="E280" t="n">
        <v>0</v>
      </c>
      <c r="G280" t="n">
        <v>0</v>
      </c>
      <c r="H280" t="n">
        <v>0</v>
      </c>
      <c r="I280" s="64" t="n"/>
      <c r="J280" s="64" t="n">
        <v>0</v>
      </c>
      <c r="K280" s="64" t="n">
        <v>0</v>
      </c>
      <c r="L280" s="64" t="n"/>
      <c r="M280" s="64" t="n">
        <v>0</v>
      </c>
      <c r="N280" s="64" t="n">
        <v>0</v>
      </c>
      <c r="O280" s="64" t="n"/>
      <c r="P280" s="64" t="n"/>
      <c r="Q280" s="64" t="inlineStr">
        <is>
          <t>FILM EDITING</t>
        </is>
      </c>
      <c r="R280" s="64" t="inlineStr">
        <is>
          <t>https://github.com/DLu/oscar_data</t>
        </is>
      </c>
    </row>
    <row r="281">
      <c r="A281" t="inlineStr">
        <is>
          <t>F0277</t>
        </is>
      </c>
      <c r="B281" t="inlineStr">
        <is>
          <t>Sex &amp; Drugs &amp; Rock &amp; Roll</t>
        </is>
      </c>
      <c r="C281" t="inlineStr">
        <is>
          <t>2010</t>
        </is>
      </c>
      <c r="D281" t="n">
        <v>0</v>
      </c>
      <c r="E281" t="n">
        <v>0</v>
      </c>
      <c r="G281" t="n">
        <v>0</v>
      </c>
      <c r="H281" t="n">
        <v>0</v>
      </c>
      <c r="I281" s="64" t="n"/>
      <c r="J281" s="64" t="n">
        <v>0</v>
      </c>
      <c r="K281" s="64" t="n">
        <v>0</v>
      </c>
      <c r="L281" s="64" t="n"/>
      <c r="M281" s="64" t="n">
        <v>0</v>
      </c>
      <c r="N281" s="64" t="n">
        <v>0</v>
      </c>
      <c r="O281" s="64" t="n"/>
      <c r="P281" s="64" t="n"/>
      <c r="Q281" s="64" t="n"/>
      <c r="R281" s="64" t="inlineStr">
        <is>
          <t>https://github.com/DLu/oscar_data</t>
        </is>
      </c>
    </row>
    <row r="282">
      <c r="A282" t="inlineStr">
        <is>
          <t>F0278</t>
        </is>
      </c>
      <c r="B282" t="inlineStr">
        <is>
          <t>Sherlock Holmes</t>
        </is>
      </c>
      <c r="C282" t="inlineStr">
        <is>
          <t>2009</t>
        </is>
      </c>
      <c r="D282" t="n">
        <v>2</v>
      </c>
      <c r="E282" t="n">
        <v>0</v>
      </c>
      <c r="G282" t="n">
        <v>0</v>
      </c>
      <c r="H282" t="n">
        <v>0</v>
      </c>
      <c r="I282" s="64" t="n"/>
      <c r="J282" s="64" t="n">
        <v>0</v>
      </c>
      <c r="K282" s="64" t="n">
        <v>0</v>
      </c>
      <c r="L282" s="64" t="n"/>
      <c r="M282" s="64" t="n">
        <v>0</v>
      </c>
      <c r="N282" s="64" t="n">
        <v>0</v>
      </c>
      <c r="O282" s="64" t="n"/>
      <c r="P282" s="64" t="n"/>
      <c r="Q282" s="64" t="inlineStr">
        <is>
          <t>ART DIRECTION; MUSIC (Original Score)</t>
        </is>
      </c>
      <c r="R282" s="64" t="inlineStr">
        <is>
          <t>https://github.com/DLu/oscar_data</t>
        </is>
      </c>
    </row>
    <row r="283">
      <c r="A283" t="inlineStr">
        <is>
          <t>F0279</t>
        </is>
      </c>
      <c r="B283" t="inlineStr">
        <is>
          <t>Sherlock Holmes: A Game of Shadows</t>
        </is>
      </c>
      <c r="C283" t="inlineStr">
        <is>
          <t>2011</t>
        </is>
      </c>
      <c r="D283" t="n">
        <v>0</v>
      </c>
      <c r="E283" t="n">
        <v>0</v>
      </c>
      <c r="G283" t="n">
        <v>0</v>
      </c>
      <c r="H283" t="n">
        <v>0</v>
      </c>
      <c r="I283" s="64" t="n"/>
      <c r="J283" s="64" t="n">
        <v>0</v>
      </c>
      <c r="K283" s="64" t="n">
        <v>0</v>
      </c>
      <c r="L283" s="64" t="n"/>
      <c r="M283" s="64" t="n">
        <v>0</v>
      </c>
      <c r="N283" s="64" t="n">
        <v>0</v>
      </c>
      <c r="O283" s="64" t="n"/>
      <c r="P283" s="64" t="n"/>
      <c r="Q283" s="64" t="n"/>
      <c r="R283" s="64" t="inlineStr">
        <is>
          <t>https://github.com/DLu/oscar_data</t>
        </is>
      </c>
    </row>
    <row r="284">
      <c r="A284" t="inlineStr">
        <is>
          <t>F0280</t>
        </is>
      </c>
      <c r="B284" t="inlineStr">
        <is>
          <t>Sing</t>
        </is>
      </c>
      <c r="C284" t="inlineStr">
        <is>
          <t>2016</t>
        </is>
      </c>
      <c r="D284" t="n">
        <v>1</v>
      </c>
      <c r="E284" t="n">
        <v>1</v>
      </c>
      <c r="G284" t="n">
        <v>0</v>
      </c>
      <c r="H284" t="n">
        <v>0</v>
      </c>
      <c r="I284" s="64" t="n"/>
      <c r="J284" s="64" t="n">
        <v>0</v>
      </c>
      <c r="K284" s="64" t="n">
        <v>0</v>
      </c>
      <c r="L284" s="64" t="n"/>
      <c r="M284" s="64" t="n">
        <v>0</v>
      </c>
      <c r="N284" s="64" t="n">
        <v>0</v>
      </c>
      <c r="O284" s="64" t="n"/>
      <c r="P284" s="64" t="inlineStr">
        <is>
          <t>SHORT FILM (Live Action)</t>
        </is>
      </c>
      <c r="Q284" s="64" t="inlineStr">
        <is>
          <t>SHORT FILM (Live Action)</t>
        </is>
      </c>
      <c r="R284" s="64" t="inlineStr">
        <is>
          <t>https://github.com/DLu/oscar_data</t>
        </is>
      </c>
    </row>
    <row r="285" ht="45" customHeight="1" s="95">
      <c r="A285" t="inlineStr">
        <is>
          <t>F0281</t>
        </is>
      </c>
      <c r="B285" t="inlineStr">
        <is>
          <t>Slumdog Millionaire</t>
        </is>
      </c>
      <c r="C285" t="inlineStr">
        <is>
          <t>2008</t>
        </is>
      </c>
      <c r="D285" t="n">
        <v>10</v>
      </c>
      <c r="E285" t="n">
        <v>8</v>
      </c>
      <c r="F285" t="inlineStr">
        <is>
          <t>Winner</t>
        </is>
      </c>
      <c r="G285" t="n">
        <v>0</v>
      </c>
      <c r="H285" t="n">
        <v>0</v>
      </c>
      <c r="I285" s="64" t="n"/>
      <c r="J285" s="64" t="n">
        <v>1</v>
      </c>
      <c r="K285" s="64" t="n">
        <v>1</v>
      </c>
      <c r="L285" s="64" t="inlineStr">
        <is>
          <t>Danny Boyle</t>
        </is>
      </c>
      <c r="M285" s="64" t="n">
        <v>1</v>
      </c>
      <c r="N285" s="64" t="n">
        <v>1</v>
      </c>
      <c r="O285" s="64" t="n"/>
      <c r="P285" s="64" t="inlineStr">
        <is>
          <t>CINEMATOGRAPHY; DIRECTING; FILM EDITING; MUSIC (Original Score); MUSIC (Original Song); BEST PICTURE; SOUND MIXING; WRITING (Adapted Screenplay)</t>
        </is>
      </c>
      <c r="Q285" s="64" t="inlineStr">
        <is>
          <t>CINEMATOGRAPHY; DIRECTING; FILM EDITING; MUSIC (Original Score); MUSIC (Original Song); BEST PICTURE; SOUND EDITING; SOUND MIXING; WRITING (Adapted Screenplay)</t>
        </is>
      </c>
      <c r="R285" s="64" t="inlineStr">
        <is>
          <t>https://github.com/DLu/oscar_data</t>
        </is>
      </c>
    </row>
    <row r="286">
      <c r="A286" t="inlineStr">
        <is>
          <t>F0282</t>
        </is>
      </c>
      <c r="B286" t="inlineStr">
        <is>
          <t>The Smurfs 2</t>
        </is>
      </c>
      <c r="C286" t="inlineStr">
        <is>
          <t>2013</t>
        </is>
      </c>
      <c r="D286" t="n">
        <v>0</v>
      </c>
      <c r="E286" t="n">
        <v>0</v>
      </c>
      <c r="G286" t="n">
        <v>0</v>
      </c>
      <c r="H286" t="n">
        <v>0</v>
      </c>
      <c r="I286" s="64" t="n"/>
      <c r="J286" s="64" t="n">
        <v>0</v>
      </c>
      <c r="K286" s="64" t="n">
        <v>0</v>
      </c>
      <c r="L286" s="64" t="n"/>
      <c r="M286" s="64" t="n">
        <v>0</v>
      </c>
      <c r="N286" s="64" t="n">
        <v>0</v>
      </c>
      <c r="O286" s="64" t="n"/>
      <c r="P286" s="64" t="n"/>
      <c r="Q286" s="64" t="n"/>
      <c r="R286" s="64" t="inlineStr">
        <is>
          <t>https://github.com/DLu/oscar_data</t>
        </is>
      </c>
    </row>
    <row r="287">
      <c r="A287" t="inlineStr">
        <is>
          <t>F0283</t>
        </is>
      </c>
      <c r="B287" t="inlineStr">
        <is>
          <t>Snowpiercer</t>
        </is>
      </c>
      <c r="C287" t="inlineStr">
        <is>
          <t>2013</t>
        </is>
      </c>
      <c r="D287" t="n">
        <v>0</v>
      </c>
      <c r="E287" t="n">
        <v>0</v>
      </c>
      <c r="G287" t="n">
        <v>0</v>
      </c>
      <c r="H287" t="n">
        <v>0</v>
      </c>
      <c r="I287" s="64" t="n"/>
      <c r="J287" s="64" t="n">
        <v>0</v>
      </c>
      <c r="K287" s="64" t="n">
        <v>0</v>
      </c>
      <c r="L287" s="64" t="n"/>
      <c r="M287" s="64" t="n">
        <v>0</v>
      </c>
      <c r="N287" s="64" t="n">
        <v>0</v>
      </c>
      <c r="O287" s="64" t="n"/>
      <c r="P287" s="64" t="n"/>
      <c r="Q287" s="64" t="n"/>
      <c r="R287" s="64" t="inlineStr">
        <is>
          <t>https://github.com/DLu/oscar_data</t>
        </is>
      </c>
    </row>
    <row r="288">
      <c r="A288" t="inlineStr">
        <is>
          <t>F0284</t>
        </is>
      </c>
      <c r="B288" t="inlineStr">
        <is>
          <t>Snow White and the Huntsman</t>
        </is>
      </c>
      <c r="C288" t="inlineStr">
        <is>
          <t>2012</t>
        </is>
      </c>
      <c r="D288" t="n">
        <v>2</v>
      </c>
      <c r="E288" t="n">
        <v>0</v>
      </c>
      <c r="G288" t="n">
        <v>0</v>
      </c>
      <c r="H288" t="n">
        <v>0</v>
      </c>
      <c r="I288" s="64" t="n"/>
      <c r="J288" s="64" t="n">
        <v>0</v>
      </c>
      <c r="K288" s="64" t="n">
        <v>0</v>
      </c>
      <c r="L288" s="64" t="n"/>
      <c r="M288" s="64" t="n">
        <v>0</v>
      </c>
      <c r="N288" s="64" t="n">
        <v>0</v>
      </c>
      <c r="O288" s="64" t="n"/>
      <c r="P288" s="64" t="n"/>
      <c r="Q288" s="64" t="inlineStr">
        <is>
          <t>COSTUME DESIGN; VISUAL EFFECTS</t>
        </is>
      </c>
      <c r="R288" s="64" t="inlineStr">
        <is>
          <t>https://github.com/DLu/oscar_data</t>
        </is>
      </c>
    </row>
    <row r="289">
      <c r="A289" t="inlineStr">
        <is>
          <t>F0285</t>
        </is>
      </c>
      <c r="B289" t="inlineStr">
        <is>
          <t>Source Code</t>
        </is>
      </c>
      <c r="C289" t="inlineStr">
        <is>
          <t>2011</t>
        </is>
      </c>
      <c r="D289" t="n">
        <v>0</v>
      </c>
      <c r="E289" t="n">
        <v>0</v>
      </c>
      <c r="G289" t="n">
        <v>0</v>
      </c>
      <c r="H289" t="n">
        <v>0</v>
      </c>
      <c r="I289" s="64" t="n"/>
      <c r="J289" s="64" t="n">
        <v>0</v>
      </c>
      <c r="K289" s="64" t="n">
        <v>0</v>
      </c>
      <c r="L289" s="64" t="n"/>
      <c r="M289" s="64" t="n">
        <v>0</v>
      </c>
      <c r="N289" s="64" t="n">
        <v>0</v>
      </c>
      <c r="O289" s="64" t="n"/>
      <c r="P289" s="64" t="n"/>
      <c r="Q289" s="64" t="n"/>
      <c r="R289" s="64" t="inlineStr">
        <is>
          <t>https://github.com/DLu/oscar_data</t>
        </is>
      </c>
    </row>
    <row r="290">
      <c r="A290" t="inlineStr">
        <is>
          <t>F0286</t>
        </is>
      </c>
      <c r="B290" t="inlineStr">
        <is>
          <t>Southpaw</t>
        </is>
      </c>
      <c r="C290" t="inlineStr">
        <is>
          <t>2015</t>
        </is>
      </c>
      <c r="D290" t="n">
        <v>0</v>
      </c>
      <c r="E290" t="n">
        <v>0</v>
      </c>
      <c r="G290" t="n">
        <v>0</v>
      </c>
      <c r="H290" t="n">
        <v>0</v>
      </c>
      <c r="I290" s="64" t="n"/>
      <c r="J290" s="64" t="n">
        <v>0</v>
      </c>
      <c r="K290" s="64" t="n">
        <v>0</v>
      </c>
      <c r="L290" s="64" t="n"/>
      <c r="M290" s="64" t="n">
        <v>0</v>
      </c>
      <c r="N290" s="64" t="n">
        <v>0</v>
      </c>
      <c r="O290" s="64" t="n"/>
      <c r="P290" s="64" t="n"/>
      <c r="Q290" s="64" t="n"/>
      <c r="R290" s="64" t="inlineStr">
        <is>
          <t>https://github.com/DLu/oscar_data</t>
        </is>
      </c>
    </row>
    <row r="291">
      <c r="A291" t="inlineStr">
        <is>
          <t>F0287</t>
        </is>
      </c>
      <c r="B291" t="inlineStr">
        <is>
          <t>Spider-Man</t>
        </is>
      </c>
      <c r="C291" t="inlineStr">
        <is>
          <t>2002</t>
        </is>
      </c>
      <c r="D291" t="n">
        <v>2</v>
      </c>
      <c r="E291" t="n">
        <v>0</v>
      </c>
      <c r="G291" t="n">
        <v>0</v>
      </c>
      <c r="H291" t="n">
        <v>0</v>
      </c>
      <c r="I291" s="64" t="n"/>
      <c r="J291" s="64" t="n">
        <v>0</v>
      </c>
      <c r="K291" s="64" t="n">
        <v>0</v>
      </c>
      <c r="L291" s="64" t="n"/>
      <c r="M291" s="64" t="n">
        <v>0</v>
      </c>
      <c r="N291" s="64" t="n">
        <v>0</v>
      </c>
      <c r="O291" s="64" t="n"/>
      <c r="P291" s="64" t="n"/>
      <c r="Q291" s="64" t="inlineStr">
        <is>
          <t>SOUND MIXING; VISUAL EFFECTS</t>
        </is>
      </c>
      <c r="R291" s="64" t="inlineStr">
        <is>
          <t>https://github.com/DLu/oscar_data</t>
        </is>
      </c>
    </row>
    <row r="292">
      <c r="A292" t="inlineStr">
        <is>
          <t>F0288</t>
        </is>
      </c>
      <c r="B292" t="inlineStr">
        <is>
          <t>Spider-Man 2</t>
        </is>
      </c>
      <c r="C292" t="inlineStr">
        <is>
          <t>2004</t>
        </is>
      </c>
      <c r="D292" t="n">
        <v>3</v>
      </c>
      <c r="E292" t="n">
        <v>1</v>
      </c>
      <c r="G292" t="n">
        <v>0</v>
      </c>
      <c r="H292" t="n">
        <v>0</v>
      </c>
      <c r="I292" s="64" t="n"/>
      <c r="J292" s="64" t="n">
        <v>0</v>
      </c>
      <c r="K292" s="64" t="n">
        <v>0</v>
      </c>
      <c r="L292" s="64" t="n"/>
      <c r="M292" s="64" t="n">
        <v>0</v>
      </c>
      <c r="N292" s="64" t="n">
        <v>0</v>
      </c>
      <c r="O292" s="64" t="n"/>
      <c r="P292" s="64" t="inlineStr">
        <is>
          <t>VISUAL EFFECTS</t>
        </is>
      </c>
      <c r="Q292" s="64" t="inlineStr">
        <is>
          <t>SOUND EDITING; SOUND MIXING; VISUAL EFFECTS</t>
        </is>
      </c>
      <c r="R292" s="64" t="inlineStr">
        <is>
          <t>https://github.com/DLu/oscar_data</t>
        </is>
      </c>
    </row>
    <row r="293">
      <c r="A293" t="inlineStr">
        <is>
          <t>F0289</t>
        </is>
      </c>
      <c r="B293" t="inlineStr">
        <is>
          <t>Spider-Man 3</t>
        </is>
      </c>
      <c r="C293" t="inlineStr">
        <is>
          <t>2007</t>
        </is>
      </c>
      <c r="D293" t="n">
        <v>0</v>
      </c>
      <c r="E293" t="n">
        <v>0</v>
      </c>
      <c r="G293" t="n">
        <v>0</v>
      </c>
      <c r="H293" t="n">
        <v>0</v>
      </c>
      <c r="I293" s="64" t="n"/>
      <c r="J293" s="64" t="n">
        <v>0</v>
      </c>
      <c r="K293" s="64" t="n">
        <v>0</v>
      </c>
      <c r="L293" s="64" t="n"/>
      <c r="M293" s="64" t="n">
        <v>0</v>
      </c>
      <c r="N293" s="64" t="n">
        <v>0</v>
      </c>
      <c r="O293" s="64" t="n"/>
      <c r="P293" s="64" t="n"/>
      <c r="Q293" s="64" t="n"/>
      <c r="R293" s="64" t="inlineStr">
        <is>
          <t>https://github.com/DLu/oscar_data</t>
        </is>
      </c>
    </row>
    <row r="294">
      <c r="A294" t="inlineStr">
        <is>
          <t>F0290</t>
        </is>
      </c>
      <c r="B294" t="inlineStr">
        <is>
          <t>Spy</t>
        </is>
      </c>
      <c r="C294" t="inlineStr">
        <is>
          <t>2015</t>
        </is>
      </c>
      <c r="D294" t="n">
        <v>0</v>
      </c>
      <c r="E294" t="n">
        <v>0</v>
      </c>
      <c r="G294" t="n">
        <v>0</v>
      </c>
      <c r="H294" t="n">
        <v>0</v>
      </c>
      <c r="I294" s="64" t="n"/>
      <c r="J294" s="64" t="n">
        <v>0</v>
      </c>
      <c r="K294" s="64" t="n">
        <v>0</v>
      </c>
      <c r="L294" s="64" t="n"/>
      <c r="M294" s="64" t="n">
        <v>0</v>
      </c>
      <c r="N294" s="64" t="n">
        <v>0</v>
      </c>
      <c r="O294" s="64" t="n"/>
      <c r="P294" s="64" t="n"/>
      <c r="Q294" s="64" t="n"/>
      <c r="R294" s="64" t="inlineStr">
        <is>
          <t>https://github.com/DLu/oscar_data</t>
        </is>
      </c>
    </row>
    <row r="295" ht="30" customHeight="1" s="95">
      <c r="A295" t="inlineStr">
        <is>
          <t>F0291</t>
        </is>
      </c>
      <c r="B295" t="inlineStr">
        <is>
          <t>Star Trek</t>
        </is>
      </c>
      <c r="C295" t="inlineStr">
        <is>
          <t>2009</t>
        </is>
      </c>
      <c r="D295" t="n">
        <v>4</v>
      </c>
      <c r="E295" t="n">
        <v>1</v>
      </c>
      <c r="G295" t="n">
        <v>0</v>
      </c>
      <c r="H295" t="n">
        <v>0</v>
      </c>
      <c r="I295" s="64" t="n"/>
      <c r="J295" s="64" t="n">
        <v>0</v>
      </c>
      <c r="K295" s="64" t="n">
        <v>0</v>
      </c>
      <c r="L295" s="64" t="n"/>
      <c r="M295" s="64" t="n">
        <v>0</v>
      </c>
      <c r="N295" s="64" t="n">
        <v>0</v>
      </c>
      <c r="O295" s="64" t="n"/>
      <c r="P295" s="64" t="inlineStr">
        <is>
          <t>MAKEUP AND HAIRSTYLING</t>
        </is>
      </c>
      <c r="Q295" s="64" t="inlineStr">
        <is>
          <t>MAKEUP AND HAIRSTYLING; SOUND EDITING; SOUND MIXING; VISUAL EFFECTS</t>
        </is>
      </c>
      <c r="R295" s="64" t="inlineStr">
        <is>
          <t>https://github.com/DLu/oscar_data</t>
        </is>
      </c>
    </row>
    <row r="296">
      <c r="A296" t="inlineStr">
        <is>
          <t>F0292</t>
        </is>
      </c>
      <c r="B296" t="inlineStr">
        <is>
          <t>Star Wars: Episode I – The Phantom Menace</t>
        </is>
      </c>
      <c r="C296" t="inlineStr">
        <is>
          <t>1999</t>
        </is>
      </c>
      <c r="D296" t="n">
        <v>3</v>
      </c>
      <c r="E296" t="n">
        <v>0</v>
      </c>
      <c r="G296" t="n">
        <v>0</v>
      </c>
      <c r="H296" t="n">
        <v>0</v>
      </c>
      <c r="I296" s="64" t="n"/>
      <c r="J296" s="64" t="n">
        <v>0</v>
      </c>
      <c r="K296" s="64" t="n">
        <v>0</v>
      </c>
      <c r="L296" s="64" t="n"/>
      <c r="M296" s="64" t="n">
        <v>0</v>
      </c>
      <c r="N296" s="64" t="n">
        <v>0</v>
      </c>
      <c r="O296" s="64" t="n"/>
      <c r="P296" s="64" t="n"/>
      <c r="Q296" s="64" t="inlineStr">
        <is>
          <t>SOUND MIXING; SOUND EDITING; VISUAL EFFECTS</t>
        </is>
      </c>
      <c r="R296" s="64" t="inlineStr">
        <is>
          <t>https://github.com/DLu/oscar_data</t>
        </is>
      </c>
    </row>
    <row r="297">
      <c r="A297" t="inlineStr">
        <is>
          <t>F0293</t>
        </is>
      </c>
      <c r="B297" t="inlineStr">
        <is>
          <t>Star Wars: Episode II – Attack of the Clones</t>
        </is>
      </c>
      <c r="C297" t="inlineStr">
        <is>
          <t>2002</t>
        </is>
      </c>
      <c r="D297" t="n">
        <v>1</v>
      </c>
      <c r="E297" t="n">
        <v>0</v>
      </c>
      <c r="G297" t="n">
        <v>0</v>
      </c>
      <c r="H297" t="n">
        <v>0</v>
      </c>
      <c r="I297" s="64" t="n"/>
      <c r="J297" s="64" t="n">
        <v>0</v>
      </c>
      <c r="K297" s="64" t="n">
        <v>0</v>
      </c>
      <c r="L297" s="64" t="n"/>
      <c r="M297" s="64" t="n">
        <v>0</v>
      </c>
      <c r="N297" s="64" t="n">
        <v>0</v>
      </c>
      <c r="O297" s="64" t="n"/>
      <c r="P297" s="64" t="n"/>
      <c r="Q297" s="64" t="inlineStr">
        <is>
          <t>VISUAL EFFECTS</t>
        </is>
      </c>
      <c r="R297" s="64" t="inlineStr">
        <is>
          <t>https://github.com/DLu/oscar_data</t>
        </is>
      </c>
    </row>
    <row r="298">
      <c r="A298" t="inlineStr">
        <is>
          <t>F0294</t>
        </is>
      </c>
      <c r="B298" t="inlineStr">
        <is>
          <t>Star Wars: Episode III – Revenge of the Sith</t>
        </is>
      </c>
      <c r="C298" t="inlineStr">
        <is>
          <t>2005</t>
        </is>
      </c>
      <c r="D298" t="n">
        <v>1</v>
      </c>
      <c r="E298" t="n">
        <v>0</v>
      </c>
      <c r="G298" t="n">
        <v>0</v>
      </c>
      <c r="H298" t="n">
        <v>0</v>
      </c>
      <c r="I298" s="64" t="n"/>
      <c r="J298" s="64" t="n">
        <v>0</v>
      </c>
      <c r="K298" s="64" t="n">
        <v>0</v>
      </c>
      <c r="L298" s="64" t="n"/>
      <c r="M298" s="64" t="n">
        <v>0</v>
      </c>
      <c r="N298" s="64" t="n">
        <v>0</v>
      </c>
      <c r="O298" s="64" t="n"/>
      <c r="P298" s="64" t="n"/>
      <c r="Q298" s="64" t="inlineStr">
        <is>
          <t>MAKEUP AND HAIRSTYLING</t>
        </is>
      </c>
      <c r="R298" s="64" t="inlineStr">
        <is>
          <t>https://github.com/DLu/oscar_data</t>
        </is>
      </c>
    </row>
    <row r="299" ht="60" customHeight="1" s="95">
      <c r="A299" t="inlineStr">
        <is>
          <t>F0295</t>
        </is>
      </c>
      <c r="B299" t="inlineStr">
        <is>
          <t>Star Wars: Episode IV – A New Hope</t>
        </is>
      </c>
      <c r="C299" t="inlineStr">
        <is>
          <t>1977</t>
        </is>
      </c>
      <c r="D299" t="n">
        <v>11</v>
      </c>
      <c r="E299" t="n">
        <v>7</v>
      </c>
      <c r="F299" t="inlineStr">
        <is>
          <t>Nominated</t>
        </is>
      </c>
      <c r="G299" t="n">
        <v>1</v>
      </c>
      <c r="H299" t="n">
        <v>0</v>
      </c>
      <c r="I299" s="64" t="n"/>
      <c r="J299" s="64" t="n">
        <v>1</v>
      </c>
      <c r="K299" s="64" t="n">
        <v>0</v>
      </c>
      <c r="L299" s="64" t="n"/>
      <c r="M299" s="64" t="n">
        <v>1</v>
      </c>
      <c r="N299" s="64" t="n">
        <v>0</v>
      </c>
      <c r="O299" s="64" t="n"/>
      <c r="P299" s="64" t="inlineStr">
        <is>
          <t>ART DIRECTION; COSTUME DESIGN; FILM EDITING; MUSIC (Original Score); SOUND MIXING; VISUAL EFFECTS; SPECIAL ACHIEVEMENT AWARD</t>
        </is>
      </c>
      <c r="Q299" s="64" t="inlineStr">
        <is>
          <t>ACTOR IN A SUPPORTING ROLE; ART DIRECTION; COSTUME DESIGN; DIRECTING; FILM EDITING; MUSIC (Original Score); BEST PICTURE; SOUND MIXING; VISUAL EFFECTS; WRITING (Original Screenplay); SPECIAL ACHIEVEMENT AWARD</t>
        </is>
      </c>
      <c r="R299" s="64" t="inlineStr">
        <is>
          <t>https://github.com/DLu/oscar_data</t>
        </is>
      </c>
    </row>
    <row r="300">
      <c r="A300" t="inlineStr">
        <is>
          <t>F0296</t>
        </is>
      </c>
      <c r="B300" t="inlineStr">
        <is>
          <t>Star Wars: Episode V – The Empire Strikes Back</t>
        </is>
      </c>
      <c r="C300" t="inlineStr">
        <is>
          <t>1980</t>
        </is>
      </c>
      <c r="D300" t="n">
        <v>0</v>
      </c>
      <c r="E300" t="n">
        <v>0</v>
      </c>
      <c r="G300" t="n">
        <v>0</v>
      </c>
      <c r="H300" t="n">
        <v>0</v>
      </c>
      <c r="I300" s="64" t="n"/>
      <c r="J300" s="64" t="n">
        <v>0</v>
      </c>
      <c r="K300" s="64" t="n">
        <v>0</v>
      </c>
      <c r="L300" s="64" t="n"/>
      <c r="M300" s="64" t="n">
        <v>0</v>
      </c>
      <c r="N300" s="64" t="n">
        <v>0</v>
      </c>
      <c r="O300" s="64" t="n"/>
      <c r="P300" s="64" t="n"/>
      <c r="Q300" s="64" t="n"/>
      <c r="R300" s="64" t="inlineStr">
        <is>
          <t>https://github.com/DLu/oscar_data</t>
        </is>
      </c>
    </row>
    <row r="301">
      <c r="A301" t="inlineStr">
        <is>
          <t>F0297</t>
        </is>
      </c>
      <c r="B301" t="inlineStr">
        <is>
          <t>Star Wars: Episode VI – Return of the Jedi</t>
        </is>
      </c>
      <c r="C301" t="inlineStr">
        <is>
          <t>1983</t>
        </is>
      </c>
      <c r="D301" t="n">
        <v>0</v>
      </c>
      <c r="E301" t="n">
        <v>0</v>
      </c>
      <c r="G301" t="n">
        <v>0</v>
      </c>
      <c r="H301" t="n">
        <v>0</v>
      </c>
      <c r="I301" s="64" t="n"/>
      <c r="J301" s="64" t="n">
        <v>0</v>
      </c>
      <c r="K301" s="64" t="n">
        <v>0</v>
      </c>
      <c r="L301" s="64" t="n"/>
      <c r="M301" s="64" t="n">
        <v>0</v>
      </c>
      <c r="N301" s="64" t="n">
        <v>0</v>
      </c>
      <c r="O301" s="64" t="n"/>
      <c r="P301" s="64" t="n"/>
      <c r="Q301" s="64" t="n"/>
      <c r="R301" s="64" t="inlineStr">
        <is>
          <t>https://github.com/DLu/oscar_data</t>
        </is>
      </c>
    </row>
    <row r="302" ht="30" customHeight="1" s="95">
      <c r="A302" t="inlineStr">
        <is>
          <t>F0298</t>
        </is>
      </c>
      <c r="B302" t="inlineStr">
        <is>
          <t>Star Wars: The Force Awakens</t>
        </is>
      </c>
      <c r="C302" t="inlineStr">
        <is>
          <t>2015</t>
        </is>
      </c>
      <c r="D302" t="n">
        <v>5</v>
      </c>
      <c r="E302" t="n">
        <v>0</v>
      </c>
      <c r="G302" t="n">
        <v>0</v>
      </c>
      <c r="H302" t="n">
        <v>0</v>
      </c>
      <c r="I302" s="64" t="n"/>
      <c r="J302" s="64" t="n">
        <v>0</v>
      </c>
      <c r="K302" s="64" t="n">
        <v>0</v>
      </c>
      <c r="L302" s="64" t="n"/>
      <c r="M302" s="64" t="n">
        <v>0</v>
      </c>
      <c r="N302" s="64" t="n">
        <v>0</v>
      </c>
      <c r="O302" s="64" t="n"/>
      <c r="P302" s="64" t="n"/>
      <c r="Q302" s="64" t="inlineStr">
        <is>
          <t>FILM EDITING; MUSIC (Original Score); SOUND EDITING; SOUND MIXING; VISUAL EFFECTS</t>
        </is>
      </c>
      <c r="R302" s="64" t="inlineStr">
        <is>
          <t>https://github.com/DLu/oscar_data</t>
        </is>
      </c>
    </row>
    <row r="303" ht="30" customHeight="1" s="95">
      <c r="A303" t="inlineStr">
        <is>
          <t>F0299</t>
        </is>
      </c>
      <c r="B303" t="inlineStr">
        <is>
          <t>Star Wars: The Last Jedi</t>
        </is>
      </c>
      <c r="C303" t="inlineStr">
        <is>
          <t>2017</t>
        </is>
      </c>
      <c r="D303" t="n">
        <v>4</v>
      </c>
      <c r="E303" t="n">
        <v>0</v>
      </c>
      <c r="G303" t="n">
        <v>0</v>
      </c>
      <c r="H303" t="n">
        <v>0</v>
      </c>
      <c r="I303" s="64" t="n"/>
      <c r="J303" s="64" t="n">
        <v>0</v>
      </c>
      <c r="K303" s="64" t="n">
        <v>0</v>
      </c>
      <c r="L303" s="64" t="n"/>
      <c r="M303" s="64" t="n">
        <v>0</v>
      </c>
      <c r="N303" s="64" t="n">
        <v>0</v>
      </c>
      <c r="O303" s="64" t="n"/>
      <c r="P303" s="64" t="n"/>
      <c r="Q303" s="64" t="inlineStr">
        <is>
          <t>MUSIC (Original Score); SOUND EDITING; SOUND MIXING; VISUAL EFFECTS</t>
        </is>
      </c>
      <c r="R303" s="64" t="inlineStr">
        <is>
          <t>https://github.com/DLu/oscar_data</t>
        </is>
      </c>
    </row>
    <row r="304">
      <c r="A304" t="inlineStr">
        <is>
          <t>F0300</t>
        </is>
      </c>
      <c r="B304" t="inlineStr">
        <is>
          <t>Star Wars: The Rise of Skywalker</t>
        </is>
      </c>
      <c r="C304" t="inlineStr">
        <is>
          <t>2019</t>
        </is>
      </c>
      <c r="D304" t="n">
        <v>3</v>
      </c>
      <c r="E304" t="n">
        <v>0</v>
      </c>
      <c r="G304" t="n">
        <v>0</v>
      </c>
      <c r="H304" t="n">
        <v>0</v>
      </c>
      <c r="I304" s="64" t="n"/>
      <c r="J304" s="64" t="n">
        <v>0</v>
      </c>
      <c r="K304" s="64" t="n">
        <v>0</v>
      </c>
      <c r="L304" s="64" t="n"/>
      <c r="M304" s="64" t="n">
        <v>0</v>
      </c>
      <c r="N304" s="64" t="n">
        <v>0</v>
      </c>
      <c r="O304" s="64" t="n"/>
      <c r="P304" s="64" t="n"/>
      <c r="Q304" s="64" t="inlineStr">
        <is>
          <t>MUSIC (Original Score); SOUND EDITING; VISUAL EFFECTS</t>
        </is>
      </c>
      <c r="R304" s="64" t="inlineStr">
        <is>
          <t>https://github.com/DLu/oscar_data</t>
        </is>
      </c>
    </row>
    <row r="305">
      <c r="A305" t="inlineStr">
        <is>
          <t>F0301</t>
        </is>
      </c>
      <c r="B305" t="inlineStr">
        <is>
          <t>Straight Outta Compton</t>
        </is>
      </c>
      <c r="C305" t="inlineStr">
        <is>
          <t>2015</t>
        </is>
      </c>
      <c r="D305" t="n">
        <v>1</v>
      </c>
      <c r="E305" t="n">
        <v>0</v>
      </c>
      <c r="G305" t="n">
        <v>0</v>
      </c>
      <c r="H305" t="n">
        <v>0</v>
      </c>
      <c r="I305" s="64" t="n"/>
      <c r="J305" s="64" t="n">
        <v>0</v>
      </c>
      <c r="K305" s="64" t="n">
        <v>0</v>
      </c>
      <c r="L305" s="64" t="n"/>
      <c r="M305" s="64" t="n">
        <v>1</v>
      </c>
      <c r="N305" s="64" t="n">
        <v>0</v>
      </c>
      <c r="O305" s="64" t="n"/>
      <c r="P305" s="64" t="n"/>
      <c r="Q305" s="64" t="inlineStr">
        <is>
          <t>WRITING (Original Screenplay)</t>
        </is>
      </c>
      <c r="R305" s="64" t="inlineStr">
        <is>
          <t>https://github.com/DLu/oscar_data</t>
        </is>
      </c>
    </row>
    <row r="306">
      <c r="A306" t="inlineStr">
        <is>
          <t>F0302</t>
        </is>
      </c>
      <c r="B306" t="inlineStr">
        <is>
          <t>Super 8</t>
        </is>
      </c>
      <c r="C306" t="inlineStr">
        <is>
          <t>2011</t>
        </is>
      </c>
      <c r="D306" t="n">
        <v>0</v>
      </c>
      <c r="E306" t="n">
        <v>0</v>
      </c>
      <c r="G306" t="n">
        <v>0</v>
      </c>
      <c r="H306" t="n">
        <v>0</v>
      </c>
      <c r="I306" s="64" t="n"/>
      <c r="J306" s="64" t="n">
        <v>0</v>
      </c>
      <c r="K306" s="64" t="n">
        <v>0</v>
      </c>
      <c r="L306" s="64" t="n"/>
      <c r="M306" s="64" t="n">
        <v>0</v>
      </c>
      <c r="N306" s="64" t="n">
        <v>0</v>
      </c>
      <c r="O306" s="64" t="n"/>
      <c r="P306" s="64" t="n"/>
      <c r="Q306" s="64" t="n"/>
      <c r="R306" s="64" t="inlineStr">
        <is>
          <t>https://github.com/DLu/oscar_data</t>
        </is>
      </c>
    </row>
    <row r="307">
      <c r="A307" t="inlineStr">
        <is>
          <t>F0303</t>
        </is>
      </c>
      <c r="B307" t="inlineStr">
        <is>
          <t>Superbad</t>
        </is>
      </c>
      <c r="C307" t="inlineStr">
        <is>
          <t>2007</t>
        </is>
      </c>
      <c r="D307" t="n">
        <v>0</v>
      </c>
      <c r="E307" t="n">
        <v>0</v>
      </c>
      <c r="G307" t="n">
        <v>0</v>
      </c>
      <c r="H307" t="n">
        <v>0</v>
      </c>
      <c r="I307" s="64" t="n"/>
      <c r="J307" s="64" t="n">
        <v>0</v>
      </c>
      <c r="K307" s="64" t="n">
        <v>0</v>
      </c>
      <c r="L307" s="64" t="n"/>
      <c r="M307" s="64" t="n">
        <v>0</v>
      </c>
      <c r="N307" s="64" t="n">
        <v>0</v>
      </c>
      <c r="O307" s="64" t="n"/>
      <c r="P307" s="64" t="n"/>
      <c r="Q307" s="64" t="n"/>
      <c r="R307" s="64" t="inlineStr">
        <is>
          <t>https://github.com/DLu/oscar_data</t>
        </is>
      </c>
    </row>
    <row r="308">
      <c r="A308" t="inlineStr">
        <is>
          <t>F0304</t>
        </is>
      </c>
      <c r="B308" t="inlineStr">
        <is>
          <t>Superman</t>
        </is>
      </c>
      <c r="C308" t="inlineStr">
        <is>
          <t>2025</t>
        </is>
      </c>
      <c r="D308" t="n">
        <v>0</v>
      </c>
      <c r="E308" t="n">
        <v>0</v>
      </c>
      <c r="G308" t="n">
        <v>0</v>
      </c>
      <c r="H308" t="n">
        <v>0</v>
      </c>
      <c r="I308" s="64" t="n"/>
      <c r="J308" s="64" t="n">
        <v>0</v>
      </c>
      <c r="K308" s="64" t="n">
        <v>0</v>
      </c>
      <c r="L308" s="64" t="n"/>
      <c r="M308" s="64" t="n">
        <v>0</v>
      </c>
      <c r="N308" s="64" t="n">
        <v>0</v>
      </c>
      <c r="O308" s="64" t="n"/>
      <c r="P308" s="64" t="n"/>
      <c r="Q308" s="64" t="n"/>
      <c r="R308" s="64" t="inlineStr">
        <is>
          <t>https://github.com/DLu/oscar_data</t>
        </is>
      </c>
    </row>
    <row r="309">
      <c r="A309" t="inlineStr">
        <is>
          <t>F0305</t>
        </is>
      </c>
      <c r="B309" t="inlineStr">
        <is>
          <t>The Sweeney</t>
        </is>
      </c>
      <c r="C309" t="inlineStr">
        <is>
          <t>2012</t>
        </is>
      </c>
      <c r="D309" t="n">
        <v>0</v>
      </c>
      <c r="E309" t="n">
        <v>0</v>
      </c>
      <c r="G309" t="n">
        <v>0</v>
      </c>
      <c r="H309" t="n">
        <v>0</v>
      </c>
      <c r="I309" s="64" t="n"/>
      <c r="J309" s="64" t="n">
        <v>0</v>
      </c>
      <c r="K309" s="64" t="n">
        <v>0</v>
      </c>
      <c r="L309" s="64" t="n"/>
      <c r="M309" s="64" t="n">
        <v>0</v>
      </c>
      <c r="N309" s="64" t="n">
        <v>0</v>
      </c>
      <c r="O309" s="64" t="n"/>
      <c r="P309" s="64" t="n"/>
      <c r="Q309" s="64" t="n"/>
      <c r="R309" s="64" t="inlineStr">
        <is>
          <t>https://github.com/DLu/oscar_data</t>
        </is>
      </c>
    </row>
    <row r="310">
      <c r="A310" t="inlineStr">
        <is>
          <t>F0306</t>
        </is>
      </c>
      <c r="B310" t="inlineStr">
        <is>
          <t>Taken</t>
        </is>
      </c>
      <c r="C310" t="inlineStr">
        <is>
          <t>2008</t>
        </is>
      </c>
      <c r="D310" t="n">
        <v>0</v>
      </c>
      <c r="E310" t="n">
        <v>0</v>
      </c>
      <c r="G310" t="n">
        <v>0</v>
      </c>
      <c r="H310" t="n">
        <v>0</v>
      </c>
      <c r="I310" s="64" t="n"/>
      <c r="J310" s="64" t="n">
        <v>0</v>
      </c>
      <c r="K310" s="64" t="n">
        <v>0</v>
      </c>
      <c r="L310" s="64" t="n"/>
      <c r="M310" s="64" t="n">
        <v>0</v>
      </c>
      <c r="N310" s="64" t="n">
        <v>0</v>
      </c>
      <c r="O310" s="64" t="n"/>
      <c r="P310" s="64" t="n"/>
      <c r="Q310" s="64" t="n"/>
      <c r="R310" s="64" t="inlineStr">
        <is>
          <t>https://github.com/DLu/oscar_data</t>
        </is>
      </c>
    </row>
    <row r="311">
      <c r="A311" t="inlineStr">
        <is>
          <t>F0307</t>
        </is>
      </c>
      <c r="B311" t="inlineStr">
        <is>
          <t>Taken 2</t>
        </is>
      </c>
      <c r="C311" t="inlineStr">
        <is>
          <t>2012</t>
        </is>
      </c>
      <c r="D311" t="n">
        <v>0</v>
      </c>
      <c r="E311" t="n">
        <v>0</v>
      </c>
      <c r="G311" t="n">
        <v>0</v>
      </c>
      <c r="H311" t="n">
        <v>0</v>
      </c>
      <c r="I311" s="64" t="n"/>
      <c r="J311" s="64" t="n">
        <v>0</v>
      </c>
      <c r="K311" s="64" t="n">
        <v>0</v>
      </c>
      <c r="L311" s="64" t="n"/>
      <c r="M311" s="64" t="n">
        <v>0</v>
      </c>
      <c r="N311" s="64" t="n">
        <v>0</v>
      </c>
      <c r="O311" s="64" t="n"/>
      <c r="P311" s="64" t="n"/>
      <c r="Q311" s="64" t="n"/>
      <c r="R311" s="64" t="inlineStr">
        <is>
          <t>https://github.com/DLu/oscar_data</t>
        </is>
      </c>
    </row>
    <row r="312">
      <c r="A312" t="inlineStr">
        <is>
          <t>F0308</t>
        </is>
      </c>
      <c r="B312" t="inlineStr">
        <is>
          <t>Ted</t>
        </is>
      </c>
      <c r="C312" t="inlineStr">
        <is>
          <t>2012</t>
        </is>
      </c>
      <c r="D312" t="n">
        <v>1</v>
      </c>
      <c r="E312" t="n">
        <v>0</v>
      </c>
      <c r="G312" t="n">
        <v>0</v>
      </c>
      <c r="H312" t="n">
        <v>0</v>
      </c>
      <c r="I312" s="64" t="n"/>
      <c r="J312" s="64" t="n">
        <v>0</v>
      </c>
      <c r="K312" s="64" t="n">
        <v>0</v>
      </c>
      <c r="L312" s="64" t="n"/>
      <c r="M312" s="64" t="n">
        <v>0</v>
      </c>
      <c r="N312" s="64" t="n">
        <v>0</v>
      </c>
      <c r="O312" s="64" t="n"/>
      <c r="P312" s="64" t="n"/>
      <c r="Q312" s="64" t="inlineStr">
        <is>
          <t>MUSIC (Original Song)</t>
        </is>
      </c>
      <c r="R312" s="64" t="inlineStr">
        <is>
          <t>https://github.com/DLu/oscar_data</t>
        </is>
      </c>
    </row>
    <row r="313">
      <c r="A313" t="inlineStr">
        <is>
          <t>F0309</t>
        </is>
      </c>
      <c r="B313" t="inlineStr">
        <is>
          <t>Teenage Mutant Ninja Turtles</t>
        </is>
      </c>
      <c r="C313" t="inlineStr">
        <is>
          <t>2014</t>
        </is>
      </c>
      <c r="D313" t="n">
        <v>0</v>
      </c>
      <c r="E313" t="n">
        <v>0</v>
      </c>
      <c r="G313" t="n">
        <v>0</v>
      </c>
      <c r="H313" t="n">
        <v>0</v>
      </c>
      <c r="I313" s="64" t="n"/>
      <c r="J313" s="64" t="n">
        <v>0</v>
      </c>
      <c r="K313" s="64" t="n">
        <v>0</v>
      </c>
      <c r="L313" s="64" t="n"/>
      <c r="M313" s="64" t="n">
        <v>0</v>
      </c>
      <c r="N313" s="64" t="n">
        <v>0</v>
      </c>
      <c r="O313" s="64" t="n"/>
      <c r="P313" s="64" t="n"/>
      <c r="Q313" s="64" t="n"/>
      <c r="R313" s="64" t="inlineStr">
        <is>
          <t>https://github.com/DLu/oscar_data</t>
        </is>
      </c>
    </row>
    <row r="314">
      <c r="A314" t="inlineStr">
        <is>
          <t>F0310</t>
        </is>
      </c>
      <c r="B314" t="inlineStr">
        <is>
          <t>Terminator Salvation</t>
        </is>
      </c>
      <c r="C314" t="inlineStr">
        <is>
          <t>2009</t>
        </is>
      </c>
      <c r="D314" t="n">
        <v>0</v>
      </c>
      <c r="E314" t="n">
        <v>0</v>
      </c>
      <c r="G314" t="n">
        <v>0</v>
      </c>
      <c r="H314" t="n">
        <v>0</v>
      </c>
      <c r="I314" s="64" t="n"/>
      <c r="J314" s="64" t="n">
        <v>0</v>
      </c>
      <c r="K314" s="64" t="n">
        <v>0</v>
      </c>
      <c r="L314" s="64" t="n"/>
      <c r="M314" s="64" t="n">
        <v>0</v>
      </c>
      <c r="N314" s="64" t="n">
        <v>0</v>
      </c>
      <c r="O314" s="64" t="n"/>
      <c r="P314" s="64" t="n"/>
      <c r="Q314" s="64" t="n"/>
      <c r="R314" s="64" t="inlineStr">
        <is>
          <t>https://github.com/DLu/oscar_data</t>
        </is>
      </c>
    </row>
    <row r="315" ht="30" customHeight="1" s="95">
      <c r="A315" t="inlineStr">
        <is>
          <t>F0311</t>
        </is>
      </c>
      <c r="B315" t="inlineStr">
        <is>
          <t>The Theory of Everything</t>
        </is>
      </c>
      <c r="C315" t="inlineStr">
        <is>
          <t>2014</t>
        </is>
      </c>
      <c r="D315" t="n">
        <v>5</v>
      </c>
      <c r="E315" t="n">
        <v>1</v>
      </c>
      <c r="F315" t="inlineStr">
        <is>
          <t>Nominated</t>
        </is>
      </c>
      <c r="G315" t="n">
        <v>2</v>
      </c>
      <c r="H315" t="n">
        <v>1</v>
      </c>
      <c r="I315" s="64" t="inlineStr">
        <is>
          <t>Eddie Redmayne</t>
        </is>
      </c>
      <c r="J315" s="64" t="n">
        <v>0</v>
      </c>
      <c r="K315" s="64" t="n">
        <v>0</v>
      </c>
      <c r="L315" s="64" t="n"/>
      <c r="M315" s="64" t="n">
        <v>1</v>
      </c>
      <c r="N315" s="64" t="n">
        <v>0</v>
      </c>
      <c r="O315" s="64" t="n"/>
      <c r="P315" s="64" t="inlineStr">
        <is>
          <t>ACTOR IN A LEADING ROLE</t>
        </is>
      </c>
      <c r="Q315" s="64" t="inlineStr">
        <is>
          <t>ACTOR IN A LEADING ROLE; ACTRESS IN A LEADING ROLE; MUSIC (Original Score); BEST PICTURE; WRITING (Adapted Screenplay)</t>
        </is>
      </c>
      <c r="R315" s="64" t="inlineStr">
        <is>
          <t>https://github.com/DLu/oscar_data</t>
        </is>
      </c>
    </row>
    <row r="316" ht="45" customHeight="1" s="95">
      <c r="A316" t="inlineStr">
        <is>
          <t>F0312</t>
        </is>
      </c>
      <c r="B316" t="inlineStr">
        <is>
          <t>Toy Story</t>
        </is>
      </c>
      <c r="C316" t="inlineStr">
        <is>
          <t>1995</t>
        </is>
      </c>
      <c r="D316" t="n">
        <v>4</v>
      </c>
      <c r="E316" t="n">
        <v>1</v>
      </c>
      <c r="G316" t="n">
        <v>0</v>
      </c>
      <c r="H316" t="n">
        <v>0</v>
      </c>
      <c r="I316" s="64" t="n"/>
      <c r="J316" s="64" t="n">
        <v>0</v>
      </c>
      <c r="K316" s="64" t="n">
        <v>0</v>
      </c>
      <c r="L316" s="64" t="n"/>
      <c r="M316" s="64" t="n">
        <v>1</v>
      </c>
      <c r="N316" s="64" t="n">
        <v>0</v>
      </c>
      <c r="O316" s="64" t="n"/>
      <c r="P316" s="64" t="inlineStr">
        <is>
          <t>SPECIAL ACHIEVEMENT AWARD</t>
        </is>
      </c>
      <c r="Q316" s="64" t="inlineStr">
        <is>
          <t>MUSIC (Original Song Score or Adaptation Score); MUSIC (Original Song); WRITING (Original Screenplay); SPECIAL ACHIEVEMENT AWARD</t>
        </is>
      </c>
      <c r="R316" s="64" t="inlineStr">
        <is>
          <t>https://github.com/DLu/oscar_data</t>
        </is>
      </c>
    </row>
    <row r="317">
      <c r="A317" t="inlineStr">
        <is>
          <t>F0313</t>
        </is>
      </c>
      <c r="B317" t="inlineStr">
        <is>
          <t>Toy Story 2</t>
        </is>
      </c>
      <c r="C317" t="inlineStr">
        <is>
          <t>1999</t>
        </is>
      </c>
      <c r="D317" t="n">
        <v>1</v>
      </c>
      <c r="E317" t="n">
        <v>0</v>
      </c>
      <c r="G317" t="n">
        <v>0</v>
      </c>
      <c r="H317" t="n">
        <v>0</v>
      </c>
      <c r="I317" s="64" t="n"/>
      <c r="J317" s="64" t="n">
        <v>0</v>
      </c>
      <c r="K317" s="64" t="n">
        <v>0</v>
      </c>
      <c r="L317" s="64" t="n"/>
      <c r="M317" s="64" t="n">
        <v>0</v>
      </c>
      <c r="N317" s="64" t="n">
        <v>0</v>
      </c>
      <c r="O317" s="64" t="n"/>
      <c r="P317" s="64" t="n"/>
      <c r="Q317" s="64" t="inlineStr">
        <is>
          <t>MUSIC (Original Song)</t>
        </is>
      </c>
      <c r="R317" s="64" t="inlineStr">
        <is>
          <t>https://github.com/DLu/oscar_data</t>
        </is>
      </c>
    </row>
    <row r="318" ht="30" customHeight="1" s="95">
      <c r="A318" t="inlineStr">
        <is>
          <t>F0314</t>
        </is>
      </c>
      <c r="B318" t="inlineStr">
        <is>
          <t>Toy Story 3</t>
        </is>
      </c>
      <c r="C318" t="inlineStr">
        <is>
          <t>2010</t>
        </is>
      </c>
      <c r="D318" t="n">
        <v>5</v>
      </c>
      <c r="E318" t="n">
        <v>2</v>
      </c>
      <c r="F318" t="inlineStr">
        <is>
          <t>Nominated</t>
        </is>
      </c>
      <c r="G318" t="n">
        <v>0</v>
      </c>
      <c r="H318" t="n">
        <v>0</v>
      </c>
      <c r="I318" s="64" t="n"/>
      <c r="J318" s="64" t="n">
        <v>0</v>
      </c>
      <c r="K318" s="64" t="n">
        <v>0</v>
      </c>
      <c r="L318" s="64" t="n"/>
      <c r="M318" s="64" t="n">
        <v>1</v>
      </c>
      <c r="N318" s="64" t="n">
        <v>0</v>
      </c>
      <c r="O318" s="64" t="inlineStr">
        <is>
          <t>Winner</t>
        </is>
      </c>
      <c r="P318" s="64" t="inlineStr">
        <is>
          <t>ANIMATED FEATURE FILM; MUSIC (Original Song)</t>
        </is>
      </c>
      <c r="Q318" s="64" t="inlineStr">
        <is>
          <t>ANIMATED FEATURE FILM; MUSIC (Original Song); BEST PICTURE; SOUND EDITING; WRITING (Adapted Screenplay)</t>
        </is>
      </c>
      <c r="R318" s="64" t="inlineStr">
        <is>
          <t>https://github.com/DLu/oscar_data</t>
        </is>
      </c>
    </row>
    <row r="319">
      <c r="A319" t="inlineStr">
        <is>
          <t>F0315</t>
        </is>
      </c>
      <c r="B319" t="inlineStr">
        <is>
          <t>Toy Story 4</t>
        </is>
      </c>
      <c r="C319" t="inlineStr">
        <is>
          <t>2019</t>
        </is>
      </c>
      <c r="D319" t="n">
        <v>2</v>
      </c>
      <c r="E319" t="n">
        <v>1</v>
      </c>
      <c r="G319" t="n">
        <v>0</v>
      </c>
      <c r="H319" t="n">
        <v>0</v>
      </c>
      <c r="I319" s="64" t="n"/>
      <c r="J319" s="64" t="n">
        <v>0</v>
      </c>
      <c r="K319" s="64" t="n">
        <v>0</v>
      </c>
      <c r="L319" s="64" t="n"/>
      <c r="M319" s="64" t="n">
        <v>0</v>
      </c>
      <c r="N319" s="64" t="n">
        <v>0</v>
      </c>
      <c r="O319" s="64" t="inlineStr">
        <is>
          <t>Winner</t>
        </is>
      </c>
      <c r="P319" s="64" t="inlineStr">
        <is>
          <t>ANIMATED FEATURE FILM</t>
        </is>
      </c>
      <c r="Q319" s="64" t="inlineStr">
        <is>
          <t>ANIMATED FEATURE FILM; MUSIC (Original Song)</t>
        </is>
      </c>
      <c r="R319" s="64" t="inlineStr">
        <is>
          <t>https://github.com/DLu/oscar_data</t>
        </is>
      </c>
    </row>
    <row r="320">
      <c r="A320" t="inlineStr">
        <is>
          <t>F0316</t>
        </is>
      </c>
      <c r="B320" t="inlineStr">
        <is>
          <t>Transformers</t>
        </is>
      </c>
      <c r="C320" t="inlineStr">
        <is>
          <t>2007</t>
        </is>
      </c>
      <c r="D320" t="n">
        <v>3</v>
      </c>
      <c r="E320" t="n">
        <v>0</v>
      </c>
      <c r="G320" t="n">
        <v>0</v>
      </c>
      <c r="H320" t="n">
        <v>0</v>
      </c>
      <c r="I320" s="64" t="n"/>
      <c r="J320" s="64" t="n">
        <v>0</v>
      </c>
      <c r="K320" s="64" t="n">
        <v>0</v>
      </c>
      <c r="L320" s="64" t="n"/>
      <c r="M320" s="64" t="n">
        <v>0</v>
      </c>
      <c r="N320" s="64" t="n">
        <v>0</v>
      </c>
      <c r="O320" s="64" t="n"/>
      <c r="P320" s="64" t="n"/>
      <c r="Q320" s="64" t="inlineStr">
        <is>
          <t>SOUND EDITING; SOUND MIXING; VISUAL EFFECTS</t>
        </is>
      </c>
      <c r="R320" s="64" t="inlineStr">
        <is>
          <t>https://github.com/DLu/oscar_data</t>
        </is>
      </c>
    </row>
    <row r="321">
      <c r="A321" t="inlineStr">
        <is>
          <t>F0317</t>
        </is>
      </c>
      <c r="B321" t="inlineStr">
        <is>
          <t>Transformers: Revenge of the Fallen</t>
        </is>
      </c>
      <c r="C321" t="inlineStr">
        <is>
          <t>2009</t>
        </is>
      </c>
      <c r="D321" t="n">
        <v>1</v>
      </c>
      <c r="E321" t="n">
        <v>0</v>
      </c>
      <c r="G321" t="n">
        <v>0</v>
      </c>
      <c r="H321" t="n">
        <v>0</v>
      </c>
      <c r="I321" s="64" t="n"/>
      <c r="J321" s="64" t="n">
        <v>0</v>
      </c>
      <c r="K321" s="64" t="n">
        <v>0</v>
      </c>
      <c r="L321" s="64" t="n"/>
      <c r="M321" s="64" t="n">
        <v>0</v>
      </c>
      <c r="N321" s="64" t="n">
        <v>0</v>
      </c>
      <c r="O321" s="64" t="n"/>
      <c r="P321" s="64" t="n"/>
      <c r="Q321" s="64" t="inlineStr">
        <is>
          <t>SOUND MIXING</t>
        </is>
      </c>
      <c r="R321" s="64" t="inlineStr">
        <is>
          <t>https://github.com/DLu/oscar_data</t>
        </is>
      </c>
    </row>
    <row r="322">
      <c r="A322" t="inlineStr">
        <is>
          <t>F0318</t>
        </is>
      </c>
      <c r="B322" t="inlineStr">
        <is>
          <t>Transformers: Dark of the Moon</t>
        </is>
      </c>
      <c r="C322" t="inlineStr">
        <is>
          <t>2011</t>
        </is>
      </c>
      <c r="D322" t="n">
        <v>3</v>
      </c>
      <c r="E322" t="n">
        <v>0</v>
      </c>
      <c r="G322" t="n">
        <v>0</v>
      </c>
      <c r="H322" t="n">
        <v>0</v>
      </c>
      <c r="I322" s="64" t="n"/>
      <c r="J322" s="64" t="n">
        <v>0</v>
      </c>
      <c r="K322" s="64" t="n">
        <v>0</v>
      </c>
      <c r="L322" s="64" t="n"/>
      <c r="M322" s="64" t="n">
        <v>0</v>
      </c>
      <c r="N322" s="64" t="n">
        <v>0</v>
      </c>
      <c r="O322" s="64" t="n"/>
      <c r="P322" s="64" t="n"/>
      <c r="Q322" s="64" t="inlineStr">
        <is>
          <t>SOUND EDITING; SOUND MIXING; VISUAL EFFECTS</t>
        </is>
      </c>
      <c r="R322" s="64" t="inlineStr">
        <is>
          <t>https://github.com/DLu/oscar_data</t>
        </is>
      </c>
    </row>
    <row r="323">
      <c r="A323" t="inlineStr">
        <is>
          <t>F0319</t>
        </is>
      </c>
      <c r="B323" t="inlineStr">
        <is>
          <t>Transformers: Age of Extinction</t>
        </is>
      </c>
      <c r="C323" t="inlineStr">
        <is>
          <t>2014</t>
        </is>
      </c>
      <c r="D323" t="n">
        <v>0</v>
      </c>
      <c r="E323" t="n">
        <v>0</v>
      </c>
      <c r="G323" t="n">
        <v>0</v>
      </c>
      <c r="H323" t="n">
        <v>0</v>
      </c>
      <c r="I323" s="64" t="n"/>
      <c r="J323" s="64" t="n">
        <v>0</v>
      </c>
      <c r="K323" s="64" t="n">
        <v>0</v>
      </c>
      <c r="L323" s="64" t="n"/>
      <c r="M323" s="64" t="n">
        <v>0</v>
      </c>
      <c r="N323" s="64" t="n">
        <v>0</v>
      </c>
      <c r="O323" s="64" t="n"/>
      <c r="P323" s="64" t="n"/>
      <c r="Q323" s="64" t="n"/>
      <c r="R323" s="64" t="inlineStr">
        <is>
          <t>https://github.com/DLu/oscar_data</t>
        </is>
      </c>
    </row>
    <row r="324">
      <c r="A324" t="inlineStr">
        <is>
          <t>F0320</t>
        </is>
      </c>
      <c r="B324" t="inlineStr">
        <is>
          <t>Transformers: The Last Knight</t>
        </is>
      </c>
      <c r="C324" t="inlineStr">
        <is>
          <t>2017</t>
        </is>
      </c>
      <c r="D324" t="n">
        <v>0</v>
      </c>
      <c r="E324" t="n">
        <v>0</v>
      </c>
      <c r="G324" t="n">
        <v>0</v>
      </c>
      <c r="H324" t="n">
        <v>0</v>
      </c>
      <c r="I324" s="64" t="n"/>
      <c r="J324" s="64" t="n">
        <v>0</v>
      </c>
      <c r="K324" s="64" t="n">
        <v>0</v>
      </c>
      <c r="L324" s="64" t="n"/>
      <c r="M324" s="64" t="n">
        <v>0</v>
      </c>
      <c r="N324" s="64" t="n">
        <v>0</v>
      </c>
      <c r="O324" s="64" t="n"/>
      <c r="P324" s="64" t="n"/>
      <c r="Q324" s="64" t="n"/>
      <c r="R324" s="64" t="inlineStr">
        <is>
          <t>https://github.com/DLu/oscar_data</t>
        </is>
      </c>
    </row>
    <row r="325">
      <c r="A325" t="inlineStr">
        <is>
          <t>F0321</t>
        </is>
      </c>
      <c r="B325" t="inlineStr">
        <is>
          <t>Transformers: Rise of the Beasts</t>
        </is>
      </c>
      <c r="C325" t="inlineStr">
        <is>
          <t>2023</t>
        </is>
      </c>
      <c r="D325" t="n">
        <v>0</v>
      </c>
      <c r="E325" t="n">
        <v>0</v>
      </c>
      <c r="G325" t="n">
        <v>0</v>
      </c>
      <c r="H325" t="n">
        <v>0</v>
      </c>
      <c r="I325" s="64" t="n"/>
      <c r="J325" s="64" t="n">
        <v>0</v>
      </c>
      <c r="K325" s="64" t="n">
        <v>0</v>
      </c>
      <c r="L325" s="64" t="n"/>
      <c r="M325" s="64" t="n">
        <v>0</v>
      </c>
      <c r="N325" s="64" t="n">
        <v>0</v>
      </c>
      <c r="O325" s="64" t="n"/>
      <c r="P325" s="64" t="n"/>
      <c r="Q325" s="64" t="n"/>
      <c r="R325" s="64" t="inlineStr">
        <is>
          <t>https://github.com/DLu/oscar_data</t>
        </is>
      </c>
    </row>
    <row r="326">
      <c r="A326" t="inlineStr">
        <is>
          <t>F0322</t>
        </is>
      </c>
      <c r="B326" t="inlineStr">
        <is>
          <t>The Transformers: The Movie</t>
        </is>
      </c>
      <c r="C326" t="inlineStr">
        <is>
          <t>1986</t>
        </is>
      </c>
      <c r="D326" t="n">
        <v>0</v>
      </c>
      <c r="E326" t="n">
        <v>0</v>
      </c>
      <c r="G326" t="n">
        <v>0</v>
      </c>
      <c r="H326" t="n">
        <v>0</v>
      </c>
      <c r="I326" s="64" t="n"/>
      <c r="J326" s="64" t="n">
        <v>0</v>
      </c>
      <c r="K326" s="64" t="n">
        <v>0</v>
      </c>
      <c r="L326" s="64" t="n"/>
      <c r="M326" s="64" t="n">
        <v>0</v>
      </c>
      <c r="N326" s="64" t="n">
        <v>0</v>
      </c>
      <c r="O326" s="64" t="n"/>
      <c r="P326" s="64" t="n"/>
      <c r="Q326" s="64" t="n"/>
      <c r="R326" s="64" t="inlineStr">
        <is>
          <t>https://github.com/DLu/oscar_data</t>
        </is>
      </c>
    </row>
    <row r="327">
      <c r="A327" t="inlineStr">
        <is>
          <t>F0323</t>
        </is>
      </c>
      <c r="B327" t="inlineStr">
        <is>
          <t>The Transporter Refueled</t>
        </is>
      </c>
      <c r="C327" t="inlineStr">
        <is>
          <t>2015</t>
        </is>
      </c>
      <c r="D327" t="n">
        <v>0</v>
      </c>
      <c r="E327" t="n">
        <v>0</v>
      </c>
      <c r="G327" t="n">
        <v>0</v>
      </c>
      <c r="H327" t="n">
        <v>0</v>
      </c>
      <c r="I327" s="64" t="n"/>
      <c r="J327" s="64" t="n">
        <v>0</v>
      </c>
      <c r="K327" s="64" t="n">
        <v>0</v>
      </c>
      <c r="L327" s="64" t="n"/>
      <c r="M327" s="64" t="n">
        <v>0</v>
      </c>
      <c r="N327" s="64" t="n">
        <v>0</v>
      </c>
      <c r="O327" s="64" t="n"/>
      <c r="P327" s="64" t="n"/>
      <c r="Q327" s="64" t="n"/>
      <c r="R327" s="64" t="inlineStr">
        <is>
          <t>https://github.com/DLu/oscar_data</t>
        </is>
      </c>
    </row>
    <row r="328">
      <c r="A328" t="inlineStr">
        <is>
          <t>F0324</t>
        </is>
      </c>
      <c r="B328" t="inlineStr">
        <is>
          <t>Tropic Thunder</t>
        </is>
      </c>
      <c r="C328" t="inlineStr">
        <is>
          <t>2008</t>
        </is>
      </c>
      <c r="D328" t="n">
        <v>1</v>
      </c>
      <c r="E328" t="n">
        <v>0</v>
      </c>
      <c r="G328" t="n">
        <v>1</v>
      </c>
      <c r="H328" t="n">
        <v>0</v>
      </c>
      <c r="I328" s="64" t="n"/>
      <c r="J328" s="64" t="n">
        <v>0</v>
      </c>
      <c r="K328" s="64" t="n">
        <v>0</v>
      </c>
      <c r="L328" s="64" t="n"/>
      <c r="M328" s="64" t="n">
        <v>0</v>
      </c>
      <c r="N328" s="64" t="n">
        <v>0</v>
      </c>
      <c r="O328" s="64" t="n"/>
      <c r="P328" s="64" t="n"/>
      <c r="Q328" s="64" t="inlineStr">
        <is>
          <t>ACTOR IN A SUPPORTING ROLE</t>
        </is>
      </c>
      <c r="R328" s="64" t="inlineStr">
        <is>
          <t>https://github.com/DLu/oscar_data</t>
        </is>
      </c>
    </row>
    <row r="329" ht="60" customHeight="1" s="95">
      <c r="A329" t="inlineStr">
        <is>
          <t>F0325</t>
        </is>
      </c>
      <c r="B329" t="inlineStr">
        <is>
          <t>True Grit</t>
        </is>
      </c>
      <c r="C329" t="inlineStr">
        <is>
          <t>2010</t>
        </is>
      </c>
      <c r="D329" t="n">
        <v>10</v>
      </c>
      <c r="E329" t="n">
        <v>0</v>
      </c>
      <c r="F329" t="inlineStr">
        <is>
          <t>Nominated</t>
        </is>
      </c>
      <c r="G329" t="n">
        <v>2</v>
      </c>
      <c r="H329" t="n">
        <v>0</v>
      </c>
      <c r="I329" s="64" t="n"/>
      <c r="J329" s="64" t="n">
        <v>1</v>
      </c>
      <c r="K329" s="64" t="n">
        <v>0</v>
      </c>
      <c r="L329" s="64" t="n"/>
      <c r="M329" s="64" t="n">
        <v>1</v>
      </c>
      <c r="N329" s="64" t="n">
        <v>0</v>
      </c>
      <c r="O329" s="64" t="n"/>
      <c r="P329" s="64" t="n"/>
      <c r="Q329" s="64" t="inlineStr">
        <is>
          <t>ACTOR IN A LEADING ROLE; ACTRESS IN A SUPPORTING ROLE; ART DIRECTION; CINEMATOGRAPHY; COSTUME DESIGN; DIRECTING; BEST PICTURE; SOUND EDITING; SOUND MIXING; WRITING (Adapted Screenplay)</t>
        </is>
      </c>
      <c r="R329" s="64" t="inlineStr">
        <is>
          <t>https://github.com/DLu/oscar_data</t>
        </is>
      </c>
    </row>
    <row r="330">
      <c r="A330" t="inlineStr">
        <is>
          <t>F0326</t>
        </is>
      </c>
      <c r="B330" t="inlineStr">
        <is>
          <t>Underworld: Evolution</t>
        </is>
      </c>
      <c r="C330" t="inlineStr">
        <is>
          <t>2006</t>
        </is>
      </c>
      <c r="D330" t="n">
        <v>0</v>
      </c>
      <c r="E330" t="n">
        <v>0</v>
      </c>
      <c r="G330" t="n">
        <v>0</v>
      </c>
      <c r="H330" t="n">
        <v>0</v>
      </c>
      <c r="I330" s="64" t="n"/>
      <c r="J330" s="64" t="n">
        <v>0</v>
      </c>
      <c r="K330" s="64" t="n">
        <v>0</v>
      </c>
      <c r="L330" s="64" t="n"/>
      <c r="M330" s="64" t="n">
        <v>0</v>
      </c>
      <c r="N330" s="64" t="n">
        <v>0</v>
      </c>
      <c r="O330" s="64" t="n"/>
      <c r="P330" s="64" t="n"/>
      <c r="Q330" s="64" t="n"/>
      <c r="R330" s="64" t="inlineStr">
        <is>
          <t>https://github.com/DLu/oscar_data</t>
        </is>
      </c>
    </row>
    <row r="331">
      <c r="A331" t="inlineStr">
        <is>
          <t>F0327</t>
        </is>
      </c>
      <c r="B331" t="inlineStr">
        <is>
          <t>Underworld: Rise of the Lycans</t>
        </is>
      </c>
      <c r="C331" t="inlineStr">
        <is>
          <t>2009</t>
        </is>
      </c>
      <c r="D331" t="n">
        <v>0</v>
      </c>
      <c r="E331" t="n">
        <v>0</v>
      </c>
      <c r="G331" t="n">
        <v>0</v>
      </c>
      <c r="H331" t="n">
        <v>0</v>
      </c>
      <c r="I331" s="64" t="n"/>
      <c r="J331" s="64" t="n">
        <v>0</v>
      </c>
      <c r="K331" s="64" t="n">
        <v>0</v>
      </c>
      <c r="L331" s="64" t="n"/>
      <c r="M331" s="64" t="n">
        <v>0</v>
      </c>
      <c r="N331" s="64" t="n">
        <v>0</v>
      </c>
      <c r="O331" s="64" t="n"/>
      <c r="P331" s="64" t="n"/>
      <c r="Q331" s="64" t="n"/>
      <c r="R331" s="64" t="inlineStr">
        <is>
          <t>https://github.com/DLu/oscar_data</t>
        </is>
      </c>
    </row>
    <row r="332">
      <c r="A332" t="inlineStr">
        <is>
          <t>F0328</t>
        </is>
      </c>
      <c r="B332" t="inlineStr">
        <is>
          <t>Underworld: Awakening</t>
        </is>
      </c>
      <c r="C332" t="inlineStr">
        <is>
          <t>2012</t>
        </is>
      </c>
      <c r="D332" t="n">
        <v>0</v>
      </c>
      <c r="E332" t="n">
        <v>0</v>
      </c>
      <c r="G332" t="n">
        <v>0</v>
      </c>
      <c r="H332" t="n">
        <v>0</v>
      </c>
      <c r="I332" s="64" t="n"/>
      <c r="J332" s="64" t="n">
        <v>0</v>
      </c>
      <c r="K332" s="64" t="n">
        <v>0</v>
      </c>
      <c r="L332" s="64" t="n"/>
      <c r="M332" s="64" t="n">
        <v>0</v>
      </c>
      <c r="N332" s="64" t="n">
        <v>0</v>
      </c>
      <c r="O332" s="64" t="n"/>
      <c r="P332" s="64" t="n"/>
      <c r="Q332" s="64" t="n"/>
      <c r="R332" s="64" t="inlineStr">
        <is>
          <t>https://github.com/DLu/oscar_data</t>
        </is>
      </c>
    </row>
    <row r="333">
      <c r="A333" t="inlineStr">
        <is>
          <t>F0329</t>
        </is>
      </c>
      <c r="B333" t="inlineStr">
        <is>
          <t>Unknown</t>
        </is>
      </c>
      <c r="C333" t="inlineStr">
        <is>
          <t>2011</t>
        </is>
      </c>
      <c r="D333" t="n">
        <v>0</v>
      </c>
      <c r="E333" t="n">
        <v>0</v>
      </c>
      <c r="G333" t="n">
        <v>0</v>
      </c>
      <c r="H333" t="n">
        <v>0</v>
      </c>
      <c r="I333" s="64" t="n"/>
      <c r="J333" s="64" t="n">
        <v>0</v>
      </c>
      <c r="K333" s="64" t="n">
        <v>0</v>
      </c>
      <c r="L333" s="64" t="n"/>
      <c r="M333" s="64" t="n">
        <v>0</v>
      </c>
      <c r="N333" s="64" t="n">
        <v>0</v>
      </c>
      <c r="O333" s="64" t="n"/>
      <c r="P333" s="64" t="n"/>
      <c r="Q333" s="64" t="n"/>
      <c r="R333" s="64" t="inlineStr">
        <is>
          <t>https://github.com/DLu/oscar_data</t>
        </is>
      </c>
    </row>
    <row r="334" ht="30" customHeight="1" s="95">
      <c r="A334" t="inlineStr">
        <is>
          <t>F0330</t>
        </is>
      </c>
      <c r="B334" t="inlineStr">
        <is>
          <t>Up</t>
        </is>
      </c>
      <c r="C334" t="inlineStr">
        <is>
          <t>2009</t>
        </is>
      </c>
      <c r="D334" t="n">
        <v>5</v>
      </c>
      <c r="E334" t="n">
        <v>2</v>
      </c>
      <c r="F334" t="inlineStr">
        <is>
          <t>Nominated</t>
        </is>
      </c>
      <c r="G334" t="n">
        <v>0</v>
      </c>
      <c r="H334" t="n">
        <v>0</v>
      </c>
      <c r="I334" s="64" t="n"/>
      <c r="J334" s="64" t="n">
        <v>0</v>
      </c>
      <c r="K334" s="64" t="n">
        <v>0</v>
      </c>
      <c r="L334" s="64" t="n"/>
      <c r="M334" s="64" t="n">
        <v>1</v>
      </c>
      <c r="N334" s="64" t="n">
        <v>0</v>
      </c>
      <c r="O334" s="64" t="inlineStr">
        <is>
          <t>Winner</t>
        </is>
      </c>
      <c r="P334" s="64" t="inlineStr">
        <is>
          <t>ANIMATED FEATURE FILM; MUSIC (Original Score)</t>
        </is>
      </c>
      <c r="Q334" s="64" t="inlineStr">
        <is>
          <t>ANIMATED FEATURE FILM; MUSIC (Original Score); BEST PICTURE; SOUND EDITING; WRITING (Original Screenplay)</t>
        </is>
      </c>
      <c r="R334" s="64" t="inlineStr">
        <is>
          <t>https://github.com/DLu/oscar_data</t>
        </is>
      </c>
    </row>
    <row r="335" ht="45" customHeight="1" s="95">
      <c r="A335" t="inlineStr">
        <is>
          <t>F0331</t>
        </is>
      </c>
      <c r="B335" t="inlineStr">
        <is>
          <t>WALL·E</t>
        </is>
      </c>
      <c r="C335" t="inlineStr">
        <is>
          <t>2008</t>
        </is>
      </c>
      <c r="D335" t="n">
        <v>6</v>
      </c>
      <c r="E335" t="n">
        <v>1</v>
      </c>
      <c r="G335" t="n">
        <v>0</v>
      </c>
      <c r="H335" t="n">
        <v>0</v>
      </c>
      <c r="I335" s="64" t="n"/>
      <c r="J335" s="64" t="n">
        <v>0</v>
      </c>
      <c r="K335" s="64" t="n">
        <v>0</v>
      </c>
      <c r="L335" s="64" t="n"/>
      <c r="M335" s="64" t="n">
        <v>1</v>
      </c>
      <c r="N335" s="64" t="n">
        <v>0</v>
      </c>
      <c r="O335" s="64" t="inlineStr">
        <is>
          <t>Winner</t>
        </is>
      </c>
      <c r="P335" s="64" t="inlineStr">
        <is>
          <t>ANIMATED FEATURE FILM</t>
        </is>
      </c>
      <c r="Q335" s="64" t="inlineStr">
        <is>
          <t>ANIMATED FEATURE FILM; MUSIC (Original Score); MUSIC (Original Song); SOUND EDITING; SOUND MIXING; WRITING (Original Screenplay)</t>
        </is>
      </c>
      <c r="R335" s="64" t="inlineStr">
        <is>
          <t>https://github.com/DLu/oscar_data</t>
        </is>
      </c>
    </row>
    <row r="336">
      <c r="A336" t="inlineStr">
        <is>
          <t>F0332</t>
        </is>
      </c>
      <c r="B336" t="inlineStr">
        <is>
          <t>War of the Worlds</t>
        </is>
      </c>
      <c r="C336" t="inlineStr">
        <is>
          <t>2005</t>
        </is>
      </c>
      <c r="D336" t="n">
        <v>3</v>
      </c>
      <c r="E336" t="n">
        <v>0</v>
      </c>
      <c r="G336" t="n">
        <v>0</v>
      </c>
      <c r="H336" t="n">
        <v>0</v>
      </c>
      <c r="I336" s="64" t="n"/>
      <c r="J336" s="64" t="n">
        <v>0</v>
      </c>
      <c r="K336" s="64" t="n">
        <v>0</v>
      </c>
      <c r="L336" s="64" t="n"/>
      <c r="M336" s="64" t="n">
        <v>0</v>
      </c>
      <c r="N336" s="64" t="n">
        <v>0</v>
      </c>
      <c r="O336" s="64" t="n"/>
      <c r="P336" s="64" t="n"/>
      <c r="Q336" s="64" t="inlineStr">
        <is>
          <t>SOUND EDITING; SOUND MIXING; VISUAL EFFECTS</t>
        </is>
      </c>
      <c r="R336" s="64" t="inlineStr">
        <is>
          <t>https://github.com/DLu/oscar_data</t>
        </is>
      </c>
    </row>
    <row r="337">
      <c r="A337" t="inlineStr">
        <is>
          <t>F0333</t>
        </is>
      </c>
      <c r="B337" t="inlineStr">
        <is>
          <t>Warrior</t>
        </is>
      </c>
      <c r="C337" t="inlineStr">
        <is>
          <t>2011</t>
        </is>
      </c>
      <c r="D337" t="n">
        <v>1</v>
      </c>
      <c r="E337" t="n">
        <v>0</v>
      </c>
      <c r="G337" t="n">
        <v>1</v>
      </c>
      <c r="H337" t="n">
        <v>0</v>
      </c>
      <c r="I337" s="64" t="n"/>
      <c r="J337" s="64" t="n">
        <v>0</v>
      </c>
      <c r="K337" s="64" t="n">
        <v>0</v>
      </c>
      <c r="L337" s="64" t="n"/>
      <c r="M337" s="64" t="n">
        <v>0</v>
      </c>
      <c r="N337" s="64" t="n">
        <v>0</v>
      </c>
      <c r="O337" s="64" t="n"/>
      <c r="P337" s="64" t="n"/>
      <c r="Q337" s="64" t="inlineStr">
        <is>
          <t>ACTOR IN A SUPPORTING ROLE</t>
        </is>
      </c>
      <c r="R337" s="64" t="inlineStr">
        <is>
          <t>https://github.com/DLu/oscar_data</t>
        </is>
      </c>
    </row>
    <row r="338">
      <c r="A338" t="inlineStr">
        <is>
          <t>F0334</t>
        </is>
      </c>
      <c r="B338" t="inlineStr">
        <is>
          <t>The Warriors</t>
        </is>
      </c>
      <c r="C338" t="inlineStr">
        <is>
          <t>1979</t>
        </is>
      </c>
      <c r="D338" t="n">
        <v>0</v>
      </c>
      <c r="E338" t="n">
        <v>0</v>
      </c>
      <c r="G338" t="n">
        <v>0</v>
      </c>
      <c r="H338" t="n">
        <v>0</v>
      </c>
      <c r="I338" s="64" t="n"/>
      <c r="J338" s="64" t="n">
        <v>0</v>
      </c>
      <c r="K338" s="64" t="n">
        <v>0</v>
      </c>
      <c r="L338" s="64" t="n"/>
      <c r="M338" s="64" t="n">
        <v>0</v>
      </c>
      <c r="N338" s="64" t="n">
        <v>0</v>
      </c>
      <c r="O338" s="64" t="n"/>
      <c r="P338" s="64" t="n"/>
      <c r="Q338" s="64" t="n"/>
      <c r="R338" s="64" t="inlineStr">
        <is>
          <t>https://github.com/DLu/oscar_data</t>
        </is>
      </c>
    </row>
    <row r="339">
      <c r="A339" t="inlineStr">
        <is>
          <t>F0335</t>
        </is>
      </c>
      <c r="B339" t="inlineStr">
        <is>
          <t>White House Down</t>
        </is>
      </c>
      <c r="C339" t="inlineStr">
        <is>
          <t>2013</t>
        </is>
      </c>
      <c r="D339" t="n">
        <v>0</v>
      </c>
      <c r="E339" t="n">
        <v>0</v>
      </c>
      <c r="G339" t="n">
        <v>0</v>
      </c>
      <c r="H339" t="n">
        <v>0</v>
      </c>
      <c r="I339" s="64" t="n"/>
      <c r="J339" s="64" t="n">
        <v>0</v>
      </c>
      <c r="K339" s="64" t="n">
        <v>0</v>
      </c>
      <c r="L339" s="64" t="n"/>
      <c r="M339" s="64" t="n">
        <v>0</v>
      </c>
      <c r="N339" s="64" t="n">
        <v>0</v>
      </c>
      <c r="O339" s="64" t="n"/>
      <c r="P339" s="64" t="n"/>
      <c r="Q339" s="64" t="n"/>
      <c r="R339" s="64" t="inlineStr">
        <is>
          <t>https://github.com/DLu/oscar_data</t>
        </is>
      </c>
    </row>
    <row r="340">
      <c r="A340" t="inlineStr">
        <is>
          <t>F0336</t>
        </is>
      </c>
      <c r="B340" t="inlineStr">
        <is>
          <t>Wreck-It Ralph</t>
        </is>
      </c>
      <c r="C340" t="inlineStr">
        <is>
          <t>2012</t>
        </is>
      </c>
      <c r="D340" t="n">
        <v>1</v>
      </c>
      <c r="E340" t="n">
        <v>0</v>
      </c>
      <c r="G340" t="n">
        <v>0</v>
      </c>
      <c r="H340" t="n">
        <v>0</v>
      </c>
      <c r="I340" s="64" t="n"/>
      <c r="J340" s="64" t="n">
        <v>0</v>
      </c>
      <c r="K340" s="64" t="n">
        <v>0</v>
      </c>
      <c r="L340" s="64" t="n"/>
      <c r="M340" s="64" t="n">
        <v>0</v>
      </c>
      <c r="N340" s="64" t="n">
        <v>0</v>
      </c>
      <c r="O340" s="64" t="inlineStr">
        <is>
          <t>Nominated</t>
        </is>
      </c>
      <c r="P340" s="64" t="n"/>
      <c r="Q340" s="64" t="inlineStr">
        <is>
          <t>ANIMATED FEATURE FILM</t>
        </is>
      </c>
      <c r="R340" s="64" t="inlineStr">
        <is>
          <t>https://github.com/DLu/oscar_data</t>
        </is>
      </c>
    </row>
    <row r="341">
      <c r="A341" t="inlineStr">
        <is>
          <t>F0337</t>
        </is>
      </c>
      <c r="B341" t="inlineStr">
        <is>
          <t>Ralph Breaks the Internet</t>
        </is>
      </c>
      <c r="C341" t="inlineStr">
        <is>
          <t>2018</t>
        </is>
      </c>
      <c r="D341" t="n">
        <v>1</v>
      </c>
      <c r="E341" t="n">
        <v>0</v>
      </c>
      <c r="G341" t="n">
        <v>0</v>
      </c>
      <c r="H341" t="n">
        <v>0</v>
      </c>
      <c r="I341" s="64" t="n"/>
      <c r="J341" s="64" t="n">
        <v>0</v>
      </c>
      <c r="K341" s="64" t="n">
        <v>0</v>
      </c>
      <c r="L341" s="64" t="n"/>
      <c r="M341" s="64" t="n">
        <v>0</v>
      </c>
      <c r="N341" s="64" t="n">
        <v>0</v>
      </c>
      <c r="O341" s="64" t="inlineStr">
        <is>
          <t>Nominated</t>
        </is>
      </c>
      <c r="P341" s="64" t="n"/>
      <c r="Q341" s="64" t="inlineStr">
        <is>
          <t>ANIMATED FEATURE FILM</t>
        </is>
      </c>
      <c r="R341" s="64" t="inlineStr">
        <is>
          <t>https://github.com/DLu/oscar_data</t>
        </is>
      </c>
    </row>
    <row r="342">
      <c r="A342" t="inlineStr">
        <is>
          <t>F0338</t>
        </is>
      </c>
      <c r="B342" t="inlineStr">
        <is>
          <t>Wonka</t>
        </is>
      </c>
      <c r="C342" t="inlineStr">
        <is>
          <t>2023</t>
        </is>
      </c>
      <c r="D342" t="n">
        <v>0</v>
      </c>
      <c r="E342" t="n">
        <v>0</v>
      </c>
      <c r="G342" t="n">
        <v>0</v>
      </c>
      <c r="H342" t="n">
        <v>0</v>
      </c>
      <c r="I342" s="64" t="n"/>
      <c r="J342" s="64" t="n">
        <v>0</v>
      </c>
      <c r="K342" s="64" t="n">
        <v>0</v>
      </c>
      <c r="L342" s="64" t="n"/>
      <c r="M342" s="64" t="n">
        <v>0</v>
      </c>
      <c r="N342" s="64" t="n">
        <v>0</v>
      </c>
      <c r="O342" s="64" t="n"/>
      <c r="P342" s="64" t="n"/>
      <c r="Q342" s="64" t="n"/>
      <c r="R342" s="64" t="inlineStr">
        <is>
          <t>https://github.com/DLu/oscar_data</t>
        </is>
      </c>
    </row>
    <row r="343">
      <c r="A343" t="inlineStr">
        <is>
          <t>F0339</t>
        </is>
      </c>
      <c r="B343" t="inlineStr">
        <is>
          <t>Willy Wonka &amp; the Chocolate Factory</t>
        </is>
      </c>
      <c r="C343" t="inlineStr">
        <is>
          <t>1971</t>
        </is>
      </c>
      <c r="D343" t="n">
        <v>1</v>
      </c>
      <c r="E343" t="n">
        <v>0</v>
      </c>
      <c r="G343" t="n">
        <v>0</v>
      </c>
      <c r="H343" t="n">
        <v>0</v>
      </c>
      <c r="I343" s="64" t="n"/>
      <c r="J343" s="64" t="n">
        <v>0</v>
      </c>
      <c r="K343" s="64" t="n">
        <v>0</v>
      </c>
      <c r="L343" s="64" t="n"/>
      <c r="M343" s="64" t="n">
        <v>0</v>
      </c>
      <c r="N343" s="64" t="n">
        <v>0</v>
      </c>
      <c r="O343" s="64" t="n"/>
      <c r="P343" s="64" t="n"/>
      <c r="Q343" s="64" t="inlineStr">
        <is>
          <t>MUSIC (Original Song Score or Adaptation Score)</t>
        </is>
      </c>
      <c r="R343" s="64" t="inlineStr">
        <is>
          <t>https://github.com/DLu/oscar_data</t>
        </is>
      </c>
    </row>
    <row r="344">
      <c r="A344" t="inlineStr">
        <is>
          <t>F0340</t>
        </is>
      </c>
      <c r="B344" t="inlineStr">
        <is>
          <t>X-Men: First Class</t>
        </is>
      </c>
      <c r="C344" t="inlineStr">
        <is>
          <t>2011</t>
        </is>
      </c>
      <c r="D344" t="n">
        <v>0</v>
      </c>
      <c r="E344" t="n">
        <v>0</v>
      </c>
      <c r="G344" t="n">
        <v>0</v>
      </c>
      <c r="H344" t="n">
        <v>0</v>
      </c>
      <c r="I344" s="64" t="n"/>
      <c r="J344" s="64" t="n">
        <v>0</v>
      </c>
      <c r="K344" s="64" t="n">
        <v>0</v>
      </c>
      <c r="L344" s="64" t="n"/>
      <c r="M344" s="64" t="n">
        <v>0</v>
      </c>
      <c r="N344" s="64" t="n">
        <v>0</v>
      </c>
      <c r="O344" s="64" t="n"/>
      <c r="P344" s="64" t="n"/>
      <c r="Q344" s="64" t="n"/>
      <c r="R344" s="64" t="inlineStr">
        <is>
          <t>https://github.com/DLu/oscar_data</t>
        </is>
      </c>
    </row>
    <row r="345">
      <c r="A345" t="inlineStr">
        <is>
          <t>F0341</t>
        </is>
      </c>
      <c r="B345" t="inlineStr">
        <is>
          <t>X-Men: Days of Future Past</t>
        </is>
      </c>
      <c r="C345" t="inlineStr">
        <is>
          <t>2014</t>
        </is>
      </c>
      <c r="D345" t="n">
        <v>1</v>
      </c>
      <c r="E345" t="n">
        <v>0</v>
      </c>
      <c r="G345" t="n">
        <v>0</v>
      </c>
      <c r="H345" t="n">
        <v>0</v>
      </c>
      <c r="I345" s="64" t="n"/>
      <c r="J345" s="64" t="n">
        <v>0</v>
      </c>
      <c r="K345" s="64" t="n">
        <v>0</v>
      </c>
      <c r="L345" s="64" t="n"/>
      <c r="M345" s="64" t="n">
        <v>0</v>
      </c>
      <c r="N345" s="64" t="n">
        <v>0</v>
      </c>
      <c r="O345" s="64" t="n"/>
      <c r="P345" s="64" t="n"/>
      <c r="Q345" s="64" t="inlineStr">
        <is>
          <t>VISUAL EFFECTS</t>
        </is>
      </c>
      <c r="R345" s="64" t="inlineStr">
        <is>
          <t>https://github.com/DLu/oscar_data</t>
        </is>
      </c>
    </row>
    <row r="346">
      <c r="A346" t="inlineStr">
        <is>
          <t>F0342</t>
        </is>
      </c>
      <c r="B346" t="inlineStr">
        <is>
          <t>X-Men: Apocalypse</t>
        </is>
      </c>
      <c r="C346" t="inlineStr">
        <is>
          <t>2016</t>
        </is>
      </c>
      <c r="D346" t="n">
        <v>0</v>
      </c>
      <c r="E346" t="n">
        <v>0</v>
      </c>
      <c r="G346" t="n">
        <v>0</v>
      </c>
      <c r="H346" t="n">
        <v>0</v>
      </c>
      <c r="I346" s="64" t="n"/>
      <c r="J346" s="64" t="n">
        <v>0</v>
      </c>
      <c r="K346" s="64" t="n">
        <v>0</v>
      </c>
      <c r="L346" s="64" t="n"/>
      <c r="M346" s="64" t="n">
        <v>0</v>
      </c>
      <c r="N346" s="64" t="n">
        <v>0</v>
      </c>
      <c r="O346" s="64" t="n"/>
      <c r="P346" s="64" t="n"/>
      <c r="Q346" s="64" t="n"/>
      <c r="R346" s="64" t="inlineStr">
        <is>
          <t>https://github.com/DLu/oscar_data</t>
        </is>
      </c>
    </row>
    <row r="347">
      <c r="A347" t="inlineStr">
        <is>
          <t>F0343</t>
        </is>
      </c>
      <c r="B347" t="inlineStr">
        <is>
          <t>X-Men Origins: Wolverine</t>
        </is>
      </c>
      <c r="C347" t="inlineStr">
        <is>
          <t>2009</t>
        </is>
      </c>
      <c r="D347" t="n">
        <v>0</v>
      </c>
      <c r="E347" t="n">
        <v>0</v>
      </c>
      <c r="G347" t="n">
        <v>0</v>
      </c>
      <c r="H347" t="n">
        <v>0</v>
      </c>
      <c r="I347" s="64" t="n"/>
      <c r="J347" s="64" t="n">
        <v>0</v>
      </c>
      <c r="K347" s="64" t="n">
        <v>0</v>
      </c>
      <c r="L347" s="64" t="n"/>
      <c r="M347" s="64" t="n">
        <v>0</v>
      </c>
      <c r="N347" s="64" t="n">
        <v>0</v>
      </c>
      <c r="O347" s="64" t="n"/>
      <c r="P347" s="64" t="n"/>
      <c r="Q347" s="64" t="n"/>
      <c r="R347" s="64" t="inlineStr">
        <is>
          <t>https://github.com/DLu/oscar_data</t>
        </is>
      </c>
    </row>
    <row r="348">
      <c r="A348" t="inlineStr">
        <is>
          <t>F0344</t>
        </is>
      </c>
      <c r="B348" t="inlineStr">
        <is>
          <t>X-Men</t>
        </is>
      </c>
      <c r="C348" t="inlineStr">
        <is>
          <t>2000</t>
        </is>
      </c>
      <c r="D348" t="n">
        <v>0</v>
      </c>
      <c r="E348" t="n">
        <v>0</v>
      </c>
      <c r="G348" t="n">
        <v>0</v>
      </c>
      <c r="H348" t="n">
        <v>0</v>
      </c>
      <c r="I348" s="64" t="n"/>
      <c r="J348" s="64" t="n">
        <v>0</v>
      </c>
      <c r="K348" s="64" t="n">
        <v>0</v>
      </c>
      <c r="L348" s="64" t="n"/>
      <c r="M348" s="64" t="n">
        <v>0</v>
      </c>
      <c r="N348" s="64" t="n">
        <v>0</v>
      </c>
      <c r="O348" s="64" t="n"/>
      <c r="P348" s="64" t="n"/>
      <c r="Q348" s="64" t="n"/>
      <c r="R348" s="64" t="inlineStr">
        <is>
          <t>https://github.com/DLu/oscar_data</t>
        </is>
      </c>
    </row>
    <row r="349">
      <c r="A349" t="inlineStr">
        <is>
          <t>F0345</t>
        </is>
      </c>
      <c r="B349" t="inlineStr">
        <is>
          <t>X2: X-Men United</t>
        </is>
      </c>
      <c r="C349" t="inlineStr">
        <is>
          <t>2003</t>
        </is>
      </c>
      <c r="D349" t="n">
        <v>0</v>
      </c>
      <c r="E349" t="n">
        <v>0</v>
      </c>
      <c r="G349" t="n">
        <v>0</v>
      </c>
      <c r="H349" t="n">
        <v>0</v>
      </c>
      <c r="I349" s="64" t="n"/>
      <c r="J349" s="64" t="n">
        <v>0</v>
      </c>
      <c r="K349" s="64" t="n">
        <v>0</v>
      </c>
      <c r="L349" s="64" t="n"/>
      <c r="M349" s="64" t="n">
        <v>0</v>
      </c>
      <c r="N349" s="64" t="n">
        <v>0</v>
      </c>
      <c r="O349" s="64" t="n"/>
      <c r="P349" s="64" t="n"/>
      <c r="Q349" s="64" t="n"/>
      <c r="R349" s="64" t="inlineStr">
        <is>
          <t>https://github.com/DLu/oscar_data</t>
        </is>
      </c>
    </row>
    <row r="350">
      <c r="A350" t="inlineStr">
        <is>
          <t>F0346</t>
        </is>
      </c>
      <c r="B350" t="inlineStr">
        <is>
          <t>X-Men: The Last Stand</t>
        </is>
      </c>
      <c r="C350" t="inlineStr">
        <is>
          <t>2006</t>
        </is>
      </c>
      <c r="D350" t="n">
        <v>0</v>
      </c>
      <c r="E350" t="n">
        <v>0</v>
      </c>
      <c r="G350" t="n">
        <v>0</v>
      </c>
      <c r="H350" t="n">
        <v>0</v>
      </c>
      <c r="I350" s="64" t="n"/>
      <c r="J350" s="64" t="n">
        <v>0</v>
      </c>
      <c r="K350" s="64" t="n">
        <v>0</v>
      </c>
      <c r="L350" s="64" t="n"/>
      <c r="M350" s="64" t="n">
        <v>0</v>
      </c>
      <c r="N350" s="64" t="n">
        <v>0</v>
      </c>
      <c r="O350" s="64" t="n"/>
      <c r="P350" s="64" t="n"/>
      <c r="Q350" s="64" t="n"/>
      <c r="R350" s="64" t="inlineStr">
        <is>
          <t>https://github.com/DLu/oscar_data</t>
        </is>
      </c>
    </row>
    <row r="351">
      <c r="A351" t="inlineStr">
        <is>
          <t>F0347</t>
        </is>
      </c>
      <c r="B351" t="inlineStr">
        <is>
          <t>The Wolverine</t>
        </is>
      </c>
      <c r="C351" t="inlineStr">
        <is>
          <t>2013</t>
        </is>
      </c>
      <c r="D351" t="n">
        <v>0</v>
      </c>
      <c r="E351" t="n">
        <v>0</v>
      </c>
      <c r="G351" t="n">
        <v>0</v>
      </c>
      <c r="H351" t="n">
        <v>0</v>
      </c>
      <c r="I351" s="64" t="n"/>
      <c r="J351" s="64" t="n">
        <v>0</v>
      </c>
      <c r="K351" s="64" t="n">
        <v>0</v>
      </c>
      <c r="L351" s="64" t="n"/>
      <c r="M351" s="64" t="n">
        <v>0</v>
      </c>
      <c r="N351" s="64" t="n">
        <v>0</v>
      </c>
      <c r="O351" s="64" t="n"/>
      <c r="P351" s="64" t="n"/>
      <c r="Q351" s="64" t="n"/>
      <c r="R351" s="64" t="inlineStr">
        <is>
          <t>https://github.com/DLu/oscar_data</t>
        </is>
      </c>
    </row>
    <row r="352">
      <c r="A352" t="inlineStr">
        <is>
          <t>F0348</t>
        </is>
      </c>
      <c r="B352" t="inlineStr">
        <is>
          <t>Yogi Bear</t>
        </is>
      </c>
      <c r="C352" t="inlineStr">
        <is>
          <t>2010</t>
        </is>
      </c>
      <c r="D352" t="n">
        <v>0</v>
      </c>
      <c r="E352" t="n">
        <v>0</v>
      </c>
      <c r="G352" t="n">
        <v>0</v>
      </c>
      <c r="H352" t="n">
        <v>0</v>
      </c>
      <c r="I352" s="64" t="n"/>
      <c r="J352" s="64" t="n">
        <v>0</v>
      </c>
      <c r="K352" s="64" t="n">
        <v>0</v>
      </c>
      <c r="L352" s="64" t="n"/>
      <c r="M352" s="64" t="n">
        <v>0</v>
      </c>
      <c r="N352" s="64" t="n">
        <v>0</v>
      </c>
      <c r="O352" s="64" t="n"/>
      <c r="P352" s="64" t="n"/>
      <c r="Q352" s="64" t="n"/>
      <c r="R352" s="64" t="inlineStr">
        <is>
          <t>https://github.com/DLu/oscar_data</t>
        </is>
      </c>
    </row>
    <row r="353" ht="30" customHeight="1" s="95">
      <c r="A353" t="inlineStr">
        <is>
          <t>F0349</t>
        </is>
      </c>
      <c r="B353" t="inlineStr">
        <is>
          <t>Zero Dark Thirty</t>
        </is>
      </c>
      <c r="C353" t="inlineStr">
        <is>
          <t>2012</t>
        </is>
      </c>
      <c r="D353" t="n">
        <v>5</v>
      </c>
      <c r="E353" t="n">
        <v>1</v>
      </c>
      <c r="F353" t="inlineStr">
        <is>
          <t>Nominated</t>
        </is>
      </c>
      <c r="G353" t="n">
        <v>1</v>
      </c>
      <c r="H353" t="n">
        <v>0</v>
      </c>
      <c r="I353" s="64" t="n"/>
      <c r="J353" s="64" t="n">
        <v>0</v>
      </c>
      <c r="K353" s="64" t="n">
        <v>0</v>
      </c>
      <c r="L353" s="64" t="n"/>
      <c r="M353" s="64" t="n">
        <v>1</v>
      </c>
      <c r="N353" s="64" t="n">
        <v>0</v>
      </c>
      <c r="O353" s="64" t="n"/>
      <c r="P353" s="64" t="inlineStr">
        <is>
          <t>SOUND EDITING</t>
        </is>
      </c>
      <c r="Q353" s="64" t="inlineStr">
        <is>
          <t>ACTRESS IN A LEADING ROLE; FILM EDITING; BEST PICTURE; SOUND EDITING; WRITING (Original Screenplay)</t>
        </is>
      </c>
      <c r="R353" s="64" t="inlineStr">
        <is>
          <t>https://github.com/DLu/oscar_data</t>
        </is>
      </c>
    </row>
    <row r="354">
      <c r="A354" s="65" t="inlineStr">
        <is>
          <t>F0350</t>
        </is>
      </c>
      <c r="B354" s="65" t="inlineStr">
        <is>
          <t>Zodiac</t>
        </is>
      </c>
      <c r="C354" s="65" t="inlineStr">
        <is>
          <t>2007</t>
        </is>
      </c>
      <c r="D354" s="65" t="n">
        <v>0</v>
      </c>
      <c r="E354" s="65" t="n">
        <v>0</v>
      </c>
      <c r="F354" s="65" t="n"/>
      <c r="G354" s="65" t="n">
        <v>0</v>
      </c>
      <c r="H354" s="65" t="n">
        <v>0</v>
      </c>
      <c r="I354" s="68" t="n"/>
      <c r="J354" s="68" t="n">
        <v>0</v>
      </c>
      <c r="K354" s="68" t="n">
        <v>0</v>
      </c>
      <c r="L354" s="68" t="n"/>
      <c r="M354" s="68" t="n">
        <v>0</v>
      </c>
      <c r="N354" s="68" t="n">
        <v>0</v>
      </c>
      <c r="O354" s="68" t="n"/>
      <c r="P354" s="68" t="n"/>
      <c r="Q354" s="68" t="n"/>
      <c r="R354" s="68" t="inlineStr">
        <is>
          <t>https://github.com/DLu/oscar_data</t>
        </is>
      </c>
    </row>
  </sheetData>
  <mergeCells count="2">
    <mergeCell ref="A2:R2"/>
    <mergeCell ref="A1:R1"/>
  </mergeCells>
  <conditionalFormatting sqref="E5:E354">
    <cfRule type="dataBar" priority="1">
      <dataBar>
        <cfvo type="min"/>
        <cfvo type="max"/>
        <color rgb="FFD7B56D"/>
      </dataBar>
    </cfRule>
  </conditionalFormatting>
  <conditionalFormatting sqref="F5:F354">
    <cfRule type="expression" priority="2" dxfId="4">
      <formula>F5="Winner"</formula>
    </cfRule>
    <cfRule type="expression" priority="3" dxfId="5">
      <formula>F5="Nominated"</formula>
    </cfRule>
  </conditionalFormatting>
  <conditionalFormatting sqref="O5:O354">
    <cfRule type="expression" priority="4" dxfId="4">
      <formula>O5="Winner"</formula>
    </cfRule>
  </conditionalFormatting>
  <pageMargins left="0.7" right="0.7" top="0.75" bottom="0.75" header="0.3" footer="0.3"/>
  <tableParts count="1">
    <tablePart xmlns:r="http://schemas.openxmlformats.org/officeDocument/2006/relationships" r:id="rId1"/>
  </tableParts>
</worksheet>
</file>

<file path=xl/worksheets/sheet8.xml><?xml version="1.0" encoding="utf-8"?>
<worksheet xmlns="http://schemas.openxmlformats.org/spreadsheetml/2006/main">
  <sheetPr>
    <outlinePr summaryBelow="1" summaryRight="1"/>
    <pageSetUpPr/>
  </sheetPr>
  <dimension ref="A1:R500"/>
  <sheetViews>
    <sheetView workbookViewId="0">
      <selection activeCell="A1" sqref="A1"/>
    </sheetView>
  </sheetViews>
  <sheetFormatPr baseColWidth="8" defaultRowHeight="15"/>
  <cols>
    <col width="10" customWidth="1" style="95" min="1" max="1"/>
    <col width="39" customWidth="1" style="95" min="2" max="2"/>
    <col width="8" customWidth="1" style="95" min="3" max="3"/>
    <col width="13" customWidth="1" style="95" min="4" max="4"/>
    <col width="10" customWidth="1" style="95" min="5" max="5"/>
    <col width="13" customWidth="1" style="95" min="6" max="6"/>
    <col width="12" customWidth="1" style="95" min="7" max="8"/>
    <col width="13" customWidth="1" style="95" min="9" max="9"/>
    <col width="14" customWidth="1" style="95" min="10" max="10"/>
    <col width="10" customWidth="1" style="95" min="11" max="11"/>
    <col width="14" customWidth="1" style="95" min="12" max="14"/>
    <col width="35" customWidth="1" style="95" min="15" max="15"/>
    <col width="37" customWidth="1" style="95" min="16" max="16"/>
    <col width="34" customWidth="1" style="95" min="17" max="17"/>
    <col width="35" customWidth="1" style="95" min="18" max="18"/>
  </cols>
  <sheetData>
    <row r="1" ht="23.25" customHeight="1" s="95">
      <c r="A1" s="99" t="inlineStr">
        <is>
          <t>⭐ RATINGS</t>
        </is>
      </c>
    </row>
    <row r="2">
      <c r="A2" s="100" t="inlineStr">
        <is>
          <t>One row per film. External scores are snapshots rather than live formulas; the search links make future checking/updating quick and keep the workbook reliable.</t>
        </is>
      </c>
    </row>
    <row r="4" ht="30" customHeight="1" s="95">
      <c r="A4" s="81" t="inlineStr">
        <is>
          <t>Film ID</t>
        </is>
      </c>
      <c r="B4" s="81" t="inlineStr">
        <is>
          <t>Title</t>
        </is>
      </c>
      <c r="C4" s="81" t="inlineStr">
        <is>
          <t>Year</t>
        </is>
      </c>
      <c r="D4" s="81" t="inlineStr">
        <is>
          <t>Your Rating /5</t>
        </is>
      </c>
      <c r="E4" s="81" t="inlineStr">
        <is>
          <t>IMDb /10</t>
        </is>
      </c>
      <c r="F4" s="81" t="inlineStr">
        <is>
          <t>IMDb Votes</t>
        </is>
      </c>
      <c r="G4" s="81" t="inlineStr">
        <is>
          <t>RT Critics %</t>
        </is>
      </c>
      <c r="H4" s="81" t="inlineStr">
        <is>
          <t>RT Audience %</t>
        </is>
      </c>
      <c r="I4" s="81" t="inlineStr">
        <is>
          <t>Letterboxd /5</t>
        </is>
      </c>
      <c r="J4" s="81" t="inlineStr">
        <is>
          <t>Metacritic /100</t>
        </is>
      </c>
      <c r="K4" s="81" t="inlineStr">
        <is>
          <t>TMDb /10</t>
        </is>
      </c>
      <c r="L4" s="81" t="inlineStr">
        <is>
          <t>Consensus /100</t>
        </is>
      </c>
      <c r="M4" s="81" t="inlineStr">
        <is>
          <t>Rating Status</t>
        </is>
      </c>
      <c r="N4" s="81" t="inlineStr">
        <is>
          <t>Last Checked</t>
        </is>
      </c>
      <c r="O4" s="81" t="inlineStr">
        <is>
          <t>IMDb Lookup</t>
        </is>
      </c>
      <c r="P4" s="81" t="inlineStr">
        <is>
          <t>Rotten Tomatoes Lookup</t>
        </is>
      </c>
      <c r="Q4" s="81" t="inlineStr">
        <is>
          <t>Letterboxd Lookup</t>
        </is>
      </c>
      <c r="R4" s="81" t="inlineStr">
        <is>
          <t>Metacritic Lookup</t>
        </is>
      </c>
    </row>
    <row r="5">
      <c r="A5" t="inlineStr">
        <is>
          <t>F0001</t>
        </is>
      </c>
      <c r="B5" t="inlineStr">
        <is>
          <t>Casino Royale</t>
        </is>
      </c>
      <c r="C5" s="63" t="inlineStr">
        <is>
          <t>2006</t>
        </is>
      </c>
      <c r="E5" s="82" t="n"/>
      <c r="F5" s="85" t="n"/>
      <c r="G5" s="71" t="n"/>
      <c r="H5" s="71" t="n"/>
      <c r="I5" s="83" t="n"/>
      <c r="J5" s="71" t="n"/>
      <c r="K5" s="82" t="n"/>
      <c r="L5" s="82">
        <f>IF(COUNT(E5,G5,H5,I5,J5,K5)=0,"",ROUND((IF(E5="",0,E5*10)+IF(G5="",0,G5)+IF(H5="",0,H5)+IF(I5="",0,I5*20)+IF(J5="",0,J5)+IF(K5="",0,K5*10))/COUNT(E5,G5,H5,I5,J5,K5),1))</f>
        <v/>
      </c>
      <c r="M5">
        <f>IF(L5="","",IF(L5&gt;=85,"Excellent",IF(L5&gt;=70,"Good",IF(L5&gt;=55,"Mixed","Poor"))))</f>
        <v/>
      </c>
      <c r="N5" s="66" t="n"/>
      <c r="O5" t="inlineStr">
        <is>
          <t>https://www.imdb.com/find/?q=Casino+Royale+2006</t>
        </is>
      </c>
      <c r="P5" t="inlineStr">
        <is>
          <t>https://www.rottentomatoes.com/search?search=Casino+Royale</t>
        </is>
      </c>
      <c r="Q5" t="inlineStr">
        <is>
          <t>https://letterboxd.com/search/Casino%20Royale/</t>
        </is>
      </c>
      <c r="R5" t="inlineStr">
        <is>
          <t>https://www.metacritic.com/search/Casino+Royale/</t>
        </is>
      </c>
    </row>
    <row r="6">
      <c r="A6" t="inlineStr">
        <is>
          <t>F0002</t>
        </is>
      </c>
      <c r="B6" t="inlineStr">
        <is>
          <t>Quantum of Solace</t>
        </is>
      </c>
      <c r="C6" s="63" t="inlineStr">
        <is>
          <t>2008</t>
        </is>
      </c>
      <c r="E6" s="82" t="n"/>
      <c r="F6" s="85" t="n"/>
      <c r="G6" s="71" t="n"/>
      <c r="H6" s="71" t="n"/>
      <c r="I6" s="83" t="n"/>
      <c r="J6" s="71" t="n"/>
      <c r="K6" s="82" t="n"/>
      <c r="L6" s="82">
        <f>IF(COUNT(E6,G6,H6,I6,J6,K6)=0,"",ROUND((IF(E6="",0,E6*10)+IF(G6="",0,G6)+IF(H6="",0,H6)+IF(I6="",0,I6*20)+IF(J6="",0,J6)+IF(K6="",0,K6*10))/COUNT(E6,G6,H6,I6,J6,K6),1))</f>
        <v/>
      </c>
      <c r="M6">
        <f>IF(L6="","",IF(L6&gt;=85,"Excellent",IF(L6&gt;=70,"Good",IF(L6&gt;=55,"Mixed","Poor"))))</f>
        <v/>
      </c>
      <c r="N6" s="66" t="n"/>
      <c r="O6" t="inlineStr">
        <is>
          <t>https://www.imdb.com/find/?q=Quantum+of+Solace+2008</t>
        </is>
      </c>
      <c r="P6" t="inlineStr">
        <is>
          <t>https://www.rottentomatoes.com/search?search=Quantum+of+Solace</t>
        </is>
      </c>
      <c r="Q6" t="inlineStr">
        <is>
          <t>https://letterboxd.com/search/Quantum%20of%20Solace/</t>
        </is>
      </c>
      <c r="R6" t="inlineStr">
        <is>
          <t>https://www.metacritic.com/search/Quantum+of+Solace/</t>
        </is>
      </c>
    </row>
    <row r="7">
      <c r="A7" t="inlineStr">
        <is>
          <t>F0003</t>
        </is>
      </c>
      <c r="B7" t="inlineStr">
        <is>
          <t>Skyfall</t>
        </is>
      </c>
      <c r="C7" s="63" t="inlineStr">
        <is>
          <t>2012</t>
        </is>
      </c>
      <c r="E7" s="82" t="n"/>
      <c r="F7" s="85" t="n"/>
      <c r="G7" s="71" t="n"/>
      <c r="H7" s="71" t="n"/>
      <c r="I7" s="83" t="n"/>
      <c r="J7" s="71" t="n"/>
      <c r="K7" s="82" t="n"/>
      <c r="L7" s="82">
        <f>IF(COUNT(E7,G7,H7,I7,J7,K7)=0,"",ROUND((IF(E7="",0,E7*10)+IF(G7="",0,G7)+IF(H7="",0,H7)+IF(I7="",0,I7*20)+IF(J7="",0,J7)+IF(K7="",0,K7*10))/COUNT(E7,G7,H7,I7,J7,K7),1))</f>
        <v/>
      </c>
      <c r="M7">
        <f>IF(L7="","",IF(L7&gt;=85,"Excellent",IF(L7&gt;=70,"Good",IF(L7&gt;=55,"Mixed","Poor"))))</f>
        <v/>
      </c>
      <c r="N7" s="66" t="n"/>
      <c r="O7" t="inlineStr">
        <is>
          <t>https://www.imdb.com/find/?q=Skyfall+2012</t>
        </is>
      </c>
      <c r="P7" t="inlineStr">
        <is>
          <t>https://www.rottentomatoes.com/search?search=Skyfall</t>
        </is>
      </c>
      <c r="Q7" t="inlineStr">
        <is>
          <t>https://letterboxd.com/search/Skyfall/</t>
        </is>
      </c>
      <c r="R7" t="inlineStr">
        <is>
          <t>https://www.metacritic.com/search/Skyfall/</t>
        </is>
      </c>
    </row>
    <row r="8">
      <c r="A8" t="inlineStr">
        <is>
          <t>F0004</t>
        </is>
      </c>
      <c r="B8" t="inlineStr">
        <is>
          <t>Spectre</t>
        </is>
      </c>
      <c r="C8" s="63" t="inlineStr">
        <is>
          <t>2015</t>
        </is>
      </c>
      <c r="E8" s="82" t="n"/>
      <c r="F8" s="85" t="n"/>
      <c r="G8" s="71" t="n"/>
      <c r="H8" s="71" t="n"/>
      <c r="I8" s="83" t="n"/>
      <c r="J8" s="71" t="n"/>
      <c r="K8" s="82" t="n"/>
      <c r="L8" s="82">
        <f>IF(COUNT(E8,G8,H8,I8,J8,K8)=0,"",ROUND((IF(E8="",0,E8*10)+IF(G8="",0,G8)+IF(H8="",0,H8)+IF(I8="",0,I8*20)+IF(J8="",0,J8)+IF(K8="",0,K8*10))/COUNT(E8,G8,H8,I8,J8,K8),1))</f>
        <v/>
      </c>
      <c r="M8">
        <f>IF(L8="","",IF(L8&gt;=85,"Excellent",IF(L8&gt;=70,"Good",IF(L8&gt;=55,"Mixed","Poor"))))</f>
        <v/>
      </c>
      <c r="N8" s="66" t="n"/>
      <c r="O8" t="inlineStr">
        <is>
          <t>https://www.imdb.com/find/?q=Spectre+2015</t>
        </is>
      </c>
      <c r="P8" t="inlineStr">
        <is>
          <t>https://www.rottentomatoes.com/search?search=Spectre</t>
        </is>
      </c>
      <c r="Q8" t="inlineStr">
        <is>
          <t>https://letterboxd.com/search/Spectre/</t>
        </is>
      </c>
      <c r="R8" t="inlineStr">
        <is>
          <t>https://www.metacritic.com/search/Spectre/</t>
        </is>
      </c>
    </row>
    <row r="9">
      <c r="A9" t="inlineStr">
        <is>
          <t>F0005</t>
        </is>
      </c>
      <c r="B9" t="inlineStr">
        <is>
          <t>No Time to Die</t>
        </is>
      </c>
      <c r="C9" s="63" t="inlineStr">
        <is>
          <t>2021</t>
        </is>
      </c>
      <c r="E9" s="82" t="n"/>
      <c r="F9" s="85" t="n"/>
      <c r="G9" s="71" t="n"/>
      <c r="H9" s="71" t="n"/>
      <c r="I9" s="83" t="n"/>
      <c r="J9" s="71" t="n"/>
      <c r="K9" s="82" t="n"/>
      <c r="L9" s="82">
        <f>IF(COUNT(E9,G9,H9,I9,J9,K9)=0,"",ROUND((IF(E9="",0,E9*10)+IF(G9="",0,G9)+IF(H9="",0,H9)+IF(I9="",0,I9*20)+IF(J9="",0,J9)+IF(K9="",0,K9*10))/COUNT(E9,G9,H9,I9,J9,K9),1))</f>
        <v/>
      </c>
      <c r="M9">
        <f>IF(L9="","",IF(L9&gt;=85,"Excellent",IF(L9&gt;=70,"Good",IF(L9&gt;=55,"Mixed","Poor"))))</f>
        <v/>
      </c>
      <c r="N9" s="66" t="n"/>
      <c r="O9" t="inlineStr">
        <is>
          <t>https://www.imdb.com/find/?q=No+Time+to+Die+2021</t>
        </is>
      </c>
      <c r="P9" t="inlineStr">
        <is>
          <t>https://www.rottentomatoes.com/search?search=No+Time+to+Die</t>
        </is>
      </c>
      <c r="Q9" t="inlineStr">
        <is>
          <t>https://letterboxd.com/search/No%20Time%20to%20Die/</t>
        </is>
      </c>
      <c r="R9" t="inlineStr">
        <is>
          <t>https://www.metacritic.com/search/No+Time+to+Die/</t>
        </is>
      </c>
    </row>
    <row r="10">
      <c r="A10" t="inlineStr">
        <is>
          <t>F0006</t>
        </is>
      </c>
      <c r="B10" t="inlineStr">
        <is>
          <t>2012</t>
        </is>
      </c>
      <c r="C10" s="63" t="inlineStr">
        <is>
          <t>2009</t>
        </is>
      </c>
      <c r="E10" s="82" t="n"/>
      <c r="F10" s="85" t="n"/>
      <c r="G10" s="71" t="n"/>
      <c r="H10" s="71" t="n"/>
      <c r="I10" s="83" t="n"/>
      <c r="J10" s="71" t="n"/>
      <c r="K10" s="82" t="n"/>
      <c r="L10" s="82">
        <f>IF(COUNT(E10,G10,H10,I10,J10,K10)=0,"",ROUND((IF(E10="",0,E10*10)+IF(G10="",0,G10)+IF(H10="",0,H10)+IF(I10="",0,I10*20)+IF(J10="",0,J10)+IF(K10="",0,K10*10))/COUNT(E10,G10,H10,I10,J10,K10),1))</f>
        <v/>
      </c>
      <c r="M10">
        <f>IF(L10="","",IF(L10&gt;=85,"Excellent",IF(L10&gt;=70,"Good",IF(L10&gt;=55,"Mixed","Poor"))))</f>
        <v/>
      </c>
      <c r="N10" s="66" t="n"/>
      <c r="O10" t="inlineStr">
        <is>
          <t>https://www.imdb.com/find/?q=2012+2009</t>
        </is>
      </c>
      <c r="P10" t="inlineStr">
        <is>
          <t>https://www.rottentomatoes.com/search?search=2012</t>
        </is>
      </c>
      <c r="Q10" t="inlineStr">
        <is>
          <t>https://letterboxd.com/search/2012/</t>
        </is>
      </c>
      <c r="R10" t="inlineStr">
        <is>
          <t>https://www.metacritic.com/search/2012/</t>
        </is>
      </c>
    </row>
    <row r="11">
      <c r="A11" t="inlineStr">
        <is>
          <t>F0007</t>
        </is>
      </c>
      <c r="B11" t="inlineStr">
        <is>
          <t>21 Jump Street</t>
        </is>
      </c>
      <c r="C11" s="63" t="inlineStr">
        <is>
          <t>2012</t>
        </is>
      </c>
      <c r="D11" t="n">
        <v>4</v>
      </c>
      <c r="E11" s="82" t="n"/>
      <c r="F11" s="85" t="n"/>
      <c r="G11" s="71" t="n"/>
      <c r="H11" s="71" t="n"/>
      <c r="I11" s="83" t="n"/>
      <c r="J11" s="71" t="n"/>
      <c r="K11" s="82" t="n"/>
      <c r="L11" s="82">
        <f>IF(COUNT(E11,G11,H11,I11,J11,K11)=0,"",ROUND((IF(E11="",0,E11*10)+IF(G11="",0,G11)+IF(H11="",0,H11)+IF(I11="",0,I11*20)+IF(J11="",0,J11)+IF(K11="",0,K11*10))/COUNT(E11,G11,H11,I11,J11,K11),1))</f>
        <v/>
      </c>
      <c r="M11">
        <f>IF(L11="","",IF(L11&gt;=85,"Excellent",IF(L11&gt;=70,"Good",IF(L11&gt;=55,"Mixed","Poor"))))</f>
        <v/>
      </c>
      <c r="N11" s="66" t="n"/>
      <c r="O11" t="inlineStr">
        <is>
          <t>https://www.imdb.com/find/?q=21+Jump+Street+2012</t>
        </is>
      </c>
      <c r="P11" t="inlineStr">
        <is>
          <t>https://www.rottentomatoes.com/search?search=21+Jump+Street</t>
        </is>
      </c>
      <c r="Q11" t="inlineStr">
        <is>
          <t>https://letterboxd.com/search/21%20Jump%20Street/</t>
        </is>
      </c>
      <c r="R11" t="inlineStr">
        <is>
          <t>https://www.metacritic.com/search/21+Jump+Street/</t>
        </is>
      </c>
    </row>
    <row r="12">
      <c r="A12" t="inlineStr">
        <is>
          <t>F0008</t>
        </is>
      </c>
      <c r="B12" t="inlineStr">
        <is>
          <t>22 Jump Street</t>
        </is>
      </c>
      <c r="C12" s="63" t="inlineStr">
        <is>
          <t>2014</t>
        </is>
      </c>
      <c r="E12" s="82" t="n"/>
      <c r="F12" s="85" t="n"/>
      <c r="G12" s="71" t="n"/>
      <c r="H12" s="71" t="n"/>
      <c r="I12" s="83" t="n"/>
      <c r="J12" s="71" t="n"/>
      <c r="K12" s="82" t="n"/>
      <c r="L12" s="82">
        <f>IF(COUNT(E12,G12,H12,I12,J12,K12)=0,"",ROUND((IF(E12="",0,E12*10)+IF(G12="",0,G12)+IF(H12="",0,H12)+IF(I12="",0,I12*20)+IF(J12="",0,J12)+IF(K12="",0,K12*10))/COUNT(E12,G12,H12,I12,J12,K12),1))</f>
        <v/>
      </c>
      <c r="M12">
        <f>IF(L12="","",IF(L12&gt;=85,"Excellent",IF(L12&gt;=70,"Good",IF(L12&gt;=55,"Mixed","Poor"))))</f>
        <v/>
      </c>
      <c r="N12" s="66" t="n"/>
      <c r="O12" t="inlineStr">
        <is>
          <t>https://www.imdb.com/find/?q=22+Jump+Street+2014</t>
        </is>
      </c>
      <c r="P12" t="inlineStr">
        <is>
          <t>https://www.rottentomatoes.com/search?search=22+Jump+Street</t>
        </is>
      </c>
      <c r="Q12" t="inlineStr">
        <is>
          <t>https://letterboxd.com/search/22%20Jump%20Street/</t>
        </is>
      </c>
      <c r="R12" t="inlineStr">
        <is>
          <t>https://www.metacritic.com/search/22+Jump+Street/</t>
        </is>
      </c>
    </row>
    <row r="13">
      <c r="A13" t="inlineStr">
        <is>
          <t>F0009</t>
        </is>
      </c>
      <c r="B13" t="inlineStr">
        <is>
          <t>30 Minutes or Less</t>
        </is>
      </c>
      <c r="C13" s="63" t="inlineStr">
        <is>
          <t>2011</t>
        </is>
      </c>
      <c r="E13" s="82" t="n"/>
      <c r="F13" s="85" t="n"/>
      <c r="G13" s="71" t="n"/>
      <c r="H13" s="71" t="n"/>
      <c r="I13" s="83" t="n"/>
      <c r="J13" s="71" t="n"/>
      <c r="K13" s="82" t="n"/>
      <c r="L13" s="82">
        <f>IF(COUNT(E13,G13,H13,I13,J13,K13)=0,"",ROUND((IF(E13="",0,E13*10)+IF(G13="",0,G13)+IF(H13="",0,H13)+IF(I13="",0,I13*20)+IF(J13="",0,J13)+IF(K13="",0,K13*10))/COUNT(E13,G13,H13,I13,J13,K13),1))</f>
        <v/>
      </c>
      <c r="M13">
        <f>IF(L13="","",IF(L13&gt;=85,"Excellent",IF(L13&gt;=70,"Good",IF(L13&gt;=55,"Mixed","Poor"))))</f>
        <v/>
      </c>
      <c r="N13" s="66" t="n"/>
      <c r="O13" t="inlineStr">
        <is>
          <t>https://www.imdb.com/find/?q=30+Minutes+or+Less+2011</t>
        </is>
      </c>
      <c r="P13" t="inlineStr">
        <is>
          <t>https://www.rottentomatoes.com/search?search=30+Minutes+or+Less</t>
        </is>
      </c>
      <c r="Q13" t="inlineStr">
        <is>
          <t>https://letterboxd.com/search/30%20Minutes%20or%20Less/</t>
        </is>
      </c>
      <c r="R13" t="inlineStr">
        <is>
          <t>https://www.metacritic.com/search/30+Minutes+or+Less/</t>
        </is>
      </c>
    </row>
    <row r="14">
      <c r="A14" t="inlineStr">
        <is>
          <t>F0010</t>
        </is>
      </c>
      <c r="B14" t="inlineStr">
        <is>
          <t>44 Inch Chest</t>
        </is>
      </c>
      <c r="C14" s="63" t="inlineStr">
        <is>
          <t>2009</t>
        </is>
      </c>
      <c r="E14" s="82" t="n"/>
      <c r="F14" s="85" t="n"/>
      <c r="G14" s="71" t="n"/>
      <c r="H14" s="71" t="n"/>
      <c r="I14" s="83" t="n"/>
      <c r="J14" s="71" t="n"/>
      <c r="K14" s="82" t="n"/>
      <c r="L14" s="82">
        <f>IF(COUNT(E14,G14,H14,I14,J14,K14)=0,"",ROUND((IF(E14="",0,E14*10)+IF(G14="",0,G14)+IF(H14="",0,H14)+IF(I14="",0,I14*20)+IF(J14="",0,J14)+IF(K14="",0,K14*10))/COUNT(E14,G14,H14,I14,J14,K14),1))</f>
        <v/>
      </c>
      <c r="M14">
        <f>IF(L14="","",IF(L14&gt;=85,"Excellent",IF(L14&gt;=70,"Good",IF(L14&gt;=55,"Mixed","Poor"))))</f>
        <v/>
      </c>
      <c r="N14" s="66" t="n"/>
      <c r="O14" t="inlineStr">
        <is>
          <t>https://www.imdb.com/find/?q=44+Inch+Chest+2009</t>
        </is>
      </c>
      <c r="P14" t="inlineStr">
        <is>
          <t>https://www.rottentomatoes.com/search?search=44+Inch+Chest</t>
        </is>
      </c>
      <c r="Q14" t="inlineStr">
        <is>
          <t>https://letterboxd.com/search/44%20Inch%20Chest/</t>
        </is>
      </c>
      <c r="R14" t="inlineStr">
        <is>
          <t>https://www.metacritic.com/search/44+Inch+Chest/</t>
        </is>
      </c>
    </row>
    <row r="15">
      <c r="A15" t="inlineStr">
        <is>
          <t>F0011</t>
        </is>
      </c>
      <c r="B15" t="inlineStr">
        <is>
          <t>50/50</t>
        </is>
      </c>
      <c r="C15" s="63" t="inlineStr">
        <is>
          <t>2011</t>
        </is>
      </c>
      <c r="E15" s="82" t="n"/>
      <c r="F15" s="85" t="n"/>
      <c r="G15" s="71" t="n"/>
      <c r="H15" s="71" t="n"/>
      <c r="I15" s="83" t="n"/>
      <c r="J15" s="71" t="n"/>
      <c r="K15" s="82" t="n"/>
      <c r="L15" s="82">
        <f>IF(COUNT(E15,G15,H15,I15,J15,K15)=0,"",ROUND((IF(E15="",0,E15*10)+IF(G15="",0,G15)+IF(H15="",0,H15)+IF(I15="",0,I15*20)+IF(J15="",0,J15)+IF(K15="",0,K15*10))/COUNT(E15,G15,H15,I15,J15,K15),1))</f>
        <v/>
      </c>
      <c r="M15">
        <f>IF(L15="","",IF(L15&gt;=85,"Excellent",IF(L15&gt;=70,"Good",IF(L15&gt;=55,"Mixed","Poor"))))</f>
        <v/>
      </c>
      <c r="N15" s="66" t="n"/>
      <c r="O15" t="inlineStr">
        <is>
          <t>https://www.imdb.com/find/?q=50%2F50+2011</t>
        </is>
      </c>
      <c r="P15" t="inlineStr">
        <is>
          <t>https://www.rottentomatoes.com/search?search=50%2F50</t>
        </is>
      </c>
      <c r="Q15" t="inlineStr">
        <is>
          <t>https://letterboxd.com/search/50/50/</t>
        </is>
      </c>
      <c r="R15" t="inlineStr">
        <is>
          <t>https://www.metacritic.com/search/50%2F50/</t>
        </is>
      </c>
    </row>
    <row r="16">
      <c r="A16" t="inlineStr">
        <is>
          <t>F0012</t>
        </is>
      </c>
      <c r="B16" t="inlineStr">
        <is>
          <t>A Bug's Life</t>
        </is>
      </c>
      <c r="C16" s="63" t="inlineStr">
        <is>
          <t>1998</t>
        </is>
      </c>
      <c r="D16" t="n">
        <v>4</v>
      </c>
      <c r="E16" s="82" t="n"/>
      <c r="F16" s="85" t="n"/>
      <c r="G16" s="71" t="n"/>
      <c r="H16" s="71" t="n"/>
      <c r="I16" s="83" t="n"/>
      <c r="J16" s="71" t="n"/>
      <c r="K16" s="82" t="n"/>
      <c r="L16" s="82">
        <f>IF(COUNT(E16,G16,H16,I16,J16,K16)=0,"",ROUND((IF(E16="",0,E16*10)+IF(G16="",0,G16)+IF(H16="",0,H16)+IF(I16="",0,I16*20)+IF(J16="",0,J16)+IF(K16="",0,K16*10))/COUNT(E16,G16,H16,I16,J16,K16),1))</f>
        <v/>
      </c>
      <c r="M16">
        <f>IF(L16="","",IF(L16&gt;=85,"Excellent",IF(L16&gt;=70,"Good",IF(L16&gt;=55,"Mixed","Poor"))))</f>
        <v/>
      </c>
      <c r="N16" s="66" t="n"/>
      <c r="O16" t="inlineStr">
        <is>
          <t>https://www.imdb.com/find/?q=A+Bug%27s+Life+1998</t>
        </is>
      </c>
      <c r="P16" t="inlineStr">
        <is>
          <t>https://www.rottentomatoes.com/search?search=A+Bug%27s+Life</t>
        </is>
      </c>
      <c r="Q16" t="inlineStr">
        <is>
          <t>https://letterboxd.com/search/A%20Bug%27s%20Life/</t>
        </is>
      </c>
      <c r="R16" t="inlineStr">
        <is>
          <t>https://www.metacritic.com/search/A+Bug%27s+Life/</t>
        </is>
      </c>
    </row>
    <row r="17">
      <c r="A17" t="inlineStr">
        <is>
          <t>F0013</t>
        </is>
      </c>
      <c r="B17" t="inlineStr">
        <is>
          <t>The Accountant</t>
        </is>
      </c>
      <c r="C17" s="63" t="inlineStr">
        <is>
          <t>2016</t>
        </is>
      </c>
      <c r="E17" s="82" t="n"/>
      <c r="F17" s="85" t="n"/>
      <c r="G17" s="71" t="n"/>
      <c r="H17" s="71" t="n"/>
      <c r="I17" s="83" t="n"/>
      <c r="J17" s="71" t="n"/>
      <c r="K17" s="82" t="n"/>
      <c r="L17" s="82">
        <f>IF(COUNT(E17,G17,H17,I17,J17,K17)=0,"",ROUND((IF(E17="",0,E17*10)+IF(G17="",0,G17)+IF(H17="",0,H17)+IF(I17="",0,I17*20)+IF(J17="",0,J17)+IF(K17="",0,K17*10))/COUNT(E17,G17,H17,I17,J17,K17),1))</f>
        <v/>
      </c>
      <c r="M17">
        <f>IF(L17="","",IF(L17&gt;=85,"Excellent",IF(L17&gt;=70,"Good",IF(L17&gt;=55,"Mixed","Poor"))))</f>
        <v/>
      </c>
      <c r="N17" s="66" t="n"/>
      <c r="O17" t="inlineStr">
        <is>
          <t>https://www.imdb.com/find/?q=The+Accountant+2016</t>
        </is>
      </c>
      <c r="P17" t="inlineStr">
        <is>
          <t>https://www.rottentomatoes.com/search?search=The+Accountant</t>
        </is>
      </c>
      <c r="Q17" t="inlineStr">
        <is>
          <t>https://letterboxd.com/search/The%20Accountant/</t>
        </is>
      </c>
      <c r="R17" t="inlineStr">
        <is>
          <t>https://www.metacritic.com/search/The+Accountant/</t>
        </is>
      </c>
    </row>
    <row r="18">
      <c r="A18" t="inlineStr">
        <is>
          <t>F0014</t>
        </is>
      </c>
      <c r="B18" t="inlineStr">
        <is>
          <t>Alan Partridge: Alpha Papa</t>
        </is>
      </c>
      <c r="C18" s="63" t="inlineStr">
        <is>
          <t>2013</t>
        </is>
      </c>
      <c r="E18" s="82" t="n"/>
      <c r="F18" s="85" t="n"/>
      <c r="G18" s="71" t="n"/>
      <c r="H18" s="71" t="n"/>
      <c r="I18" s="83" t="n"/>
      <c r="J18" s="71" t="n"/>
      <c r="K18" s="82" t="n"/>
      <c r="L18" s="82">
        <f>IF(COUNT(E18,G18,H18,I18,J18,K18)=0,"",ROUND((IF(E18="",0,E18*10)+IF(G18="",0,G18)+IF(H18="",0,H18)+IF(I18="",0,I18*20)+IF(J18="",0,J18)+IF(K18="",0,K18*10))/COUNT(E18,G18,H18,I18,J18,K18),1))</f>
        <v/>
      </c>
      <c r="M18">
        <f>IF(L18="","",IF(L18&gt;=85,"Excellent",IF(L18&gt;=70,"Good",IF(L18&gt;=55,"Mixed","Poor"))))</f>
        <v/>
      </c>
      <c r="N18" s="66" t="n"/>
      <c r="O18" t="inlineStr">
        <is>
          <t>https://www.imdb.com/find/?q=Alan+Partridge%3A+Alpha+Papa+2013</t>
        </is>
      </c>
      <c r="P18" t="inlineStr">
        <is>
          <t>https://www.rottentomatoes.com/search?search=Alan+Partridge%3A+Alpha+Papa</t>
        </is>
      </c>
      <c r="Q18" t="inlineStr">
        <is>
          <t>https://letterboxd.com/search/Alan%20Partridge%3A%20Alpha%20Papa/</t>
        </is>
      </c>
      <c r="R18" t="inlineStr">
        <is>
          <t>https://www.metacritic.com/search/Alan+Partridge%3A+Alpha+Papa/</t>
        </is>
      </c>
    </row>
    <row r="19">
      <c r="A19" t="inlineStr">
        <is>
          <t>F0015</t>
        </is>
      </c>
      <c r="B19" t="inlineStr">
        <is>
          <t>Alien</t>
        </is>
      </c>
      <c r="C19" s="63" t="inlineStr">
        <is>
          <t>1979</t>
        </is>
      </c>
      <c r="E19" s="82" t="n"/>
      <c r="F19" s="85" t="n"/>
      <c r="G19" s="71" t="n"/>
      <c r="H19" s="71" t="n"/>
      <c r="I19" s="83" t="n"/>
      <c r="J19" s="71" t="n"/>
      <c r="K19" s="82" t="n"/>
      <c r="L19" s="82">
        <f>IF(COUNT(E19,G19,H19,I19,J19,K19)=0,"",ROUND((IF(E19="",0,E19*10)+IF(G19="",0,G19)+IF(H19="",0,H19)+IF(I19="",0,I19*20)+IF(J19="",0,J19)+IF(K19="",0,K19*10))/COUNT(E19,G19,H19,I19,J19,K19),1))</f>
        <v/>
      </c>
      <c r="M19">
        <f>IF(L19="","",IF(L19&gt;=85,"Excellent",IF(L19&gt;=70,"Good",IF(L19&gt;=55,"Mixed","Poor"))))</f>
        <v/>
      </c>
      <c r="N19" s="66" t="n"/>
      <c r="O19" t="inlineStr">
        <is>
          <t>https://www.imdb.com/find/?q=Alien+1979</t>
        </is>
      </c>
      <c r="P19" t="inlineStr">
        <is>
          <t>https://www.rottentomatoes.com/search?search=Alien</t>
        </is>
      </c>
      <c r="Q19" t="inlineStr">
        <is>
          <t>https://letterboxd.com/search/Alien/</t>
        </is>
      </c>
      <c r="R19" t="inlineStr">
        <is>
          <t>https://www.metacritic.com/search/Alien/</t>
        </is>
      </c>
    </row>
    <row r="20">
      <c r="A20" t="inlineStr">
        <is>
          <t>F0016</t>
        </is>
      </c>
      <c r="B20" t="inlineStr">
        <is>
          <t>Aliens</t>
        </is>
      </c>
      <c r="C20" s="63" t="inlineStr">
        <is>
          <t>1986</t>
        </is>
      </c>
      <c r="E20" s="82" t="n"/>
      <c r="F20" s="85" t="n"/>
      <c r="G20" s="71" t="n"/>
      <c r="H20" s="71" t="n"/>
      <c r="I20" s="83" t="n"/>
      <c r="J20" s="71" t="n"/>
      <c r="K20" s="82" t="n"/>
      <c r="L20" s="82">
        <f>IF(COUNT(E20,G20,H20,I20,J20,K20)=0,"",ROUND((IF(E20="",0,E20*10)+IF(G20="",0,G20)+IF(H20="",0,H20)+IF(I20="",0,I20*20)+IF(J20="",0,J20)+IF(K20="",0,K20*10))/COUNT(E20,G20,H20,I20,J20,K20),1))</f>
        <v/>
      </c>
      <c r="M20">
        <f>IF(L20="","",IF(L20&gt;=85,"Excellent",IF(L20&gt;=70,"Good",IF(L20&gt;=55,"Mixed","Poor"))))</f>
        <v/>
      </c>
      <c r="N20" s="66" t="n"/>
      <c r="O20" t="inlineStr">
        <is>
          <t>https://www.imdb.com/find/?q=Aliens+1986</t>
        </is>
      </c>
      <c r="P20" t="inlineStr">
        <is>
          <t>https://www.rottentomatoes.com/search?search=Aliens</t>
        </is>
      </c>
      <c r="Q20" t="inlineStr">
        <is>
          <t>https://letterboxd.com/search/Aliens/</t>
        </is>
      </c>
      <c r="R20" t="inlineStr">
        <is>
          <t>https://www.metacritic.com/search/Aliens/</t>
        </is>
      </c>
    </row>
    <row r="21">
      <c r="A21" t="inlineStr">
        <is>
          <t>F0017</t>
        </is>
      </c>
      <c r="B21" t="inlineStr">
        <is>
          <t>Alien³</t>
        </is>
      </c>
      <c r="C21" s="63" t="inlineStr">
        <is>
          <t>1992</t>
        </is>
      </c>
      <c r="E21" s="82" t="n"/>
      <c r="F21" s="85" t="n"/>
      <c r="G21" s="71" t="n"/>
      <c r="H21" s="71" t="n"/>
      <c r="I21" s="83" t="n"/>
      <c r="J21" s="71" t="n"/>
      <c r="K21" s="82" t="n"/>
      <c r="L21" s="82">
        <f>IF(COUNT(E21,G21,H21,I21,J21,K21)=0,"",ROUND((IF(E21="",0,E21*10)+IF(G21="",0,G21)+IF(H21="",0,H21)+IF(I21="",0,I21*20)+IF(J21="",0,J21)+IF(K21="",0,K21*10))/COUNT(E21,G21,H21,I21,J21,K21),1))</f>
        <v/>
      </c>
      <c r="M21">
        <f>IF(L21="","",IF(L21&gt;=85,"Excellent",IF(L21&gt;=70,"Good",IF(L21&gt;=55,"Mixed","Poor"))))</f>
        <v/>
      </c>
      <c r="N21" s="66" t="n"/>
      <c r="O21" t="inlineStr">
        <is>
          <t>https://www.imdb.com/find/?q=Alien%C2%B3+1992</t>
        </is>
      </c>
      <c r="P21" t="inlineStr">
        <is>
          <t>https://www.rottentomatoes.com/search?search=Alien%C2%B3</t>
        </is>
      </c>
      <c r="Q21" t="inlineStr">
        <is>
          <t>https://letterboxd.com/search/Alien%C2%B3/</t>
        </is>
      </c>
      <c r="R21" t="inlineStr">
        <is>
          <t>https://www.metacritic.com/search/Alien%C2%B3/</t>
        </is>
      </c>
    </row>
    <row r="22">
      <c r="A22" t="inlineStr">
        <is>
          <t>F0018</t>
        </is>
      </c>
      <c r="B22" t="inlineStr">
        <is>
          <t>Alien Resurrection</t>
        </is>
      </c>
      <c r="C22" s="63" t="inlineStr">
        <is>
          <t>1997</t>
        </is>
      </c>
      <c r="E22" s="82" t="n"/>
      <c r="F22" s="85" t="n"/>
      <c r="G22" s="71" t="n"/>
      <c r="H22" s="71" t="n"/>
      <c r="I22" s="83" t="n"/>
      <c r="J22" s="71" t="n"/>
      <c r="K22" s="82" t="n"/>
      <c r="L22" s="82">
        <f>IF(COUNT(E22,G22,H22,I22,J22,K22)=0,"",ROUND((IF(E22="",0,E22*10)+IF(G22="",0,G22)+IF(H22="",0,H22)+IF(I22="",0,I22*20)+IF(J22="",0,J22)+IF(K22="",0,K22*10))/COUNT(E22,G22,H22,I22,J22,K22),1))</f>
        <v/>
      </c>
      <c r="M22">
        <f>IF(L22="","",IF(L22&gt;=85,"Excellent",IF(L22&gt;=70,"Good",IF(L22&gt;=55,"Mixed","Poor"))))</f>
        <v/>
      </c>
      <c r="N22" s="66" t="n"/>
      <c r="O22" t="inlineStr">
        <is>
          <t>https://www.imdb.com/find/?q=Alien+Resurrection+1997</t>
        </is>
      </c>
      <c r="P22" t="inlineStr">
        <is>
          <t>https://www.rottentomatoes.com/search?search=Alien+Resurrection</t>
        </is>
      </c>
      <c r="Q22" t="inlineStr">
        <is>
          <t>https://letterboxd.com/search/Alien%20Resurrection/</t>
        </is>
      </c>
      <c r="R22" t="inlineStr">
        <is>
          <t>https://www.metacritic.com/search/Alien+Resurrection/</t>
        </is>
      </c>
    </row>
    <row r="23">
      <c r="A23" t="inlineStr">
        <is>
          <t>F0019</t>
        </is>
      </c>
      <c r="B23" t="inlineStr">
        <is>
          <t>The Amazing Spider-Man</t>
        </is>
      </c>
      <c r="C23" s="63" t="inlineStr">
        <is>
          <t>2012</t>
        </is>
      </c>
      <c r="E23" s="82" t="n"/>
      <c r="F23" s="85" t="n"/>
      <c r="G23" s="71" t="n"/>
      <c r="H23" s="71" t="n"/>
      <c r="I23" s="83" t="n"/>
      <c r="J23" s="71" t="n"/>
      <c r="K23" s="82" t="n"/>
      <c r="L23" s="82">
        <f>IF(COUNT(E23,G23,H23,I23,J23,K23)=0,"",ROUND((IF(E23="",0,E23*10)+IF(G23="",0,G23)+IF(H23="",0,H23)+IF(I23="",0,I23*20)+IF(J23="",0,J23)+IF(K23="",0,K23*10))/COUNT(E23,G23,H23,I23,J23,K23),1))</f>
        <v/>
      </c>
      <c r="M23">
        <f>IF(L23="","",IF(L23&gt;=85,"Excellent",IF(L23&gt;=70,"Good",IF(L23&gt;=55,"Mixed","Poor"))))</f>
        <v/>
      </c>
      <c r="N23" s="66" t="n"/>
      <c r="O23" t="inlineStr">
        <is>
          <t>https://www.imdb.com/find/?q=The+Amazing+Spider-Man+2012</t>
        </is>
      </c>
      <c r="P23" t="inlineStr">
        <is>
          <t>https://www.rottentomatoes.com/search?search=The+Amazing+Spider-Man</t>
        </is>
      </c>
      <c r="Q23" t="inlineStr">
        <is>
          <t>https://letterboxd.com/search/The%20Amazing%20Spider-Man/</t>
        </is>
      </c>
      <c r="R23" t="inlineStr">
        <is>
          <t>https://www.metacritic.com/search/The+Amazing+Spider-Man/</t>
        </is>
      </c>
    </row>
    <row r="24">
      <c r="A24" t="inlineStr">
        <is>
          <t>F0020</t>
        </is>
      </c>
      <c r="B24" t="inlineStr">
        <is>
          <t>American Hustle</t>
        </is>
      </c>
      <c r="C24" s="63" t="inlineStr">
        <is>
          <t>2013</t>
        </is>
      </c>
      <c r="E24" s="82" t="n"/>
      <c r="F24" s="85" t="n"/>
      <c r="G24" s="71" t="n"/>
      <c r="H24" s="71" t="n"/>
      <c r="I24" s="83" t="n"/>
      <c r="J24" s="71" t="n"/>
      <c r="K24" s="82" t="n"/>
      <c r="L24" s="82">
        <f>IF(COUNT(E24,G24,H24,I24,J24,K24)=0,"",ROUND((IF(E24="",0,E24*10)+IF(G24="",0,G24)+IF(H24="",0,H24)+IF(I24="",0,I24*20)+IF(J24="",0,J24)+IF(K24="",0,K24*10))/COUNT(E24,G24,H24,I24,J24,K24),1))</f>
        <v/>
      </c>
      <c r="M24">
        <f>IF(L24="","",IF(L24&gt;=85,"Excellent",IF(L24&gt;=70,"Good",IF(L24&gt;=55,"Mixed","Poor"))))</f>
        <v/>
      </c>
      <c r="N24" s="66" t="n"/>
      <c r="O24" t="inlineStr">
        <is>
          <t>https://www.imdb.com/find/?q=American+Hustle+2013</t>
        </is>
      </c>
      <c r="P24" t="inlineStr">
        <is>
          <t>https://www.rottentomatoes.com/search?search=American+Hustle</t>
        </is>
      </c>
      <c r="Q24" t="inlineStr">
        <is>
          <t>https://letterboxd.com/search/American%20Hustle/</t>
        </is>
      </c>
      <c r="R24" t="inlineStr">
        <is>
          <t>https://www.metacritic.com/search/American+Hustle/</t>
        </is>
      </c>
    </row>
    <row r="25">
      <c r="A25" t="inlineStr">
        <is>
          <t>F0021</t>
        </is>
      </c>
      <c r="B25" t="inlineStr">
        <is>
          <t>A Million Ways to Die in the West</t>
        </is>
      </c>
      <c r="C25" s="63" t="inlineStr">
        <is>
          <t>2014</t>
        </is>
      </c>
      <c r="E25" s="82" t="n"/>
      <c r="F25" s="85" t="n"/>
      <c r="G25" s="71" t="n"/>
      <c r="H25" s="71" t="n"/>
      <c r="I25" s="83" t="n"/>
      <c r="J25" s="71" t="n"/>
      <c r="K25" s="82" t="n"/>
      <c r="L25" s="82">
        <f>IF(COUNT(E25,G25,H25,I25,J25,K25)=0,"",ROUND((IF(E25="",0,E25*10)+IF(G25="",0,G25)+IF(H25="",0,H25)+IF(I25="",0,I25*20)+IF(J25="",0,J25)+IF(K25="",0,K25*10))/COUNT(E25,G25,H25,I25,J25,K25),1))</f>
        <v/>
      </c>
      <c r="M25">
        <f>IF(L25="","",IF(L25&gt;=85,"Excellent",IF(L25&gt;=70,"Good",IF(L25&gt;=55,"Mixed","Poor"))))</f>
        <v/>
      </c>
      <c r="N25" s="66" t="n"/>
      <c r="O25" t="inlineStr">
        <is>
          <t>https://www.imdb.com/find/?q=A+Million+Ways+to+Die+in+the+West+2014</t>
        </is>
      </c>
      <c r="P25" t="inlineStr">
        <is>
          <t>https://www.rottentomatoes.com/search?search=A+Million+Ways+to+Die+in+the+West</t>
        </is>
      </c>
      <c r="Q25" t="inlineStr">
        <is>
          <t>https://letterboxd.com/search/A%20Million%20Ways%20to%20Die%20in%20the%20West/</t>
        </is>
      </c>
      <c r="R25" t="inlineStr">
        <is>
          <t>https://www.metacritic.com/search/A+Million+Ways+to+Die+in+the+West/</t>
        </is>
      </c>
    </row>
    <row r="26">
      <c r="A26" t="inlineStr">
        <is>
          <t>F0022</t>
        </is>
      </c>
      <c r="B26" t="inlineStr">
        <is>
          <t>Anchorman: The Legend of Ron Burgundy</t>
        </is>
      </c>
      <c r="C26" s="63" t="inlineStr">
        <is>
          <t>2004</t>
        </is>
      </c>
      <c r="E26" s="82" t="n"/>
      <c r="F26" s="85" t="n"/>
      <c r="G26" s="71" t="n"/>
      <c r="H26" s="71" t="n"/>
      <c r="I26" s="83" t="n"/>
      <c r="J26" s="71" t="n"/>
      <c r="K26" s="82" t="n"/>
      <c r="L26" s="82">
        <f>IF(COUNT(E26,G26,H26,I26,J26,K26)=0,"",ROUND((IF(E26="",0,E26*10)+IF(G26="",0,G26)+IF(H26="",0,H26)+IF(I26="",0,I26*20)+IF(J26="",0,J26)+IF(K26="",0,K26*10))/COUNT(E26,G26,H26,I26,J26,K26),1))</f>
        <v/>
      </c>
      <c r="M26">
        <f>IF(L26="","",IF(L26&gt;=85,"Excellent",IF(L26&gt;=70,"Good",IF(L26&gt;=55,"Mixed","Poor"))))</f>
        <v/>
      </c>
      <c r="N26" s="66" t="n"/>
      <c r="O26" t="inlineStr">
        <is>
          <t>https://www.imdb.com/find/?q=Anchorman%3A+The+Legend+of+Ron+Burgundy+2004</t>
        </is>
      </c>
      <c r="P26" t="inlineStr">
        <is>
          <t>https://www.rottentomatoes.com/search?search=Anchorman%3A+The+Legend+of+Ron+Burgundy</t>
        </is>
      </c>
      <c r="Q26" t="inlineStr">
        <is>
          <t>https://letterboxd.com/search/Anchorman%3A%20The%20Legend%20of%20Ron%20Burgundy/</t>
        </is>
      </c>
      <c r="R26" t="inlineStr">
        <is>
          <t>https://www.metacritic.com/search/Anchorman%3A+The+Legend+of+Ron+Burgundy/</t>
        </is>
      </c>
    </row>
    <row r="27">
      <c r="A27" t="inlineStr">
        <is>
          <t>F0023</t>
        </is>
      </c>
      <c r="B27" t="inlineStr">
        <is>
          <t>Angels &amp; Demons</t>
        </is>
      </c>
      <c r="C27" s="63" t="inlineStr">
        <is>
          <t>2009</t>
        </is>
      </c>
      <c r="E27" s="82" t="n"/>
      <c r="F27" s="85" t="n"/>
      <c r="G27" s="71" t="n"/>
      <c r="H27" s="71" t="n"/>
      <c r="I27" s="83" t="n"/>
      <c r="J27" s="71" t="n"/>
      <c r="K27" s="82" t="n"/>
      <c r="L27" s="82">
        <f>IF(COUNT(E27,G27,H27,I27,J27,K27)=0,"",ROUND((IF(E27="",0,E27*10)+IF(G27="",0,G27)+IF(H27="",0,H27)+IF(I27="",0,I27*20)+IF(J27="",0,J27)+IF(K27="",0,K27*10))/COUNT(E27,G27,H27,I27,J27,K27),1))</f>
        <v/>
      </c>
      <c r="M27">
        <f>IF(L27="","",IF(L27&gt;=85,"Excellent",IF(L27&gt;=70,"Good",IF(L27&gt;=55,"Mixed","Poor"))))</f>
        <v/>
      </c>
      <c r="N27" s="66" t="n"/>
      <c r="O27" t="inlineStr">
        <is>
          <t>https://www.imdb.com/find/?q=Angels+%26+Demons+2009</t>
        </is>
      </c>
      <c r="P27" t="inlineStr">
        <is>
          <t>https://www.rottentomatoes.com/search?search=Angels+%26+Demons</t>
        </is>
      </c>
      <c r="Q27" t="inlineStr">
        <is>
          <t>https://letterboxd.com/search/Angels%20%26%20Demons/</t>
        </is>
      </c>
      <c r="R27" t="inlineStr">
        <is>
          <t>https://www.metacritic.com/search/Angels+%26+Demons/</t>
        </is>
      </c>
    </row>
    <row r="28">
      <c r="A28" t="inlineStr">
        <is>
          <t>F0024</t>
        </is>
      </c>
      <c r="B28" t="inlineStr">
        <is>
          <t>Anuvahood</t>
        </is>
      </c>
      <c r="C28" s="63" t="inlineStr">
        <is>
          <t>2011</t>
        </is>
      </c>
      <c r="E28" s="82" t="n"/>
      <c r="F28" s="85" t="n"/>
      <c r="G28" s="71" t="n"/>
      <c r="H28" s="71" t="n"/>
      <c r="I28" s="83" t="n"/>
      <c r="J28" s="71" t="n"/>
      <c r="K28" s="82" t="n"/>
      <c r="L28" s="82">
        <f>IF(COUNT(E28,G28,H28,I28,J28,K28)=0,"",ROUND((IF(E28="",0,E28*10)+IF(G28="",0,G28)+IF(H28="",0,H28)+IF(I28="",0,I28*20)+IF(J28="",0,J28)+IF(K28="",0,K28*10))/COUNT(E28,G28,H28,I28,J28,K28),1))</f>
        <v/>
      </c>
      <c r="M28">
        <f>IF(L28="","",IF(L28&gt;=85,"Excellent",IF(L28&gt;=70,"Good",IF(L28&gt;=55,"Mixed","Poor"))))</f>
        <v/>
      </c>
      <c r="N28" s="66" t="n"/>
      <c r="O28" t="inlineStr">
        <is>
          <t>https://www.imdb.com/find/?q=Anuvahood+2011</t>
        </is>
      </c>
      <c r="P28" t="inlineStr">
        <is>
          <t>https://www.rottentomatoes.com/search?search=Anuvahood</t>
        </is>
      </c>
      <c r="Q28" t="inlineStr">
        <is>
          <t>https://letterboxd.com/search/Anuvahood/</t>
        </is>
      </c>
      <c r="R28" t="inlineStr">
        <is>
          <t>https://www.metacritic.com/search/Anuvahood/</t>
        </is>
      </c>
    </row>
    <row r="29">
      <c r="A29" t="inlineStr">
        <is>
          <t>F0025</t>
        </is>
      </c>
      <c r="B29" t="inlineStr">
        <is>
          <t>Argo</t>
        </is>
      </c>
      <c r="C29" s="63" t="inlineStr">
        <is>
          <t>2012</t>
        </is>
      </c>
      <c r="E29" s="82" t="n"/>
      <c r="F29" s="85" t="n"/>
      <c r="G29" s="71" t="n"/>
      <c r="H29" s="71" t="n"/>
      <c r="I29" s="83" t="n"/>
      <c r="J29" s="71" t="n"/>
      <c r="K29" s="82" t="n"/>
      <c r="L29" s="82">
        <f>IF(COUNT(E29,G29,H29,I29,J29,K29)=0,"",ROUND((IF(E29="",0,E29*10)+IF(G29="",0,G29)+IF(H29="",0,H29)+IF(I29="",0,I29*20)+IF(J29="",0,J29)+IF(K29="",0,K29*10))/COUNT(E29,G29,H29,I29,J29,K29),1))</f>
        <v/>
      </c>
      <c r="M29">
        <f>IF(L29="","",IF(L29&gt;=85,"Excellent",IF(L29&gt;=70,"Good",IF(L29&gt;=55,"Mixed","Poor"))))</f>
        <v/>
      </c>
      <c r="N29" s="66" t="n"/>
      <c r="O29" t="inlineStr">
        <is>
          <t>https://www.imdb.com/find/?q=Argo+2012</t>
        </is>
      </c>
      <c r="P29" t="inlineStr">
        <is>
          <t>https://www.rottentomatoes.com/search?search=Argo</t>
        </is>
      </c>
      <c r="Q29" t="inlineStr">
        <is>
          <t>https://letterboxd.com/search/Argo/</t>
        </is>
      </c>
      <c r="R29" t="inlineStr">
        <is>
          <t>https://www.metacritic.com/search/Argo/</t>
        </is>
      </c>
    </row>
    <row r="30">
      <c r="A30" t="inlineStr">
        <is>
          <t>F0026</t>
        </is>
      </c>
      <c r="B30" t="inlineStr">
        <is>
          <t>The A-Team</t>
        </is>
      </c>
      <c r="C30" s="63" t="inlineStr">
        <is>
          <t>2010</t>
        </is>
      </c>
      <c r="E30" s="82" t="n"/>
      <c r="F30" s="85" t="n"/>
      <c r="G30" s="71" t="n"/>
      <c r="H30" s="71" t="n"/>
      <c r="I30" s="83" t="n"/>
      <c r="J30" s="71" t="n"/>
      <c r="K30" s="82" t="n"/>
      <c r="L30" s="82">
        <f>IF(COUNT(E30,G30,H30,I30,J30,K30)=0,"",ROUND((IF(E30="",0,E30*10)+IF(G30="",0,G30)+IF(H30="",0,H30)+IF(I30="",0,I30*20)+IF(J30="",0,J30)+IF(K30="",0,K30*10))/COUNT(E30,G30,H30,I30,J30,K30),1))</f>
        <v/>
      </c>
      <c r="M30">
        <f>IF(L30="","",IF(L30&gt;=85,"Excellent",IF(L30&gt;=70,"Good",IF(L30&gt;=55,"Mixed","Poor"))))</f>
        <v/>
      </c>
      <c r="N30" s="66" t="n"/>
      <c r="O30" t="inlineStr">
        <is>
          <t>https://www.imdb.com/find/?q=The+A-Team+2010</t>
        </is>
      </c>
      <c r="P30" t="inlineStr">
        <is>
          <t>https://www.rottentomatoes.com/search?search=The+A-Team</t>
        </is>
      </c>
      <c r="Q30" t="inlineStr">
        <is>
          <t>https://letterboxd.com/search/The%20A-Team/</t>
        </is>
      </c>
      <c r="R30" t="inlineStr">
        <is>
          <t>https://www.metacritic.com/search/The+A-Team/</t>
        </is>
      </c>
    </row>
    <row r="31">
      <c r="A31" t="inlineStr">
        <is>
          <t>F0027</t>
        </is>
      </c>
      <c r="B31" t="inlineStr">
        <is>
          <t>Attack the Block</t>
        </is>
      </c>
      <c r="C31" s="63" t="inlineStr">
        <is>
          <t>2011</t>
        </is>
      </c>
      <c r="E31" s="82" t="n"/>
      <c r="F31" s="85" t="n"/>
      <c r="G31" s="71" t="n"/>
      <c r="H31" s="71" t="n"/>
      <c r="I31" s="83" t="n"/>
      <c r="J31" s="71" t="n"/>
      <c r="K31" s="82" t="n"/>
      <c r="L31" s="82">
        <f>IF(COUNT(E31,G31,H31,I31,J31,K31)=0,"",ROUND((IF(E31="",0,E31*10)+IF(G31="",0,G31)+IF(H31="",0,H31)+IF(I31="",0,I31*20)+IF(J31="",0,J31)+IF(K31="",0,K31*10))/COUNT(E31,G31,H31,I31,J31,K31),1))</f>
        <v/>
      </c>
      <c r="M31">
        <f>IF(L31="","",IF(L31&gt;=85,"Excellent",IF(L31&gt;=70,"Good",IF(L31&gt;=55,"Mixed","Poor"))))</f>
        <v/>
      </c>
      <c r="N31" s="66" t="n"/>
      <c r="O31" t="inlineStr">
        <is>
          <t>https://www.imdb.com/find/?q=Attack+the+Block+2011</t>
        </is>
      </c>
      <c r="P31" t="inlineStr">
        <is>
          <t>https://www.rottentomatoes.com/search?search=Attack+the+Block</t>
        </is>
      </c>
      <c r="Q31" t="inlineStr">
        <is>
          <t>https://letterboxd.com/search/Attack%20the%20Block/</t>
        </is>
      </c>
      <c r="R31" t="inlineStr">
        <is>
          <t>https://www.metacritic.com/search/Attack+the+Block/</t>
        </is>
      </c>
    </row>
    <row r="32">
      <c r="A32" t="inlineStr">
        <is>
          <t>F0028</t>
        </is>
      </c>
      <c r="B32" t="inlineStr">
        <is>
          <t>Avatar</t>
        </is>
      </c>
      <c r="C32" s="63" t="inlineStr">
        <is>
          <t>2009</t>
        </is>
      </c>
      <c r="E32" s="82" t="n"/>
      <c r="F32" s="85" t="n"/>
      <c r="G32" s="71" t="n"/>
      <c r="H32" s="71" t="n"/>
      <c r="I32" s="83" t="n"/>
      <c r="J32" s="71" t="n"/>
      <c r="K32" s="82" t="n"/>
      <c r="L32" s="82">
        <f>IF(COUNT(E32,G32,H32,I32,J32,K32)=0,"",ROUND((IF(E32="",0,E32*10)+IF(G32="",0,G32)+IF(H32="",0,H32)+IF(I32="",0,I32*20)+IF(J32="",0,J32)+IF(K32="",0,K32*10))/COUNT(E32,G32,H32,I32,J32,K32),1))</f>
        <v/>
      </c>
      <c r="M32">
        <f>IF(L32="","",IF(L32&gt;=85,"Excellent",IF(L32&gt;=70,"Good",IF(L32&gt;=55,"Mixed","Poor"))))</f>
        <v/>
      </c>
      <c r="N32" s="66" t="n"/>
      <c r="O32" t="inlineStr">
        <is>
          <t>https://www.imdb.com/find/?q=Avatar+2009</t>
        </is>
      </c>
      <c r="P32" t="inlineStr">
        <is>
          <t>https://www.rottentomatoes.com/search?search=Avatar</t>
        </is>
      </c>
      <c r="Q32" t="inlineStr">
        <is>
          <t>https://letterboxd.com/search/Avatar/</t>
        </is>
      </c>
      <c r="R32" t="inlineStr">
        <is>
          <t>https://www.metacritic.com/search/Avatar/</t>
        </is>
      </c>
    </row>
    <row r="33">
      <c r="A33" t="inlineStr">
        <is>
          <t>F0029</t>
        </is>
      </c>
      <c r="B33" t="inlineStr">
        <is>
          <t>The Avengers</t>
        </is>
      </c>
      <c r="C33" s="63" t="inlineStr">
        <is>
          <t>2012</t>
        </is>
      </c>
      <c r="E33" s="82" t="n"/>
      <c r="F33" s="85" t="n"/>
      <c r="G33" s="71" t="n"/>
      <c r="H33" s="71" t="n"/>
      <c r="I33" s="83" t="n"/>
      <c r="J33" s="71" t="n"/>
      <c r="K33" s="82" t="n"/>
      <c r="L33" s="82">
        <f>IF(COUNT(E33,G33,H33,I33,J33,K33)=0,"",ROUND((IF(E33="",0,E33*10)+IF(G33="",0,G33)+IF(H33="",0,H33)+IF(I33="",0,I33*20)+IF(J33="",0,J33)+IF(K33="",0,K33*10))/COUNT(E33,G33,H33,I33,J33,K33),1))</f>
        <v/>
      </c>
      <c r="M33">
        <f>IF(L33="","",IF(L33&gt;=85,"Excellent",IF(L33&gt;=70,"Good",IF(L33&gt;=55,"Mixed","Poor"))))</f>
        <v/>
      </c>
      <c r="N33" s="66" t="n"/>
      <c r="O33" t="inlineStr">
        <is>
          <t>https://www.imdb.com/find/?q=The+Avengers+2012</t>
        </is>
      </c>
      <c r="P33" t="inlineStr">
        <is>
          <t>https://www.rottentomatoes.com/search?search=The+Avengers</t>
        </is>
      </c>
      <c r="Q33" t="inlineStr">
        <is>
          <t>https://letterboxd.com/search/The%20Avengers/</t>
        </is>
      </c>
      <c r="R33" t="inlineStr">
        <is>
          <t>https://www.metacritic.com/search/The+Avengers/</t>
        </is>
      </c>
    </row>
    <row r="34">
      <c r="A34" t="inlineStr">
        <is>
          <t>F0030</t>
        </is>
      </c>
      <c r="B34" t="inlineStr">
        <is>
          <t>Avengers: Infinity War</t>
        </is>
      </c>
      <c r="C34" s="63" t="inlineStr">
        <is>
          <t>2018</t>
        </is>
      </c>
      <c r="E34" s="82" t="n"/>
      <c r="F34" s="85" t="n"/>
      <c r="G34" s="71" t="n"/>
      <c r="H34" s="71" t="n"/>
      <c r="I34" s="83" t="n"/>
      <c r="J34" s="71" t="n"/>
      <c r="K34" s="82" t="n"/>
      <c r="L34" s="82">
        <f>IF(COUNT(E34,G34,H34,I34,J34,K34)=0,"",ROUND((IF(E34="",0,E34*10)+IF(G34="",0,G34)+IF(H34="",0,H34)+IF(I34="",0,I34*20)+IF(J34="",0,J34)+IF(K34="",0,K34*10))/COUNT(E34,G34,H34,I34,J34,K34),1))</f>
        <v/>
      </c>
      <c r="M34">
        <f>IF(L34="","",IF(L34&gt;=85,"Excellent",IF(L34&gt;=70,"Good",IF(L34&gt;=55,"Mixed","Poor"))))</f>
        <v/>
      </c>
      <c r="N34" s="66" t="n"/>
      <c r="O34" t="inlineStr">
        <is>
          <t>https://www.imdb.com/find/?q=Avengers%3A+Infinity+War+2018</t>
        </is>
      </c>
      <c r="P34" t="inlineStr">
        <is>
          <t>https://www.rottentomatoes.com/search?search=Avengers%3A+Infinity+War</t>
        </is>
      </c>
      <c r="Q34" t="inlineStr">
        <is>
          <t>https://letterboxd.com/search/Avengers%3A%20Infinity%20War/</t>
        </is>
      </c>
      <c r="R34" t="inlineStr">
        <is>
          <t>https://www.metacritic.com/search/Avengers%3A+Infinity+War/</t>
        </is>
      </c>
    </row>
    <row r="35">
      <c r="A35" t="inlineStr">
        <is>
          <t>F0031</t>
        </is>
      </c>
      <c r="B35" t="inlineStr">
        <is>
          <t>Avengers: Endgame</t>
        </is>
      </c>
      <c r="C35" s="63" t="inlineStr">
        <is>
          <t>2019</t>
        </is>
      </c>
      <c r="E35" s="82" t="n"/>
      <c r="F35" s="85" t="n"/>
      <c r="G35" s="71" t="n"/>
      <c r="H35" s="71" t="n"/>
      <c r="I35" s="83" t="n"/>
      <c r="J35" s="71" t="n"/>
      <c r="K35" s="82" t="n"/>
      <c r="L35" s="82">
        <f>IF(COUNT(E35,G35,H35,I35,J35,K35)=0,"",ROUND((IF(E35="",0,E35*10)+IF(G35="",0,G35)+IF(H35="",0,H35)+IF(I35="",0,I35*20)+IF(J35="",0,J35)+IF(K35="",0,K35*10))/COUNT(E35,G35,H35,I35,J35,K35),1))</f>
        <v/>
      </c>
      <c r="M35">
        <f>IF(L35="","",IF(L35&gt;=85,"Excellent",IF(L35&gt;=70,"Good",IF(L35&gt;=55,"Mixed","Poor"))))</f>
        <v/>
      </c>
      <c r="N35" s="66" t="n"/>
      <c r="O35" t="inlineStr">
        <is>
          <t>https://www.imdb.com/find/?q=Avengers%3A+Endgame+2019</t>
        </is>
      </c>
      <c r="P35" t="inlineStr">
        <is>
          <t>https://www.rottentomatoes.com/search?search=Avengers%3A+Endgame</t>
        </is>
      </c>
      <c r="Q35" t="inlineStr">
        <is>
          <t>https://letterboxd.com/search/Avengers%3A%20Endgame/</t>
        </is>
      </c>
      <c r="R35" t="inlineStr">
        <is>
          <t>https://www.metacritic.com/search/Avengers%3A+Endgame/</t>
        </is>
      </c>
    </row>
    <row r="36">
      <c r="A36" t="inlineStr">
        <is>
          <t>F0032</t>
        </is>
      </c>
      <c r="B36" t="inlineStr">
        <is>
          <t>Baby Driver</t>
        </is>
      </c>
      <c r="C36" s="63" t="inlineStr">
        <is>
          <t>2017</t>
        </is>
      </c>
      <c r="E36" s="82" t="n"/>
      <c r="F36" s="85" t="n"/>
      <c r="G36" s="71" t="n"/>
      <c r="H36" s="71" t="n"/>
      <c r="I36" s="83" t="n"/>
      <c r="J36" s="71" t="n"/>
      <c r="K36" s="82" t="n"/>
      <c r="L36" s="82">
        <f>IF(COUNT(E36,G36,H36,I36,J36,K36)=0,"",ROUND((IF(E36="",0,E36*10)+IF(G36="",0,G36)+IF(H36="",0,H36)+IF(I36="",0,I36*20)+IF(J36="",0,J36)+IF(K36="",0,K36*10))/COUNT(E36,G36,H36,I36,J36,K36),1))</f>
        <v/>
      </c>
      <c r="M36">
        <f>IF(L36="","",IF(L36&gt;=85,"Excellent",IF(L36&gt;=70,"Good",IF(L36&gt;=55,"Mixed","Poor"))))</f>
        <v/>
      </c>
      <c r="N36" s="66" t="n"/>
      <c r="O36" t="inlineStr">
        <is>
          <t>https://www.imdb.com/find/?q=Baby+Driver+2017</t>
        </is>
      </c>
      <c r="P36" t="inlineStr">
        <is>
          <t>https://www.rottentomatoes.com/search?search=Baby+Driver</t>
        </is>
      </c>
      <c r="Q36" t="inlineStr">
        <is>
          <t>https://letterboxd.com/search/Baby%20Driver/</t>
        </is>
      </c>
      <c r="R36" t="inlineStr">
        <is>
          <t>https://www.metacritic.com/search/Baby+Driver/</t>
        </is>
      </c>
    </row>
    <row r="37">
      <c r="A37" t="inlineStr">
        <is>
          <t>F0033</t>
        </is>
      </c>
      <c r="B37" t="inlineStr">
        <is>
          <t>Back to the Future</t>
        </is>
      </c>
      <c r="C37" s="63" t="inlineStr">
        <is>
          <t>1985</t>
        </is>
      </c>
      <c r="E37" s="82" t="n"/>
      <c r="F37" s="85" t="n"/>
      <c r="G37" s="71" t="n"/>
      <c r="H37" s="71" t="n"/>
      <c r="I37" s="83" t="n"/>
      <c r="J37" s="71" t="n"/>
      <c r="K37" s="82" t="n"/>
      <c r="L37" s="82">
        <f>IF(COUNT(E37,G37,H37,I37,J37,K37)=0,"",ROUND((IF(E37="",0,E37*10)+IF(G37="",0,G37)+IF(H37="",0,H37)+IF(I37="",0,I37*20)+IF(J37="",0,J37)+IF(K37="",0,K37*10))/COUNT(E37,G37,H37,I37,J37,K37),1))</f>
        <v/>
      </c>
      <c r="M37">
        <f>IF(L37="","",IF(L37&gt;=85,"Excellent",IF(L37&gt;=70,"Good",IF(L37&gt;=55,"Mixed","Poor"))))</f>
        <v/>
      </c>
      <c r="N37" s="66" t="n"/>
      <c r="O37" t="inlineStr">
        <is>
          <t>https://www.imdb.com/find/?q=Back+to+the+Future+1985</t>
        </is>
      </c>
      <c r="P37" t="inlineStr">
        <is>
          <t>https://www.rottentomatoes.com/search?search=Back+to+the+Future</t>
        </is>
      </c>
      <c r="Q37" t="inlineStr">
        <is>
          <t>https://letterboxd.com/search/Back%20to%20the%20Future/</t>
        </is>
      </c>
      <c r="R37" t="inlineStr">
        <is>
          <t>https://www.metacritic.com/search/Back+to+the+Future/</t>
        </is>
      </c>
    </row>
    <row r="38">
      <c r="A38" t="inlineStr">
        <is>
          <t>F0034</t>
        </is>
      </c>
      <c r="B38" t="inlineStr">
        <is>
          <t>Back to the Future Part II</t>
        </is>
      </c>
      <c r="C38" s="63" t="inlineStr">
        <is>
          <t>1989</t>
        </is>
      </c>
      <c r="E38" s="82" t="n"/>
      <c r="F38" s="85" t="n"/>
      <c r="G38" s="71" t="n"/>
      <c r="H38" s="71" t="n"/>
      <c r="I38" s="83" t="n"/>
      <c r="J38" s="71" t="n"/>
      <c r="K38" s="82" t="n"/>
      <c r="L38" s="82">
        <f>IF(COUNT(E38,G38,H38,I38,J38,K38)=0,"",ROUND((IF(E38="",0,E38*10)+IF(G38="",0,G38)+IF(H38="",0,H38)+IF(I38="",0,I38*20)+IF(J38="",0,J38)+IF(K38="",0,K38*10))/COUNT(E38,G38,H38,I38,J38,K38),1))</f>
        <v/>
      </c>
      <c r="M38">
        <f>IF(L38="","",IF(L38&gt;=85,"Excellent",IF(L38&gt;=70,"Good",IF(L38&gt;=55,"Mixed","Poor"))))</f>
        <v/>
      </c>
      <c r="N38" s="66" t="n"/>
      <c r="O38" t="inlineStr">
        <is>
          <t>https://www.imdb.com/find/?q=Back+to+the+Future+Part+II+1989</t>
        </is>
      </c>
      <c r="P38" t="inlineStr">
        <is>
          <t>https://www.rottentomatoes.com/search?search=Back+to+the+Future+Part+II</t>
        </is>
      </c>
      <c r="Q38" t="inlineStr">
        <is>
          <t>https://letterboxd.com/search/Back%20to%20the%20Future%20Part%20II/</t>
        </is>
      </c>
      <c r="R38" t="inlineStr">
        <is>
          <t>https://www.metacritic.com/search/Back+to+the+Future+Part+II/</t>
        </is>
      </c>
    </row>
    <row r="39">
      <c r="A39" t="inlineStr">
        <is>
          <t>F0035</t>
        </is>
      </c>
      <c r="B39" t="inlineStr">
        <is>
          <t>Back to the Future Part III</t>
        </is>
      </c>
      <c r="C39" s="63" t="inlineStr">
        <is>
          <t>1990</t>
        </is>
      </c>
      <c r="E39" s="82" t="n"/>
      <c r="F39" s="85" t="n"/>
      <c r="G39" s="71" t="n"/>
      <c r="H39" s="71" t="n"/>
      <c r="I39" s="83" t="n"/>
      <c r="J39" s="71" t="n"/>
      <c r="K39" s="82" t="n"/>
      <c r="L39" s="82">
        <f>IF(COUNT(E39,G39,H39,I39,J39,K39)=0,"",ROUND((IF(E39="",0,E39*10)+IF(G39="",0,G39)+IF(H39="",0,H39)+IF(I39="",0,I39*20)+IF(J39="",0,J39)+IF(K39="",0,K39*10))/COUNT(E39,G39,H39,I39,J39,K39),1))</f>
        <v/>
      </c>
      <c r="M39">
        <f>IF(L39="","",IF(L39&gt;=85,"Excellent",IF(L39&gt;=70,"Good",IF(L39&gt;=55,"Mixed","Poor"))))</f>
        <v/>
      </c>
      <c r="N39" s="66" t="n"/>
      <c r="O39" t="inlineStr">
        <is>
          <t>https://www.imdb.com/find/?q=Back+to+the+Future+Part+III+1990</t>
        </is>
      </c>
      <c r="P39" t="inlineStr">
        <is>
          <t>https://www.rottentomatoes.com/search?search=Back+to+the+Future+Part+III</t>
        </is>
      </c>
      <c r="Q39" t="inlineStr">
        <is>
          <t>https://letterboxd.com/search/Back%20to%20the%20Future%20Part%20III/</t>
        </is>
      </c>
      <c r="R39" t="inlineStr">
        <is>
          <t>https://www.metacritic.com/search/Back+to+the+Future+Part+III/</t>
        </is>
      </c>
    </row>
    <row r="40">
      <c r="A40" t="inlineStr">
        <is>
          <t>F0036</t>
        </is>
      </c>
      <c r="B40" t="inlineStr">
        <is>
          <t>Bad Boys</t>
        </is>
      </c>
      <c r="C40" s="63" t="inlineStr">
        <is>
          <t>1995</t>
        </is>
      </c>
      <c r="E40" s="82" t="n"/>
      <c r="F40" s="85" t="n"/>
      <c r="G40" s="71" t="n"/>
      <c r="H40" s="71" t="n"/>
      <c r="I40" s="83" t="n"/>
      <c r="J40" s="71" t="n"/>
      <c r="K40" s="82" t="n"/>
      <c r="L40" s="82">
        <f>IF(COUNT(E40,G40,H40,I40,J40,K40)=0,"",ROUND((IF(E40="",0,E40*10)+IF(G40="",0,G40)+IF(H40="",0,H40)+IF(I40="",0,I40*20)+IF(J40="",0,J40)+IF(K40="",0,K40*10))/COUNT(E40,G40,H40,I40,J40,K40),1))</f>
        <v/>
      </c>
      <c r="M40">
        <f>IF(L40="","",IF(L40&gt;=85,"Excellent",IF(L40&gt;=70,"Good",IF(L40&gt;=55,"Mixed","Poor"))))</f>
        <v/>
      </c>
      <c r="N40" s="66" t="n"/>
      <c r="O40" t="inlineStr">
        <is>
          <t>https://www.imdb.com/find/?q=Bad+Boys+1995</t>
        </is>
      </c>
      <c r="P40" t="inlineStr">
        <is>
          <t>https://www.rottentomatoes.com/search?search=Bad+Boys</t>
        </is>
      </c>
      <c r="Q40" t="inlineStr">
        <is>
          <t>https://letterboxd.com/search/Bad%20Boys/</t>
        </is>
      </c>
      <c r="R40" t="inlineStr">
        <is>
          <t>https://www.metacritic.com/search/Bad+Boys/</t>
        </is>
      </c>
    </row>
    <row r="41">
      <c r="A41" t="inlineStr">
        <is>
          <t>F0037</t>
        </is>
      </c>
      <c r="B41" t="inlineStr">
        <is>
          <t>Bad Boys II</t>
        </is>
      </c>
      <c r="C41" s="63" t="inlineStr">
        <is>
          <t>2003</t>
        </is>
      </c>
      <c r="E41" s="82" t="n"/>
      <c r="F41" s="85" t="n"/>
      <c r="G41" s="71" t="n"/>
      <c r="H41" s="71" t="n"/>
      <c r="I41" s="83" t="n"/>
      <c r="J41" s="71" t="n"/>
      <c r="K41" s="82" t="n"/>
      <c r="L41" s="82">
        <f>IF(COUNT(E41,G41,H41,I41,J41,K41)=0,"",ROUND((IF(E41="",0,E41*10)+IF(G41="",0,G41)+IF(H41="",0,H41)+IF(I41="",0,I41*20)+IF(J41="",0,J41)+IF(K41="",0,K41*10))/COUNT(E41,G41,H41,I41,J41,K41),1))</f>
        <v/>
      </c>
      <c r="M41">
        <f>IF(L41="","",IF(L41&gt;=85,"Excellent",IF(L41&gt;=70,"Good",IF(L41&gt;=55,"Mixed","Poor"))))</f>
        <v/>
      </c>
      <c r="N41" s="66" t="n"/>
      <c r="O41" t="inlineStr">
        <is>
          <t>https://www.imdb.com/find/?q=Bad+Boys+II+2003</t>
        </is>
      </c>
      <c r="P41" t="inlineStr">
        <is>
          <t>https://www.rottentomatoes.com/search?search=Bad+Boys+II</t>
        </is>
      </c>
      <c r="Q41" t="inlineStr">
        <is>
          <t>https://letterboxd.com/search/Bad%20Boys%20II/</t>
        </is>
      </c>
      <c r="R41" t="inlineStr">
        <is>
          <t>https://www.metacritic.com/search/Bad+Boys+II/</t>
        </is>
      </c>
    </row>
    <row r="42">
      <c r="A42" t="inlineStr">
        <is>
          <t>F0038</t>
        </is>
      </c>
      <c r="B42" t="inlineStr">
        <is>
          <t>Bad Moms</t>
        </is>
      </c>
      <c r="C42" s="63" t="inlineStr">
        <is>
          <t>2016</t>
        </is>
      </c>
      <c r="E42" s="82" t="n"/>
      <c r="F42" s="85" t="n"/>
      <c r="G42" s="71" t="n"/>
      <c r="H42" s="71" t="n"/>
      <c r="I42" s="83" t="n"/>
      <c r="J42" s="71" t="n"/>
      <c r="K42" s="82" t="n"/>
      <c r="L42" s="82">
        <f>IF(COUNT(E42,G42,H42,I42,J42,K42)=0,"",ROUND((IF(E42="",0,E42*10)+IF(G42="",0,G42)+IF(H42="",0,H42)+IF(I42="",0,I42*20)+IF(J42="",0,J42)+IF(K42="",0,K42*10))/COUNT(E42,G42,H42,I42,J42,K42),1))</f>
        <v/>
      </c>
      <c r="M42">
        <f>IF(L42="","",IF(L42&gt;=85,"Excellent",IF(L42&gt;=70,"Good",IF(L42&gt;=55,"Mixed","Poor"))))</f>
        <v/>
      </c>
      <c r="N42" s="66" t="n"/>
      <c r="O42" t="inlineStr">
        <is>
          <t>https://www.imdb.com/find/?q=Bad+Moms+2016</t>
        </is>
      </c>
      <c r="P42" t="inlineStr">
        <is>
          <t>https://www.rottentomatoes.com/search?search=Bad+Moms</t>
        </is>
      </c>
      <c r="Q42" t="inlineStr">
        <is>
          <t>https://letterboxd.com/search/Bad%20Moms/</t>
        </is>
      </c>
      <c r="R42" t="inlineStr">
        <is>
          <t>https://www.metacritic.com/search/Bad+Moms/</t>
        </is>
      </c>
    </row>
    <row r="43">
      <c r="A43" t="inlineStr">
        <is>
          <t>F0039</t>
        </is>
      </c>
      <c r="B43" t="inlineStr">
        <is>
          <t>Bad Teacher</t>
        </is>
      </c>
      <c r="C43" s="63" t="inlineStr">
        <is>
          <t>2011</t>
        </is>
      </c>
      <c r="E43" s="82" t="n"/>
      <c r="F43" s="85" t="n"/>
      <c r="G43" s="71" t="n"/>
      <c r="H43" s="71" t="n"/>
      <c r="I43" s="83" t="n"/>
      <c r="J43" s="71" t="n"/>
      <c r="K43" s="82" t="n"/>
      <c r="L43" s="82">
        <f>IF(COUNT(E43,G43,H43,I43,J43,K43)=0,"",ROUND((IF(E43="",0,E43*10)+IF(G43="",0,G43)+IF(H43="",0,H43)+IF(I43="",0,I43*20)+IF(J43="",0,J43)+IF(K43="",0,K43*10))/COUNT(E43,G43,H43,I43,J43,K43),1))</f>
        <v/>
      </c>
      <c r="M43">
        <f>IF(L43="","",IF(L43&gt;=85,"Excellent",IF(L43&gt;=70,"Good",IF(L43&gt;=55,"Mixed","Poor"))))</f>
        <v/>
      </c>
      <c r="N43" s="66" t="n"/>
      <c r="O43" t="inlineStr">
        <is>
          <t>https://www.imdb.com/find/?q=Bad+Teacher+2011</t>
        </is>
      </c>
      <c r="P43" t="inlineStr">
        <is>
          <t>https://www.rottentomatoes.com/search?search=Bad+Teacher</t>
        </is>
      </c>
      <c r="Q43" t="inlineStr">
        <is>
          <t>https://letterboxd.com/search/Bad%20Teacher/</t>
        </is>
      </c>
      <c r="R43" t="inlineStr">
        <is>
          <t>https://www.metacritic.com/search/Bad+Teacher/</t>
        </is>
      </c>
    </row>
    <row r="44">
      <c r="A44" t="inlineStr">
        <is>
          <t>F0040</t>
        </is>
      </c>
      <c r="B44" t="inlineStr">
        <is>
          <t>The Bank Job</t>
        </is>
      </c>
      <c r="C44" s="63" t="inlineStr">
        <is>
          <t>2008</t>
        </is>
      </c>
      <c r="E44" s="82" t="n"/>
      <c r="F44" s="85" t="n"/>
      <c r="G44" s="71" t="n"/>
      <c r="H44" s="71" t="n"/>
      <c r="I44" s="83" t="n"/>
      <c r="J44" s="71" t="n"/>
      <c r="K44" s="82" t="n"/>
      <c r="L44" s="82">
        <f>IF(COUNT(E44,G44,H44,I44,J44,K44)=0,"",ROUND((IF(E44="",0,E44*10)+IF(G44="",0,G44)+IF(H44="",0,H44)+IF(I44="",0,I44*20)+IF(J44="",0,J44)+IF(K44="",0,K44*10))/COUNT(E44,G44,H44,I44,J44,K44),1))</f>
        <v/>
      </c>
      <c r="M44">
        <f>IF(L44="","",IF(L44&gt;=85,"Excellent",IF(L44&gt;=70,"Good",IF(L44&gt;=55,"Mixed","Poor"))))</f>
        <v/>
      </c>
      <c r="N44" s="66" t="n"/>
      <c r="O44" t="inlineStr">
        <is>
          <t>https://www.imdb.com/find/?q=The+Bank+Job+2008</t>
        </is>
      </c>
      <c r="P44" t="inlineStr">
        <is>
          <t>https://www.rottentomatoes.com/search?search=The+Bank+Job</t>
        </is>
      </c>
      <c r="Q44" t="inlineStr">
        <is>
          <t>https://letterboxd.com/search/The%20Bank%20Job/</t>
        </is>
      </c>
      <c r="R44" t="inlineStr">
        <is>
          <t>https://www.metacritic.com/search/The+Bank+Job/</t>
        </is>
      </c>
    </row>
    <row r="45">
      <c r="A45" t="inlineStr">
        <is>
          <t>F0041</t>
        </is>
      </c>
      <c r="B45" t="inlineStr">
        <is>
          <t>Barbie</t>
        </is>
      </c>
      <c r="C45" s="63" t="inlineStr">
        <is>
          <t>2023</t>
        </is>
      </c>
      <c r="E45" s="82" t="n"/>
      <c r="F45" s="85" t="n"/>
      <c r="G45" s="71" t="n"/>
      <c r="H45" s="71" t="n"/>
      <c r="I45" s="83" t="n"/>
      <c r="J45" s="71" t="n"/>
      <c r="K45" s="82" t="n"/>
      <c r="L45" s="82">
        <f>IF(COUNT(E45,G45,H45,I45,J45,K45)=0,"",ROUND((IF(E45="",0,E45*10)+IF(G45="",0,G45)+IF(H45="",0,H45)+IF(I45="",0,I45*20)+IF(J45="",0,J45)+IF(K45="",0,K45*10))/COUNT(E45,G45,H45,I45,J45,K45),1))</f>
        <v/>
      </c>
      <c r="M45">
        <f>IF(L45="","",IF(L45&gt;=85,"Excellent",IF(L45&gt;=70,"Good",IF(L45&gt;=55,"Mixed","Poor"))))</f>
        <v/>
      </c>
      <c r="N45" s="66" t="n"/>
      <c r="O45" t="inlineStr">
        <is>
          <t>https://www.imdb.com/find/?q=Barbie+2023</t>
        </is>
      </c>
      <c r="P45" t="inlineStr">
        <is>
          <t>https://www.rottentomatoes.com/search?search=Barbie</t>
        </is>
      </c>
      <c r="Q45" t="inlineStr">
        <is>
          <t>https://letterboxd.com/search/Barbie/</t>
        </is>
      </c>
      <c r="R45" t="inlineStr">
        <is>
          <t>https://www.metacritic.com/search/Barbie/</t>
        </is>
      </c>
    </row>
    <row r="46">
      <c r="A46" t="inlineStr">
        <is>
          <t>F0042</t>
        </is>
      </c>
      <c r="B46" t="inlineStr">
        <is>
          <t>The Batman</t>
        </is>
      </c>
      <c r="C46" s="63" t="inlineStr">
        <is>
          <t>2022</t>
        </is>
      </c>
      <c r="E46" s="82" t="n"/>
      <c r="F46" s="85" t="n"/>
      <c r="G46" s="71" t="n"/>
      <c r="H46" s="71" t="n"/>
      <c r="I46" s="83" t="n"/>
      <c r="J46" s="71" t="n"/>
      <c r="K46" s="82" t="n"/>
      <c r="L46" s="82">
        <f>IF(COUNT(E46,G46,H46,I46,J46,K46)=0,"",ROUND((IF(E46="",0,E46*10)+IF(G46="",0,G46)+IF(H46="",0,H46)+IF(I46="",0,I46*20)+IF(J46="",0,J46)+IF(K46="",0,K46*10))/COUNT(E46,G46,H46,I46,J46,K46),1))</f>
        <v/>
      </c>
      <c r="M46">
        <f>IF(L46="","",IF(L46&gt;=85,"Excellent",IF(L46&gt;=70,"Good",IF(L46&gt;=55,"Mixed","Poor"))))</f>
        <v/>
      </c>
      <c r="N46" s="66" t="n"/>
      <c r="O46" t="inlineStr">
        <is>
          <t>https://www.imdb.com/find/?q=The+Batman+2022</t>
        </is>
      </c>
      <c r="P46" t="inlineStr">
        <is>
          <t>https://www.rottentomatoes.com/search?search=The+Batman</t>
        </is>
      </c>
      <c r="Q46" t="inlineStr">
        <is>
          <t>https://letterboxd.com/search/The%20Batman/</t>
        </is>
      </c>
      <c r="R46" t="inlineStr">
        <is>
          <t>https://www.metacritic.com/search/The+Batman/</t>
        </is>
      </c>
    </row>
    <row r="47">
      <c r="A47" t="inlineStr">
        <is>
          <t>F0043</t>
        </is>
      </c>
      <c r="B47" t="inlineStr">
        <is>
          <t>Batman Begins</t>
        </is>
      </c>
      <c r="C47" s="63" t="inlineStr">
        <is>
          <t>2005</t>
        </is>
      </c>
      <c r="E47" s="82" t="n"/>
      <c r="F47" s="85" t="n"/>
      <c r="G47" s="71" t="n"/>
      <c r="H47" s="71" t="n"/>
      <c r="I47" s="83" t="n"/>
      <c r="J47" s="71" t="n"/>
      <c r="K47" s="82" t="n"/>
      <c r="L47" s="82">
        <f>IF(COUNT(E47,G47,H47,I47,J47,K47)=0,"",ROUND((IF(E47="",0,E47*10)+IF(G47="",0,G47)+IF(H47="",0,H47)+IF(I47="",0,I47*20)+IF(J47="",0,J47)+IF(K47="",0,K47*10))/COUNT(E47,G47,H47,I47,J47,K47),1))</f>
        <v/>
      </c>
      <c r="M47">
        <f>IF(L47="","",IF(L47&gt;=85,"Excellent",IF(L47&gt;=70,"Good",IF(L47&gt;=55,"Mixed","Poor"))))</f>
        <v/>
      </c>
      <c r="N47" s="66" t="n"/>
      <c r="O47" t="inlineStr">
        <is>
          <t>https://www.imdb.com/find/?q=Batman+Begins+2005</t>
        </is>
      </c>
      <c r="P47" t="inlineStr">
        <is>
          <t>https://www.rottentomatoes.com/search?search=Batman+Begins</t>
        </is>
      </c>
      <c r="Q47" t="inlineStr">
        <is>
          <t>https://letterboxd.com/search/Batman%20Begins/</t>
        </is>
      </c>
      <c r="R47" t="inlineStr">
        <is>
          <t>https://www.metacritic.com/search/Batman+Begins/</t>
        </is>
      </c>
    </row>
    <row r="48">
      <c r="A48" t="inlineStr">
        <is>
          <t>F0044</t>
        </is>
      </c>
      <c r="B48" t="inlineStr">
        <is>
          <t>The Dark Knight</t>
        </is>
      </c>
      <c r="C48" s="63" t="inlineStr">
        <is>
          <t>2008</t>
        </is>
      </c>
      <c r="E48" s="82" t="n"/>
      <c r="F48" s="85" t="n"/>
      <c r="G48" s="71" t="n"/>
      <c r="H48" s="71" t="n"/>
      <c r="I48" s="83" t="n"/>
      <c r="J48" s="71" t="n"/>
      <c r="K48" s="82" t="n"/>
      <c r="L48" s="82">
        <f>IF(COUNT(E48,G48,H48,I48,J48,K48)=0,"",ROUND((IF(E48="",0,E48*10)+IF(G48="",0,G48)+IF(H48="",0,H48)+IF(I48="",0,I48*20)+IF(J48="",0,J48)+IF(K48="",0,K48*10))/COUNT(E48,G48,H48,I48,J48,K48),1))</f>
        <v/>
      </c>
      <c r="M48">
        <f>IF(L48="","",IF(L48&gt;=85,"Excellent",IF(L48&gt;=70,"Good",IF(L48&gt;=55,"Mixed","Poor"))))</f>
        <v/>
      </c>
      <c r="N48" s="66" t="n"/>
      <c r="O48" t="inlineStr">
        <is>
          <t>https://www.imdb.com/find/?q=The+Dark+Knight+2008</t>
        </is>
      </c>
      <c r="P48" t="inlineStr">
        <is>
          <t>https://www.rottentomatoes.com/search?search=The+Dark+Knight</t>
        </is>
      </c>
      <c r="Q48" t="inlineStr">
        <is>
          <t>https://letterboxd.com/search/The%20Dark%20Knight/</t>
        </is>
      </c>
      <c r="R48" t="inlineStr">
        <is>
          <t>https://www.metacritic.com/search/The+Dark+Knight/</t>
        </is>
      </c>
    </row>
    <row r="49">
      <c r="A49" t="inlineStr">
        <is>
          <t>F0045</t>
        </is>
      </c>
      <c r="B49" t="inlineStr">
        <is>
          <t>The Dark Knight Rises</t>
        </is>
      </c>
      <c r="C49" s="63" t="inlineStr">
        <is>
          <t>2012</t>
        </is>
      </c>
      <c r="E49" s="82" t="n"/>
      <c r="F49" s="85" t="n"/>
      <c r="G49" s="71" t="n"/>
      <c r="H49" s="71" t="n"/>
      <c r="I49" s="83" t="n"/>
      <c r="J49" s="71" t="n"/>
      <c r="K49" s="82" t="n"/>
      <c r="L49" s="82">
        <f>IF(COUNT(E49,G49,H49,I49,J49,K49)=0,"",ROUND((IF(E49="",0,E49*10)+IF(G49="",0,G49)+IF(H49="",0,H49)+IF(I49="",0,I49*20)+IF(J49="",0,J49)+IF(K49="",0,K49*10))/COUNT(E49,G49,H49,I49,J49,K49),1))</f>
        <v/>
      </c>
      <c r="M49">
        <f>IF(L49="","",IF(L49&gt;=85,"Excellent",IF(L49&gt;=70,"Good",IF(L49&gt;=55,"Mixed","Poor"))))</f>
        <v/>
      </c>
      <c r="N49" s="66" t="n"/>
      <c r="O49" t="inlineStr">
        <is>
          <t>https://www.imdb.com/find/?q=The+Dark+Knight+Rises+2012</t>
        </is>
      </c>
      <c r="P49" t="inlineStr">
        <is>
          <t>https://www.rottentomatoes.com/search?search=The+Dark+Knight+Rises</t>
        </is>
      </c>
      <c r="Q49" t="inlineStr">
        <is>
          <t>https://letterboxd.com/search/The%20Dark%20Knight%20Rises/</t>
        </is>
      </c>
      <c r="R49" t="inlineStr">
        <is>
          <t>https://www.metacritic.com/search/The+Dark+Knight+Rises/</t>
        </is>
      </c>
    </row>
    <row r="50">
      <c r="A50" t="inlineStr">
        <is>
          <t>F0046</t>
        </is>
      </c>
      <c r="B50" t="inlineStr">
        <is>
          <t>Battle: Los Angeles</t>
        </is>
      </c>
      <c r="C50" s="63" t="inlineStr">
        <is>
          <t>2011</t>
        </is>
      </c>
      <c r="E50" s="82" t="n"/>
      <c r="F50" s="85" t="n"/>
      <c r="G50" s="71" t="n"/>
      <c r="H50" s="71" t="n"/>
      <c r="I50" s="83" t="n"/>
      <c r="J50" s="71" t="n"/>
      <c r="K50" s="82" t="n"/>
      <c r="L50" s="82">
        <f>IF(COUNT(E50,G50,H50,I50,J50,K50)=0,"",ROUND((IF(E50="",0,E50*10)+IF(G50="",0,G50)+IF(H50="",0,H50)+IF(I50="",0,I50*20)+IF(J50="",0,J50)+IF(K50="",0,K50*10))/COUNT(E50,G50,H50,I50,J50,K50),1))</f>
        <v/>
      </c>
      <c r="M50">
        <f>IF(L50="","",IF(L50&gt;=85,"Excellent",IF(L50&gt;=70,"Good",IF(L50&gt;=55,"Mixed","Poor"))))</f>
        <v/>
      </c>
      <c r="N50" s="66" t="n"/>
      <c r="O50" t="inlineStr">
        <is>
          <t>https://www.imdb.com/find/?q=Battle%3A+Los+Angeles+2011</t>
        </is>
      </c>
      <c r="P50" t="inlineStr">
        <is>
          <t>https://www.rottentomatoes.com/search?search=Battle%3A+Los+Angeles</t>
        </is>
      </c>
      <c r="Q50" t="inlineStr">
        <is>
          <t>https://letterboxd.com/search/Battle%3A%20Los%20Angeles/</t>
        </is>
      </c>
      <c r="R50" t="inlineStr">
        <is>
          <t>https://www.metacritic.com/search/Battle%3A+Los+Angeles/</t>
        </is>
      </c>
    </row>
    <row r="51">
      <c r="A51" t="inlineStr">
        <is>
          <t>F0047</t>
        </is>
      </c>
      <c r="B51" t="inlineStr">
        <is>
          <t>The BFG</t>
        </is>
      </c>
      <c r="C51" s="63" t="inlineStr">
        <is>
          <t>2016</t>
        </is>
      </c>
      <c r="E51" s="82" t="n"/>
      <c r="F51" s="85" t="n"/>
      <c r="G51" s="71" t="n"/>
      <c r="H51" s="71" t="n"/>
      <c r="I51" s="83" t="n"/>
      <c r="J51" s="71" t="n"/>
      <c r="K51" s="82" t="n"/>
      <c r="L51" s="82">
        <f>IF(COUNT(E51,G51,H51,I51,J51,K51)=0,"",ROUND((IF(E51="",0,E51*10)+IF(G51="",0,G51)+IF(H51="",0,H51)+IF(I51="",0,I51*20)+IF(J51="",0,J51)+IF(K51="",0,K51*10))/COUNT(E51,G51,H51,I51,J51,K51),1))</f>
        <v/>
      </c>
      <c r="M51">
        <f>IF(L51="","",IF(L51&gt;=85,"Excellent",IF(L51&gt;=70,"Good",IF(L51&gt;=55,"Mixed","Poor"))))</f>
        <v/>
      </c>
      <c r="N51" s="66" t="n"/>
      <c r="O51" t="inlineStr">
        <is>
          <t>https://www.imdb.com/find/?q=The+BFG+2016</t>
        </is>
      </c>
      <c r="P51" t="inlineStr">
        <is>
          <t>https://www.rottentomatoes.com/search?search=The+BFG</t>
        </is>
      </c>
      <c r="Q51" t="inlineStr">
        <is>
          <t>https://letterboxd.com/search/The%20BFG/</t>
        </is>
      </c>
      <c r="R51" t="inlineStr">
        <is>
          <t>https://www.metacritic.com/search/The+BFG/</t>
        </is>
      </c>
    </row>
    <row r="52">
      <c r="A52" t="inlineStr">
        <is>
          <t>F0048</t>
        </is>
      </c>
      <c r="B52" t="inlineStr">
        <is>
          <t>Big Hero 6</t>
        </is>
      </c>
      <c r="C52" s="63" t="inlineStr">
        <is>
          <t>2014</t>
        </is>
      </c>
      <c r="E52" s="82" t="n"/>
      <c r="F52" s="85" t="n"/>
      <c r="G52" s="71" t="n"/>
      <c r="H52" s="71" t="n"/>
      <c r="I52" s="83" t="n"/>
      <c r="J52" s="71" t="n"/>
      <c r="K52" s="82" t="n"/>
      <c r="L52" s="82">
        <f>IF(COUNT(E52,G52,H52,I52,J52,K52)=0,"",ROUND((IF(E52="",0,E52*10)+IF(G52="",0,G52)+IF(H52="",0,H52)+IF(I52="",0,I52*20)+IF(J52="",0,J52)+IF(K52="",0,K52*10))/COUNT(E52,G52,H52,I52,J52,K52),1))</f>
        <v/>
      </c>
      <c r="M52">
        <f>IF(L52="","",IF(L52&gt;=85,"Excellent",IF(L52&gt;=70,"Good",IF(L52&gt;=55,"Mixed","Poor"))))</f>
        <v/>
      </c>
      <c r="N52" s="66" t="n"/>
      <c r="O52" t="inlineStr">
        <is>
          <t>https://www.imdb.com/find/?q=Big+Hero+6+2014</t>
        </is>
      </c>
      <c r="P52" t="inlineStr">
        <is>
          <t>https://www.rottentomatoes.com/search?search=Big+Hero+6</t>
        </is>
      </c>
      <c r="Q52" t="inlineStr">
        <is>
          <t>https://letterboxd.com/search/Big%20Hero%206/</t>
        </is>
      </c>
      <c r="R52" t="inlineStr">
        <is>
          <t>https://www.metacritic.com/search/Big+Hero+6/</t>
        </is>
      </c>
    </row>
    <row r="53">
      <c r="A53" t="inlineStr">
        <is>
          <t>F0049</t>
        </is>
      </c>
      <c r="B53" t="inlineStr">
        <is>
          <t>The Big Lebowski</t>
        </is>
      </c>
      <c r="C53" s="63" t="inlineStr">
        <is>
          <t>1998</t>
        </is>
      </c>
      <c r="E53" s="82" t="n"/>
      <c r="F53" s="85" t="n"/>
      <c r="G53" s="71" t="n"/>
      <c r="H53" s="71" t="n"/>
      <c r="I53" s="83" t="n"/>
      <c r="J53" s="71" t="n"/>
      <c r="K53" s="82" t="n"/>
      <c r="L53" s="82">
        <f>IF(COUNT(E53,G53,H53,I53,J53,K53)=0,"",ROUND((IF(E53="",0,E53*10)+IF(G53="",0,G53)+IF(H53="",0,H53)+IF(I53="",0,I53*20)+IF(J53="",0,J53)+IF(K53="",0,K53*10))/COUNT(E53,G53,H53,I53,J53,K53),1))</f>
        <v/>
      </c>
      <c r="M53">
        <f>IF(L53="","",IF(L53&gt;=85,"Excellent",IF(L53&gt;=70,"Good",IF(L53&gt;=55,"Mixed","Poor"))))</f>
        <v/>
      </c>
      <c r="N53" s="66" t="n"/>
      <c r="O53" t="inlineStr">
        <is>
          <t>https://www.imdb.com/find/?q=The+Big+Lebowski+1998</t>
        </is>
      </c>
      <c r="P53" t="inlineStr">
        <is>
          <t>https://www.rottentomatoes.com/search?search=The+Big+Lebowski</t>
        </is>
      </c>
      <c r="Q53" t="inlineStr">
        <is>
          <t>https://letterboxd.com/search/The%20Big%20Lebowski/</t>
        </is>
      </c>
      <c r="R53" t="inlineStr">
        <is>
          <t>https://www.metacritic.com/search/The+Big+Lebowski/</t>
        </is>
      </c>
    </row>
    <row r="54">
      <c r="A54" t="inlineStr">
        <is>
          <t>F0050</t>
        </is>
      </c>
      <c r="B54" t="inlineStr">
        <is>
          <t>Black Hawk Down</t>
        </is>
      </c>
      <c r="C54" s="63" t="inlineStr">
        <is>
          <t>2001</t>
        </is>
      </c>
      <c r="E54" s="82" t="n"/>
      <c r="F54" s="85" t="n"/>
      <c r="G54" s="71" t="n"/>
      <c r="H54" s="71" t="n"/>
      <c r="I54" s="83" t="n"/>
      <c r="J54" s="71" t="n"/>
      <c r="K54" s="82" t="n"/>
      <c r="L54" s="82">
        <f>IF(COUNT(E54,G54,H54,I54,J54,K54)=0,"",ROUND((IF(E54="",0,E54*10)+IF(G54="",0,G54)+IF(H54="",0,H54)+IF(I54="",0,I54*20)+IF(J54="",0,J54)+IF(K54="",0,K54*10))/COUNT(E54,G54,H54,I54,J54,K54),1))</f>
        <v/>
      </c>
      <c r="M54">
        <f>IF(L54="","",IF(L54&gt;=85,"Excellent",IF(L54&gt;=70,"Good",IF(L54&gt;=55,"Mixed","Poor"))))</f>
        <v/>
      </c>
      <c r="N54" s="66" t="n"/>
      <c r="O54" t="inlineStr">
        <is>
          <t>https://www.imdb.com/find/?q=Black+Hawk+Down+2001</t>
        </is>
      </c>
      <c r="P54" t="inlineStr">
        <is>
          <t>https://www.rottentomatoes.com/search?search=Black+Hawk+Down</t>
        </is>
      </c>
      <c r="Q54" t="inlineStr">
        <is>
          <t>https://letterboxd.com/search/Black%20Hawk%20Down/</t>
        </is>
      </c>
      <c r="R54" t="inlineStr">
        <is>
          <t>https://www.metacritic.com/search/Black+Hawk+Down/</t>
        </is>
      </c>
    </row>
    <row r="55">
      <c r="A55" t="inlineStr">
        <is>
          <t>F0051</t>
        </is>
      </c>
      <c r="B55" t="inlineStr">
        <is>
          <t>Body of Lies</t>
        </is>
      </c>
      <c r="C55" s="63" t="inlineStr">
        <is>
          <t>2008</t>
        </is>
      </c>
      <c r="E55" s="82" t="n"/>
      <c r="F55" s="85" t="n"/>
      <c r="G55" s="71" t="n"/>
      <c r="H55" s="71" t="n"/>
      <c r="I55" s="83" t="n"/>
      <c r="J55" s="71" t="n"/>
      <c r="K55" s="82" t="n"/>
      <c r="L55" s="82">
        <f>IF(COUNT(E55,G55,H55,I55,J55,K55)=0,"",ROUND((IF(E55="",0,E55*10)+IF(G55="",0,G55)+IF(H55="",0,H55)+IF(I55="",0,I55*20)+IF(J55="",0,J55)+IF(K55="",0,K55*10))/COUNT(E55,G55,H55,I55,J55,K55),1))</f>
        <v/>
      </c>
      <c r="M55">
        <f>IF(L55="","",IF(L55&gt;=85,"Excellent",IF(L55&gt;=70,"Good",IF(L55&gt;=55,"Mixed","Poor"))))</f>
        <v/>
      </c>
      <c r="N55" s="66" t="n"/>
      <c r="O55" t="inlineStr">
        <is>
          <t>https://www.imdb.com/find/?q=Body+of+Lies+2008</t>
        </is>
      </c>
      <c r="P55" t="inlineStr">
        <is>
          <t>https://www.rottentomatoes.com/search?search=Body+of+Lies</t>
        </is>
      </c>
      <c r="Q55" t="inlineStr">
        <is>
          <t>https://letterboxd.com/search/Body%20of%20Lies/</t>
        </is>
      </c>
      <c r="R55" t="inlineStr">
        <is>
          <t>https://www.metacritic.com/search/Body+of+Lies/</t>
        </is>
      </c>
    </row>
    <row r="56">
      <c r="A56" t="inlineStr">
        <is>
          <t>F0052</t>
        </is>
      </c>
      <c r="B56" t="inlineStr">
        <is>
          <t>Bohemian Rhapsody</t>
        </is>
      </c>
      <c r="C56" s="63" t="inlineStr">
        <is>
          <t>2018</t>
        </is>
      </c>
      <c r="E56" s="82" t="n"/>
      <c r="F56" s="85" t="n"/>
      <c r="G56" s="71" t="n"/>
      <c r="H56" s="71" t="n"/>
      <c r="I56" s="83" t="n"/>
      <c r="J56" s="71" t="n"/>
      <c r="K56" s="82" t="n"/>
      <c r="L56" s="82">
        <f>IF(COUNT(E56,G56,H56,I56,J56,K56)=0,"",ROUND((IF(E56="",0,E56*10)+IF(G56="",0,G56)+IF(H56="",0,H56)+IF(I56="",0,I56*20)+IF(J56="",0,J56)+IF(K56="",0,K56*10))/COUNT(E56,G56,H56,I56,J56,K56),1))</f>
        <v/>
      </c>
      <c r="M56">
        <f>IF(L56="","",IF(L56&gt;=85,"Excellent",IF(L56&gt;=70,"Good",IF(L56&gt;=55,"Mixed","Poor"))))</f>
        <v/>
      </c>
      <c r="N56" s="66" t="n"/>
      <c r="O56" t="inlineStr">
        <is>
          <t>https://www.imdb.com/find/?q=Bohemian+Rhapsody+2018</t>
        </is>
      </c>
      <c r="P56" t="inlineStr">
        <is>
          <t>https://www.rottentomatoes.com/search?search=Bohemian+Rhapsody</t>
        </is>
      </c>
      <c r="Q56" t="inlineStr">
        <is>
          <t>https://letterboxd.com/search/Bohemian%20Rhapsody/</t>
        </is>
      </c>
      <c r="R56" t="inlineStr">
        <is>
          <t>https://www.metacritic.com/search/Bohemian+Rhapsody/</t>
        </is>
      </c>
    </row>
    <row r="57">
      <c r="A57" t="inlineStr">
        <is>
          <t>F0053</t>
        </is>
      </c>
      <c r="B57" t="inlineStr">
        <is>
          <t>The Bourne Identity</t>
        </is>
      </c>
      <c r="C57" s="63" t="inlineStr">
        <is>
          <t>2002</t>
        </is>
      </c>
      <c r="E57" s="82" t="n"/>
      <c r="F57" s="85" t="n"/>
      <c r="G57" s="71" t="n"/>
      <c r="H57" s="71" t="n"/>
      <c r="I57" s="83" t="n"/>
      <c r="J57" s="71" t="n"/>
      <c r="K57" s="82" t="n"/>
      <c r="L57" s="82">
        <f>IF(COUNT(E57,G57,H57,I57,J57,K57)=0,"",ROUND((IF(E57="",0,E57*10)+IF(G57="",0,G57)+IF(H57="",0,H57)+IF(I57="",0,I57*20)+IF(J57="",0,J57)+IF(K57="",0,K57*10))/COUNT(E57,G57,H57,I57,J57,K57),1))</f>
        <v/>
      </c>
      <c r="M57">
        <f>IF(L57="","",IF(L57&gt;=85,"Excellent",IF(L57&gt;=70,"Good",IF(L57&gt;=55,"Mixed","Poor"))))</f>
        <v/>
      </c>
      <c r="N57" s="66" t="n"/>
      <c r="O57" t="inlineStr">
        <is>
          <t>https://www.imdb.com/find/?q=The+Bourne+Identity+2002</t>
        </is>
      </c>
      <c r="P57" t="inlineStr">
        <is>
          <t>https://www.rottentomatoes.com/search?search=The+Bourne+Identity</t>
        </is>
      </c>
      <c r="Q57" t="inlineStr">
        <is>
          <t>https://letterboxd.com/search/The%20Bourne%20Identity/</t>
        </is>
      </c>
      <c r="R57" t="inlineStr">
        <is>
          <t>https://www.metacritic.com/search/The+Bourne+Identity/</t>
        </is>
      </c>
    </row>
    <row r="58">
      <c r="A58" t="inlineStr">
        <is>
          <t>F0054</t>
        </is>
      </c>
      <c r="B58" t="inlineStr">
        <is>
          <t>The Bourne Supremacy</t>
        </is>
      </c>
      <c r="C58" s="63" t="inlineStr">
        <is>
          <t>2004</t>
        </is>
      </c>
      <c r="E58" s="82" t="n"/>
      <c r="F58" s="85" t="n"/>
      <c r="G58" s="71" t="n"/>
      <c r="H58" s="71" t="n"/>
      <c r="I58" s="83" t="n"/>
      <c r="J58" s="71" t="n"/>
      <c r="K58" s="82" t="n"/>
      <c r="L58" s="82">
        <f>IF(COUNT(E58,G58,H58,I58,J58,K58)=0,"",ROUND((IF(E58="",0,E58*10)+IF(G58="",0,G58)+IF(H58="",0,H58)+IF(I58="",0,I58*20)+IF(J58="",0,J58)+IF(K58="",0,K58*10))/COUNT(E58,G58,H58,I58,J58,K58),1))</f>
        <v/>
      </c>
      <c r="M58">
        <f>IF(L58="","",IF(L58&gt;=85,"Excellent",IF(L58&gt;=70,"Good",IF(L58&gt;=55,"Mixed","Poor"))))</f>
        <v/>
      </c>
      <c r="N58" s="66" t="n"/>
      <c r="O58" t="inlineStr">
        <is>
          <t>https://www.imdb.com/find/?q=The+Bourne+Supremacy+2004</t>
        </is>
      </c>
      <c r="P58" t="inlineStr">
        <is>
          <t>https://www.rottentomatoes.com/search?search=The+Bourne+Supremacy</t>
        </is>
      </c>
      <c r="Q58" t="inlineStr">
        <is>
          <t>https://letterboxd.com/search/The%20Bourne%20Supremacy/</t>
        </is>
      </c>
      <c r="R58" t="inlineStr">
        <is>
          <t>https://www.metacritic.com/search/The+Bourne+Supremacy/</t>
        </is>
      </c>
    </row>
    <row r="59">
      <c r="A59" t="inlineStr">
        <is>
          <t>F0055</t>
        </is>
      </c>
      <c r="B59" t="inlineStr">
        <is>
          <t>The Bourne Ultimatum</t>
        </is>
      </c>
      <c r="C59" s="63" t="inlineStr">
        <is>
          <t>2007</t>
        </is>
      </c>
      <c r="E59" s="82" t="n"/>
      <c r="F59" s="85" t="n"/>
      <c r="G59" s="71" t="n"/>
      <c r="H59" s="71" t="n"/>
      <c r="I59" s="83" t="n"/>
      <c r="J59" s="71" t="n"/>
      <c r="K59" s="82" t="n"/>
      <c r="L59" s="82">
        <f>IF(COUNT(E59,G59,H59,I59,J59,K59)=0,"",ROUND((IF(E59="",0,E59*10)+IF(G59="",0,G59)+IF(H59="",0,H59)+IF(I59="",0,I59*20)+IF(J59="",0,J59)+IF(K59="",0,K59*10))/COUNT(E59,G59,H59,I59,J59,K59),1))</f>
        <v/>
      </c>
      <c r="M59">
        <f>IF(L59="","",IF(L59&gt;=85,"Excellent",IF(L59&gt;=70,"Good",IF(L59&gt;=55,"Mixed","Poor"))))</f>
        <v/>
      </c>
      <c r="N59" s="66" t="n"/>
      <c r="O59" t="inlineStr">
        <is>
          <t>https://www.imdb.com/find/?q=The+Bourne+Ultimatum+2007</t>
        </is>
      </c>
      <c r="P59" t="inlineStr">
        <is>
          <t>https://www.rottentomatoes.com/search?search=The+Bourne+Ultimatum</t>
        </is>
      </c>
      <c r="Q59" t="inlineStr">
        <is>
          <t>https://letterboxd.com/search/The%20Bourne%20Ultimatum/</t>
        </is>
      </c>
      <c r="R59" t="inlineStr">
        <is>
          <t>https://www.metacritic.com/search/The+Bourne+Ultimatum/</t>
        </is>
      </c>
    </row>
    <row r="60">
      <c r="A60" t="inlineStr">
        <is>
          <t>F0056</t>
        </is>
      </c>
      <c r="B60" t="inlineStr">
        <is>
          <t>The Bourne Legacy</t>
        </is>
      </c>
      <c r="C60" s="63" t="inlineStr">
        <is>
          <t>2012</t>
        </is>
      </c>
      <c r="E60" s="82" t="n"/>
      <c r="F60" s="85" t="n"/>
      <c r="G60" s="71" t="n"/>
      <c r="H60" s="71" t="n"/>
      <c r="I60" s="83" t="n"/>
      <c r="J60" s="71" t="n"/>
      <c r="K60" s="82" t="n"/>
      <c r="L60" s="82">
        <f>IF(COUNT(E60,G60,H60,I60,J60,K60)=0,"",ROUND((IF(E60="",0,E60*10)+IF(G60="",0,G60)+IF(H60="",0,H60)+IF(I60="",0,I60*20)+IF(J60="",0,J60)+IF(K60="",0,K60*10))/COUNT(E60,G60,H60,I60,J60,K60),1))</f>
        <v/>
      </c>
      <c r="M60">
        <f>IF(L60="","",IF(L60&gt;=85,"Excellent",IF(L60&gt;=70,"Good",IF(L60&gt;=55,"Mixed","Poor"))))</f>
        <v/>
      </c>
      <c r="N60" s="66" t="n"/>
      <c r="O60" t="inlineStr">
        <is>
          <t>https://www.imdb.com/find/?q=The+Bourne+Legacy+2012</t>
        </is>
      </c>
      <c r="P60" t="inlineStr">
        <is>
          <t>https://www.rottentomatoes.com/search?search=The+Bourne+Legacy</t>
        </is>
      </c>
      <c r="Q60" t="inlineStr">
        <is>
          <t>https://letterboxd.com/search/The%20Bourne%20Legacy/</t>
        </is>
      </c>
      <c r="R60" t="inlineStr">
        <is>
          <t>https://www.metacritic.com/search/The+Bourne+Legacy/</t>
        </is>
      </c>
    </row>
    <row r="61">
      <c r="A61" t="inlineStr">
        <is>
          <t>F0057</t>
        </is>
      </c>
      <c r="B61" t="inlineStr">
        <is>
          <t>The Breakfast Club</t>
        </is>
      </c>
      <c r="C61" s="63" t="inlineStr">
        <is>
          <t>1985</t>
        </is>
      </c>
      <c r="E61" s="82" t="n"/>
      <c r="F61" s="85" t="n"/>
      <c r="G61" s="71" t="n"/>
      <c r="H61" s="71" t="n"/>
      <c r="I61" s="83" t="n"/>
      <c r="J61" s="71" t="n"/>
      <c r="K61" s="82" t="n"/>
      <c r="L61" s="82">
        <f>IF(COUNT(E61,G61,H61,I61,J61,K61)=0,"",ROUND((IF(E61="",0,E61*10)+IF(G61="",0,G61)+IF(H61="",0,H61)+IF(I61="",0,I61*20)+IF(J61="",0,J61)+IF(K61="",0,K61*10))/COUNT(E61,G61,H61,I61,J61,K61),1))</f>
        <v/>
      </c>
      <c r="M61">
        <f>IF(L61="","",IF(L61&gt;=85,"Excellent",IF(L61&gt;=70,"Good",IF(L61&gt;=55,"Mixed","Poor"))))</f>
        <v/>
      </c>
      <c r="N61" s="66" t="n"/>
      <c r="O61" t="inlineStr">
        <is>
          <t>https://www.imdb.com/find/?q=The+Breakfast+Club+1985</t>
        </is>
      </c>
      <c r="P61" t="inlineStr">
        <is>
          <t>https://www.rottentomatoes.com/search?search=The+Breakfast+Club</t>
        </is>
      </c>
      <c r="Q61" t="inlineStr">
        <is>
          <t>https://letterboxd.com/search/The%20Breakfast%20Club/</t>
        </is>
      </c>
      <c r="R61" t="inlineStr">
        <is>
          <t>https://www.metacritic.com/search/The+Breakfast+Club/</t>
        </is>
      </c>
    </row>
    <row r="62">
      <c r="A62" t="inlineStr">
        <is>
          <t>F0058</t>
        </is>
      </c>
      <c r="B62" t="inlineStr">
        <is>
          <t>Bridesmaids</t>
        </is>
      </c>
      <c r="C62" s="63" t="inlineStr">
        <is>
          <t>2011</t>
        </is>
      </c>
      <c r="E62" s="82" t="n"/>
      <c r="F62" s="85" t="n"/>
      <c r="G62" s="71" t="n"/>
      <c r="H62" s="71" t="n"/>
      <c r="I62" s="83" t="n"/>
      <c r="J62" s="71" t="n"/>
      <c r="K62" s="82" t="n"/>
      <c r="L62" s="82">
        <f>IF(COUNT(E62,G62,H62,I62,J62,K62)=0,"",ROUND((IF(E62="",0,E62*10)+IF(G62="",0,G62)+IF(H62="",0,H62)+IF(I62="",0,I62*20)+IF(J62="",0,J62)+IF(K62="",0,K62*10))/COUNT(E62,G62,H62,I62,J62,K62),1))</f>
        <v/>
      </c>
      <c r="M62">
        <f>IF(L62="","",IF(L62&gt;=85,"Excellent",IF(L62&gt;=70,"Good",IF(L62&gt;=55,"Mixed","Poor"))))</f>
        <v/>
      </c>
      <c r="N62" s="66" t="n"/>
      <c r="O62" t="inlineStr">
        <is>
          <t>https://www.imdb.com/find/?q=Bridesmaids+2011</t>
        </is>
      </c>
      <c r="P62" t="inlineStr">
        <is>
          <t>https://www.rottentomatoes.com/search?search=Bridesmaids</t>
        </is>
      </c>
      <c r="Q62" t="inlineStr">
        <is>
          <t>https://letterboxd.com/search/Bridesmaids/</t>
        </is>
      </c>
      <c r="R62" t="inlineStr">
        <is>
          <t>https://www.metacritic.com/search/Bridesmaids/</t>
        </is>
      </c>
    </row>
    <row r="63">
      <c r="A63" t="inlineStr">
        <is>
          <t>F0059</t>
        </is>
      </c>
      <c r="B63" t="inlineStr">
        <is>
          <t>Brüno</t>
        </is>
      </c>
      <c r="C63" s="63" t="inlineStr">
        <is>
          <t>2009</t>
        </is>
      </c>
      <c r="E63" s="82" t="n"/>
      <c r="F63" s="85" t="n"/>
      <c r="G63" s="71" t="n"/>
      <c r="H63" s="71" t="n"/>
      <c r="I63" s="83" t="n"/>
      <c r="J63" s="71" t="n"/>
      <c r="K63" s="82" t="n"/>
      <c r="L63" s="82">
        <f>IF(COUNT(E63,G63,H63,I63,J63,K63)=0,"",ROUND((IF(E63="",0,E63*10)+IF(G63="",0,G63)+IF(H63="",0,H63)+IF(I63="",0,I63*20)+IF(J63="",0,J63)+IF(K63="",0,K63*10))/COUNT(E63,G63,H63,I63,J63,K63),1))</f>
        <v/>
      </c>
      <c r="M63">
        <f>IF(L63="","",IF(L63&gt;=85,"Excellent",IF(L63&gt;=70,"Good",IF(L63&gt;=55,"Mixed","Poor"))))</f>
        <v/>
      </c>
      <c r="N63" s="66" t="n"/>
      <c r="O63" t="inlineStr">
        <is>
          <t>https://www.imdb.com/find/?q=Br%C3%BCno+2009</t>
        </is>
      </c>
      <c r="P63" t="inlineStr">
        <is>
          <t>https://www.rottentomatoes.com/search?search=Br%C3%BCno</t>
        </is>
      </c>
      <c r="Q63" t="inlineStr">
        <is>
          <t>https://letterboxd.com/search/Br%C3%BCno/</t>
        </is>
      </c>
      <c r="R63" t="inlineStr">
        <is>
          <t>https://www.metacritic.com/search/Br%C3%BCno/</t>
        </is>
      </c>
    </row>
    <row r="64">
      <c r="A64" t="inlineStr">
        <is>
          <t>F0060</t>
        </is>
      </c>
      <c r="B64" t="inlineStr">
        <is>
          <t>The Bucket List</t>
        </is>
      </c>
      <c r="C64" s="63" t="inlineStr">
        <is>
          <t>2007</t>
        </is>
      </c>
      <c r="E64" s="82" t="n"/>
      <c r="F64" s="85" t="n"/>
      <c r="G64" s="71" t="n"/>
      <c r="H64" s="71" t="n"/>
      <c r="I64" s="83" t="n"/>
      <c r="J64" s="71" t="n"/>
      <c r="K64" s="82" t="n"/>
      <c r="L64" s="82">
        <f>IF(COUNT(E64,G64,H64,I64,J64,K64)=0,"",ROUND((IF(E64="",0,E64*10)+IF(G64="",0,G64)+IF(H64="",0,H64)+IF(I64="",0,I64*20)+IF(J64="",0,J64)+IF(K64="",0,K64*10))/COUNT(E64,G64,H64,I64,J64,K64),1))</f>
        <v/>
      </c>
      <c r="M64">
        <f>IF(L64="","",IF(L64&gt;=85,"Excellent",IF(L64&gt;=70,"Good",IF(L64&gt;=55,"Mixed","Poor"))))</f>
        <v/>
      </c>
      <c r="N64" s="66" t="n"/>
      <c r="O64" t="inlineStr">
        <is>
          <t>https://www.imdb.com/find/?q=The+Bucket+List+2007</t>
        </is>
      </c>
      <c r="P64" t="inlineStr">
        <is>
          <t>https://www.rottentomatoes.com/search?search=The+Bucket+List</t>
        </is>
      </c>
      <c r="Q64" t="inlineStr">
        <is>
          <t>https://letterboxd.com/search/The%20Bucket%20List/</t>
        </is>
      </c>
      <c r="R64" t="inlineStr">
        <is>
          <t>https://www.metacritic.com/search/The+Bucket+List/</t>
        </is>
      </c>
    </row>
    <row r="65">
      <c r="A65" t="inlineStr">
        <is>
          <t>F0061</t>
        </is>
      </c>
      <c r="B65" t="inlineStr">
        <is>
          <t>Bumblebee</t>
        </is>
      </c>
      <c r="C65" s="63" t="inlineStr">
        <is>
          <t>2018</t>
        </is>
      </c>
      <c r="E65" s="82" t="n"/>
      <c r="F65" s="85" t="n"/>
      <c r="G65" s="71" t="n"/>
      <c r="H65" s="71" t="n"/>
      <c r="I65" s="83" t="n"/>
      <c r="J65" s="71" t="n"/>
      <c r="K65" s="82" t="n"/>
      <c r="L65" s="82">
        <f>IF(COUNT(E65,G65,H65,I65,J65,K65)=0,"",ROUND((IF(E65="",0,E65*10)+IF(G65="",0,G65)+IF(H65="",0,H65)+IF(I65="",0,I65*20)+IF(J65="",0,J65)+IF(K65="",0,K65*10))/COUNT(E65,G65,H65,I65,J65,K65),1))</f>
        <v/>
      </c>
      <c r="M65">
        <f>IF(L65="","",IF(L65&gt;=85,"Excellent",IF(L65&gt;=70,"Good",IF(L65&gt;=55,"Mixed","Poor"))))</f>
        <v/>
      </c>
      <c r="N65" s="66" t="n"/>
      <c r="O65" t="inlineStr">
        <is>
          <t>https://www.imdb.com/find/?q=Bumblebee+2018</t>
        </is>
      </c>
      <c r="P65" t="inlineStr">
        <is>
          <t>https://www.rottentomatoes.com/search?search=Bumblebee</t>
        </is>
      </c>
      <c r="Q65" t="inlineStr">
        <is>
          <t>https://letterboxd.com/search/Bumblebee/</t>
        </is>
      </c>
      <c r="R65" t="inlineStr">
        <is>
          <t>https://www.metacritic.com/search/Bumblebee/</t>
        </is>
      </c>
    </row>
    <row r="66">
      <c r="A66" t="inlineStr">
        <is>
          <t>F0062</t>
        </is>
      </c>
      <c r="B66" t="inlineStr">
        <is>
          <t>Captain Phillips</t>
        </is>
      </c>
      <c r="C66" s="63" t="inlineStr">
        <is>
          <t>2013</t>
        </is>
      </c>
      <c r="E66" s="82" t="n"/>
      <c r="F66" s="85" t="n"/>
      <c r="G66" s="71" t="n"/>
      <c r="H66" s="71" t="n"/>
      <c r="I66" s="83" t="n"/>
      <c r="J66" s="71" t="n"/>
      <c r="K66" s="82" t="n"/>
      <c r="L66" s="82">
        <f>IF(COUNT(E66,G66,H66,I66,J66,K66)=0,"",ROUND((IF(E66="",0,E66*10)+IF(G66="",0,G66)+IF(H66="",0,H66)+IF(I66="",0,I66*20)+IF(J66="",0,J66)+IF(K66="",0,K66*10))/COUNT(E66,G66,H66,I66,J66,K66),1))</f>
        <v/>
      </c>
      <c r="M66">
        <f>IF(L66="","",IF(L66&gt;=85,"Excellent",IF(L66&gt;=70,"Good",IF(L66&gt;=55,"Mixed","Poor"))))</f>
        <v/>
      </c>
      <c r="N66" s="66" t="n"/>
      <c r="O66" t="inlineStr">
        <is>
          <t>https://www.imdb.com/find/?q=Captain+Phillips+2013</t>
        </is>
      </c>
      <c r="P66" t="inlineStr">
        <is>
          <t>https://www.rottentomatoes.com/search?search=Captain+Phillips</t>
        </is>
      </c>
      <c r="Q66" t="inlineStr">
        <is>
          <t>https://letterboxd.com/search/Captain%20Phillips/</t>
        </is>
      </c>
      <c r="R66" t="inlineStr">
        <is>
          <t>https://www.metacritic.com/search/Captain+Phillips/</t>
        </is>
      </c>
    </row>
    <row r="67">
      <c r="A67" t="inlineStr">
        <is>
          <t>F0063</t>
        </is>
      </c>
      <c r="B67" t="inlineStr">
        <is>
          <t>Catch.44</t>
        </is>
      </c>
      <c r="C67" s="63" t="inlineStr">
        <is>
          <t>2011</t>
        </is>
      </c>
      <c r="E67" s="82" t="n"/>
      <c r="F67" s="85" t="n"/>
      <c r="G67" s="71" t="n"/>
      <c r="H67" s="71" t="n"/>
      <c r="I67" s="83" t="n"/>
      <c r="J67" s="71" t="n"/>
      <c r="K67" s="82" t="n"/>
      <c r="L67" s="82">
        <f>IF(COUNT(E67,G67,H67,I67,J67,K67)=0,"",ROUND((IF(E67="",0,E67*10)+IF(G67="",0,G67)+IF(H67="",0,H67)+IF(I67="",0,I67*20)+IF(J67="",0,J67)+IF(K67="",0,K67*10))/COUNT(E67,G67,H67,I67,J67,K67),1))</f>
        <v/>
      </c>
      <c r="M67">
        <f>IF(L67="","",IF(L67&gt;=85,"Excellent",IF(L67&gt;=70,"Good",IF(L67&gt;=55,"Mixed","Poor"))))</f>
        <v/>
      </c>
      <c r="N67" s="66" t="n"/>
      <c r="O67" t="inlineStr">
        <is>
          <t>https://www.imdb.com/find/?q=Catch.44+2011</t>
        </is>
      </c>
      <c r="P67" t="inlineStr">
        <is>
          <t>https://www.rottentomatoes.com/search?search=Catch.44</t>
        </is>
      </c>
      <c r="Q67" t="inlineStr">
        <is>
          <t>https://letterboxd.com/search/Catch.44/</t>
        </is>
      </c>
      <c r="R67" t="inlineStr">
        <is>
          <t>https://www.metacritic.com/search/Catch.44/</t>
        </is>
      </c>
    </row>
    <row r="68">
      <c r="A68" t="inlineStr">
        <is>
          <t>F0064</t>
        </is>
      </c>
      <c r="B68" t="inlineStr">
        <is>
          <t>Catch Me If You Can</t>
        </is>
      </c>
      <c r="C68" s="63" t="inlineStr">
        <is>
          <t>2002</t>
        </is>
      </c>
      <c r="E68" s="82" t="n"/>
      <c r="F68" s="85" t="n"/>
      <c r="G68" s="71" t="n"/>
      <c r="H68" s="71" t="n"/>
      <c r="I68" s="83" t="n"/>
      <c r="J68" s="71" t="n"/>
      <c r="K68" s="82" t="n"/>
      <c r="L68" s="82">
        <f>IF(COUNT(E68,G68,H68,I68,J68,K68)=0,"",ROUND((IF(E68="",0,E68*10)+IF(G68="",0,G68)+IF(H68="",0,H68)+IF(I68="",0,I68*20)+IF(J68="",0,J68)+IF(K68="",0,K68*10))/COUNT(E68,G68,H68,I68,J68,K68),1))</f>
        <v/>
      </c>
      <c r="M68">
        <f>IF(L68="","",IF(L68&gt;=85,"Excellent",IF(L68&gt;=70,"Good",IF(L68&gt;=55,"Mixed","Poor"))))</f>
        <v/>
      </c>
      <c r="N68" s="66" t="n"/>
      <c r="O68" t="inlineStr">
        <is>
          <t>https://www.imdb.com/find/?q=Catch+Me+If+You+Can+2002</t>
        </is>
      </c>
      <c r="P68" t="inlineStr">
        <is>
          <t>https://www.rottentomatoes.com/search?search=Catch+Me+If+You+Can</t>
        </is>
      </c>
      <c r="Q68" t="inlineStr">
        <is>
          <t>https://letterboxd.com/search/Catch%20Me%20If%20You%20Can/</t>
        </is>
      </c>
      <c r="R68" t="inlineStr">
        <is>
          <t>https://www.metacritic.com/search/Catch+Me+If+You+Can/</t>
        </is>
      </c>
    </row>
    <row r="69">
      <c r="A69" t="inlineStr">
        <is>
          <t>F0065</t>
        </is>
      </c>
      <c r="B69" t="inlineStr">
        <is>
          <t>Chef</t>
        </is>
      </c>
      <c r="C69" s="63" t="inlineStr">
        <is>
          <t>2014</t>
        </is>
      </c>
      <c r="E69" s="82" t="n"/>
      <c r="F69" s="85" t="n"/>
      <c r="G69" s="71" t="n"/>
      <c r="H69" s="71" t="n"/>
      <c r="I69" s="83" t="n"/>
      <c r="J69" s="71" t="n"/>
      <c r="K69" s="82" t="n"/>
      <c r="L69" s="82">
        <f>IF(COUNT(E69,G69,H69,I69,J69,K69)=0,"",ROUND((IF(E69="",0,E69*10)+IF(G69="",0,G69)+IF(H69="",0,H69)+IF(I69="",0,I69*20)+IF(J69="",0,J69)+IF(K69="",0,K69*10))/COUNT(E69,G69,H69,I69,J69,K69),1))</f>
        <v/>
      </c>
      <c r="M69">
        <f>IF(L69="","",IF(L69&gt;=85,"Excellent",IF(L69&gt;=70,"Good",IF(L69&gt;=55,"Mixed","Poor"))))</f>
        <v/>
      </c>
      <c r="N69" s="66" t="n"/>
      <c r="O69" t="inlineStr">
        <is>
          <t>https://www.imdb.com/find/?q=Chef+2014</t>
        </is>
      </c>
      <c r="P69" t="inlineStr">
        <is>
          <t>https://www.rottentomatoes.com/search?search=Chef</t>
        </is>
      </c>
      <c r="Q69" t="inlineStr">
        <is>
          <t>https://letterboxd.com/search/Chef/</t>
        </is>
      </c>
      <c r="R69" t="inlineStr">
        <is>
          <t>https://www.metacritic.com/search/Chef/</t>
        </is>
      </c>
    </row>
    <row r="70">
      <c r="A70" t="inlineStr">
        <is>
          <t>F0066</t>
        </is>
      </c>
      <c r="B70" t="inlineStr">
        <is>
          <t>Clash of the Titans</t>
        </is>
      </c>
      <c r="C70" s="63" t="inlineStr">
        <is>
          <t>2010</t>
        </is>
      </c>
      <c r="E70" s="82" t="n"/>
      <c r="F70" s="85" t="n"/>
      <c r="G70" s="71" t="n"/>
      <c r="H70" s="71" t="n"/>
      <c r="I70" s="83" t="n"/>
      <c r="J70" s="71" t="n"/>
      <c r="K70" s="82" t="n"/>
      <c r="L70" s="82">
        <f>IF(COUNT(E70,G70,H70,I70,J70,K70)=0,"",ROUND((IF(E70="",0,E70*10)+IF(G70="",0,G70)+IF(H70="",0,H70)+IF(I70="",0,I70*20)+IF(J70="",0,J70)+IF(K70="",0,K70*10))/COUNT(E70,G70,H70,I70,J70,K70),1))</f>
        <v/>
      </c>
      <c r="M70">
        <f>IF(L70="","",IF(L70&gt;=85,"Excellent",IF(L70&gt;=70,"Good",IF(L70&gt;=55,"Mixed","Poor"))))</f>
        <v/>
      </c>
      <c r="N70" s="66" t="n"/>
      <c r="O70" t="inlineStr">
        <is>
          <t>https://www.imdb.com/find/?q=Clash+of+the+Titans+2010</t>
        </is>
      </c>
      <c r="P70" t="inlineStr">
        <is>
          <t>https://www.rottentomatoes.com/search?search=Clash+of+the+Titans</t>
        </is>
      </c>
      <c r="Q70" t="inlineStr">
        <is>
          <t>https://letterboxd.com/search/Clash%20of%20the%20Titans/</t>
        </is>
      </c>
      <c r="R70" t="inlineStr">
        <is>
          <t>https://www.metacritic.com/search/Clash+of+the+Titans/</t>
        </is>
      </c>
    </row>
    <row r="71">
      <c r="A71" t="inlineStr">
        <is>
          <t>F0067</t>
        </is>
      </c>
      <c r="B71" t="inlineStr">
        <is>
          <t>Cloudy with a Chance of Meatballs 2</t>
        </is>
      </c>
      <c r="C71" s="63" t="inlineStr">
        <is>
          <t>2013</t>
        </is>
      </c>
      <c r="E71" s="82" t="n"/>
      <c r="F71" s="85" t="n"/>
      <c r="G71" s="71" t="n"/>
      <c r="H71" s="71" t="n"/>
      <c r="I71" s="83" t="n"/>
      <c r="J71" s="71" t="n"/>
      <c r="K71" s="82" t="n"/>
      <c r="L71" s="82">
        <f>IF(COUNT(E71,G71,H71,I71,J71,K71)=0,"",ROUND((IF(E71="",0,E71*10)+IF(G71="",0,G71)+IF(H71="",0,H71)+IF(I71="",0,I71*20)+IF(J71="",0,J71)+IF(K71="",0,K71*10))/COUNT(E71,G71,H71,I71,J71,K71),1))</f>
        <v/>
      </c>
      <c r="M71">
        <f>IF(L71="","",IF(L71&gt;=85,"Excellent",IF(L71&gt;=70,"Good",IF(L71&gt;=55,"Mixed","Poor"))))</f>
        <v/>
      </c>
      <c r="N71" s="66" t="n"/>
      <c r="O71" t="inlineStr">
        <is>
          <t>https://www.imdb.com/find/?q=Cloudy+with+a+Chance+of+Meatballs+2+2013</t>
        </is>
      </c>
      <c r="P71" t="inlineStr">
        <is>
          <t>https://www.rottentomatoes.com/search?search=Cloudy+with+a+Chance+of+Meatballs+2</t>
        </is>
      </c>
      <c r="Q71" t="inlineStr">
        <is>
          <t>https://letterboxd.com/search/Cloudy%20with%20a%20Chance%20of%20Meatballs%202/</t>
        </is>
      </c>
      <c r="R71" t="inlineStr">
        <is>
          <t>https://www.metacritic.com/search/Cloudy+with+a+Chance+of+Meatballs+2/</t>
        </is>
      </c>
    </row>
    <row r="72">
      <c r="A72" t="inlineStr">
        <is>
          <t>F0068</t>
        </is>
      </c>
      <c r="B72" t="inlineStr">
        <is>
          <t>Con Air</t>
        </is>
      </c>
      <c r="C72" s="63" t="inlineStr">
        <is>
          <t>1997</t>
        </is>
      </c>
      <c r="E72" s="82" t="n"/>
      <c r="F72" s="85" t="n"/>
      <c r="G72" s="71" t="n"/>
      <c r="H72" s="71" t="n"/>
      <c r="I72" s="83" t="n"/>
      <c r="J72" s="71" t="n"/>
      <c r="K72" s="82" t="n"/>
      <c r="L72" s="82">
        <f>IF(COUNT(E72,G72,H72,I72,J72,K72)=0,"",ROUND((IF(E72="",0,E72*10)+IF(G72="",0,G72)+IF(H72="",0,H72)+IF(I72="",0,I72*20)+IF(J72="",0,J72)+IF(K72="",0,K72*10))/COUNT(E72,G72,H72,I72,J72,K72),1))</f>
        <v/>
      </c>
      <c r="M72">
        <f>IF(L72="","",IF(L72&gt;=85,"Excellent",IF(L72&gt;=70,"Good",IF(L72&gt;=55,"Mixed","Poor"))))</f>
        <v/>
      </c>
      <c r="N72" s="66" t="n"/>
      <c r="O72" t="inlineStr">
        <is>
          <t>https://www.imdb.com/find/?q=Con+Air+1997</t>
        </is>
      </c>
      <c r="P72" t="inlineStr">
        <is>
          <t>https://www.rottentomatoes.com/search?search=Con+Air</t>
        </is>
      </c>
      <c r="Q72" t="inlineStr">
        <is>
          <t>https://letterboxd.com/search/Con%20Air/</t>
        </is>
      </c>
      <c r="R72" t="inlineStr">
        <is>
          <t>https://www.metacritic.com/search/Con+Air/</t>
        </is>
      </c>
    </row>
    <row r="73">
      <c r="A73" t="inlineStr">
        <is>
          <t>F0069</t>
        </is>
      </c>
      <c r="B73" t="inlineStr">
        <is>
          <t>Cop Out</t>
        </is>
      </c>
      <c r="C73" s="63" t="inlineStr">
        <is>
          <t>2010</t>
        </is>
      </c>
      <c r="E73" s="82" t="n"/>
      <c r="F73" s="85" t="n"/>
      <c r="G73" s="71" t="n"/>
      <c r="H73" s="71" t="n"/>
      <c r="I73" s="83" t="n"/>
      <c r="J73" s="71" t="n"/>
      <c r="K73" s="82" t="n"/>
      <c r="L73" s="82">
        <f>IF(COUNT(E73,G73,H73,I73,J73,K73)=0,"",ROUND((IF(E73="",0,E73*10)+IF(G73="",0,G73)+IF(H73="",0,H73)+IF(I73="",0,I73*20)+IF(J73="",0,J73)+IF(K73="",0,K73*10))/COUNT(E73,G73,H73,I73,J73,K73),1))</f>
        <v/>
      </c>
      <c r="M73">
        <f>IF(L73="","",IF(L73&gt;=85,"Excellent",IF(L73&gt;=70,"Good",IF(L73&gt;=55,"Mixed","Poor"))))</f>
        <v/>
      </c>
      <c r="N73" s="66" t="n"/>
      <c r="O73" t="inlineStr">
        <is>
          <t>https://www.imdb.com/find/?q=Cop+Out+2010</t>
        </is>
      </c>
      <c r="P73" t="inlineStr">
        <is>
          <t>https://www.rottentomatoes.com/search?search=Cop+Out</t>
        </is>
      </c>
      <c r="Q73" t="inlineStr">
        <is>
          <t>https://letterboxd.com/search/Cop%20Out/</t>
        </is>
      </c>
      <c r="R73" t="inlineStr">
        <is>
          <t>https://www.metacritic.com/search/Cop+Out/</t>
        </is>
      </c>
    </row>
    <row r="74">
      <c r="A74" t="inlineStr">
        <is>
          <t>F0070</t>
        </is>
      </c>
      <c r="B74" t="inlineStr">
        <is>
          <t>Shaun of the Dead</t>
        </is>
      </c>
      <c r="C74" s="63" t="inlineStr">
        <is>
          <t>2004</t>
        </is>
      </c>
      <c r="E74" s="82" t="n"/>
      <c r="F74" s="85" t="n"/>
      <c r="G74" s="71" t="n"/>
      <c r="H74" s="71" t="n"/>
      <c r="I74" s="83" t="n"/>
      <c r="J74" s="71" t="n"/>
      <c r="K74" s="82" t="n"/>
      <c r="L74" s="82">
        <f>IF(COUNT(E74,G74,H74,I74,J74,K74)=0,"",ROUND((IF(E74="",0,E74*10)+IF(G74="",0,G74)+IF(H74="",0,H74)+IF(I74="",0,I74*20)+IF(J74="",0,J74)+IF(K74="",0,K74*10))/COUNT(E74,G74,H74,I74,J74,K74),1))</f>
        <v/>
      </c>
      <c r="M74">
        <f>IF(L74="","",IF(L74&gt;=85,"Excellent",IF(L74&gt;=70,"Good",IF(L74&gt;=55,"Mixed","Poor"))))</f>
        <v/>
      </c>
      <c r="N74" s="66" t="n"/>
      <c r="O74" t="inlineStr">
        <is>
          <t>https://www.imdb.com/find/?q=Shaun+of+the+Dead+2004</t>
        </is>
      </c>
      <c r="P74" t="inlineStr">
        <is>
          <t>https://www.rottentomatoes.com/search?search=Shaun+of+the+Dead</t>
        </is>
      </c>
      <c r="Q74" t="inlineStr">
        <is>
          <t>https://letterboxd.com/search/Shaun%20of%20the%20Dead/</t>
        </is>
      </c>
      <c r="R74" t="inlineStr">
        <is>
          <t>https://www.metacritic.com/search/Shaun+of+the+Dead/</t>
        </is>
      </c>
    </row>
    <row r="75">
      <c r="A75" t="inlineStr">
        <is>
          <t>F0071</t>
        </is>
      </c>
      <c r="B75" t="inlineStr">
        <is>
          <t>Hot Fuzz</t>
        </is>
      </c>
      <c r="C75" s="63" t="inlineStr">
        <is>
          <t>2007</t>
        </is>
      </c>
      <c r="E75" s="82" t="n"/>
      <c r="F75" s="85" t="n"/>
      <c r="G75" s="71" t="n"/>
      <c r="H75" s="71" t="n"/>
      <c r="I75" s="83" t="n"/>
      <c r="J75" s="71" t="n"/>
      <c r="K75" s="82" t="n"/>
      <c r="L75" s="82">
        <f>IF(COUNT(E75,G75,H75,I75,J75,K75)=0,"",ROUND((IF(E75="",0,E75*10)+IF(G75="",0,G75)+IF(H75="",0,H75)+IF(I75="",0,I75*20)+IF(J75="",0,J75)+IF(K75="",0,K75*10))/COUNT(E75,G75,H75,I75,J75,K75),1))</f>
        <v/>
      </c>
      <c r="M75">
        <f>IF(L75="","",IF(L75&gt;=85,"Excellent",IF(L75&gt;=70,"Good",IF(L75&gt;=55,"Mixed","Poor"))))</f>
        <v/>
      </c>
      <c r="N75" s="66" t="n"/>
      <c r="O75" t="inlineStr">
        <is>
          <t>https://www.imdb.com/find/?q=Hot+Fuzz+2007</t>
        </is>
      </c>
      <c r="P75" t="inlineStr">
        <is>
          <t>https://www.rottentomatoes.com/search?search=Hot+Fuzz</t>
        </is>
      </c>
      <c r="Q75" t="inlineStr">
        <is>
          <t>https://letterboxd.com/search/Hot%20Fuzz/</t>
        </is>
      </c>
      <c r="R75" t="inlineStr">
        <is>
          <t>https://www.metacritic.com/search/Hot+Fuzz/</t>
        </is>
      </c>
    </row>
    <row r="76">
      <c r="A76" t="inlineStr">
        <is>
          <t>F0072</t>
        </is>
      </c>
      <c r="B76" t="inlineStr">
        <is>
          <t>The World's End</t>
        </is>
      </c>
      <c r="C76" s="63" t="inlineStr">
        <is>
          <t>2013</t>
        </is>
      </c>
      <c r="E76" s="82" t="n"/>
      <c r="F76" s="85" t="n"/>
      <c r="G76" s="71" t="n"/>
      <c r="H76" s="71" t="n"/>
      <c r="I76" s="83" t="n"/>
      <c r="J76" s="71" t="n"/>
      <c r="K76" s="82" t="n"/>
      <c r="L76" s="82">
        <f>IF(COUNT(E76,G76,H76,I76,J76,K76)=0,"",ROUND((IF(E76="",0,E76*10)+IF(G76="",0,G76)+IF(H76="",0,H76)+IF(I76="",0,I76*20)+IF(J76="",0,J76)+IF(K76="",0,K76*10))/COUNT(E76,G76,H76,I76,J76,K76),1))</f>
        <v/>
      </c>
      <c r="M76">
        <f>IF(L76="","",IF(L76&gt;=85,"Excellent",IF(L76&gt;=70,"Good",IF(L76&gt;=55,"Mixed","Poor"))))</f>
        <v/>
      </c>
      <c r="N76" s="66" t="n"/>
      <c r="O76" t="inlineStr">
        <is>
          <t>https://www.imdb.com/find/?q=The+World%27s+End+2013</t>
        </is>
      </c>
      <c r="P76" t="inlineStr">
        <is>
          <t>https://www.rottentomatoes.com/search?search=The+World%27s+End</t>
        </is>
      </c>
      <c r="Q76" t="inlineStr">
        <is>
          <t>https://letterboxd.com/search/The%20World%27s%20End/</t>
        </is>
      </c>
      <c r="R76" t="inlineStr">
        <is>
          <t>https://www.metacritic.com/search/The+World%27s+End/</t>
        </is>
      </c>
    </row>
    <row r="77">
      <c r="A77" t="inlineStr">
        <is>
          <t>F0073</t>
        </is>
      </c>
      <c r="B77" t="inlineStr">
        <is>
          <t>Cowboys &amp; Aliens</t>
        </is>
      </c>
      <c r="C77" s="63" t="inlineStr">
        <is>
          <t>2011</t>
        </is>
      </c>
      <c r="E77" s="82" t="n"/>
      <c r="F77" s="85" t="n"/>
      <c r="G77" s="71" t="n"/>
      <c r="H77" s="71" t="n"/>
      <c r="I77" s="83" t="n"/>
      <c r="J77" s="71" t="n"/>
      <c r="K77" s="82" t="n"/>
      <c r="L77" s="82">
        <f>IF(COUNT(E77,G77,H77,I77,J77,K77)=0,"",ROUND((IF(E77="",0,E77*10)+IF(G77="",0,G77)+IF(H77="",0,H77)+IF(I77="",0,I77*20)+IF(J77="",0,J77)+IF(K77="",0,K77*10))/COUNT(E77,G77,H77,I77,J77,K77),1))</f>
        <v/>
      </c>
      <c r="M77">
        <f>IF(L77="","",IF(L77&gt;=85,"Excellent",IF(L77&gt;=70,"Good",IF(L77&gt;=55,"Mixed","Poor"))))</f>
        <v/>
      </c>
      <c r="N77" s="66" t="n"/>
      <c r="O77" t="inlineStr">
        <is>
          <t>https://www.imdb.com/find/?q=Cowboys+%26+Aliens+2011</t>
        </is>
      </c>
      <c r="P77" t="inlineStr">
        <is>
          <t>https://www.rottentomatoes.com/search?search=Cowboys+%26+Aliens</t>
        </is>
      </c>
      <c r="Q77" t="inlineStr">
        <is>
          <t>https://letterboxd.com/search/Cowboys%20%26%20Aliens/</t>
        </is>
      </c>
      <c r="R77" t="inlineStr">
        <is>
          <t>https://www.metacritic.com/search/Cowboys+%26+Aliens/</t>
        </is>
      </c>
    </row>
    <row r="78">
      <c r="A78" t="inlineStr">
        <is>
          <t>F0074</t>
        </is>
      </c>
      <c r="B78" t="inlineStr">
        <is>
          <t>Creed</t>
        </is>
      </c>
      <c r="C78" s="63" t="inlineStr">
        <is>
          <t>2015</t>
        </is>
      </c>
      <c r="E78" s="82" t="n"/>
      <c r="F78" s="85" t="n"/>
      <c r="G78" s="71" t="n"/>
      <c r="H78" s="71" t="n"/>
      <c r="I78" s="83" t="n"/>
      <c r="J78" s="71" t="n"/>
      <c r="K78" s="82" t="n"/>
      <c r="L78" s="82">
        <f>IF(COUNT(E78,G78,H78,I78,J78,K78)=0,"",ROUND((IF(E78="",0,E78*10)+IF(G78="",0,G78)+IF(H78="",0,H78)+IF(I78="",0,I78*20)+IF(J78="",0,J78)+IF(K78="",0,K78*10))/COUNT(E78,G78,H78,I78,J78,K78),1))</f>
        <v/>
      </c>
      <c r="M78">
        <f>IF(L78="","",IF(L78&gt;=85,"Excellent",IF(L78&gt;=70,"Good",IF(L78&gt;=55,"Mixed","Poor"))))</f>
        <v/>
      </c>
      <c r="N78" s="66" t="n"/>
      <c r="O78" t="inlineStr">
        <is>
          <t>https://www.imdb.com/find/?q=Creed+2015</t>
        </is>
      </c>
      <c r="P78" t="inlineStr">
        <is>
          <t>https://www.rottentomatoes.com/search?search=Creed</t>
        </is>
      </c>
      <c r="Q78" t="inlineStr">
        <is>
          <t>https://letterboxd.com/search/Creed/</t>
        </is>
      </c>
      <c r="R78" t="inlineStr">
        <is>
          <t>https://www.metacritic.com/search/Creed/</t>
        </is>
      </c>
    </row>
    <row r="79">
      <c r="A79" t="inlineStr">
        <is>
          <t>F0075</t>
        </is>
      </c>
      <c r="B79" t="inlineStr">
        <is>
          <t>The Croods</t>
        </is>
      </c>
      <c r="C79" s="63" t="inlineStr">
        <is>
          <t>2013</t>
        </is>
      </c>
      <c r="E79" s="82" t="n"/>
      <c r="F79" s="85" t="n"/>
      <c r="G79" s="71" t="n"/>
      <c r="H79" s="71" t="n"/>
      <c r="I79" s="83" t="n"/>
      <c r="J79" s="71" t="n"/>
      <c r="K79" s="82" t="n"/>
      <c r="L79" s="82">
        <f>IF(COUNT(E79,G79,H79,I79,J79,K79)=0,"",ROUND((IF(E79="",0,E79*10)+IF(G79="",0,G79)+IF(H79="",0,H79)+IF(I79="",0,I79*20)+IF(J79="",0,J79)+IF(K79="",0,K79*10))/COUNT(E79,G79,H79,I79,J79,K79),1))</f>
        <v/>
      </c>
      <c r="M79">
        <f>IF(L79="","",IF(L79&gt;=85,"Excellent",IF(L79&gt;=70,"Good",IF(L79&gt;=55,"Mixed","Poor"))))</f>
        <v/>
      </c>
      <c r="N79" s="66" t="n"/>
      <c r="O79" t="inlineStr">
        <is>
          <t>https://www.imdb.com/find/?q=The+Croods+2013</t>
        </is>
      </c>
      <c r="P79" t="inlineStr">
        <is>
          <t>https://www.rottentomatoes.com/search?search=The+Croods</t>
        </is>
      </c>
      <c r="Q79" t="inlineStr">
        <is>
          <t>https://letterboxd.com/search/The%20Croods/</t>
        </is>
      </c>
      <c r="R79" t="inlineStr">
        <is>
          <t>https://www.metacritic.com/search/The+Croods/</t>
        </is>
      </c>
    </row>
    <row r="80">
      <c r="A80" t="inlineStr">
        <is>
          <t>F0076</t>
        </is>
      </c>
      <c r="B80" t="inlineStr">
        <is>
          <t>Deadpool</t>
        </is>
      </c>
      <c r="C80" s="63" t="inlineStr">
        <is>
          <t>2016</t>
        </is>
      </c>
      <c r="E80" s="82" t="n"/>
      <c r="F80" s="85" t="n"/>
      <c r="G80" s="71" t="n"/>
      <c r="H80" s="71" t="n"/>
      <c r="I80" s="83" t="n"/>
      <c r="J80" s="71" t="n"/>
      <c r="K80" s="82" t="n"/>
      <c r="L80" s="82">
        <f>IF(COUNT(E80,G80,H80,I80,J80,K80)=0,"",ROUND((IF(E80="",0,E80*10)+IF(G80="",0,G80)+IF(H80="",0,H80)+IF(I80="",0,I80*20)+IF(J80="",0,J80)+IF(K80="",0,K80*10))/COUNT(E80,G80,H80,I80,J80,K80),1))</f>
        <v/>
      </c>
      <c r="M80">
        <f>IF(L80="","",IF(L80&gt;=85,"Excellent",IF(L80&gt;=70,"Good",IF(L80&gt;=55,"Mixed","Poor"))))</f>
        <v/>
      </c>
      <c r="N80" s="66" t="n"/>
      <c r="O80" t="inlineStr">
        <is>
          <t>https://www.imdb.com/find/?q=Deadpool+2016</t>
        </is>
      </c>
      <c r="P80" t="inlineStr">
        <is>
          <t>https://www.rottentomatoes.com/search?search=Deadpool</t>
        </is>
      </c>
      <c r="Q80" t="inlineStr">
        <is>
          <t>https://letterboxd.com/search/Deadpool/</t>
        </is>
      </c>
      <c r="R80" t="inlineStr">
        <is>
          <t>https://www.metacritic.com/search/Deadpool/</t>
        </is>
      </c>
    </row>
    <row r="81">
      <c r="A81" t="inlineStr">
        <is>
          <t>F0077</t>
        </is>
      </c>
      <c r="B81" t="inlineStr">
        <is>
          <t>Deadpool 2</t>
        </is>
      </c>
      <c r="C81" s="63" t="inlineStr">
        <is>
          <t>2018</t>
        </is>
      </c>
      <c r="E81" s="82" t="n"/>
      <c r="F81" s="85" t="n"/>
      <c r="G81" s="71" t="n"/>
      <c r="H81" s="71" t="n"/>
      <c r="I81" s="83" t="n"/>
      <c r="J81" s="71" t="n"/>
      <c r="K81" s="82" t="n"/>
      <c r="L81" s="82">
        <f>IF(COUNT(E81,G81,H81,I81,J81,K81)=0,"",ROUND((IF(E81="",0,E81*10)+IF(G81="",0,G81)+IF(H81="",0,H81)+IF(I81="",0,I81*20)+IF(J81="",0,J81)+IF(K81="",0,K81*10))/COUNT(E81,G81,H81,I81,J81,K81),1))</f>
        <v/>
      </c>
      <c r="M81">
        <f>IF(L81="","",IF(L81&gt;=85,"Excellent",IF(L81&gt;=70,"Good",IF(L81&gt;=55,"Mixed","Poor"))))</f>
        <v/>
      </c>
      <c r="N81" s="66" t="n"/>
      <c r="O81" t="inlineStr">
        <is>
          <t>https://www.imdb.com/find/?q=Deadpool+2+2018</t>
        </is>
      </c>
      <c r="P81" t="inlineStr">
        <is>
          <t>https://www.rottentomatoes.com/search?search=Deadpool+2</t>
        </is>
      </c>
      <c r="Q81" t="inlineStr">
        <is>
          <t>https://letterboxd.com/search/Deadpool%202/</t>
        </is>
      </c>
      <c r="R81" t="inlineStr">
        <is>
          <t>https://www.metacritic.com/search/Deadpool+2/</t>
        </is>
      </c>
    </row>
    <row r="82">
      <c r="A82" t="inlineStr">
        <is>
          <t>F0078</t>
        </is>
      </c>
      <c r="B82" t="inlineStr">
        <is>
          <t>Deadpool &amp; Wolverine</t>
        </is>
      </c>
      <c r="C82" s="63" t="inlineStr">
        <is>
          <t>2024</t>
        </is>
      </c>
      <c r="E82" s="82" t="n"/>
      <c r="F82" s="85" t="n"/>
      <c r="G82" s="71" t="n"/>
      <c r="H82" s="71" t="n"/>
      <c r="I82" s="83" t="n"/>
      <c r="J82" s="71" t="n"/>
      <c r="K82" s="82" t="n"/>
      <c r="L82" s="82">
        <f>IF(COUNT(E82,G82,H82,I82,J82,K82)=0,"",ROUND((IF(E82="",0,E82*10)+IF(G82="",0,G82)+IF(H82="",0,H82)+IF(I82="",0,I82*20)+IF(J82="",0,J82)+IF(K82="",0,K82*10))/COUNT(E82,G82,H82,I82,J82,K82),1))</f>
        <v/>
      </c>
      <c r="M82">
        <f>IF(L82="","",IF(L82&gt;=85,"Excellent",IF(L82&gt;=70,"Good",IF(L82&gt;=55,"Mixed","Poor"))))</f>
        <v/>
      </c>
      <c r="N82" s="66" t="n"/>
      <c r="O82" t="inlineStr">
        <is>
          <t>https://www.imdb.com/find/?q=Deadpool+%26+Wolverine+2024</t>
        </is>
      </c>
      <c r="P82" t="inlineStr">
        <is>
          <t>https://www.rottentomatoes.com/search?search=Deadpool+%26+Wolverine</t>
        </is>
      </c>
      <c r="Q82" t="inlineStr">
        <is>
          <t>https://letterboxd.com/search/Deadpool%20%26%20Wolverine/</t>
        </is>
      </c>
      <c r="R82" t="inlineStr">
        <is>
          <t>https://www.metacritic.com/search/Deadpool+%26+Wolverine/</t>
        </is>
      </c>
    </row>
    <row r="83">
      <c r="A83" t="inlineStr">
        <is>
          <t>F0079</t>
        </is>
      </c>
      <c r="B83" t="inlineStr">
        <is>
          <t>Dear John</t>
        </is>
      </c>
      <c r="C83" s="63" t="inlineStr">
        <is>
          <t>2010</t>
        </is>
      </c>
      <c r="E83" s="82" t="n"/>
      <c r="F83" s="85" t="n"/>
      <c r="G83" s="71" t="n"/>
      <c r="H83" s="71" t="n"/>
      <c r="I83" s="83" t="n"/>
      <c r="J83" s="71" t="n"/>
      <c r="K83" s="82" t="n"/>
      <c r="L83" s="82">
        <f>IF(COUNT(E83,G83,H83,I83,J83,K83)=0,"",ROUND((IF(E83="",0,E83*10)+IF(G83="",0,G83)+IF(H83="",0,H83)+IF(I83="",0,I83*20)+IF(J83="",0,J83)+IF(K83="",0,K83*10))/COUNT(E83,G83,H83,I83,J83,K83),1))</f>
        <v/>
      </c>
      <c r="M83">
        <f>IF(L83="","",IF(L83&gt;=85,"Excellent",IF(L83&gt;=70,"Good",IF(L83&gt;=55,"Mixed","Poor"))))</f>
        <v/>
      </c>
      <c r="N83" s="66" t="n"/>
      <c r="O83" t="inlineStr">
        <is>
          <t>https://www.imdb.com/find/?q=Dear+John+2010</t>
        </is>
      </c>
      <c r="P83" t="inlineStr">
        <is>
          <t>https://www.rottentomatoes.com/search?search=Dear+John</t>
        </is>
      </c>
      <c r="Q83" t="inlineStr">
        <is>
          <t>https://letterboxd.com/search/Dear%20John/</t>
        </is>
      </c>
      <c r="R83" t="inlineStr">
        <is>
          <t>https://www.metacritic.com/search/Dear+John/</t>
        </is>
      </c>
    </row>
    <row r="84">
      <c r="A84" t="inlineStr">
        <is>
          <t>F0080</t>
        </is>
      </c>
      <c r="B84" t="inlineStr">
        <is>
          <t>Delivery Man</t>
        </is>
      </c>
      <c r="C84" s="63" t="inlineStr">
        <is>
          <t>2013</t>
        </is>
      </c>
      <c r="E84" s="82" t="n"/>
      <c r="F84" s="85" t="n"/>
      <c r="G84" s="71" t="n"/>
      <c r="H84" s="71" t="n"/>
      <c r="I84" s="83" t="n"/>
      <c r="J84" s="71" t="n"/>
      <c r="K84" s="82" t="n"/>
      <c r="L84" s="82">
        <f>IF(COUNT(E84,G84,H84,I84,J84,K84)=0,"",ROUND((IF(E84="",0,E84*10)+IF(G84="",0,G84)+IF(H84="",0,H84)+IF(I84="",0,I84*20)+IF(J84="",0,J84)+IF(K84="",0,K84*10))/COUNT(E84,G84,H84,I84,J84,K84),1))</f>
        <v/>
      </c>
      <c r="M84">
        <f>IF(L84="","",IF(L84&gt;=85,"Excellent",IF(L84&gt;=70,"Good",IF(L84&gt;=55,"Mixed","Poor"))))</f>
        <v/>
      </c>
      <c r="N84" s="66" t="n"/>
      <c r="O84" t="inlineStr">
        <is>
          <t>https://www.imdb.com/find/?q=Delivery+Man+2013</t>
        </is>
      </c>
      <c r="P84" t="inlineStr">
        <is>
          <t>https://www.rottentomatoes.com/search?search=Delivery+Man</t>
        </is>
      </c>
      <c r="Q84" t="inlineStr">
        <is>
          <t>https://letterboxd.com/search/Delivery%20Man/</t>
        </is>
      </c>
      <c r="R84" t="inlineStr">
        <is>
          <t>https://www.metacritic.com/search/Delivery+Man/</t>
        </is>
      </c>
    </row>
    <row r="85">
      <c r="A85" t="inlineStr">
        <is>
          <t>F0081</t>
        </is>
      </c>
      <c r="B85" t="inlineStr">
        <is>
          <t>The Departed</t>
        </is>
      </c>
      <c r="C85" s="63" t="inlineStr">
        <is>
          <t>2006</t>
        </is>
      </c>
      <c r="E85" s="82" t="n"/>
      <c r="F85" s="85" t="n"/>
      <c r="G85" s="71" t="n"/>
      <c r="H85" s="71" t="n"/>
      <c r="I85" s="83" t="n"/>
      <c r="J85" s="71" t="n"/>
      <c r="K85" s="82" t="n"/>
      <c r="L85" s="82">
        <f>IF(COUNT(E85,G85,H85,I85,J85,K85)=0,"",ROUND((IF(E85="",0,E85*10)+IF(G85="",0,G85)+IF(H85="",0,H85)+IF(I85="",0,I85*20)+IF(J85="",0,J85)+IF(K85="",0,K85*10))/COUNT(E85,G85,H85,I85,J85,K85),1))</f>
        <v/>
      </c>
      <c r="M85">
        <f>IF(L85="","",IF(L85&gt;=85,"Excellent",IF(L85&gt;=70,"Good",IF(L85&gt;=55,"Mixed","Poor"))))</f>
        <v/>
      </c>
      <c r="N85" s="66" t="n"/>
      <c r="O85" t="inlineStr">
        <is>
          <t>https://www.imdb.com/find/?q=The+Departed+2006</t>
        </is>
      </c>
      <c r="P85" t="inlineStr">
        <is>
          <t>https://www.rottentomatoes.com/search?search=The+Departed</t>
        </is>
      </c>
      <c r="Q85" t="inlineStr">
        <is>
          <t>https://letterboxd.com/search/The%20Departed/</t>
        </is>
      </c>
      <c r="R85" t="inlineStr">
        <is>
          <t>https://www.metacritic.com/search/The+Departed/</t>
        </is>
      </c>
    </row>
    <row r="86">
      <c r="A86" t="inlineStr">
        <is>
          <t>F0082</t>
        </is>
      </c>
      <c r="B86" t="inlineStr">
        <is>
          <t>Despicable Me</t>
        </is>
      </c>
      <c r="C86" s="63" t="inlineStr">
        <is>
          <t>2010</t>
        </is>
      </c>
      <c r="E86" s="82" t="n"/>
      <c r="F86" s="85" t="n"/>
      <c r="G86" s="71" t="n"/>
      <c r="H86" s="71" t="n"/>
      <c r="I86" s="83" t="n"/>
      <c r="J86" s="71" t="n"/>
      <c r="K86" s="82" t="n"/>
      <c r="L86" s="82">
        <f>IF(COUNT(E86,G86,H86,I86,J86,K86)=0,"",ROUND((IF(E86="",0,E86*10)+IF(G86="",0,G86)+IF(H86="",0,H86)+IF(I86="",0,I86*20)+IF(J86="",0,J86)+IF(K86="",0,K86*10))/COUNT(E86,G86,H86,I86,J86,K86),1))</f>
        <v/>
      </c>
      <c r="M86">
        <f>IF(L86="","",IF(L86&gt;=85,"Excellent",IF(L86&gt;=70,"Good",IF(L86&gt;=55,"Mixed","Poor"))))</f>
        <v/>
      </c>
      <c r="N86" s="66" t="n"/>
      <c r="O86" t="inlineStr">
        <is>
          <t>https://www.imdb.com/find/?q=Despicable+Me+2010</t>
        </is>
      </c>
      <c r="P86" t="inlineStr">
        <is>
          <t>https://www.rottentomatoes.com/search?search=Despicable+Me</t>
        </is>
      </c>
      <c r="Q86" t="inlineStr">
        <is>
          <t>https://letterboxd.com/search/Despicable%20Me/</t>
        </is>
      </c>
      <c r="R86" t="inlineStr">
        <is>
          <t>https://www.metacritic.com/search/Despicable+Me/</t>
        </is>
      </c>
    </row>
    <row r="87">
      <c r="A87" t="inlineStr">
        <is>
          <t>F0083</t>
        </is>
      </c>
      <c r="B87" t="inlineStr">
        <is>
          <t>Despicable Me 2</t>
        </is>
      </c>
      <c r="C87" s="63" t="inlineStr">
        <is>
          <t>2013</t>
        </is>
      </c>
      <c r="E87" s="82" t="n"/>
      <c r="F87" s="85" t="n"/>
      <c r="G87" s="71" t="n"/>
      <c r="H87" s="71" t="n"/>
      <c r="I87" s="83" t="n"/>
      <c r="J87" s="71" t="n"/>
      <c r="K87" s="82" t="n"/>
      <c r="L87" s="82">
        <f>IF(COUNT(E87,G87,H87,I87,J87,K87)=0,"",ROUND((IF(E87="",0,E87*10)+IF(G87="",0,G87)+IF(H87="",0,H87)+IF(I87="",0,I87*20)+IF(J87="",0,J87)+IF(K87="",0,K87*10))/COUNT(E87,G87,H87,I87,J87,K87),1))</f>
        <v/>
      </c>
      <c r="M87">
        <f>IF(L87="","",IF(L87&gt;=85,"Excellent",IF(L87&gt;=70,"Good",IF(L87&gt;=55,"Mixed","Poor"))))</f>
        <v/>
      </c>
      <c r="N87" s="66" t="n"/>
      <c r="O87" t="inlineStr">
        <is>
          <t>https://www.imdb.com/find/?q=Despicable+Me+2+2013</t>
        </is>
      </c>
      <c r="P87" t="inlineStr">
        <is>
          <t>https://www.rottentomatoes.com/search?search=Despicable+Me+2</t>
        </is>
      </c>
      <c r="Q87" t="inlineStr">
        <is>
          <t>https://letterboxd.com/search/Despicable%20Me%202/</t>
        </is>
      </c>
      <c r="R87" t="inlineStr">
        <is>
          <t>https://www.metacritic.com/search/Despicable+Me+2/</t>
        </is>
      </c>
    </row>
    <row r="88">
      <c r="A88" t="inlineStr">
        <is>
          <t>F0084</t>
        </is>
      </c>
      <c r="B88" t="inlineStr">
        <is>
          <t>Despicable Me 3</t>
        </is>
      </c>
      <c r="C88" s="63" t="inlineStr">
        <is>
          <t>2017</t>
        </is>
      </c>
      <c r="E88" s="82" t="n"/>
      <c r="F88" s="85" t="n"/>
      <c r="G88" s="71" t="n"/>
      <c r="H88" s="71" t="n"/>
      <c r="I88" s="83" t="n"/>
      <c r="J88" s="71" t="n"/>
      <c r="K88" s="82" t="n"/>
      <c r="L88" s="82">
        <f>IF(COUNT(E88,G88,H88,I88,J88,K88)=0,"",ROUND((IF(E88="",0,E88*10)+IF(G88="",0,G88)+IF(H88="",0,H88)+IF(I88="",0,I88*20)+IF(J88="",0,J88)+IF(K88="",0,K88*10))/COUNT(E88,G88,H88,I88,J88,K88),1))</f>
        <v/>
      </c>
      <c r="M88">
        <f>IF(L88="","",IF(L88&gt;=85,"Excellent",IF(L88&gt;=70,"Good",IF(L88&gt;=55,"Mixed","Poor"))))</f>
        <v/>
      </c>
      <c r="N88" s="66" t="n"/>
      <c r="O88" t="inlineStr">
        <is>
          <t>https://www.imdb.com/find/?q=Despicable+Me+3+2017</t>
        </is>
      </c>
      <c r="P88" t="inlineStr">
        <is>
          <t>https://www.rottentomatoes.com/search?search=Despicable+Me+3</t>
        </is>
      </c>
      <c r="Q88" t="inlineStr">
        <is>
          <t>https://letterboxd.com/search/Despicable%20Me%203/</t>
        </is>
      </c>
      <c r="R88" t="inlineStr">
        <is>
          <t>https://www.metacritic.com/search/Despicable+Me+3/</t>
        </is>
      </c>
    </row>
    <row r="89">
      <c r="A89" t="inlineStr">
        <is>
          <t>F0085</t>
        </is>
      </c>
      <c r="B89" t="inlineStr">
        <is>
          <t>The Dictator</t>
        </is>
      </c>
      <c r="C89" s="63" t="inlineStr">
        <is>
          <t>2012</t>
        </is>
      </c>
      <c r="E89" s="82" t="n"/>
      <c r="F89" s="85" t="n"/>
      <c r="G89" s="71" t="n"/>
      <c r="H89" s="71" t="n"/>
      <c r="I89" s="83" t="n"/>
      <c r="J89" s="71" t="n"/>
      <c r="K89" s="82" t="n"/>
      <c r="L89" s="82">
        <f>IF(COUNT(E89,G89,H89,I89,J89,K89)=0,"",ROUND((IF(E89="",0,E89*10)+IF(G89="",0,G89)+IF(H89="",0,H89)+IF(I89="",0,I89*20)+IF(J89="",0,J89)+IF(K89="",0,K89*10))/COUNT(E89,G89,H89,I89,J89,K89),1))</f>
        <v/>
      </c>
      <c r="M89">
        <f>IF(L89="","",IF(L89&gt;=85,"Excellent",IF(L89&gt;=70,"Good",IF(L89&gt;=55,"Mixed","Poor"))))</f>
        <v/>
      </c>
      <c r="N89" s="66" t="n"/>
      <c r="O89" t="inlineStr">
        <is>
          <t>https://www.imdb.com/find/?q=The+Dictator+2012</t>
        </is>
      </c>
      <c r="P89" t="inlineStr">
        <is>
          <t>https://www.rottentomatoes.com/search?search=The+Dictator</t>
        </is>
      </c>
      <c r="Q89" t="inlineStr">
        <is>
          <t>https://letterboxd.com/search/The%20Dictator/</t>
        </is>
      </c>
      <c r="R89" t="inlineStr">
        <is>
          <t>https://www.metacritic.com/search/The+Dictator/</t>
        </is>
      </c>
    </row>
    <row r="90">
      <c r="A90" t="inlineStr">
        <is>
          <t>F0086</t>
        </is>
      </c>
      <c r="B90" t="inlineStr">
        <is>
          <t>Live Free or Die Hard</t>
        </is>
      </c>
      <c r="C90" s="63" t="inlineStr">
        <is>
          <t>2007</t>
        </is>
      </c>
      <c r="E90" s="82" t="n"/>
      <c r="F90" s="85" t="n"/>
      <c r="G90" s="71" t="n"/>
      <c r="H90" s="71" t="n"/>
      <c r="I90" s="83" t="n"/>
      <c r="J90" s="71" t="n"/>
      <c r="K90" s="82" t="n"/>
      <c r="L90" s="82">
        <f>IF(COUNT(E90,G90,H90,I90,J90,K90)=0,"",ROUND((IF(E90="",0,E90*10)+IF(G90="",0,G90)+IF(H90="",0,H90)+IF(I90="",0,I90*20)+IF(J90="",0,J90)+IF(K90="",0,K90*10))/COUNT(E90,G90,H90,I90,J90,K90),1))</f>
        <v/>
      </c>
      <c r="M90">
        <f>IF(L90="","",IF(L90&gt;=85,"Excellent",IF(L90&gt;=70,"Good",IF(L90&gt;=55,"Mixed","Poor"))))</f>
        <v/>
      </c>
      <c r="N90" s="66" t="n"/>
      <c r="O90" t="inlineStr">
        <is>
          <t>https://www.imdb.com/find/?q=Live+Free+or+Die+Hard+2007</t>
        </is>
      </c>
      <c r="P90" t="inlineStr">
        <is>
          <t>https://www.rottentomatoes.com/search?search=Live+Free+or+Die+Hard</t>
        </is>
      </c>
      <c r="Q90" t="inlineStr">
        <is>
          <t>https://letterboxd.com/search/Live%20Free%20or%20Die%20Hard/</t>
        </is>
      </c>
      <c r="R90" t="inlineStr">
        <is>
          <t>https://www.metacritic.com/search/Live+Free+or+Die+Hard/</t>
        </is>
      </c>
    </row>
    <row r="91">
      <c r="A91" t="inlineStr">
        <is>
          <t>F0087</t>
        </is>
      </c>
      <c r="B91" t="inlineStr">
        <is>
          <t>Dirty Grandpa</t>
        </is>
      </c>
      <c r="C91" s="63" t="inlineStr">
        <is>
          <t>2016</t>
        </is>
      </c>
      <c r="E91" s="82" t="n"/>
      <c r="F91" s="85" t="n"/>
      <c r="G91" s="71" t="n"/>
      <c r="H91" s="71" t="n"/>
      <c r="I91" s="83" t="n"/>
      <c r="J91" s="71" t="n"/>
      <c r="K91" s="82" t="n"/>
      <c r="L91" s="82">
        <f>IF(COUNT(E91,G91,H91,I91,J91,K91)=0,"",ROUND((IF(E91="",0,E91*10)+IF(G91="",0,G91)+IF(H91="",0,H91)+IF(I91="",0,I91*20)+IF(J91="",0,J91)+IF(K91="",0,K91*10))/COUNT(E91,G91,H91,I91,J91,K91),1))</f>
        <v/>
      </c>
      <c r="M91">
        <f>IF(L91="","",IF(L91&gt;=85,"Excellent",IF(L91&gt;=70,"Good",IF(L91&gt;=55,"Mixed","Poor"))))</f>
        <v/>
      </c>
      <c r="N91" s="66" t="n"/>
      <c r="O91" t="inlineStr">
        <is>
          <t>https://www.imdb.com/find/?q=Dirty+Grandpa+2016</t>
        </is>
      </c>
      <c r="P91" t="inlineStr">
        <is>
          <t>https://www.rottentomatoes.com/search?search=Dirty+Grandpa</t>
        </is>
      </c>
      <c r="Q91" t="inlineStr">
        <is>
          <t>https://letterboxd.com/search/Dirty%20Grandpa/</t>
        </is>
      </c>
      <c r="R91" t="inlineStr">
        <is>
          <t>https://www.metacritic.com/search/Dirty+Grandpa/</t>
        </is>
      </c>
    </row>
    <row r="92">
      <c r="A92" t="inlineStr">
        <is>
          <t>F0088</t>
        </is>
      </c>
      <c r="B92" t="inlineStr">
        <is>
          <t>District 9</t>
        </is>
      </c>
      <c r="C92" s="63" t="inlineStr">
        <is>
          <t>2009</t>
        </is>
      </c>
      <c r="E92" s="82" t="n"/>
      <c r="F92" s="85" t="n"/>
      <c r="G92" s="71" t="n"/>
      <c r="H92" s="71" t="n"/>
      <c r="I92" s="83" t="n"/>
      <c r="J92" s="71" t="n"/>
      <c r="K92" s="82" t="n"/>
      <c r="L92" s="82">
        <f>IF(COUNT(E92,G92,H92,I92,J92,K92)=0,"",ROUND((IF(E92="",0,E92*10)+IF(G92="",0,G92)+IF(H92="",0,H92)+IF(I92="",0,I92*20)+IF(J92="",0,J92)+IF(K92="",0,K92*10))/COUNT(E92,G92,H92,I92,J92,K92),1))</f>
        <v/>
      </c>
      <c r="M92">
        <f>IF(L92="","",IF(L92&gt;=85,"Excellent",IF(L92&gt;=70,"Good",IF(L92&gt;=55,"Mixed","Poor"))))</f>
        <v/>
      </c>
      <c r="N92" s="66" t="n"/>
      <c r="O92" t="inlineStr">
        <is>
          <t>https://www.imdb.com/find/?q=District+9+2009</t>
        </is>
      </c>
      <c r="P92" t="inlineStr">
        <is>
          <t>https://www.rottentomatoes.com/search?search=District+9</t>
        </is>
      </c>
      <c r="Q92" t="inlineStr">
        <is>
          <t>https://letterboxd.com/search/District%209/</t>
        </is>
      </c>
      <c r="R92" t="inlineStr">
        <is>
          <t>https://www.metacritic.com/search/District+9/</t>
        </is>
      </c>
    </row>
    <row r="93">
      <c r="A93" t="inlineStr">
        <is>
          <t>F0089</t>
        </is>
      </c>
      <c r="B93" t="inlineStr">
        <is>
          <t>Divergent</t>
        </is>
      </c>
      <c r="C93" s="63" t="inlineStr">
        <is>
          <t>2014</t>
        </is>
      </c>
      <c r="E93" s="82" t="n"/>
      <c r="F93" s="85" t="n"/>
      <c r="G93" s="71" t="n"/>
      <c r="H93" s="71" t="n"/>
      <c r="I93" s="83" t="n"/>
      <c r="J93" s="71" t="n"/>
      <c r="K93" s="82" t="n"/>
      <c r="L93" s="82">
        <f>IF(COUNT(E93,G93,H93,I93,J93,K93)=0,"",ROUND((IF(E93="",0,E93*10)+IF(G93="",0,G93)+IF(H93="",0,H93)+IF(I93="",0,I93*20)+IF(J93="",0,J93)+IF(K93="",0,K93*10))/COUNT(E93,G93,H93,I93,J93,K93),1))</f>
        <v/>
      </c>
      <c r="M93">
        <f>IF(L93="","",IF(L93&gt;=85,"Excellent",IF(L93&gt;=70,"Good",IF(L93&gt;=55,"Mixed","Poor"))))</f>
        <v/>
      </c>
      <c r="N93" s="66" t="n"/>
      <c r="O93" t="inlineStr">
        <is>
          <t>https://www.imdb.com/find/?q=Divergent+2014</t>
        </is>
      </c>
      <c r="P93" t="inlineStr">
        <is>
          <t>https://www.rottentomatoes.com/search?search=Divergent</t>
        </is>
      </c>
      <c r="Q93" t="inlineStr">
        <is>
          <t>https://letterboxd.com/search/Divergent/</t>
        </is>
      </c>
      <c r="R93" t="inlineStr">
        <is>
          <t>https://www.metacritic.com/search/Divergent/</t>
        </is>
      </c>
    </row>
    <row r="94">
      <c r="A94" t="inlineStr">
        <is>
          <t>F0090</t>
        </is>
      </c>
      <c r="B94" t="inlineStr">
        <is>
          <t>Django Unchained</t>
        </is>
      </c>
      <c r="C94" s="63" t="inlineStr">
        <is>
          <t>2012</t>
        </is>
      </c>
      <c r="E94" s="82" t="n"/>
      <c r="F94" s="85" t="n"/>
      <c r="G94" s="71" t="n"/>
      <c r="H94" s="71" t="n"/>
      <c r="I94" s="83" t="n"/>
      <c r="J94" s="71" t="n"/>
      <c r="K94" s="82" t="n"/>
      <c r="L94" s="82">
        <f>IF(COUNT(E94,G94,H94,I94,J94,K94)=0,"",ROUND((IF(E94="",0,E94*10)+IF(G94="",0,G94)+IF(H94="",0,H94)+IF(I94="",0,I94*20)+IF(J94="",0,J94)+IF(K94="",0,K94*10))/COUNT(E94,G94,H94,I94,J94,K94),1))</f>
        <v/>
      </c>
      <c r="M94">
        <f>IF(L94="","",IF(L94&gt;=85,"Excellent",IF(L94&gt;=70,"Good",IF(L94&gt;=55,"Mixed","Poor"))))</f>
        <v/>
      </c>
      <c r="N94" s="66" t="n"/>
      <c r="O94" t="inlineStr">
        <is>
          <t>https://www.imdb.com/find/?q=Django+Unchained+2012</t>
        </is>
      </c>
      <c r="P94" t="inlineStr">
        <is>
          <t>https://www.rottentomatoes.com/search?search=Django+Unchained</t>
        </is>
      </c>
      <c r="Q94" t="inlineStr">
        <is>
          <t>https://letterboxd.com/search/Django%20Unchained/</t>
        </is>
      </c>
      <c r="R94" t="inlineStr">
        <is>
          <t>https://www.metacritic.com/search/Django+Unchained/</t>
        </is>
      </c>
    </row>
    <row r="95">
      <c r="A95" t="inlineStr">
        <is>
          <t>F0091</t>
        </is>
      </c>
      <c r="B95" t="inlineStr">
        <is>
          <t>Due Date</t>
        </is>
      </c>
      <c r="C95" s="63" t="inlineStr">
        <is>
          <t>2010</t>
        </is>
      </c>
      <c r="E95" s="82" t="n"/>
      <c r="F95" s="85" t="n"/>
      <c r="G95" s="71" t="n"/>
      <c r="H95" s="71" t="n"/>
      <c r="I95" s="83" t="n"/>
      <c r="J95" s="71" t="n"/>
      <c r="K95" s="82" t="n"/>
      <c r="L95" s="82">
        <f>IF(COUNT(E95,G95,H95,I95,J95,K95)=0,"",ROUND((IF(E95="",0,E95*10)+IF(G95="",0,G95)+IF(H95="",0,H95)+IF(I95="",0,I95*20)+IF(J95="",0,J95)+IF(K95="",0,K95*10))/COUNT(E95,G95,H95,I95,J95,K95),1))</f>
        <v/>
      </c>
      <c r="M95">
        <f>IF(L95="","",IF(L95&gt;=85,"Excellent",IF(L95&gt;=70,"Good",IF(L95&gt;=55,"Mixed","Poor"))))</f>
        <v/>
      </c>
      <c r="N95" s="66" t="n"/>
      <c r="O95" t="inlineStr">
        <is>
          <t>https://www.imdb.com/find/?q=Due+Date+2010</t>
        </is>
      </c>
      <c r="P95" t="inlineStr">
        <is>
          <t>https://www.rottentomatoes.com/search?search=Due+Date</t>
        </is>
      </c>
      <c r="Q95" t="inlineStr">
        <is>
          <t>https://letterboxd.com/search/Due%20Date/</t>
        </is>
      </c>
      <c r="R95" t="inlineStr">
        <is>
          <t>https://www.metacritic.com/search/Due+Date/</t>
        </is>
      </c>
    </row>
    <row r="96">
      <c r="A96" t="inlineStr">
        <is>
          <t>F0092</t>
        </is>
      </c>
      <c r="B96" t="inlineStr">
        <is>
          <t>Elf</t>
        </is>
      </c>
      <c r="C96" s="63" t="inlineStr">
        <is>
          <t>2003</t>
        </is>
      </c>
      <c r="E96" s="82" t="n"/>
      <c r="F96" s="85" t="n"/>
      <c r="G96" s="71" t="n"/>
      <c r="H96" s="71" t="n"/>
      <c r="I96" s="83" t="n"/>
      <c r="J96" s="71" t="n"/>
      <c r="K96" s="82" t="n"/>
      <c r="L96" s="82">
        <f>IF(COUNT(E96,G96,H96,I96,J96,K96)=0,"",ROUND((IF(E96="",0,E96*10)+IF(G96="",0,G96)+IF(H96="",0,H96)+IF(I96="",0,I96*20)+IF(J96="",0,J96)+IF(K96="",0,K96*10))/COUNT(E96,G96,H96,I96,J96,K96),1))</f>
        <v/>
      </c>
      <c r="M96">
        <f>IF(L96="","",IF(L96&gt;=85,"Excellent",IF(L96&gt;=70,"Good",IF(L96&gt;=55,"Mixed","Poor"))))</f>
        <v/>
      </c>
      <c r="N96" s="66" t="n"/>
      <c r="O96" t="inlineStr">
        <is>
          <t>https://www.imdb.com/find/?q=Elf+2003</t>
        </is>
      </c>
      <c r="P96" t="inlineStr">
        <is>
          <t>https://www.rottentomatoes.com/search?search=Elf</t>
        </is>
      </c>
      <c r="Q96" t="inlineStr">
        <is>
          <t>https://letterboxd.com/search/Elf/</t>
        </is>
      </c>
      <c r="R96" t="inlineStr">
        <is>
          <t>https://www.metacritic.com/search/Elf/</t>
        </is>
      </c>
    </row>
    <row r="97">
      <c r="A97" t="inlineStr">
        <is>
          <t>F0093</t>
        </is>
      </c>
      <c r="B97" t="inlineStr">
        <is>
          <t>Elysium</t>
        </is>
      </c>
      <c r="C97" s="63" t="inlineStr">
        <is>
          <t>2013</t>
        </is>
      </c>
      <c r="E97" s="82" t="n"/>
      <c r="F97" s="85" t="n"/>
      <c r="G97" s="71" t="n"/>
      <c r="H97" s="71" t="n"/>
      <c r="I97" s="83" t="n"/>
      <c r="J97" s="71" t="n"/>
      <c r="K97" s="82" t="n"/>
      <c r="L97" s="82">
        <f>IF(COUNT(E97,G97,H97,I97,J97,K97)=0,"",ROUND((IF(E97="",0,E97*10)+IF(G97="",0,G97)+IF(H97="",0,H97)+IF(I97="",0,I97*20)+IF(J97="",0,J97)+IF(K97="",0,K97*10))/COUNT(E97,G97,H97,I97,J97,K97),1))</f>
        <v/>
      </c>
      <c r="M97">
        <f>IF(L97="","",IF(L97&gt;=85,"Excellent",IF(L97&gt;=70,"Good",IF(L97&gt;=55,"Mixed","Poor"))))</f>
        <v/>
      </c>
      <c r="N97" s="66" t="n"/>
      <c r="O97" t="inlineStr">
        <is>
          <t>https://www.imdb.com/find/?q=Elysium+2013</t>
        </is>
      </c>
      <c r="P97" t="inlineStr">
        <is>
          <t>https://www.rottentomatoes.com/search?search=Elysium</t>
        </is>
      </c>
      <c r="Q97" t="inlineStr">
        <is>
          <t>https://letterboxd.com/search/Elysium/</t>
        </is>
      </c>
      <c r="R97" t="inlineStr">
        <is>
          <t>https://www.metacritic.com/search/Elysium/</t>
        </is>
      </c>
    </row>
    <row r="98">
      <c r="A98" t="inlineStr">
        <is>
          <t>F0094</t>
        </is>
      </c>
      <c r="B98" t="inlineStr">
        <is>
          <t>Enemy of the State</t>
        </is>
      </c>
      <c r="C98" s="63" t="inlineStr">
        <is>
          <t>1998</t>
        </is>
      </c>
      <c r="E98" s="82" t="n"/>
      <c r="F98" s="85" t="n"/>
      <c r="G98" s="71" t="n"/>
      <c r="H98" s="71" t="n"/>
      <c r="I98" s="83" t="n"/>
      <c r="J98" s="71" t="n"/>
      <c r="K98" s="82" t="n"/>
      <c r="L98" s="82">
        <f>IF(COUNT(E98,G98,H98,I98,J98,K98)=0,"",ROUND((IF(E98="",0,E98*10)+IF(G98="",0,G98)+IF(H98="",0,H98)+IF(I98="",0,I98*20)+IF(J98="",0,J98)+IF(K98="",0,K98*10))/COUNT(E98,G98,H98,I98,J98,K98),1))</f>
        <v/>
      </c>
      <c r="M98">
        <f>IF(L98="","",IF(L98&gt;=85,"Excellent",IF(L98&gt;=70,"Good",IF(L98&gt;=55,"Mixed","Poor"))))</f>
        <v/>
      </c>
      <c r="N98" s="66" t="n"/>
      <c r="O98" t="inlineStr">
        <is>
          <t>https://www.imdb.com/find/?q=Enemy+of+the+State+1998</t>
        </is>
      </c>
      <c r="P98" t="inlineStr">
        <is>
          <t>https://www.rottentomatoes.com/search?search=Enemy+of+the+State</t>
        </is>
      </c>
      <c r="Q98" t="inlineStr">
        <is>
          <t>https://letterboxd.com/search/Enemy%20of%20the%20State/</t>
        </is>
      </c>
      <c r="R98" t="inlineStr">
        <is>
          <t>https://www.metacritic.com/search/Enemy+of+the+State/</t>
        </is>
      </c>
    </row>
    <row r="99">
      <c r="A99" t="inlineStr">
        <is>
          <t>F0095</t>
        </is>
      </c>
      <c r="B99" t="inlineStr">
        <is>
          <t>The Expendables</t>
        </is>
      </c>
      <c r="C99" s="63" t="inlineStr">
        <is>
          <t>2010</t>
        </is>
      </c>
      <c r="E99" s="82" t="n"/>
      <c r="F99" s="85" t="n"/>
      <c r="G99" s="71" t="n"/>
      <c r="H99" s="71" t="n"/>
      <c r="I99" s="83" t="n"/>
      <c r="J99" s="71" t="n"/>
      <c r="K99" s="82" t="n"/>
      <c r="L99" s="82">
        <f>IF(COUNT(E99,G99,H99,I99,J99,K99)=0,"",ROUND((IF(E99="",0,E99*10)+IF(G99="",0,G99)+IF(H99="",0,H99)+IF(I99="",0,I99*20)+IF(J99="",0,J99)+IF(K99="",0,K99*10))/COUNT(E99,G99,H99,I99,J99,K99),1))</f>
        <v/>
      </c>
      <c r="M99">
        <f>IF(L99="","",IF(L99&gt;=85,"Excellent",IF(L99&gt;=70,"Good",IF(L99&gt;=55,"Mixed","Poor"))))</f>
        <v/>
      </c>
      <c r="N99" s="66" t="n"/>
      <c r="O99" t="inlineStr">
        <is>
          <t>https://www.imdb.com/find/?q=The+Expendables+2010</t>
        </is>
      </c>
      <c r="P99" t="inlineStr">
        <is>
          <t>https://www.rottentomatoes.com/search?search=The+Expendables</t>
        </is>
      </c>
      <c r="Q99" t="inlineStr">
        <is>
          <t>https://letterboxd.com/search/The%20Expendables/</t>
        </is>
      </c>
      <c r="R99" t="inlineStr">
        <is>
          <t>https://www.metacritic.com/search/The+Expendables/</t>
        </is>
      </c>
    </row>
    <row r="100">
      <c r="A100" t="inlineStr">
        <is>
          <t>F0096</t>
        </is>
      </c>
      <c r="B100" t="inlineStr">
        <is>
          <t>The Expendables 2</t>
        </is>
      </c>
      <c r="C100" s="63" t="inlineStr">
        <is>
          <t>2012</t>
        </is>
      </c>
      <c r="E100" s="82" t="n"/>
      <c r="F100" s="85" t="n"/>
      <c r="G100" s="71" t="n"/>
      <c r="H100" s="71" t="n"/>
      <c r="I100" s="83" t="n"/>
      <c r="J100" s="71" t="n"/>
      <c r="K100" s="82" t="n"/>
      <c r="L100" s="82">
        <f>IF(COUNT(E100,G100,H100,I100,J100,K100)=0,"",ROUND((IF(E100="",0,E100*10)+IF(G100="",0,G100)+IF(H100="",0,H100)+IF(I100="",0,I100*20)+IF(J100="",0,J100)+IF(K100="",0,K100*10))/COUNT(E100,G100,H100,I100,J100,K100),1))</f>
        <v/>
      </c>
      <c r="M100">
        <f>IF(L100="","",IF(L100&gt;=85,"Excellent",IF(L100&gt;=70,"Good",IF(L100&gt;=55,"Mixed","Poor"))))</f>
        <v/>
      </c>
      <c r="N100" s="66" t="n"/>
      <c r="O100" t="inlineStr">
        <is>
          <t>https://www.imdb.com/find/?q=The+Expendables+2+2012</t>
        </is>
      </c>
      <c r="P100" t="inlineStr">
        <is>
          <t>https://www.rottentomatoes.com/search?search=The+Expendables+2</t>
        </is>
      </c>
      <c r="Q100" t="inlineStr">
        <is>
          <t>https://letterboxd.com/search/The%20Expendables%202/</t>
        </is>
      </c>
      <c r="R100" t="inlineStr">
        <is>
          <t>https://www.metacritic.com/search/The+Expendables+2/</t>
        </is>
      </c>
    </row>
    <row r="101">
      <c r="A101" t="inlineStr">
        <is>
          <t>F0097</t>
        </is>
      </c>
      <c r="B101" t="inlineStr">
        <is>
          <t>The Expendables 3</t>
        </is>
      </c>
      <c r="C101" s="63" t="inlineStr">
        <is>
          <t>2014</t>
        </is>
      </c>
      <c r="E101" s="82" t="n"/>
      <c r="F101" s="85" t="n"/>
      <c r="G101" s="71" t="n"/>
      <c r="H101" s="71" t="n"/>
      <c r="I101" s="83" t="n"/>
      <c r="J101" s="71" t="n"/>
      <c r="K101" s="82" t="n"/>
      <c r="L101" s="82">
        <f>IF(COUNT(E101,G101,H101,I101,J101,K101)=0,"",ROUND((IF(E101="",0,E101*10)+IF(G101="",0,G101)+IF(H101="",0,H101)+IF(I101="",0,I101*20)+IF(J101="",0,J101)+IF(K101="",0,K101*10))/COUNT(E101,G101,H101,I101,J101,K101),1))</f>
        <v/>
      </c>
      <c r="M101">
        <f>IF(L101="","",IF(L101&gt;=85,"Excellent",IF(L101&gt;=70,"Good",IF(L101&gt;=55,"Mixed","Poor"))))</f>
        <v/>
      </c>
      <c r="N101" s="66" t="n"/>
      <c r="O101" t="inlineStr">
        <is>
          <t>https://www.imdb.com/find/?q=The+Expendables+3+2014</t>
        </is>
      </c>
      <c r="P101" t="inlineStr">
        <is>
          <t>https://www.rottentomatoes.com/search?search=The+Expendables+3</t>
        </is>
      </c>
      <c r="Q101" t="inlineStr">
        <is>
          <t>https://letterboxd.com/search/The%20Expendables%203/</t>
        </is>
      </c>
      <c r="R101" t="inlineStr">
        <is>
          <t>https://www.metacritic.com/search/The+Expendables+3/</t>
        </is>
      </c>
    </row>
    <row r="102">
      <c r="A102" t="inlineStr">
        <is>
          <t>F0098</t>
        </is>
      </c>
      <c r="B102" t="inlineStr">
        <is>
          <t>F1</t>
        </is>
      </c>
      <c r="C102" s="63" t="inlineStr">
        <is>
          <t>2025</t>
        </is>
      </c>
      <c r="E102" s="82" t="n"/>
      <c r="F102" s="85" t="n"/>
      <c r="G102" s="71" t="n"/>
      <c r="H102" s="71" t="n"/>
      <c r="I102" s="83" t="n"/>
      <c r="J102" s="71" t="n"/>
      <c r="K102" s="82" t="n"/>
      <c r="L102" s="82">
        <f>IF(COUNT(E102,G102,H102,I102,J102,K102)=0,"",ROUND((IF(E102="",0,E102*10)+IF(G102="",0,G102)+IF(H102="",0,H102)+IF(I102="",0,I102*20)+IF(J102="",0,J102)+IF(K102="",0,K102*10))/COUNT(E102,G102,H102,I102,J102,K102),1))</f>
        <v/>
      </c>
      <c r="M102">
        <f>IF(L102="","",IF(L102&gt;=85,"Excellent",IF(L102&gt;=70,"Good",IF(L102&gt;=55,"Mixed","Poor"))))</f>
        <v/>
      </c>
      <c r="N102" s="66" t="n"/>
      <c r="O102" t="inlineStr">
        <is>
          <t>https://www.imdb.com/find/?q=F1+2025</t>
        </is>
      </c>
      <c r="P102" t="inlineStr">
        <is>
          <t>https://www.rottentomatoes.com/search?search=F1</t>
        </is>
      </c>
      <c r="Q102" t="inlineStr">
        <is>
          <t>https://letterboxd.com/search/F1/</t>
        </is>
      </c>
      <c r="R102" t="inlineStr">
        <is>
          <t>https://www.metacritic.com/search/F1/</t>
        </is>
      </c>
    </row>
    <row r="103">
      <c r="A103" t="inlineStr">
        <is>
          <t>F0099</t>
        </is>
      </c>
      <c r="B103" t="inlineStr">
        <is>
          <t>The Fall Guy</t>
        </is>
      </c>
      <c r="C103" s="63" t="inlineStr">
        <is>
          <t>2024</t>
        </is>
      </c>
      <c r="E103" s="82" t="n"/>
      <c r="F103" s="85" t="n"/>
      <c r="G103" s="71" t="n"/>
      <c r="H103" s="71" t="n"/>
      <c r="I103" s="83" t="n"/>
      <c r="J103" s="71" t="n"/>
      <c r="K103" s="82" t="n"/>
      <c r="L103" s="82">
        <f>IF(COUNT(E103,G103,H103,I103,J103,K103)=0,"",ROUND((IF(E103="",0,E103*10)+IF(G103="",0,G103)+IF(H103="",0,H103)+IF(I103="",0,I103*20)+IF(J103="",0,J103)+IF(K103="",0,K103*10))/COUNT(E103,G103,H103,I103,J103,K103),1))</f>
        <v/>
      </c>
      <c r="M103">
        <f>IF(L103="","",IF(L103&gt;=85,"Excellent",IF(L103&gt;=70,"Good",IF(L103&gt;=55,"Mixed","Poor"))))</f>
        <v/>
      </c>
      <c r="N103" s="66" t="n"/>
      <c r="O103" t="inlineStr">
        <is>
          <t>https://www.imdb.com/find/?q=The+Fall+Guy+2024</t>
        </is>
      </c>
      <c r="P103" t="inlineStr">
        <is>
          <t>https://www.rottentomatoes.com/search?search=The+Fall+Guy</t>
        </is>
      </c>
      <c r="Q103" t="inlineStr">
        <is>
          <t>https://letterboxd.com/search/The%20Fall%20Guy/</t>
        </is>
      </c>
      <c r="R103" t="inlineStr">
        <is>
          <t>https://www.metacritic.com/search/The+Fall+Guy/</t>
        </is>
      </c>
    </row>
    <row r="104">
      <c r="A104" t="inlineStr">
        <is>
          <t>F0100</t>
        </is>
      </c>
      <c r="B104" t="inlineStr">
        <is>
          <t>Fantastic Beasts and Where to Find Them</t>
        </is>
      </c>
      <c r="C104" s="63" t="inlineStr">
        <is>
          <t>2016</t>
        </is>
      </c>
      <c r="E104" s="82" t="n"/>
      <c r="F104" s="85" t="n"/>
      <c r="G104" s="71" t="n"/>
      <c r="H104" s="71" t="n"/>
      <c r="I104" s="83" t="n"/>
      <c r="J104" s="71" t="n"/>
      <c r="K104" s="82" t="n"/>
      <c r="L104" s="82">
        <f>IF(COUNT(E104,G104,H104,I104,J104,K104)=0,"",ROUND((IF(E104="",0,E104*10)+IF(G104="",0,G104)+IF(H104="",0,H104)+IF(I104="",0,I104*20)+IF(J104="",0,J104)+IF(K104="",0,K104*10))/COUNT(E104,G104,H104,I104,J104,K104),1))</f>
        <v/>
      </c>
      <c r="M104">
        <f>IF(L104="","",IF(L104&gt;=85,"Excellent",IF(L104&gt;=70,"Good",IF(L104&gt;=55,"Mixed","Poor"))))</f>
        <v/>
      </c>
      <c r="N104" s="66" t="n"/>
      <c r="O104" t="inlineStr">
        <is>
          <t>https://www.imdb.com/find/?q=Fantastic+Beasts+and+Where+to+Find+Them+2016</t>
        </is>
      </c>
      <c r="P104" t="inlineStr">
        <is>
          <t>https://www.rottentomatoes.com/search?search=Fantastic+Beasts+and+Where+to+Find+Them</t>
        </is>
      </c>
      <c r="Q104" t="inlineStr">
        <is>
          <t>https://letterboxd.com/search/Fantastic%20Beasts%20and%20Where%20to%20Find%20Them/</t>
        </is>
      </c>
      <c r="R104" t="inlineStr">
        <is>
          <t>https://www.metacritic.com/search/Fantastic+Beasts+and+Where+to+Find+Them/</t>
        </is>
      </c>
    </row>
    <row r="105">
      <c r="A105" t="inlineStr">
        <is>
          <t>F0101</t>
        </is>
      </c>
      <c r="B105" t="inlineStr">
        <is>
          <t>The Fast and the Furious</t>
        </is>
      </c>
      <c r="C105" s="63" t="inlineStr">
        <is>
          <t>2001</t>
        </is>
      </c>
      <c r="E105" s="82" t="n"/>
      <c r="F105" s="85" t="n"/>
      <c r="G105" s="71" t="n"/>
      <c r="H105" s="71" t="n"/>
      <c r="I105" s="83" t="n"/>
      <c r="J105" s="71" t="n"/>
      <c r="K105" s="82" t="n"/>
      <c r="L105" s="82">
        <f>IF(COUNT(E105,G105,H105,I105,J105,K105)=0,"",ROUND((IF(E105="",0,E105*10)+IF(G105="",0,G105)+IF(H105="",0,H105)+IF(I105="",0,I105*20)+IF(J105="",0,J105)+IF(K105="",0,K105*10))/COUNT(E105,G105,H105,I105,J105,K105),1))</f>
        <v/>
      </c>
      <c r="M105">
        <f>IF(L105="","",IF(L105&gt;=85,"Excellent",IF(L105&gt;=70,"Good",IF(L105&gt;=55,"Mixed","Poor"))))</f>
        <v/>
      </c>
      <c r="N105" s="66" t="n"/>
      <c r="O105" t="inlineStr">
        <is>
          <t>https://www.imdb.com/find/?q=The+Fast+and+the+Furious+2001</t>
        </is>
      </c>
      <c r="P105" t="inlineStr">
        <is>
          <t>https://www.rottentomatoes.com/search?search=The+Fast+and+the+Furious</t>
        </is>
      </c>
      <c r="Q105" t="inlineStr">
        <is>
          <t>https://letterboxd.com/search/The%20Fast%20and%20the%20Furious/</t>
        </is>
      </c>
      <c r="R105" t="inlineStr">
        <is>
          <t>https://www.metacritic.com/search/The+Fast+and+the+Furious/</t>
        </is>
      </c>
    </row>
    <row r="106">
      <c r="A106" t="inlineStr">
        <is>
          <t>F0102</t>
        </is>
      </c>
      <c r="B106" t="inlineStr">
        <is>
          <t>2 Fast 2 Furious</t>
        </is>
      </c>
      <c r="C106" s="63" t="inlineStr">
        <is>
          <t>2003</t>
        </is>
      </c>
      <c r="E106" s="82" t="n"/>
      <c r="F106" s="85" t="n"/>
      <c r="G106" s="71" t="n"/>
      <c r="H106" s="71" t="n"/>
      <c r="I106" s="83" t="n"/>
      <c r="J106" s="71" t="n"/>
      <c r="K106" s="82" t="n"/>
      <c r="L106" s="82">
        <f>IF(COUNT(E106,G106,H106,I106,J106,K106)=0,"",ROUND((IF(E106="",0,E106*10)+IF(G106="",0,G106)+IF(H106="",0,H106)+IF(I106="",0,I106*20)+IF(J106="",0,J106)+IF(K106="",0,K106*10))/COUNT(E106,G106,H106,I106,J106,K106),1))</f>
        <v/>
      </c>
      <c r="M106">
        <f>IF(L106="","",IF(L106&gt;=85,"Excellent",IF(L106&gt;=70,"Good",IF(L106&gt;=55,"Mixed","Poor"))))</f>
        <v/>
      </c>
      <c r="N106" s="66" t="n"/>
      <c r="O106" t="inlineStr">
        <is>
          <t>https://www.imdb.com/find/?q=2+Fast+2+Furious+2003</t>
        </is>
      </c>
      <c r="P106" t="inlineStr">
        <is>
          <t>https://www.rottentomatoes.com/search?search=2+Fast+2+Furious</t>
        </is>
      </c>
      <c r="Q106" t="inlineStr">
        <is>
          <t>https://letterboxd.com/search/2%20Fast%202%20Furious/</t>
        </is>
      </c>
      <c r="R106" t="inlineStr">
        <is>
          <t>https://www.metacritic.com/search/2+Fast+2+Furious/</t>
        </is>
      </c>
    </row>
    <row r="107">
      <c r="A107" t="inlineStr">
        <is>
          <t>F0103</t>
        </is>
      </c>
      <c r="B107" t="inlineStr">
        <is>
          <t>The Fast and the Furious: Tokyo Drift</t>
        </is>
      </c>
      <c r="C107" s="63" t="inlineStr">
        <is>
          <t>2006</t>
        </is>
      </c>
      <c r="E107" s="82" t="n"/>
      <c r="F107" s="85" t="n"/>
      <c r="G107" s="71" t="n"/>
      <c r="H107" s="71" t="n"/>
      <c r="I107" s="83" t="n"/>
      <c r="J107" s="71" t="n"/>
      <c r="K107" s="82" t="n"/>
      <c r="L107" s="82">
        <f>IF(COUNT(E107,G107,H107,I107,J107,K107)=0,"",ROUND((IF(E107="",0,E107*10)+IF(G107="",0,G107)+IF(H107="",0,H107)+IF(I107="",0,I107*20)+IF(J107="",0,J107)+IF(K107="",0,K107*10))/COUNT(E107,G107,H107,I107,J107,K107),1))</f>
        <v/>
      </c>
      <c r="M107">
        <f>IF(L107="","",IF(L107&gt;=85,"Excellent",IF(L107&gt;=70,"Good",IF(L107&gt;=55,"Mixed","Poor"))))</f>
        <v/>
      </c>
      <c r="N107" s="66" t="n"/>
      <c r="O107" t="inlineStr">
        <is>
          <t>https://www.imdb.com/find/?q=The+Fast+and+the+Furious%3A+Tokyo+Drift+2006</t>
        </is>
      </c>
      <c r="P107" t="inlineStr">
        <is>
          <t>https://www.rottentomatoes.com/search?search=The+Fast+and+the+Furious%3A+Tokyo+Drift</t>
        </is>
      </c>
      <c r="Q107" t="inlineStr">
        <is>
          <t>https://letterboxd.com/search/The%20Fast%20and%20the%20Furious%3A%20Tokyo%20Drift/</t>
        </is>
      </c>
      <c r="R107" t="inlineStr">
        <is>
          <t>https://www.metacritic.com/search/The+Fast+and+the+Furious%3A+Tokyo+Drift/</t>
        </is>
      </c>
    </row>
    <row r="108">
      <c r="A108" t="inlineStr">
        <is>
          <t>F0104</t>
        </is>
      </c>
      <c r="B108" t="inlineStr">
        <is>
          <t>Fast &amp; Furious</t>
        </is>
      </c>
      <c r="C108" s="63" t="inlineStr">
        <is>
          <t>2009</t>
        </is>
      </c>
      <c r="E108" s="82" t="n"/>
      <c r="F108" s="85" t="n"/>
      <c r="G108" s="71" t="n"/>
      <c r="H108" s="71" t="n"/>
      <c r="I108" s="83" t="n"/>
      <c r="J108" s="71" t="n"/>
      <c r="K108" s="82" t="n"/>
      <c r="L108" s="82">
        <f>IF(COUNT(E108,G108,H108,I108,J108,K108)=0,"",ROUND((IF(E108="",0,E108*10)+IF(G108="",0,G108)+IF(H108="",0,H108)+IF(I108="",0,I108*20)+IF(J108="",0,J108)+IF(K108="",0,K108*10))/COUNT(E108,G108,H108,I108,J108,K108),1))</f>
        <v/>
      </c>
      <c r="M108">
        <f>IF(L108="","",IF(L108&gt;=85,"Excellent",IF(L108&gt;=70,"Good",IF(L108&gt;=55,"Mixed","Poor"))))</f>
        <v/>
      </c>
      <c r="N108" s="66" t="n"/>
      <c r="O108" t="inlineStr">
        <is>
          <t>https://www.imdb.com/find/?q=Fast+%26+Furious+2009</t>
        </is>
      </c>
      <c r="P108" t="inlineStr">
        <is>
          <t>https://www.rottentomatoes.com/search?search=Fast+%26+Furious</t>
        </is>
      </c>
      <c r="Q108" t="inlineStr">
        <is>
          <t>https://letterboxd.com/search/Fast%20%26%20Furious/</t>
        </is>
      </c>
      <c r="R108" t="inlineStr">
        <is>
          <t>https://www.metacritic.com/search/Fast+%26+Furious/</t>
        </is>
      </c>
    </row>
    <row r="109">
      <c r="A109" t="inlineStr">
        <is>
          <t>F0105</t>
        </is>
      </c>
      <c r="B109" t="inlineStr">
        <is>
          <t>Fast Five</t>
        </is>
      </c>
      <c r="C109" s="63" t="inlineStr">
        <is>
          <t>2011</t>
        </is>
      </c>
      <c r="E109" s="82" t="n"/>
      <c r="F109" s="85" t="n"/>
      <c r="G109" s="71" t="n"/>
      <c r="H109" s="71" t="n"/>
      <c r="I109" s="83" t="n"/>
      <c r="J109" s="71" t="n"/>
      <c r="K109" s="82" t="n"/>
      <c r="L109" s="82">
        <f>IF(COUNT(E109,G109,H109,I109,J109,K109)=0,"",ROUND((IF(E109="",0,E109*10)+IF(G109="",0,G109)+IF(H109="",0,H109)+IF(I109="",0,I109*20)+IF(J109="",0,J109)+IF(K109="",0,K109*10))/COUNT(E109,G109,H109,I109,J109,K109),1))</f>
        <v/>
      </c>
      <c r="M109">
        <f>IF(L109="","",IF(L109&gt;=85,"Excellent",IF(L109&gt;=70,"Good",IF(L109&gt;=55,"Mixed","Poor"))))</f>
        <v/>
      </c>
      <c r="N109" s="66" t="n"/>
      <c r="O109" t="inlineStr">
        <is>
          <t>https://www.imdb.com/find/?q=Fast+Five+2011</t>
        </is>
      </c>
      <c r="P109" t="inlineStr">
        <is>
          <t>https://www.rottentomatoes.com/search?search=Fast+Five</t>
        </is>
      </c>
      <c r="Q109" t="inlineStr">
        <is>
          <t>https://letterboxd.com/search/Fast%20Five/</t>
        </is>
      </c>
      <c r="R109" t="inlineStr">
        <is>
          <t>https://www.metacritic.com/search/Fast+Five/</t>
        </is>
      </c>
    </row>
    <row r="110">
      <c r="A110" t="inlineStr">
        <is>
          <t>F0106</t>
        </is>
      </c>
      <c r="B110" t="inlineStr">
        <is>
          <t>Fast &amp; Furious 6</t>
        </is>
      </c>
      <c r="C110" s="63" t="inlineStr">
        <is>
          <t>2013</t>
        </is>
      </c>
      <c r="E110" s="82" t="n"/>
      <c r="F110" s="85" t="n"/>
      <c r="G110" s="71" t="n"/>
      <c r="H110" s="71" t="n"/>
      <c r="I110" s="83" t="n"/>
      <c r="J110" s="71" t="n"/>
      <c r="K110" s="82" t="n"/>
      <c r="L110" s="82">
        <f>IF(COUNT(E110,G110,H110,I110,J110,K110)=0,"",ROUND((IF(E110="",0,E110*10)+IF(G110="",0,G110)+IF(H110="",0,H110)+IF(I110="",0,I110*20)+IF(J110="",0,J110)+IF(K110="",0,K110*10))/COUNT(E110,G110,H110,I110,J110,K110),1))</f>
        <v/>
      </c>
      <c r="M110">
        <f>IF(L110="","",IF(L110&gt;=85,"Excellent",IF(L110&gt;=70,"Good",IF(L110&gt;=55,"Mixed","Poor"))))</f>
        <v/>
      </c>
      <c r="N110" s="66" t="n"/>
      <c r="O110" t="inlineStr">
        <is>
          <t>https://www.imdb.com/find/?q=Fast+%26+Furious+6+2013</t>
        </is>
      </c>
      <c r="P110" t="inlineStr">
        <is>
          <t>https://www.rottentomatoes.com/search?search=Fast+%26+Furious+6</t>
        </is>
      </c>
      <c r="Q110" t="inlineStr">
        <is>
          <t>https://letterboxd.com/search/Fast%20%26%20Furious%206/</t>
        </is>
      </c>
      <c r="R110" t="inlineStr">
        <is>
          <t>https://www.metacritic.com/search/Fast+%26+Furious+6/</t>
        </is>
      </c>
    </row>
    <row r="111">
      <c r="A111" t="inlineStr">
        <is>
          <t>F0107</t>
        </is>
      </c>
      <c r="B111" t="inlineStr">
        <is>
          <t>Furious 7</t>
        </is>
      </c>
      <c r="C111" s="63" t="inlineStr">
        <is>
          <t>2015</t>
        </is>
      </c>
      <c r="E111" s="82" t="n"/>
      <c r="F111" s="85" t="n"/>
      <c r="G111" s="71" t="n"/>
      <c r="H111" s="71" t="n"/>
      <c r="I111" s="83" t="n"/>
      <c r="J111" s="71" t="n"/>
      <c r="K111" s="82" t="n"/>
      <c r="L111" s="82">
        <f>IF(COUNT(E111,G111,H111,I111,J111,K111)=0,"",ROUND((IF(E111="",0,E111*10)+IF(G111="",0,G111)+IF(H111="",0,H111)+IF(I111="",0,I111*20)+IF(J111="",0,J111)+IF(K111="",0,K111*10))/COUNT(E111,G111,H111,I111,J111,K111),1))</f>
        <v/>
      </c>
      <c r="M111">
        <f>IF(L111="","",IF(L111&gt;=85,"Excellent",IF(L111&gt;=70,"Good",IF(L111&gt;=55,"Mixed","Poor"))))</f>
        <v/>
      </c>
      <c r="N111" s="66" t="n"/>
      <c r="O111" t="inlineStr">
        <is>
          <t>https://www.imdb.com/find/?q=Furious+7+2015</t>
        </is>
      </c>
      <c r="P111" t="inlineStr">
        <is>
          <t>https://www.rottentomatoes.com/search?search=Furious+7</t>
        </is>
      </c>
      <c r="Q111" t="inlineStr">
        <is>
          <t>https://letterboxd.com/search/Furious%207/</t>
        </is>
      </c>
      <c r="R111" t="inlineStr">
        <is>
          <t>https://www.metacritic.com/search/Furious+7/</t>
        </is>
      </c>
    </row>
    <row r="112">
      <c r="A112" t="inlineStr">
        <is>
          <t>F0108</t>
        </is>
      </c>
      <c r="B112" t="inlineStr">
        <is>
          <t>The Fate of the Furious</t>
        </is>
      </c>
      <c r="C112" s="63" t="inlineStr">
        <is>
          <t>2017</t>
        </is>
      </c>
      <c r="E112" s="82" t="n"/>
      <c r="F112" s="85" t="n"/>
      <c r="G112" s="71" t="n"/>
      <c r="H112" s="71" t="n"/>
      <c r="I112" s="83" t="n"/>
      <c r="J112" s="71" t="n"/>
      <c r="K112" s="82" t="n"/>
      <c r="L112" s="82">
        <f>IF(COUNT(E112,G112,H112,I112,J112,K112)=0,"",ROUND((IF(E112="",0,E112*10)+IF(G112="",0,G112)+IF(H112="",0,H112)+IF(I112="",0,I112*20)+IF(J112="",0,J112)+IF(K112="",0,K112*10))/COUNT(E112,G112,H112,I112,J112,K112),1))</f>
        <v/>
      </c>
      <c r="M112">
        <f>IF(L112="","",IF(L112&gt;=85,"Excellent",IF(L112&gt;=70,"Good",IF(L112&gt;=55,"Mixed","Poor"))))</f>
        <v/>
      </c>
      <c r="N112" s="66" t="n"/>
      <c r="O112" t="inlineStr">
        <is>
          <t>https://www.imdb.com/find/?q=The+Fate+of+the+Furious+2017</t>
        </is>
      </c>
      <c r="P112" t="inlineStr">
        <is>
          <t>https://www.rottentomatoes.com/search?search=The+Fate+of+the+Furious</t>
        </is>
      </c>
      <c r="Q112" t="inlineStr">
        <is>
          <t>https://letterboxd.com/search/The%20Fate%20of%20the%20Furious/</t>
        </is>
      </c>
      <c r="R112" t="inlineStr">
        <is>
          <t>https://www.metacritic.com/search/The+Fate+of+the+Furious/</t>
        </is>
      </c>
    </row>
    <row r="113">
      <c r="A113" t="inlineStr">
        <is>
          <t>F0109</t>
        </is>
      </c>
      <c r="B113" t="inlineStr">
        <is>
          <t>F9: The Fast Saga</t>
        </is>
      </c>
      <c r="C113" s="63" t="inlineStr">
        <is>
          <t>2021</t>
        </is>
      </c>
      <c r="E113" s="82" t="n"/>
      <c r="F113" s="85" t="n"/>
      <c r="G113" s="71" t="n"/>
      <c r="H113" s="71" t="n"/>
      <c r="I113" s="83" t="n"/>
      <c r="J113" s="71" t="n"/>
      <c r="K113" s="82" t="n"/>
      <c r="L113" s="82">
        <f>IF(COUNT(E113,G113,H113,I113,J113,K113)=0,"",ROUND((IF(E113="",0,E113*10)+IF(G113="",0,G113)+IF(H113="",0,H113)+IF(I113="",0,I113*20)+IF(J113="",0,J113)+IF(K113="",0,K113*10))/COUNT(E113,G113,H113,I113,J113,K113),1))</f>
        <v/>
      </c>
      <c r="M113">
        <f>IF(L113="","",IF(L113&gt;=85,"Excellent",IF(L113&gt;=70,"Good",IF(L113&gt;=55,"Mixed","Poor"))))</f>
        <v/>
      </c>
      <c r="N113" s="66" t="n"/>
      <c r="O113" t="inlineStr">
        <is>
          <t>https://www.imdb.com/find/?q=F9%3A+The+Fast+Saga+2021</t>
        </is>
      </c>
      <c r="P113" t="inlineStr">
        <is>
          <t>https://www.rottentomatoes.com/search?search=F9%3A+The+Fast+Saga</t>
        </is>
      </c>
      <c r="Q113" t="inlineStr">
        <is>
          <t>https://letterboxd.com/search/F9%3A%20The%20Fast%20Saga/</t>
        </is>
      </c>
      <c r="R113" t="inlineStr">
        <is>
          <t>https://www.metacritic.com/search/F9%3A+The+Fast+Saga/</t>
        </is>
      </c>
    </row>
    <row r="114">
      <c r="A114" t="inlineStr">
        <is>
          <t>F0110</t>
        </is>
      </c>
      <c r="B114" t="inlineStr">
        <is>
          <t>Fast X</t>
        </is>
      </c>
      <c r="C114" s="63" t="inlineStr">
        <is>
          <t>2023</t>
        </is>
      </c>
      <c r="E114" s="82" t="n"/>
      <c r="F114" s="85" t="n"/>
      <c r="G114" s="71" t="n"/>
      <c r="H114" s="71" t="n"/>
      <c r="I114" s="83" t="n"/>
      <c r="J114" s="71" t="n"/>
      <c r="K114" s="82" t="n"/>
      <c r="L114" s="82">
        <f>IF(COUNT(E114,G114,H114,I114,J114,K114)=0,"",ROUND((IF(E114="",0,E114*10)+IF(G114="",0,G114)+IF(H114="",0,H114)+IF(I114="",0,I114*20)+IF(J114="",0,J114)+IF(K114="",0,K114*10))/COUNT(E114,G114,H114,I114,J114,K114),1))</f>
        <v/>
      </c>
      <c r="M114">
        <f>IF(L114="","",IF(L114&gt;=85,"Excellent",IF(L114&gt;=70,"Good",IF(L114&gt;=55,"Mixed","Poor"))))</f>
        <v/>
      </c>
      <c r="N114" s="66" t="n"/>
      <c r="O114" t="inlineStr">
        <is>
          <t>https://www.imdb.com/find/?q=Fast+X+2023</t>
        </is>
      </c>
      <c r="P114" t="inlineStr">
        <is>
          <t>https://www.rottentomatoes.com/search?search=Fast+X</t>
        </is>
      </c>
      <c r="Q114" t="inlineStr">
        <is>
          <t>https://letterboxd.com/search/Fast%20X/</t>
        </is>
      </c>
      <c r="R114" t="inlineStr">
        <is>
          <t>https://www.metacritic.com/search/Fast+X/</t>
        </is>
      </c>
    </row>
    <row r="115">
      <c r="A115" t="inlineStr">
        <is>
          <t>F0111</t>
        </is>
      </c>
      <c r="B115" t="inlineStr">
        <is>
          <t>Fast &amp; Furious Presents: Hobbs &amp; Shaw</t>
        </is>
      </c>
      <c r="C115" s="63" t="inlineStr">
        <is>
          <t>2019</t>
        </is>
      </c>
      <c r="E115" s="82" t="n"/>
      <c r="F115" s="85" t="n"/>
      <c r="G115" s="71" t="n"/>
      <c r="H115" s="71" t="n"/>
      <c r="I115" s="83" t="n"/>
      <c r="J115" s="71" t="n"/>
      <c r="K115" s="82" t="n"/>
      <c r="L115" s="82">
        <f>IF(COUNT(E115,G115,H115,I115,J115,K115)=0,"",ROUND((IF(E115="",0,E115*10)+IF(G115="",0,G115)+IF(H115="",0,H115)+IF(I115="",0,I115*20)+IF(J115="",0,J115)+IF(K115="",0,K115*10))/COUNT(E115,G115,H115,I115,J115,K115),1))</f>
        <v/>
      </c>
      <c r="M115">
        <f>IF(L115="","",IF(L115&gt;=85,"Excellent",IF(L115&gt;=70,"Good",IF(L115&gt;=55,"Mixed","Poor"))))</f>
        <v/>
      </c>
      <c r="N115" s="66" t="n"/>
      <c r="O115" t="inlineStr">
        <is>
          <t>https://www.imdb.com/find/?q=Fast+%26+Furious+Presents%3A+Hobbs+%26+Shaw+2019</t>
        </is>
      </c>
      <c r="P115" t="inlineStr">
        <is>
          <t>https://www.rottentomatoes.com/search?search=Fast+%26+Furious+Presents%3A+Hobbs+%26+Shaw</t>
        </is>
      </c>
      <c r="Q115" t="inlineStr">
        <is>
          <t>https://letterboxd.com/search/Fast%20%26%20Furious%20Presents%3A%20Hobbs%20%26%20Shaw/</t>
        </is>
      </c>
      <c r="R115" t="inlineStr">
        <is>
          <t>https://www.metacritic.com/search/Fast+%26+Furious+Presents%3A+Hobbs+%26+Shaw/</t>
        </is>
      </c>
    </row>
    <row r="116">
      <c r="A116" t="inlineStr">
        <is>
          <t>F0112</t>
        </is>
      </c>
      <c r="B116" t="inlineStr">
        <is>
          <t>Fight Club</t>
        </is>
      </c>
      <c r="C116" s="63" t="inlineStr">
        <is>
          <t>1999</t>
        </is>
      </c>
      <c r="E116" s="82" t="n"/>
      <c r="F116" s="85" t="n"/>
      <c r="G116" s="71" t="n"/>
      <c r="H116" s="71" t="n"/>
      <c r="I116" s="83" t="n"/>
      <c r="J116" s="71" t="n"/>
      <c r="K116" s="82" t="n"/>
      <c r="L116" s="82">
        <f>IF(COUNT(E116,G116,H116,I116,J116,K116)=0,"",ROUND((IF(E116="",0,E116*10)+IF(G116="",0,G116)+IF(H116="",0,H116)+IF(I116="",0,I116*20)+IF(J116="",0,J116)+IF(K116="",0,K116*10))/COUNT(E116,G116,H116,I116,J116,K116),1))</f>
        <v/>
      </c>
      <c r="M116">
        <f>IF(L116="","",IF(L116&gt;=85,"Excellent",IF(L116&gt;=70,"Good",IF(L116&gt;=55,"Mixed","Poor"))))</f>
        <v/>
      </c>
      <c r="N116" s="66" t="n"/>
      <c r="O116" t="inlineStr">
        <is>
          <t>https://www.imdb.com/find/?q=Fight+Club+1999</t>
        </is>
      </c>
      <c r="P116" t="inlineStr">
        <is>
          <t>https://www.rottentomatoes.com/search?search=Fight+Club</t>
        </is>
      </c>
      <c r="Q116" t="inlineStr">
        <is>
          <t>https://letterboxd.com/search/Fight%20Club/</t>
        </is>
      </c>
      <c r="R116" t="inlineStr">
        <is>
          <t>https://www.metacritic.com/search/Fight+Club/</t>
        </is>
      </c>
    </row>
    <row r="117">
      <c r="A117" t="inlineStr">
        <is>
          <t>F0113</t>
        </is>
      </c>
      <c r="B117" t="inlineStr">
        <is>
          <t>Finding Dory</t>
        </is>
      </c>
      <c r="C117" s="63" t="inlineStr">
        <is>
          <t>2016</t>
        </is>
      </c>
      <c r="E117" s="82" t="n"/>
      <c r="F117" s="85" t="n"/>
      <c r="G117" s="71" t="n"/>
      <c r="H117" s="71" t="n"/>
      <c r="I117" s="83" t="n"/>
      <c r="J117" s="71" t="n"/>
      <c r="K117" s="82" t="n"/>
      <c r="L117" s="82">
        <f>IF(COUNT(E117,G117,H117,I117,J117,K117)=0,"",ROUND((IF(E117="",0,E117*10)+IF(G117="",0,G117)+IF(H117="",0,H117)+IF(I117="",0,I117*20)+IF(J117="",0,J117)+IF(K117="",0,K117*10))/COUNT(E117,G117,H117,I117,J117,K117),1))</f>
        <v/>
      </c>
      <c r="M117">
        <f>IF(L117="","",IF(L117&gt;=85,"Excellent",IF(L117&gt;=70,"Good",IF(L117&gt;=55,"Mixed","Poor"))))</f>
        <v/>
      </c>
      <c r="N117" s="66" t="n"/>
      <c r="O117" t="inlineStr">
        <is>
          <t>https://www.imdb.com/find/?q=Finding+Dory+2016</t>
        </is>
      </c>
      <c r="P117" t="inlineStr">
        <is>
          <t>https://www.rottentomatoes.com/search?search=Finding+Dory</t>
        </is>
      </c>
      <c r="Q117" t="inlineStr">
        <is>
          <t>https://letterboxd.com/search/Finding%20Dory/</t>
        </is>
      </c>
      <c r="R117" t="inlineStr">
        <is>
          <t>https://www.metacritic.com/search/Finding+Dory/</t>
        </is>
      </c>
    </row>
    <row r="118">
      <c r="A118" t="inlineStr">
        <is>
          <t>F0114</t>
        </is>
      </c>
      <c r="B118" t="inlineStr">
        <is>
          <t>Firewall</t>
        </is>
      </c>
      <c r="C118" s="63" t="inlineStr">
        <is>
          <t>2006</t>
        </is>
      </c>
      <c r="E118" s="82" t="n"/>
      <c r="F118" s="85" t="n"/>
      <c r="G118" s="71" t="n"/>
      <c r="H118" s="71" t="n"/>
      <c r="I118" s="83" t="n"/>
      <c r="J118" s="71" t="n"/>
      <c r="K118" s="82" t="n"/>
      <c r="L118" s="82">
        <f>IF(COUNT(E118,G118,H118,I118,J118,K118)=0,"",ROUND((IF(E118="",0,E118*10)+IF(G118="",0,G118)+IF(H118="",0,H118)+IF(I118="",0,I118*20)+IF(J118="",0,J118)+IF(K118="",0,K118*10))/COUNT(E118,G118,H118,I118,J118,K118),1))</f>
        <v/>
      </c>
      <c r="M118">
        <f>IF(L118="","",IF(L118&gt;=85,"Excellent",IF(L118&gt;=70,"Good",IF(L118&gt;=55,"Mixed","Poor"))))</f>
        <v/>
      </c>
      <c r="N118" s="66" t="n"/>
      <c r="O118" t="inlineStr">
        <is>
          <t>https://www.imdb.com/find/?q=Firewall+2006</t>
        </is>
      </c>
      <c r="P118" t="inlineStr">
        <is>
          <t>https://www.rottentomatoes.com/search?search=Firewall</t>
        </is>
      </c>
      <c r="Q118" t="inlineStr">
        <is>
          <t>https://letterboxd.com/search/Firewall/</t>
        </is>
      </c>
      <c r="R118" t="inlineStr">
        <is>
          <t>https://www.metacritic.com/search/Firewall/</t>
        </is>
      </c>
    </row>
    <row r="119">
      <c r="A119" t="inlineStr">
        <is>
          <t>F0115</t>
        </is>
      </c>
      <c r="B119" t="inlineStr">
        <is>
          <t>Forgetting Sarah Marshall</t>
        </is>
      </c>
      <c r="C119" s="63" t="inlineStr">
        <is>
          <t>2008</t>
        </is>
      </c>
      <c r="E119" s="82" t="n"/>
      <c r="F119" s="85" t="n"/>
      <c r="G119" s="71" t="n"/>
      <c r="H119" s="71" t="n"/>
      <c r="I119" s="83" t="n"/>
      <c r="J119" s="71" t="n"/>
      <c r="K119" s="82" t="n"/>
      <c r="L119" s="82">
        <f>IF(COUNT(E119,G119,H119,I119,J119,K119)=0,"",ROUND((IF(E119="",0,E119*10)+IF(G119="",0,G119)+IF(H119="",0,H119)+IF(I119="",0,I119*20)+IF(J119="",0,J119)+IF(K119="",0,K119*10))/COUNT(E119,G119,H119,I119,J119,K119),1))</f>
        <v/>
      </c>
      <c r="M119">
        <f>IF(L119="","",IF(L119&gt;=85,"Excellent",IF(L119&gt;=70,"Good",IF(L119&gt;=55,"Mixed","Poor"))))</f>
        <v/>
      </c>
      <c r="N119" s="66" t="n"/>
      <c r="O119" t="inlineStr">
        <is>
          <t>https://www.imdb.com/find/?q=Forgetting+Sarah+Marshall+2008</t>
        </is>
      </c>
      <c r="P119" t="inlineStr">
        <is>
          <t>https://www.rottentomatoes.com/search?search=Forgetting+Sarah+Marshall</t>
        </is>
      </c>
      <c r="Q119" t="inlineStr">
        <is>
          <t>https://letterboxd.com/search/Forgetting%20Sarah%20Marshall/</t>
        </is>
      </c>
      <c r="R119" t="inlineStr">
        <is>
          <t>https://www.metacritic.com/search/Forgetting+Sarah+Marshall/</t>
        </is>
      </c>
    </row>
    <row r="120">
      <c r="A120" t="inlineStr">
        <is>
          <t>F0116</t>
        </is>
      </c>
      <c r="B120" t="inlineStr">
        <is>
          <t>Frozen</t>
        </is>
      </c>
      <c r="C120" s="63" t="inlineStr">
        <is>
          <t>2013</t>
        </is>
      </c>
      <c r="E120" s="82" t="n"/>
      <c r="F120" s="85" t="n"/>
      <c r="G120" s="71" t="n"/>
      <c r="H120" s="71" t="n"/>
      <c r="I120" s="83" t="n"/>
      <c r="J120" s="71" t="n"/>
      <c r="K120" s="82" t="n"/>
      <c r="L120" s="82">
        <f>IF(COUNT(E120,G120,H120,I120,J120,K120)=0,"",ROUND((IF(E120="",0,E120*10)+IF(G120="",0,G120)+IF(H120="",0,H120)+IF(I120="",0,I120*20)+IF(J120="",0,J120)+IF(K120="",0,K120*10))/COUNT(E120,G120,H120,I120,J120,K120),1))</f>
        <v/>
      </c>
      <c r="M120">
        <f>IF(L120="","",IF(L120&gt;=85,"Excellent",IF(L120&gt;=70,"Good",IF(L120&gt;=55,"Mixed","Poor"))))</f>
        <v/>
      </c>
      <c r="N120" s="66" t="n"/>
      <c r="O120" t="inlineStr">
        <is>
          <t>https://www.imdb.com/find/?q=Frozen+2013</t>
        </is>
      </c>
      <c r="P120" t="inlineStr">
        <is>
          <t>https://www.rottentomatoes.com/search?search=Frozen</t>
        </is>
      </c>
      <c r="Q120" t="inlineStr">
        <is>
          <t>https://letterboxd.com/search/Frozen/</t>
        </is>
      </c>
      <c r="R120" t="inlineStr">
        <is>
          <t>https://www.metacritic.com/search/Frozen/</t>
        </is>
      </c>
    </row>
    <row r="121">
      <c r="A121" t="inlineStr">
        <is>
          <t>F0117</t>
        </is>
      </c>
      <c r="B121" t="inlineStr">
        <is>
          <t>Fury</t>
        </is>
      </c>
      <c r="C121" s="63" t="inlineStr">
        <is>
          <t>2014</t>
        </is>
      </c>
      <c r="E121" s="82" t="n"/>
      <c r="F121" s="85" t="n"/>
      <c r="G121" s="71" t="n"/>
      <c r="H121" s="71" t="n"/>
      <c r="I121" s="83" t="n"/>
      <c r="J121" s="71" t="n"/>
      <c r="K121" s="82" t="n"/>
      <c r="L121" s="82">
        <f>IF(COUNT(E121,G121,H121,I121,J121,K121)=0,"",ROUND((IF(E121="",0,E121*10)+IF(G121="",0,G121)+IF(H121="",0,H121)+IF(I121="",0,I121*20)+IF(J121="",0,J121)+IF(K121="",0,K121*10))/COUNT(E121,G121,H121,I121,J121,K121),1))</f>
        <v/>
      </c>
      <c r="M121">
        <f>IF(L121="","",IF(L121&gt;=85,"Excellent",IF(L121&gt;=70,"Good",IF(L121&gt;=55,"Mixed","Poor"))))</f>
        <v/>
      </c>
      <c r="N121" s="66" t="n"/>
      <c r="O121" t="inlineStr">
        <is>
          <t>https://www.imdb.com/find/?q=Fury+2014</t>
        </is>
      </c>
      <c r="P121" t="inlineStr">
        <is>
          <t>https://www.rottentomatoes.com/search?search=Fury</t>
        </is>
      </c>
      <c r="Q121" t="inlineStr">
        <is>
          <t>https://letterboxd.com/search/Fury/</t>
        </is>
      </c>
      <c r="R121" t="inlineStr">
        <is>
          <t>https://www.metacritic.com/search/Fury/</t>
        </is>
      </c>
    </row>
    <row r="122">
      <c r="A122" t="inlineStr">
        <is>
          <t>F0118</t>
        </is>
      </c>
      <c r="B122" t="inlineStr">
        <is>
          <t>G.I. Joe: The Rise of Cobra</t>
        </is>
      </c>
      <c r="C122" s="63" t="inlineStr">
        <is>
          <t>2009</t>
        </is>
      </c>
      <c r="E122" s="82" t="n"/>
      <c r="F122" s="85" t="n"/>
      <c r="G122" s="71" t="n"/>
      <c r="H122" s="71" t="n"/>
      <c r="I122" s="83" t="n"/>
      <c r="J122" s="71" t="n"/>
      <c r="K122" s="82" t="n"/>
      <c r="L122" s="82">
        <f>IF(COUNT(E122,G122,H122,I122,J122,K122)=0,"",ROUND((IF(E122="",0,E122*10)+IF(G122="",0,G122)+IF(H122="",0,H122)+IF(I122="",0,I122*20)+IF(J122="",0,J122)+IF(K122="",0,K122*10))/COUNT(E122,G122,H122,I122,J122,K122),1))</f>
        <v/>
      </c>
      <c r="M122">
        <f>IF(L122="","",IF(L122&gt;=85,"Excellent",IF(L122&gt;=70,"Good",IF(L122&gt;=55,"Mixed","Poor"))))</f>
        <v/>
      </c>
      <c r="N122" s="66" t="n"/>
      <c r="O122" t="inlineStr">
        <is>
          <t>https://www.imdb.com/find/?q=G.I.+Joe%3A+The+Rise+of+Cobra+2009</t>
        </is>
      </c>
      <c r="P122" t="inlineStr">
        <is>
          <t>https://www.rottentomatoes.com/search?search=G.I.+Joe%3A+The+Rise+of+Cobra</t>
        </is>
      </c>
      <c r="Q122" t="inlineStr">
        <is>
          <t>https://letterboxd.com/search/G.I.%20Joe%3A%20The%20Rise%20of%20Cobra/</t>
        </is>
      </c>
      <c r="R122" t="inlineStr">
        <is>
          <t>https://www.metacritic.com/search/G.I.+Joe%3A+The+Rise+of+Cobra/</t>
        </is>
      </c>
    </row>
    <row r="123">
      <c r="A123" t="inlineStr">
        <is>
          <t>F0119</t>
        </is>
      </c>
      <c r="B123" t="inlineStr">
        <is>
          <t>The Gentlemen</t>
        </is>
      </c>
      <c r="C123" s="63" t="inlineStr">
        <is>
          <t>2020</t>
        </is>
      </c>
      <c r="E123" s="82" t="n"/>
      <c r="F123" s="85" t="n"/>
      <c r="G123" s="71" t="n"/>
      <c r="H123" s="71" t="n"/>
      <c r="I123" s="83" t="n"/>
      <c r="J123" s="71" t="n"/>
      <c r="K123" s="82" t="n"/>
      <c r="L123" s="82">
        <f>IF(COUNT(E123,G123,H123,I123,J123,K123)=0,"",ROUND((IF(E123="",0,E123*10)+IF(G123="",0,G123)+IF(H123="",0,H123)+IF(I123="",0,I123*20)+IF(J123="",0,J123)+IF(K123="",0,K123*10))/COUNT(E123,G123,H123,I123,J123,K123),1))</f>
        <v/>
      </c>
      <c r="M123">
        <f>IF(L123="","",IF(L123&gt;=85,"Excellent",IF(L123&gt;=70,"Good",IF(L123&gt;=55,"Mixed","Poor"))))</f>
        <v/>
      </c>
      <c r="N123" s="66" t="n"/>
      <c r="O123" t="inlineStr">
        <is>
          <t>https://www.imdb.com/find/?q=The+Gentlemen+2020</t>
        </is>
      </c>
      <c r="P123" t="inlineStr">
        <is>
          <t>https://www.rottentomatoes.com/search?search=The+Gentlemen</t>
        </is>
      </c>
      <c r="Q123" t="inlineStr">
        <is>
          <t>https://letterboxd.com/search/The%20Gentlemen/</t>
        </is>
      </c>
      <c r="R123" t="inlineStr">
        <is>
          <t>https://www.metacritic.com/search/The+Gentlemen/</t>
        </is>
      </c>
    </row>
    <row r="124">
      <c r="A124" t="inlineStr">
        <is>
          <t>F0120</t>
        </is>
      </c>
      <c r="B124" t="inlineStr">
        <is>
          <t>The Girl with the Dragon Tattoo</t>
        </is>
      </c>
      <c r="C124" s="63" t="inlineStr">
        <is>
          <t>2011</t>
        </is>
      </c>
      <c r="E124" s="82" t="n"/>
      <c r="F124" s="85" t="n"/>
      <c r="G124" s="71" t="n"/>
      <c r="H124" s="71" t="n"/>
      <c r="I124" s="83" t="n"/>
      <c r="J124" s="71" t="n"/>
      <c r="K124" s="82" t="n"/>
      <c r="L124" s="82">
        <f>IF(COUNT(E124,G124,H124,I124,J124,K124)=0,"",ROUND((IF(E124="",0,E124*10)+IF(G124="",0,G124)+IF(H124="",0,H124)+IF(I124="",0,I124*20)+IF(J124="",0,J124)+IF(K124="",0,K124*10))/COUNT(E124,G124,H124,I124,J124,K124),1))</f>
        <v/>
      </c>
      <c r="M124">
        <f>IF(L124="","",IF(L124&gt;=85,"Excellent",IF(L124&gt;=70,"Good",IF(L124&gt;=55,"Mixed","Poor"))))</f>
        <v/>
      </c>
      <c r="N124" s="66" t="n"/>
      <c r="O124" t="inlineStr">
        <is>
          <t>https://www.imdb.com/find/?q=The+Girl+with+the+Dragon+Tattoo+2011</t>
        </is>
      </c>
      <c r="P124" t="inlineStr">
        <is>
          <t>https://www.rottentomatoes.com/search?search=The+Girl+with+the+Dragon+Tattoo</t>
        </is>
      </c>
      <c r="Q124" t="inlineStr">
        <is>
          <t>https://letterboxd.com/search/The%20Girl%20with%20the%20Dragon%20Tattoo/</t>
        </is>
      </c>
      <c r="R124" t="inlineStr">
        <is>
          <t>https://www.metacritic.com/search/The+Girl+with+the+Dragon+Tattoo/</t>
        </is>
      </c>
    </row>
    <row r="125">
      <c r="A125" t="inlineStr">
        <is>
          <t>F0121</t>
        </is>
      </c>
      <c r="B125" t="inlineStr">
        <is>
          <t>Godzilla</t>
        </is>
      </c>
      <c r="C125" s="63" t="inlineStr">
        <is>
          <t>2014</t>
        </is>
      </c>
      <c r="E125" s="82" t="n"/>
      <c r="F125" s="85" t="n"/>
      <c r="G125" s="71" t="n"/>
      <c r="H125" s="71" t="n"/>
      <c r="I125" s="83" t="n"/>
      <c r="J125" s="71" t="n"/>
      <c r="K125" s="82" t="n"/>
      <c r="L125" s="82">
        <f>IF(COUNT(E125,G125,H125,I125,J125,K125)=0,"",ROUND((IF(E125="",0,E125*10)+IF(G125="",0,G125)+IF(H125="",0,H125)+IF(I125="",0,I125*20)+IF(J125="",0,J125)+IF(K125="",0,K125*10))/COUNT(E125,G125,H125,I125,J125,K125),1))</f>
        <v/>
      </c>
      <c r="M125">
        <f>IF(L125="","",IF(L125&gt;=85,"Excellent",IF(L125&gt;=70,"Good",IF(L125&gt;=55,"Mixed","Poor"))))</f>
        <v/>
      </c>
      <c r="N125" s="66" t="n"/>
      <c r="O125" t="inlineStr">
        <is>
          <t>https://www.imdb.com/find/?q=Godzilla+2014</t>
        </is>
      </c>
      <c r="P125" t="inlineStr">
        <is>
          <t>https://www.rottentomatoes.com/search?search=Godzilla</t>
        </is>
      </c>
      <c r="Q125" t="inlineStr">
        <is>
          <t>https://letterboxd.com/search/Godzilla/</t>
        </is>
      </c>
      <c r="R125" t="inlineStr">
        <is>
          <t>https://www.metacritic.com/search/Godzilla/</t>
        </is>
      </c>
    </row>
    <row r="126">
      <c r="A126" t="inlineStr">
        <is>
          <t>F0122</t>
        </is>
      </c>
      <c r="B126" t="inlineStr">
        <is>
          <t>Godzilla: King of the Monsters</t>
        </is>
      </c>
      <c r="C126" s="63" t="inlineStr">
        <is>
          <t>2019</t>
        </is>
      </c>
      <c r="E126" s="82" t="n"/>
      <c r="F126" s="85" t="n"/>
      <c r="G126" s="71" t="n"/>
      <c r="H126" s="71" t="n"/>
      <c r="I126" s="83" t="n"/>
      <c r="J126" s="71" t="n"/>
      <c r="K126" s="82" t="n"/>
      <c r="L126" s="82">
        <f>IF(COUNT(E126,G126,H126,I126,J126,K126)=0,"",ROUND((IF(E126="",0,E126*10)+IF(G126="",0,G126)+IF(H126="",0,H126)+IF(I126="",0,I126*20)+IF(J126="",0,J126)+IF(K126="",0,K126*10))/COUNT(E126,G126,H126,I126,J126,K126),1))</f>
        <v/>
      </c>
      <c r="M126">
        <f>IF(L126="","",IF(L126&gt;=85,"Excellent",IF(L126&gt;=70,"Good",IF(L126&gt;=55,"Mixed","Poor"))))</f>
        <v/>
      </c>
      <c r="N126" s="66" t="n"/>
      <c r="O126" t="inlineStr">
        <is>
          <t>https://www.imdb.com/find/?q=Godzilla%3A+King+of+the+Monsters+2019</t>
        </is>
      </c>
      <c r="P126" t="inlineStr">
        <is>
          <t>https://www.rottentomatoes.com/search?search=Godzilla%3A+King+of+the+Monsters</t>
        </is>
      </c>
      <c r="Q126" t="inlineStr">
        <is>
          <t>https://letterboxd.com/search/Godzilla%3A%20King%20of%20the%20Monsters/</t>
        </is>
      </c>
      <c r="R126" t="inlineStr">
        <is>
          <t>https://www.metacritic.com/search/Godzilla%3A+King+of+the+Monsters/</t>
        </is>
      </c>
    </row>
    <row r="127">
      <c r="A127" t="inlineStr">
        <is>
          <t>F0123</t>
        </is>
      </c>
      <c r="B127" t="inlineStr">
        <is>
          <t>Godzilla vs. Kong</t>
        </is>
      </c>
      <c r="C127" s="63" t="inlineStr">
        <is>
          <t>2021</t>
        </is>
      </c>
      <c r="E127" s="82" t="n"/>
      <c r="F127" s="85" t="n"/>
      <c r="G127" s="71" t="n"/>
      <c r="H127" s="71" t="n"/>
      <c r="I127" s="83" t="n"/>
      <c r="J127" s="71" t="n"/>
      <c r="K127" s="82" t="n"/>
      <c r="L127" s="82">
        <f>IF(COUNT(E127,G127,H127,I127,J127,K127)=0,"",ROUND((IF(E127="",0,E127*10)+IF(G127="",0,G127)+IF(H127="",0,H127)+IF(I127="",0,I127*20)+IF(J127="",0,J127)+IF(K127="",0,K127*10))/COUNT(E127,G127,H127,I127,J127,K127),1))</f>
        <v/>
      </c>
      <c r="M127">
        <f>IF(L127="","",IF(L127&gt;=85,"Excellent",IF(L127&gt;=70,"Good",IF(L127&gt;=55,"Mixed","Poor"))))</f>
        <v/>
      </c>
      <c r="N127" s="66" t="n"/>
      <c r="O127" t="inlineStr">
        <is>
          <t>https://www.imdb.com/find/?q=Godzilla+vs.+Kong+2021</t>
        </is>
      </c>
      <c r="P127" t="inlineStr">
        <is>
          <t>https://www.rottentomatoes.com/search?search=Godzilla+vs.+Kong</t>
        </is>
      </c>
      <c r="Q127" t="inlineStr">
        <is>
          <t>https://letterboxd.com/search/Godzilla%20vs.%20Kong/</t>
        </is>
      </c>
      <c r="R127" t="inlineStr">
        <is>
          <t>https://www.metacritic.com/search/Godzilla+vs.+Kong/</t>
        </is>
      </c>
    </row>
    <row r="128">
      <c r="A128" t="inlineStr">
        <is>
          <t>F0124</t>
        </is>
      </c>
      <c r="B128" t="inlineStr">
        <is>
          <t>Good Will Hunting</t>
        </is>
      </c>
      <c r="C128" s="63" t="inlineStr">
        <is>
          <t>1997</t>
        </is>
      </c>
      <c r="E128" s="82" t="n"/>
      <c r="F128" s="85" t="n"/>
      <c r="G128" s="71" t="n"/>
      <c r="H128" s="71" t="n"/>
      <c r="I128" s="83" t="n"/>
      <c r="J128" s="71" t="n"/>
      <c r="K128" s="82" t="n"/>
      <c r="L128" s="82">
        <f>IF(COUNT(E128,G128,H128,I128,J128,K128)=0,"",ROUND((IF(E128="",0,E128*10)+IF(G128="",0,G128)+IF(H128="",0,H128)+IF(I128="",0,I128*20)+IF(J128="",0,J128)+IF(K128="",0,K128*10))/COUNT(E128,G128,H128,I128,J128,K128),1))</f>
        <v/>
      </c>
      <c r="M128">
        <f>IF(L128="","",IF(L128&gt;=85,"Excellent",IF(L128&gt;=70,"Good",IF(L128&gt;=55,"Mixed","Poor"))))</f>
        <v/>
      </c>
      <c r="N128" s="66" t="n"/>
      <c r="O128" t="inlineStr">
        <is>
          <t>https://www.imdb.com/find/?q=Good+Will+Hunting+1997</t>
        </is>
      </c>
      <c r="P128" t="inlineStr">
        <is>
          <t>https://www.rottentomatoes.com/search?search=Good+Will+Hunting</t>
        </is>
      </c>
      <c r="Q128" t="inlineStr">
        <is>
          <t>https://letterboxd.com/search/Good%20Will%20Hunting/</t>
        </is>
      </c>
      <c r="R128" t="inlineStr">
        <is>
          <t>https://www.metacritic.com/search/Good+Will+Hunting/</t>
        </is>
      </c>
    </row>
    <row r="129">
      <c r="A129" t="inlineStr">
        <is>
          <t>F0125</t>
        </is>
      </c>
      <c r="B129" t="inlineStr">
        <is>
          <t>Gran Torino</t>
        </is>
      </c>
      <c r="C129" s="63" t="inlineStr">
        <is>
          <t>2008</t>
        </is>
      </c>
      <c r="E129" s="82" t="n"/>
      <c r="F129" s="85" t="n"/>
      <c r="G129" s="71" t="n"/>
      <c r="H129" s="71" t="n"/>
      <c r="I129" s="83" t="n"/>
      <c r="J129" s="71" t="n"/>
      <c r="K129" s="82" t="n"/>
      <c r="L129" s="82">
        <f>IF(COUNT(E129,G129,H129,I129,J129,K129)=0,"",ROUND((IF(E129="",0,E129*10)+IF(G129="",0,G129)+IF(H129="",0,H129)+IF(I129="",0,I129*20)+IF(J129="",0,J129)+IF(K129="",0,K129*10))/COUNT(E129,G129,H129,I129,J129,K129),1))</f>
        <v/>
      </c>
      <c r="M129">
        <f>IF(L129="","",IF(L129&gt;=85,"Excellent",IF(L129&gt;=70,"Good",IF(L129&gt;=55,"Mixed","Poor"))))</f>
        <v/>
      </c>
      <c r="N129" s="66" t="n"/>
      <c r="O129" t="inlineStr">
        <is>
          <t>https://www.imdb.com/find/?q=Gran+Torino+2008</t>
        </is>
      </c>
      <c r="P129" t="inlineStr">
        <is>
          <t>https://www.rottentomatoes.com/search?search=Gran+Torino</t>
        </is>
      </c>
      <c r="Q129" t="inlineStr">
        <is>
          <t>https://letterboxd.com/search/Gran%20Torino/</t>
        </is>
      </c>
      <c r="R129" t="inlineStr">
        <is>
          <t>https://www.metacritic.com/search/Gran+Torino/</t>
        </is>
      </c>
    </row>
    <row r="130">
      <c r="A130" t="inlineStr">
        <is>
          <t>F0126</t>
        </is>
      </c>
      <c r="B130" t="inlineStr">
        <is>
          <t>The Great Gatsby</t>
        </is>
      </c>
      <c r="C130" s="63" t="inlineStr">
        <is>
          <t>2013</t>
        </is>
      </c>
      <c r="E130" s="82" t="n"/>
      <c r="F130" s="85" t="n"/>
      <c r="G130" s="71" t="n"/>
      <c r="H130" s="71" t="n"/>
      <c r="I130" s="83" t="n"/>
      <c r="J130" s="71" t="n"/>
      <c r="K130" s="82" t="n"/>
      <c r="L130" s="82">
        <f>IF(COUNT(E130,G130,H130,I130,J130,K130)=0,"",ROUND((IF(E130="",0,E130*10)+IF(G130="",0,G130)+IF(H130="",0,H130)+IF(I130="",0,I130*20)+IF(J130="",0,J130)+IF(K130="",0,K130*10))/COUNT(E130,G130,H130,I130,J130,K130),1))</f>
        <v/>
      </c>
      <c r="M130">
        <f>IF(L130="","",IF(L130&gt;=85,"Excellent",IF(L130&gt;=70,"Good",IF(L130&gt;=55,"Mixed","Poor"))))</f>
        <v/>
      </c>
      <c r="N130" s="66" t="n"/>
      <c r="O130" t="inlineStr">
        <is>
          <t>https://www.imdb.com/find/?q=The+Great+Gatsby+2013</t>
        </is>
      </c>
      <c r="P130" t="inlineStr">
        <is>
          <t>https://www.rottentomatoes.com/search?search=The+Great+Gatsby</t>
        </is>
      </c>
      <c r="Q130" t="inlineStr">
        <is>
          <t>https://letterboxd.com/search/The%20Great%20Gatsby/</t>
        </is>
      </c>
      <c r="R130" t="inlineStr">
        <is>
          <t>https://www.metacritic.com/search/The+Great+Gatsby/</t>
        </is>
      </c>
    </row>
    <row r="131">
      <c r="A131" t="inlineStr">
        <is>
          <t>F0127</t>
        </is>
      </c>
      <c r="B131" t="inlineStr">
        <is>
          <t>The Greatest Showman</t>
        </is>
      </c>
      <c r="C131" s="63" t="inlineStr">
        <is>
          <t>2017</t>
        </is>
      </c>
      <c r="E131" s="82" t="n"/>
      <c r="F131" s="85" t="n"/>
      <c r="G131" s="71" t="n"/>
      <c r="H131" s="71" t="n"/>
      <c r="I131" s="83" t="n"/>
      <c r="J131" s="71" t="n"/>
      <c r="K131" s="82" t="n"/>
      <c r="L131" s="82">
        <f>IF(COUNT(E131,G131,H131,I131,J131,K131)=0,"",ROUND((IF(E131="",0,E131*10)+IF(G131="",0,G131)+IF(H131="",0,H131)+IF(I131="",0,I131*20)+IF(J131="",0,J131)+IF(K131="",0,K131*10))/COUNT(E131,G131,H131,I131,J131,K131),1))</f>
        <v/>
      </c>
      <c r="M131">
        <f>IF(L131="","",IF(L131&gt;=85,"Excellent",IF(L131&gt;=70,"Good",IF(L131&gt;=55,"Mixed","Poor"))))</f>
        <v/>
      </c>
      <c r="N131" s="66" t="n"/>
      <c r="O131" t="inlineStr">
        <is>
          <t>https://www.imdb.com/find/?q=The+Greatest+Showman+2017</t>
        </is>
      </c>
      <c r="P131" t="inlineStr">
        <is>
          <t>https://www.rottentomatoes.com/search?search=The+Greatest+Showman</t>
        </is>
      </c>
      <c r="Q131" t="inlineStr">
        <is>
          <t>https://letterboxd.com/search/The%20Greatest%20Showman/</t>
        </is>
      </c>
      <c r="R131" t="inlineStr">
        <is>
          <t>https://www.metacritic.com/search/The+Greatest+Showman/</t>
        </is>
      </c>
    </row>
    <row r="132">
      <c r="A132" t="inlineStr">
        <is>
          <t>F0128</t>
        </is>
      </c>
      <c r="B132" t="inlineStr">
        <is>
          <t>Green Lantern</t>
        </is>
      </c>
      <c r="C132" s="63" t="inlineStr">
        <is>
          <t>2011</t>
        </is>
      </c>
      <c r="E132" s="82" t="n"/>
      <c r="F132" s="85" t="n"/>
      <c r="G132" s="71" t="n"/>
      <c r="H132" s="71" t="n"/>
      <c r="I132" s="83" t="n"/>
      <c r="J132" s="71" t="n"/>
      <c r="K132" s="82" t="n"/>
      <c r="L132" s="82">
        <f>IF(COUNT(E132,G132,H132,I132,J132,K132)=0,"",ROUND((IF(E132="",0,E132*10)+IF(G132="",0,G132)+IF(H132="",0,H132)+IF(I132="",0,I132*20)+IF(J132="",0,J132)+IF(K132="",0,K132*10))/COUNT(E132,G132,H132,I132,J132,K132),1))</f>
        <v/>
      </c>
      <c r="M132">
        <f>IF(L132="","",IF(L132&gt;=85,"Excellent",IF(L132&gt;=70,"Good",IF(L132&gt;=55,"Mixed","Poor"))))</f>
        <v/>
      </c>
      <c r="N132" s="66" t="n"/>
      <c r="O132" t="inlineStr">
        <is>
          <t>https://www.imdb.com/find/?q=Green+Lantern+2011</t>
        </is>
      </c>
      <c r="P132" t="inlineStr">
        <is>
          <t>https://www.rottentomatoes.com/search?search=Green+Lantern</t>
        </is>
      </c>
      <c r="Q132" t="inlineStr">
        <is>
          <t>https://letterboxd.com/search/Green%20Lantern/</t>
        </is>
      </c>
      <c r="R132" t="inlineStr">
        <is>
          <t>https://www.metacritic.com/search/Green+Lantern/</t>
        </is>
      </c>
    </row>
    <row r="133">
      <c r="A133" t="inlineStr">
        <is>
          <t>F0129</t>
        </is>
      </c>
      <c r="B133" t="inlineStr">
        <is>
          <t>Green Zone</t>
        </is>
      </c>
      <c r="C133" s="63" t="inlineStr">
        <is>
          <t>2010</t>
        </is>
      </c>
      <c r="E133" s="82" t="n"/>
      <c r="F133" s="85" t="n"/>
      <c r="G133" s="71" t="n"/>
      <c r="H133" s="71" t="n"/>
      <c r="I133" s="83" t="n"/>
      <c r="J133" s="71" t="n"/>
      <c r="K133" s="82" t="n"/>
      <c r="L133" s="82">
        <f>IF(COUNT(E133,G133,H133,I133,J133,K133)=0,"",ROUND((IF(E133="",0,E133*10)+IF(G133="",0,G133)+IF(H133="",0,H133)+IF(I133="",0,I133*20)+IF(J133="",0,J133)+IF(K133="",0,K133*10))/COUNT(E133,G133,H133,I133,J133,K133),1))</f>
        <v/>
      </c>
      <c r="M133">
        <f>IF(L133="","",IF(L133&gt;=85,"Excellent",IF(L133&gt;=70,"Good",IF(L133&gt;=55,"Mixed","Poor"))))</f>
        <v/>
      </c>
      <c r="N133" s="66" t="n"/>
      <c r="O133" t="inlineStr">
        <is>
          <t>https://www.imdb.com/find/?q=Green+Zone+2010</t>
        </is>
      </c>
      <c r="P133" t="inlineStr">
        <is>
          <t>https://www.rottentomatoes.com/search?search=Green+Zone</t>
        </is>
      </c>
      <c r="Q133" t="inlineStr">
        <is>
          <t>https://letterboxd.com/search/Green%20Zone/</t>
        </is>
      </c>
      <c r="R133" t="inlineStr">
        <is>
          <t>https://www.metacritic.com/search/Green+Zone/</t>
        </is>
      </c>
    </row>
    <row r="134">
      <c r="A134" t="inlineStr">
        <is>
          <t>F0130</t>
        </is>
      </c>
      <c r="B134" t="inlineStr">
        <is>
          <t>Grimsby</t>
        </is>
      </c>
      <c r="C134" s="63" t="inlineStr">
        <is>
          <t>2016</t>
        </is>
      </c>
      <c r="E134" s="82" t="n"/>
      <c r="F134" s="85" t="n"/>
      <c r="G134" s="71" t="n"/>
      <c r="H134" s="71" t="n"/>
      <c r="I134" s="83" t="n"/>
      <c r="J134" s="71" t="n"/>
      <c r="K134" s="82" t="n"/>
      <c r="L134" s="82">
        <f>IF(COUNT(E134,G134,H134,I134,J134,K134)=0,"",ROUND((IF(E134="",0,E134*10)+IF(G134="",0,G134)+IF(H134="",0,H134)+IF(I134="",0,I134*20)+IF(J134="",0,J134)+IF(K134="",0,K134*10))/COUNT(E134,G134,H134,I134,J134,K134),1))</f>
        <v/>
      </c>
      <c r="M134">
        <f>IF(L134="","",IF(L134&gt;=85,"Excellent",IF(L134&gt;=70,"Good",IF(L134&gt;=55,"Mixed","Poor"))))</f>
        <v/>
      </c>
      <c r="N134" s="66" t="n"/>
      <c r="O134" t="inlineStr">
        <is>
          <t>https://www.imdb.com/find/?q=Grimsby+2016</t>
        </is>
      </c>
      <c r="P134" t="inlineStr">
        <is>
          <t>https://www.rottentomatoes.com/search?search=Grimsby</t>
        </is>
      </c>
      <c r="Q134" t="inlineStr">
        <is>
          <t>https://letterboxd.com/search/Grimsby/</t>
        </is>
      </c>
      <c r="R134" t="inlineStr">
        <is>
          <t>https://www.metacritic.com/search/Grimsby/</t>
        </is>
      </c>
    </row>
    <row r="135">
      <c r="A135" t="inlineStr">
        <is>
          <t>F0131</t>
        </is>
      </c>
      <c r="B135" t="inlineStr">
        <is>
          <t>Grown Ups</t>
        </is>
      </c>
      <c r="C135" s="63" t="inlineStr">
        <is>
          <t>2010</t>
        </is>
      </c>
      <c r="E135" s="82" t="n"/>
      <c r="F135" s="85" t="n"/>
      <c r="G135" s="71" t="n"/>
      <c r="H135" s="71" t="n"/>
      <c r="I135" s="83" t="n"/>
      <c r="J135" s="71" t="n"/>
      <c r="K135" s="82" t="n"/>
      <c r="L135" s="82">
        <f>IF(COUNT(E135,G135,H135,I135,J135,K135)=0,"",ROUND((IF(E135="",0,E135*10)+IF(G135="",0,G135)+IF(H135="",0,H135)+IF(I135="",0,I135*20)+IF(J135="",0,J135)+IF(K135="",0,K135*10))/COUNT(E135,G135,H135,I135,J135,K135),1))</f>
        <v/>
      </c>
      <c r="M135">
        <f>IF(L135="","",IF(L135&gt;=85,"Excellent",IF(L135&gt;=70,"Good",IF(L135&gt;=55,"Mixed","Poor"))))</f>
        <v/>
      </c>
      <c r="N135" s="66" t="n"/>
      <c r="O135" t="inlineStr">
        <is>
          <t>https://www.imdb.com/find/?q=Grown+Ups+2010</t>
        </is>
      </c>
      <c r="P135" t="inlineStr">
        <is>
          <t>https://www.rottentomatoes.com/search?search=Grown+Ups</t>
        </is>
      </c>
      <c r="Q135" t="inlineStr">
        <is>
          <t>https://letterboxd.com/search/Grown%20Ups/</t>
        </is>
      </c>
      <c r="R135" t="inlineStr">
        <is>
          <t>https://www.metacritic.com/search/Grown+Ups/</t>
        </is>
      </c>
    </row>
    <row r="136">
      <c r="A136" t="inlineStr">
        <is>
          <t>F0132</t>
        </is>
      </c>
      <c r="B136" t="inlineStr">
        <is>
          <t>Grown Ups 2</t>
        </is>
      </c>
      <c r="C136" s="63" t="inlineStr">
        <is>
          <t>2013</t>
        </is>
      </c>
      <c r="E136" s="82" t="n"/>
      <c r="F136" s="85" t="n"/>
      <c r="G136" s="71" t="n"/>
      <c r="H136" s="71" t="n"/>
      <c r="I136" s="83" t="n"/>
      <c r="J136" s="71" t="n"/>
      <c r="K136" s="82" t="n"/>
      <c r="L136" s="82">
        <f>IF(COUNT(E136,G136,H136,I136,J136,K136)=0,"",ROUND((IF(E136="",0,E136*10)+IF(G136="",0,G136)+IF(H136="",0,H136)+IF(I136="",0,I136*20)+IF(J136="",0,J136)+IF(K136="",0,K136*10))/COUNT(E136,G136,H136,I136,J136,K136),1))</f>
        <v/>
      </c>
      <c r="M136">
        <f>IF(L136="","",IF(L136&gt;=85,"Excellent",IF(L136&gt;=70,"Good",IF(L136&gt;=55,"Mixed","Poor"))))</f>
        <v/>
      </c>
      <c r="N136" s="66" t="n"/>
      <c r="O136" t="inlineStr">
        <is>
          <t>https://www.imdb.com/find/?q=Grown+Ups+2+2013</t>
        </is>
      </c>
      <c r="P136" t="inlineStr">
        <is>
          <t>https://www.rottentomatoes.com/search?search=Grown+Ups+2</t>
        </is>
      </c>
      <c r="Q136" t="inlineStr">
        <is>
          <t>https://letterboxd.com/search/Grown%20Ups%202/</t>
        </is>
      </c>
      <c r="R136" t="inlineStr">
        <is>
          <t>https://www.metacritic.com/search/Grown+Ups+2/</t>
        </is>
      </c>
    </row>
    <row r="137">
      <c r="A137" t="inlineStr">
        <is>
          <t>F0133</t>
        </is>
      </c>
      <c r="B137" t="inlineStr">
        <is>
          <t>Hacksaw Ridge</t>
        </is>
      </c>
      <c r="C137" s="63" t="inlineStr">
        <is>
          <t>2016</t>
        </is>
      </c>
      <c r="E137" s="82" t="n"/>
      <c r="F137" s="85" t="n"/>
      <c r="G137" s="71" t="n"/>
      <c r="H137" s="71" t="n"/>
      <c r="I137" s="83" t="n"/>
      <c r="J137" s="71" t="n"/>
      <c r="K137" s="82" t="n"/>
      <c r="L137" s="82">
        <f>IF(COUNT(E137,G137,H137,I137,J137,K137)=0,"",ROUND((IF(E137="",0,E137*10)+IF(G137="",0,G137)+IF(H137="",0,H137)+IF(I137="",0,I137*20)+IF(J137="",0,J137)+IF(K137="",0,K137*10))/COUNT(E137,G137,H137,I137,J137,K137),1))</f>
        <v/>
      </c>
      <c r="M137">
        <f>IF(L137="","",IF(L137&gt;=85,"Excellent",IF(L137&gt;=70,"Good",IF(L137&gt;=55,"Mixed","Poor"))))</f>
        <v/>
      </c>
      <c r="N137" s="66" t="n"/>
      <c r="O137" t="inlineStr">
        <is>
          <t>https://www.imdb.com/find/?q=Hacksaw+Ridge+2016</t>
        </is>
      </c>
      <c r="P137" t="inlineStr">
        <is>
          <t>https://www.rottentomatoes.com/search?search=Hacksaw+Ridge</t>
        </is>
      </c>
      <c r="Q137" t="inlineStr">
        <is>
          <t>https://letterboxd.com/search/Hacksaw%20Ridge/</t>
        </is>
      </c>
      <c r="R137" t="inlineStr">
        <is>
          <t>https://www.metacritic.com/search/Hacksaw+Ridge/</t>
        </is>
      </c>
    </row>
    <row r="138">
      <c r="A138" t="inlineStr">
        <is>
          <t>F0134</t>
        </is>
      </c>
      <c r="B138" t="inlineStr">
        <is>
          <t>The Hangover</t>
        </is>
      </c>
      <c r="C138" s="63" t="inlineStr">
        <is>
          <t>2009</t>
        </is>
      </c>
      <c r="E138" s="82" t="n"/>
      <c r="F138" s="85" t="n"/>
      <c r="G138" s="71" t="n"/>
      <c r="H138" s="71" t="n"/>
      <c r="I138" s="83" t="n"/>
      <c r="J138" s="71" t="n"/>
      <c r="K138" s="82" t="n"/>
      <c r="L138" s="82">
        <f>IF(COUNT(E138,G138,H138,I138,J138,K138)=0,"",ROUND((IF(E138="",0,E138*10)+IF(G138="",0,G138)+IF(H138="",0,H138)+IF(I138="",0,I138*20)+IF(J138="",0,J138)+IF(K138="",0,K138*10))/COUNT(E138,G138,H138,I138,J138,K138),1))</f>
        <v/>
      </c>
      <c r="M138">
        <f>IF(L138="","",IF(L138&gt;=85,"Excellent",IF(L138&gt;=70,"Good",IF(L138&gt;=55,"Mixed","Poor"))))</f>
        <v/>
      </c>
      <c r="N138" s="66" t="n"/>
      <c r="O138" t="inlineStr">
        <is>
          <t>https://www.imdb.com/find/?q=The+Hangover+2009</t>
        </is>
      </c>
      <c r="P138" t="inlineStr">
        <is>
          <t>https://www.rottentomatoes.com/search?search=The+Hangover</t>
        </is>
      </c>
      <c r="Q138" t="inlineStr">
        <is>
          <t>https://letterboxd.com/search/The%20Hangover/</t>
        </is>
      </c>
      <c r="R138" t="inlineStr">
        <is>
          <t>https://www.metacritic.com/search/The+Hangover/</t>
        </is>
      </c>
    </row>
    <row r="139">
      <c r="A139" t="inlineStr">
        <is>
          <t>F0135</t>
        </is>
      </c>
      <c r="B139" t="inlineStr">
        <is>
          <t>The Hangover Part II</t>
        </is>
      </c>
      <c r="C139" s="63" t="inlineStr">
        <is>
          <t>2011</t>
        </is>
      </c>
      <c r="E139" s="82" t="n"/>
      <c r="F139" s="85" t="n"/>
      <c r="G139" s="71" t="n"/>
      <c r="H139" s="71" t="n"/>
      <c r="I139" s="83" t="n"/>
      <c r="J139" s="71" t="n"/>
      <c r="K139" s="82" t="n"/>
      <c r="L139" s="82">
        <f>IF(COUNT(E139,G139,H139,I139,J139,K139)=0,"",ROUND((IF(E139="",0,E139*10)+IF(G139="",0,G139)+IF(H139="",0,H139)+IF(I139="",0,I139*20)+IF(J139="",0,J139)+IF(K139="",0,K139*10))/COUNT(E139,G139,H139,I139,J139,K139),1))</f>
        <v/>
      </c>
      <c r="M139">
        <f>IF(L139="","",IF(L139&gt;=85,"Excellent",IF(L139&gt;=70,"Good",IF(L139&gt;=55,"Mixed","Poor"))))</f>
        <v/>
      </c>
      <c r="N139" s="66" t="n"/>
      <c r="O139" t="inlineStr">
        <is>
          <t>https://www.imdb.com/find/?q=The+Hangover+Part+II+2011</t>
        </is>
      </c>
      <c r="P139" t="inlineStr">
        <is>
          <t>https://www.rottentomatoes.com/search?search=The+Hangover+Part+II</t>
        </is>
      </c>
      <c r="Q139" t="inlineStr">
        <is>
          <t>https://letterboxd.com/search/The%20Hangover%20Part%20II/</t>
        </is>
      </c>
      <c r="R139" t="inlineStr">
        <is>
          <t>https://www.metacritic.com/search/The+Hangover+Part+II/</t>
        </is>
      </c>
    </row>
    <row r="140">
      <c r="A140" t="inlineStr">
        <is>
          <t>F0136</t>
        </is>
      </c>
      <c r="B140" t="inlineStr">
        <is>
          <t>The Hangover Part III</t>
        </is>
      </c>
      <c r="C140" s="63" t="inlineStr">
        <is>
          <t>2013</t>
        </is>
      </c>
      <c r="E140" s="82" t="n"/>
      <c r="F140" s="85" t="n"/>
      <c r="G140" s="71" t="n"/>
      <c r="H140" s="71" t="n"/>
      <c r="I140" s="83" t="n"/>
      <c r="J140" s="71" t="n"/>
      <c r="K140" s="82" t="n"/>
      <c r="L140" s="82">
        <f>IF(COUNT(E140,G140,H140,I140,J140,K140)=0,"",ROUND((IF(E140="",0,E140*10)+IF(G140="",0,G140)+IF(H140="",0,H140)+IF(I140="",0,I140*20)+IF(J140="",0,J140)+IF(K140="",0,K140*10))/COUNT(E140,G140,H140,I140,J140,K140),1))</f>
        <v/>
      </c>
      <c r="M140">
        <f>IF(L140="","",IF(L140&gt;=85,"Excellent",IF(L140&gt;=70,"Good",IF(L140&gt;=55,"Mixed","Poor"))))</f>
        <v/>
      </c>
      <c r="N140" s="66" t="n"/>
      <c r="O140" t="inlineStr">
        <is>
          <t>https://www.imdb.com/find/?q=The+Hangover+Part+III+2013</t>
        </is>
      </c>
      <c r="P140" t="inlineStr">
        <is>
          <t>https://www.rottentomatoes.com/search?search=The+Hangover+Part+III</t>
        </is>
      </c>
      <c r="Q140" t="inlineStr">
        <is>
          <t>https://letterboxd.com/search/The%20Hangover%20Part%20III/</t>
        </is>
      </c>
      <c r="R140" t="inlineStr">
        <is>
          <t>https://www.metacritic.com/search/The+Hangover+Part+III/</t>
        </is>
      </c>
    </row>
    <row r="141">
      <c r="A141" t="inlineStr">
        <is>
          <t>F0137</t>
        </is>
      </c>
      <c r="B141" t="inlineStr">
        <is>
          <t>Harry Potter and the Philosopher's Stone</t>
        </is>
      </c>
      <c r="C141" s="63" t="inlineStr">
        <is>
          <t>2001</t>
        </is>
      </c>
      <c r="E141" s="82" t="n"/>
      <c r="F141" s="85" t="n"/>
      <c r="G141" s="71" t="n"/>
      <c r="H141" s="71" t="n"/>
      <c r="I141" s="83" t="n"/>
      <c r="J141" s="71" t="n"/>
      <c r="K141" s="82" t="n"/>
      <c r="L141" s="82">
        <f>IF(COUNT(E141,G141,H141,I141,J141,K141)=0,"",ROUND((IF(E141="",0,E141*10)+IF(G141="",0,G141)+IF(H141="",0,H141)+IF(I141="",0,I141*20)+IF(J141="",0,J141)+IF(K141="",0,K141*10))/COUNT(E141,G141,H141,I141,J141,K141),1))</f>
        <v/>
      </c>
      <c r="M141">
        <f>IF(L141="","",IF(L141&gt;=85,"Excellent",IF(L141&gt;=70,"Good",IF(L141&gt;=55,"Mixed","Poor"))))</f>
        <v/>
      </c>
      <c r="N141" s="66" t="n"/>
      <c r="O141" t="inlineStr">
        <is>
          <t>https://www.imdb.com/find/?q=Harry+Potter+and+the+Philosopher%27s+Stone+2001</t>
        </is>
      </c>
      <c r="P141" t="inlineStr">
        <is>
          <t>https://www.rottentomatoes.com/search?search=Harry+Potter+and+the+Philosopher%27s+Stone</t>
        </is>
      </c>
      <c r="Q141" t="inlineStr">
        <is>
          <t>https://letterboxd.com/search/Harry%20Potter%20and%20the%20Philosopher%27s%20Stone/</t>
        </is>
      </c>
      <c r="R141" t="inlineStr">
        <is>
          <t>https://www.metacritic.com/search/Harry+Potter+and+the+Philosopher%27s+Stone/</t>
        </is>
      </c>
    </row>
    <row r="142">
      <c r="A142" t="inlineStr">
        <is>
          <t>F0138</t>
        </is>
      </c>
      <c r="B142" t="inlineStr">
        <is>
          <t>Harry Potter and the Chamber of Secrets</t>
        </is>
      </c>
      <c r="C142" s="63" t="inlineStr">
        <is>
          <t>2002</t>
        </is>
      </c>
      <c r="E142" s="82" t="n"/>
      <c r="F142" s="85" t="n"/>
      <c r="G142" s="71" t="n"/>
      <c r="H142" s="71" t="n"/>
      <c r="I142" s="83" t="n"/>
      <c r="J142" s="71" t="n"/>
      <c r="K142" s="82" t="n"/>
      <c r="L142" s="82">
        <f>IF(COUNT(E142,G142,H142,I142,J142,K142)=0,"",ROUND((IF(E142="",0,E142*10)+IF(G142="",0,G142)+IF(H142="",0,H142)+IF(I142="",0,I142*20)+IF(J142="",0,J142)+IF(K142="",0,K142*10))/COUNT(E142,G142,H142,I142,J142,K142),1))</f>
        <v/>
      </c>
      <c r="M142">
        <f>IF(L142="","",IF(L142&gt;=85,"Excellent",IF(L142&gt;=70,"Good",IF(L142&gt;=55,"Mixed","Poor"))))</f>
        <v/>
      </c>
      <c r="N142" s="66" t="n"/>
      <c r="O142" t="inlineStr">
        <is>
          <t>https://www.imdb.com/find/?q=Harry+Potter+and+the+Chamber+of+Secrets+2002</t>
        </is>
      </c>
      <c r="P142" t="inlineStr">
        <is>
          <t>https://www.rottentomatoes.com/search?search=Harry+Potter+and+the+Chamber+of+Secrets</t>
        </is>
      </c>
      <c r="Q142" t="inlineStr">
        <is>
          <t>https://letterboxd.com/search/Harry%20Potter%20and%20the%20Chamber%20of%20Secrets/</t>
        </is>
      </c>
      <c r="R142" t="inlineStr">
        <is>
          <t>https://www.metacritic.com/search/Harry+Potter+and+the+Chamber+of+Secrets/</t>
        </is>
      </c>
    </row>
    <row r="143">
      <c r="A143" t="inlineStr">
        <is>
          <t>F0139</t>
        </is>
      </c>
      <c r="B143" t="inlineStr">
        <is>
          <t>Harry Potter and the Prisoner of Azkaban</t>
        </is>
      </c>
      <c r="C143" s="63" t="inlineStr">
        <is>
          <t>2004</t>
        </is>
      </c>
      <c r="E143" s="82" t="n"/>
      <c r="F143" s="85" t="n"/>
      <c r="G143" s="71" t="n"/>
      <c r="H143" s="71" t="n"/>
      <c r="I143" s="83" t="n"/>
      <c r="J143" s="71" t="n"/>
      <c r="K143" s="82" t="n"/>
      <c r="L143" s="82">
        <f>IF(COUNT(E143,G143,H143,I143,J143,K143)=0,"",ROUND((IF(E143="",0,E143*10)+IF(G143="",0,G143)+IF(H143="",0,H143)+IF(I143="",0,I143*20)+IF(J143="",0,J143)+IF(K143="",0,K143*10))/COUNT(E143,G143,H143,I143,J143,K143),1))</f>
        <v/>
      </c>
      <c r="M143">
        <f>IF(L143="","",IF(L143&gt;=85,"Excellent",IF(L143&gt;=70,"Good",IF(L143&gt;=55,"Mixed","Poor"))))</f>
        <v/>
      </c>
      <c r="N143" s="66" t="n"/>
      <c r="O143" t="inlineStr">
        <is>
          <t>https://www.imdb.com/find/?q=Harry+Potter+and+the+Prisoner+of+Azkaban+2004</t>
        </is>
      </c>
      <c r="P143" t="inlineStr">
        <is>
          <t>https://www.rottentomatoes.com/search?search=Harry+Potter+and+the+Prisoner+of+Azkaban</t>
        </is>
      </c>
      <c r="Q143" t="inlineStr">
        <is>
          <t>https://letterboxd.com/search/Harry%20Potter%20and%20the%20Prisoner%20of%20Azkaban/</t>
        </is>
      </c>
      <c r="R143" t="inlineStr">
        <is>
          <t>https://www.metacritic.com/search/Harry+Potter+and+the+Prisoner+of+Azkaban/</t>
        </is>
      </c>
    </row>
    <row r="144">
      <c r="A144" t="inlineStr">
        <is>
          <t>F0140</t>
        </is>
      </c>
      <c r="B144" t="inlineStr">
        <is>
          <t>Harry Potter and the Goblet of Fire</t>
        </is>
      </c>
      <c r="C144" s="63" t="inlineStr">
        <is>
          <t>2005</t>
        </is>
      </c>
      <c r="E144" s="82" t="n"/>
      <c r="F144" s="85" t="n"/>
      <c r="G144" s="71" t="n"/>
      <c r="H144" s="71" t="n"/>
      <c r="I144" s="83" t="n"/>
      <c r="J144" s="71" t="n"/>
      <c r="K144" s="82" t="n"/>
      <c r="L144" s="82">
        <f>IF(COUNT(E144,G144,H144,I144,J144,K144)=0,"",ROUND((IF(E144="",0,E144*10)+IF(G144="",0,G144)+IF(H144="",0,H144)+IF(I144="",0,I144*20)+IF(J144="",0,J144)+IF(K144="",0,K144*10))/COUNT(E144,G144,H144,I144,J144,K144),1))</f>
        <v/>
      </c>
      <c r="M144">
        <f>IF(L144="","",IF(L144&gt;=85,"Excellent",IF(L144&gt;=70,"Good",IF(L144&gt;=55,"Mixed","Poor"))))</f>
        <v/>
      </c>
      <c r="N144" s="66" t="n"/>
      <c r="O144" t="inlineStr">
        <is>
          <t>https://www.imdb.com/find/?q=Harry+Potter+and+the+Goblet+of+Fire+2005</t>
        </is>
      </c>
      <c r="P144" t="inlineStr">
        <is>
          <t>https://www.rottentomatoes.com/search?search=Harry+Potter+and+the+Goblet+of+Fire</t>
        </is>
      </c>
      <c r="Q144" t="inlineStr">
        <is>
          <t>https://letterboxd.com/search/Harry%20Potter%20and%20the%20Goblet%20of%20Fire/</t>
        </is>
      </c>
      <c r="R144" t="inlineStr">
        <is>
          <t>https://www.metacritic.com/search/Harry+Potter+and+the+Goblet+of+Fire/</t>
        </is>
      </c>
    </row>
    <row r="145">
      <c r="A145" t="inlineStr">
        <is>
          <t>F0141</t>
        </is>
      </c>
      <c r="B145" t="inlineStr">
        <is>
          <t>Harry Potter and the Order of the Phoenix</t>
        </is>
      </c>
      <c r="C145" s="63" t="inlineStr">
        <is>
          <t>2007</t>
        </is>
      </c>
      <c r="E145" s="82" t="n"/>
      <c r="F145" s="85" t="n"/>
      <c r="G145" s="71" t="n"/>
      <c r="H145" s="71" t="n"/>
      <c r="I145" s="83" t="n"/>
      <c r="J145" s="71" t="n"/>
      <c r="K145" s="82" t="n"/>
      <c r="L145" s="82">
        <f>IF(COUNT(E145,G145,H145,I145,J145,K145)=0,"",ROUND((IF(E145="",0,E145*10)+IF(G145="",0,G145)+IF(H145="",0,H145)+IF(I145="",0,I145*20)+IF(J145="",0,J145)+IF(K145="",0,K145*10))/COUNT(E145,G145,H145,I145,J145,K145),1))</f>
        <v/>
      </c>
      <c r="M145">
        <f>IF(L145="","",IF(L145&gt;=85,"Excellent",IF(L145&gt;=70,"Good",IF(L145&gt;=55,"Mixed","Poor"))))</f>
        <v/>
      </c>
      <c r="N145" s="66" t="n"/>
      <c r="O145" t="inlineStr">
        <is>
          <t>https://www.imdb.com/find/?q=Harry+Potter+and+the+Order+of+the+Phoenix+2007</t>
        </is>
      </c>
      <c r="P145" t="inlineStr">
        <is>
          <t>https://www.rottentomatoes.com/search?search=Harry+Potter+and+the+Order+of+the+Phoenix</t>
        </is>
      </c>
      <c r="Q145" t="inlineStr">
        <is>
          <t>https://letterboxd.com/search/Harry%20Potter%20and%20the%20Order%20of%20the%20Phoenix/</t>
        </is>
      </c>
      <c r="R145" t="inlineStr">
        <is>
          <t>https://www.metacritic.com/search/Harry+Potter+and+the+Order+of+the+Phoenix/</t>
        </is>
      </c>
    </row>
    <row r="146">
      <c r="A146" t="inlineStr">
        <is>
          <t>F0142</t>
        </is>
      </c>
      <c r="B146" t="inlineStr">
        <is>
          <t>Harry Potter and the Half-Blood Prince</t>
        </is>
      </c>
      <c r="C146" s="63" t="inlineStr">
        <is>
          <t>2009</t>
        </is>
      </c>
      <c r="E146" s="82" t="n"/>
      <c r="F146" s="85" t="n"/>
      <c r="G146" s="71" t="n"/>
      <c r="H146" s="71" t="n"/>
      <c r="I146" s="83" t="n"/>
      <c r="J146" s="71" t="n"/>
      <c r="K146" s="82" t="n"/>
      <c r="L146" s="82">
        <f>IF(COUNT(E146,G146,H146,I146,J146,K146)=0,"",ROUND((IF(E146="",0,E146*10)+IF(G146="",0,G146)+IF(H146="",0,H146)+IF(I146="",0,I146*20)+IF(J146="",0,J146)+IF(K146="",0,K146*10))/COUNT(E146,G146,H146,I146,J146,K146),1))</f>
        <v/>
      </c>
      <c r="M146">
        <f>IF(L146="","",IF(L146&gt;=85,"Excellent",IF(L146&gt;=70,"Good",IF(L146&gt;=55,"Mixed","Poor"))))</f>
        <v/>
      </c>
      <c r="N146" s="66" t="n"/>
      <c r="O146" t="inlineStr">
        <is>
          <t>https://www.imdb.com/find/?q=Harry+Potter+and+the+Half-Blood+Prince+2009</t>
        </is>
      </c>
      <c r="P146" t="inlineStr">
        <is>
          <t>https://www.rottentomatoes.com/search?search=Harry+Potter+and+the+Half-Blood+Prince</t>
        </is>
      </c>
      <c r="Q146" t="inlineStr">
        <is>
          <t>https://letterboxd.com/search/Harry%20Potter%20and%20the%20Half-Blood%20Prince/</t>
        </is>
      </c>
      <c r="R146" t="inlineStr">
        <is>
          <t>https://www.metacritic.com/search/Harry+Potter+and+the+Half-Blood+Prince/</t>
        </is>
      </c>
    </row>
    <row r="147">
      <c r="A147" t="inlineStr">
        <is>
          <t>F0143</t>
        </is>
      </c>
      <c r="B147" t="inlineStr">
        <is>
          <t>Harry Potter and the Deathly Hallows: Part 1</t>
        </is>
      </c>
      <c r="C147" s="63" t="inlineStr">
        <is>
          <t>2010</t>
        </is>
      </c>
      <c r="E147" s="82" t="n"/>
      <c r="F147" s="85" t="n"/>
      <c r="G147" s="71" t="n"/>
      <c r="H147" s="71" t="n"/>
      <c r="I147" s="83" t="n"/>
      <c r="J147" s="71" t="n"/>
      <c r="K147" s="82" t="n"/>
      <c r="L147" s="82">
        <f>IF(COUNT(E147,G147,H147,I147,J147,K147)=0,"",ROUND((IF(E147="",0,E147*10)+IF(G147="",0,G147)+IF(H147="",0,H147)+IF(I147="",0,I147*20)+IF(J147="",0,J147)+IF(K147="",0,K147*10))/COUNT(E147,G147,H147,I147,J147,K147),1))</f>
        <v/>
      </c>
      <c r="M147">
        <f>IF(L147="","",IF(L147&gt;=85,"Excellent",IF(L147&gt;=70,"Good",IF(L147&gt;=55,"Mixed","Poor"))))</f>
        <v/>
      </c>
      <c r="N147" s="66" t="n"/>
      <c r="O147" t="inlineStr">
        <is>
          <t>https://www.imdb.com/find/?q=Harry+Potter+and+the+Deathly+Hallows%3A+Part+1+2010</t>
        </is>
      </c>
      <c r="P147" t="inlineStr">
        <is>
          <t>https://www.rottentomatoes.com/search?search=Harry+Potter+and+the+Deathly+Hallows%3A+Part+1</t>
        </is>
      </c>
      <c r="Q147" t="inlineStr">
        <is>
          <t>https://letterboxd.com/search/Harry%20Potter%20and%20the%20Deathly%20Hallows%3A%20Part%201/</t>
        </is>
      </c>
      <c r="R147" t="inlineStr">
        <is>
          <t>https://www.metacritic.com/search/Harry+Potter+and+the+Deathly+Hallows%3A+Part+1/</t>
        </is>
      </c>
    </row>
    <row r="148">
      <c r="A148" t="inlineStr">
        <is>
          <t>F0144</t>
        </is>
      </c>
      <c r="B148" t="inlineStr">
        <is>
          <t>Harry Potter and the Deathly Hallows: Part 2</t>
        </is>
      </c>
      <c r="C148" s="63" t="inlineStr">
        <is>
          <t>2011</t>
        </is>
      </c>
      <c r="E148" s="82" t="n"/>
      <c r="F148" s="85" t="n"/>
      <c r="G148" s="71" t="n"/>
      <c r="H148" s="71" t="n"/>
      <c r="I148" s="83" t="n"/>
      <c r="J148" s="71" t="n"/>
      <c r="K148" s="82" t="n"/>
      <c r="L148" s="82">
        <f>IF(COUNT(E148,G148,H148,I148,J148,K148)=0,"",ROUND((IF(E148="",0,E148*10)+IF(G148="",0,G148)+IF(H148="",0,H148)+IF(I148="",0,I148*20)+IF(J148="",0,J148)+IF(K148="",0,K148*10))/COUNT(E148,G148,H148,I148,J148,K148),1))</f>
        <v/>
      </c>
      <c r="M148">
        <f>IF(L148="","",IF(L148&gt;=85,"Excellent",IF(L148&gt;=70,"Good",IF(L148&gt;=55,"Mixed","Poor"))))</f>
        <v/>
      </c>
      <c r="N148" s="66" t="n"/>
      <c r="O148" t="inlineStr">
        <is>
          <t>https://www.imdb.com/find/?q=Harry+Potter+and+the+Deathly+Hallows%3A+Part+2+2011</t>
        </is>
      </c>
      <c r="P148" t="inlineStr">
        <is>
          <t>https://www.rottentomatoes.com/search?search=Harry+Potter+and+the+Deathly+Hallows%3A+Part+2</t>
        </is>
      </c>
      <c r="Q148" t="inlineStr">
        <is>
          <t>https://letterboxd.com/search/Harry%20Potter%20and%20the%20Deathly%20Hallows%3A%20Part%202/</t>
        </is>
      </c>
      <c r="R148" t="inlineStr">
        <is>
          <t>https://www.metacritic.com/search/Harry+Potter+and+the+Deathly+Hallows%3A+Part+2/</t>
        </is>
      </c>
    </row>
    <row r="149">
      <c r="A149" t="inlineStr">
        <is>
          <t>F0145</t>
        </is>
      </c>
      <c r="B149" t="inlineStr">
        <is>
          <t>Happy Feet Two</t>
        </is>
      </c>
      <c r="C149" s="63" t="inlineStr">
        <is>
          <t>2011</t>
        </is>
      </c>
      <c r="E149" s="82" t="n"/>
      <c r="F149" s="85" t="n"/>
      <c r="G149" s="71" t="n"/>
      <c r="H149" s="71" t="n"/>
      <c r="I149" s="83" t="n"/>
      <c r="J149" s="71" t="n"/>
      <c r="K149" s="82" t="n"/>
      <c r="L149" s="82">
        <f>IF(COUNT(E149,G149,H149,I149,J149,K149)=0,"",ROUND((IF(E149="",0,E149*10)+IF(G149="",0,G149)+IF(H149="",0,H149)+IF(I149="",0,I149*20)+IF(J149="",0,J149)+IF(K149="",0,K149*10))/COUNT(E149,G149,H149,I149,J149,K149),1))</f>
        <v/>
      </c>
      <c r="M149">
        <f>IF(L149="","",IF(L149&gt;=85,"Excellent",IF(L149&gt;=70,"Good",IF(L149&gt;=55,"Mixed","Poor"))))</f>
        <v/>
      </c>
      <c r="N149" s="66" t="n"/>
      <c r="O149" t="inlineStr">
        <is>
          <t>https://www.imdb.com/find/?q=Happy+Feet+Two+2011</t>
        </is>
      </c>
      <c r="P149" t="inlineStr">
        <is>
          <t>https://www.rottentomatoes.com/search?search=Happy+Feet+Two</t>
        </is>
      </c>
      <c r="Q149" t="inlineStr">
        <is>
          <t>https://letterboxd.com/search/Happy%20Feet%20Two/</t>
        </is>
      </c>
      <c r="R149" t="inlineStr">
        <is>
          <t>https://www.metacritic.com/search/Happy+Feet+Two/</t>
        </is>
      </c>
    </row>
    <row r="150">
      <c r="A150" t="inlineStr">
        <is>
          <t>F0146</t>
        </is>
      </c>
      <c r="B150" t="inlineStr">
        <is>
          <t>The Heat</t>
        </is>
      </c>
      <c r="C150" s="63" t="inlineStr">
        <is>
          <t>2013</t>
        </is>
      </c>
      <c r="E150" s="82" t="n"/>
      <c r="F150" s="85" t="n"/>
      <c r="G150" s="71" t="n"/>
      <c r="H150" s="71" t="n"/>
      <c r="I150" s="83" t="n"/>
      <c r="J150" s="71" t="n"/>
      <c r="K150" s="82" t="n"/>
      <c r="L150" s="82">
        <f>IF(COUNT(E150,G150,H150,I150,J150,K150)=0,"",ROUND((IF(E150="",0,E150*10)+IF(G150="",0,G150)+IF(H150="",0,H150)+IF(I150="",0,I150*20)+IF(J150="",0,J150)+IF(K150="",0,K150*10))/COUNT(E150,G150,H150,I150,J150,K150),1))</f>
        <v/>
      </c>
      <c r="M150">
        <f>IF(L150="","",IF(L150&gt;=85,"Excellent",IF(L150&gt;=70,"Good",IF(L150&gt;=55,"Mixed","Poor"))))</f>
        <v/>
      </c>
      <c r="N150" s="66" t="n"/>
      <c r="O150" t="inlineStr">
        <is>
          <t>https://www.imdb.com/find/?q=The+Heat+2013</t>
        </is>
      </c>
      <c r="P150" t="inlineStr">
        <is>
          <t>https://www.rottentomatoes.com/search?search=The+Heat</t>
        </is>
      </c>
      <c r="Q150" t="inlineStr">
        <is>
          <t>https://letterboxd.com/search/The%20Heat/</t>
        </is>
      </c>
      <c r="R150" t="inlineStr">
        <is>
          <t>https://www.metacritic.com/search/The+Heat/</t>
        </is>
      </c>
    </row>
    <row r="151">
      <c r="A151" t="inlineStr">
        <is>
          <t>F0147</t>
        </is>
      </c>
      <c r="B151" t="inlineStr">
        <is>
          <t>Hercules</t>
        </is>
      </c>
      <c r="C151" s="63" t="inlineStr">
        <is>
          <t>2014</t>
        </is>
      </c>
      <c r="E151" s="82" t="n"/>
      <c r="F151" s="85" t="n"/>
      <c r="G151" s="71" t="n"/>
      <c r="H151" s="71" t="n"/>
      <c r="I151" s="83" t="n"/>
      <c r="J151" s="71" t="n"/>
      <c r="K151" s="82" t="n"/>
      <c r="L151" s="82">
        <f>IF(COUNT(E151,G151,H151,I151,J151,K151)=0,"",ROUND((IF(E151="",0,E151*10)+IF(G151="",0,G151)+IF(H151="",0,H151)+IF(I151="",0,I151*20)+IF(J151="",0,J151)+IF(K151="",0,K151*10))/COUNT(E151,G151,H151,I151,J151,K151),1))</f>
        <v/>
      </c>
      <c r="M151">
        <f>IF(L151="","",IF(L151&gt;=85,"Excellent",IF(L151&gt;=70,"Good",IF(L151&gt;=55,"Mixed","Poor"))))</f>
        <v/>
      </c>
      <c r="N151" s="66" t="n"/>
      <c r="O151" t="inlineStr">
        <is>
          <t>https://www.imdb.com/find/?q=Hercules+2014</t>
        </is>
      </c>
      <c r="P151" t="inlineStr">
        <is>
          <t>https://www.rottentomatoes.com/search?search=Hercules</t>
        </is>
      </c>
      <c r="Q151" t="inlineStr">
        <is>
          <t>https://letterboxd.com/search/Hercules/</t>
        </is>
      </c>
      <c r="R151" t="inlineStr">
        <is>
          <t>https://www.metacritic.com/search/Hercules/</t>
        </is>
      </c>
    </row>
    <row r="152">
      <c r="A152" t="inlineStr">
        <is>
          <t>F0148</t>
        </is>
      </c>
      <c r="B152" t="inlineStr">
        <is>
          <t>The Legend of Hercules</t>
        </is>
      </c>
      <c r="C152" s="63" t="inlineStr">
        <is>
          <t>2014</t>
        </is>
      </c>
      <c r="E152" s="82" t="n"/>
      <c r="F152" s="85" t="n"/>
      <c r="G152" s="71" t="n"/>
      <c r="H152" s="71" t="n"/>
      <c r="I152" s="83" t="n"/>
      <c r="J152" s="71" t="n"/>
      <c r="K152" s="82" t="n"/>
      <c r="L152" s="82">
        <f>IF(COUNT(E152,G152,H152,I152,J152,K152)=0,"",ROUND((IF(E152="",0,E152*10)+IF(G152="",0,G152)+IF(H152="",0,H152)+IF(I152="",0,I152*20)+IF(J152="",0,J152)+IF(K152="",0,K152*10))/COUNT(E152,G152,H152,I152,J152,K152),1))</f>
        <v/>
      </c>
      <c r="M152">
        <f>IF(L152="","",IF(L152&gt;=85,"Excellent",IF(L152&gt;=70,"Good",IF(L152&gt;=55,"Mixed","Poor"))))</f>
        <v/>
      </c>
      <c r="N152" s="66" t="n"/>
      <c r="O152" t="inlineStr">
        <is>
          <t>https://www.imdb.com/find/?q=The+Legend+of+Hercules+2014</t>
        </is>
      </c>
      <c r="P152" t="inlineStr">
        <is>
          <t>https://www.rottentomatoes.com/search?search=The+Legend+of+Hercules</t>
        </is>
      </c>
      <c r="Q152" t="inlineStr">
        <is>
          <t>https://letterboxd.com/search/The%20Legend%20of%20Hercules/</t>
        </is>
      </c>
      <c r="R152" t="inlineStr">
        <is>
          <t>https://www.metacritic.com/search/The+Legend+of+Hercules/</t>
        </is>
      </c>
    </row>
    <row r="153">
      <c r="A153" t="inlineStr">
        <is>
          <t>F0149</t>
        </is>
      </c>
      <c r="B153" t="inlineStr">
        <is>
          <t>The Hitman's Bodyguard</t>
        </is>
      </c>
      <c r="C153" s="63" t="inlineStr">
        <is>
          <t>2017</t>
        </is>
      </c>
      <c r="E153" s="82" t="n"/>
      <c r="F153" s="85" t="n"/>
      <c r="G153" s="71" t="n"/>
      <c r="H153" s="71" t="n"/>
      <c r="I153" s="83" t="n"/>
      <c r="J153" s="71" t="n"/>
      <c r="K153" s="82" t="n"/>
      <c r="L153" s="82">
        <f>IF(COUNT(E153,G153,H153,I153,J153,K153)=0,"",ROUND((IF(E153="",0,E153*10)+IF(G153="",0,G153)+IF(H153="",0,H153)+IF(I153="",0,I153*20)+IF(J153="",0,J153)+IF(K153="",0,K153*10))/COUNT(E153,G153,H153,I153,J153,K153),1))</f>
        <v/>
      </c>
      <c r="M153">
        <f>IF(L153="","",IF(L153&gt;=85,"Excellent",IF(L153&gt;=70,"Good",IF(L153&gt;=55,"Mixed","Poor"))))</f>
        <v/>
      </c>
      <c r="N153" s="66" t="n"/>
      <c r="O153" t="inlineStr">
        <is>
          <t>https://www.imdb.com/find/?q=The+Hitman%27s+Bodyguard+2017</t>
        </is>
      </c>
      <c r="P153" t="inlineStr">
        <is>
          <t>https://www.rottentomatoes.com/search?search=The+Hitman%27s+Bodyguard</t>
        </is>
      </c>
      <c r="Q153" t="inlineStr">
        <is>
          <t>https://letterboxd.com/search/The%20Hitman%27s%20Bodyguard/</t>
        </is>
      </c>
      <c r="R153" t="inlineStr">
        <is>
          <t>https://www.metacritic.com/search/The+Hitman%27s+Bodyguard/</t>
        </is>
      </c>
    </row>
    <row r="154">
      <c r="A154" t="inlineStr">
        <is>
          <t>F0150</t>
        </is>
      </c>
      <c r="B154" t="inlineStr">
        <is>
          <t>The Hobbit: An Unexpected Journey</t>
        </is>
      </c>
      <c r="C154" s="63" t="inlineStr">
        <is>
          <t>2012</t>
        </is>
      </c>
      <c r="E154" s="82" t="n"/>
      <c r="F154" s="85" t="n"/>
      <c r="G154" s="71" t="n"/>
      <c r="H154" s="71" t="n"/>
      <c r="I154" s="83" t="n"/>
      <c r="J154" s="71" t="n"/>
      <c r="K154" s="82" t="n"/>
      <c r="L154" s="82">
        <f>IF(COUNT(E154,G154,H154,I154,J154,K154)=0,"",ROUND((IF(E154="",0,E154*10)+IF(G154="",0,G154)+IF(H154="",0,H154)+IF(I154="",0,I154*20)+IF(J154="",0,J154)+IF(K154="",0,K154*10))/COUNT(E154,G154,H154,I154,J154,K154),1))</f>
        <v/>
      </c>
      <c r="M154">
        <f>IF(L154="","",IF(L154&gt;=85,"Excellent",IF(L154&gt;=70,"Good",IF(L154&gt;=55,"Mixed","Poor"))))</f>
        <v/>
      </c>
      <c r="N154" s="66" t="n"/>
      <c r="O154" t="inlineStr">
        <is>
          <t>https://www.imdb.com/find/?q=The+Hobbit%3A+An+Unexpected+Journey+2012</t>
        </is>
      </c>
      <c r="P154" t="inlineStr">
        <is>
          <t>https://www.rottentomatoes.com/search?search=The+Hobbit%3A+An+Unexpected+Journey</t>
        </is>
      </c>
      <c r="Q154" t="inlineStr">
        <is>
          <t>https://letterboxd.com/search/The%20Hobbit%3A%20An%20Unexpected%20Journey/</t>
        </is>
      </c>
      <c r="R154" t="inlineStr">
        <is>
          <t>https://www.metacritic.com/search/The+Hobbit%3A+An+Unexpected+Journey/</t>
        </is>
      </c>
    </row>
    <row r="155">
      <c r="A155" t="inlineStr">
        <is>
          <t>F0151</t>
        </is>
      </c>
      <c r="B155" t="inlineStr">
        <is>
          <t>The Hobbit: The Desolation of Smaug</t>
        </is>
      </c>
      <c r="C155" s="63" t="inlineStr">
        <is>
          <t>2013</t>
        </is>
      </c>
      <c r="E155" s="82" t="n"/>
      <c r="F155" s="85" t="n"/>
      <c r="G155" s="71" t="n"/>
      <c r="H155" s="71" t="n"/>
      <c r="I155" s="83" t="n"/>
      <c r="J155" s="71" t="n"/>
      <c r="K155" s="82" t="n"/>
      <c r="L155" s="82">
        <f>IF(COUNT(E155,G155,H155,I155,J155,K155)=0,"",ROUND((IF(E155="",0,E155*10)+IF(G155="",0,G155)+IF(H155="",0,H155)+IF(I155="",0,I155*20)+IF(J155="",0,J155)+IF(K155="",0,K155*10))/COUNT(E155,G155,H155,I155,J155,K155),1))</f>
        <v/>
      </c>
      <c r="M155">
        <f>IF(L155="","",IF(L155&gt;=85,"Excellent",IF(L155&gt;=70,"Good",IF(L155&gt;=55,"Mixed","Poor"))))</f>
        <v/>
      </c>
      <c r="N155" s="66" t="n"/>
      <c r="O155" t="inlineStr">
        <is>
          <t>https://www.imdb.com/find/?q=The+Hobbit%3A+The+Desolation+of+Smaug+2013</t>
        </is>
      </c>
      <c r="P155" t="inlineStr">
        <is>
          <t>https://www.rottentomatoes.com/search?search=The+Hobbit%3A+The+Desolation+of+Smaug</t>
        </is>
      </c>
      <c r="Q155" t="inlineStr">
        <is>
          <t>https://letterboxd.com/search/The%20Hobbit%3A%20The%20Desolation%20of%20Smaug/</t>
        </is>
      </c>
      <c r="R155" t="inlineStr">
        <is>
          <t>https://www.metacritic.com/search/The+Hobbit%3A+The+Desolation+of+Smaug/</t>
        </is>
      </c>
    </row>
    <row r="156">
      <c r="A156" t="inlineStr">
        <is>
          <t>F0152</t>
        </is>
      </c>
      <c r="B156" t="inlineStr">
        <is>
          <t>The Hobbit: The Battle of the Five Armies</t>
        </is>
      </c>
      <c r="C156" s="63" t="inlineStr">
        <is>
          <t>2014</t>
        </is>
      </c>
      <c r="E156" s="82" t="n"/>
      <c r="F156" s="85" t="n"/>
      <c r="G156" s="71" t="n"/>
      <c r="H156" s="71" t="n"/>
      <c r="I156" s="83" t="n"/>
      <c r="J156" s="71" t="n"/>
      <c r="K156" s="82" t="n"/>
      <c r="L156" s="82">
        <f>IF(COUNT(E156,G156,H156,I156,J156,K156)=0,"",ROUND((IF(E156="",0,E156*10)+IF(G156="",0,G156)+IF(H156="",0,H156)+IF(I156="",0,I156*20)+IF(J156="",0,J156)+IF(K156="",0,K156*10))/COUNT(E156,G156,H156,I156,J156,K156),1))</f>
        <v/>
      </c>
      <c r="M156">
        <f>IF(L156="","",IF(L156&gt;=85,"Excellent",IF(L156&gt;=70,"Good",IF(L156&gt;=55,"Mixed","Poor"))))</f>
        <v/>
      </c>
      <c r="N156" s="66" t="n"/>
      <c r="O156" t="inlineStr">
        <is>
          <t>https://www.imdb.com/find/?q=The+Hobbit%3A+The+Battle+of+the+Five+Armies+2014</t>
        </is>
      </c>
      <c r="P156" t="inlineStr">
        <is>
          <t>https://www.rottentomatoes.com/search?search=The+Hobbit%3A+The+Battle+of+the+Five+Armies</t>
        </is>
      </c>
      <c r="Q156" t="inlineStr">
        <is>
          <t>https://letterboxd.com/search/The%20Hobbit%3A%20The%20Battle%20of%20the%20Five%20Armies/</t>
        </is>
      </c>
      <c r="R156" t="inlineStr">
        <is>
          <t>https://www.metacritic.com/search/The+Hobbit%3A+The+Battle+of+the+Five+Armies/</t>
        </is>
      </c>
    </row>
    <row r="157">
      <c r="A157" t="inlineStr">
        <is>
          <t>F0153</t>
        </is>
      </c>
      <c r="B157" t="inlineStr">
        <is>
          <t>Home</t>
        </is>
      </c>
      <c r="C157" s="63" t="inlineStr">
        <is>
          <t>2015</t>
        </is>
      </c>
      <c r="E157" s="82" t="n"/>
      <c r="F157" s="85" t="n"/>
      <c r="G157" s="71" t="n"/>
      <c r="H157" s="71" t="n"/>
      <c r="I157" s="83" t="n"/>
      <c r="J157" s="71" t="n"/>
      <c r="K157" s="82" t="n"/>
      <c r="L157" s="82">
        <f>IF(COUNT(E157,G157,H157,I157,J157,K157)=0,"",ROUND((IF(E157="",0,E157*10)+IF(G157="",0,G157)+IF(H157="",0,H157)+IF(I157="",0,I157*20)+IF(J157="",0,J157)+IF(K157="",0,K157*10))/COUNT(E157,G157,H157,I157,J157,K157),1))</f>
        <v/>
      </c>
      <c r="M157">
        <f>IF(L157="","",IF(L157&gt;=85,"Excellent",IF(L157&gt;=70,"Good",IF(L157&gt;=55,"Mixed","Poor"))))</f>
        <v/>
      </c>
      <c r="N157" s="66" t="n"/>
      <c r="O157" t="inlineStr">
        <is>
          <t>https://www.imdb.com/find/?q=Home+2015</t>
        </is>
      </c>
      <c r="P157" t="inlineStr">
        <is>
          <t>https://www.rottentomatoes.com/search?search=Home</t>
        </is>
      </c>
      <c r="Q157" t="inlineStr">
        <is>
          <t>https://letterboxd.com/search/Home/</t>
        </is>
      </c>
      <c r="R157" t="inlineStr">
        <is>
          <t>https://www.metacritic.com/search/Home/</t>
        </is>
      </c>
    </row>
    <row r="158">
      <c r="A158" t="inlineStr">
        <is>
          <t>F0154</t>
        </is>
      </c>
      <c r="B158" t="inlineStr">
        <is>
          <t>How to Train Your Dragon</t>
        </is>
      </c>
      <c r="C158" s="63" t="inlineStr">
        <is>
          <t>2010</t>
        </is>
      </c>
      <c r="E158" s="82" t="n"/>
      <c r="F158" s="85" t="n"/>
      <c r="G158" s="71" t="n"/>
      <c r="H158" s="71" t="n"/>
      <c r="I158" s="83" t="n"/>
      <c r="J158" s="71" t="n"/>
      <c r="K158" s="82" t="n"/>
      <c r="L158" s="82">
        <f>IF(COUNT(E158,G158,H158,I158,J158,K158)=0,"",ROUND((IF(E158="",0,E158*10)+IF(G158="",0,G158)+IF(H158="",0,H158)+IF(I158="",0,I158*20)+IF(J158="",0,J158)+IF(K158="",0,K158*10))/COUNT(E158,G158,H158,I158,J158,K158),1))</f>
        <v/>
      </c>
      <c r="M158">
        <f>IF(L158="","",IF(L158&gt;=85,"Excellent",IF(L158&gt;=70,"Good",IF(L158&gt;=55,"Mixed","Poor"))))</f>
        <v/>
      </c>
      <c r="N158" s="66" t="n"/>
      <c r="O158" t="inlineStr">
        <is>
          <t>https://www.imdb.com/find/?q=How+to+Train+Your+Dragon+2010</t>
        </is>
      </c>
      <c r="P158" t="inlineStr">
        <is>
          <t>https://www.rottentomatoes.com/search?search=How+to+Train+Your+Dragon</t>
        </is>
      </c>
      <c r="Q158" t="inlineStr">
        <is>
          <t>https://letterboxd.com/search/How%20to%20Train%20Your%20Dragon/</t>
        </is>
      </c>
      <c r="R158" t="inlineStr">
        <is>
          <t>https://www.metacritic.com/search/How+to+Train+Your+Dragon/</t>
        </is>
      </c>
    </row>
    <row r="159">
      <c r="A159" t="inlineStr">
        <is>
          <t>F0155</t>
        </is>
      </c>
      <c r="B159" t="inlineStr">
        <is>
          <t>How to Train Your Dragon 2</t>
        </is>
      </c>
      <c r="C159" s="63" t="inlineStr">
        <is>
          <t>2014</t>
        </is>
      </c>
      <c r="E159" s="82" t="n"/>
      <c r="F159" s="85" t="n"/>
      <c r="G159" s="71" t="n"/>
      <c r="H159" s="71" t="n"/>
      <c r="I159" s="83" t="n"/>
      <c r="J159" s="71" t="n"/>
      <c r="K159" s="82" t="n"/>
      <c r="L159" s="82">
        <f>IF(COUNT(E159,G159,H159,I159,J159,K159)=0,"",ROUND((IF(E159="",0,E159*10)+IF(G159="",0,G159)+IF(H159="",0,H159)+IF(I159="",0,I159*20)+IF(J159="",0,J159)+IF(K159="",0,K159*10))/COUNT(E159,G159,H159,I159,J159,K159),1))</f>
        <v/>
      </c>
      <c r="M159">
        <f>IF(L159="","",IF(L159&gt;=85,"Excellent",IF(L159&gt;=70,"Good",IF(L159&gt;=55,"Mixed","Poor"))))</f>
        <v/>
      </c>
      <c r="N159" s="66" t="n"/>
      <c r="O159" t="inlineStr">
        <is>
          <t>https://www.imdb.com/find/?q=How+to+Train+Your+Dragon+2+2014</t>
        </is>
      </c>
      <c r="P159" t="inlineStr">
        <is>
          <t>https://www.rottentomatoes.com/search?search=How+to+Train+Your+Dragon+2</t>
        </is>
      </c>
      <c r="Q159" t="inlineStr">
        <is>
          <t>https://letterboxd.com/search/How%20to%20Train%20Your%20Dragon%202/</t>
        </is>
      </c>
      <c r="R159" t="inlineStr">
        <is>
          <t>https://www.metacritic.com/search/How+to+Train+Your+Dragon+2/</t>
        </is>
      </c>
    </row>
    <row r="160">
      <c r="A160" t="inlineStr">
        <is>
          <t>F0156</t>
        </is>
      </c>
      <c r="B160" t="inlineStr">
        <is>
          <t>Hummingbird</t>
        </is>
      </c>
      <c r="C160" s="63" t="inlineStr">
        <is>
          <t>2013</t>
        </is>
      </c>
      <c r="E160" s="82" t="n"/>
      <c r="F160" s="85" t="n"/>
      <c r="G160" s="71" t="n"/>
      <c r="H160" s="71" t="n"/>
      <c r="I160" s="83" t="n"/>
      <c r="J160" s="71" t="n"/>
      <c r="K160" s="82" t="n"/>
      <c r="L160" s="82">
        <f>IF(COUNT(E160,G160,H160,I160,J160,K160)=0,"",ROUND((IF(E160="",0,E160*10)+IF(G160="",0,G160)+IF(H160="",0,H160)+IF(I160="",0,I160*20)+IF(J160="",0,J160)+IF(K160="",0,K160*10))/COUNT(E160,G160,H160,I160,J160,K160),1))</f>
        <v/>
      </c>
      <c r="M160">
        <f>IF(L160="","",IF(L160&gt;=85,"Excellent",IF(L160&gt;=70,"Good",IF(L160&gt;=55,"Mixed","Poor"))))</f>
        <v/>
      </c>
      <c r="N160" s="66" t="n"/>
      <c r="O160" t="inlineStr">
        <is>
          <t>https://www.imdb.com/find/?q=Hummingbird+2013</t>
        </is>
      </c>
      <c r="P160" t="inlineStr">
        <is>
          <t>https://www.rottentomatoes.com/search?search=Hummingbird</t>
        </is>
      </c>
      <c r="Q160" t="inlineStr">
        <is>
          <t>https://letterboxd.com/search/Hummingbird/</t>
        </is>
      </c>
      <c r="R160" t="inlineStr">
        <is>
          <t>https://www.metacritic.com/search/Hummingbird/</t>
        </is>
      </c>
    </row>
    <row r="161">
      <c r="A161" t="inlineStr">
        <is>
          <t>F0157</t>
        </is>
      </c>
      <c r="B161" t="inlineStr">
        <is>
          <t>The Hunger Games</t>
        </is>
      </c>
      <c r="C161" s="63" t="inlineStr">
        <is>
          <t>2012</t>
        </is>
      </c>
      <c r="E161" s="82" t="n"/>
      <c r="F161" s="85" t="n"/>
      <c r="G161" s="71" t="n"/>
      <c r="H161" s="71" t="n"/>
      <c r="I161" s="83" t="n"/>
      <c r="J161" s="71" t="n"/>
      <c r="K161" s="82" t="n"/>
      <c r="L161" s="82">
        <f>IF(COUNT(E161,G161,H161,I161,J161,K161)=0,"",ROUND((IF(E161="",0,E161*10)+IF(G161="",0,G161)+IF(H161="",0,H161)+IF(I161="",0,I161*20)+IF(J161="",0,J161)+IF(K161="",0,K161*10))/COUNT(E161,G161,H161,I161,J161,K161),1))</f>
        <v/>
      </c>
      <c r="M161">
        <f>IF(L161="","",IF(L161&gt;=85,"Excellent",IF(L161&gt;=70,"Good",IF(L161&gt;=55,"Mixed","Poor"))))</f>
        <v/>
      </c>
      <c r="N161" s="66" t="n"/>
      <c r="O161" t="inlineStr">
        <is>
          <t>https://www.imdb.com/find/?q=The+Hunger+Games+2012</t>
        </is>
      </c>
      <c r="P161" t="inlineStr">
        <is>
          <t>https://www.rottentomatoes.com/search?search=The+Hunger+Games</t>
        </is>
      </c>
      <c r="Q161" t="inlineStr">
        <is>
          <t>https://letterboxd.com/search/The%20Hunger%20Games/</t>
        </is>
      </c>
      <c r="R161" t="inlineStr">
        <is>
          <t>https://www.metacritic.com/search/The+Hunger+Games/</t>
        </is>
      </c>
    </row>
    <row r="162">
      <c r="A162" t="inlineStr">
        <is>
          <t>F0158</t>
        </is>
      </c>
      <c r="B162" t="inlineStr">
        <is>
          <t>The Hunger Games: Mockingjay - Part 1</t>
        </is>
      </c>
      <c r="C162" s="63" t="inlineStr">
        <is>
          <t>2014</t>
        </is>
      </c>
      <c r="E162" s="82" t="n"/>
      <c r="F162" s="85" t="n"/>
      <c r="G162" s="71" t="n"/>
      <c r="H162" s="71" t="n"/>
      <c r="I162" s="83" t="n"/>
      <c r="J162" s="71" t="n"/>
      <c r="K162" s="82" t="n"/>
      <c r="L162" s="82">
        <f>IF(COUNT(E162,G162,H162,I162,J162,K162)=0,"",ROUND((IF(E162="",0,E162*10)+IF(G162="",0,G162)+IF(H162="",0,H162)+IF(I162="",0,I162*20)+IF(J162="",0,J162)+IF(K162="",0,K162*10))/COUNT(E162,G162,H162,I162,J162,K162),1))</f>
        <v/>
      </c>
      <c r="M162">
        <f>IF(L162="","",IF(L162&gt;=85,"Excellent",IF(L162&gt;=70,"Good",IF(L162&gt;=55,"Mixed","Poor"))))</f>
        <v/>
      </c>
      <c r="N162" s="66" t="n"/>
      <c r="O162" t="inlineStr">
        <is>
          <t>https://www.imdb.com/find/?q=The+Hunger+Games%3A+Mockingjay+-+Part+1+2014</t>
        </is>
      </c>
      <c r="P162" t="inlineStr">
        <is>
          <t>https://www.rottentomatoes.com/search?search=The+Hunger+Games%3A+Mockingjay+-+Part+1</t>
        </is>
      </c>
      <c r="Q162" t="inlineStr">
        <is>
          <t>https://letterboxd.com/search/The%20Hunger%20Games%3A%20Mockingjay%20-%20Part%201/</t>
        </is>
      </c>
      <c r="R162" t="inlineStr">
        <is>
          <t>https://www.metacritic.com/search/The+Hunger+Games%3A+Mockingjay+-+Part+1/</t>
        </is>
      </c>
    </row>
    <row r="163">
      <c r="A163" t="inlineStr">
        <is>
          <t>F0159</t>
        </is>
      </c>
      <c r="B163" t="inlineStr">
        <is>
          <t>I, Frankenstein</t>
        </is>
      </c>
      <c r="C163" s="63" t="inlineStr">
        <is>
          <t>2014</t>
        </is>
      </c>
      <c r="E163" s="82" t="n"/>
      <c r="F163" s="85" t="n"/>
      <c r="G163" s="71" t="n"/>
      <c r="H163" s="71" t="n"/>
      <c r="I163" s="83" t="n"/>
      <c r="J163" s="71" t="n"/>
      <c r="K163" s="82" t="n"/>
      <c r="L163" s="82">
        <f>IF(COUNT(E163,G163,H163,I163,J163,K163)=0,"",ROUND((IF(E163="",0,E163*10)+IF(G163="",0,G163)+IF(H163="",0,H163)+IF(I163="",0,I163*20)+IF(J163="",0,J163)+IF(K163="",0,K163*10))/COUNT(E163,G163,H163,I163,J163,K163),1))</f>
        <v/>
      </c>
      <c r="M163">
        <f>IF(L163="","",IF(L163&gt;=85,"Excellent",IF(L163&gt;=70,"Good",IF(L163&gt;=55,"Mixed","Poor"))))</f>
        <v/>
      </c>
      <c r="N163" s="66" t="n"/>
      <c r="O163" t="inlineStr">
        <is>
          <t>https://www.imdb.com/find/?q=I%2C+Frankenstein+2014</t>
        </is>
      </c>
      <c r="P163" t="inlineStr">
        <is>
          <t>https://www.rottentomatoes.com/search?search=I%2C+Frankenstein</t>
        </is>
      </c>
      <c r="Q163" t="inlineStr">
        <is>
          <t>https://letterboxd.com/search/I%2C%20Frankenstein/</t>
        </is>
      </c>
      <c r="R163" t="inlineStr">
        <is>
          <t>https://www.metacritic.com/search/I%2C+Frankenstein/</t>
        </is>
      </c>
    </row>
    <row r="164">
      <c r="A164" t="inlineStr">
        <is>
          <t>F0160</t>
        </is>
      </c>
      <c r="B164" t="inlineStr">
        <is>
          <t>Ice Age: The Meltdown</t>
        </is>
      </c>
      <c r="C164" s="63" t="inlineStr">
        <is>
          <t>2006</t>
        </is>
      </c>
      <c r="E164" s="82" t="n"/>
      <c r="F164" s="85" t="n"/>
      <c r="G164" s="71" t="n"/>
      <c r="H164" s="71" t="n"/>
      <c r="I164" s="83" t="n"/>
      <c r="J164" s="71" t="n"/>
      <c r="K164" s="82" t="n"/>
      <c r="L164" s="82">
        <f>IF(COUNT(E164,G164,H164,I164,J164,K164)=0,"",ROUND((IF(E164="",0,E164*10)+IF(G164="",0,G164)+IF(H164="",0,H164)+IF(I164="",0,I164*20)+IF(J164="",0,J164)+IF(K164="",0,K164*10))/COUNT(E164,G164,H164,I164,J164,K164),1))</f>
        <v/>
      </c>
      <c r="M164">
        <f>IF(L164="","",IF(L164&gt;=85,"Excellent",IF(L164&gt;=70,"Good",IF(L164&gt;=55,"Mixed","Poor"))))</f>
        <v/>
      </c>
      <c r="N164" s="66" t="n"/>
      <c r="O164" t="inlineStr">
        <is>
          <t>https://www.imdb.com/find/?q=Ice+Age%3A+The+Meltdown+2006</t>
        </is>
      </c>
      <c r="P164" t="inlineStr">
        <is>
          <t>https://www.rottentomatoes.com/search?search=Ice+Age%3A+The+Meltdown</t>
        </is>
      </c>
      <c r="Q164" t="inlineStr">
        <is>
          <t>https://letterboxd.com/search/Ice%20Age%3A%20The%20Meltdown/</t>
        </is>
      </c>
      <c r="R164" t="inlineStr">
        <is>
          <t>https://www.metacritic.com/search/Ice+Age%3A+The+Meltdown/</t>
        </is>
      </c>
    </row>
    <row r="165">
      <c r="A165" t="inlineStr">
        <is>
          <t>F0161</t>
        </is>
      </c>
      <c r="B165" t="inlineStr">
        <is>
          <t>Ice Age: Dawn of the Dinosaurs</t>
        </is>
      </c>
      <c r="C165" s="63" t="inlineStr">
        <is>
          <t>2009</t>
        </is>
      </c>
      <c r="E165" s="82" t="n"/>
      <c r="F165" s="85" t="n"/>
      <c r="G165" s="71" t="n"/>
      <c r="H165" s="71" t="n"/>
      <c r="I165" s="83" t="n"/>
      <c r="J165" s="71" t="n"/>
      <c r="K165" s="82" t="n"/>
      <c r="L165" s="82">
        <f>IF(COUNT(E165,G165,H165,I165,J165,K165)=0,"",ROUND((IF(E165="",0,E165*10)+IF(G165="",0,G165)+IF(H165="",0,H165)+IF(I165="",0,I165*20)+IF(J165="",0,J165)+IF(K165="",0,K165*10))/COUNT(E165,G165,H165,I165,J165,K165),1))</f>
        <v/>
      </c>
      <c r="M165">
        <f>IF(L165="","",IF(L165&gt;=85,"Excellent",IF(L165&gt;=70,"Good",IF(L165&gt;=55,"Mixed","Poor"))))</f>
        <v/>
      </c>
      <c r="N165" s="66" t="n"/>
      <c r="O165" t="inlineStr">
        <is>
          <t>https://www.imdb.com/find/?q=Ice+Age%3A+Dawn+of+the+Dinosaurs+2009</t>
        </is>
      </c>
      <c r="P165" t="inlineStr">
        <is>
          <t>https://www.rottentomatoes.com/search?search=Ice+Age%3A+Dawn+of+the+Dinosaurs</t>
        </is>
      </c>
      <c r="Q165" t="inlineStr">
        <is>
          <t>https://letterboxd.com/search/Ice%20Age%3A%20Dawn%20of%20the%20Dinosaurs/</t>
        </is>
      </c>
      <c r="R165" t="inlineStr">
        <is>
          <t>https://www.metacritic.com/search/Ice+Age%3A+Dawn+of+the+Dinosaurs/</t>
        </is>
      </c>
    </row>
    <row r="166">
      <c r="A166" t="inlineStr">
        <is>
          <t>F0162</t>
        </is>
      </c>
      <c r="B166" t="inlineStr">
        <is>
          <t>The Imitation Game</t>
        </is>
      </c>
      <c r="C166" s="63" t="inlineStr">
        <is>
          <t>2014</t>
        </is>
      </c>
      <c r="E166" s="82" t="n"/>
      <c r="F166" s="85" t="n"/>
      <c r="G166" s="71" t="n"/>
      <c r="H166" s="71" t="n"/>
      <c r="I166" s="83" t="n"/>
      <c r="J166" s="71" t="n"/>
      <c r="K166" s="82" t="n"/>
      <c r="L166" s="82">
        <f>IF(COUNT(E166,G166,H166,I166,J166,K166)=0,"",ROUND((IF(E166="",0,E166*10)+IF(G166="",0,G166)+IF(H166="",0,H166)+IF(I166="",0,I166*20)+IF(J166="",0,J166)+IF(K166="",0,K166*10))/COUNT(E166,G166,H166,I166,J166,K166),1))</f>
        <v/>
      </c>
      <c r="M166">
        <f>IF(L166="","",IF(L166&gt;=85,"Excellent",IF(L166&gt;=70,"Good",IF(L166&gt;=55,"Mixed","Poor"))))</f>
        <v/>
      </c>
      <c r="N166" s="66" t="n"/>
      <c r="O166" t="inlineStr">
        <is>
          <t>https://www.imdb.com/find/?q=The+Imitation+Game+2014</t>
        </is>
      </c>
      <c r="P166" t="inlineStr">
        <is>
          <t>https://www.rottentomatoes.com/search?search=The+Imitation+Game</t>
        </is>
      </c>
      <c r="Q166" t="inlineStr">
        <is>
          <t>https://letterboxd.com/search/The%20Imitation%20Game/</t>
        </is>
      </c>
      <c r="R166" t="inlineStr">
        <is>
          <t>https://www.metacritic.com/search/The+Imitation+Game/</t>
        </is>
      </c>
    </row>
    <row r="167">
      <c r="A167" t="inlineStr">
        <is>
          <t>F0163</t>
        </is>
      </c>
      <c r="B167" t="inlineStr">
        <is>
          <t>The Inbetweeners Movie</t>
        </is>
      </c>
      <c r="C167" s="63" t="inlineStr">
        <is>
          <t>2011</t>
        </is>
      </c>
      <c r="E167" s="82" t="n"/>
      <c r="F167" s="85" t="n"/>
      <c r="G167" s="71" t="n"/>
      <c r="H167" s="71" t="n"/>
      <c r="I167" s="83" t="n"/>
      <c r="J167" s="71" t="n"/>
      <c r="K167" s="82" t="n"/>
      <c r="L167" s="82">
        <f>IF(COUNT(E167,G167,H167,I167,J167,K167)=0,"",ROUND((IF(E167="",0,E167*10)+IF(G167="",0,G167)+IF(H167="",0,H167)+IF(I167="",0,I167*20)+IF(J167="",0,J167)+IF(K167="",0,K167*10))/COUNT(E167,G167,H167,I167,J167,K167),1))</f>
        <v/>
      </c>
      <c r="M167">
        <f>IF(L167="","",IF(L167&gt;=85,"Excellent",IF(L167&gt;=70,"Good",IF(L167&gt;=55,"Mixed","Poor"))))</f>
        <v/>
      </c>
      <c r="N167" s="66" t="n"/>
      <c r="O167" t="inlineStr">
        <is>
          <t>https://www.imdb.com/find/?q=The+Inbetweeners+Movie+2011</t>
        </is>
      </c>
      <c r="P167" t="inlineStr">
        <is>
          <t>https://www.rottentomatoes.com/search?search=The+Inbetweeners+Movie</t>
        </is>
      </c>
      <c r="Q167" t="inlineStr">
        <is>
          <t>https://letterboxd.com/search/The%20Inbetweeners%20Movie/</t>
        </is>
      </c>
      <c r="R167" t="inlineStr">
        <is>
          <t>https://www.metacritic.com/search/The+Inbetweeners+Movie/</t>
        </is>
      </c>
    </row>
    <row r="168">
      <c r="A168" t="inlineStr">
        <is>
          <t>F0164</t>
        </is>
      </c>
      <c r="B168" t="inlineStr">
        <is>
          <t>The Inbetweeners 2</t>
        </is>
      </c>
      <c r="C168" s="63" t="inlineStr">
        <is>
          <t>2014</t>
        </is>
      </c>
      <c r="E168" s="82" t="n"/>
      <c r="F168" s="85" t="n"/>
      <c r="G168" s="71" t="n"/>
      <c r="H168" s="71" t="n"/>
      <c r="I168" s="83" t="n"/>
      <c r="J168" s="71" t="n"/>
      <c r="K168" s="82" t="n"/>
      <c r="L168" s="82">
        <f>IF(COUNT(E168,G168,H168,I168,J168,K168)=0,"",ROUND((IF(E168="",0,E168*10)+IF(G168="",0,G168)+IF(H168="",0,H168)+IF(I168="",0,I168*20)+IF(J168="",0,J168)+IF(K168="",0,K168*10))/COUNT(E168,G168,H168,I168,J168,K168),1))</f>
        <v/>
      </c>
      <c r="M168">
        <f>IF(L168="","",IF(L168&gt;=85,"Excellent",IF(L168&gt;=70,"Good",IF(L168&gt;=55,"Mixed","Poor"))))</f>
        <v/>
      </c>
      <c r="N168" s="66" t="n"/>
      <c r="O168" t="inlineStr">
        <is>
          <t>https://www.imdb.com/find/?q=The+Inbetweeners+2+2014</t>
        </is>
      </c>
      <c r="P168" t="inlineStr">
        <is>
          <t>https://www.rottentomatoes.com/search?search=The+Inbetweeners+2</t>
        </is>
      </c>
      <c r="Q168" t="inlineStr">
        <is>
          <t>https://letterboxd.com/search/The%20Inbetweeners%202/</t>
        </is>
      </c>
      <c r="R168" t="inlineStr">
        <is>
          <t>https://www.metacritic.com/search/The+Inbetweeners+2/</t>
        </is>
      </c>
    </row>
    <row r="169">
      <c r="A169" t="inlineStr">
        <is>
          <t>F0165</t>
        </is>
      </c>
      <c r="B169" t="inlineStr">
        <is>
          <t>Inception</t>
        </is>
      </c>
      <c r="C169" s="63" t="inlineStr">
        <is>
          <t>2010</t>
        </is>
      </c>
      <c r="E169" s="82" t="n"/>
      <c r="F169" s="85" t="n"/>
      <c r="G169" s="71" t="n"/>
      <c r="H169" s="71" t="n"/>
      <c r="I169" s="83" t="n"/>
      <c r="J169" s="71" t="n"/>
      <c r="K169" s="82" t="n"/>
      <c r="L169" s="82">
        <f>IF(COUNT(E169,G169,H169,I169,J169,K169)=0,"",ROUND((IF(E169="",0,E169*10)+IF(G169="",0,G169)+IF(H169="",0,H169)+IF(I169="",0,I169*20)+IF(J169="",0,J169)+IF(K169="",0,K169*10))/COUNT(E169,G169,H169,I169,J169,K169),1))</f>
        <v/>
      </c>
      <c r="M169">
        <f>IF(L169="","",IF(L169&gt;=85,"Excellent",IF(L169&gt;=70,"Good",IF(L169&gt;=55,"Mixed","Poor"))))</f>
        <v/>
      </c>
      <c r="N169" s="66" t="n"/>
      <c r="O169" t="inlineStr">
        <is>
          <t>https://www.imdb.com/find/?q=Inception+2010</t>
        </is>
      </c>
      <c r="P169" t="inlineStr">
        <is>
          <t>https://www.rottentomatoes.com/search?search=Inception</t>
        </is>
      </c>
      <c r="Q169" t="inlineStr">
        <is>
          <t>https://letterboxd.com/search/Inception/</t>
        </is>
      </c>
      <c r="R169" t="inlineStr">
        <is>
          <t>https://www.metacritic.com/search/Inception/</t>
        </is>
      </c>
    </row>
    <row r="170">
      <c r="A170" t="inlineStr">
        <is>
          <t>F0166</t>
        </is>
      </c>
      <c r="B170" t="inlineStr">
        <is>
          <t>Inglourious Basterds</t>
        </is>
      </c>
      <c r="C170" s="63" t="inlineStr">
        <is>
          <t>2009</t>
        </is>
      </c>
      <c r="E170" s="82" t="n"/>
      <c r="F170" s="85" t="n"/>
      <c r="G170" s="71" t="n"/>
      <c r="H170" s="71" t="n"/>
      <c r="I170" s="83" t="n"/>
      <c r="J170" s="71" t="n"/>
      <c r="K170" s="82" t="n"/>
      <c r="L170" s="82">
        <f>IF(COUNT(E170,G170,H170,I170,J170,K170)=0,"",ROUND((IF(E170="",0,E170*10)+IF(G170="",0,G170)+IF(H170="",0,H170)+IF(I170="",0,I170*20)+IF(J170="",0,J170)+IF(K170="",0,K170*10))/COUNT(E170,G170,H170,I170,J170,K170),1))</f>
        <v/>
      </c>
      <c r="M170">
        <f>IF(L170="","",IF(L170&gt;=85,"Excellent",IF(L170&gt;=70,"Good",IF(L170&gt;=55,"Mixed","Poor"))))</f>
        <v/>
      </c>
      <c r="N170" s="66" t="n"/>
      <c r="O170" t="inlineStr">
        <is>
          <t>https://www.imdb.com/find/?q=Inglourious+Basterds+2009</t>
        </is>
      </c>
      <c r="P170" t="inlineStr">
        <is>
          <t>https://www.rottentomatoes.com/search?search=Inglourious+Basterds</t>
        </is>
      </c>
      <c r="Q170" t="inlineStr">
        <is>
          <t>https://letterboxd.com/search/Inglourious%20Basterds/</t>
        </is>
      </c>
      <c r="R170" t="inlineStr">
        <is>
          <t>https://www.metacritic.com/search/Inglourious+Basterds/</t>
        </is>
      </c>
    </row>
    <row r="171">
      <c r="A171" t="inlineStr">
        <is>
          <t>F0167</t>
        </is>
      </c>
      <c r="B171" t="inlineStr">
        <is>
          <t>Inside Out</t>
        </is>
      </c>
      <c r="C171" s="63" t="inlineStr">
        <is>
          <t>2015</t>
        </is>
      </c>
      <c r="E171" s="82" t="n"/>
      <c r="F171" s="85" t="n"/>
      <c r="G171" s="71" t="n"/>
      <c r="H171" s="71" t="n"/>
      <c r="I171" s="83" t="n"/>
      <c r="J171" s="71" t="n"/>
      <c r="K171" s="82" t="n"/>
      <c r="L171" s="82">
        <f>IF(COUNT(E171,G171,H171,I171,J171,K171)=0,"",ROUND((IF(E171="",0,E171*10)+IF(G171="",0,G171)+IF(H171="",0,H171)+IF(I171="",0,I171*20)+IF(J171="",0,J171)+IF(K171="",0,K171*10))/COUNT(E171,G171,H171,I171,J171,K171),1))</f>
        <v/>
      </c>
      <c r="M171">
        <f>IF(L171="","",IF(L171&gt;=85,"Excellent",IF(L171&gt;=70,"Good",IF(L171&gt;=55,"Mixed","Poor"))))</f>
        <v/>
      </c>
      <c r="N171" s="66" t="n"/>
      <c r="O171" t="inlineStr">
        <is>
          <t>https://www.imdb.com/find/?q=Inside+Out+2015</t>
        </is>
      </c>
      <c r="P171" t="inlineStr">
        <is>
          <t>https://www.rottentomatoes.com/search?search=Inside+Out</t>
        </is>
      </c>
      <c r="Q171" t="inlineStr">
        <is>
          <t>https://letterboxd.com/search/Inside%20Out/</t>
        </is>
      </c>
      <c r="R171" t="inlineStr">
        <is>
          <t>https://www.metacritic.com/search/Inside+Out/</t>
        </is>
      </c>
    </row>
    <row r="172">
      <c r="A172" t="inlineStr">
        <is>
          <t>F0168</t>
        </is>
      </c>
      <c r="B172" t="inlineStr">
        <is>
          <t>Interstellar</t>
        </is>
      </c>
      <c r="C172" s="63" t="inlineStr">
        <is>
          <t>2014</t>
        </is>
      </c>
      <c r="E172" s="82" t="n"/>
      <c r="F172" s="85" t="n"/>
      <c r="G172" s="71" t="n"/>
      <c r="H172" s="71" t="n"/>
      <c r="I172" s="83" t="n"/>
      <c r="J172" s="71" t="n"/>
      <c r="K172" s="82" t="n"/>
      <c r="L172" s="82">
        <f>IF(COUNT(E172,G172,H172,I172,J172,K172)=0,"",ROUND((IF(E172="",0,E172*10)+IF(G172="",0,G172)+IF(H172="",0,H172)+IF(I172="",0,I172*20)+IF(J172="",0,J172)+IF(K172="",0,K172*10))/COUNT(E172,G172,H172,I172,J172,K172),1))</f>
        <v/>
      </c>
      <c r="M172">
        <f>IF(L172="","",IF(L172&gt;=85,"Excellent",IF(L172&gt;=70,"Good",IF(L172&gt;=55,"Mixed","Poor"))))</f>
        <v/>
      </c>
      <c r="N172" s="66" t="n"/>
      <c r="O172" t="inlineStr">
        <is>
          <t>https://www.imdb.com/find/?q=Interstellar+2014</t>
        </is>
      </c>
      <c r="P172" t="inlineStr">
        <is>
          <t>https://www.rottentomatoes.com/search?search=Interstellar</t>
        </is>
      </c>
      <c r="Q172" t="inlineStr">
        <is>
          <t>https://letterboxd.com/search/Interstellar/</t>
        </is>
      </c>
      <c r="R172" t="inlineStr">
        <is>
          <t>https://www.metacritic.com/search/Interstellar/</t>
        </is>
      </c>
    </row>
    <row r="173">
      <c r="A173" t="inlineStr">
        <is>
          <t>F0169</t>
        </is>
      </c>
      <c r="B173" t="inlineStr">
        <is>
          <t>Iron Man 3</t>
        </is>
      </c>
      <c r="C173" s="63" t="inlineStr">
        <is>
          <t>2013</t>
        </is>
      </c>
      <c r="E173" s="82" t="n"/>
      <c r="F173" s="85" t="n"/>
      <c r="G173" s="71" t="n"/>
      <c r="H173" s="71" t="n"/>
      <c r="I173" s="83" t="n"/>
      <c r="J173" s="71" t="n"/>
      <c r="K173" s="82" t="n"/>
      <c r="L173" s="82">
        <f>IF(COUNT(E173,G173,H173,I173,J173,K173)=0,"",ROUND((IF(E173="",0,E173*10)+IF(G173="",0,G173)+IF(H173="",0,H173)+IF(I173="",0,I173*20)+IF(J173="",0,J173)+IF(K173="",0,K173*10))/COUNT(E173,G173,H173,I173,J173,K173),1))</f>
        <v/>
      </c>
      <c r="M173">
        <f>IF(L173="","",IF(L173&gt;=85,"Excellent",IF(L173&gt;=70,"Good",IF(L173&gt;=55,"Mixed","Poor"))))</f>
        <v/>
      </c>
      <c r="N173" s="66" t="n"/>
      <c r="O173" t="inlineStr">
        <is>
          <t>https://www.imdb.com/find/?q=Iron+Man+3+2013</t>
        </is>
      </c>
      <c r="P173" t="inlineStr">
        <is>
          <t>https://www.rottentomatoes.com/search?search=Iron+Man+3</t>
        </is>
      </c>
      <c r="Q173" t="inlineStr">
        <is>
          <t>https://letterboxd.com/search/Iron%20Man%203/</t>
        </is>
      </c>
      <c r="R173" t="inlineStr">
        <is>
          <t>https://www.metacritic.com/search/Iron+Man+3/</t>
        </is>
      </c>
    </row>
    <row r="174">
      <c r="A174" t="inlineStr">
        <is>
          <t>F0170</t>
        </is>
      </c>
      <c r="B174" t="inlineStr">
        <is>
          <t>Jojo Rabbit</t>
        </is>
      </c>
      <c r="C174" s="63" t="inlineStr">
        <is>
          <t>2019</t>
        </is>
      </c>
      <c r="E174" s="82" t="n"/>
      <c r="F174" s="85" t="n"/>
      <c r="G174" s="71" t="n"/>
      <c r="H174" s="71" t="n"/>
      <c r="I174" s="83" t="n"/>
      <c r="J174" s="71" t="n"/>
      <c r="K174" s="82" t="n"/>
      <c r="L174" s="82">
        <f>IF(COUNT(E174,G174,H174,I174,J174,K174)=0,"",ROUND((IF(E174="",0,E174*10)+IF(G174="",0,G174)+IF(H174="",0,H174)+IF(I174="",0,I174*20)+IF(J174="",0,J174)+IF(K174="",0,K174*10))/COUNT(E174,G174,H174,I174,J174,K174),1))</f>
        <v/>
      </c>
      <c r="M174">
        <f>IF(L174="","",IF(L174&gt;=85,"Excellent",IF(L174&gt;=70,"Good",IF(L174&gt;=55,"Mixed","Poor"))))</f>
        <v/>
      </c>
      <c r="N174" s="66" t="n"/>
      <c r="O174" t="inlineStr">
        <is>
          <t>https://www.imdb.com/find/?q=Jojo+Rabbit+2019</t>
        </is>
      </c>
      <c r="P174" t="inlineStr">
        <is>
          <t>https://www.rottentomatoes.com/search?search=Jojo+Rabbit</t>
        </is>
      </c>
      <c r="Q174" t="inlineStr">
        <is>
          <t>https://letterboxd.com/search/Jojo%20Rabbit/</t>
        </is>
      </c>
      <c r="R174" t="inlineStr">
        <is>
          <t>https://www.metacritic.com/search/Jojo+Rabbit/</t>
        </is>
      </c>
    </row>
    <row r="175">
      <c r="A175" t="inlineStr">
        <is>
          <t>F0171</t>
        </is>
      </c>
      <c r="B175" t="inlineStr">
        <is>
          <t>Jack Reacher</t>
        </is>
      </c>
      <c r="C175" s="63" t="inlineStr">
        <is>
          <t>2012</t>
        </is>
      </c>
      <c r="E175" s="82" t="n"/>
      <c r="F175" s="85" t="n"/>
      <c r="G175" s="71" t="n"/>
      <c r="H175" s="71" t="n"/>
      <c r="I175" s="83" t="n"/>
      <c r="J175" s="71" t="n"/>
      <c r="K175" s="82" t="n"/>
      <c r="L175" s="82">
        <f>IF(COUNT(E175,G175,H175,I175,J175,K175)=0,"",ROUND((IF(E175="",0,E175*10)+IF(G175="",0,G175)+IF(H175="",0,H175)+IF(I175="",0,I175*20)+IF(J175="",0,J175)+IF(K175="",0,K175*10))/COUNT(E175,G175,H175,I175,J175,K175),1))</f>
        <v/>
      </c>
      <c r="M175">
        <f>IF(L175="","",IF(L175&gt;=85,"Excellent",IF(L175&gt;=70,"Good",IF(L175&gt;=55,"Mixed","Poor"))))</f>
        <v/>
      </c>
      <c r="N175" s="66" t="n"/>
      <c r="O175" t="inlineStr">
        <is>
          <t>https://www.imdb.com/find/?q=Jack+Reacher+2012</t>
        </is>
      </c>
      <c r="P175" t="inlineStr">
        <is>
          <t>https://www.rottentomatoes.com/search?search=Jack+Reacher</t>
        </is>
      </c>
      <c r="Q175" t="inlineStr">
        <is>
          <t>https://letterboxd.com/search/Jack%20Reacher/</t>
        </is>
      </c>
      <c r="R175" t="inlineStr">
        <is>
          <t>https://www.metacritic.com/search/Jack+Reacher/</t>
        </is>
      </c>
    </row>
    <row r="176">
      <c r="A176" t="inlineStr">
        <is>
          <t>F0172</t>
        </is>
      </c>
      <c r="B176" t="inlineStr">
        <is>
          <t>Jackass 3D</t>
        </is>
      </c>
      <c r="C176" s="63" t="inlineStr">
        <is>
          <t>2010</t>
        </is>
      </c>
      <c r="E176" s="82" t="n"/>
      <c r="F176" s="85" t="n"/>
      <c r="G176" s="71" t="n"/>
      <c r="H176" s="71" t="n"/>
      <c r="I176" s="83" t="n"/>
      <c r="J176" s="71" t="n"/>
      <c r="K176" s="82" t="n"/>
      <c r="L176" s="82">
        <f>IF(COUNT(E176,G176,H176,I176,J176,K176)=0,"",ROUND((IF(E176="",0,E176*10)+IF(G176="",0,G176)+IF(H176="",0,H176)+IF(I176="",0,I176*20)+IF(J176="",0,J176)+IF(K176="",0,K176*10))/COUNT(E176,G176,H176,I176,J176,K176),1))</f>
        <v/>
      </c>
      <c r="M176">
        <f>IF(L176="","",IF(L176&gt;=85,"Excellent",IF(L176&gt;=70,"Good",IF(L176&gt;=55,"Mixed","Poor"))))</f>
        <v/>
      </c>
      <c r="N176" s="66" t="n"/>
      <c r="O176" t="inlineStr">
        <is>
          <t>https://www.imdb.com/find/?q=Jackass+3D+2010</t>
        </is>
      </c>
      <c r="P176" t="inlineStr">
        <is>
          <t>https://www.rottentomatoes.com/search?search=Jackass+3D</t>
        </is>
      </c>
      <c r="Q176" t="inlineStr">
        <is>
          <t>https://letterboxd.com/search/Jackass%203D/</t>
        </is>
      </c>
      <c r="R176" t="inlineStr">
        <is>
          <t>https://www.metacritic.com/search/Jackass+3D/</t>
        </is>
      </c>
    </row>
    <row r="177">
      <c r="A177" t="inlineStr">
        <is>
          <t>F0173</t>
        </is>
      </c>
      <c r="B177" t="inlineStr">
        <is>
          <t>Jonah Hex</t>
        </is>
      </c>
      <c r="C177" s="63" t="inlineStr">
        <is>
          <t>2010</t>
        </is>
      </c>
      <c r="E177" s="82" t="n"/>
      <c r="F177" s="85" t="n"/>
      <c r="G177" s="71" t="n"/>
      <c r="H177" s="71" t="n"/>
      <c r="I177" s="83" t="n"/>
      <c r="J177" s="71" t="n"/>
      <c r="K177" s="82" t="n"/>
      <c r="L177" s="82">
        <f>IF(COUNT(E177,G177,H177,I177,J177,K177)=0,"",ROUND((IF(E177="",0,E177*10)+IF(G177="",0,G177)+IF(H177="",0,H177)+IF(I177="",0,I177*20)+IF(J177="",0,J177)+IF(K177="",0,K177*10))/COUNT(E177,G177,H177,I177,J177,K177),1))</f>
        <v/>
      </c>
      <c r="M177">
        <f>IF(L177="","",IF(L177&gt;=85,"Excellent",IF(L177&gt;=70,"Good",IF(L177&gt;=55,"Mixed","Poor"))))</f>
        <v/>
      </c>
      <c r="N177" s="66" t="n"/>
      <c r="O177" t="inlineStr">
        <is>
          <t>https://www.imdb.com/find/?q=Jonah+Hex+2010</t>
        </is>
      </c>
      <c r="P177" t="inlineStr">
        <is>
          <t>https://www.rottentomatoes.com/search?search=Jonah+Hex</t>
        </is>
      </c>
      <c r="Q177" t="inlineStr">
        <is>
          <t>https://letterboxd.com/search/Jonah%20Hex/</t>
        </is>
      </c>
      <c r="R177" t="inlineStr">
        <is>
          <t>https://www.metacritic.com/search/Jonah+Hex/</t>
        </is>
      </c>
    </row>
    <row r="178">
      <c r="A178" t="inlineStr">
        <is>
          <t>F0174</t>
        </is>
      </c>
      <c r="B178" t="inlineStr">
        <is>
          <t>Journey to the Center of the Earth</t>
        </is>
      </c>
      <c r="C178" s="63" t="inlineStr">
        <is>
          <t>2008</t>
        </is>
      </c>
      <c r="E178" s="82" t="n"/>
      <c r="F178" s="85" t="n"/>
      <c r="G178" s="71" t="n"/>
      <c r="H178" s="71" t="n"/>
      <c r="I178" s="83" t="n"/>
      <c r="J178" s="71" t="n"/>
      <c r="K178" s="82" t="n"/>
      <c r="L178" s="82">
        <f>IF(COUNT(E178,G178,H178,I178,J178,K178)=0,"",ROUND((IF(E178="",0,E178*10)+IF(G178="",0,G178)+IF(H178="",0,H178)+IF(I178="",0,I178*20)+IF(J178="",0,J178)+IF(K178="",0,K178*10))/COUNT(E178,G178,H178,I178,J178,K178),1))</f>
        <v/>
      </c>
      <c r="M178">
        <f>IF(L178="","",IF(L178&gt;=85,"Excellent",IF(L178&gt;=70,"Good",IF(L178&gt;=55,"Mixed","Poor"))))</f>
        <v/>
      </c>
      <c r="N178" s="66" t="n"/>
      <c r="O178" t="inlineStr">
        <is>
          <t>https://www.imdb.com/find/?q=Journey+to+the+Center+of+the+Earth+2008</t>
        </is>
      </c>
      <c r="P178" t="inlineStr">
        <is>
          <t>https://www.rottentomatoes.com/search?search=Journey+to+the+Center+of+the+Earth</t>
        </is>
      </c>
      <c r="Q178" t="inlineStr">
        <is>
          <t>https://letterboxd.com/search/Journey%20to%20the%20Center%20of%20the%20Earth/</t>
        </is>
      </c>
      <c r="R178" t="inlineStr">
        <is>
          <t>https://www.metacritic.com/search/Journey+to+the+Center+of+the+Earth/</t>
        </is>
      </c>
    </row>
    <row r="179">
      <c r="A179" t="inlineStr">
        <is>
          <t>F0175</t>
        </is>
      </c>
      <c r="B179" t="inlineStr">
        <is>
          <t>Jumper</t>
        </is>
      </c>
      <c r="C179" s="63" t="inlineStr">
        <is>
          <t>2008</t>
        </is>
      </c>
      <c r="E179" s="82" t="n"/>
      <c r="F179" s="85" t="n"/>
      <c r="G179" s="71" t="n"/>
      <c r="H179" s="71" t="n"/>
      <c r="I179" s="83" t="n"/>
      <c r="J179" s="71" t="n"/>
      <c r="K179" s="82" t="n"/>
      <c r="L179" s="82">
        <f>IF(COUNT(E179,G179,H179,I179,J179,K179)=0,"",ROUND((IF(E179="",0,E179*10)+IF(G179="",0,G179)+IF(H179="",0,H179)+IF(I179="",0,I179*20)+IF(J179="",0,J179)+IF(K179="",0,K179*10))/COUNT(E179,G179,H179,I179,J179,K179),1))</f>
        <v/>
      </c>
      <c r="M179">
        <f>IF(L179="","",IF(L179&gt;=85,"Excellent",IF(L179&gt;=70,"Good",IF(L179&gt;=55,"Mixed","Poor"))))</f>
        <v/>
      </c>
      <c r="N179" s="66" t="n"/>
      <c r="O179" t="inlineStr">
        <is>
          <t>https://www.imdb.com/find/?q=Jumper+2008</t>
        </is>
      </c>
      <c r="P179" t="inlineStr">
        <is>
          <t>https://www.rottentomatoes.com/search?search=Jumper</t>
        </is>
      </c>
      <c r="Q179" t="inlineStr">
        <is>
          <t>https://letterboxd.com/search/Jumper/</t>
        </is>
      </c>
      <c r="R179" t="inlineStr">
        <is>
          <t>https://www.metacritic.com/search/Jumper/</t>
        </is>
      </c>
    </row>
    <row r="180">
      <c r="A180" t="inlineStr">
        <is>
          <t>F0176</t>
        </is>
      </c>
      <c r="B180" t="inlineStr">
        <is>
          <t>Jurassic Park</t>
        </is>
      </c>
      <c r="C180" s="63" t="inlineStr">
        <is>
          <t>1993</t>
        </is>
      </c>
      <c r="E180" s="82" t="n"/>
      <c r="F180" s="85" t="n"/>
      <c r="G180" s="71" t="n"/>
      <c r="H180" s="71" t="n"/>
      <c r="I180" s="83" t="n"/>
      <c r="J180" s="71" t="n"/>
      <c r="K180" s="82" t="n"/>
      <c r="L180" s="82">
        <f>IF(COUNT(E180,G180,H180,I180,J180,K180)=0,"",ROUND((IF(E180="",0,E180*10)+IF(G180="",0,G180)+IF(H180="",0,H180)+IF(I180="",0,I180*20)+IF(J180="",0,J180)+IF(K180="",0,K180*10))/COUNT(E180,G180,H180,I180,J180,K180),1))</f>
        <v/>
      </c>
      <c r="M180">
        <f>IF(L180="","",IF(L180&gt;=85,"Excellent",IF(L180&gt;=70,"Good",IF(L180&gt;=55,"Mixed","Poor"))))</f>
        <v/>
      </c>
      <c r="N180" s="66" t="n"/>
      <c r="O180" t="inlineStr">
        <is>
          <t>https://www.imdb.com/find/?q=Jurassic+Park+1993</t>
        </is>
      </c>
      <c r="P180" t="inlineStr">
        <is>
          <t>https://www.rottentomatoes.com/search?search=Jurassic+Park</t>
        </is>
      </c>
      <c r="Q180" t="inlineStr">
        <is>
          <t>https://letterboxd.com/search/Jurassic%20Park/</t>
        </is>
      </c>
      <c r="R180" t="inlineStr">
        <is>
          <t>https://www.metacritic.com/search/Jurassic+Park/</t>
        </is>
      </c>
    </row>
    <row r="181">
      <c r="A181" t="inlineStr">
        <is>
          <t>F0177</t>
        </is>
      </c>
      <c r="B181" t="inlineStr">
        <is>
          <t>The Lost World: Jurassic Park</t>
        </is>
      </c>
      <c r="C181" s="63" t="inlineStr">
        <is>
          <t>1997</t>
        </is>
      </c>
      <c r="E181" s="82" t="n"/>
      <c r="F181" s="85" t="n"/>
      <c r="G181" s="71" t="n"/>
      <c r="H181" s="71" t="n"/>
      <c r="I181" s="83" t="n"/>
      <c r="J181" s="71" t="n"/>
      <c r="K181" s="82" t="n"/>
      <c r="L181" s="82">
        <f>IF(COUNT(E181,G181,H181,I181,J181,K181)=0,"",ROUND((IF(E181="",0,E181*10)+IF(G181="",0,G181)+IF(H181="",0,H181)+IF(I181="",0,I181*20)+IF(J181="",0,J181)+IF(K181="",0,K181*10))/COUNT(E181,G181,H181,I181,J181,K181),1))</f>
        <v/>
      </c>
      <c r="M181">
        <f>IF(L181="","",IF(L181&gt;=85,"Excellent",IF(L181&gt;=70,"Good",IF(L181&gt;=55,"Mixed","Poor"))))</f>
        <v/>
      </c>
      <c r="N181" s="66" t="n"/>
      <c r="O181" t="inlineStr">
        <is>
          <t>https://www.imdb.com/find/?q=The+Lost+World%3A+Jurassic+Park+1997</t>
        </is>
      </c>
      <c r="P181" t="inlineStr">
        <is>
          <t>https://www.rottentomatoes.com/search?search=The+Lost+World%3A+Jurassic+Park</t>
        </is>
      </c>
      <c r="Q181" t="inlineStr">
        <is>
          <t>https://letterboxd.com/search/The%20Lost%20World%3A%20Jurassic%20Park/</t>
        </is>
      </c>
      <c r="R181" t="inlineStr">
        <is>
          <t>https://www.metacritic.com/search/The+Lost+World%3A+Jurassic+Park/</t>
        </is>
      </c>
    </row>
    <row r="182">
      <c r="A182" t="inlineStr">
        <is>
          <t>F0178</t>
        </is>
      </c>
      <c r="B182" t="inlineStr">
        <is>
          <t>Jurassic Park III</t>
        </is>
      </c>
      <c r="C182" s="63" t="inlineStr">
        <is>
          <t>2001</t>
        </is>
      </c>
      <c r="E182" s="82" t="n"/>
      <c r="F182" s="85" t="n"/>
      <c r="G182" s="71" t="n"/>
      <c r="H182" s="71" t="n"/>
      <c r="I182" s="83" t="n"/>
      <c r="J182" s="71" t="n"/>
      <c r="K182" s="82" t="n"/>
      <c r="L182" s="82">
        <f>IF(COUNT(E182,G182,H182,I182,J182,K182)=0,"",ROUND((IF(E182="",0,E182*10)+IF(G182="",0,G182)+IF(H182="",0,H182)+IF(I182="",0,I182*20)+IF(J182="",0,J182)+IF(K182="",0,K182*10))/COUNT(E182,G182,H182,I182,J182,K182),1))</f>
        <v/>
      </c>
      <c r="M182">
        <f>IF(L182="","",IF(L182&gt;=85,"Excellent",IF(L182&gt;=70,"Good",IF(L182&gt;=55,"Mixed","Poor"))))</f>
        <v/>
      </c>
      <c r="N182" s="66" t="n"/>
      <c r="O182" t="inlineStr">
        <is>
          <t>https://www.imdb.com/find/?q=Jurassic+Park+III+2001</t>
        </is>
      </c>
      <c r="P182" t="inlineStr">
        <is>
          <t>https://www.rottentomatoes.com/search?search=Jurassic+Park+III</t>
        </is>
      </c>
      <c r="Q182" t="inlineStr">
        <is>
          <t>https://letterboxd.com/search/Jurassic%20Park%20III/</t>
        </is>
      </c>
      <c r="R182" t="inlineStr">
        <is>
          <t>https://www.metacritic.com/search/Jurassic+Park+III/</t>
        </is>
      </c>
    </row>
    <row r="183">
      <c r="A183" t="inlineStr">
        <is>
          <t>F0179</t>
        </is>
      </c>
      <c r="B183" t="inlineStr">
        <is>
          <t>Jurassic World</t>
        </is>
      </c>
      <c r="C183" s="63" t="inlineStr">
        <is>
          <t>2015</t>
        </is>
      </c>
      <c r="E183" s="82" t="n"/>
      <c r="F183" s="85" t="n"/>
      <c r="G183" s="71" t="n"/>
      <c r="H183" s="71" t="n"/>
      <c r="I183" s="83" t="n"/>
      <c r="J183" s="71" t="n"/>
      <c r="K183" s="82" t="n"/>
      <c r="L183" s="82">
        <f>IF(COUNT(E183,G183,H183,I183,J183,K183)=0,"",ROUND((IF(E183="",0,E183*10)+IF(G183="",0,G183)+IF(H183="",0,H183)+IF(I183="",0,I183*20)+IF(J183="",0,J183)+IF(K183="",0,K183*10))/COUNT(E183,G183,H183,I183,J183,K183),1))</f>
        <v/>
      </c>
      <c r="M183">
        <f>IF(L183="","",IF(L183&gt;=85,"Excellent",IF(L183&gt;=70,"Good",IF(L183&gt;=55,"Mixed","Poor"))))</f>
        <v/>
      </c>
      <c r="N183" s="66" t="n"/>
      <c r="O183" t="inlineStr">
        <is>
          <t>https://www.imdb.com/find/?q=Jurassic+World+2015</t>
        </is>
      </c>
      <c r="P183" t="inlineStr">
        <is>
          <t>https://www.rottentomatoes.com/search?search=Jurassic+World</t>
        </is>
      </c>
      <c r="Q183" t="inlineStr">
        <is>
          <t>https://letterboxd.com/search/Jurassic%20World/</t>
        </is>
      </c>
      <c r="R183" t="inlineStr">
        <is>
          <t>https://www.metacritic.com/search/Jurassic+World/</t>
        </is>
      </c>
    </row>
    <row r="184">
      <c r="A184" t="inlineStr">
        <is>
          <t>F0180</t>
        </is>
      </c>
      <c r="B184" t="inlineStr">
        <is>
          <t>Jurassic World: Fallen Kingdom</t>
        </is>
      </c>
      <c r="C184" s="63" t="inlineStr">
        <is>
          <t>2018</t>
        </is>
      </c>
      <c r="E184" s="82" t="n"/>
      <c r="F184" s="85" t="n"/>
      <c r="G184" s="71" t="n"/>
      <c r="H184" s="71" t="n"/>
      <c r="I184" s="83" t="n"/>
      <c r="J184" s="71" t="n"/>
      <c r="K184" s="82" t="n"/>
      <c r="L184" s="82">
        <f>IF(COUNT(E184,G184,H184,I184,J184,K184)=0,"",ROUND((IF(E184="",0,E184*10)+IF(G184="",0,G184)+IF(H184="",0,H184)+IF(I184="",0,I184*20)+IF(J184="",0,J184)+IF(K184="",0,K184*10))/COUNT(E184,G184,H184,I184,J184,K184),1))</f>
        <v/>
      </c>
      <c r="M184">
        <f>IF(L184="","",IF(L184&gt;=85,"Excellent",IF(L184&gt;=70,"Good",IF(L184&gt;=55,"Mixed","Poor"))))</f>
        <v/>
      </c>
      <c r="N184" s="66" t="n"/>
      <c r="O184" t="inlineStr">
        <is>
          <t>https://www.imdb.com/find/?q=Jurassic+World%3A+Fallen+Kingdom+2018</t>
        </is>
      </c>
      <c r="P184" t="inlineStr">
        <is>
          <t>https://www.rottentomatoes.com/search?search=Jurassic+World%3A+Fallen+Kingdom</t>
        </is>
      </c>
      <c r="Q184" t="inlineStr">
        <is>
          <t>https://letterboxd.com/search/Jurassic%20World%3A%20Fallen%20Kingdom/</t>
        </is>
      </c>
      <c r="R184" t="inlineStr">
        <is>
          <t>https://www.metacritic.com/search/Jurassic+World%3A+Fallen+Kingdom/</t>
        </is>
      </c>
    </row>
    <row r="185">
      <c r="A185" t="inlineStr">
        <is>
          <t>F0181</t>
        </is>
      </c>
      <c r="B185" t="inlineStr">
        <is>
          <t>Jurassic World Dominion</t>
        </is>
      </c>
      <c r="C185" s="63" t="inlineStr">
        <is>
          <t>2022</t>
        </is>
      </c>
      <c r="E185" s="82" t="n"/>
      <c r="F185" s="85" t="n"/>
      <c r="G185" s="71" t="n"/>
      <c r="H185" s="71" t="n"/>
      <c r="I185" s="83" t="n"/>
      <c r="J185" s="71" t="n"/>
      <c r="K185" s="82" t="n"/>
      <c r="L185" s="82">
        <f>IF(COUNT(E185,G185,H185,I185,J185,K185)=0,"",ROUND((IF(E185="",0,E185*10)+IF(G185="",0,G185)+IF(H185="",0,H185)+IF(I185="",0,I185*20)+IF(J185="",0,J185)+IF(K185="",0,K185*10))/COUNT(E185,G185,H185,I185,J185,K185),1))</f>
        <v/>
      </c>
      <c r="M185">
        <f>IF(L185="","",IF(L185&gt;=85,"Excellent",IF(L185&gt;=70,"Good",IF(L185&gt;=55,"Mixed","Poor"))))</f>
        <v/>
      </c>
      <c r="N185" s="66" t="n"/>
      <c r="O185" t="inlineStr">
        <is>
          <t>https://www.imdb.com/find/?q=Jurassic+World+Dominion+2022</t>
        </is>
      </c>
      <c r="P185" t="inlineStr">
        <is>
          <t>https://www.rottentomatoes.com/search?search=Jurassic+World+Dominion</t>
        </is>
      </c>
      <c r="Q185" t="inlineStr">
        <is>
          <t>https://letterboxd.com/search/Jurassic%20World%20Dominion/</t>
        </is>
      </c>
      <c r="R185" t="inlineStr">
        <is>
          <t>https://www.metacritic.com/search/Jurassic+World+Dominion/</t>
        </is>
      </c>
    </row>
    <row r="186">
      <c r="A186" t="inlineStr">
        <is>
          <t>F0182</t>
        </is>
      </c>
      <c r="B186" t="inlineStr">
        <is>
          <t>Jurassic World Rebirth</t>
        </is>
      </c>
      <c r="C186" s="63" t="inlineStr">
        <is>
          <t>2025</t>
        </is>
      </c>
      <c r="E186" s="82" t="n"/>
      <c r="F186" s="85" t="n"/>
      <c r="G186" s="71" t="n"/>
      <c r="H186" s="71" t="n"/>
      <c r="I186" s="83" t="n"/>
      <c r="J186" s="71" t="n"/>
      <c r="K186" s="82" t="n"/>
      <c r="L186" s="82">
        <f>IF(COUNT(E186,G186,H186,I186,J186,K186)=0,"",ROUND((IF(E186="",0,E186*10)+IF(G186="",0,G186)+IF(H186="",0,H186)+IF(I186="",0,I186*20)+IF(J186="",0,J186)+IF(K186="",0,K186*10))/COUNT(E186,G186,H186,I186,J186,K186),1))</f>
        <v/>
      </c>
      <c r="M186">
        <f>IF(L186="","",IF(L186&gt;=85,"Excellent",IF(L186&gt;=70,"Good",IF(L186&gt;=55,"Mixed","Poor"))))</f>
        <v/>
      </c>
      <c r="N186" s="66" t="n"/>
      <c r="O186" t="inlineStr">
        <is>
          <t>https://www.imdb.com/find/?q=Jurassic+World+Rebirth+2025</t>
        </is>
      </c>
      <c r="P186" t="inlineStr">
        <is>
          <t>https://www.rottentomatoes.com/search?search=Jurassic+World+Rebirth</t>
        </is>
      </c>
      <c r="Q186" t="inlineStr">
        <is>
          <t>https://letterboxd.com/search/Jurassic%20World%20Rebirth/</t>
        </is>
      </c>
      <c r="R186" t="inlineStr">
        <is>
          <t>https://www.metacritic.com/search/Jurassic+World+Rebirth/</t>
        </is>
      </c>
    </row>
    <row r="187">
      <c r="A187" t="inlineStr">
        <is>
          <t>F0183</t>
        </is>
      </c>
      <c r="B187" t="inlineStr">
        <is>
          <t>Just Go with It</t>
        </is>
      </c>
      <c r="C187" s="63" t="inlineStr">
        <is>
          <t>2011</t>
        </is>
      </c>
      <c r="E187" s="82" t="n"/>
      <c r="F187" s="85" t="n"/>
      <c r="G187" s="71" t="n"/>
      <c r="H187" s="71" t="n"/>
      <c r="I187" s="83" t="n"/>
      <c r="J187" s="71" t="n"/>
      <c r="K187" s="82" t="n"/>
      <c r="L187" s="82">
        <f>IF(COUNT(E187,G187,H187,I187,J187,K187)=0,"",ROUND((IF(E187="",0,E187*10)+IF(G187="",0,G187)+IF(H187="",0,H187)+IF(I187="",0,I187*20)+IF(J187="",0,J187)+IF(K187="",0,K187*10))/COUNT(E187,G187,H187,I187,J187,K187),1))</f>
        <v/>
      </c>
      <c r="M187">
        <f>IF(L187="","",IF(L187&gt;=85,"Excellent",IF(L187&gt;=70,"Good",IF(L187&gt;=55,"Mixed","Poor"))))</f>
        <v/>
      </c>
      <c r="N187" s="66" t="n"/>
      <c r="O187" t="inlineStr">
        <is>
          <t>https://www.imdb.com/find/?q=Just+Go+with+It+2011</t>
        </is>
      </c>
      <c r="P187" t="inlineStr">
        <is>
          <t>https://www.rottentomatoes.com/search?search=Just+Go+with+It</t>
        </is>
      </c>
      <c r="Q187" t="inlineStr">
        <is>
          <t>https://letterboxd.com/search/Just%20Go%20with%20It/</t>
        </is>
      </c>
      <c r="R187" t="inlineStr">
        <is>
          <t>https://www.metacritic.com/search/Just+Go+with+It/</t>
        </is>
      </c>
    </row>
    <row r="188">
      <c r="A188" t="inlineStr">
        <is>
          <t>F0184</t>
        </is>
      </c>
      <c r="B188" t="inlineStr">
        <is>
          <t>The Karate Kid</t>
        </is>
      </c>
      <c r="C188" s="63" t="inlineStr">
        <is>
          <t>2010</t>
        </is>
      </c>
      <c r="E188" s="82" t="n"/>
      <c r="F188" s="85" t="n"/>
      <c r="G188" s="71" t="n"/>
      <c r="H188" s="71" t="n"/>
      <c r="I188" s="83" t="n"/>
      <c r="J188" s="71" t="n"/>
      <c r="K188" s="82" t="n"/>
      <c r="L188" s="82">
        <f>IF(COUNT(E188,G188,H188,I188,J188,K188)=0,"",ROUND((IF(E188="",0,E188*10)+IF(G188="",0,G188)+IF(H188="",0,H188)+IF(I188="",0,I188*20)+IF(J188="",0,J188)+IF(K188="",0,K188*10))/COUNT(E188,G188,H188,I188,J188,K188),1))</f>
        <v/>
      </c>
      <c r="M188">
        <f>IF(L188="","",IF(L188&gt;=85,"Excellent",IF(L188&gt;=70,"Good",IF(L188&gt;=55,"Mixed","Poor"))))</f>
        <v/>
      </c>
      <c r="N188" s="66" t="n"/>
      <c r="O188" t="inlineStr">
        <is>
          <t>https://www.imdb.com/find/?q=The+Karate+Kid+2010</t>
        </is>
      </c>
      <c r="P188" t="inlineStr">
        <is>
          <t>https://www.rottentomatoes.com/search?search=The+Karate+Kid</t>
        </is>
      </c>
      <c r="Q188" t="inlineStr">
        <is>
          <t>https://letterboxd.com/search/The%20Karate%20Kid/</t>
        </is>
      </c>
      <c r="R188" t="inlineStr">
        <is>
          <t>https://www.metacritic.com/search/The+Karate+Kid/</t>
        </is>
      </c>
    </row>
    <row r="189">
      <c r="A189" t="inlineStr">
        <is>
          <t>F0185</t>
        </is>
      </c>
      <c r="B189" t="inlineStr">
        <is>
          <t>Kick-Ass</t>
        </is>
      </c>
      <c r="C189" s="63" t="inlineStr">
        <is>
          <t>2010</t>
        </is>
      </c>
      <c r="E189" s="82" t="n"/>
      <c r="F189" s="85" t="n"/>
      <c r="G189" s="71" t="n"/>
      <c r="H189" s="71" t="n"/>
      <c r="I189" s="83" t="n"/>
      <c r="J189" s="71" t="n"/>
      <c r="K189" s="82" t="n"/>
      <c r="L189" s="82">
        <f>IF(COUNT(E189,G189,H189,I189,J189,K189)=0,"",ROUND((IF(E189="",0,E189*10)+IF(G189="",0,G189)+IF(H189="",0,H189)+IF(I189="",0,I189*20)+IF(J189="",0,J189)+IF(K189="",0,K189*10))/COUNT(E189,G189,H189,I189,J189,K189),1))</f>
        <v/>
      </c>
      <c r="M189">
        <f>IF(L189="","",IF(L189&gt;=85,"Excellent",IF(L189&gt;=70,"Good",IF(L189&gt;=55,"Mixed","Poor"))))</f>
        <v/>
      </c>
      <c r="N189" s="66" t="n"/>
      <c r="O189" t="inlineStr">
        <is>
          <t>https://www.imdb.com/find/?q=Kick-Ass+2010</t>
        </is>
      </c>
      <c r="P189" t="inlineStr">
        <is>
          <t>https://www.rottentomatoes.com/search?search=Kick-Ass</t>
        </is>
      </c>
      <c r="Q189" t="inlineStr">
        <is>
          <t>https://letterboxd.com/search/Kick-Ass/</t>
        </is>
      </c>
      <c r="R189" t="inlineStr">
        <is>
          <t>https://www.metacritic.com/search/Kick-Ass/</t>
        </is>
      </c>
    </row>
    <row r="190">
      <c r="A190" t="inlineStr">
        <is>
          <t>F0186</t>
        </is>
      </c>
      <c r="B190" t="inlineStr">
        <is>
          <t>Kick-Ass 2</t>
        </is>
      </c>
      <c r="C190" s="63" t="inlineStr">
        <is>
          <t>2013</t>
        </is>
      </c>
      <c r="E190" s="82" t="n"/>
      <c r="F190" s="85" t="n"/>
      <c r="G190" s="71" t="n"/>
      <c r="H190" s="71" t="n"/>
      <c r="I190" s="83" t="n"/>
      <c r="J190" s="71" t="n"/>
      <c r="K190" s="82" t="n"/>
      <c r="L190" s="82">
        <f>IF(COUNT(E190,G190,H190,I190,J190,K190)=0,"",ROUND((IF(E190="",0,E190*10)+IF(G190="",0,G190)+IF(H190="",0,H190)+IF(I190="",0,I190*20)+IF(J190="",0,J190)+IF(K190="",0,K190*10))/COUNT(E190,G190,H190,I190,J190,K190),1))</f>
        <v/>
      </c>
      <c r="M190">
        <f>IF(L190="","",IF(L190&gt;=85,"Excellent",IF(L190&gt;=70,"Good",IF(L190&gt;=55,"Mixed","Poor"))))</f>
        <v/>
      </c>
      <c r="N190" s="66" t="n"/>
      <c r="O190" t="inlineStr">
        <is>
          <t>https://www.imdb.com/find/?q=Kick-Ass+2+2013</t>
        </is>
      </c>
      <c r="P190" t="inlineStr">
        <is>
          <t>https://www.rottentomatoes.com/search?search=Kick-Ass+2</t>
        </is>
      </c>
      <c r="Q190" t="inlineStr">
        <is>
          <t>https://letterboxd.com/search/Kick-Ass%202/</t>
        </is>
      </c>
      <c r="R190" t="inlineStr">
        <is>
          <t>https://www.metacritic.com/search/Kick-Ass+2/</t>
        </is>
      </c>
    </row>
    <row r="191">
      <c r="A191" t="inlineStr">
        <is>
          <t>F0187</t>
        </is>
      </c>
      <c r="B191" t="inlineStr">
        <is>
          <t>Killing Them Softly</t>
        </is>
      </c>
      <c r="C191" s="63" t="inlineStr">
        <is>
          <t>2012</t>
        </is>
      </c>
      <c r="E191" s="82" t="n"/>
      <c r="F191" s="85" t="n"/>
      <c r="G191" s="71" t="n"/>
      <c r="H191" s="71" t="n"/>
      <c r="I191" s="83" t="n"/>
      <c r="J191" s="71" t="n"/>
      <c r="K191" s="82" t="n"/>
      <c r="L191" s="82">
        <f>IF(COUNT(E191,G191,H191,I191,J191,K191)=0,"",ROUND((IF(E191="",0,E191*10)+IF(G191="",0,G191)+IF(H191="",0,H191)+IF(I191="",0,I191*20)+IF(J191="",0,J191)+IF(K191="",0,K191*10))/COUNT(E191,G191,H191,I191,J191,K191),1))</f>
        <v/>
      </c>
      <c r="M191">
        <f>IF(L191="","",IF(L191&gt;=85,"Excellent",IF(L191&gt;=70,"Good",IF(L191&gt;=55,"Mixed","Poor"))))</f>
        <v/>
      </c>
      <c r="N191" s="66" t="n"/>
      <c r="O191" t="inlineStr">
        <is>
          <t>https://www.imdb.com/find/?q=Killing+Them+Softly+2012</t>
        </is>
      </c>
      <c r="P191" t="inlineStr">
        <is>
          <t>https://www.rottentomatoes.com/search?search=Killing+Them+Softly</t>
        </is>
      </c>
      <c r="Q191" t="inlineStr">
        <is>
          <t>https://letterboxd.com/search/Killing%20Them%20Softly/</t>
        </is>
      </c>
      <c r="R191" t="inlineStr">
        <is>
          <t>https://www.metacritic.com/search/Killing+Them+Softly/</t>
        </is>
      </c>
    </row>
    <row r="192">
      <c r="A192" t="inlineStr">
        <is>
          <t>F0188</t>
        </is>
      </c>
      <c r="B192" t="inlineStr">
        <is>
          <t>King Kong</t>
        </is>
      </c>
      <c r="C192" s="63" t="inlineStr">
        <is>
          <t>2005</t>
        </is>
      </c>
      <c r="E192" s="82" t="n"/>
      <c r="F192" s="85" t="n"/>
      <c r="G192" s="71" t="n"/>
      <c r="H192" s="71" t="n"/>
      <c r="I192" s="83" t="n"/>
      <c r="J192" s="71" t="n"/>
      <c r="K192" s="82" t="n"/>
      <c r="L192" s="82">
        <f>IF(COUNT(E192,G192,H192,I192,J192,K192)=0,"",ROUND((IF(E192="",0,E192*10)+IF(G192="",0,G192)+IF(H192="",0,H192)+IF(I192="",0,I192*20)+IF(J192="",0,J192)+IF(K192="",0,K192*10))/COUNT(E192,G192,H192,I192,J192,K192),1))</f>
        <v/>
      </c>
      <c r="M192">
        <f>IF(L192="","",IF(L192&gt;=85,"Excellent",IF(L192&gt;=70,"Good",IF(L192&gt;=55,"Mixed","Poor"))))</f>
        <v/>
      </c>
      <c r="N192" s="66" t="n"/>
      <c r="O192" t="inlineStr">
        <is>
          <t>https://www.imdb.com/find/?q=King+Kong+2005</t>
        </is>
      </c>
      <c r="P192" t="inlineStr">
        <is>
          <t>https://www.rottentomatoes.com/search?search=King+Kong</t>
        </is>
      </c>
      <c r="Q192" t="inlineStr">
        <is>
          <t>https://letterboxd.com/search/King%20Kong/</t>
        </is>
      </c>
      <c r="R192" t="inlineStr">
        <is>
          <t>https://www.metacritic.com/search/King+Kong/</t>
        </is>
      </c>
    </row>
    <row r="193">
      <c r="A193" t="inlineStr">
        <is>
          <t>F0189</t>
        </is>
      </c>
      <c r="B193" t="inlineStr">
        <is>
          <t>The King's Speech</t>
        </is>
      </c>
      <c r="C193" s="63" t="inlineStr">
        <is>
          <t>2010</t>
        </is>
      </c>
      <c r="E193" s="82" t="n"/>
      <c r="F193" s="85" t="n"/>
      <c r="G193" s="71" t="n"/>
      <c r="H193" s="71" t="n"/>
      <c r="I193" s="83" t="n"/>
      <c r="J193" s="71" t="n"/>
      <c r="K193" s="82" t="n"/>
      <c r="L193" s="82">
        <f>IF(COUNT(E193,G193,H193,I193,J193,K193)=0,"",ROUND((IF(E193="",0,E193*10)+IF(G193="",0,G193)+IF(H193="",0,H193)+IF(I193="",0,I193*20)+IF(J193="",0,J193)+IF(K193="",0,K193*10))/COUNT(E193,G193,H193,I193,J193,K193),1))</f>
        <v/>
      </c>
      <c r="M193">
        <f>IF(L193="","",IF(L193&gt;=85,"Excellent",IF(L193&gt;=70,"Good",IF(L193&gt;=55,"Mixed","Poor"))))</f>
        <v/>
      </c>
      <c r="N193" s="66" t="n"/>
      <c r="O193" t="inlineStr">
        <is>
          <t>https://www.imdb.com/find/?q=The+King%27s+Speech+2010</t>
        </is>
      </c>
      <c r="P193" t="inlineStr">
        <is>
          <t>https://www.rottentomatoes.com/search?search=The+King%27s+Speech</t>
        </is>
      </c>
      <c r="Q193" t="inlineStr">
        <is>
          <t>https://letterboxd.com/search/The%20King%27s%20Speech/</t>
        </is>
      </c>
      <c r="R193" t="inlineStr">
        <is>
          <t>https://www.metacritic.com/search/The+King%27s+Speech/</t>
        </is>
      </c>
    </row>
    <row r="194">
      <c r="A194" t="inlineStr">
        <is>
          <t>F0190</t>
        </is>
      </c>
      <c r="B194" t="inlineStr">
        <is>
          <t>Kong: Skull Island</t>
        </is>
      </c>
      <c r="C194" s="63" t="inlineStr">
        <is>
          <t>2017</t>
        </is>
      </c>
      <c r="E194" s="82" t="n"/>
      <c r="F194" s="85" t="n"/>
      <c r="G194" s="71" t="n"/>
      <c r="H194" s="71" t="n"/>
      <c r="I194" s="83" t="n"/>
      <c r="J194" s="71" t="n"/>
      <c r="K194" s="82" t="n"/>
      <c r="L194" s="82">
        <f>IF(COUNT(E194,G194,H194,I194,J194,K194)=0,"",ROUND((IF(E194="",0,E194*10)+IF(G194="",0,G194)+IF(H194="",0,H194)+IF(I194="",0,I194*20)+IF(J194="",0,J194)+IF(K194="",0,K194*10))/COUNT(E194,G194,H194,I194,J194,K194),1))</f>
        <v/>
      </c>
      <c r="M194">
        <f>IF(L194="","",IF(L194&gt;=85,"Excellent",IF(L194&gt;=70,"Good",IF(L194&gt;=55,"Mixed","Poor"))))</f>
        <v/>
      </c>
      <c r="N194" s="66" t="n"/>
      <c r="O194" t="inlineStr">
        <is>
          <t>https://www.imdb.com/find/?q=Kong%3A+Skull+Island+2017</t>
        </is>
      </c>
      <c r="P194" t="inlineStr">
        <is>
          <t>https://www.rottentomatoes.com/search?search=Kong%3A+Skull+Island</t>
        </is>
      </c>
      <c r="Q194" t="inlineStr">
        <is>
          <t>https://letterboxd.com/search/Kong%3A%20Skull%20Island/</t>
        </is>
      </c>
      <c r="R194" t="inlineStr">
        <is>
          <t>https://www.metacritic.com/search/Kong%3A+Skull+Island/</t>
        </is>
      </c>
    </row>
    <row r="195">
      <c r="A195" t="inlineStr">
        <is>
          <t>F0191</t>
        </is>
      </c>
      <c r="B195" t="inlineStr">
        <is>
          <t>Law Abiding Citizen</t>
        </is>
      </c>
      <c r="C195" s="63" t="inlineStr">
        <is>
          <t>2009</t>
        </is>
      </c>
      <c r="E195" s="82" t="n"/>
      <c r="F195" s="85" t="n"/>
      <c r="G195" s="71" t="n"/>
      <c r="H195" s="71" t="n"/>
      <c r="I195" s="83" t="n"/>
      <c r="J195" s="71" t="n"/>
      <c r="K195" s="82" t="n"/>
      <c r="L195" s="82">
        <f>IF(COUNT(E195,G195,H195,I195,J195,K195)=0,"",ROUND((IF(E195="",0,E195*10)+IF(G195="",0,G195)+IF(H195="",0,H195)+IF(I195="",0,I195*20)+IF(J195="",0,J195)+IF(K195="",0,K195*10))/COUNT(E195,G195,H195,I195,J195,K195),1))</f>
        <v/>
      </c>
      <c r="M195">
        <f>IF(L195="","",IF(L195&gt;=85,"Excellent",IF(L195&gt;=70,"Good",IF(L195&gt;=55,"Mixed","Poor"))))</f>
        <v/>
      </c>
      <c r="N195" s="66" t="n"/>
      <c r="O195" t="inlineStr">
        <is>
          <t>https://www.imdb.com/find/?q=Law+Abiding+Citizen+2009</t>
        </is>
      </c>
      <c r="P195" t="inlineStr">
        <is>
          <t>https://www.rottentomatoes.com/search?search=Law+Abiding+Citizen</t>
        </is>
      </c>
      <c r="Q195" t="inlineStr">
        <is>
          <t>https://letterboxd.com/search/Law%20Abiding%20Citizen/</t>
        </is>
      </c>
      <c r="R195" t="inlineStr">
        <is>
          <t>https://www.metacritic.com/search/Law+Abiding+Citizen/</t>
        </is>
      </c>
    </row>
    <row r="196">
      <c r="A196" t="inlineStr">
        <is>
          <t>F0192</t>
        </is>
      </c>
      <c r="B196" t="inlineStr">
        <is>
          <t>Lawless</t>
        </is>
      </c>
      <c r="C196" s="63" t="inlineStr">
        <is>
          <t>2012</t>
        </is>
      </c>
      <c r="E196" s="82" t="n"/>
      <c r="F196" s="85" t="n"/>
      <c r="G196" s="71" t="n"/>
      <c r="H196" s="71" t="n"/>
      <c r="I196" s="83" t="n"/>
      <c r="J196" s="71" t="n"/>
      <c r="K196" s="82" t="n"/>
      <c r="L196" s="82">
        <f>IF(COUNT(E196,G196,H196,I196,J196,K196)=0,"",ROUND((IF(E196="",0,E196*10)+IF(G196="",0,G196)+IF(H196="",0,H196)+IF(I196="",0,I196*20)+IF(J196="",0,J196)+IF(K196="",0,K196*10))/COUNT(E196,G196,H196,I196,J196,K196),1))</f>
        <v/>
      </c>
      <c r="M196">
        <f>IF(L196="","",IF(L196&gt;=85,"Excellent",IF(L196&gt;=70,"Good",IF(L196&gt;=55,"Mixed","Poor"))))</f>
        <v/>
      </c>
      <c r="N196" s="66" t="n"/>
      <c r="O196" t="inlineStr">
        <is>
          <t>https://www.imdb.com/find/?q=Lawless+2012</t>
        </is>
      </c>
      <c r="P196" t="inlineStr">
        <is>
          <t>https://www.rottentomatoes.com/search?search=Lawless</t>
        </is>
      </c>
      <c r="Q196" t="inlineStr">
        <is>
          <t>https://letterboxd.com/search/Lawless/</t>
        </is>
      </c>
      <c r="R196" t="inlineStr">
        <is>
          <t>https://www.metacritic.com/search/Lawless/</t>
        </is>
      </c>
    </row>
    <row r="197">
      <c r="A197" t="inlineStr">
        <is>
          <t>F0193</t>
        </is>
      </c>
      <c r="B197" t="inlineStr">
        <is>
          <t>The Lego Batman Movie</t>
        </is>
      </c>
      <c r="C197" s="63" t="inlineStr">
        <is>
          <t>2017</t>
        </is>
      </c>
      <c r="E197" s="82" t="n"/>
      <c r="F197" s="85" t="n"/>
      <c r="G197" s="71" t="n"/>
      <c r="H197" s="71" t="n"/>
      <c r="I197" s="83" t="n"/>
      <c r="J197" s="71" t="n"/>
      <c r="K197" s="82" t="n"/>
      <c r="L197" s="82">
        <f>IF(COUNT(E197,G197,H197,I197,J197,K197)=0,"",ROUND((IF(E197="",0,E197*10)+IF(G197="",0,G197)+IF(H197="",0,H197)+IF(I197="",0,I197*20)+IF(J197="",0,J197)+IF(K197="",0,K197*10))/COUNT(E197,G197,H197,I197,J197,K197),1))</f>
        <v/>
      </c>
      <c r="M197">
        <f>IF(L197="","",IF(L197&gt;=85,"Excellent",IF(L197&gt;=70,"Good",IF(L197&gt;=55,"Mixed","Poor"))))</f>
        <v/>
      </c>
      <c r="N197" s="66" t="n"/>
      <c r="O197" t="inlineStr">
        <is>
          <t>https://www.imdb.com/find/?q=The+Lego+Batman+Movie+2017</t>
        </is>
      </c>
      <c r="P197" t="inlineStr">
        <is>
          <t>https://www.rottentomatoes.com/search?search=The+Lego+Batman+Movie</t>
        </is>
      </c>
      <c r="Q197" t="inlineStr">
        <is>
          <t>https://letterboxd.com/search/The%20Lego%20Batman%20Movie/</t>
        </is>
      </c>
      <c r="R197" t="inlineStr">
        <is>
          <t>https://www.metacritic.com/search/The+Lego+Batman+Movie/</t>
        </is>
      </c>
    </row>
    <row r="198">
      <c r="A198" t="inlineStr">
        <is>
          <t>F0194</t>
        </is>
      </c>
      <c r="B198" t="inlineStr">
        <is>
          <t>Lego Batman: The Movie - DC Super Heroes Unite</t>
        </is>
      </c>
      <c r="C198" s="63" t="inlineStr">
        <is>
          <t>2013</t>
        </is>
      </c>
      <c r="E198" s="82" t="n"/>
      <c r="F198" s="85" t="n"/>
      <c r="G198" s="71" t="n"/>
      <c r="H198" s="71" t="n"/>
      <c r="I198" s="83" t="n"/>
      <c r="J198" s="71" t="n"/>
      <c r="K198" s="82" t="n"/>
      <c r="L198" s="82">
        <f>IF(COUNT(E198,G198,H198,I198,J198,K198)=0,"",ROUND((IF(E198="",0,E198*10)+IF(G198="",0,G198)+IF(H198="",0,H198)+IF(I198="",0,I198*20)+IF(J198="",0,J198)+IF(K198="",0,K198*10))/COUNT(E198,G198,H198,I198,J198,K198),1))</f>
        <v/>
      </c>
      <c r="M198">
        <f>IF(L198="","",IF(L198&gt;=85,"Excellent",IF(L198&gt;=70,"Good",IF(L198&gt;=55,"Mixed","Poor"))))</f>
        <v/>
      </c>
      <c r="N198" s="66" t="n"/>
      <c r="O198" t="inlineStr">
        <is>
          <t>https://www.imdb.com/find/?q=Lego+Batman%3A+The+Movie+-+DC+Super+Heroes+Unite+2013</t>
        </is>
      </c>
      <c r="P198" t="inlineStr">
        <is>
          <t>https://www.rottentomatoes.com/search?search=Lego+Batman%3A+The+Movie+-+DC+Super+Heroes+Unite</t>
        </is>
      </c>
      <c r="Q198" t="inlineStr">
        <is>
          <t>https://letterboxd.com/search/Lego%20Batman%3A%20The%20Movie%20-%20DC%20Super%20Heroes%20Unite/</t>
        </is>
      </c>
      <c r="R198" t="inlineStr">
        <is>
          <t>https://www.metacritic.com/search/Lego+Batman%3A+The+Movie+-+DC+Super+Heroes+Unite/</t>
        </is>
      </c>
    </row>
    <row r="199">
      <c r="A199" t="inlineStr">
        <is>
          <t>F0195</t>
        </is>
      </c>
      <c r="B199" t="inlineStr">
        <is>
          <t>The Lego Movie</t>
        </is>
      </c>
      <c r="C199" s="63" t="inlineStr">
        <is>
          <t>2014</t>
        </is>
      </c>
      <c r="E199" s="82" t="n"/>
      <c r="F199" s="85" t="n"/>
      <c r="G199" s="71" t="n"/>
      <c r="H199" s="71" t="n"/>
      <c r="I199" s="83" t="n"/>
      <c r="J199" s="71" t="n"/>
      <c r="K199" s="82" t="n"/>
      <c r="L199" s="82">
        <f>IF(COUNT(E199,G199,H199,I199,J199,K199)=0,"",ROUND((IF(E199="",0,E199*10)+IF(G199="",0,G199)+IF(H199="",0,H199)+IF(I199="",0,I199*20)+IF(J199="",0,J199)+IF(K199="",0,K199*10))/COUNT(E199,G199,H199,I199,J199,K199),1))</f>
        <v/>
      </c>
      <c r="M199">
        <f>IF(L199="","",IF(L199&gt;=85,"Excellent",IF(L199&gt;=70,"Good",IF(L199&gt;=55,"Mixed","Poor"))))</f>
        <v/>
      </c>
      <c r="N199" s="66" t="n"/>
      <c r="O199" t="inlineStr">
        <is>
          <t>https://www.imdb.com/find/?q=The+Lego+Movie+2014</t>
        </is>
      </c>
      <c r="P199" t="inlineStr">
        <is>
          <t>https://www.rottentomatoes.com/search?search=The+Lego+Movie</t>
        </is>
      </c>
      <c r="Q199" t="inlineStr">
        <is>
          <t>https://letterboxd.com/search/The%20Lego%20Movie/</t>
        </is>
      </c>
      <c r="R199" t="inlineStr">
        <is>
          <t>https://www.metacritic.com/search/The+Lego+Movie/</t>
        </is>
      </c>
    </row>
    <row r="200">
      <c r="A200" t="inlineStr">
        <is>
          <t>F0196</t>
        </is>
      </c>
      <c r="B200" t="inlineStr">
        <is>
          <t>The Lego Movie 2: The Second Part</t>
        </is>
      </c>
      <c r="C200" s="63" t="inlineStr">
        <is>
          <t>2019</t>
        </is>
      </c>
      <c r="E200" s="82" t="n"/>
      <c r="F200" s="85" t="n"/>
      <c r="G200" s="71" t="n"/>
      <c r="H200" s="71" t="n"/>
      <c r="I200" s="83" t="n"/>
      <c r="J200" s="71" t="n"/>
      <c r="K200" s="82" t="n"/>
      <c r="L200" s="82">
        <f>IF(COUNT(E200,G200,H200,I200,J200,K200)=0,"",ROUND((IF(E200="",0,E200*10)+IF(G200="",0,G200)+IF(H200="",0,H200)+IF(I200="",0,I200*20)+IF(J200="",0,J200)+IF(K200="",0,K200*10))/COUNT(E200,G200,H200,I200,J200,K200),1))</f>
        <v/>
      </c>
      <c r="M200">
        <f>IF(L200="","",IF(L200&gt;=85,"Excellent",IF(L200&gt;=70,"Good",IF(L200&gt;=55,"Mixed","Poor"))))</f>
        <v/>
      </c>
      <c r="N200" s="66" t="n"/>
      <c r="O200" t="inlineStr">
        <is>
          <t>https://www.imdb.com/find/?q=The+Lego+Movie+2%3A+The+Second+Part+2019</t>
        </is>
      </c>
      <c r="P200" t="inlineStr">
        <is>
          <t>https://www.rottentomatoes.com/search?search=The+Lego+Movie+2%3A+The+Second+Part</t>
        </is>
      </c>
      <c r="Q200" t="inlineStr">
        <is>
          <t>https://letterboxd.com/search/The%20Lego%20Movie%202%3A%20The%20Second%20Part/</t>
        </is>
      </c>
      <c r="R200" t="inlineStr">
        <is>
          <t>https://www.metacritic.com/search/The+Lego+Movie+2%3A+The+Second+Part/</t>
        </is>
      </c>
    </row>
    <row r="201">
      <c r="A201" t="inlineStr">
        <is>
          <t>F0197</t>
        </is>
      </c>
      <c r="B201" t="inlineStr">
        <is>
          <t>Lego DC Comics Super Heroes: Justice League vs. Bizarro League</t>
        </is>
      </c>
      <c r="C201" s="63" t="inlineStr">
        <is>
          <t>2015</t>
        </is>
      </c>
      <c r="E201" s="82" t="n"/>
      <c r="F201" s="85" t="n"/>
      <c r="G201" s="71" t="n"/>
      <c r="H201" s="71" t="n"/>
      <c r="I201" s="83" t="n"/>
      <c r="J201" s="71" t="n"/>
      <c r="K201" s="82" t="n"/>
      <c r="L201" s="82">
        <f>IF(COUNT(E201,G201,H201,I201,J201,K201)=0,"",ROUND((IF(E201="",0,E201*10)+IF(G201="",0,G201)+IF(H201="",0,H201)+IF(I201="",0,I201*20)+IF(J201="",0,J201)+IF(K201="",0,K201*10))/COUNT(E201,G201,H201,I201,J201,K201),1))</f>
        <v/>
      </c>
      <c r="M201">
        <f>IF(L201="","",IF(L201&gt;=85,"Excellent",IF(L201&gt;=70,"Good",IF(L201&gt;=55,"Mixed","Poor"))))</f>
        <v/>
      </c>
      <c r="N201" s="66" t="n"/>
      <c r="O201" t="inlineStr">
        <is>
          <t>https://www.imdb.com/find/?q=Lego+DC+Comics+Super+Heroes%3A+Justice+League+vs.+Bizarro+League+2015</t>
        </is>
      </c>
      <c r="P201" t="inlineStr">
        <is>
          <t>https://www.rottentomatoes.com/search?search=Lego+DC+Comics+Super+Heroes%3A+Justice+League+vs.+Bizarro+League</t>
        </is>
      </c>
      <c r="Q201" t="inlineStr">
        <is>
          <t>https://letterboxd.com/search/Lego%20DC%20Comics%20Super%20Heroes%3A%20Justice%20League%20vs.%20Bizarro%20League/</t>
        </is>
      </c>
      <c r="R201" t="inlineStr">
        <is>
          <t>https://www.metacritic.com/search/Lego+DC+Comics+Super+Heroes%3A+Justice+League+vs.+Bizarro+League/</t>
        </is>
      </c>
    </row>
    <row r="202">
      <c r="A202" t="inlineStr">
        <is>
          <t>F0198</t>
        </is>
      </c>
      <c r="B202" t="inlineStr">
        <is>
          <t>Lego DC Comics Super Heroes: Justice League - Gotham City Breakout</t>
        </is>
      </c>
      <c r="C202" s="63" t="inlineStr">
        <is>
          <t>2016</t>
        </is>
      </c>
      <c r="E202" s="82" t="n"/>
      <c r="F202" s="85" t="n"/>
      <c r="G202" s="71" t="n"/>
      <c r="H202" s="71" t="n"/>
      <c r="I202" s="83" t="n"/>
      <c r="J202" s="71" t="n"/>
      <c r="K202" s="82" t="n"/>
      <c r="L202" s="82">
        <f>IF(COUNT(E202,G202,H202,I202,J202,K202)=0,"",ROUND((IF(E202="",0,E202*10)+IF(G202="",0,G202)+IF(H202="",0,H202)+IF(I202="",0,I202*20)+IF(J202="",0,J202)+IF(K202="",0,K202*10))/COUNT(E202,G202,H202,I202,J202,K202),1))</f>
        <v/>
      </c>
      <c r="M202">
        <f>IF(L202="","",IF(L202&gt;=85,"Excellent",IF(L202&gt;=70,"Good",IF(L202&gt;=55,"Mixed","Poor"))))</f>
        <v/>
      </c>
      <c r="N202" s="66" t="n"/>
      <c r="O202" t="inlineStr">
        <is>
          <t>https://www.imdb.com/find/?q=Lego+DC+Comics+Super+Heroes%3A+Justice+League+-+Gotham+City+Breakout+2016</t>
        </is>
      </c>
      <c r="P202" t="inlineStr">
        <is>
          <t>https://www.rottentomatoes.com/search?search=Lego+DC+Comics+Super+Heroes%3A+Justice+League+-+Gotham+City+Breakout</t>
        </is>
      </c>
      <c r="Q202" t="inlineStr">
        <is>
          <t>https://letterboxd.com/search/Lego%20DC%20Comics%20Super%20Heroes%3A%20Justice%20League%20-%20Gotham%20City%20Breakout/</t>
        </is>
      </c>
      <c r="R202" t="inlineStr">
        <is>
          <t>https://www.metacritic.com/search/Lego+DC+Comics+Super+Heroes%3A+Justice+League+-+Gotham+City+Breakout/</t>
        </is>
      </c>
    </row>
    <row r="203">
      <c r="A203" t="inlineStr">
        <is>
          <t>F0199</t>
        </is>
      </c>
      <c r="B203" t="inlineStr">
        <is>
          <t>Les Misérables</t>
        </is>
      </c>
      <c r="C203" s="63" t="inlineStr">
        <is>
          <t>2012</t>
        </is>
      </c>
      <c r="E203" s="82" t="n"/>
      <c r="F203" s="85" t="n"/>
      <c r="G203" s="71" t="n"/>
      <c r="H203" s="71" t="n"/>
      <c r="I203" s="83" t="n"/>
      <c r="J203" s="71" t="n"/>
      <c r="K203" s="82" t="n"/>
      <c r="L203" s="82">
        <f>IF(COUNT(E203,G203,H203,I203,J203,K203)=0,"",ROUND((IF(E203="",0,E203*10)+IF(G203="",0,G203)+IF(H203="",0,H203)+IF(I203="",0,I203*20)+IF(J203="",0,J203)+IF(K203="",0,K203*10))/COUNT(E203,G203,H203,I203,J203,K203),1))</f>
        <v/>
      </c>
      <c r="M203">
        <f>IF(L203="","",IF(L203&gt;=85,"Excellent",IF(L203&gt;=70,"Good",IF(L203&gt;=55,"Mixed","Poor"))))</f>
        <v/>
      </c>
      <c r="N203" s="66" t="n"/>
      <c r="O203" t="inlineStr">
        <is>
          <t>https://www.imdb.com/find/?q=Les+Mis%C3%A9rables+2012</t>
        </is>
      </c>
      <c r="P203" t="inlineStr">
        <is>
          <t>https://www.rottentomatoes.com/search?search=Les+Mis%C3%A9rables</t>
        </is>
      </c>
      <c r="Q203" t="inlineStr">
        <is>
          <t>https://letterboxd.com/search/Les%20Mis%C3%A9rables/</t>
        </is>
      </c>
      <c r="R203" t="inlineStr">
        <is>
          <t>https://www.metacritic.com/search/Les+Mis%C3%A9rables/</t>
        </is>
      </c>
    </row>
    <row r="204">
      <c r="A204" t="inlineStr">
        <is>
          <t>F0200</t>
        </is>
      </c>
      <c r="B204" t="inlineStr">
        <is>
          <t>The Lion King</t>
        </is>
      </c>
      <c r="C204" s="63" t="inlineStr">
        <is>
          <t>1994</t>
        </is>
      </c>
      <c r="E204" s="82" t="n"/>
      <c r="F204" s="85" t="n"/>
      <c r="G204" s="71" t="n"/>
      <c r="H204" s="71" t="n"/>
      <c r="I204" s="83" t="n"/>
      <c r="J204" s="71" t="n"/>
      <c r="K204" s="82" t="n"/>
      <c r="L204" s="82">
        <f>IF(COUNT(E204,G204,H204,I204,J204,K204)=0,"",ROUND((IF(E204="",0,E204*10)+IF(G204="",0,G204)+IF(H204="",0,H204)+IF(I204="",0,I204*20)+IF(J204="",0,J204)+IF(K204="",0,K204*10))/COUNT(E204,G204,H204,I204,J204,K204),1))</f>
        <v/>
      </c>
      <c r="M204">
        <f>IF(L204="","",IF(L204&gt;=85,"Excellent",IF(L204&gt;=70,"Good",IF(L204&gt;=55,"Mixed","Poor"))))</f>
        <v/>
      </c>
      <c r="N204" s="66" t="n"/>
      <c r="O204" t="inlineStr">
        <is>
          <t>https://www.imdb.com/find/?q=The+Lion+King+1994</t>
        </is>
      </c>
      <c r="P204" t="inlineStr">
        <is>
          <t>https://www.rottentomatoes.com/search?search=The+Lion+King</t>
        </is>
      </c>
      <c r="Q204" t="inlineStr">
        <is>
          <t>https://letterboxd.com/search/The%20Lion%20King/</t>
        </is>
      </c>
      <c r="R204" t="inlineStr">
        <is>
          <t>https://www.metacritic.com/search/The+Lion+King/</t>
        </is>
      </c>
    </row>
    <row r="205">
      <c r="A205" t="inlineStr">
        <is>
          <t>F0201</t>
        </is>
      </c>
      <c r="B205" t="inlineStr">
        <is>
          <t>Logan</t>
        </is>
      </c>
      <c r="C205" s="63" t="inlineStr">
        <is>
          <t>2017</t>
        </is>
      </c>
      <c r="E205" s="82" t="n"/>
      <c r="F205" s="85" t="n"/>
      <c r="G205" s="71" t="n"/>
      <c r="H205" s="71" t="n"/>
      <c r="I205" s="83" t="n"/>
      <c r="J205" s="71" t="n"/>
      <c r="K205" s="82" t="n"/>
      <c r="L205" s="82">
        <f>IF(COUNT(E205,G205,H205,I205,J205,K205)=0,"",ROUND((IF(E205="",0,E205*10)+IF(G205="",0,G205)+IF(H205="",0,H205)+IF(I205="",0,I205*20)+IF(J205="",0,J205)+IF(K205="",0,K205*10))/COUNT(E205,G205,H205,I205,J205,K205),1))</f>
        <v/>
      </c>
      <c r="M205">
        <f>IF(L205="","",IF(L205&gt;=85,"Excellent",IF(L205&gt;=70,"Good",IF(L205&gt;=55,"Mixed","Poor"))))</f>
        <v/>
      </c>
      <c r="N205" s="66" t="n"/>
      <c r="O205" t="inlineStr">
        <is>
          <t>https://www.imdb.com/find/?q=Logan+2017</t>
        </is>
      </c>
      <c r="P205" t="inlineStr">
        <is>
          <t>https://www.rottentomatoes.com/search?search=Logan</t>
        </is>
      </c>
      <c r="Q205" t="inlineStr">
        <is>
          <t>https://letterboxd.com/search/Logan/</t>
        </is>
      </c>
      <c r="R205" t="inlineStr">
        <is>
          <t>https://www.metacritic.com/search/Logan/</t>
        </is>
      </c>
    </row>
    <row r="206">
      <c r="A206" t="inlineStr">
        <is>
          <t>F0202</t>
        </is>
      </c>
      <c r="B206" t="inlineStr">
        <is>
          <t>Lone Survivor</t>
        </is>
      </c>
      <c r="C206" s="63" t="inlineStr">
        <is>
          <t>2013</t>
        </is>
      </c>
      <c r="E206" s="82" t="n"/>
      <c r="F206" s="85" t="n"/>
      <c r="G206" s="71" t="n"/>
      <c r="H206" s="71" t="n"/>
      <c r="I206" s="83" t="n"/>
      <c r="J206" s="71" t="n"/>
      <c r="K206" s="82" t="n"/>
      <c r="L206" s="82">
        <f>IF(COUNT(E206,G206,H206,I206,J206,K206)=0,"",ROUND((IF(E206="",0,E206*10)+IF(G206="",0,G206)+IF(H206="",0,H206)+IF(I206="",0,I206*20)+IF(J206="",0,J206)+IF(K206="",0,K206*10))/COUNT(E206,G206,H206,I206,J206,K206),1))</f>
        <v/>
      </c>
      <c r="M206">
        <f>IF(L206="","",IF(L206&gt;=85,"Excellent",IF(L206&gt;=70,"Good",IF(L206&gt;=55,"Mixed","Poor"))))</f>
        <v/>
      </c>
      <c r="N206" s="66" t="n"/>
      <c r="O206" t="inlineStr">
        <is>
          <t>https://www.imdb.com/find/?q=Lone+Survivor+2013</t>
        </is>
      </c>
      <c r="P206" t="inlineStr">
        <is>
          <t>https://www.rottentomatoes.com/search?search=Lone+Survivor</t>
        </is>
      </c>
      <c r="Q206" t="inlineStr">
        <is>
          <t>https://letterboxd.com/search/Lone%20Survivor/</t>
        </is>
      </c>
      <c r="R206" t="inlineStr">
        <is>
          <t>https://www.metacritic.com/search/Lone+Survivor/</t>
        </is>
      </c>
    </row>
    <row r="207">
      <c r="A207" t="inlineStr">
        <is>
          <t>F0203</t>
        </is>
      </c>
      <c r="B207" t="inlineStr">
        <is>
          <t>The Lord of the Rings: The Fellowship of the Ring</t>
        </is>
      </c>
      <c r="C207" s="63" t="inlineStr">
        <is>
          <t>2001</t>
        </is>
      </c>
      <c r="E207" s="82" t="n"/>
      <c r="F207" s="85" t="n"/>
      <c r="G207" s="71" t="n"/>
      <c r="H207" s="71" t="n"/>
      <c r="I207" s="83" t="n"/>
      <c r="J207" s="71" t="n"/>
      <c r="K207" s="82" t="n"/>
      <c r="L207" s="82">
        <f>IF(COUNT(E207,G207,H207,I207,J207,K207)=0,"",ROUND((IF(E207="",0,E207*10)+IF(G207="",0,G207)+IF(H207="",0,H207)+IF(I207="",0,I207*20)+IF(J207="",0,J207)+IF(K207="",0,K207*10))/COUNT(E207,G207,H207,I207,J207,K207),1))</f>
        <v/>
      </c>
      <c r="M207">
        <f>IF(L207="","",IF(L207&gt;=85,"Excellent",IF(L207&gt;=70,"Good",IF(L207&gt;=55,"Mixed","Poor"))))</f>
        <v/>
      </c>
      <c r="N207" s="66" t="n"/>
      <c r="O207" t="inlineStr">
        <is>
          <t>https://www.imdb.com/find/?q=The+Lord+of+the+Rings%3A+The+Fellowship+of+the+Ring+2001</t>
        </is>
      </c>
      <c r="P207" t="inlineStr">
        <is>
          <t>https://www.rottentomatoes.com/search?search=The+Lord+of+the+Rings%3A+The+Fellowship+of+the+Ring</t>
        </is>
      </c>
      <c r="Q207" t="inlineStr">
        <is>
          <t>https://letterboxd.com/search/The%20Lord%20of%20the%20Rings%3A%20The%20Fellowship%20of%20the%20Ring/</t>
        </is>
      </c>
      <c r="R207" t="inlineStr">
        <is>
          <t>https://www.metacritic.com/search/The+Lord+of+the+Rings%3A+The+Fellowship+of+the+Ring/</t>
        </is>
      </c>
    </row>
    <row r="208">
      <c r="A208" t="inlineStr">
        <is>
          <t>F0204</t>
        </is>
      </c>
      <c r="B208" t="inlineStr">
        <is>
          <t>The Lord of the Rings: The Two Towers</t>
        </is>
      </c>
      <c r="C208" s="63" t="inlineStr">
        <is>
          <t>2002</t>
        </is>
      </c>
      <c r="E208" s="82" t="n"/>
      <c r="F208" s="85" t="n"/>
      <c r="G208" s="71" t="n"/>
      <c r="H208" s="71" t="n"/>
      <c r="I208" s="83" t="n"/>
      <c r="J208" s="71" t="n"/>
      <c r="K208" s="82" t="n"/>
      <c r="L208" s="82">
        <f>IF(COUNT(E208,G208,H208,I208,J208,K208)=0,"",ROUND((IF(E208="",0,E208*10)+IF(G208="",0,G208)+IF(H208="",0,H208)+IF(I208="",0,I208*20)+IF(J208="",0,J208)+IF(K208="",0,K208*10))/COUNT(E208,G208,H208,I208,J208,K208),1))</f>
        <v/>
      </c>
      <c r="M208">
        <f>IF(L208="","",IF(L208&gt;=85,"Excellent",IF(L208&gt;=70,"Good",IF(L208&gt;=55,"Mixed","Poor"))))</f>
        <v/>
      </c>
      <c r="N208" s="66" t="n"/>
      <c r="O208" t="inlineStr">
        <is>
          <t>https://www.imdb.com/find/?q=The+Lord+of+the+Rings%3A+The+Two+Towers+2002</t>
        </is>
      </c>
      <c r="P208" t="inlineStr">
        <is>
          <t>https://www.rottentomatoes.com/search?search=The+Lord+of+the+Rings%3A+The+Two+Towers</t>
        </is>
      </c>
      <c r="Q208" t="inlineStr">
        <is>
          <t>https://letterboxd.com/search/The%20Lord%20of%20the%20Rings%3A%20The%20Two%20Towers/</t>
        </is>
      </c>
      <c r="R208" t="inlineStr">
        <is>
          <t>https://www.metacritic.com/search/The+Lord+of+the+Rings%3A+The+Two+Towers/</t>
        </is>
      </c>
    </row>
    <row r="209">
      <c r="A209" t="inlineStr">
        <is>
          <t>F0205</t>
        </is>
      </c>
      <c r="B209" t="inlineStr">
        <is>
          <t>The Lord of the Rings: The Return of the King</t>
        </is>
      </c>
      <c r="C209" s="63" t="inlineStr">
        <is>
          <t>2003</t>
        </is>
      </c>
      <c r="E209" s="82" t="n"/>
      <c r="F209" s="85" t="n"/>
      <c r="G209" s="71" t="n"/>
      <c r="H209" s="71" t="n"/>
      <c r="I209" s="83" t="n"/>
      <c r="J209" s="71" t="n"/>
      <c r="K209" s="82" t="n"/>
      <c r="L209" s="82">
        <f>IF(COUNT(E209,G209,H209,I209,J209,K209)=0,"",ROUND((IF(E209="",0,E209*10)+IF(G209="",0,G209)+IF(H209="",0,H209)+IF(I209="",0,I209*20)+IF(J209="",0,J209)+IF(K209="",0,K209*10))/COUNT(E209,G209,H209,I209,J209,K209),1))</f>
        <v/>
      </c>
      <c r="M209">
        <f>IF(L209="","",IF(L209&gt;=85,"Excellent",IF(L209&gt;=70,"Good",IF(L209&gt;=55,"Mixed","Poor"))))</f>
        <v/>
      </c>
      <c r="N209" s="66" t="n"/>
      <c r="O209" t="inlineStr">
        <is>
          <t>https://www.imdb.com/find/?q=The+Lord+of+the+Rings%3A+The+Return+of+the+King+2003</t>
        </is>
      </c>
      <c r="P209" t="inlineStr">
        <is>
          <t>https://www.rottentomatoes.com/search?search=The+Lord+of+the+Rings%3A+The+Return+of+the+King</t>
        </is>
      </c>
      <c r="Q209" t="inlineStr">
        <is>
          <t>https://letterboxd.com/search/The%20Lord%20of%20the%20Rings%3A%20The%20Return%20of%20the%20King/</t>
        </is>
      </c>
      <c r="R209" t="inlineStr">
        <is>
          <t>https://www.metacritic.com/search/The+Lord+of+the+Rings%3A+The+Return+of+the+King/</t>
        </is>
      </c>
    </row>
    <row r="210">
      <c r="A210" t="inlineStr">
        <is>
          <t>F0206</t>
        </is>
      </c>
      <c r="B210" t="inlineStr">
        <is>
          <t>Magic Mike</t>
        </is>
      </c>
      <c r="C210" s="63" t="inlineStr">
        <is>
          <t>2012</t>
        </is>
      </c>
      <c r="E210" s="82" t="n"/>
      <c r="F210" s="85" t="n"/>
      <c r="G210" s="71" t="n"/>
      <c r="H210" s="71" t="n"/>
      <c r="I210" s="83" t="n"/>
      <c r="J210" s="71" t="n"/>
      <c r="K210" s="82" t="n"/>
      <c r="L210" s="82">
        <f>IF(COUNT(E210,G210,H210,I210,J210,K210)=0,"",ROUND((IF(E210="",0,E210*10)+IF(G210="",0,G210)+IF(H210="",0,H210)+IF(I210="",0,I210*20)+IF(J210="",0,J210)+IF(K210="",0,K210*10))/COUNT(E210,G210,H210,I210,J210,K210),1))</f>
        <v/>
      </c>
      <c r="M210">
        <f>IF(L210="","",IF(L210&gt;=85,"Excellent",IF(L210&gt;=70,"Good",IF(L210&gt;=55,"Mixed","Poor"))))</f>
        <v/>
      </c>
      <c r="N210" s="66" t="n"/>
      <c r="O210" t="inlineStr">
        <is>
          <t>https://www.imdb.com/find/?q=Magic+Mike+2012</t>
        </is>
      </c>
      <c r="P210" t="inlineStr">
        <is>
          <t>https://www.rottentomatoes.com/search?search=Magic+Mike</t>
        </is>
      </c>
      <c r="Q210" t="inlineStr">
        <is>
          <t>https://letterboxd.com/search/Magic%20Mike/</t>
        </is>
      </c>
      <c r="R210" t="inlineStr">
        <is>
          <t>https://www.metacritic.com/search/Magic+Mike/</t>
        </is>
      </c>
    </row>
    <row r="211">
      <c r="A211" t="inlineStr">
        <is>
          <t>F0207</t>
        </is>
      </c>
      <c r="B211" t="inlineStr">
        <is>
          <t>The Magnificent Seven</t>
        </is>
      </c>
      <c r="C211" s="63" t="inlineStr">
        <is>
          <t>2016</t>
        </is>
      </c>
      <c r="E211" s="82" t="n"/>
      <c r="F211" s="85" t="n"/>
      <c r="G211" s="71" t="n"/>
      <c r="H211" s="71" t="n"/>
      <c r="I211" s="83" t="n"/>
      <c r="J211" s="71" t="n"/>
      <c r="K211" s="82" t="n"/>
      <c r="L211" s="82">
        <f>IF(COUNT(E211,G211,H211,I211,J211,K211)=0,"",ROUND((IF(E211="",0,E211*10)+IF(G211="",0,G211)+IF(H211="",0,H211)+IF(I211="",0,I211*20)+IF(J211="",0,J211)+IF(K211="",0,K211*10))/COUNT(E211,G211,H211,I211,J211,K211),1))</f>
        <v/>
      </c>
      <c r="M211">
        <f>IF(L211="","",IF(L211&gt;=85,"Excellent",IF(L211&gt;=70,"Good",IF(L211&gt;=55,"Mixed","Poor"))))</f>
        <v/>
      </c>
      <c r="N211" s="66" t="n"/>
      <c r="O211" t="inlineStr">
        <is>
          <t>https://www.imdb.com/find/?q=The+Magnificent+Seven+2016</t>
        </is>
      </c>
      <c r="P211" t="inlineStr">
        <is>
          <t>https://www.rottentomatoes.com/search?search=The+Magnificent+Seven</t>
        </is>
      </c>
      <c r="Q211" t="inlineStr">
        <is>
          <t>https://letterboxd.com/search/The%20Magnificent%20Seven/</t>
        </is>
      </c>
      <c r="R211" t="inlineStr">
        <is>
          <t>https://www.metacritic.com/search/The+Magnificent+Seven/</t>
        </is>
      </c>
    </row>
    <row r="212">
      <c r="A212" t="inlineStr">
        <is>
          <t>F0208</t>
        </is>
      </c>
      <c r="B212" t="inlineStr">
        <is>
          <t>Maleficent</t>
        </is>
      </c>
      <c r="C212" s="63" t="inlineStr">
        <is>
          <t>2014</t>
        </is>
      </c>
      <c r="E212" s="82" t="n"/>
      <c r="F212" s="85" t="n"/>
      <c r="G212" s="71" t="n"/>
      <c r="H212" s="71" t="n"/>
      <c r="I212" s="83" t="n"/>
      <c r="J212" s="71" t="n"/>
      <c r="K212" s="82" t="n"/>
      <c r="L212" s="82">
        <f>IF(COUNT(E212,G212,H212,I212,J212,K212)=0,"",ROUND((IF(E212="",0,E212*10)+IF(G212="",0,G212)+IF(H212="",0,H212)+IF(I212="",0,I212*20)+IF(J212="",0,J212)+IF(K212="",0,K212*10))/COUNT(E212,G212,H212,I212,J212,K212),1))</f>
        <v/>
      </c>
      <c r="M212">
        <f>IF(L212="","",IF(L212&gt;=85,"Excellent",IF(L212&gt;=70,"Good",IF(L212&gt;=55,"Mixed","Poor"))))</f>
        <v/>
      </c>
      <c r="N212" s="66" t="n"/>
      <c r="O212" t="inlineStr">
        <is>
          <t>https://www.imdb.com/find/?q=Maleficent+2014</t>
        </is>
      </c>
      <c r="P212" t="inlineStr">
        <is>
          <t>https://www.rottentomatoes.com/search?search=Maleficent</t>
        </is>
      </c>
      <c r="Q212" t="inlineStr">
        <is>
          <t>https://letterboxd.com/search/Maleficent/</t>
        </is>
      </c>
      <c r="R212" t="inlineStr">
        <is>
          <t>https://www.metacritic.com/search/Maleficent/</t>
        </is>
      </c>
    </row>
    <row r="213">
      <c r="A213" t="inlineStr">
        <is>
          <t>F0209</t>
        </is>
      </c>
      <c r="B213" t="inlineStr">
        <is>
          <t>Mamma Mia!</t>
        </is>
      </c>
      <c r="C213" s="63" t="inlineStr">
        <is>
          <t>2008</t>
        </is>
      </c>
      <c r="E213" s="82" t="n"/>
      <c r="F213" s="85" t="n"/>
      <c r="G213" s="71" t="n"/>
      <c r="H213" s="71" t="n"/>
      <c r="I213" s="83" t="n"/>
      <c r="J213" s="71" t="n"/>
      <c r="K213" s="82" t="n"/>
      <c r="L213" s="82">
        <f>IF(COUNT(E213,G213,H213,I213,J213,K213)=0,"",ROUND((IF(E213="",0,E213*10)+IF(G213="",0,G213)+IF(H213="",0,H213)+IF(I213="",0,I213*20)+IF(J213="",0,J213)+IF(K213="",0,K213*10))/COUNT(E213,G213,H213,I213,J213,K213),1))</f>
        <v/>
      </c>
      <c r="M213">
        <f>IF(L213="","",IF(L213&gt;=85,"Excellent",IF(L213&gt;=70,"Good",IF(L213&gt;=55,"Mixed","Poor"))))</f>
        <v/>
      </c>
      <c r="N213" s="66" t="n"/>
      <c r="O213" t="inlineStr">
        <is>
          <t>https://www.imdb.com/find/?q=Mamma+Mia%21+2008</t>
        </is>
      </c>
      <c r="P213" t="inlineStr">
        <is>
          <t>https://www.rottentomatoes.com/search?search=Mamma+Mia%21</t>
        </is>
      </c>
      <c r="Q213" t="inlineStr">
        <is>
          <t>https://letterboxd.com/search/Mamma%20Mia%21/</t>
        </is>
      </c>
      <c r="R213" t="inlineStr">
        <is>
          <t>https://www.metacritic.com/search/Mamma+Mia%21/</t>
        </is>
      </c>
    </row>
    <row r="214">
      <c r="A214" t="inlineStr">
        <is>
          <t>F0210</t>
        </is>
      </c>
      <c r="B214" t="inlineStr">
        <is>
          <t>Man on a Ledge</t>
        </is>
      </c>
      <c r="C214" s="63" t="inlineStr">
        <is>
          <t>2012</t>
        </is>
      </c>
      <c r="E214" s="82" t="n"/>
      <c r="F214" s="85" t="n"/>
      <c r="G214" s="71" t="n"/>
      <c r="H214" s="71" t="n"/>
      <c r="I214" s="83" t="n"/>
      <c r="J214" s="71" t="n"/>
      <c r="K214" s="82" t="n"/>
      <c r="L214" s="82">
        <f>IF(COUNT(E214,G214,H214,I214,J214,K214)=0,"",ROUND((IF(E214="",0,E214*10)+IF(G214="",0,G214)+IF(H214="",0,H214)+IF(I214="",0,I214*20)+IF(J214="",0,J214)+IF(K214="",0,K214*10))/COUNT(E214,G214,H214,I214,J214,K214),1))</f>
        <v/>
      </c>
      <c r="M214">
        <f>IF(L214="","",IF(L214&gt;=85,"Excellent",IF(L214&gt;=70,"Good",IF(L214&gt;=55,"Mixed","Poor"))))</f>
        <v/>
      </c>
      <c r="N214" s="66" t="n"/>
      <c r="O214" t="inlineStr">
        <is>
          <t>https://www.imdb.com/find/?q=Man+on+a+Ledge+2012</t>
        </is>
      </c>
      <c r="P214" t="inlineStr">
        <is>
          <t>https://www.rottentomatoes.com/search?search=Man+on+a+Ledge</t>
        </is>
      </c>
      <c r="Q214" t="inlineStr">
        <is>
          <t>https://letterboxd.com/search/Man%20on%20a%20Ledge/</t>
        </is>
      </c>
      <c r="R214" t="inlineStr">
        <is>
          <t>https://www.metacritic.com/search/Man+on+a+Ledge/</t>
        </is>
      </c>
    </row>
    <row r="215">
      <c r="A215" t="inlineStr">
        <is>
          <t>F0211</t>
        </is>
      </c>
      <c r="B215" t="inlineStr">
        <is>
          <t>Man of Steel</t>
        </is>
      </c>
      <c r="C215" s="63" t="inlineStr">
        <is>
          <t>2013</t>
        </is>
      </c>
      <c r="E215" s="82" t="n"/>
      <c r="F215" s="85" t="n"/>
      <c r="G215" s="71" t="n"/>
      <c r="H215" s="71" t="n"/>
      <c r="I215" s="83" t="n"/>
      <c r="J215" s="71" t="n"/>
      <c r="K215" s="82" t="n"/>
      <c r="L215" s="82">
        <f>IF(COUNT(E215,G215,H215,I215,J215,K215)=0,"",ROUND((IF(E215="",0,E215*10)+IF(G215="",0,G215)+IF(H215="",0,H215)+IF(I215="",0,I215*20)+IF(J215="",0,J215)+IF(K215="",0,K215*10))/COUNT(E215,G215,H215,I215,J215,K215),1))</f>
        <v/>
      </c>
      <c r="M215">
        <f>IF(L215="","",IF(L215&gt;=85,"Excellent",IF(L215&gt;=70,"Good",IF(L215&gt;=55,"Mixed","Poor"))))</f>
        <v/>
      </c>
      <c r="N215" s="66" t="n"/>
      <c r="O215" t="inlineStr">
        <is>
          <t>https://www.imdb.com/find/?q=Man+of+Steel+2013</t>
        </is>
      </c>
      <c r="P215" t="inlineStr">
        <is>
          <t>https://www.rottentomatoes.com/search?search=Man+of+Steel</t>
        </is>
      </c>
      <c r="Q215" t="inlineStr">
        <is>
          <t>https://letterboxd.com/search/Man%20of%20Steel/</t>
        </is>
      </c>
      <c r="R215" t="inlineStr">
        <is>
          <t>https://www.metacritic.com/search/Man+of+Steel/</t>
        </is>
      </c>
    </row>
    <row r="216">
      <c r="A216" t="inlineStr">
        <is>
          <t>F0212</t>
        </is>
      </c>
      <c r="B216" t="inlineStr">
        <is>
          <t>The Super Mario Bros. Movie</t>
        </is>
      </c>
      <c r="C216" s="63" t="inlineStr">
        <is>
          <t>2023</t>
        </is>
      </c>
      <c r="E216" s="82" t="n"/>
      <c r="F216" s="85" t="n"/>
      <c r="G216" s="71" t="n"/>
      <c r="H216" s="71" t="n"/>
      <c r="I216" s="83" t="n"/>
      <c r="J216" s="71" t="n"/>
      <c r="K216" s="82" t="n"/>
      <c r="L216" s="82">
        <f>IF(COUNT(E216,G216,H216,I216,J216,K216)=0,"",ROUND((IF(E216="",0,E216*10)+IF(G216="",0,G216)+IF(H216="",0,H216)+IF(I216="",0,I216*20)+IF(J216="",0,J216)+IF(K216="",0,K216*10))/COUNT(E216,G216,H216,I216,J216,K216),1))</f>
        <v/>
      </c>
      <c r="M216">
        <f>IF(L216="","",IF(L216&gt;=85,"Excellent",IF(L216&gt;=70,"Good",IF(L216&gt;=55,"Mixed","Poor"))))</f>
        <v/>
      </c>
      <c r="N216" s="66" t="n"/>
      <c r="O216" t="inlineStr">
        <is>
          <t>https://www.imdb.com/find/?q=The+Super+Mario+Bros.+Movie+2023</t>
        </is>
      </c>
      <c r="P216" t="inlineStr">
        <is>
          <t>https://www.rottentomatoes.com/search?search=The+Super+Mario+Bros.+Movie</t>
        </is>
      </c>
      <c r="Q216" t="inlineStr">
        <is>
          <t>https://letterboxd.com/search/The%20Super%20Mario%20Bros.%20Movie/</t>
        </is>
      </c>
      <c r="R216" t="inlineStr">
        <is>
          <t>https://www.metacritic.com/search/The+Super+Mario+Bros.+Movie/</t>
        </is>
      </c>
    </row>
    <row r="217">
      <c r="A217" t="inlineStr">
        <is>
          <t>F0213</t>
        </is>
      </c>
      <c r="B217" t="inlineStr">
        <is>
          <t>The Martian</t>
        </is>
      </c>
      <c r="C217" s="63" t="inlineStr">
        <is>
          <t>2015</t>
        </is>
      </c>
      <c r="E217" s="82" t="n"/>
      <c r="F217" s="85" t="n"/>
      <c r="G217" s="71" t="n"/>
      <c r="H217" s="71" t="n"/>
      <c r="I217" s="83" t="n"/>
      <c r="J217" s="71" t="n"/>
      <c r="K217" s="82" t="n"/>
      <c r="L217" s="82">
        <f>IF(COUNT(E217,G217,H217,I217,J217,K217)=0,"",ROUND((IF(E217="",0,E217*10)+IF(G217="",0,G217)+IF(H217="",0,H217)+IF(I217="",0,I217*20)+IF(J217="",0,J217)+IF(K217="",0,K217*10))/COUNT(E217,G217,H217,I217,J217,K217),1))</f>
        <v/>
      </c>
      <c r="M217">
        <f>IF(L217="","",IF(L217&gt;=85,"Excellent",IF(L217&gt;=70,"Good",IF(L217&gt;=55,"Mixed","Poor"))))</f>
        <v/>
      </c>
      <c r="N217" s="66" t="n"/>
      <c r="O217" t="inlineStr">
        <is>
          <t>https://www.imdb.com/find/?q=The+Martian+2015</t>
        </is>
      </c>
      <c r="P217" t="inlineStr">
        <is>
          <t>https://www.rottentomatoes.com/search?search=The+Martian</t>
        </is>
      </c>
      <c r="Q217" t="inlineStr">
        <is>
          <t>https://letterboxd.com/search/The%20Martian/</t>
        </is>
      </c>
      <c r="R217" t="inlineStr">
        <is>
          <t>https://www.metacritic.com/search/The+Martian/</t>
        </is>
      </c>
    </row>
    <row r="218">
      <c r="A218" t="inlineStr">
        <is>
          <t>F0214</t>
        </is>
      </c>
      <c r="B218" t="inlineStr">
        <is>
          <t>The Matrix</t>
        </is>
      </c>
      <c r="C218" s="63" t="inlineStr">
        <is>
          <t>1999</t>
        </is>
      </c>
      <c r="E218" s="82" t="n"/>
      <c r="F218" s="85" t="n"/>
      <c r="G218" s="71" t="n"/>
      <c r="H218" s="71" t="n"/>
      <c r="I218" s="83" t="n"/>
      <c r="J218" s="71" t="n"/>
      <c r="K218" s="82" t="n"/>
      <c r="L218" s="82">
        <f>IF(COUNT(E218,G218,H218,I218,J218,K218)=0,"",ROUND((IF(E218="",0,E218*10)+IF(G218="",0,G218)+IF(H218="",0,H218)+IF(I218="",0,I218*20)+IF(J218="",0,J218)+IF(K218="",0,K218*10))/COUNT(E218,G218,H218,I218,J218,K218),1))</f>
        <v/>
      </c>
      <c r="M218">
        <f>IF(L218="","",IF(L218&gt;=85,"Excellent",IF(L218&gt;=70,"Good",IF(L218&gt;=55,"Mixed","Poor"))))</f>
        <v/>
      </c>
      <c r="N218" s="66" t="n"/>
      <c r="O218" t="inlineStr">
        <is>
          <t>https://www.imdb.com/find/?q=The+Matrix+1999</t>
        </is>
      </c>
      <c r="P218" t="inlineStr">
        <is>
          <t>https://www.rottentomatoes.com/search?search=The+Matrix</t>
        </is>
      </c>
      <c r="Q218" t="inlineStr">
        <is>
          <t>https://letterboxd.com/search/The%20Matrix/</t>
        </is>
      </c>
      <c r="R218" t="inlineStr">
        <is>
          <t>https://www.metacritic.com/search/The+Matrix/</t>
        </is>
      </c>
    </row>
    <row r="219">
      <c r="A219" t="inlineStr">
        <is>
          <t>F0215</t>
        </is>
      </c>
      <c r="B219" t="inlineStr">
        <is>
          <t>The Matrix Reloaded</t>
        </is>
      </c>
      <c r="C219" s="63" t="inlineStr">
        <is>
          <t>2003</t>
        </is>
      </c>
      <c r="E219" s="82" t="n"/>
      <c r="F219" s="85" t="n"/>
      <c r="G219" s="71" t="n"/>
      <c r="H219" s="71" t="n"/>
      <c r="I219" s="83" t="n"/>
      <c r="J219" s="71" t="n"/>
      <c r="K219" s="82" t="n"/>
      <c r="L219" s="82">
        <f>IF(COUNT(E219,G219,H219,I219,J219,K219)=0,"",ROUND((IF(E219="",0,E219*10)+IF(G219="",0,G219)+IF(H219="",0,H219)+IF(I219="",0,I219*20)+IF(J219="",0,J219)+IF(K219="",0,K219*10))/COUNT(E219,G219,H219,I219,J219,K219),1))</f>
        <v/>
      </c>
      <c r="M219">
        <f>IF(L219="","",IF(L219&gt;=85,"Excellent",IF(L219&gt;=70,"Good",IF(L219&gt;=55,"Mixed","Poor"))))</f>
        <v/>
      </c>
      <c r="N219" s="66" t="n"/>
      <c r="O219" t="inlineStr">
        <is>
          <t>https://www.imdb.com/find/?q=The+Matrix+Reloaded+2003</t>
        </is>
      </c>
      <c r="P219" t="inlineStr">
        <is>
          <t>https://www.rottentomatoes.com/search?search=The+Matrix+Reloaded</t>
        </is>
      </c>
      <c r="Q219" t="inlineStr">
        <is>
          <t>https://letterboxd.com/search/The%20Matrix%20Reloaded/</t>
        </is>
      </c>
      <c r="R219" t="inlineStr">
        <is>
          <t>https://www.metacritic.com/search/The+Matrix+Reloaded/</t>
        </is>
      </c>
    </row>
    <row r="220">
      <c r="A220" t="inlineStr">
        <is>
          <t>F0216</t>
        </is>
      </c>
      <c r="B220" t="inlineStr">
        <is>
          <t>The Matrix Revolutions</t>
        </is>
      </c>
      <c r="C220" s="63" t="inlineStr">
        <is>
          <t>2003</t>
        </is>
      </c>
      <c r="E220" s="82" t="n"/>
      <c r="F220" s="85" t="n"/>
      <c r="G220" s="71" t="n"/>
      <c r="H220" s="71" t="n"/>
      <c r="I220" s="83" t="n"/>
      <c r="J220" s="71" t="n"/>
      <c r="K220" s="82" t="n"/>
      <c r="L220" s="82">
        <f>IF(COUNT(E220,G220,H220,I220,J220,K220)=0,"",ROUND((IF(E220="",0,E220*10)+IF(G220="",0,G220)+IF(H220="",0,H220)+IF(I220="",0,I220*20)+IF(J220="",0,J220)+IF(K220="",0,K220*10))/COUNT(E220,G220,H220,I220,J220,K220),1))</f>
        <v/>
      </c>
      <c r="M220">
        <f>IF(L220="","",IF(L220&gt;=85,"Excellent",IF(L220&gt;=70,"Good",IF(L220&gt;=55,"Mixed","Poor"))))</f>
        <v/>
      </c>
      <c r="N220" s="66" t="n"/>
      <c r="O220" t="inlineStr">
        <is>
          <t>https://www.imdb.com/find/?q=The+Matrix+Revolutions+2003</t>
        </is>
      </c>
      <c r="P220" t="inlineStr">
        <is>
          <t>https://www.rottentomatoes.com/search?search=The+Matrix+Revolutions</t>
        </is>
      </c>
      <c r="Q220" t="inlineStr">
        <is>
          <t>https://letterboxd.com/search/The%20Matrix%20Revolutions/</t>
        </is>
      </c>
      <c r="R220" t="inlineStr">
        <is>
          <t>https://www.metacritic.com/search/The+Matrix+Revolutions/</t>
        </is>
      </c>
    </row>
    <row r="221">
      <c r="A221" t="inlineStr">
        <is>
          <t>F0217</t>
        </is>
      </c>
      <c r="B221" t="inlineStr">
        <is>
          <t>The Maze Runner</t>
        </is>
      </c>
      <c r="C221" s="63" t="inlineStr">
        <is>
          <t>2014</t>
        </is>
      </c>
      <c r="E221" s="82" t="n"/>
      <c r="F221" s="85" t="n"/>
      <c r="G221" s="71" t="n"/>
      <c r="H221" s="71" t="n"/>
      <c r="I221" s="83" t="n"/>
      <c r="J221" s="71" t="n"/>
      <c r="K221" s="82" t="n"/>
      <c r="L221" s="82">
        <f>IF(COUNT(E221,G221,H221,I221,J221,K221)=0,"",ROUND((IF(E221="",0,E221*10)+IF(G221="",0,G221)+IF(H221="",0,H221)+IF(I221="",0,I221*20)+IF(J221="",0,J221)+IF(K221="",0,K221*10))/COUNT(E221,G221,H221,I221,J221,K221),1))</f>
        <v/>
      </c>
      <c r="M221">
        <f>IF(L221="","",IF(L221&gt;=85,"Excellent",IF(L221&gt;=70,"Good",IF(L221&gt;=55,"Mixed","Poor"))))</f>
        <v/>
      </c>
      <c r="N221" s="66" t="n"/>
      <c r="O221" t="inlineStr">
        <is>
          <t>https://www.imdb.com/find/?q=The+Maze+Runner+2014</t>
        </is>
      </c>
      <c r="P221" t="inlineStr">
        <is>
          <t>https://www.rottentomatoes.com/search?search=The+Maze+Runner</t>
        </is>
      </c>
      <c r="Q221" t="inlineStr">
        <is>
          <t>https://letterboxd.com/search/The%20Maze%20Runner/</t>
        </is>
      </c>
      <c r="R221" t="inlineStr">
        <is>
          <t>https://www.metacritic.com/search/The+Maze+Runner/</t>
        </is>
      </c>
    </row>
    <row r="222">
      <c r="A222" t="inlineStr">
        <is>
          <t>F0218</t>
        </is>
      </c>
      <c r="B222" t="inlineStr">
        <is>
          <t>Men in Black</t>
        </is>
      </c>
      <c r="C222" s="63" t="inlineStr">
        <is>
          <t>1997</t>
        </is>
      </c>
      <c r="E222" s="82" t="n"/>
      <c r="F222" s="85" t="n"/>
      <c r="G222" s="71" t="n"/>
      <c r="H222" s="71" t="n"/>
      <c r="I222" s="83" t="n"/>
      <c r="J222" s="71" t="n"/>
      <c r="K222" s="82" t="n"/>
      <c r="L222" s="82">
        <f>IF(COUNT(E222,G222,H222,I222,J222,K222)=0,"",ROUND((IF(E222="",0,E222*10)+IF(G222="",0,G222)+IF(H222="",0,H222)+IF(I222="",0,I222*20)+IF(J222="",0,J222)+IF(K222="",0,K222*10))/COUNT(E222,G222,H222,I222,J222,K222),1))</f>
        <v/>
      </c>
      <c r="M222">
        <f>IF(L222="","",IF(L222&gt;=85,"Excellent",IF(L222&gt;=70,"Good",IF(L222&gt;=55,"Mixed","Poor"))))</f>
        <v/>
      </c>
      <c r="N222" s="66" t="n"/>
      <c r="O222" t="inlineStr">
        <is>
          <t>https://www.imdb.com/find/?q=Men+in+Black+1997</t>
        </is>
      </c>
      <c r="P222" t="inlineStr">
        <is>
          <t>https://www.rottentomatoes.com/search?search=Men+in+Black</t>
        </is>
      </c>
      <c r="Q222" t="inlineStr">
        <is>
          <t>https://letterboxd.com/search/Men%20in%20Black/</t>
        </is>
      </c>
      <c r="R222" t="inlineStr">
        <is>
          <t>https://www.metacritic.com/search/Men+in+Black/</t>
        </is>
      </c>
    </row>
    <row r="223">
      <c r="A223" t="inlineStr">
        <is>
          <t>F0219</t>
        </is>
      </c>
      <c r="B223" t="inlineStr">
        <is>
          <t>Men in Black 3</t>
        </is>
      </c>
      <c r="C223" s="63" t="inlineStr">
        <is>
          <t>2012</t>
        </is>
      </c>
      <c r="E223" s="82" t="n"/>
      <c r="F223" s="85" t="n"/>
      <c r="G223" s="71" t="n"/>
      <c r="H223" s="71" t="n"/>
      <c r="I223" s="83" t="n"/>
      <c r="J223" s="71" t="n"/>
      <c r="K223" s="82" t="n"/>
      <c r="L223" s="82">
        <f>IF(COUNT(E223,G223,H223,I223,J223,K223)=0,"",ROUND((IF(E223="",0,E223*10)+IF(G223="",0,G223)+IF(H223="",0,H223)+IF(I223="",0,I223*20)+IF(J223="",0,J223)+IF(K223="",0,K223*10))/COUNT(E223,G223,H223,I223,J223,K223),1))</f>
        <v/>
      </c>
      <c r="M223">
        <f>IF(L223="","",IF(L223&gt;=85,"Excellent",IF(L223&gt;=70,"Good",IF(L223&gt;=55,"Mixed","Poor"))))</f>
        <v/>
      </c>
      <c r="N223" s="66" t="n"/>
      <c r="O223" t="inlineStr">
        <is>
          <t>https://www.imdb.com/find/?q=Men+in+Black+3+2012</t>
        </is>
      </c>
      <c r="P223" t="inlineStr">
        <is>
          <t>https://www.rottentomatoes.com/search?search=Men+in+Black+3</t>
        </is>
      </c>
      <c r="Q223" t="inlineStr">
        <is>
          <t>https://letterboxd.com/search/Men%20in%20Black%203/</t>
        </is>
      </c>
      <c r="R223" t="inlineStr">
        <is>
          <t>https://www.metacritic.com/search/Men+in+Black+3/</t>
        </is>
      </c>
    </row>
    <row r="224">
      <c r="A224" t="inlineStr">
        <is>
          <t>F0220</t>
        </is>
      </c>
      <c r="B224" t="inlineStr">
        <is>
          <t>Minions</t>
        </is>
      </c>
      <c r="C224" s="63" t="inlineStr">
        <is>
          <t>2015</t>
        </is>
      </c>
      <c r="E224" s="82" t="n"/>
      <c r="F224" s="85" t="n"/>
      <c r="G224" s="71" t="n"/>
      <c r="H224" s="71" t="n"/>
      <c r="I224" s="83" t="n"/>
      <c r="J224" s="71" t="n"/>
      <c r="K224" s="82" t="n"/>
      <c r="L224" s="82">
        <f>IF(COUNT(E224,G224,H224,I224,J224,K224)=0,"",ROUND((IF(E224="",0,E224*10)+IF(G224="",0,G224)+IF(H224="",0,H224)+IF(I224="",0,I224*20)+IF(J224="",0,J224)+IF(K224="",0,K224*10))/COUNT(E224,G224,H224,I224,J224,K224),1))</f>
        <v/>
      </c>
      <c r="M224">
        <f>IF(L224="","",IF(L224&gt;=85,"Excellent",IF(L224&gt;=70,"Good",IF(L224&gt;=55,"Mixed","Poor"))))</f>
        <v/>
      </c>
      <c r="N224" s="66" t="n"/>
      <c r="O224" t="inlineStr">
        <is>
          <t>https://www.imdb.com/find/?q=Minions+2015</t>
        </is>
      </c>
      <c r="P224" t="inlineStr">
        <is>
          <t>https://www.rottentomatoes.com/search?search=Minions</t>
        </is>
      </c>
      <c r="Q224" t="inlineStr">
        <is>
          <t>https://letterboxd.com/search/Minions/</t>
        </is>
      </c>
      <c r="R224" t="inlineStr">
        <is>
          <t>https://www.metacritic.com/search/Minions/</t>
        </is>
      </c>
    </row>
    <row r="225">
      <c r="A225" t="inlineStr">
        <is>
          <t>F0221</t>
        </is>
      </c>
      <c r="B225" t="inlineStr">
        <is>
          <t>Mission: Impossible</t>
        </is>
      </c>
      <c r="C225" s="63" t="inlineStr">
        <is>
          <t>1996</t>
        </is>
      </c>
      <c r="E225" s="82" t="n"/>
      <c r="F225" s="85" t="n"/>
      <c r="G225" s="71" t="n"/>
      <c r="H225" s="71" t="n"/>
      <c r="I225" s="83" t="n"/>
      <c r="J225" s="71" t="n"/>
      <c r="K225" s="82" t="n"/>
      <c r="L225" s="82">
        <f>IF(COUNT(E225,G225,H225,I225,J225,K225)=0,"",ROUND((IF(E225="",0,E225*10)+IF(G225="",0,G225)+IF(H225="",0,H225)+IF(I225="",0,I225*20)+IF(J225="",0,J225)+IF(K225="",0,K225*10))/COUNT(E225,G225,H225,I225,J225,K225),1))</f>
        <v/>
      </c>
      <c r="M225">
        <f>IF(L225="","",IF(L225&gt;=85,"Excellent",IF(L225&gt;=70,"Good",IF(L225&gt;=55,"Mixed","Poor"))))</f>
        <v/>
      </c>
      <c r="N225" s="66" t="n"/>
      <c r="O225" t="inlineStr">
        <is>
          <t>https://www.imdb.com/find/?q=Mission%3A+Impossible+1996</t>
        </is>
      </c>
      <c r="P225" t="inlineStr">
        <is>
          <t>https://www.rottentomatoes.com/search?search=Mission%3A+Impossible</t>
        </is>
      </c>
      <c r="Q225" t="inlineStr">
        <is>
          <t>https://letterboxd.com/search/Mission%3A%20Impossible/</t>
        </is>
      </c>
      <c r="R225" t="inlineStr">
        <is>
          <t>https://www.metacritic.com/search/Mission%3A+Impossible/</t>
        </is>
      </c>
    </row>
    <row r="226">
      <c r="A226" t="inlineStr">
        <is>
          <t>F0222</t>
        </is>
      </c>
      <c r="B226" t="inlineStr">
        <is>
          <t>Mission: Impossible II</t>
        </is>
      </c>
      <c r="C226" s="63" t="inlineStr">
        <is>
          <t>2000</t>
        </is>
      </c>
      <c r="E226" s="82" t="n"/>
      <c r="F226" s="85" t="n"/>
      <c r="G226" s="71" t="n"/>
      <c r="H226" s="71" t="n"/>
      <c r="I226" s="83" t="n"/>
      <c r="J226" s="71" t="n"/>
      <c r="K226" s="82" t="n"/>
      <c r="L226" s="82">
        <f>IF(COUNT(E226,G226,H226,I226,J226,K226)=0,"",ROUND((IF(E226="",0,E226*10)+IF(G226="",0,G226)+IF(H226="",0,H226)+IF(I226="",0,I226*20)+IF(J226="",0,J226)+IF(K226="",0,K226*10))/COUNT(E226,G226,H226,I226,J226,K226),1))</f>
        <v/>
      </c>
      <c r="M226">
        <f>IF(L226="","",IF(L226&gt;=85,"Excellent",IF(L226&gt;=70,"Good",IF(L226&gt;=55,"Mixed","Poor"))))</f>
        <v/>
      </c>
      <c r="N226" s="66" t="n"/>
      <c r="O226" t="inlineStr">
        <is>
          <t>https://www.imdb.com/find/?q=Mission%3A+Impossible+II+2000</t>
        </is>
      </c>
      <c r="P226" t="inlineStr">
        <is>
          <t>https://www.rottentomatoes.com/search?search=Mission%3A+Impossible+II</t>
        </is>
      </c>
      <c r="Q226" t="inlineStr">
        <is>
          <t>https://letterboxd.com/search/Mission%3A%20Impossible%20II/</t>
        </is>
      </c>
      <c r="R226" t="inlineStr">
        <is>
          <t>https://www.metacritic.com/search/Mission%3A+Impossible+II/</t>
        </is>
      </c>
    </row>
    <row r="227">
      <c r="A227" t="inlineStr">
        <is>
          <t>F0223</t>
        </is>
      </c>
      <c r="B227" t="inlineStr">
        <is>
          <t>Mission: Impossible III</t>
        </is>
      </c>
      <c r="C227" s="63" t="inlineStr">
        <is>
          <t>2006</t>
        </is>
      </c>
      <c r="E227" s="82" t="n"/>
      <c r="F227" s="85" t="n"/>
      <c r="G227" s="71" t="n"/>
      <c r="H227" s="71" t="n"/>
      <c r="I227" s="83" t="n"/>
      <c r="J227" s="71" t="n"/>
      <c r="K227" s="82" t="n"/>
      <c r="L227" s="82">
        <f>IF(COUNT(E227,G227,H227,I227,J227,K227)=0,"",ROUND((IF(E227="",0,E227*10)+IF(G227="",0,G227)+IF(H227="",0,H227)+IF(I227="",0,I227*20)+IF(J227="",0,J227)+IF(K227="",0,K227*10))/COUNT(E227,G227,H227,I227,J227,K227),1))</f>
        <v/>
      </c>
      <c r="M227">
        <f>IF(L227="","",IF(L227&gt;=85,"Excellent",IF(L227&gt;=70,"Good",IF(L227&gt;=55,"Mixed","Poor"))))</f>
        <v/>
      </c>
      <c r="N227" s="66" t="n"/>
      <c r="O227" t="inlineStr">
        <is>
          <t>https://www.imdb.com/find/?q=Mission%3A+Impossible+III+2006</t>
        </is>
      </c>
      <c r="P227" t="inlineStr">
        <is>
          <t>https://www.rottentomatoes.com/search?search=Mission%3A+Impossible+III</t>
        </is>
      </c>
      <c r="Q227" t="inlineStr">
        <is>
          <t>https://letterboxd.com/search/Mission%3A%20Impossible%20III/</t>
        </is>
      </c>
      <c r="R227" t="inlineStr">
        <is>
          <t>https://www.metacritic.com/search/Mission%3A+Impossible+III/</t>
        </is>
      </c>
    </row>
    <row r="228">
      <c r="A228" t="inlineStr">
        <is>
          <t>F0224</t>
        </is>
      </c>
      <c r="B228" t="inlineStr">
        <is>
          <t>Mission: Impossible - Ghost Protocol</t>
        </is>
      </c>
      <c r="C228" s="63" t="inlineStr">
        <is>
          <t>2011</t>
        </is>
      </c>
      <c r="E228" s="82" t="n"/>
      <c r="F228" s="85" t="n"/>
      <c r="G228" s="71" t="n"/>
      <c r="H228" s="71" t="n"/>
      <c r="I228" s="83" t="n"/>
      <c r="J228" s="71" t="n"/>
      <c r="K228" s="82" t="n"/>
      <c r="L228" s="82">
        <f>IF(COUNT(E228,G228,H228,I228,J228,K228)=0,"",ROUND((IF(E228="",0,E228*10)+IF(G228="",0,G228)+IF(H228="",0,H228)+IF(I228="",0,I228*20)+IF(J228="",0,J228)+IF(K228="",0,K228*10))/COUNT(E228,G228,H228,I228,J228,K228),1))</f>
        <v/>
      </c>
      <c r="M228">
        <f>IF(L228="","",IF(L228&gt;=85,"Excellent",IF(L228&gt;=70,"Good",IF(L228&gt;=55,"Mixed","Poor"))))</f>
        <v/>
      </c>
      <c r="N228" s="66" t="n"/>
      <c r="O228" t="inlineStr">
        <is>
          <t>https://www.imdb.com/find/?q=Mission%3A+Impossible+-+Ghost+Protocol+2011</t>
        </is>
      </c>
      <c r="P228" t="inlineStr">
        <is>
          <t>https://www.rottentomatoes.com/search?search=Mission%3A+Impossible+-+Ghost+Protocol</t>
        </is>
      </c>
      <c r="Q228" t="inlineStr">
        <is>
          <t>https://letterboxd.com/search/Mission%3A%20Impossible%20-%20Ghost%20Protocol/</t>
        </is>
      </c>
      <c r="R228" t="inlineStr">
        <is>
          <t>https://www.metacritic.com/search/Mission%3A+Impossible+-+Ghost+Protocol/</t>
        </is>
      </c>
    </row>
    <row r="229">
      <c r="A229" t="inlineStr">
        <is>
          <t>F0225</t>
        </is>
      </c>
      <c r="B229" t="inlineStr">
        <is>
          <t>Mission: Impossible - Rogue Nation</t>
        </is>
      </c>
      <c r="C229" s="63" t="inlineStr">
        <is>
          <t>2015</t>
        </is>
      </c>
      <c r="E229" s="82" t="n"/>
      <c r="F229" s="85" t="n"/>
      <c r="G229" s="71" t="n"/>
      <c r="H229" s="71" t="n"/>
      <c r="I229" s="83" t="n"/>
      <c r="J229" s="71" t="n"/>
      <c r="K229" s="82" t="n"/>
      <c r="L229" s="82">
        <f>IF(COUNT(E229,G229,H229,I229,J229,K229)=0,"",ROUND((IF(E229="",0,E229*10)+IF(G229="",0,G229)+IF(H229="",0,H229)+IF(I229="",0,I229*20)+IF(J229="",0,J229)+IF(K229="",0,K229*10))/COUNT(E229,G229,H229,I229,J229,K229),1))</f>
        <v/>
      </c>
      <c r="M229">
        <f>IF(L229="","",IF(L229&gt;=85,"Excellent",IF(L229&gt;=70,"Good",IF(L229&gt;=55,"Mixed","Poor"))))</f>
        <v/>
      </c>
      <c r="N229" s="66" t="n"/>
      <c r="O229" t="inlineStr">
        <is>
          <t>https://www.imdb.com/find/?q=Mission%3A+Impossible+-+Rogue+Nation+2015</t>
        </is>
      </c>
      <c r="P229" t="inlineStr">
        <is>
          <t>https://www.rottentomatoes.com/search?search=Mission%3A+Impossible+-+Rogue+Nation</t>
        </is>
      </c>
      <c r="Q229" t="inlineStr">
        <is>
          <t>https://letterboxd.com/search/Mission%3A%20Impossible%20-%20Rogue%20Nation/</t>
        </is>
      </c>
      <c r="R229" t="inlineStr">
        <is>
          <t>https://www.metacritic.com/search/Mission%3A+Impossible+-+Rogue+Nation/</t>
        </is>
      </c>
    </row>
    <row r="230">
      <c r="A230" t="inlineStr">
        <is>
          <t>F0226</t>
        </is>
      </c>
      <c r="B230" t="inlineStr">
        <is>
          <t>Mission: Impossible - Fallout</t>
        </is>
      </c>
      <c r="C230" s="63" t="inlineStr">
        <is>
          <t>2018</t>
        </is>
      </c>
      <c r="E230" s="82" t="n"/>
      <c r="F230" s="85" t="n"/>
      <c r="G230" s="71" t="n"/>
      <c r="H230" s="71" t="n"/>
      <c r="I230" s="83" t="n"/>
      <c r="J230" s="71" t="n"/>
      <c r="K230" s="82" t="n"/>
      <c r="L230" s="82">
        <f>IF(COUNT(E230,G230,H230,I230,J230,K230)=0,"",ROUND((IF(E230="",0,E230*10)+IF(G230="",0,G230)+IF(H230="",0,H230)+IF(I230="",0,I230*20)+IF(J230="",0,J230)+IF(K230="",0,K230*10))/COUNT(E230,G230,H230,I230,J230,K230),1))</f>
        <v/>
      </c>
      <c r="M230">
        <f>IF(L230="","",IF(L230&gt;=85,"Excellent",IF(L230&gt;=70,"Good",IF(L230&gt;=55,"Mixed","Poor"))))</f>
        <v/>
      </c>
      <c r="N230" s="66" t="n"/>
      <c r="O230" t="inlineStr">
        <is>
          <t>https://www.imdb.com/find/?q=Mission%3A+Impossible+-+Fallout+2018</t>
        </is>
      </c>
      <c r="P230" t="inlineStr">
        <is>
          <t>https://www.rottentomatoes.com/search?search=Mission%3A+Impossible+-+Fallout</t>
        </is>
      </c>
      <c r="Q230" t="inlineStr">
        <is>
          <t>https://letterboxd.com/search/Mission%3A%20Impossible%20-%20Fallout/</t>
        </is>
      </c>
      <c r="R230" t="inlineStr">
        <is>
          <t>https://www.metacritic.com/search/Mission%3A+Impossible+-+Fallout/</t>
        </is>
      </c>
    </row>
    <row r="231">
      <c r="A231" t="inlineStr">
        <is>
          <t>F0227</t>
        </is>
      </c>
      <c r="B231" t="inlineStr">
        <is>
          <t>Mission: Impossible - Dead Reckoning Part One</t>
        </is>
      </c>
      <c r="C231" s="63" t="inlineStr">
        <is>
          <t>2023</t>
        </is>
      </c>
      <c r="E231" s="82" t="n"/>
      <c r="F231" s="85" t="n"/>
      <c r="G231" s="71" t="n"/>
      <c r="H231" s="71" t="n"/>
      <c r="I231" s="83" t="n"/>
      <c r="J231" s="71" t="n"/>
      <c r="K231" s="82" t="n"/>
      <c r="L231" s="82">
        <f>IF(COUNT(E231,G231,H231,I231,J231,K231)=0,"",ROUND((IF(E231="",0,E231*10)+IF(G231="",0,G231)+IF(H231="",0,H231)+IF(I231="",0,I231*20)+IF(J231="",0,J231)+IF(K231="",0,K231*10))/COUNT(E231,G231,H231,I231,J231,K231),1))</f>
        <v/>
      </c>
      <c r="M231">
        <f>IF(L231="","",IF(L231&gt;=85,"Excellent",IF(L231&gt;=70,"Good",IF(L231&gt;=55,"Mixed","Poor"))))</f>
        <v/>
      </c>
      <c r="N231" s="66" t="n"/>
      <c r="O231" t="inlineStr">
        <is>
          <t>https://www.imdb.com/find/?q=Mission%3A+Impossible+-+Dead+Reckoning+Part+One+2023</t>
        </is>
      </c>
      <c r="P231" t="inlineStr">
        <is>
          <t>https://www.rottentomatoes.com/search?search=Mission%3A+Impossible+-+Dead+Reckoning+Part+One</t>
        </is>
      </c>
      <c r="Q231" t="inlineStr">
        <is>
          <t>https://letterboxd.com/search/Mission%3A%20Impossible%20-%20Dead%20Reckoning%20Part%20One/</t>
        </is>
      </c>
      <c r="R231" t="inlineStr">
        <is>
          <t>https://www.metacritic.com/search/Mission%3A+Impossible+-+Dead+Reckoning+Part+One/</t>
        </is>
      </c>
    </row>
    <row r="232">
      <c r="A232" t="inlineStr">
        <is>
          <t>F0228</t>
        </is>
      </c>
      <c r="B232" t="inlineStr">
        <is>
          <t>Mission: Impossible - The Final Reckoning</t>
        </is>
      </c>
      <c r="C232" s="63" t="inlineStr">
        <is>
          <t>2025</t>
        </is>
      </c>
      <c r="E232" s="82" t="n"/>
      <c r="F232" s="85" t="n"/>
      <c r="G232" s="71" t="n"/>
      <c r="H232" s="71" t="n"/>
      <c r="I232" s="83" t="n"/>
      <c r="J232" s="71" t="n"/>
      <c r="K232" s="82" t="n"/>
      <c r="L232" s="82">
        <f>IF(COUNT(E232,G232,H232,I232,J232,K232)=0,"",ROUND((IF(E232="",0,E232*10)+IF(G232="",0,G232)+IF(H232="",0,H232)+IF(I232="",0,I232*20)+IF(J232="",0,J232)+IF(K232="",0,K232*10))/COUNT(E232,G232,H232,I232,J232,K232),1))</f>
        <v/>
      </c>
      <c r="M232">
        <f>IF(L232="","",IF(L232&gt;=85,"Excellent",IF(L232&gt;=70,"Good",IF(L232&gt;=55,"Mixed","Poor"))))</f>
        <v/>
      </c>
      <c r="N232" s="66" t="n"/>
      <c r="O232" t="inlineStr">
        <is>
          <t>https://www.imdb.com/find/?q=Mission%3A+Impossible+-+The+Final+Reckoning+2025</t>
        </is>
      </c>
      <c r="P232" t="inlineStr">
        <is>
          <t>https://www.rottentomatoes.com/search?search=Mission%3A+Impossible+-+The+Final+Reckoning</t>
        </is>
      </c>
      <c r="Q232" t="inlineStr">
        <is>
          <t>https://letterboxd.com/search/Mission%3A%20Impossible%20-%20The%20Final%20Reckoning/</t>
        </is>
      </c>
      <c r="R232" t="inlineStr">
        <is>
          <t>https://www.metacritic.com/search/Mission%3A+Impossible+-+The+Final+Reckoning/</t>
        </is>
      </c>
    </row>
    <row r="233">
      <c r="A233" t="inlineStr">
        <is>
          <t>F0229</t>
        </is>
      </c>
      <c r="B233" t="inlineStr">
        <is>
          <t>Monsters, Inc.</t>
        </is>
      </c>
      <c r="C233" s="63" t="inlineStr">
        <is>
          <t>2001</t>
        </is>
      </c>
      <c r="E233" s="82" t="n"/>
      <c r="F233" s="85" t="n"/>
      <c r="G233" s="71" t="n"/>
      <c r="H233" s="71" t="n"/>
      <c r="I233" s="83" t="n"/>
      <c r="J233" s="71" t="n"/>
      <c r="K233" s="82" t="n"/>
      <c r="L233" s="82">
        <f>IF(COUNT(E233,G233,H233,I233,J233,K233)=0,"",ROUND((IF(E233="",0,E233*10)+IF(G233="",0,G233)+IF(H233="",0,H233)+IF(I233="",0,I233*20)+IF(J233="",0,J233)+IF(K233="",0,K233*10))/COUNT(E233,G233,H233,I233,J233,K233),1))</f>
        <v/>
      </c>
      <c r="M233">
        <f>IF(L233="","",IF(L233&gt;=85,"Excellent",IF(L233&gt;=70,"Good",IF(L233&gt;=55,"Mixed","Poor"))))</f>
        <v/>
      </c>
      <c r="N233" s="66" t="n"/>
      <c r="O233" t="inlineStr">
        <is>
          <t>https://www.imdb.com/find/?q=Monsters%2C+Inc.+2001</t>
        </is>
      </c>
      <c r="P233" t="inlineStr">
        <is>
          <t>https://www.rottentomatoes.com/search?search=Monsters%2C+Inc.</t>
        </is>
      </c>
      <c r="Q233" t="inlineStr">
        <is>
          <t>https://letterboxd.com/search/Monsters%2C%20Inc./</t>
        </is>
      </c>
      <c r="R233" t="inlineStr">
        <is>
          <t>https://www.metacritic.com/search/Monsters%2C+Inc./</t>
        </is>
      </c>
    </row>
    <row r="234">
      <c r="A234" t="inlineStr">
        <is>
          <t>F0230</t>
        </is>
      </c>
      <c r="B234" t="inlineStr">
        <is>
          <t>Monsters University</t>
        </is>
      </c>
      <c r="C234" s="63" t="inlineStr">
        <is>
          <t>2013</t>
        </is>
      </c>
      <c r="E234" s="82" t="n"/>
      <c r="F234" s="85" t="n"/>
      <c r="G234" s="71" t="n"/>
      <c r="H234" s="71" t="n"/>
      <c r="I234" s="83" t="n"/>
      <c r="J234" s="71" t="n"/>
      <c r="K234" s="82" t="n"/>
      <c r="L234" s="82">
        <f>IF(COUNT(E234,G234,H234,I234,J234,K234)=0,"",ROUND((IF(E234="",0,E234*10)+IF(G234="",0,G234)+IF(H234="",0,H234)+IF(I234="",0,I234*20)+IF(J234="",0,J234)+IF(K234="",0,K234*10))/COUNT(E234,G234,H234,I234,J234,K234),1))</f>
        <v/>
      </c>
      <c r="M234">
        <f>IF(L234="","",IF(L234&gt;=85,"Excellent",IF(L234&gt;=70,"Good",IF(L234&gt;=55,"Mixed","Poor"))))</f>
        <v/>
      </c>
      <c r="N234" s="66" t="n"/>
      <c r="O234" t="inlineStr">
        <is>
          <t>https://www.imdb.com/find/?q=Monsters+University+2013</t>
        </is>
      </c>
      <c r="P234" t="inlineStr">
        <is>
          <t>https://www.rottentomatoes.com/search?search=Monsters+University</t>
        </is>
      </c>
      <c r="Q234" t="inlineStr">
        <is>
          <t>https://letterboxd.com/search/Monsters%20University/</t>
        </is>
      </c>
      <c r="R234" t="inlineStr">
        <is>
          <t>https://www.metacritic.com/search/Monsters+University/</t>
        </is>
      </c>
    </row>
    <row r="235">
      <c r="A235" t="inlineStr">
        <is>
          <t>F0231</t>
        </is>
      </c>
      <c r="B235" t="inlineStr">
        <is>
          <t>Mr. &amp; Mrs. Smith</t>
        </is>
      </c>
      <c r="C235" s="63" t="inlineStr">
        <is>
          <t>2005</t>
        </is>
      </c>
      <c r="E235" s="82" t="n"/>
      <c r="F235" s="85" t="n"/>
      <c r="G235" s="71" t="n"/>
      <c r="H235" s="71" t="n"/>
      <c r="I235" s="83" t="n"/>
      <c r="J235" s="71" t="n"/>
      <c r="K235" s="82" t="n"/>
      <c r="L235" s="82">
        <f>IF(COUNT(E235,G235,H235,I235,J235,K235)=0,"",ROUND((IF(E235="",0,E235*10)+IF(G235="",0,G235)+IF(H235="",0,H235)+IF(I235="",0,I235*20)+IF(J235="",0,J235)+IF(K235="",0,K235*10))/COUNT(E235,G235,H235,I235,J235,K235),1))</f>
        <v/>
      </c>
      <c r="M235">
        <f>IF(L235="","",IF(L235&gt;=85,"Excellent",IF(L235&gt;=70,"Good",IF(L235&gt;=55,"Mixed","Poor"))))</f>
        <v/>
      </c>
      <c r="N235" s="66" t="n"/>
      <c r="O235" t="inlineStr">
        <is>
          <t>https://www.imdb.com/find/?q=Mr.+%26+Mrs.+Smith+2005</t>
        </is>
      </c>
      <c r="P235" t="inlineStr">
        <is>
          <t>https://www.rottentomatoes.com/search?search=Mr.+%26+Mrs.+Smith</t>
        </is>
      </c>
      <c r="Q235" t="inlineStr">
        <is>
          <t>https://letterboxd.com/search/Mr.%20%26%20Mrs.%20Smith/</t>
        </is>
      </c>
      <c r="R235" t="inlineStr">
        <is>
          <t>https://www.metacritic.com/search/Mr.+%26+Mrs.+Smith/</t>
        </is>
      </c>
    </row>
    <row r="236">
      <c r="A236" t="inlineStr">
        <is>
          <t>F0232</t>
        </is>
      </c>
      <c r="B236" t="inlineStr">
        <is>
          <t>Muppets Most Wanted</t>
        </is>
      </c>
      <c r="C236" s="63" t="inlineStr">
        <is>
          <t>2014</t>
        </is>
      </c>
      <c r="E236" s="82" t="n"/>
      <c r="F236" s="85" t="n"/>
      <c r="G236" s="71" t="n"/>
      <c r="H236" s="71" t="n"/>
      <c r="I236" s="83" t="n"/>
      <c r="J236" s="71" t="n"/>
      <c r="K236" s="82" t="n"/>
      <c r="L236" s="82">
        <f>IF(COUNT(E236,G236,H236,I236,J236,K236)=0,"",ROUND((IF(E236="",0,E236*10)+IF(G236="",0,G236)+IF(H236="",0,H236)+IF(I236="",0,I236*20)+IF(J236="",0,J236)+IF(K236="",0,K236*10))/COUNT(E236,G236,H236,I236,J236,K236),1))</f>
        <v/>
      </c>
      <c r="M236">
        <f>IF(L236="","",IF(L236&gt;=85,"Excellent",IF(L236&gt;=70,"Good",IF(L236&gt;=55,"Mixed","Poor"))))</f>
        <v/>
      </c>
      <c r="N236" s="66" t="n"/>
      <c r="O236" t="inlineStr">
        <is>
          <t>https://www.imdb.com/find/?q=Muppets+Most+Wanted+2014</t>
        </is>
      </c>
      <c r="P236" t="inlineStr">
        <is>
          <t>https://www.rottentomatoes.com/search?search=Muppets+Most+Wanted</t>
        </is>
      </c>
      <c r="Q236" t="inlineStr">
        <is>
          <t>https://letterboxd.com/search/Muppets%20Most%20Wanted/</t>
        </is>
      </c>
      <c r="R236" t="inlineStr">
        <is>
          <t>https://www.metacritic.com/search/Muppets+Most+Wanted/</t>
        </is>
      </c>
    </row>
    <row r="237">
      <c r="A237" t="inlineStr">
        <is>
          <t>F0233</t>
        </is>
      </c>
      <c r="B237" t="inlineStr">
        <is>
          <t>National Treasure: Book of Secrets</t>
        </is>
      </c>
      <c r="C237" s="63" t="inlineStr">
        <is>
          <t>2007</t>
        </is>
      </c>
      <c r="E237" s="82" t="n"/>
      <c r="F237" s="85" t="n"/>
      <c r="G237" s="71" t="n"/>
      <c r="H237" s="71" t="n"/>
      <c r="I237" s="83" t="n"/>
      <c r="J237" s="71" t="n"/>
      <c r="K237" s="82" t="n"/>
      <c r="L237" s="82">
        <f>IF(COUNT(E237,G237,H237,I237,J237,K237)=0,"",ROUND((IF(E237="",0,E237*10)+IF(G237="",0,G237)+IF(H237="",0,H237)+IF(I237="",0,I237*20)+IF(J237="",0,J237)+IF(K237="",0,K237*10))/COUNT(E237,G237,H237,I237,J237,K237),1))</f>
        <v/>
      </c>
      <c r="M237">
        <f>IF(L237="","",IF(L237&gt;=85,"Excellent",IF(L237&gt;=70,"Good",IF(L237&gt;=55,"Mixed","Poor"))))</f>
        <v/>
      </c>
      <c r="N237" s="66" t="n"/>
      <c r="O237" t="inlineStr">
        <is>
          <t>https://www.imdb.com/find/?q=National+Treasure%3A+Book+of+Secrets+2007</t>
        </is>
      </c>
      <c r="P237" t="inlineStr">
        <is>
          <t>https://www.rottentomatoes.com/search?search=National+Treasure%3A+Book+of+Secrets</t>
        </is>
      </c>
      <c r="Q237" t="inlineStr">
        <is>
          <t>https://letterboxd.com/search/National%20Treasure%3A%20Book%20of%20Secrets/</t>
        </is>
      </c>
      <c r="R237" t="inlineStr">
        <is>
          <t>https://www.metacritic.com/search/National+Treasure%3A+Book+of+Secrets/</t>
        </is>
      </c>
    </row>
    <row r="238">
      <c r="A238" t="inlineStr">
        <is>
          <t>F0234</t>
        </is>
      </c>
      <c r="B238" t="inlineStr">
        <is>
          <t>Need for Speed</t>
        </is>
      </c>
      <c r="C238" s="63" t="inlineStr">
        <is>
          <t>2014</t>
        </is>
      </c>
      <c r="E238" s="82" t="n"/>
      <c r="F238" s="85" t="n"/>
      <c r="G238" s="71" t="n"/>
      <c r="H238" s="71" t="n"/>
      <c r="I238" s="83" t="n"/>
      <c r="J238" s="71" t="n"/>
      <c r="K238" s="82" t="n"/>
      <c r="L238" s="82">
        <f>IF(COUNT(E238,G238,H238,I238,J238,K238)=0,"",ROUND((IF(E238="",0,E238*10)+IF(G238="",0,G238)+IF(H238="",0,H238)+IF(I238="",0,I238*20)+IF(J238="",0,J238)+IF(K238="",0,K238*10))/COUNT(E238,G238,H238,I238,J238,K238),1))</f>
        <v/>
      </c>
      <c r="M238">
        <f>IF(L238="","",IF(L238&gt;=85,"Excellent",IF(L238&gt;=70,"Good",IF(L238&gt;=55,"Mixed","Poor"))))</f>
        <v/>
      </c>
      <c r="N238" s="66" t="n"/>
      <c r="O238" t="inlineStr">
        <is>
          <t>https://www.imdb.com/find/?q=Need+for+Speed+2014</t>
        </is>
      </c>
      <c r="P238" t="inlineStr">
        <is>
          <t>https://www.rottentomatoes.com/search?search=Need+for+Speed</t>
        </is>
      </c>
      <c r="Q238" t="inlineStr">
        <is>
          <t>https://letterboxd.com/search/Need%20for%20Speed/</t>
        </is>
      </c>
      <c r="R238" t="inlineStr">
        <is>
          <t>https://www.metacritic.com/search/Need+for+Speed/</t>
        </is>
      </c>
    </row>
    <row r="239">
      <c r="A239" t="inlineStr">
        <is>
          <t>F0235</t>
        </is>
      </c>
      <c r="B239" t="inlineStr">
        <is>
          <t>The Nice Guys</t>
        </is>
      </c>
      <c r="C239" s="63" t="inlineStr">
        <is>
          <t>2016</t>
        </is>
      </c>
      <c r="E239" s="82" t="n"/>
      <c r="F239" s="85" t="n"/>
      <c r="G239" s="71" t="n"/>
      <c r="H239" s="71" t="n"/>
      <c r="I239" s="83" t="n"/>
      <c r="J239" s="71" t="n"/>
      <c r="K239" s="82" t="n"/>
      <c r="L239" s="82">
        <f>IF(COUNT(E239,G239,H239,I239,J239,K239)=0,"",ROUND((IF(E239="",0,E239*10)+IF(G239="",0,G239)+IF(H239="",0,H239)+IF(I239="",0,I239*20)+IF(J239="",0,J239)+IF(K239="",0,K239*10))/COUNT(E239,G239,H239,I239,J239,K239),1))</f>
        <v/>
      </c>
      <c r="M239">
        <f>IF(L239="","",IF(L239&gt;=85,"Excellent",IF(L239&gt;=70,"Good",IF(L239&gt;=55,"Mixed","Poor"))))</f>
        <v/>
      </c>
      <c r="N239" s="66" t="n"/>
      <c r="O239" t="inlineStr">
        <is>
          <t>https://www.imdb.com/find/?q=The+Nice+Guys+2016</t>
        </is>
      </c>
      <c r="P239" t="inlineStr">
        <is>
          <t>https://www.rottentomatoes.com/search?search=The+Nice+Guys</t>
        </is>
      </c>
      <c r="Q239" t="inlineStr">
        <is>
          <t>https://letterboxd.com/search/The%20Nice%20Guys/</t>
        </is>
      </c>
      <c r="R239" t="inlineStr">
        <is>
          <t>https://www.metacritic.com/search/The+Nice+Guys/</t>
        </is>
      </c>
    </row>
    <row r="240">
      <c r="A240" t="inlineStr">
        <is>
          <t>F0236</t>
        </is>
      </c>
      <c r="B240" t="inlineStr">
        <is>
          <t>Night at the Museum: Battle of the Smithsonian</t>
        </is>
      </c>
      <c r="C240" s="63" t="inlineStr">
        <is>
          <t>2009</t>
        </is>
      </c>
      <c r="E240" s="82" t="n"/>
      <c r="F240" s="85" t="n"/>
      <c r="G240" s="71" t="n"/>
      <c r="H240" s="71" t="n"/>
      <c r="I240" s="83" t="n"/>
      <c r="J240" s="71" t="n"/>
      <c r="K240" s="82" t="n"/>
      <c r="L240" s="82">
        <f>IF(COUNT(E240,G240,H240,I240,J240,K240)=0,"",ROUND((IF(E240="",0,E240*10)+IF(G240="",0,G240)+IF(H240="",0,H240)+IF(I240="",0,I240*20)+IF(J240="",0,J240)+IF(K240="",0,K240*10))/COUNT(E240,G240,H240,I240,J240,K240),1))</f>
        <v/>
      </c>
      <c r="M240">
        <f>IF(L240="","",IF(L240&gt;=85,"Excellent",IF(L240&gt;=70,"Good",IF(L240&gt;=55,"Mixed","Poor"))))</f>
        <v/>
      </c>
      <c r="N240" s="66" t="n"/>
      <c r="O240" t="inlineStr">
        <is>
          <t>https://www.imdb.com/find/?q=Night+at+the+Museum%3A+Battle+of+the+Smithsonian+2009</t>
        </is>
      </c>
      <c r="P240" t="inlineStr">
        <is>
          <t>https://www.rottentomatoes.com/search?search=Night+at+the+Museum%3A+Battle+of+the+Smithsonian</t>
        </is>
      </c>
      <c r="Q240" t="inlineStr">
        <is>
          <t>https://letterboxd.com/search/Night%20at%20the%20Museum%3A%20Battle%20of%20the%20Smithsonian/</t>
        </is>
      </c>
      <c r="R240" t="inlineStr">
        <is>
          <t>https://www.metacritic.com/search/Night+at+the+Museum%3A+Battle+of+the+Smithsonian/</t>
        </is>
      </c>
    </row>
    <row r="241">
      <c r="A241" t="inlineStr">
        <is>
          <t>F0237</t>
        </is>
      </c>
      <c r="B241" t="inlineStr">
        <is>
          <t>The Notebook</t>
        </is>
      </c>
      <c r="C241" s="63" t="inlineStr">
        <is>
          <t>2004</t>
        </is>
      </c>
      <c r="E241" s="82" t="n"/>
      <c r="F241" s="85" t="n"/>
      <c r="G241" s="71" t="n"/>
      <c r="H241" s="71" t="n"/>
      <c r="I241" s="83" t="n"/>
      <c r="J241" s="71" t="n"/>
      <c r="K241" s="82" t="n"/>
      <c r="L241" s="82">
        <f>IF(COUNT(E241,G241,H241,I241,J241,K241)=0,"",ROUND((IF(E241="",0,E241*10)+IF(G241="",0,G241)+IF(H241="",0,H241)+IF(I241="",0,I241*20)+IF(J241="",0,J241)+IF(K241="",0,K241*10))/COUNT(E241,G241,H241,I241,J241,K241),1))</f>
        <v/>
      </c>
      <c r="M241">
        <f>IF(L241="","",IF(L241&gt;=85,"Excellent",IF(L241&gt;=70,"Good",IF(L241&gt;=55,"Mixed","Poor"))))</f>
        <v/>
      </c>
      <c r="N241" s="66" t="n"/>
      <c r="O241" t="inlineStr">
        <is>
          <t>https://www.imdb.com/find/?q=The+Notebook+2004</t>
        </is>
      </c>
      <c r="P241" t="inlineStr">
        <is>
          <t>https://www.rottentomatoes.com/search?search=The+Notebook</t>
        </is>
      </c>
      <c r="Q241" t="inlineStr">
        <is>
          <t>https://letterboxd.com/search/The%20Notebook/</t>
        </is>
      </c>
      <c r="R241" t="inlineStr">
        <is>
          <t>https://www.metacritic.com/search/The+Notebook/</t>
        </is>
      </c>
    </row>
    <row r="242">
      <c r="A242" t="inlineStr">
        <is>
          <t>F0238</t>
        </is>
      </c>
      <c r="B242" t="inlineStr">
        <is>
          <t>Noah</t>
        </is>
      </c>
      <c r="C242" s="63" t="inlineStr">
        <is>
          <t>2014</t>
        </is>
      </c>
      <c r="E242" s="82" t="n"/>
      <c r="F242" s="85" t="n"/>
      <c r="G242" s="71" t="n"/>
      <c r="H242" s="71" t="n"/>
      <c r="I242" s="83" t="n"/>
      <c r="J242" s="71" t="n"/>
      <c r="K242" s="82" t="n"/>
      <c r="L242" s="82">
        <f>IF(COUNT(E242,G242,H242,I242,J242,K242)=0,"",ROUND((IF(E242="",0,E242*10)+IF(G242="",0,G242)+IF(H242="",0,H242)+IF(I242="",0,I242*20)+IF(J242="",0,J242)+IF(K242="",0,K242*10))/COUNT(E242,G242,H242,I242,J242,K242),1))</f>
        <v/>
      </c>
      <c r="M242">
        <f>IF(L242="","",IF(L242&gt;=85,"Excellent",IF(L242&gt;=70,"Good",IF(L242&gt;=55,"Mixed","Poor"))))</f>
        <v/>
      </c>
      <c r="N242" s="66" t="n"/>
      <c r="O242" t="inlineStr">
        <is>
          <t>https://www.imdb.com/find/?q=Noah+2014</t>
        </is>
      </c>
      <c r="P242" t="inlineStr">
        <is>
          <t>https://www.rottentomatoes.com/search?search=Noah</t>
        </is>
      </c>
      <c r="Q242" t="inlineStr">
        <is>
          <t>https://letterboxd.com/search/Noah/</t>
        </is>
      </c>
      <c r="R242" t="inlineStr">
        <is>
          <t>https://www.metacritic.com/search/Noah/</t>
        </is>
      </c>
    </row>
    <row r="243">
      <c r="A243" t="inlineStr">
        <is>
          <t>F0239</t>
        </is>
      </c>
      <c r="B243" t="inlineStr">
        <is>
          <t>Oblivion</t>
        </is>
      </c>
      <c r="C243" s="63" t="inlineStr">
        <is>
          <t>2013</t>
        </is>
      </c>
      <c r="E243" s="82" t="n"/>
      <c r="F243" s="85" t="n"/>
      <c r="G243" s="71" t="n"/>
      <c r="H243" s="71" t="n"/>
      <c r="I243" s="83" t="n"/>
      <c r="J243" s="71" t="n"/>
      <c r="K243" s="82" t="n"/>
      <c r="L243" s="82">
        <f>IF(COUNT(E243,G243,H243,I243,J243,K243)=0,"",ROUND((IF(E243="",0,E243*10)+IF(G243="",0,G243)+IF(H243="",0,H243)+IF(I243="",0,I243*20)+IF(J243="",0,J243)+IF(K243="",0,K243*10))/COUNT(E243,G243,H243,I243,J243,K243),1))</f>
        <v/>
      </c>
      <c r="M243">
        <f>IF(L243="","",IF(L243&gt;=85,"Excellent",IF(L243&gt;=70,"Good",IF(L243&gt;=55,"Mixed","Poor"))))</f>
        <v/>
      </c>
      <c r="N243" s="66" t="n"/>
      <c r="O243" t="inlineStr">
        <is>
          <t>https://www.imdb.com/find/?q=Oblivion+2013</t>
        </is>
      </c>
      <c r="P243" t="inlineStr">
        <is>
          <t>https://www.rottentomatoes.com/search?search=Oblivion</t>
        </is>
      </c>
      <c r="Q243" t="inlineStr">
        <is>
          <t>https://letterboxd.com/search/Oblivion/</t>
        </is>
      </c>
      <c r="R243" t="inlineStr">
        <is>
          <t>https://www.metacritic.com/search/Oblivion/</t>
        </is>
      </c>
    </row>
    <row r="244">
      <c r="A244" t="inlineStr">
        <is>
          <t>F0240</t>
        </is>
      </c>
      <c r="B244" t="inlineStr">
        <is>
          <t>Olympus Has Fallen</t>
        </is>
      </c>
      <c r="C244" s="63" t="inlineStr">
        <is>
          <t>2013</t>
        </is>
      </c>
      <c r="E244" s="82" t="n"/>
      <c r="F244" s="85" t="n"/>
      <c r="G244" s="71" t="n"/>
      <c r="H244" s="71" t="n"/>
      <c r="I244" s="83" t="n"/>
      <c r="J244" s="71" t="n"/>
      <c r="K244" s="82" t="n"/>
      <c r="L244" s="82">
        <f>IF(COUNT(E244,G244,H244,I244,J244,K244)=0,"",ROUND((IF(E244="",0,E244*10)+IF(G244="",0,G244)+IF(H244="",0,H244)+IF(I244="",0,I244*20)+IF(J244="",0,J244)+IF(K244="",0,K244*10))/COUNT(E244,G244,H244,I244,J244,K244),1))</f>
        <v/>
      </c>
      <c r="M244">
        <f>IF(L244="","",IF(L244&gt;=85,"Excellent",IF(L244&gt;=70,"Good",IF(L244&gt;=55,"Mixed","Poor"))))</f>
        <v/>
      </c>
      <c r="N244" s="66" t="n"/>
      <c r="O244" t="inlineStr">
        <is>
          <t>https://www.imdb.com/find/?q=Olympus+Has+Fallen+2013</t>
        </is>
      </c>
      <c r="P244" t="inlineStr">
        <is>
          <t>https://www.rottentomatoes.com/search?search=Olympus+Has+Fallen</t>
        </is>
      </c>
      <c r="Q244" t="inlineStr">
        <is>
          <t>https://letterboxd.com/search/Olympus%20Has%20Fallen/</t>
        </is>
      </c>
      <c r="R244" t="inlineStr">
        <is>
          <t>https://www.metacritic.com/search/Olympus+Has+Fallen/</t>
        </is>
      </c>
    </row>
    <row r="245">
      <c r="A245" t="inlineStr">
        <is>
          <t>F0241</t>
        </is>
      </c>
      <c r="B245" t="inlineStr">
        <is>
          <t>Once Upon a Time… in Hollywood</t>
        </is>
      </c>
      <c r="C245" s="63" t="inlineStr">
        <is>
          <t>2019</t>
        </is>
      </c>
      <c r="E245" s="82" t="n"/>
      <c r="F245" s="85" t="n"/>
      <c r="G245" s="71" t="n"/>
      <c r="H245" s="71" t="n"/>
      <c r="I245" s="83" t="n"/>
      <c r="J245" s="71" t="n"/>
      <c r="K245" s="82" t="n"/>
      <c r="L245" s="82">
        <f>IF(COUNT(E245,G245,H245,I245,J245,K245)=0,"",ROUND((IF(E245="",0,E245*10)+IF(G245="",0,G245)+IF(H245="",0,H245)+IF(I245="",0,I245*20)+IF(J245="",0,J245)+IF(K245="",0,K245*10))/COUNT(E245,G245,H245,I245,J245,K245),1))</f>
        <v/>
      </c>
      <c r="M245">
        <f>IF(L245="","",IF(L245&gt;=85,"Excellent",IF(L245&gt;=70,"Good",IF(L245&gt;=55,"Mixed","Poor"))))</f>
        <v/>
      </c>
      <c r="N245" s="66" t="n"/>
      <c r="O245" t="inlineStr">
        <is>
          <t>https://www.imdb.com/find/?q=Once+Upon+a+Time%E2%80%A6+in+Hollywood+2019</t>
        </is>
      </c>
      <c r="P245" t="inlineStr">
        <is>
          <t>https://www.rottentomatoes.com/search?search=Once+Upon+a+Time%E2%80%A6+in+Hollywood</t>
        </is>
      </c>
      <c r="Q245" t="inlineStr">
        <is>
          <t>https://letterboxd.com/search/Once%20Upon%20a%20Time%E2%80%A6%20in%20Hollywood/</t>
        </is>
      </c>
      <c r="R245" t="inlineStr">
        <is>
          <t>https://www.metacritic.com/search/Once+Upon+a+Time%E2%80%A6+in+Hollywood/</t>
        </is>
      </c>
    </row>
    <row r="246">
      <c r="A246" t="inlineStr">
        <is>
          <t>F0242</t>
        </is>
      </c>
      <c r="B246" t="inlineStr">
        <is>
          <t>Oppenheimer</t>
        </is>
      </c>
      <c r="C246" s="63" t="inlineStr">
        <is>
          <t>2023</t>
        </is>
      </c>
      <c r="E246" s="82" t="n"/>
      <c r="F246" s="85" t="n"/>
      <c r="G246" s="71" t="n"/>
      <c r="H246" s="71" t="n"/>
      <c r="I246" s="83" t="n"/>
      <c r="J246" s="71" t="n"/>
      <c r="K246" s="82" t="n"/>
      <c r="L246" s="82">
        <f>IF(COUNT(E246,G246,H246,I246,J246,K246)=0,"",ROUND((IF(E246="",0,E246*10)+IF(G246="",0,G246)+IF(H246="",0,H246)+IF(I246="",0,I246*20)+IF(J246="",0,J246)+IF(K246="",0,K246*10))/COUNT(E246,G246,H246,I246,J246,K246),1))</f>
        <v/>
      </c>
      <c r="M246">
        <f>IF(L246="","",IF(L246&gt;=85,"Excellent",IF(L246&gt;=70,"Good",IF(L246&gt;=55,"Mixed","Poor"))))</f>
        <v/>
      </c>
      <c r="N246" s="66" t="n"/>
      <c r="O246" t="inlineStr">
        <is>
          <t>https://www.imdb.com/find/?q=Oppenheimer+2023</t>
        </is>
      </c>
      <c r="P246" t="inlineStr">
        <is>
          <t>https://www.rottentomatoes.com/search?search=Oppenheimer</t>
        </is>
      </c>
      <c r="Q246" t="inlineStr">
        <is>
          <t>https://letterboxd.com/search/Oppenheimer/</t>
        </is>
      </c>
      <c r="R246" t="inlineStr">
        <is>
          <t>https://www.metacritic.com/search/Oppenheimer/</t>
        </is>
      </c>
    </row>
    <row r="247">
      <c r="A247" t="inlineStr">
        <is>
          <t>F0243</t>
        </is>
      </c>
      <c r="B247" t="inlineStr">
        <is>
          <t>Pacific Rim</t>
        </is>
      </c>
      <c r="C247" s="63" t="inlineStr">
        <is>
          <t>2013</t>
        </is>
      </c>
      <c r="E247" s="82" t="n"/>
      <c r="F247" s="85" t="n"/>
      <c r="G247" s="71" t="n"/>
      <c r="H247" s="71" t="n"/>
      <c r="I247" s="83" t="n"/>
      <c r="J247" s="71" t="n"/>
      <c r="K247" s="82" t="n"/>
      <c r="L247" s="82">
        <f>IF(COUNT(E247,G247,H247,I247,J247,K247)=0,"",ROUND((IF(E247="",0,E247*10)+IF(G247="",0,G247)+IF(H247="",0,H247)+IF(I247="",0,I247*20)+IF(J247="",0,J247)+IF(K247="",0,K247*10))/COUNT(E247,G247,H247,I247,J247,K247),1))</f>
        <v/>
      </c>
      <c r="M247">
        <f>IF(L247="","",IF(L247&gt;=85,"Excellent",IF(L247&gt;=70,"Good",IF(L247&gt;=55,"Mixed","Poor"))))</f>
        <v/>
      </c>
      <c r="N247" s="66" t="n"/>
      <c r="O247" t="inlineStr">
        <is>
          <t>https://www.imdb.com/find/?q=Pacific+Rim+2013</t>
        </is>
      </c>
      <c r="P247" t="inlineStr">
        <is>
          <t>https://www.rottentomatoes.com/search?search=Pacific+Rim</t>
        </is>
      </c>
      <c r="Q247" t="inlineStr">
        <is>
          <t>https://letterboxd.com/search/Pacific%20Rim/</t>
        </is>
      </c>
      <c r="R247" t="inlineStr">
        <is>
          <t>https://www.metacritic.com/search/Pacific+Rim/</t>
        </is>
      </c>
    </row>
    <row r="248">
      <c r="A248" t="inlineStr">
        <is>
          <t>F0244</t>
        </is>
      </c>
      <c r="B248" t="inlineStr">
        <is>
          <t>Paddington</t>
        </is>
      </c>
      <c r="C248" s="63" t="inlineStr">
        <is>
          <t>2014</t>
        </is>
      </c>
      <c r="E248" s="82" t="n"/>
      <c r="F248" s="85" t="n"/>
      <c r="G248" s="71" t="n"/>
      <c r="H248" s="71" t="n"/>
      <c r="I248" s="83" t="n"/>
      <c r="J248" s="71" t="n"/>
      <c r="K248" s="82" t="n"/>
      <c r="L248" s="82">
        <f>IF(COUNT(E248,G248,H248,I248,J248,K248)=0,"",ROUND((IF(E248="",0,E248*10)+IF(G248="",0,G248)+IF(H248="",0,H248)+IF(I248="",0,I248*20)+IF(J248="",0,J248)+IF(K248="",0,K248*10))/COUNT(E248,G248,H248,I248,J248,K248),1))</f>
        <v/>
      </c>
      <c r="M248">
        <f>IF(L248="","",IF(L248&gt;=85,"Excellent",IF(L248&gt;=70,"Good",IF(L248&gt;=55,"Mixed","Poor"))))</f>
        <v/>
      </c>
      <c r="N248" s="66" t="n"/>
      <c r="O248" t="inlineStr">
        <is>
          <t>https://www.imdb.com/find/?q=Paddington+2014</t>
        </is>
      </c>
      <c r="P248" t="inlineStr">
        <is>
          <t>https://www.rottentomatoes.com/search?search=Paddington</t>
        </is>
      </c>
      <c r="Q248" t="inlineStr">
        <is>
          <t>https://letterboxd.com/search/Paddington/</t>
        </is>
      </c>
      <c r="R248" t="inlineStr">
        <is>
          <t>https://www.metacritic.com/search/Paddington/</t>
        </is>
      </c>
    </row>
    <row r="249">
      <c r="A249" t="inlineStr">
        <is>
          <t>F0245</t>
        </is>
      </c>
      <c r="B249" t="inlineStr">
        <is>
          <t>Paul</t>
        </is>
      </c>
      <c r="C249" s="63" t="inlineStr">
        <is>
          <t>2011</t>
        </is>
      </c>
      <c r="E249" s="82" t="n"/>
      <c r="F249" s="85" t="n"/>
      <c r="G249" s="71" t="n"/>
      <c r="H249" s="71" t="n"/>
      <c r="I249" s="83" t="n"/>
      <c r="J249" s="71" t="n"/>
      <c r="K249" s="82" t="n"/>
      <c r="L249" s="82">
        <f>IF(COUNT(E249,G249,H249,I249,J249,K249)=0,"",ROUND((IF(E249="",0,E249*10)+IF(G249="",0,G249)+IF(H249="",0,H249)+IF(I249="",0,I249*20)+IF(J249="",0,J249)+IF(K249="",0,K249*10))/COUNT(E249,G249,H249,I249,J249,K249),1))</f>
        <v/>
      </c>
      <c r="M249">
        <f>IF(L249="","",IF(L249&gt;=85,"Excellent",IF(L249&gt;=70,"Good",IF(L249&gt;=55,"Mixed","Poor"))))</f>
        <v/>
      </c>
      <c r="N249" s="66" t="n"/>
      <c r="O249" t="inlineStr">
        <is>
          <t>https://www.imdb.com/find/?q=Paul+2011</t>
        </is>
      </c>
      <c r="P249" t="inlineStr">
        <is>
          <t>https://www.rottentomatoes.com/search?search=Paul</t>
        </is>
      </c>
      <c r="Q249" t="inlineStr">
        <is>
          <t>https://letterboxd.com/search/Paul/</t>
        </is>
      </c>
      <c r="R249" t="inlineStr">
        <is>
          <t>https://www.metacritic.com/search/Paul/</t>
        </is>
      </c>
    </row>
    <row r="250">
      <c r="A250" t="inlineStr">
        <is>
          <t>F0246</t>
        </is>
      </c>
      <c r="B250" t="inlineStr">
        <is>
          <t>Pearl Harbor</t>
        </is>
      </c>
      <c r="C250" s="63" t="inlineStr">
        <is>
          <t>2001</t>
        </is>
      </c>
      <c r="E250" s="82" t="n"/>
      <c r="F250" s="85" t="n"/>
      <c r="G250" s="71" t="n"/>
      <c r="H250" s="71" t="n"/>
      <c r="I250" s="83" t="n"/>
      <c r="J250" s="71" t="n"/>
      <c r="K250" s="82" t="n"/>
      <c r="L250" s="82">
        <f>IF(COUNT(E250,G250,H250,I250,J250,K250)=0,"",ROUND((IF(E250="",0,E250*10)+IF(G250="",0,G250)+IF(H250="",0,H250)+IF(I250="",0,I250*20)+IF(J250="",0,J250)+IF(K250="",0,K250*10))/COUNT(E250,G250,H250,I250,J250,K250),1))</f>
        <v/>
      </c>
      <c r="M250">
        <f>IF(L250="","",IF(L250&gt;=85,"Excellent",IF(L250&gt;=70,"Good",IF(L250&gt;=55,"Mixed","Poor"))))</f>
        <v/>
      </c>
      <c r="N250" s="66" t="n"/>
      <c r="O250" t="inlineStr">
        <is>
          <t>https://www.imdb.com/find/?q=Pearl+Harbor+2001</t>
        </is>
      </c>
      <c r="P250" t="inlineStr">
        <is>
          <t>https://www.rottentomatoes.com/search?search=Pearl+Harbor</t>
        </is>
      </c>
      <c r="Q250" t="inlineStr">
        <is>
          <t>https://letterboxd.com/search/Pearl%20Harbor/</t>
        </is>
      </c>
      <c r="R250" t="inlineStr">
        <is>
          <t>https://www.metacritic.com/search/Pearl+Harbor/</t>
        </is>
      </c>
    </row>
    <row r="251">
      <c r="A251" t="inlineStr">
        <is>
          <t>F0247</t>
        </is>
      </c>
      <c r="B251" t="inlineStr">
        <is>
          <t>Pineapple Express</t>
        </is>
      </c>
      <c r="C251" s="63" t="inlineStr">
        <is>
          <t>2008</t>
        </is>
      </c>
      <c r="E251" s="82" t="n"/>
      <c r="F251" s="85" t="n"/>
      <c r="G251" s="71" t="n"/>
      <c r="H251" s="71" t="n"/>
      <c r="I251" s="83" t="n"/>
      <c r="J251" s="71" t="n"/>
      <c r="K251" s="82" t="n"/>
      <c r="L251" s="82">
        <f>IF(COUNT(E251,G251,H251,I251,J251,K251)=0,"",ROUND((IF(E251="",0,E251*10)+IF(G251="",0,G251)+IF(H251="",0,H251)+IF(I251="",0,I251*20)+IF(J251="",0,J251)+IF(K251="",0,K251*10))/COUNT(E251,G251,H251,I251,J251,K251),1))</f>
        <v/>
      </c>
      <c r="M251">
        <f>IF(L251="","",IF(L251&gt;=85,"Excellent",IF(L251&gt;=70,"Good",IF(L251&gt;=55,"Mixed","Poor"))))</f>
        <v/>
      </c>
      <c r="N251" s="66" t="n"/>
      <c r="O251" t="inlineStr">
        <is>
          <t>https://www.imdb.com/find/?q=Pineapple+Express+2008</t>
        </is>
      </c>
      <c r="P251" t="inlineStr">
        <is>
          <t>https://www.rottentomatoes.com/search?search=Pineapple+Express</t>
        </is>
      </c>
      <c r="Q251" t="inlineStr">
        <is>
          <t>https://letterboxd.com/search/Pineapple%20Express/</t>
        </is>
      </c>
      <c r="R251" t="inlineStr">
        <is>
          <t>https://www.metacritic.com/search/Pineapple+Express/</t>
        </is>
      </c>
    </row>
    <row r="252">
      <c r="A252" t="inlineStr">
        <is>
          <t>F0248</t>
        </is>
      </c>
      <c r="B252" t="inlineStr">
        <is>
          <t>Pinocchio</t>
        </is>
      </c>
      <c r="C252" s="63" t="inlineStr">
        <is>
          <t>1940</t>
        </is>
      </c>
      <c r="E252" s="82" t="n"/>
      <c r="F252" s="85" t="n"/>
      <c r="G252" s="71" t="n"/>
      <c r="H252" s="71" t="n"/>
      <c r="I252" s="83" t="n"/>
      <c r="J252" s="71" t="n"/>
      <c r="K252" s="82" t="n"/>
      <c r="L252" s="82">
        <f>IF(COUNT(E252,G252,H252,I252,J252,K252)=0,"",ROUND((IF(E252="",0,E252*10)+IF(G252="",0,G252)+IF(H252="",0,H252)+IF(I252="",0,I252*20)+IF(J252="",0,J252)+IF(K252="",0,K252*10))/COUNT(E252,G252,H252,I252,J252,K252),1))</f>
        <v/>
      </c>
      <c r="M252">
        <f>IF(L252="","",IF(L252&gt;=85,"Excellent",IF(L252&gt;=70,"Good",IF(L252&gt;=55,"Mixed","Poor"))))</f>
        <v/>
      </c>
      <c r="N252" s="66" t="n"/>
      <c r="O252" t="inlineStr">
        <is>
          <t>https://www.imdb.com/find/?q=Pinocchio+1940</t>
        </is>
      </c>
      <c r="P252" t="inlineStr">
        <is>
          <t>https://www.rottentomatoes.com/search?search=Pinocchio</t>
        </is>
      </c>
      <c r="Q252" t="inlineStr">
        <is>
          <t>https://letterboxd.com/search/Pinocchio/</t>
        </is>
      </c>
      <c r="R252" t="inlineStr">
        <is>
          <t>https://www.metacritic.com/search/Pinocchio/</t>
        </is>
      </c>
    </row>
    <row r="253">
      <c r="A253" t="inlineStr">
        <is>
          <t>F0249</t>
        </is>
      </c>
      <c r="B253" t="inlineStr">
        <is>
          <t>Pirates of the Caribbean: On Stranger Tides</t>
        </is>
      </c>
      <c r="C253" s="63" t="inlineStr">
        <is>
          <t>2011</t>
        </is>
      </c>
      <c r="E253" s="82" t="n"/>
      <c r="F253" s="85" t="n"/>
      <c r="G253" s="71" t="n"/>
      <c r="H253" s="71" t="n"/>
      <c r="I253" s="83" t="n"/>
      <c r="J253" s="71" t="n"/>
      <c r="K253" s="82" t="n"/>
      <c r="L253" s="82">
        <f>IF(COUNT(E253,G253,H253,I253,J253,K253)=0,"",ROUND((IF(E253="",0,E253*10)+IF(G253="",0,G253)+IF(H253="",0,H253)+IF(I253="",0,I253*20)+IF(J253="",0,J253)+IF(K253="",0,K253*10))/COUNT(E253,G253,H253,I253,J253,K253),1))</f>
        <v/>
      </c>
      <c r="M253">
        <f>IF(L253="","",IF(L253&gt;=85,"Excellent",IF(L253&gt;=70,"Good",IF(L253&gt;=55,"Mixed","Poor"))))</f>
        <v/>
      </c>
      <c r="N253" s="66" t="n"/>
      <c r="O253" t="inlineStr">
        <is>
          <t>https://www.imdb.com/find/?q=Pirates+of+the+Caribbean%3A+On+Stranger+Tides+2011</t>
        </is>
      </c>
      <c r="P253" t="inlineStr">
        <is>
          <t>https://www.rottentomatoes.com/search?search=Pirates+of+the+Caribbean%3A+On+Stranger+Tides</t>
        </is>
      </c>
      <c r="Q253" t="inlineStr">
        <is>
          <t>https://letterboxd.com/search/Pirates%20of%20the%20Caribbean%3A%20On%20Stranger%20Tides/</t>
        </is>
      </c>
      <c r="R253" t="inlineStr">
        <is>
          <t>https://www.metacritic.com/search/Pirates+of+the+Caribbean%3A+On+Stranger+Tides/</t>
        </is>
      </c>
    </row>
    <row r="254">
      <c r="A254" t="inlineStr">
        <is>
          <t>F0250</t>
        </is>
      </c>
      <c r="B254" t="inlineStr">
        <is>
          <t>Pitch Perfect</t>
        </is>
      </c>
      <c r="C254" s="63" t="inlineStr">
        <is>
          <t>2012</t>
        </is>
      </c>
      <c r="E254" s="82" t="n"/>
      <c r="F254" s="85" t="n"/>
      <c r="G254" s="71" t="n"/>
      <c r="H254" s="71" t="n"/>
      <c r="I254" s="83" t="n"/>
      <c r="J254" s="71" t="n"/>
      <c r="K254" s="82" t="n"/>
      <c r="L254" s="82">
        <f>IF(COUNT(E254,G254,H254,I254,J254,K254)=0,"",ROUND((IF(E254="",0,E254*10)+IF(G254="",0,G254)+IF(H254="",0,H254)+IF(I254="",0,I254*20)+IF(J254="",0,J254)+IF(K254="",0,K254*10))/COUNT(E254,G254,H254,I254,J254,K254),1))</f>
        <v/>
      </c>
      <c r="M254">
        <f>IF(L254="","",IF(L254&gt;=85,"Excellent",IF(L254&gt;=70,"Good",IF(L254&gt;=55,"Mixed","Poor"))))</f>
        <v/>
      </c>
      <c r="N254" s="66" t="n"/>
      <c r="O254" t="inlineStr">
        <is>
          <t>https://www.imdb.com/find/?q=Pitch+Perfect+2012</t>
        </is>
      </c>
      <c r="P254" t="inlineStr">
        <is>
          <t>https://www.rottentomatoes.com/search?search=Pitch+Perfect</t>
        </is>
      </c>
      <c r="Q254" t="inlineStr">
        <is>
          <t>https://letterboxd.com/search/Pitch%20Perfect/</t>
        </is>
      </c>
      <c r="R254" t="inlineStr">
        <is>
          <t>https://www.metacritic.com/search/Pitch+Perfect/</t>
        </is>
      </c>
    </row>
    <row r="255">
      <c r="A255" t="inlineStr">
        <is>
          <t>F0251</t>
        </is>
      </c>
      <c r="B255" t="inlineStr">
        <is>
          <t>Pitch Perfect 2</t>
        </is>
      </c>
      <c r="C255" s="63" t="inlineStr">
        <is>
          <t>2015</t>
        </is>
      </c>
      <c r="E255" s="82" t="n"/>
      <c r="F255" s="85" t="n"/>
      <c r="G255" s="71" t="n"/>
      <c r="H255" s="71" t="n"/>
      <c r="I255" s="83" t="n"/>
      <c r="J255" s="71" t="n"/>
      <c r="K255" s="82" t="n"/>
      <c r="L255" s="82">
        <f>IF(COUNT(E255,G255,H255,I255,J255,K255)=0,"",ROUND((IF(E255="",0,E255*10)+IF(G255="",0,G255)+IF(H255="",0,H255)+IF(I255="",0,I255*20)+IF(J255="",0,J255)+IF(K255="",0,K255*10))/COUNT(E255,G255,H255,I255,J255,K255),1))</f>
        <v/>
      </c>
      <c r="M255">
        <f>IF(L255="","",IF(L255&gt;=85,"Excellent",IF(L255&gt;=70,"Good",IF(L255&gt;=55,"Mixed","Poor"))))</f>
        <v/>
      </c>
      <c r="N255" s="66" t="n"/>
      <c r="O255" t="inlineStr">
        <is>
          <t>https://www.imdb.com/find/?q=Pitch+Perfect+2+2015</t>
        </is>
      </c>
      <c r="P255" t="inlineStr">
        <is>
          <t>https://www.rottentomatoes.com/search?search=Pitch+Perfect+2</t>
        </is>
      </c>
      <c r="Q255" t="inlineStr">
        <is>
          <t>https://letterboxd.com/search/Pitch%20Perfect%202/</t>
        </is>
      </c>
      <c r="R255" t="inlineStr">
        <is>
          <t>https://www.metacritic.com/search/Pitch+Perfect+2/</t>
        </is>
      </c>
    </row>
    <row r="256">
      <c r="A256" t="inlineStr">
        <is>
          <t>F0252</t>
        </is>
      </c>
      <c r="B256" t="inlineStr">
        <is>
          <t>Pitch Perfect 3</t>
        </is>
      </c>
      <c r="C256" s="63" t="inlineStr">
        <is>
          <t>2017</t>
        </is>
      </c>
      <c r="E256" s="82" t="n"/>
      <c r="F256" s="85" t="n"/>
      <c r="G256" s="71" t="n"/>
      <c r="H256" s="71" t="n"/>
      <c r="I256" s="83" t="n"/>
      <c r="J256" s="71" t="n"/>
      <c r="K256" s="82" t="n"/>
      <c r="L256" s="82">
        <f>IF(COUNT(E256,G256,H256,I256,J256,K256)=0,"",ROUND((IF(E256="",0,E256*10)+IF(G256="",0,G256)+IF(H256="",0,H256)+IF(I256="",0,I256*20)+IF(J256="",0,J256)+IF(K256="",0,K256*10))/COUNT(E256,G256,H256,I256,J256,K256),1))</f>
        <v/>
      </c>
      <c r="M256">
        <f>IF(L256="","",IF(L256&gt;=85,"Excellent",IF(L256&gt;=70,"Good",IF(L256&gt;=55,"Mixed","Poor"))))</f>
        <v/>
      </c>
      <c r="N256" s="66" t="n"/>
      <c r="O256" t="inlineStr">
        <is>
          <t>https://www.imdb.com/find/?q=Pitch+Perfect+3+2017</t>
        </is>
      </c>
      <c r="P256" t="inlineStr">
        <is>
          <t>https://www.rottentomatoes.com/search?search=Pitch+Perfect+3</t>
        </is>
      </c>
      <c r="Q256" t="inlineStr">
        <is>
          <t>https://letterboxd.com/search/Pitch%20Perfect%203/</t>
        </is>
      </c>
      <c r="R256" t="inlineStr">
        <is>
          <t>https://www.metacritic.com/search/Pitch+Perfect+3/</t>
        </is>
      </c>
    </row>
    <row r="257">
      <c r="A257" t="inlineStr">
        <is>
          <t>F0253</t>
        </is>
      </c>
      <c r="B257" t="inlineStr">
        <is>
          <t>Rise of the Planet of the Apes</t>
        </is>
      </c>
      <c r="C257" s="63" t="inlineStr">
        <is>
          <t>2011</t>
        </is>
      </c>
      <c r="E257" s="82" t="n"/>
      <c r="F257" s="85" t="n"/>
      <c r="G257" s="71" t="n"/>
      <c r="H257" s="71" t="n"/>
      <c r="I257" s="83" t="n"/>
      <c r="J257" s="71" t="n"/>
      <c r="K257" s="82" t="n"/>
      <c r="L257" s="82">
        <f>IF(COUNT(E257,G257,H257,I257,J257,K257)=0,"",ROUND((IF(E257="",0,E257*10)+IF(G257="",0,G257)+IF(H257="",0,H257)+IF(I257="",0,I257*20)+IF(J257="",0,J257)+IF(K257="",0,K257*10))/COUNT(E257,G257,H257,I257,J257,K257),1))</f>
        <v/>
      </c>
      <c r="M257">
        <f>IF(L257="","",IF(L257&gt;=85,"Excellent",IF(L257&gt;=70,"Good",IF(L257&gt;=55,"Mixed","Poor"))))</f>
        <v/>
      </c>
      <c r="N257" s="66" t="n"/>
      <c r="O257" t="inlineStr">
        <is>
          <t>https://www.imdb.com/find/?q=Rise+of+the+Planet+of+the+Apes+2011</t>
        </is>
      </c>
      <c r="P257" t="inlineStr">
        <is>
          <t>https://www.rottentomatoes.com/search?search=Rise+of+the+Planet+of+the+Apes</t>
        </is>
      </c>
      <c r="Q257" t="inlineStr">
        <is>
          <t>https://letterboxd.com/search/Rise%20of%20the%20Planet%20of%20the%20Apes/</t>
        </is>
      </c>
      <c r="R257" t="inlineStr">
        <is>
          <t>https://www.metacritic.com/search/Rise+of+the+Planet+of+the+Apes/</t>
        </is>
      </c>
    </row>
    <row r="258">
      <c r="A258" t="inlineStr">
        <is>
          <t>F0254</t>
        </is>
      </c>
      <c r="B258" t="inlineStr">
        <is>
          <t>Dawn of the Planet of the Apes</t>
        </is>
      </c>
      <c r="C258" s="63" t="inlineStr">
        <is>
          <t>2014</t>
        </is>
      </c>
      <c r="E258" s="82" t="n"/>
      <c r="F258" s="85" t="n"/>
      <c r="G258" s="71" t="n"/>
      <c r="H258" s="71" t="n"/>
      <c r="I258" s="83" t="n"/>
      <c r="J258" s="71" t="n"/>
      <c r="K258" s="82" t="n"/>
      <c r="L258" s="82">
        <f>IF(COUNT(E258,G258,H258,I258,J258,K258)=0,"",ROUND((IF(E258="",0,E258*10)+IF(G258="",0,G258)+IF(H258="",0,H258)+IF(I258="",0,I258*20)+IF(J258="",0,J258)+IF(K258="",0,K258*10))/COUNT(E258,G258,H258,I258,J258,K258),1))</f>
        <v/>
      </c>
      <c r="M258">
        <f>IF(L258="","",IF(L258&gt;=85,"Excellent",IF(L258&gt;=70,"Good",IF(L258&gt;=55,"Mixed","Poor"))))</f>
        <v/>
      </c>
      <c r="N258" s="66" t="n"/>
      <c r="O258" t="inlineStr">
        <is>
          <t>https://www.imdb.com/find/?q=Dawn+of+the+Planet+of+the+Apes+2014</t>
        </is>
      </c>
      <c r="P258" t="inlineStr">
        <is>
          <t>https://www.rottentomatoes.com/search?search=Dawn+of+the+Planet+of+the+Apes</t>
        </is>
      </c>
      <c r="Q258" t="inlineStr">
        <is>
          <t>https://letterboxd.com/search/Dawn%20of%20the%20Planet%20of%20the%20Apes/</t>
        </is>
      </c>
      <c r="R258" t="inlineStr">
        <is>
          <t>https://www.metacritic.com/search/Dawn+of+the+Planet+of+the+Apes/</t>
        </is>
      </c>
    </row>
    <row r="259">
      <c r="A259" t="inlineStr">
        <is>
          <t>F0255</t>
        </is>
      </c>
      <c r="B259" t="inlineStr">
        <is>
          <t>War for the Planet of the Apes</t>
        </is>
      </c>
      <c r="C259" s="63" t="inlineStr">
        <is>
          <t>2017</t>
        </is>
      </c>
      <c r="E259" s="82" t="n"/>
      <c r="F259" s="85" t="n"/>
      <c r="G259" s="71" t="n"/>
      <c r="H259" s="71" t="n"/>
      <c r="I259" s="83" t="n"/>
      <c r="J259" s="71" t="n"/>
      <c r="K259" s="82" t="n"/>
      <c r="L259" s="82">
        <f>IF(COUNT(E259,G259,H259,I259,J259,K259)=0,"",ROUND((IF(E259="",0,E259*10)+IF(G259="",0,G259)+IF(H259="",0,H259)+IF(I259="",0,I259*20)+IF(J259="",0,J259)+IF(K259="",0,K259*10))/COUNT(E259,G259,H259,I259,J259,K259),1))</f>
        <v/>
      </c>
      <c r="M259">
        <f>IF(L259="","",IF(L259&gt;=85,"Excellent",IF(L259&gt;=70,"Good",IF(L259&gt;=55,"Mixed","Poor"))))</f>
        <v/>
      </c>
      <c r="N259" s="66" t="n"/>
      <c r="O259" t="inlineStr">
        <is>
          <t>https://www.imdb.com/find/?q=War+for+the+Planet+of+the+Apes+2017</t>
        </is>
      </c>
      <c r="P259" t="inlineStr">
        <is>
          <t>https://www.rottentomatoes.com/search?search=War+for+the+Planet+of+the+Apes</t>
        </is>
      </c>
      <c r="Q259" t="inlineStr">
        <is>
          <t>https://letterboxd.com/search/War%20for%20the%20Planet%20of%20the%20Apes/</t>
        </is>
      </c>
      <c r="R259" t="inlineStr">
        <is>
          <t>https://www.metacritic.com/search/War+for+the+Planet+of+the+Apes/</t>
        </is>
      </c>
    </row>
    <row r="260">
      <c r="A260" t="inlineStr">
        <is>
          <t>F0256</t>
        </is>
      </c>
      <c r="B260" t="inlineStr">
        <is>
          <t>Kingdom of the Planet of the Apes</t>
        </is>
      </c>
      <c r="C260" s="63" t="inlineStr">
        <is>
          <t>2024</t>
        </is>
      </c>
      <c r="E260" s="82" t="n"/>
      <c r="F260" s="85" t="n"/>
      <c r="G260" s="71" t="n"/>
      <c r="H260" s="71" t="n"/>
      <c r="I260" s="83" t="n"/>
      <c r="J260" s="71" t="n"/>
      <c r="K260" s="82" t="n"/>
      <c r="L260" s="82">
        <f>IF(COUNT(E260,G260,H260,I260,J260,K260)=0,"",ROUND((IF(E260="",0,E260*10)+IF(G260="",0,G260)+IF(H260="",0,H260)+IF(I260="",0,I260*20)+IF(J260="",0,J260)+IF(K260="",0,K260*10))/COUNT(E260,G260,H260,I260,J260,K260),1))</f>
        <v/>
      </c>
      <c r="M260">
        <f>IF(L260="","",IF(L260&gt;=85,"Excellent",IF(L260&gt;=70,"Good",IF(L260&gt;=55,"Mixed","Poor"))))</f>
        <v/>
      </c>
      <c r="N260" s="66" t="n"/>
      <c r="O260" t="inlineStr">
        <is>
          <t>https://www.imdb.com/find/?q=Kingdom+of+the+Planet+of+the+Apes+2024</t>
        </is>
      </c>
      <c r="P260" t="inlineStr">
        <is>
          <t>https://www.rottentomatoes.com/search?search=Kingdom+of+the+Planet+of+the+Apes</t>
        </is>
      </c>
      <c r="Q260" t="inlineStr">
        <is>
          <t>https://letterboxd.com/search/Kingdom%20of%20the%20Planet%20of%20the%20Apes/</t>
        </is>
      </c>
      <c r="R260" t="inlineStr">
        <is>
          <t>https://www.metacritic.com/search/Kingdom+of+the+Planet+of+the+Apes/</t>
        </is>
      </c>
    </row>
    <row r="261">
      <c r="A261" t="inlineStr">
        <is>
          <t>F0257</t>
        </is>
      </c>
      <c r="B261" t="inlineStr">
        <is>
          <t>The Prestige</t>
        </is>
      </c>
      <c r="C261" s="63" t="inlineStr">
        <is>
          <t>2006</t>
        </is>
      </c>
      <c r="E261" s="82" t="n"/>
      <c r="F261" s="85" t="n"/>
      <c r="G261" s="71" t="n"/>
      <c r="H261" s="71" t="n"/>
      <c r="I261" s="83" t="n"/>
      <c r="J261" s="71" t="n"/>
      <c r="K261" s="82" t="n"/>
      <c r="L261" s="82">
        <f>IF(COUNT(E261,G261,H261,I261,J261,K261)=0,"",ROUND((IF(E261="",0,E261*10)+IF(G261="",0,G261)+IF(H261="",0,H261)+IF(I261="",0,I261*20)+IF(J261="",0,J261)+IF(K261="",0,K261*10))/COUNT(E261,G261,H261,I261,J261,K261),1))</f>
        <v/>
      </c>
      <c r="M261">
        <f>IF(L261="","",IF(L261&gt;=85,"Excellent",IF(L261&gt;=70,"Good",IF(L261&gt;=55,"Mixed","Poor"))))</f>
        <v/>
      </c>
      <c r="N261" s="66" t="n"/>
      <c r="O261" t="inlineStr">
        <is>
          <t>https://www.imdb.com/find/?q=The+Prestige+2006</t>
        </is>
      </c>
      <c r="P261" t="inlineStr">
        <is>
          <t>https://www.rottentomatoes.com/search?search=The+Prestige</t>
        </is>
      </c>
      <c r="Q261" t="inlineStr">
        <is>
          <t>https://letterboxd.com/search/The%20Prestige/</t>
        </is>
      </c>
      <c r="R261" t="inlineStr">
        <is>
          <t>https://www.metacritic.com/search/The+Prestige/</t>
        </is>
      </c>
    </row>
    <row r="262">
      <c r="A262" t="inlineStr">
        <is>
          <t>F0258</t>
        </is>
      </c>
      <c r="B262" t="inlineStr">
        <is>
          <t>Prisoners</t>
        </is>
      </c>
      <c r="C262" s="63" t="inlineStr">
        <is>
          <t>2013</t>
        </is>
      </c>
      <c r="E262" s="82" t="n"/>
      <c r="F262" s="85" t="n"/>
      <c r="G262" s="71" t="n"/>
      <c r="H262" s="71" t="n"/>
      <c r="I262" s="83" t="n"/>
      <c r="J262" s="71" t="n"/>
      <c r="K262" s="82" t="n"/>
      <c r="L262" s="82">
        <f>IF(COUNT(E262,G262,H262,I262,J262,K262)=0,"",ROUND((IF(E262="",0,E262*10)+IF(G262="",0,G262)+IF(H262="",0,H262)+IF(I262="",0,I262*20)+IF(J262="",0,J262)+IF(K262="",0,K262*10))/COUNT(E262,G262,H262,I262,J262,K262),1))</f>
        <v/>
      </c>
      <c r="M262">
        <f>IF(L262="","",IF(L262&gt;=85,"Excellent",IF(L262&gt;=70,"Good",IF(L262&gt;=55,"Mixed","Poor"))))</f>
        <v/>
      </c>
      <c r="N262" s="66" t="n"/>
      <c r="O262" t="inlineStr">
        <is>
          <t>https://www.imdb.com/find/?q=Prisoners+2013</t>
        </is>
      </c>
      <c r="P262" t="inlineStr">
        <is>
          <t>https://www.rottentomatoes.com/search?search=Prisoners</t>
        </is>
      </c>
      <c r="Q262" t="inlineStr">
        <is>
          <t>https://letterboxd.com/search/Prisoners/</t>
        </is>
      </c>
      <c r="R262" t="inlineStr">
        <is>
          <t>https://www.metacritic.com/search/Prisoners/</t>
        </is>
      </c>
    </row>
    <row r="263">
      <c r="A263" t="inlineStr">
        <is>
          <t>F0259</t>
        </is>
      </c>
      <c r="B263" t="inlineStr">
        <is>
          <t>Prometheus</t>
        </is>
      </c>
      <c r="C263" s="63" t="inlineStr">
        <is>
          <t>2012</t>
        </is>
      </c>
      <c r="E263" s="82" t="n"/>
      <c r="F263" s="85" t="n"/>
      <c r="G263" s="71" t="n"/>
      <c r="H263" s="71" t="n"/>
      <c r="I263" s="83" t="n"/>
      <c r="J263" s="71" t="n"/>
      <c r="K263" s="82" t="n"/>
      <c r="L263" s="82">
        <f>IF(COUNT(E263,G263,H263,I263,J263,K263)=0,"",ROUND((IF(E263="",0,E263*10)+IF(G263="",0,G263)+IF(H263="",0,H263)+IF(I263="",0,I263*20)+IF(J263="",0,J263)+IF(K263="",0,K263*10))/COUNT(E263,G263,H263,I263,J263,K263),1))</f>
        <v/>
      </c>
      <c r="M263">
        <f>IF(L263="","",IF(L263&gt;=85,"Excellent",IF(L263&gt;=70,"Good",IF(L263&gt;=55,"Mixed","Poor"))))</f>
        <v/>
      </c>
      <c r="N263" s="66" t="n"/>
      <c r="O263" t="inlineStr">
        <is>
          <t>https://www.imdb.com/find/?q=Prometheus+2012</t>
        </is>
      </c>
      <c r="P263" t="inlineStr">
        <is>
          <t>https://www.rottentomatoes.com/search?search=Prometheus</t>
        </is>
      </c>
      <c r="Q263" t="inlineStr">
        <is>
          <t>https://letterboxd.com/search/Prometheus/</t>
        </is>
      </c>
      <c r="R263" t="inlineStr">
        <is>
          <t>https://www.metacritic.com/search/Prometheus/</t>
        </is>
      </c>
    </row>
    <row r="264">
      <c r="A264" t="inlineStr">
        <is>
          <t>F0260</t>
        </is>
      </c>
      <c r="B264" t="inlineStr">
        <is>
          <t>The Pursuit of Happyness</t>
        </is>
      </c>
      <c r="C264" s="63" t="inlineStr">
        <is>
          <t>2006</t>
        </is>
      </c>
      <c r="E264" s="82" t="n"/>
      <c r="F264" s="85" t="n"/>
      <c r="G264" s="71" t="n"/>
      <c r="H264" s="71" t="n"/>
      <c r="I264" s="83" t="n"/>
      <c r="J264" s="71" t="n"/>
      <c r="K264" s="82" t="n"/>
      <c r="L264" s="82">
        <f>IF(COUNT(E264,G264,H264,I264,J264,K264)=0,"",ROUND((IF(E264="",0,E264*10)+IF(G264="",0,G264)+IF(H264="",0,H264)+IF(I264="",0,I264*20)+IF(J264="",0,J264)+IF(K264="",0,K264*10))/COUNT(E264,G264,H264,I264,J264,K264),1))</f>
        <v/>
      </c>
      <c r="M264">
        <f>IF(L264="","",IF(L264&gt;=85,"Excellent",IF(L264&gt;=70,"Good",IF(L264&gt;=55,"Mixed","Poor"))))</f>
        <v/>
      </c>
      <c r="N264" s="66" t="n"/>
      <c r="O264" t="inlineStr">
        <is>
          <t>https://www.imdb.com/find/?q=The+Pursuit+of+Happyness+2006</t>
        </is>
      </c>
      <c r="P264" t="inlineStr">
        <is>
          <t>https://www.rottentomatoes.com/search?search=The+Pursuit+of+Happyness</t>
        </is>
      </c>
      <c r="Q264" t="inlineStr">
        <is>
          <t>https://letterboxd.com/search/The%20Pursuit%20of%20Happyness/</t>
        </is>
      </c>
      <c r="R264" t="inlineStr">
        <is>
          <t>https://www.metacritic.com/search/The+Pursuit+of+Happyness/</t>
        </is>
      </c>
    </row>
    <row r="265">
      <c r="A265" t="inlineStr">
        <is>
          <t>F0261</t>
        </is>
      </c>
      <c r="B265" t="inlineStr">
        <is>
          <t>Rambo</t>
        </is>
      </c>
      <c r="C265" s="63" t="inlineStr">
        <is>
          <t>2008</t>
        </is>
      </c>
      <c r="E265" s="82" t="n"/>
      <c r="F265" s="85" t="n"/>
      <c r="G265" s="71" t="n"/>
      <c r="H265" s="71" t="n"/>
      <c r="I265" s="83" t="n"/>
      <c r="J265" s="71" t="n"/>
      <c r="K265" s="82" t="n"/>
      <c r="L265" s="82">
        <f>IF(COUNT(E265,G265,H265,I265,J265,K265)=0,"",ROUND((IF(E265="",0,E265*10)+IF(G265="",0,G265)+IF(H265="",0,H265)+IF(I265="",0,I265*20)+IF(J265="",0,J265)+IF(K265="",0,K265*10))/COUNT(E265,G265,H265,I265,J265,K265),1))</f>
        <v/>
      </c>
      <c r="M265">
        <f>IF(L265="","",IF(L265&gt;=85,"Excellent",IF(L265&gt;=70,"Good",IF(L265&gt;=55,"Mixed","Poor"))))</f>
        <v/>
      </c>
      <c r="N265" s="66" t="n"/>
      <c r="O265" t="inlineStr">
        <is>
          <t>https://www.imdb.com/find/?q=Rambo+2008</t>
        </is>
      </c>
      <c r="P265" t="inlineStr">
        <is>
          <t>https://www.rottentomatoes.com/search?search=Rambo</t>
        </is>
      </c>
      <c r="Q265" t="inlineStr">
        <is>
          <t>https://letterboxd.com/search/Rambo/</t>
        </is>
      </c>
      <c r="R265" t="inlineStr">
        <is>
          <t>https://www.metacritic.com/search/Rambo/</t>
        </is>
      </c>
    </row>
    <row r="266">
      <c r="A266" t="inlineStr">
        <is>
          <t>F0262</t>
        </is>
      </c>
      <c r="B266" t="inlineStr">
        <is>
          <t>RED</t>
        </is>
      </c>
      <c r="C266" s="63" t="inlineStr">
        <is>
          <t>2010</t>
        </is>
      </c>
      <c r="E266" s="82" t="n"/>
      <c r="F266" s="85" t="n"/>
      <c r="G266" s="71" t="n"/>
      <c r="H266" s="71" t="n"/>
      <c r="I266" s="83" t="n"/>
      <c r="J266" s="71" t="n"/>
      <c r="K266" s="82" t="n"/>
      <c r="L266" s="82">
        <f>IF(COUNT(E266,G266,H266,I266,J266,K266)=0,"",ROUND((IF(E266="",0,E266*10)+IF(G266="",0,G266)+IF(H266="",0,H266)+IF(I266="",0,I266*20)+IF(J266="",0,J266)+IF(K266="",0,K266*10))/COUNT(E266,G266,H266,I266,J266,K266),1))</f>
        <v/>
      </c>
      <c r="M266">
        <f>IF(L266="","",IF(L266&gt;=85,"Excellent",IF(L266&gt;=70,"Good",IF(L266&gt;=55,"Mixed","Poor"))))</f>
        <v/>
      </c>
      <c r="N266" s="66" t="n"/>
      <c r="O266" t="inlineStr">
        <is>
          <t>https://www.imdb.com/find/?q=RED+2010</t>
        </is>
      </c>
      <c r="P266" t="inlineStr">
        <is>
          <t>https://www.rottentomatoes.com/search?search=RED</t>
        </is>
      </c>
      <c r="Q266" t="inlineStr">
        <is>
          <t>https://letterboxd.com/search/RED/</t>
        </is>
      </c>
      <c r="R266" t="inlineStr">
        <is>
          <t>https://www.metacritic.com/search/RED/</t>
        </is>
      </c>
    </row>
    <row r="267">
      <c r="A267" t="inlineStr">
        <is>
          <t>F0263</t>
        </is>
      </c>
      <c r="B267" t="inlineStr">
        <is>
          <t>Reign of Fire</t>
        </is>
      </c>
      <c r="C267" s="63" t="inlineStr">
        <is>
          <t>2002</t>
        </is>
      </c>
      <c r="E267" s="82" t="n"/>
      <c r="F267" s="85" t="n"/>
      <c r="G267" s="71" t="n"/>
      <c r="H267" s="71" t="n"/>
      <c r="I267" s="83" t="n"/>
      <c r="J267" s="71" t="n"/>
      <c r="K267" s="82" t="n"/>
      <c r="L267" s="82">
        <f>IF(COUNT(E267,G267,H267,I267,J267,K267)=0,"",ROUND((IF(E267="",0,E267*10)+IF(G267="",0,G267)+IF(H267="",0,H267)+IF(I267="",0,I267*20)+IF(J267="",0,J267)+IF(K267="",0,K267*10))/COUNT(E267,G267,H267,I267,J267,K267),1))</f>
        <v/>
      </c>
      <c r="M267">
        <f>IF(L267="","",IF(L267&gt;=85,"Excellent",IF(L267&gt;=70,"Good",IF(L267&gt;=55,"Mixed","Poor"))))</f>
        <v/>
      </c>
      <c r="N267" s="66" t="n"/>
      <c r="O267" t="inlineStr">
        <is>
          <t>https://www.imdb.com/find/?q=Reign+of+Fire+2002</t>
        </is>
      </c>
      <c r="P267" t="inlineStr">
        <is>
          <t>https://www.rottentomatoes.com/search?search=Reign+of+Fire</t>
        </is>
      </c>
      <c r="Q267" t="inlineStr">
        <is>
          <t>https://letterboxd.com/search/Reign%20of%20Fire/</t>
        </is>
      </c>
      <c r="R267" t="inlineStr">
        <is>
          <t>https://www.metacritic.com/search/Reign+of+Fire/</t>
        </is>
      </c>
    </row>
    <row r="268">
      <c r="A268" t="inlineStr">
        <is>
          <t>F0264</t>
        </is>
      </c>
      <c r="B268" t="inlineStr">
        <is>
          <t>Riddick</t>
        </is>
      </c>
      <c r="C268" s="63" t="inlineStr">
        <is>
          <t>2013</t>
        </is>
      </c>
      <c r="E268" s="82" t="n"/>
      <c r="F268" s="85" t="n"/>
      <c r="G268" s="71" t="n"/>
      <c r="H268" s="71" t="n"/>
      <c r="I268" s="83" t="n"/>
      <c r="J268" s="71" t="n"/>
      <c r="K268" s="82" t="n"/>
      <c r="L268" s="82">
        <f>IF(COUNT(E268,G268,H268,I268,J268,K268)=0,"",ROUND((IF(E268="",0,E268*10)+IF(G268="",0,G268)+IF(H268="",0,H268)+IF(I268="",0,I268*20)+IF(J268="",0,J268)+IF(K268="",0,K268*10))/COUNT(E268,G268,H268,I268,J268,K268),1))</f>
        <v/>
      </c>
      <c r="M268">
        <f>IF(L268="","",IF(L268&gt;=85,"Excellent",IF(L268&gt;=70,"Good",IF(L268&gt;=55,"Mixed","Poor"))))</f>
        <v/>
      </c>
      <c r="N268" s="66" t="n"/>
      <c r="O268" t="inlineStr">
        <is>
          <t>https://www.imdb.com/find/?q=Riddick+2013</t>
        </is>
      </c>
      <c r="P268" t="inlineStr">
        <is>
          <t>https://www.rottentomatoes.com/search?search=Riddick</t>
        </is>
      </c>
      <c r="Q268" t="inlineStr">
        <is>
          <t>https://letterboxd.com/search/Riddick/</t>
        </is>
      </c>
      <c r="R268" t="inlineStr">
        <is>
          <t>https://www.metacritic.com/search/Riddick/</t>
        </is>
      </c>
    </row>
    <row r="269">
      <c r="A269" t="inlineStr">
        <is>
          <t>F0265</t>
        </is>
      </c>
      <c r="B269" t="inlineStr">
        <is>
          <t>Rio</t>
        </is>
      </c>
      <c r="C269" s="63" t="inlineStr">
        <is>
          <t>2011</t>
        </is>
      </c>
      <c r="E269" s="82" t="n"/>
      <c r="F269" s="85" t="n"/>
      <c r="G269" s="71" t="n"/>
      <c r="H269" s="71" t="n"/>
      <c r="I269" s="83" t="n"/>
      <c r="J269" s="71" t="n"/>
      <c r="K269" s="82" t="n"/>
      <c r="L269" s="82">
        <f>IF(COUNT(E269,G269,H269,I269,J269,K269)=0,"",ROUND((IF(E269="",0,E269*10)+IF(G269="",0,G269)+IF(H269="",0,H269)+IF(I269="",0,I269*20)+IF(J269="",0,J269)+IF(K269="",0,K269*10))/COUNT(E269,G269,H269,I269,J269,K269),1))</f>
        <v/>
      </c>
      <c r="M269">
        <f>IF(L269="","",IF(L269&gt;=85,"Excellent",IF(L269&gt;=70,"Good",IF(L269&gt;=55,"Mixed","Poor"))))</f>
        <v/>
      </c>
      <c r="N269" s="66" t="n"/>
      <c r="O269" t="inlineStr">
        <is>
          <t>https://www.imdb.com/find/?q=Rio+2011</t>
        </is>
      </c>
      <c r="P269" t="inlineStr">
        <is>
          <t>https://www.rottentomatoes.com/search?search=Rio</t>
        </is>
      </c>
      <c r="Q269" t="inlineStr">
        <is>
          <t>https://letterboxd.com/search/Rio/</t>
        </is>
      </c>
      <c r="R269" t="inlineStr">
        <is>
          <t>https://www.metacritic.com/search/Rio/</t>
        </is>
      </c>
    </row>
    <row r="270">
      <c r="A270" t="inlineStr">
        <is>
          <t>F0266</t>
        </is>
      </c>
      <c r="B270" t="inlineStr">
        <is>
          <t>Rio 2</t>
        </is>
      </c>
      <c r="C270" s="63" t="inlineStr">
        <is>
          <t>2014</t>
        </is>
      </c>
      <c r="E270" s="82" t="n"/>
      <c r="F270" s="85" t="n"/>
      <c r="G270" s="71" t="n"/>
      <c r="H270" s="71" t="n"/>
      <c r="I270" s="83" t="n"/>
      <c r="J270" s="71" t="n"/>
      <c r="K270" s="82" t="n"/>
      <c r="L270" s="82">
        <f>IF(COUNT(E270,G270,H270,I270,J270,K270)=0,"",ROUND((IF(E270="",0,E270*10)+IF(G270="",0,G270)+IF(H270="",0,H270)+IF(I270="",0,I270*20)+IF(J270="",0,J270)+IF(K270="",0,K270*10))/COUNT(E270,G270,H270,I270,J270,K270),1))</f>
        <v/>
      </c>
      <c r="M270">
        <f>IF(L270="","",IF(L270&gt;=85,"Excellent",IF(L270&gt;=70,"Good",IF(L270&gt;=55,"Mixed","Poor"))))</f>
        <v/>
      </c>
      <c r="N270" s="66" t="n"/>
      <c r="O270" t="inlineStr">
        <is>
          <t>https://www.imdb.com/find/?q=Rio+2+2014</t>
        </is>
      </c>
      <c r="P270" t="inlineStr">
        <is>
          <t>https://www.rottentomatoes.com/search?search=Rio+2</t>
        </is>
      </c>
      <c r="Q270" t="inlineStr">
        <is>
          <t>https://letterboxd.com/search/Rio%202/</t>
        </is>
      </c>
      <c r="R270" t="inlineStr">
        <is>
          <t>https://www.metacritic.com/search/Rio+2/</t>
        </is>
      </c>
    </row>
    <row r="271">
      <c r="A271" t="inlineStr">
        <is>
          <t>F0267</t>
        </is>
      </c>
      <c r="B271" t="inlineStr">
        <is>
          <t>Robin Hood</t>
        </is>
      </c>
      <c r="C271" s="63" t="inlineStr">
        <is>
          <t>2010</t>
        </is>
      </c>
      <c r="E271" s="82" t="n"/>
      <c r="F271" s="85" t="n"/>
      <c r="G271" s="71" t="n"/>
      <c r="H271" s="71" t="n"/>
      <c r="I271" s="83" t="n"/>
      <c r="J271" s="71" t="n"/>
      <c r="K271" s="82" t="n"/>
      <c r="L271" s="82">
        <f>IF(COUNT(E271,G271,H271,I271,J271,K271)=0,"",ROUND((IF(E271="",0,E271*10)+IF(G271="",0,G271)+IF(H271="",0,H271)+IF(I271="",0,I271*20)+IF(J271="",0,J271)+IF(K271="",0,K271*10))/COUNT(E271,G271,H271,I271,J271,K271),1))</f>
        <v/>
      </c>
      <c r="M271">
        <f>IF(L271="","",IF(L271&gt;=85,"Excellent",IF(L271&gt;=70,"Good",IF(L271&gt;=55,"Mixed","Poor"))))</f>
        <v/>
      </c>
      <c r="N271" s="66" t="n"/>
      <c r="O271" t="inlineStr">
        <is>
          <t>https://www.imdb.com/find/?q=Robin+Hood+2010</t>
        </is>
      </c>
      <c r="P271" t="inlineStr">
        <is>
          <t>https://www.rottentomatoes.com/search?search=Robin+Hood</t>
        </is>
      </c>
      <c r="Q271" t="inlineStr">
        <is>
          <t>https://letterboxd.com/search/Robin%20Hood/</t>
        </is>
      </c>
      <c r="R271" t="inlineStr">
        <is>
          <t>https://www.metacritic.com/search/Robin+Hood/</t>
        </is>
      </c>
    </row>
    <row r="272">
      <c r="A272" t="inlineStr">
        <is>
          <t>F0268</t>
        </is>
      </c>
      <c r="B272" t="inlineStr">
        <is>
          <t>RoboCop</t>
        </is>
      </c>
      <c r="C272" s="63" t="n"/>
      <c r="E272" s="82" t="n"/>
      <c r="F272" s="85" t="n"/>
      <c r="G272" s="71" t="n"/>
      <c r="H272" s="71" t="n"/>
      <c r="I272" s="83" t="n"/>
      <c r="J272" s="71" t="n"/>
      <c r="K272" s="82" t="n"/>
      <c r="L272" s="82">
        <f>IF(COUNT(E272,G272,H272,I272,J272,K272)=0,"",ROUND((IF(E272="",0,E272*10)+IF(G272="",0,G272)+IF(H272="",0,H272)+IF(I272="",0,I272*20)+IF(J272="",0,J272)+IF(K272="",0,K272*10))/COUNT(E272,G272,H272,I272,J272,K272),1))</f>
        <v/>
      </c>
      <c r="M272">
        <f>IF(L272="","",IF(L272&gt;=85,"Excellent",IF(L272&gt;=70,"Good",IF(L272&gt;=55,"Mixed","Poor"))))</f>
        <v/>
      </c>
      <c r="N272" s="66" t="n"/>
      <c r="O272" t="inlineStr">
        <is>
          <t>https://www.imdb.com/find/?q=RoboCop</t>
        </is>
      </c>
      <c r="P272" t="inlineStr">
        <is>
          <t>https://www.rottentomatoes.com/search?search=RoboCop</t>
        </is>
      </c>
      <c r="Q272" t="inlineStr">
        <is>
          <t>https://letterboxd.com/search/RoboCop/</t>
        </is>
      </c>
      <c r="R272" t="inlineStr">
        <is>
          <t>https://www.metacritic.com/search/RoboCop/</t>
        </is>
      </c>
    </row>
    <row r="273">
      <c r="A273" t="inlineStr">
        <is>
          <t>F0269</t>
        </is>
      </c>
      <c r="B273" t="inlineStr">
        <is>
          <t>Rocketman</t>
        </is>
      </c>
      <c r="C273" s="63" t="inlineStr">
        <is>
          <t>2019</t>
        </is>
      </c>
      <c r="E273" s="82" t="n"/>
      <c r="F273" s="85" t="n"/>
      <c r="G273" s="71" t="n"/>
      <c r="H273" s="71" t="n"/>
      <c r="I273" s="83" t="n"/>
      <c r="J273" s="71" t="n"/>
      <c r="K273" s="82" t="n"/>
      <c r="L273" s="82">
        <f>IF(COUNT(E273,G273,H273,I273,J273,K273)=0,"",ROUND((IF(E273="",0,E273*10)+IF(G273="",0,G273)+IF(H273="",0,H273)+IF(I273="",0,I273*20)+IF(J273="",0,J273)+IF(K273="",0,K273*10))/COUNT(E273,G273,H273,I273,J273,K273),1))</f>
        <v/>
      </c>
      <c r="M273">
        <f>IF(L273="","",IF(L273&gt;=85,"Excellent",IF(L273&gt;=70,"Good",IF(L273&gt;=55,"Mixed","Poor"))))</f>
        <v/>
      </c>
      <c r="N273" s="66" t="n"/>
      <c r="O273" t="inlineStr">
        <is>
          <t>https://www.imdb.com/find/?q=Rocketman+2019</t>
        </is>
      </c>
      <c r="P273" t="inlineStr">
        <is>
          <t>https://www.rottentomatoes.com/search?search=Rocketman</t>
        </is>
      </c>
      <c r="Q273" t="inlineStr">
        <is>
          <t>https://letterboxd.com/search/Rocketman/</t>
        </is>
      </c>
      <c r="R273" t="inlineStr">
        <is>
          <t>https://www.metacritic.com/search/Rocketman/</t>
        </is>
      </c>
    </row>
    <row r="274">
      <c r="A274" t="inlineStr">
        <is>
          <t>F0270</t>
        </is>
      </c>
      <c r="B274" t="inlineStr">
        <is>
          <t>Rush</t>
        </is>
      </c>
      <c r="C274" s="63" t="inlineStr">
        <is>
          <t>2013</t>
        </is>
      </c>
      <c r="E274" s="82" t="n"/>
      <c r="F274" s="85" t="n"/>
      <c r="G274" s="71" t="n"/>
      <c r="H274" s="71" t="n"/>
      <c r="I274" s="83" t="n"/>
      <c r="J274" s="71" t="n"/>
      <c r="K274" s="82" t="n"/>
      <c r="L274" s="82">
        <f>IF(COUNT(E274,G274,H274,I274,J274,K274)=0,"",ROUND((IF(E274="",0,E274*10)+IF(G274="",0,G274)+IF(H274="",0,H274)+IF(I274="",0,I274*20)+IF(J274="",0,J274)+IF(K274="",0,K274*10))/COUNT(E274,G274,H274,I274,J274,K274),1))</f>
        <v/>
      </c>
      <c r="M274">
        <f>IF(L274="","",IF(L274&gt;=85,"Excellent",IF(L274&gt;=70,"Good",IF(L274&gt;=55,"Mixed","Poor"))))</f>
        <v/>
      </c>
      <c r="N274" s="66" t="n"/>
      <c r="O274" t="inlineStr">
        <is>
          <t>https://www.imdb.com/find/?q=Rush+2013</t>
        </is>
      </c>
      <c r="P274" t="inlineStr">
        <is>
          <t>https://www.rottentomatoes.com/search?search=Rush</t>
        </is>
      </c>
      <c r="Q274" t="inlineStr">
        <is>
          <t>https://letterboxd.com/search/Rush/</t>
        </is>
      </c>
      <c r="R274" t="inlineStr">
        <is>
          <t>https://www.metacritic.com/search/Rush/</t>
        </is>
      </c>
    </row>
    <row r="275">
      <c r="A275" t="inlineStr">
        <is>
          <t>F0271</t>
        </is>
      </c>
      <c r="B275" t="inlineStr">
        <is>
          <t>Rush Hour 3</t>
        </is>
      </c>
      <c r="C275" s="63" t="inlineStr">
        <is>
          <t>2007</t>
        </is>
      </c>
      <c r="E275" s="82" t="n"/>
      <c r="F275" s="85" t="n"/>
      <c r="G275" s="71" t="n"/>
      <c r="H275" s="71" t="n"/>
      <c r="I275" s="83" t="n"/>
      <c r="J275" s="71" t="n"/>
      <c r="K275" s="82" t="n"/>
      <c r="L275" s="82">
        <f>IF(COUNT(E275,G275,H275,I275,J275,K275)=0,"",ROUND((IF(E275="",0,E275*10)+IF(G275="",0,G275)+IF(H275="",0,H275)+IF(I275="",0,I275*20)+IF(J275="",0,J275)+IF(K275="",0,K275*10))/COUNT(E275,G275,H275,I275,J275,K275),1))</f>
        <v/>
      </c>
      <c r="M275">
        <f>IF(L275="","",IF(L275&gt;=85,"Excellent",IF(L275&gt;=70,"Good",IF(L275&gt;=55,"Mixed","Poor"))))</f>
        <v/>
      </c>
      <c r="N275" s="66" t="n"/>
      <c r="O275" t="inlineStr">
        <is>
          <t>https://www.imdb.com/find/?q=Rush+Hour+3+2007</t>
        </is>
      </c>
      <c r="P275" t="inlineStr">
        <is>
          <t>https://www.rottentomatoes.com/search?search=Rush+Hour+3</t>
        </is>
      </c>
      <c r="Q275" t="inlineStr">
        <is>
          <t>https://letterboxd.com/search/Rush%20Hour%203/</t>
        </is>
      </c>
      <c r="R275" t="inlineStr">
        <is>
          <t>https://www.metacritic.com/search/Rush+Hour+3/</t>
        </is>
      </c>
    </row>
    <row r="276">
      <c r="A276" t="inlineStr">
        <is>
          <t>F0272</t>
        </is>
      </c>
      <c r="B276" t="inlineStr">
        <is>
          <t>Safe House</t>
        </is>
      </c>
      <c r="C276" s="63" t="inlineStr">
        <is>
          <t>2012</t>
        </is>
      </c>
      <c r="E276" s="82" t="n"/>
      <c r="F276" s="85" t="n"/>
      <c r="G276" s="71" t="n"/>
      <c r="H276" s="71" t="n"/>
      <c r="I276" s="83" t="n"/>
      <c r="J276" s="71" t="n"/>
      <c r="K276" s="82" t="n"/>
      <c r="L276" s="82">
        <f>IF(COUNT(E276,G276,H276,I276,J276,K276)=0,"",ROUND((IF(E276="",0,E276*10)+IF(G276="",0,G276)+IF(H276="",0,H276)+IF(I276="",0,I276*20)+IF(J276="",0,J276)+IF(K276="",0,K276*10))/COUNT(E276,G276,H276,I276,J276,K276),1))</f>
        <v/>
      </c>
      <c r="M276">
        <f>IF(L276="","",IF(L276&gt;=85,"Excellent",IF(L276&gt;=70,"Good",IF(L276&gt;=55,"Mixed","Poor"))))</f>
        <v/>
      </c>
      <c r="N276" s="66" t="n"/>
      <c r="O276" t="inlineStr">
        <is>
          <t>https://www.imdb.com/find/?q=Safe+House+2012</t>
        </is>
      </c>
      <c r="P276" t="inlineStr">
        <is>
          <t>https://www.rottentomatoes.com/search?search=Safe+House</t>
        </is>
      </c>
      <c r="Q276" t="inlineStr">
        <is>
          <t>https://letterboxd.com/search/Safe%20House/</t>
        </is>
      </c>
      <c r="R276" t="inlineStr">
        <is>
          <t>https://www.metacritic.com/search/Safe+House/</t>
        </is>
      </c>
    </row>
    <row r="277">
      <c r="A277" t="inlineStr">
        <is>
          <t>F0273</t>
        </is>
      </c>
      <c r="B277" t="inlineStr">
        <is>
          <t>Salt</t>
        </is>
      </c>
      <c r="C277" s="63" t="inlineStr">
        <is>
          <t>2010</t>
        </is>
      </c>
      <c r="E277" s="82" t="n"/>
      <c r="F277" s="85" t="n"/>
      <c r="G277" s="71" t="n"/>
      <c r="H277" s="71" t="n"/>
      <c r="I277" s="83" t="n"/>
      <c r="J277" s="71" t="n"/>
      <c r="K277" s="82" t="n"/>
      <c r="L277" s="82">
        <f>IF(COUNT(E277,G277,H277,I277,J277,K277)=0,"",ROUND((IF(E277="",0,E277*10)+IF(G277="",0,G277)+IF(H277="",0,H277)+IF(I277="",0,I277*20)+IF(J277="",0,J277)+IF(K277="",0,K277*10))/COUNT(E277,G277,H277,I277,J277,K277),1))</f>
        <v/>
      </c>
      <c r="M277">
        <f>IF(L277="","",IF(L277&gt;=85,"Excellent",IF(L277&gt;=70,"Good",IF(L277&gt;=55,"Mixed","Poor"))))</f>
        <v/>
      </c>
      <c r="N277" s="66" t="n"/>
      <c r="O277" t="inlineStr">
        <is>
          <t>https://www.imdb.com/find/?q=Salt+2010</t>
        </is>
      </c>
      <c r="P277" t="inlineStr">
        <is>
          <t>https://www.rottentomatoes.com/search?search=Salt</t>
        </is>
      </c>
      <c r="Q277" t="inlineStr">
        <is>
          <t>https://letterboxd.com/search/Salt/</t>
        </is>
      </c>
      <c r="R277" t="inlineStr">
        <is>
          <t>https://www.metacritic.com/search/Salt/</t>
        </is>
      </c>
    </row>
    <row r="278">
      <c r="A278" t="inlineStr">
        <is>
          <t>F0274</t>
        </is>
      </c>
      <c r="B278" t="inlineStr">
        <is>
          <t>The Secret Life of Pets</t>
        </is>
      </c>
      <c r="C278" s="63" t="inlineStr">
        <is>
          <t>2016</t>
        </is>
      </c>
      <c r="E278" s="82" t="n"/>
      <c r="F278" s="85" t="n"/>
      <c r="G278" s="71" t="n"/>
      <c r="H278" s="71" t="n"/>
      <c r="I278" s="83" t="n"/>
      <c r="J278" s="71" t="n"/>
      <c r="K278" s="82" t="n"/>
      <c r="L278" s="82">
        <f>IF(COUNT(E278,G278,H278,I278,J278,K278)=0,"",ROUND((IF(E278="",0,E278*10)+IF(G278="",0,G278)+IF(H278="",0,H278)+IF(I278="",0,I278*20)+IF(J278="",0,J278)+IF(K278="",0,K278*10))/COUNT(E278,G278,H278,I278,J278,K278),1))</f>
        <v/>
      </c>
      <c r="M278">
        <f>IF(L278="","",IF(L278&gt;=85,"Excellent",IF(L278&gt;=70,"Good",IF(L278&gt;=55,"Mixed","Poor"))))</f>
        <v/>
      </c>
      <c r="N278" s="66" t="n"/>
      <c r="O278" t="inlineStr">
        <is>
          <t>https://www.imdb.com/find/?q=The+Secret+Life+of+Pets+2016</t>
        </is>
      </c>
      <c r="P278" t="inlineStr">
        <is>
          <t>https://www.rottentomatoes.com/search?search=The+Secret+Life+of+Pets</t>
        </is>
      </c>
      <c r="Q278" t="inlineStr">
        <is>
          <t>https://letterboxd.com/search/The%20Secret%20Life%20of%20Pets/</t>
        </is>
      </c>
      <c r="R278" t="inlineStr">
        <is>
          <t>https://www.metacritic.com/search/The+Secret+Life+of+Pets/</t>
        </is>
      </c>
    </row>
    <row r="279">
      <c r="A279" t="inlineStr">
        <is>
          <t>F0275</t>
        </is>
      </c>
      <c r="B279" t="inlineStr">
        <is>
          <t>Senna</t>
        </is>
      </c>
      <c r="C279" s="63" t="inlineStr">
        <is>
          <t>2010</t>
        </is>
      </c>
      <c r="E279" s="82" t="n"/>
      <c r="F279" s="85" t="n"/>
      <c r="G279" s="71" t="n"/>
      <c r="H279" s="71" t="n"/>
      <c r="I279" s="83" t="n"/>
      <c r="J279" s="71" t="n"/>
      <c r="K279" s="82" t="n"/>
      <c r="L279" s="82">
        <f>IF(COUNT(E279,G279,H279,I279,J279,K279)=0,"",ROUND((IF(E279="",0,E279*10)+IF(G279="",0,G279)+IF(H279="",0,H279)+IF(I279="",0,I279*20)+IF(J279="",0,J279)+IF(K279="",0,K279*10))/COUNT(E279,G279,H279,I279,J279,K279),1))</f>
        <v/>
      </c>
      <c r="M279">
        <f>IF(L279="","",IF(L279&gt;=85,"Excellent",IF(L279&gt;=70,"Good",IF(L279&gt;=55,"Mixed","Poor"))))</f>
        <v/>
      </c>
      <c r="N279" s="66" t="n"/>
      <c r="O279" t="inlineStr">
        <is>
          <t>https://www.imdb.com/find/?q=Senna+2010</t>
        </is>
      </c>
      <c r="P279" t="inlineStr">
        <is>
          <t>https://www.rottentomatoes.com/search?search=Senna</t>
        </is>
      </c>
      <c r="Q279" t="inlineStr">
        <is>
          <t>https://letterboxd.com/search/Senna/</t>
        </is>
      </c>
      <c r="R279" t="inlineStr">
        <is>
          <t>https://www.metacritic.com/search/Senna/</t>
        </is>
      </c>
    </row>
    <row r="280">
      <c r="A280" t="inlineStr">
        <is>
          <t>F0276</t>
        </is>
      </c>
      <c r="B280" t="inlineStr">
        <is>
          <t>Se7en</t>
        </is>
      </c>
      <c r="C280" s="63" t="inlineStr">
        <is>
          <t>1995</t>
        </is>
      </c>
      <c r="E280" s="82" t="n"/>
      <c r="F280" s="85" t="n"/>
      <c r="G280" s="71" t="n"/>
      <c r="H280" s="71" t="n"/>
      <c r="I280" s="83" t="n"/>
      <c r="J280" s="71" t="n"/>
      <c r="K280" s="82" t="n"/>
      <c r="L280" s="82">
        <f>IF(COUNT(E280,G280,H280,I280,J280,K280)=0,"",ROUND((IF(E280="",0,E280*10)+IF(G280="",0,G280)+IF(H280="",0,H280)+IF(I280="",0,I280*20)+IF(J280="",0,J280)+IF(K280="",0,K280*10))/COUNT(E280,G280,H280,I280,J280,K280),1))</f>
        <v/>
      </c>
      <c r="M280">
        <f>IF(L280="","",IF(L280&gt;=85,"Excellent",IF(L280&gt;=70,"Good",IF(L280&gt;=55,"Mixed","Poor"))))</f>
        <v/>
      </c>
      <c r="N280" s="66" t="n"/>
      <c r="O280" t="inlineStr">
        <is>
          <t>https://www.imdb.com/find/?q=Se7en+1995</t>
        </is>
      </c>
      <c r="P280" t="inlineStr">
        <is>
          <t>https://www.rottentomatoes.com/search?search=Se7en</t>
        </is>
      </c>
      <c r="Q280" t="inlineStr">
        <is>
          <t>https://letterboxd.com/search/Se7en/</t>
        </is>
      </c>
      <c r="R280" t="inlineStr">
        <is>
          <t>https://www.metacritic.com/search/Se7en/</t>
        </is>
      </c>
    </row>
    <row r="281">
      <c r="A281" t="inlineStr">
        <is>
          <t>F0277</t>
        </is>
      </c>
      <c r="B281" t="inlineStr">
        <is>
          <t>Sex &amp; Drugs &amp; Rock &amp; Roll</t>
        </is>
      </c>
      <c r="C281" s="63" t="inlineStr">
        <is>
          <t>2010</t>
        </is>
      </c>
      <c r="E281" s="82" t="n"/>
      <c r="F281" s="85" t="n"/>
      <c r="G281" s="71" t="n"/>
      <c r="H281" s="71" t="n"/>
      <c r="I281" s="83" t="n"/>
      <c r="J281" s="71" t="n"/>
      <c r="K281" s="82" t="n"/>
      <c r="L281" s="82">
        <f>IF(COUNT(E281,G281,H281,I281,J281,K281)=0,"",ROUND((IF(E281="",0,E281*10)+IF(G281="",0,G281)+IF(H281="",0,H281)+IF(I281="",0,I281*20)+IF(J281="",0,J281)+IF(K281="",0,K281*10))/COUNT(E281,G281,H281,I281,J281,K281),1))</f>
        <v/>
      </c>
      <c r="M281">
        <f>IF(L281="","",IF(L281&gt;=85,"Excellent",IF(L281&gt;=70,"Good",IF(L281&gt;=55,"Mixed","Poor"))))</f>
        <v/>
      </c>
      <c r="N281" s="66" t="n"/>
      <c r="O281" t="inlineStr">
        <is>
          <t>https://www.imdb.com/find/?q=Sex+%26+Drugs+%26+Rock+%26+Roll+2010</t>
        </is>
      </c>
      <c r="P281" t="inlineStr">
        <is>
          <t>https://www.rottentomatoes.com/search?search=Sex+%26+Drugs+%26+Rock+%26+Roll</t>
        </is>
      </c>
      <c r="Q281" t="inlineStr">
        <is>
          <t>https://letterboxd.com/search/Sex%20%26%20Drugs%20%26%20Rock%20%26%20Roll/</t>
        </is>
      </c>
      <c r="R281" t="inlineStr">
        <is>
          <t>https://www.metacritic.com/search/Sex+%26+Drugs+%26+Rock+%26+Roll/</t>
        </is>
      </c>
    </row>
    <row r="282">
      <c r="A282" t="inlineStr">
        <is>
          <t>F0278</t>
        </is>
      </c>
      <c r="B282" t="inlineStr">
        <is>
          <t>Sherlock Holmes</t>
        </is>
      </c>
      <c r="C282" s="63" t="inlineStr">
        <is>
          <t>2009</t>
        </is>
      </c>
      <c r="E282" s="82" t="n"/>
      <c r="F282" s="85" t="n"/>
      <c r="G282" s="71" t="n"/>
      <c r="H282" s="71" t="n"/>
      <c r="I282" s="83" t="n"/>
      <c r="J282" s="71" t="n"/>
      <c r="K282" s="82" t="n"/>
      <c r="L282" s="82">
        <f>IF(COUNT(E282,G282,H282,I282,J282,K282)=0,"",ROUND((IF(E282="",0,E282*10)+IF(G282="",0,G282)+IF(H282="",0,H282)+IF(I282="",0,I282*20)+IF(J282="",0,J282)+IF(K282="",0,K282*10))/COUNT(E282,G282,H282,I282,J282,K282),1))</f>
        <v/>
      </c>
      <c r="M282">
        <f>IF(L282="","",IF(L282&gt;=85,"Excellent",IF(L282&gt;=70,"Good",IF(L282&gt;=55,"Mixed","Poor"))))</f>
        <v/>
      </c>
      <c r="N282" s="66" t="n"/>
      <c r="O282" t="inlineStr">
        <is>
          <t>https://www.imdb.com/find/?q=Sherlock+Holmes+2009</t>
        </is>
      </c>
      <c r="P282" t="inlineStr">
        <is>
          <t>https://www.rottentomatoes.com/search?search=Sherlock+Holmes</t>
        </is>
      </c>
      <c r="Q282" t="inlineStr">
        <is>
          <t>https://letterboxd.com/search/Sherlock%20Holmes/</t>
        </is>
      </c>
      <c r="R282" t="inlineStr">
        <is>
          <t>https://www.metacritic.com/search/Sherlock+Holmes/</t>
        </is>
      </c>
    </row>
    <row r="283">
      <c r="A283" t="inlineStr">
        <is>
          <t>F0279</t>
        </is>
      </c>
      <c r="B283" t="inlineStr">
        <is>
          <t>Sherlock Holmes: A Game of Shadows</t>
        </is>
      </c>
      <c r="C283" s="63" t="inlineStr">
        <is>
          <t>2011</t>
        </is>
      </c>
      <c r="E283" s="82" t="n"/>
      <c r="F283" s="85" t="n"/>
      <c r="G283" s="71" t="n"/>
      <c r="H283" s="71" t="n"/>
      <c r="I283" s="83" t="n"/>
      <c r="J283" s="71" t="n"/>
      <c r="K283" s="82" t="n"/>
      <c r="L283" s="82">
        <f>IF(COUNT(E283,G283,H283,I283,J283,K283)=0,"",ROUND((IF(E283="",0,E283*10)+IF(G283="",0,G283)+IF(H283="",0,H283)+IF(I283="",0,I283*20)+IF(J283="",0,J283)+IF(K283="",0,K283*10))/COUNT(E283,G283,H283,I283,J283,K283),1))</f>
        <v/>
      </c>
      <c r="M283">
        <f>IF(L283="","",IF(L283&gt;=85,"Excellent",IF(L283&gt;=70,"Good",IF(L283&gt;=55,"Mixed","Poor"))))</f>
        <v/>
      </c>
      <c r="N283" s="66" t="n"/>
      <c r="O283" t="inlineStr">
        <is>
          <t>https://www.imdb.com/find/?q=Sherlock+Holmes%3A+A+Game+of+Shadows+2011</t>
        </is>
      </c>
      <c r="P283" t="inlineStr">
        <is>
          <t>https://www.rottentomatoes.com/search?search=Sherlock+Holmes%3A+A+Game+of+Shadows</t>
        </is>
      </c>
      <c r="Q283" t="inlineStr">
        <is>
          <t>https://letterboxd.com/search/Sherlock%20Holmes%3A%20A%20Game%20of%20Shadows/</t>
        </is>
      </c>
      <c r="R283" t="inlineStr">
        <is>
          <t>https://www.metacritic.com/search/Sherlock+Holmes%3A+A+Game+of+Shadows/</t>
        </is>
      </c>
    </row>
    <row r="284">
      <c r="A284" t="inlineStr">
        <is>
          <t>F0280</t>
        </is>
      </c>
      <c r="B284" t="inlineStr">
        <is>
          <t>Sing</t>
        </is>
      </c>
      <c r="C284" s="63" t="inlineStr">
        <is>
          <t>2016</t>
        </is>
      </c>
      <c r="E284" s="82" t="n"/>
      <c r="F284" s="85" t="n"/>
      <c r="G284" s="71" t="n"/>
      <c r="H284" s="71" t="n"/>
      <c r="I284" s="83" t="n"/>
      <c r="J284" s="71" t="n"/>
      <c r="K284" s="82" t="n"/>
      <c r="L284" s="82">
        <f>IF(COUNT(E284,G284,H284,I284,J284,K284)=0,"",ROUND((IF(E284="",0,E284*10)+IF(G284="",0,G284)+IF(H284="",0,H284)+IF(I284="",0,I284*20)+IF(J284="",0,J284)+IF(K284="",0,K284*10))/COUNT(E284,G284,H284,I284,J284,K284),1))</f>
        <v/>
      </c>
      <c r="M284">
        <f>IF(L284="","",IF(L284&gt;=85,"Excellent",IF(L284&gt;=70,"Good",IF(L284&gt;=55,"Mixed","Poor"))))</f>
        <v/>
      </c>
      <c r="N284" s="66" t="n"/>
      <c r="O284" t="inlineStr">
        <is>
          <t>https://www.imdb.com/find/?q=Sing+2016</t>
        </is>
      </c>
      <c r="P284" t="inlineStr">
        <is>
          <t>https://www.rottentomatoes.com/search?search=Sing</t>
        </is>
      </c>
      <c r="Q284" t="inlineStr">
        <is>
          <t>https://letterboxd.com/search/Sing/</t>
        </is>
      </c>
      <c r="R284" t="inlineStr">
        <is>
          <t>https://www.metacritic.com/search/Sing/</t>
        </is>
      </c>
    </row>
    <row r="285">
      <c r="A285" t="inlineStr">
        <is>
          <t>F0281</t>
        </is>
      </c>
      <c r="B285" t="inlineStr">
        <is>
          <t>Slumdog Millionaire</t>
        </is>
      </c>
      <c r="C285" s="63" t="inlineStr">
        <is>
          <t>2008</t>
        </is>
      </c>
      <c r="E285" s="82" t="n"/>
      <c r="F285" s="85" t="n"/>
      <c r="G285" s="71" t="n"/>
      <c r="H285" s="71" t="n"/>
      <c r="I285" s="83" t="n"/>
      <c r="J285" s="71" t="n"/>
      <c r="K285" s="82" t="n"/>
      <c r="L285" s="82">
        <f>IF(COUNT(E285,G285,H285,I285,J285,K285)=0,"",ROUND((IF(E285="",0,E285*10)+IF(G285="",0,G285)+IF(H285="",0,H285)+IF(I285="",0,I285*20)+IF(J285="",0,J285)+IF(K285="",0,K285*10))/COUNT(E285,G285,H285,I285,J285,K285),1))</f>
        <v/>
      </c>
      <c r="M285">
        <f>IF(L285="","",IF(L285&gt;=85,"Excellent",IF(L285&gt;=70,"Good",IF(L285&gt;=55,"Mixed","Poor"))))</f>
        <v/>
      </c>
      <c r="N285" s="66" t="n"/>
      <c r="O285" t="inlineStr">
        <is>
          <t>https://www.imdb.com/find/?q=Slumdog+Millionaire+2008</t>
        </is>
      </c>
      <c r="P285" t="inlineStr">
        <is>
          <t>https://www.rottentomatoes.com/search?search=Slumdog+Millionaire</t>
        </is>
      </c>
      <c r="Q285" t="inlineStr">
        <is>
          <t>https://letterboxd.com/search/Slumdog%20Millionaire/</t>
        </is>
      </c>
      <c r="R285" t="inlineStr">
        <is>
          <t>https://www.metacritic.com/search/Slumdog+Millionaire/</t>
        </is>
      </c>
    </row>
    <row r="286">
      <c r="A286" t="inlineStr">
        <is>
          <t>F0282</t>
        </is>
      </c>
      <c r="B286" t="inlineStr">
        <is>
          <t>The Smurfs 2</t>
        </is>
      </c>
      <c r="C286" s="63" t="inlineStr">
        <is>
          <t>2013</t>
        </is>
      </c>
      <c r="E286" s="82" t="n"/>
      <c r="F286" s="85" t="n"/>
      <c r="G286" s="71" t="n"/>
      <c r="H286" s="71" t="n"/>
      <c r="I286" s="83" t="n"/>
      <c r="J286" s="71" t="n"/>
      <c r="K286" s="82" t="n"/>
      <c r="L286" s="82">
        <f>IF(COUNT(E286,G286,H286,I286,J286,K286)=0,"",ROUND((IF(E286="",0,E286*10)+IF(G286="",0,G286)+IF(H286="",0,H286)+IF(I286="",0,I286*20)+IF(J286="",0,J286)+IF(K286="",0,K286*10))/COUNT(E286,G286,H286,I286,J286,K286),1))</f>
        <v/>
      </c>
      <c r="M286">
        <f>IF(L286="","",IF(L286&gt;=85,"Excellent",IF(L286&gt;=70,"Good",IF(L286&gt;=55,"Mixed","Poor"))))</f>
        <v/>
      </c>
      <c r="N286" s="66" t="n"/>
      <c r="O286" t="inlineStr">
        <is>
          <t>https://www.imdb.com/find/?q=The+Smurfs+2+2013</t>
        </is>
      </c>
      <c r="P286" t="inlineStr">
        <is>
          <t>https://www.rottentomatoes.com/search?search=The+Smurfs+2</t>
        </is>
      </c>
      <c r="Q286" t="inlineStr">
        <is>
          <t>https://letterboxd.com/search/The%20Smurfs%202/</t>
        </is>
      </c>
      <c r="R286" t="inlineStr">
        <is>
          <t>https://www.metacritic.com/search/The+Smurfs+2/</t>
        </is>
      </c>
    </row>
    <row r="287">
      <c r="A287" t="inlineStr">
        <is>
          <t>F0283</t>
        </is>
      </c>
      <c r="B287" t="inlineStr">
        <is>
          <t>Snowpiercer</t>
        </is>
      </c>
      <c r="C287" s="63" t="inlineStr">
        <is>
          <t>2013</t>
        </is>
      </c>
      <c r="E287" s="82" t="n"/>
      <c r="F287" s="85" t="n"/>
      <c r="G287" s="71" t="n"/>
      <c r="H287" s="71" t="n"/>
      <c r="I287" s="83" t="n"/>
      <c r="J287" s="71" t="n"/>
      <c r="K287" s="82" t="n"/>
      <c r="L287" s="82">
        <f>IF(COUNT(E287,G287,H287,I287,J287,K287)=0,"",ROUND((IF(E287="",0,E287*10)+IF(G287="",0,G287)+IF(H287="",0,H287)+IF(I287="",0,I287*20)+IF(J287="",0,J287)+IF(K287="",0,K287*10))/COUNT(E287,G287,H287,I287,J287,K287),1))</f>
        <v/>
      </c>
      <c r="M287">
        <f>IF(L287="","",IF(L287&gt;=85,"Excellent",IF(L287&gt;=70,"Good",IF(L287&gt;=55,"Mixed","Poor"))))</f>
        <v/>
      </c>
      <c r="N287" s="66" t="n"/>
      <c r="O287" t="inlineStr">
        <is>
          <t>https://www.imdb.com/find/?q=Snowpiercer+2013</t>
        </is>
      </c>
      <c r="P287" t="inlineStr">
        <is>
          <t>https://www.rottentomatoes.com/search?search=Snowpiercer</t>
        </is>
      </c>
      <c r="Q287" t="inlineStr">
        <is>
          <t>https://letterboxd.com/search/Snowpiercer/</t>
        </is>
      </c>
      <c r="R287" t="inlineStr">
        <is>
          <t>https://www.metacritic.com/search/Snowpiercer/</t>
        </is>
      </c>
    </row>
    <row r="288">
      <c r="A288" t="inlineStr">
        <is>
          <t>F0284</t>
        </is>
      </c>
      <c r="B288" t="inlineStr">
        <is>
          <t>Snow White and the Huntsman</t>
        </is>
      </c>
      <c r="C288" s="63" t="inlineStr">
        <is>
          <t>2012</t>
        </is>
      </c>
      <c r="E288" s="82" t="n"/>
      <c r="F288" s="85" t="n"/>
      <c r="G288" s="71" t="n"/>
      <c r="H288" s="71" t="n"/>
      <c r="I288" s="83" t="n"/>
      <c r="J288" s="71" t="n"/>
      <c r="K288" s="82" t="n"/>
      <c r="L288" s="82">
        <f>IF(COUNT(E288,G288,H288,I288,J288,K288)=0,"",ROUND((IF(E288="",0,E288*10)+IF(G288="",0,G288)+IF(H288="",0,H288)+IF(I288="",0,I288*20)+IF(J288="",0,J288)+IF(K288="",0,K288*10))/COUNT(E288,G288,H288,I288,J288,K288),1))</f>
        <v/>
      </c>
      <c r="M288">
        <f>IF(L288="","",IF(L288&gt;=85,"Excellent",IF(L288&gt;=70,"Good",IF(L288&gt;=55,"Mixed","Poor"))))</f>
        <v/>
      </c>
      <c r="N288" s="66" t="n"/>
      <c r="O288" t="inlineStr">
        <is>
          <t>https://www.imdb.com/find/?q=Snow+White+and+the+Huntsman+2012</t>
        </is>
      </c>
      <c r="P288" t="inlineStr">
        <is>
          <t>https://www.rottentomatoes.com/search?search=Snow+White+and+the+Huntsman</t>
        </is>
      </c>
      <c r="Q288" t="inlineStr">
        <is>
          <t>https://letterboxd.com/search/Snow%20White%20and%20the%20Huntsman/</t>
        </is>
      </c>
      <c r="R288" t="inlineStr">
        <is>
          <t>https://www.metacritic.com/search/Snow+White+and+the+Huntsman/</t>
        </is>
      </c>
    </row>
    <row r="289">
      <c r="A289" t="inlineStr">
        <is>
          <t>F0285</t>
        </is>
      </c>
      <c r="B289" t="inlineStr">
        <is>
          <t>Source Code</t>
        </is>
      </c>
      <c r="C289" s="63" t="inlineStr">
        <is>
          <t>2011</t>
        </is>
      </c>
      <c r="E289" s="82" t="n"/>
      <c r="F289" s="85" t="n"/>
      <c r="G289" s="71" t="n"/>
      <c r="H289" s="71" t="n"/>
      <c r="I289" s="83" t="n"/>
      <c r="J289" s="71" t="n"/>
      <c r="K289" s="82" t="n"/>
      <c r="L289" s="82">
        <f>IF(COUNT(E289,G289,H289,I289,J289,K289)=0,"",ROUND((IF(E289="",0,E289*10)+IF(G289="",0,G289)+IF(H289="",0,H289)+IF(I289="",0,I289*20)+IF(J289="",0,J289)+IF(K289="",0,K289*10))/COUNT(E289,G289,H289,I289,J289,K289),1))</f>
        <v/>
      </c>
      <c r="M289">
        <f>IF(L289="","",IF(L289&gt;=85,"Excellent",IF(L289&gt;=70,"Good",IF(L289&gt;=55,"Mixed","Poor"))))</f>
        <v/>
      </c>
      <c r="N289" s="66" t="n"/>
      <c r="O289" t="inlineStr">
        <is>
          <t>https://www.imdb.com/find/?q=Source+Code+2011</t>
        </is>
      </c>
      <c r="P289" t="inlineStr">
        <is>
          <t>https://www.rottentomatoes.com/search?search=Source+Code</t>
        </is>
      </c>
      <c r="Q289" t="inlineStr">
        <is>
          <t>https://letterboxd.com/search/Source%20Code/</t>
        </is>
      </c>
      <c r="R289" t="inlineStr">
        <is>
          <t>https://www.metacritic.com/search/Source+Code/</t>
        </is>
      </c>
    </row>
    <row r="290">
      <c r="A290" t="inlineStr">
        <is>
          <t>F0286</t>
        </is>
      </c>
      <c r="B290" t="inlineStr">
        <is>
          <t>Southpaw</t>
        </is>
      </c>
      <c r="C290" s="63" t="inlineStr">
        <is>
          <t>2015</t>
        </is>
      </c>
      <c r="E290" s="82" t="n"/>
      <c r="F290" s="85" t="n"/>
      <c r="G290" s="71" t="n"/>
      <c r="H290" s="71" t="n"/>
      <c r="I290" s="83" t="n"/>
      <c r="J290" s="71" t="n"/>
      <c r="K290" s="82" t="n"/>
      <c r="L290" s="82">
        <f>IF(COUNT(E290,G290,H290,I290,J290,K290)=0,"",ROUND((IF(E290="",0,E290*10)+IF(G290="",0,G290)+IF(H290="",0,H290)+IF(I290="",0,I290*20)+IF(J290="",0,J290)+IF(K290="",0,K290*10))/COUNT(E290,G290,H290,I290,J290,K290),1))</f>
        <v/>
      </c>
      <c r="M290">
        <f>IF(L290="","",IF(L290&gt;=85,"Excellent",IF(L290&gt;=70,"Good",IF(L290&gt;=55,"Mixed","Poor"))))</f>
        <v/>
      </c>
      <c r="N290" s="66" t="n"/>
      <c r="O290" t="inlineStr">
        <is>
          <t>https://www.imdb.com/find/?q=Southpaw+2015</t>
        </is>
      </c>
      <c r="P290" t="inlineStr">
        <is>
          <t>https://www.rottentomatoes.com/search?search=Southpaw</t>
        </is>
      </c>
      <c r="Q290" t="inlineStr">
        <is>
          <t>https://letterboxd.com/search/Southpaw/</t>
        </is>
      </c>
      <c r="R290" t="inlineStr">
        <is>
          <t>https://www.metacritic.com/search/Southpaw/</t>
        </is>
      </c>
    </row>
    <row r="291">
      <c r="A291" t="inlineStr">
        <is>
          <t>F0287</t>
        </is>
      </c>
      <c r="B291" t="inlineStr">
        <is>
          <t>Spider-Man</t>
        </is>
      </c>
      <c r="C291" s="63" t="inlineStr">
        <is>
          <t>2002</t>
        </is>
      </c>
      <c r="E291" s="82" t="n"/>
      <c r="F291" s="85" t="n"/>
      <c r="G291" s="71" t="n"/>
      <c r="H291" s="71" t="n"/>
      <c r="I291" s="83" t="n"/>
      <c r="J291" s="71" t="n"/>
      <c r="K291" s="82" t="n"/>
      <c r="L291" s="82">
        <f>IF(COUNT(E291,G291,H291,I291,J291,K291)=0,"",ROUND((IF(E291="",0,E291*10)+IF(G291="",0,G291)+IF(H291="",0,H291)+IF(I291="",0,I291*20)+IF(J291="",0,J291)+IF(K291="",0,K291*10))/COUNT(E291,G291,H291,I291,J291,K291),1))</f>
        <v/>
      </c>
      <c r="M291">
        <f>IF(L291="","",IF(L291&gt;=85,"Excellent",IF(L291&gt;=70,"Good",IF(L291&gt;=55,"Mixed","Poor"))))</f>
        <v/>
      </c>
      <c r="N291" s="66" t="n"/>
      <c r="O291" t="inlineStr">
        <is>
          <t>https://www.imdb.com/find/?q=Spider-Man+2002</t>
        </is>
      </c>
      <c r="P291" t="inlineStr">
        <is>
          <t>https://www.rottentomatoes.com/search?search=Spider-Man</t>
        </is>
      </c>
      <c r="Q291" t="inlineStr">
        <is>
          <t>https://letterboxd.com/search/Spider-Man/</t>
        </is>
      </c>
      <c r="R291" t="inlineStr">
        <is>
          <t>https://www.metacritic.com/search/Spider-Man/</t>
        </is>
      </c>
    </row>
    <row r="292">
      <c r="A292" t="inlineStr">
        <is>
          <t>F0288</t>
        </is>
      </c>
      <c r="B292" t="inlineStr">
        <is>
          <t>Spider-Man 2</t>
        </is>
      </c>
      <c r="C292" s="63" t="inlineStr">
        <is>
          <t>2004</t>
        </is>
      </c>
      <c r="E292" s="82" t="n"/>
      <c r="F292" s="85" t="n"/>
      <c r="G292" s="71" t="n"/>
      <c r="H292" s="71" t="n"/>
      <c r="I292" s="83" t="n"/>
      <c r="J292" s="71" t="n"/>
      <c r="K292" s="82" t="n"/>
      <c r="L292" s="82">
        <f>IF(COUNT(E292,G292,H292,I292,J292,K292)=0,"",ROUND((IF(E292="",0,E292*10)+IF(G292="",0,G292)+IF(H292="",0,H292)+IF(I292="",0,I292*20)+IF(J292="",0,J292)+IF(K292="",0,K292*10))/COUNT(E292,G292,H292,I292,J292,K292),1))</f>
        <v/>
      </c>
      <c r="M292">
        <f>IF(L292="","",IF(L292&gt;=85,"Excellent",IF(L292&gt;=70,"Good",IF(L292&gt;=55,"Mixed","Poor"))))</f>
        <v/>
      </c>
      <c r="N292" s="66" t="n"/>
      <c r="O292" t="inlineStr">
        <is>
          <t>https://www.imdb.com/find/?q=Spider-Man+2+2004</t>
        </is>
      </c>
      <c r="P292" t="inlineStr">
        <is>
          <t>https://www.rottentomatoes.com/search?search=Spider-Man+2</t>
        </is>
      </c>
      <c r="Q292" t="inlineStr">
        <is>
          <t>https://letterboxd.com/search/Spider-Man%202/</t>
        </is>
      </c>
      <c r="R292" t="inlineStr">
        <is>
          <t>https://www.metacritic.com/search/Spider-Man+2/</t>
        </is>
      </c>
    </row>
    <row r="293">
      <c r="A293" t="inlineStr">
        <is>
          <t>F0289</t>
        </is>
      </c>
      <c r="B293" t="inlineStr">
        <is>
          <t>Spider-Man 3</t>
        </is>
      </c>
      <c r="C293" s="63" t="inlineStr">
        <is>
          <t>2007</t>
        </is>
      </c>
      <c r="E293" s="82" t="n"/>
      <c r="F293" s="85" t="n"/>
      <c r="G293" s="71" t="n"/>
      <c r="H293" s="71" t="n"/>
      <c r="I293" s="83" t="n"/>
      <c r="J293" s="71" t="n"/>
      <c r="K293" s="82" t="n"/>
      <c r="L293" s="82">
        <f>IF(COUNT(E293,G293,H293,I293,J293,K293)=0,"",ROUND((IF(E293="",0,E293*10)+IF(G293="",0,G293)+IF(H293="",0,H293)+IF(I293="",0,I293*20)+IF(J293="",0,J293)+IF(K293="",0,K293*10))/COUNT(E293,G293,H293,I293,J293,K293),1))</f>
        <v/>
      </c>
      <c r="M293">
        <f>IF(L293="","",IF(L293&gt;=85,"Excellent",IF(L293&gt;=70,"Good",IF(L293&gt;=55,"Mixed","Poor"))))</f>
        <v/>
      </c>
      <c r="N293" s="66" t="n"/>
      <c r="O293" t="inlineStr">
        <is>
          <t>https://www.imdb.com/find/?q=Spider-Man+3+2007</t>
        </is>
      </c>
      <c r="P293" t="inlineStr">
        <is>
          <t>https://www.rottentomatoes.com/search?search=Spider-Man+3</t>
        </is>
      </c>
      <c r="Q293" t="inlineStr">
        <is>
          <t>https://letterboxd.com/search/Spider-Man%203/</t>
        </is>
      </c>
      <c r="R293" t="inlineStr">
        <is>
          <t>https://www.metacritic.com/search/Spider-Man+3/</t>
        </is>
      </c>
    </row>
    <row r="294">
      <c r="A294" t="inlineStr">
        <is>
          <t>F0290</t>
        </is>
      </c>
      <c r="B294" t="inlineStr">
        <is>
          <t>Spy</t>
        </is>
      </c>
      <c r="C294" s="63" t="inlineStr">
        <is>
          <t>2015</t>
        </is>
      </c>
      <c r="E294" s="82" t="n"/>
      <c r="F294" s="85" t="n"/>
      <c r="G294" s="71" t="n"/>
      <c r="H294" s="71" t="n"/>
      <c r="I294" s="83" t="n"/>
      <c r="J294" s="71" t="n"/>
      <c r="K294" s="82" t="n"/>
      <c r="L294" s="82">
        <f>IF(COUNT(E294,G294,H294,I294,J294,K294)=0,"",ROUND((IF(E294="",0,E294*10)+IF(G294="",0,G294)+IF(H294="",0,H294)+IF(I294="",0,I294*20)+IF(J294="",0,J294)+IF(K294="",0,K294*10))/COUNT(E294,G294,H294,I294,J294,K294),1))</f>
        <v/>
      </c>
      <c r="M294">
        <f>IF(L294="","",IF(L294&gt;=85,"Excellent",IF(L294&gt;=70,"Good",IF(L294&gt;=55,"Mixed","Poor"))))</f>
        <v/>
      </c>
      <c r="N294" s="66" t="n"/>
      <c r="O294" t="inlineStr">
        <is>
          <t>https://www.imdb.com/find/?q=Spy+2015</t>
        </is>
      </c>
      <c r="P294" t="inlineStr">
        <is>
          <t>https://www.rottentomatoes.com/search?search=Spy</t>
        </is>
      </c>
      <c r="Q294" t="inlineStr">
        <is>
          <t>https://letterboxd.com/search/Spy/</t>
        </is>
      </c>
      <c r="R294" t="inlineStr">
        <is>
          <t>https://www.metacritic.com/search/Spy/</t>
        </is>
      </c>
    </row>
    <row r="295">
      <c r="A295" t="inlineStr">
        <is>
          <t>F0291</t>
        </is>
      </c>
      <c r="B295" t="inlineStr">
        <is>
          <t>Star Trek</t>
        </is>
      </c>
      <c r="C295" s="63" t="inlineStr">
        <is>
          <t>2009</t>
        </is>
      </c>
      <c r="E295" s="82" t="n"/>
      <c r="F295" s="85" t="n"/>
      <c r="G295" s="71" t="n"/>
      <c r="H295" s="71" t="n"/>
      <c r="I295" s="83" t="n"/>
      <c r="J295" s="71" t="n"/>
      <c r="K295" s="82" t="n"/>
      <c r="L295" s="82">
        <f>IF(COUNT(E295,G295,H295,I295,J295,K295)=0,"",ROUND((IF(E295="",0,E295*10)+IF(G295="",0,G295)+IF(H295="",0,H295)+IF(I295="",0,I295*20)+IF(J295="",0,J295)+IF(K295="",0,K295*10))/COUNT(E295,G295,H295,I295,J295,K295),1))</f>
        <v/>
      </c>
      <c r="M295">
        <f>IF(L295="","",IF(L295&gt;=85,"Excellent",IF(L295&gt;=70,"Good",IF(L295&gt;=55,"Mixed","Poor"))))</f>
        <v/>
      </c>
      <c r="N295" s="66" t="n"/>
      <c r="O295" t="inlineStr">
        <is>
          <t>https://www.imdb.com/find/?q=Star+Trek+2009</t>
        </is>
      </c>
      <c r="P295" t="inlineStr">
        <is>
          <t>https://www.rottentomatoes.com/search?search=Star+Trek</t>
        </is>
      </c>
      <c r="Q295" t="inlineStr">
        <is>
          <t>https://letterboxd.com/search/Star%20Trek/</t>
        </is>
      </c>
      <c r="R295" t="inlineStr">
        <is>
          <t>https://www.metacritic.com/search/Star+Trek/</t>
        </is>
      </c>
    </row>
    <row r="296">
      <c r="A296" t="inlineStr">
        <is>
          <t>F0292</t>
        </is>
      </c>
      <c r="B296" t="inlineStr">
        <is>
          <t>Star Wars: Episode I – The Phantom Menace</t>
        </is>
      </c>
      <c r="C296" s="63" t="inlineStr">
        <is>
          <t>1999</t>
        </is>
      </c>
      <c r="E296" s="82" t="n"/>
      <c r="F296" s="85" t="n"/>
      <c r="G296" s="71" t="n"/>
      <c r="H296" s="71" t="n"/>
      <c r="I296" s="83" t="n"/>
      <c r="J296" s="71" t="n"/>
      <c r="K296" s="82" t="n"/>
      <c r="L296" s="82">
        <f>IF(COUNT(E296,G296,H296,I296,J296,K296)=0,"",ROUND((IF(E296="",0,E296*10)+IF(G296="",0,G296)+IF(H296="",0,H296)+IF(I296="",0,I296*20)+IF(J296="",0,J296)+IF(K296="",0,K296*10))/COUNT(E296,G296,H296,I296,J296,K296),1))</f>
        <v/>
      </c>
      <c r="M296">
        <f>IF(L296="","",IF(L296&gt;=85,"Excellent",IF(L296&gt;=70,"Good",IF(L296&gt;=55,"Mixed","Poor"))))</f>
        <v/>
      </c>
      <c r="N296" s="66" t="n"/>
      <c r="O296" t="inlineStr">
        <is>
          <t>https://www.imdb.com/find/?q=Star+Wars%3A+Episode+I+%E2%80%93+The+Phantom+Menace+1999</t>
        </is>
      </c>
      <c r="P296" t="inlineStr">
        <is>
          <t>https://www.rottentomatoes.com/search?search=Star+Wars%3A+Episode+I+%E2%80%93+The+Phantom+Menace</t>
        </is>
      </c>
      <c r="Q296" t="inlineStr">
        <is>
          <t>https://letterboxd.com/search/Star%20Wars%3A%20Episode%20I%20%E2%80%93%20The%20Phantom%20Menace/</t>
        </is>
      </c>
      <c r="R296" t="inlineStr">
        <is>
          <t>https://www.metacritic.com/search/Star+Wars%3A+Episode+I+%E2%80%93+The+Phantom+Menace/</t>
        </is>
      </c>
    </row>
    <row r="297">
      <c r="A297" t="inlineStr">
        <is>
          <t>F0293</t>
        </is>
      </c>
      <c r="B297" t="inlineStr">
        <is>
          <t>Star Wars: Episode II – Attack of the Clones</t>
        </is>
      </c>
      <c r="C297" s="63" t="inlineStr">
        <is>
          <t>2002</t>
        </is>
      </c>
      <c r="E297" s="82" t="n"/>
      <c r="F297" s="85" t="n"/>
      <c r="G297" s="71" t="n"/>
      <c r="H297" s="71" t="n"/>
      <c r="I297" s="83" t="n"/>
      <c r="J297" s="71" t="n"/>
      <c r="K297" s="82" t="n"/>
      <c r="L297" s="82">
        <f>IF(COUNT(E297,G297,H297,I297,J297,K297)=0,"",ROUND((IF(E297="",0,E297*10)+IF(G297="",0,G297)+IF(H297="",0,H297)+IF(I297="",0,I297*20)+IF(J297="",0,J297)+IF(K297="",0,K297*10))/COUNT(E297,G297,H297,I297,J297,K297),1))</f>
        <v/>
      </c>
      <c r="M297">
        <f>IF(L297="","",IF(L297&gt;=85,"Excellent",IF(L297&gt;=70,"Good",IF(L297&gt;=55,"Mixed","Poor"))))</f>
        <v/>
      </c>
      <c r="N297" s="66" t="n"/>
      <c r="O297" t="inlineStr">
        <is>
          <t>https://www.imdb.com/find/?q=Star+Wars%3A+Episode+II+%E2%80%93+Attack+of+the+Clones+2002</t>
        </is>
      </c>
      <c r="P297" t="inlineStr">
        <is>
          <t>https://www.rottentomatoes.com/search?search=Star+Wars%3A+Episode+II+%E2%80%93+Attack+of+the+Clones</t>
        </is>
      </c>
      <c r="Q297" t="inlineStr">
        <is>
          <t>https://letterboxd.com/search/Star%20Wars%3A%20Episode%20II%20%E2%80%93%20Attack%20of%20the%20Clones/</t>
        </is>
      </c>
      <c r="R297" t="inlineStr">
        <is>
          <t>https://www.metacritic.com/search/Star+Wars%3A+Episode+II+%E2%80%93+Attack+of+the+Clones/</t>
        </is>
      </c>
    </row>
    <row r="298">
      <c r="A298" t="inlineStr">
        <is>
          <t>F0294</t>
        </is>
      </c>
      <c r="B298" t="inlineStr">
        <is>
          <t>Star Wars: Episode III – Revenge of the Sith</t>
        </is>
      </c>
      <c r="C298" s="63" t="inlineStr">
        <is>
          <t>2005</t>
        </is>
      </c>
      <c r="E298" s="82" t="n"/>
      <c r="F298" s="85" t="n"/>
      <c r="G298" s="71" t="n"/>
      <c r="H298" s="71" t="n"/>
      <c r="I298" s="83" t="n"/>
      <c r="J298" s="71" t="n"/>
      <c r="K298" s="82" t="n"/>
      <c r="L298" s="82">
        <f>IF(COUNT(E298,G298,H298,I298,J298,K298)=0,"",ROUND((IF(E298="",0,E298*10)+IF(G298="",0,G298)+IF(H298="",0,H298)+IF(I298="",0,I298*20)+IF(J298="",0,J298)+IF(K298="",0,K298*10))/COUNT(E298,G298,H298,I298,J298,K298),1))</f>
        <v/>
      </c>
      <c r="M298">
        <f>IF(L298="","",IF(L298&gt;=85,"Excellent",IF(L298&gt;=70,"Good",IF(L298&gt;=55,"Mixed","Poor"))))</f>
        <v/>
      </c>
      <c r="N298" s="66" t="n"/>
      <c r="O298" t="inlineStr">
        <is>
          <t>https://www.imdb.com/find/?q=Star+Wars%3A+Episode+III+%E2%80%93+Revenge+of+the+Sith+2005</t>
        </is>
      </c>
      <c r="P298" t="inlineStr">
        <is>
          <t>https://www.rottentomatoes.com/search?search=Star+Wars%3A+Episode+III+%E2%80%93+Revenge+of+the+Sith</t>
        </is>
      </c>
      <c r="Q298" t="inlineStr">
        <is>
          <t>https://letterboxd.com/search/Star%20Wars%3A%20Episode%20III%20%E2%80%93%20Revenge%20of%20the%20Sith/</t>
        </is>
      </c>
      <c r="R298" t="inlineStr">
        <is>
          <t>https://www.metacritic.com/search/Star+Wars%3A+Episode+III+%E2%80%93+Revenge+of+the+Sith/</t>
        </is>
      </c>
    </row>
    <row r="299">
      <c r="A299" t="inlineStr">
        <is>
          <t>F0295</t>
        </is>
      </c>
      <c r="B299" t="inlineStr">
        <is>
          <t>Star Wars: Episode IV – A New Hope</t>
        </is>
      </c>
      <c r="C299" s="63" t="inlineStr">
        <is>
          <t>1977</t>
        </is>
      </c>
      <c r="E299" s="82" t="n"/>
      <c r="F299" s="85" t="n"/>
      <c r="G299" s="71" t="n"/>
      <c r="H299" s="71" t="n"/>
      <c r="I299" s="83" t="n"/>
      <c r="J299" s="71" t="n"/>
      <c r="K299" s="82" t="n"/>
      <c r="L299" s="82">
        <f>IF(COUNT(E299,G299,H299,I299,J299,K299)=0,"",ROUND((IF(E299="",0,E299*10)+IF(G299="",0,G299)+IF(H299="",0,H299)+IF(I299="",0,I299*20)+IF(J299="",0,J299)+IF(K299="",0,K299*10))/COUNT(E299,G299,H299,I299,J299,K299),1))</f>
        <v/>
      </c>
      <c r="M299">
        <f>IF(L299="","",IF(L299&gt;=85,"Excellent",IF(L299&gt;=70,"Good",IF(L299&gt;=55,"Mixed","Poor"))))</f>
        <v/>
      </c>
      <c r="N299" s="66" t="n"/>
      <c r="O299" t="inlineStr">
        <is>
          <t>https://www.imdb.com/find/?q=Star+Wars%3A+Episode+IV+%E2%80%93+A+New+Hope+1977</t>
        </is>
      </c>
      <c r="P299" t="inlineStr">
        <is>
          <t>https://www.rottentomatoes.com/search?search=Star+Wars%3A+Episode+IV+%E2%80%93+A+New+Hope</t>
        </is>
      </c>
      <c r="Q299" t="inlineStr">
        <is>
          <t>https://letterboxd.com/search/Star%20Wars%3A%20Episode%20IV%20%E2%80%93%20A%20New%20Hope/</t>
        </is>
      </c>
      <c r="R299" t="inlineStr">
        <is>
          <t>https://www.metacritic.com/search/Star+Wars%3A+Episode+IV+%E2%80%93+A+New+Hope/</t>
        </is>
      </c>
    </row>
    <row r="300">
      <c r="A300" t="inlineStr">
        <is>
          <t>F0296</t>
        </is>
      </c>
      <c r="B300" t="inlineStr">
        <is>
          <t>Star Wars: Episode V – The Empire Strikes Back</t>
        </is>
      </c>
      <c r="C300" s="63" t="inlineStr">
        <is>
          <t>1980</t>
        </is>
      </c>
      <c r="E300" s="82" t="n"/>
      <c r="F300" s="85" t="n"/>
      <c r="G300" s="71" t="n"/>
      <c r="H300" s="71" t="n"/>
      <c r="I300" s="83" t="n"/>
      <c r="J300" s="71" t="n"/>
      <c r="K300" s="82" t="n"/>
      <c r="L300" s="82">
        <f>IF(COUNT(E300,G300,H300,I300,J300,K300)=0,"",ROUND((IF(E300="",0,E300*10)+IF(G300="",0,G300)+IF(H300="",0,H300)+IF(I300="",0,I300*20)+IF(J300="",0,J300)+IF(K300="",0,K300*10))/COUNT(E300,G300,H300,I300,J300,K300),1))</f>
        <v/>
      </c>
      <c r="M300">
        <f>IF(L300="","",IF(L300&gt;=85,"Excellent",IF(L300&gt;=70,"Good",IF(L300&gt;=55,"Mixed","Poor"))))</f>
        <v/>
      </c>
      <c r="N300" s="66" t="n"/>
      <c r="O300" t="inlineStr">
        <is>
          <t>https://www.imdb.com/find/?q=Star+Wars%3A+Episode+V+%E2%80%93+The+Empire+Strikes+Back+1980</t>
        </is>
      </c>
      <c r="P300" t="inlineStr">
        <is>
          <t>https://www.rottentomatoes.com/search?search=Star+Wars%3A+Episode+V+%E2%80%93+The+Empire+Strikes+Back</t>
        </is>
      </c>
      <c r="Q300" t="inlineStr">
        <is>
          <t>https://letterboxd.com/search/Star%20Wars%3A%20Episode%20V%20%E2%80%93%20The%20Empire%20Strikes%20Back/</t>
        </is>
      </c>
      <c r="R300" t="inlineStr">
        <is>
          <t>https://www.metacritic.com/search/Star+Wars%3A+Episode+V+%E2%80%93+The+Empire+Strikes+Back/</t>
        </is>
      </c>
    </row>
    <row r="301">
      <c r="A301" t="inlineStr">
        <is>
          <t>F0297</t>
        </is>
      </c>
      <c r="B301" t="inlineStr">
        <is>
          <t>Star Wars: Episode VI – Return of the Jedi</t>
        </is>
      </c>
      <c r="C301" s="63" t="inlineStr">
        <is>
          <t>1983</t>
        </is>
      </c>
      <c r="E301" s="82" t="n"/>
      <c r="F301" s="85" t="n"/>
      <c r="G301" s="71" t="n"/>
      <c r="H301" s="71" t="n"/>
      <c r="I301" s="83" t="n"/>
      <c r="J301" s="71" t="n"/>
      <c r="K301" s="82" t="n"/>
      <c r="L301" s="82">
        <f>IF(COUNT(E301,G301,H301,I301,J301,K301)=0,"",ROUND((IF(E301="",0,E301*10)+IF(G301="",0,G301)+IF(H301="",0,H301)+IF(I301="",0,I301*20)+IF(J301="",0,J301)+IF(K301="",0,K301*10))/COUNT(E301,G301,H301,I301,J301,K301),1))</f>
        <v/>
      </c>
      <c r="M301">
        <f>IF(L301="","",IF(L301&gt;=85,"Excellent",IF(L301&gt;=70,"Good",IF(L301&gt;=55,"Mixed","Poor"))))</f>
        <v/>
      </c>
      <c r="N301" s="66" t="n"/>
      <c r="O301" t="inlineStr">
        <is>
          <t>https://www.imdb.com/find/?q=Star+Wars%3A+Episode+VI+%E2%80%93+Return+of+the+Jedi+1983</t>
        </is>
      </c>
      <c r="P301" t="inlineStr">
        <is>
          <t>https://www.rottentomatoes.com/search?search=Star+Wars%3A+Episode+VI+%E2%80%93+Return+of+the+Jedi</t>
        </is>
      </c>
      <c r="Q301" t="inlineStr">
        <is>
          <t>https://letterboxd.com/search/Star%20Wars%3A%20Episode%20VI%20%E2%80%93%20Return%20of%20the%20Jedi/</t>
        </is>
      </c>
      <c r="R301" t="inlineStr">
        <is>
          <t>https://www.metacritic.com/search/Star+Wars%3A+Episode+VI+%E2%80%93+Return+of+the+Jedi/</t>
        </is>
      </c>
    </row>
    <row r="302">
      <c r="A302" t="inlineStr">
        <is>
          <t>F0298</t>
        </is>
      </c>
      <c r="B302" t="inlineStr">
        <is>
          <t>Star Wars: The Force Awakens</t>
        </is>
      </c>
      <c r="C302" s="63" t="inlineStr">
        <is>
          <t>2015</t>
        </is>
      </c>
      <c r="E302" s="82" t="n"/>
      <c r="F302" s="85" t="n"/>
      <c r="G302" s="71" t="n"/>
      <c r="H302" s="71" t="n"/>
      <c r="I302" s="83" t="n"/>
      <c r="J302" s="71" t="n"/>
      <c r="K302" s="82" t="n"/>
      <c r="L302" s="82">
        <f>IF(COUNT(E302,G302,H302,I302,J302,K302)=0,"",ROUND((IF(E302="",0,E302*10)+IF(G302="",0,G302)+IF(H302="",0,H302)+IF(I302="",0,I302*20)+IF(J302="",0,J302)+IF(K302="",0,K302*10))/COUNT(E302,G302,H302,I302,J302,K302),1))</f>
        <v/>
      </c>
      <c r="M302">
        <f>IF(L302="","",IF(L302&gt;=85,"Excellent",IF(L302&gt;=70,"Good",IF(L302&gt;=55,"Mixed","Poor"))))</f>
        <v/>
      </c>
      <c r="N302" s="66" t="n"/>
      <c r="O302" t="inlineStr">
        <is>
          <t>https://www.imdb.com/find/?q=Star+Wars%3A+The+Force+Awakens+2015</t>
        </is>
      </c>
      <c r="P302" t="inlineStr">
        <is>
          <t>https://www.rottentomatoes.com/search?search=Star+Wars%3A+The+Force+Awakens</t>
        </is>
      </c>
      <c r="Q302" t="inlineStr">
        <is>
          <t>https://letterboxd.com/search/Star%20Wars%3A%20The%20Force%20Awakens/</t>
        </is>
      </c>
      <c r="R302" t="inlineStr">
        <is>
          <t>https://www.metacritic.com/search/Star+Wars%3A+The+Force+Awakens/</t>
        </is>
      </c>
    </row>
    <row r="303">
      <c r="A303" t="inlineStr">
        <is>
          <t>F0299</t>
        </is>
      </c>
      <c r="B303" t="inlineStr">
        <is>
          <t>Star Wars: The Last Jedi</t>
        </is>
      </c>
      <c r="C303" s="63" t="inlineStr">
        <is>
          <t>2017</t>
        </is>
      </c>
      <c r="E303" s="82" t="n"/>
      <c r="F303" s="85" t="n"/>
      <c r="G303" s="71" t="n"/>
      <c r="H303" s="71" t="n"/>
      <c r="I303" s="83" t="n"/>
      <c r="J303" s="71" t="n"/>
      <c r="K303" s="82" t="n"/>
      <c r="L303" s="82">
        <f>IF(COUNT(E303,G303,H303,I303,J303,K303)=0,"",ROUND((IF(E303="",0,E303*10)+IF(G303="",0,G303)+IF(H303="",0,H303)+IF(I303="",0,I303*20)+IF(J303="",0,J303)+IF(K303="",0,K303*10))/COUNT(E303,G303,H303,I303,J303,K303),1))</f>
        <v/>
      </c>
      <c r="M303">
        <f>IF(L303="","",IF(L303&gt;=85,"Excellent",IF(L303&gt;=70,"Good",IF(L303&gt;=55,"Mixed","Poor"))))</f>
        <v/>
      </c>
      <c r="N303" s="66" t="n"/>
      <c r="O303" t="inlineStr">
        <is>
          <t>https://www.imdb.com/find/?q=Star+Wars%3A+The+Last+Jedi+2017</t>
        </is>
      </c>
      <c r="P303" t="inlineStr">
        <is>
          <t>https://www.rottentomatoes.com/search?search=Star+Wars%3A+The+Last+Jedi</t>
        </is>
      </c>
      <c r="Q303" t="inlineStr">
        <is>
          <t>https://letterboxd.com/search/Star%20Wars%3A%20The%20Last%20Jedi/</t>
        </is>
      </c>
      <c r="R303" t="inlineStr">
        <is>
          <t>https://www.metacritic.com/search/Star+Wars%3A+The+Last+Jedi/</t>
        </is>
      </c>
    </row>
    <row r="304">
      <c r="A304" t="inlineStr">
        <is>
          <t>F0300</t>
        </is>
      </c>
      <c r="B304" t="inlineStr">
        <is>
          <t>Star Wars: The Rise of Skywalker</t>
        </is>
      </c>
      <c r="C304" s="63" t="inlineStr">
        <is>
          <t>2019</t>
        </is>
      </c>
      <c r="E304" s="82" t="n"/>
      <c r="F304" s="85" t="n"/>
      <c r="G304" s="71" t="n"/>
      <c r="H304" s="71" t="n"/>
      <c r="I304" s="83" t="n"/>
      <c r="J304" s="71" t="n"/>
      <c r="K304" s="82" t="n"/>
      <c r="L304" s="82">
        <f>IF(COUNT(E304,G304,H304,I304,J304,K304)=0,"",ROUND((IF(E304="",0,E304*10)+IF(G304="",0,G304)+IF(H304="",0,H304)+IF(I304="",0,I304*20)+IF(J304="",0,J304)+IF(K304="",0,K304*10))/COUNT(E304,G304,H304,I304,J304,K304),1))</f>
        <v/>
      </c>
      <c r="M304">
        <f>IF(L304="","",IF(L304&gt;=85,"Excellent",IF(L304&gt;=70,"Good",IF(L304&gt;=55,"Mixed","Poor"))))</f>
        <v/>
      </c>
      <c r="N304" s="66" t="n"/>
      <c r="O304" t="inlineStr">
        <is>
          <t>https://www.imdb.com/find/?q=Star+Wars%3A+The+Rise+of+Skywalker+2019</t>
        </is>
      </c>
      <c r="P304" t="inlineStr">
        <is>
          <t>https://www.rottentomatoes.com/search?search=Star+Wars%3A+The+Rise+of+Skywalker</t>
        </is>
      </c>
      <c r="Q304" t="inlineStr">
        <is>
          <t>https://letterboxd.com/search/Star%20Wars%3A%20The%20Rise%20of%20Skywalker/</t>
        </is>
      </c>
      <c r="R304" t="inlineStr">
        <is>
          <t>https://www.metacritic.com/search/Star+Wars%3A+The+Rise+of+Skywalker/</t>
        </is>
      </c>
    </row>
    <row r="305">
      <c r="A305" t="inlineStr">
        <is>
          <t>F0301</t>
        </is>
      </c>
      <c r="B305" t="inlineStr">
        <is>
          <t>Straight Outta Compton</t>
        </is>
      </c>
      <c r="C305" s="63" t="inlineStr">
        <is>
          <t>2015</t>
        </is>
      </c>
      <c r="E305" s="82" t="n"/>
      <c r="F305" s="85" t="n"/>
      <c r="G305" s="71" t="n"/>
      <c r="H305" s="71" t="n"/>
      <c r="I305" s="83" t="n"/>
      <c r="J305" s="71" t="n"/>
      <c r="K305" s="82" t="n"/>
      <c r="L305" s="82">
        <f>IF(COUNT(E305,G305,H305,I305,J305,K305)=0,"",ROUND((IF(E305="",0,E305*10)+IF(G305="",0,G305)+IF(H305="",0,H305)+IF(I305="",0,I305*20)+IF(J305="",0,J305)+IF(K305="",0,K305*10))/COUNT(E305,G305,H305,I305,J305,K305),1))</f>
        <v/>
      </c>
      <c r="M305">
        <f>IF(L305="","",IF(L305&gt;=85,"Excellent",IF(L305&gt;=70,"Good",IF(L305&gt;=55,"Mixed","Poor"))))</f>
        <v/>
      </c>
      <c r="N305" s="66" t="n"/>
      <c r="O305" t="inlineStr">
        <is>
          <t>https://www.imdb.com/find/?q=Straight+Outta+Compton+2015</t>
        </is>
      </c>
      <c r="P305" t="inlineStr">
        <is>
          <t>https://www.rottentomatoes.com/search?search=Straight+Outta+Compton</t>
        </is>
      </c>
      <c r="Q305" t="inlineStr">
        <is>
          <t>https://letterboxd.com/search/Straight%20Outta%20Compton/</t>
        </is>
      </c>
      <c r="R305" t="inlineStr">
        <is>
          <t>https://www.metacritic.com/search/Straight+Outta+Compton/</t>
        </is>
      </c>
    </row>
    <row r="306">
      <c r="A306" t="inlineStr">
        <is>
          <t>F0302</t>
        </is>
      </c>
      <c r="B306" t="inlineStr">
        <is>
          <t>Super 8</t>
        </is>
      </c>
      <c r="C306" s="63" t="inlineStr">
        <is>
          <t>2011</t>
        </is>
      </c>
      <c r="E306" s="82" t="n"/>
      <c r="F306" s="85" t="n"/>
      <c r="G306" s="71" t="n"/>
      <c r="H306" s="71" t="n"/>
      <c r="I306" s="83" t="n"/>
      <c r="J306" s="71" t="n"/>
      <c r="K306" s="82" t="n"/>
      <c r="L306" s="82">
        <f>IF(COUNT(E306,G306,H306,I306,J306,K306)=0,"",ROUND((IF(E306="",0,E306*10)+IF(G306="",0,G306)+IF(H306="",0,H306)+IF(I306="",0,I306*20)+IF(J306="",0,J306)+IF(K306="",0,K306*10))/COUNT(E306,G306,H306,I306,J306,K306),1))</f>
        <v/>
      </c>
      <c r="M306">
        <f>IF(L306="","",IF(L306&gt;=85,"Excellent",IF(L306&gt;=70,"Good",IF(L306&gt;=55,"Mixed","Poor"))))</f>
        <v/>
      </c>
      <c r="N306" s="66" t="n"/>
      <c r="O306" t="inlineStr">
        <is>
          <t>https://www.imdb.com/find/?q=Super+8+2011</t>
        </is>
      </c>
      <c r="P306" t="inlineStr">
        <is>
          <t>https://www.rottentomatoes.com/search?search=Super+8</t>
        </is>
      </c>
      <c r="Q306" t="inlineStr">
        <is>
          <t>https://letterboxd.com/search/Super%208/</t>
        </is>
      </c>
      <c r="R306" t="inlineStr">
        <is>
          <t>https://www.metacritic.com/search/Super+8/</t>
        </is>
      </c>
    </row>
    <row r="307">
      <c r="A307" t="inlineStr">
        <is>
          <t>F0303</t>
        </is>
      </c>
      <c r="B307" t="inlineStr">
        <is>
          <t>Superbad</t>
        </is>
      </c>
      <c r="C307" s="63" t="inlineStr">
        <is>
          <t>2007</t>
        </is>
      </c>
      <c r="E307" s="82" t="n"/>
      <c r="F307" s="85" t="n"/>
      <c r="G307" s="71" t="n"/>
      <c r="H307" s="71" t="n"/>
      <c r="I307" s="83" t="n"/>
      <c r="J307" s="71" t="n"/>
      <c r="K307" s="82" t="n"/>
      <c r="L307" s="82">
        <f>IF(COUNT(E307,G307,H307,I307,J307,K307)=0,"",ROUND((IF(E307="",0,E307*10)+IF(G307="",0,G307)+IF(H307="",0,H307)+IF(I307="",0,I307*20)+IF(J307="",0,J307)+IF(K307="",0,K307*10))/COUNT(E307,G307,H307,I307,J307,K307),1))</f>
        <v/>
      </c>
      <c r="M307">
        <f>IF(L307="","",IF(L307&gt;=85,"Excellent",IF(L307&gt;=70,"Good",IF(L307&gt;=55,"Mixed","Poor"))))</f>
        <v/>
      </c>
      <c r="N307" s="66" t="n"/>
      <c r="O307" t="inlineStr">
        <is>
          <t>https://www.imdb.com/find/?q=Superbad+2007</t>
        </is>
      </c>
      <c r="P307" t="inlineStr">
        <is>
          <t>https://www.rottentomatoes.com/search?search=Superbad</t>
        </is>
      </c>
      <c r="Q307" t="inlineStr">
        <is>
          <t>https://letterboxd.com/search/Superbad/</t>
        </is>
      </c>
      <c r="R307" t="inlineStr">
        <is>
          <t>https://www.metacritic.com/search/Superbad/</t>
        </is>
      </c>
    </row>
    <row r="308">
      <c r="A308" t="inlineStr">
        <is>
          <t>F0304</t>
        </is>
      </c>
      <c r="B308" t="inlineStr">
        <is>
          <t>Superman</t>
        </is>
      </c>
      <c r="C308" s="63" t="inlineStr">
        <is>
          <t>2025</t>
        </is>
      </c>
      <c r="E308" s="82" t="n"/>
      <c r="F308" s="85" t="n"/>
      <c r="G308" s="71" t="n"/>
      <c r="H308" s="71" t="n"/>
      <c r="I308" s="83" t="n"/>
      <c r="J308" s="71" t="n"/>
      <c r="K308" s="82" t="n"/>
      <c r="L308" s="82">
        <f>IF(COUNT(E308,G308,H308,I308,J308,K308)=0,"",ROUND((IF(E308="",0,E308*10)+IF(G308="",0,G308)+IF(H308="",0,H308)+IF(I308="",0,I308*20)+IF(J308="",0,J308)+IF(K308="",0,K308*10))/COUNT(E308,G308,H308,I308,J308,K308),1))</f>
        <v/>
      </c>
      <c r="M308">
        <f>IF(L308="","",IF(L308&gt;=85,"Excellent",IF(L308&gt;=70,"Good",IF(L308&gt;=55,"Mixed","Poor"))))</f>
        <v/>
      </c>
      <c r="N308" s="66" t="n"/>
      <c r="O308" t="inlineStr">
        <is>
          <t>https://www.imdb.com/find/?q=Superman+2025</t>
        </is>
      </c>
      <c r="P308" t="inlineStr">
        <is>
          <t>https://www.rottentomatoes.com/search?search=Superman</t>
        </is>
      </c>
      <c r="Q308" t="inlineStr">
        <is>
          <t>https://letterboxd.com/search/Superman/</t>
        </is>
      </c>
      <c r="R308" t="inlineStr">
        <is>
          <t>https://www.metacritic.com/search/Superman/</t>
        </is>
      </c>
    </row>
    <row r="309">
      <c r="A309" t="inlineStr">
        <is>
          <t>F0305</t>
        </is>
      </c>
      <c r="B309" t="inlineStr">
        <is>
          <t>The Sweeney</t>
        </is>
      </c>
      <c r="C309" s="63" t="inlineStr">
        <is>
          <t>2012</t>
        </is>
      </c>
      <c r="E309" s="82" t="n"/>
      <c r="F309" s="85" t="n"/>
      <c r="G309" s="71" t="n"/>
      <c r="H309" s="71" t="n"/>
      <c r="I309" s="83" t="n"/>
      <c r="J309" s="71" t="n"/>
      <c r="K309" s="82" t="n"/>
      <c r="L309" s="82">
        <f>IF(COUNT(E309,G309,H309,I309,J309,K309)=0,"",ROUND((IF(E309="",0,E309*10)+IF(G309="",0,G309)+IF(H309="",0,H309)+IF(I309="",0,I309*20)+IF(J309="",0,J309)+IF(K309="",0,K309*10))/COUNT(E309,G309,H309,I309,J309,K309),1))</f>
        <v/>
      </c>
      <c r="M309">
        <f>IF(L309="","",IF(L309&gt;=85,"Excellent",IF(L309&gt;=70,"Good",IF(L309&gt;=55,"Mixed","Poor"))))</f>
        <v/>
      </c>
      <c r="N309" s="66" t="n"/>
      <c r="O309" t="inlineStr">
        <is>
          <t>https://www.imdb.com/find/?q=The+Sweeney+2012</t>
        </is>
      </c>
      <c r="P309" t="inlineStr">
        <is>
          <t>https://www.rottentomatoes.com/search?search=The+Sweeney</t>
        </is>
      </c>
      <c r="Q309" t="inlineStr">
        <is>
          <t>https://letterboxd.com/search/The%20Sweeney/</t>
        </is>
      </c>
      <c r="R309" t="inlineStr">
        <is>
          <t>https://www.metacritic.com/search/The+Sweeney/</t>
        </is>
      </c>
    </row>
    <row r="310">
      <c r="A310" t="inlineStr">
        <is>
          <t>F0306</t>
        </is>
      </c>
      <c r="B310" t="inlineStr">
        <is>
          <t>Taken</t>
        </is>
      </c>
      <c r="C310" s="63" t="inlineStr">
        <is>
          <t>2008</t>
        </is>
      </c>
      <c r="E310" s="82" t="n"/>
      <c r="F310" s="85" t="n"/>
      <c r="G310" s="71" t="n"/>
      <c r="H310" s="71" t="n"/>
      <c r="I310" s="83" t="n"/>
      <c r="J310" s="71" t="n"/>
      <c r="K310" s="82" t="n"/>
      <c r="L310" s="82">
        <f>IF(COUNT(E310,G310,H310,I310,J310,K310)=0,"",ROUND((IF(E310="",0,E310*10)+IF(G310="",0,G310)+IF(H310="",0,H310)+IF(I310="",0,I310*20)+IF(J310="",0,J310)+IF(K310="",0,K310*10))/COUNT(E310,G310,H310,I310,J310,K310),1))</f>
        <v/>
      </c>
      <c r="M310">
        <f>IF(L310="","",IF(L310&gt;=85,"Excellent",IF(L310&gt;=70,"Good",IF(L310&gt;=55,"Mixed","Poor"))))</f>
        <v/>
      </c>
      <c r="N310" s="66" t="n"/>
      <c r="O310" t="inlineStr">
        <is>
          <t>https://www.imdb.com/find/?q=Taken+2008</t>
        </is>
      </c>
      <c r="P310" t="inlineStr">
        <is>
          <t>https://www.rottentomatoes.com/search?search=Taken</t>
        </is>
      </c>
      <c r="Q310" t="inlineStr">
        <is>
          <t>https://letterboxd.com/search/Taken/</t>
        </is>
      </c>
      <c r="R310" t="inlineStr">
        <is>
          <t>https://www.metacritic.com/search/Taken/</t>
        </is>
      </c>
    </row>
    <row r="311">
      <c r="A311" t="inlineStr">
        <is>
          <t>F0307</t>
        </is>
      </c>
      <c r="B311" t="inlineStr">
        <is>
          <t>Taken 2</t>
        </is>
      </c>
      <c r="C311" s="63" t="inlineStr">
        <is>
          <t>2012</t>
        </is>
      </c>
      <c r="E311" s="82" t="n"/>
      <c r="F311" s="85" t="n"/>
      <c r="G311" s="71" t="n"/>
      <c r="H311" s="71" t="n"/>
      <c r="I311" s="83" t="n"/>
      <c r="J311" s="71" t="n"/>
      <c r="K311" s="82" t="n"/>
      <c r="L311" s="82">
        <f>IF(COUNT(E311,G311,H311,I311,J311,K311)=0,"",ROUND((IF(E311="",0,E311*10)+IF(G311="",0,G311)+IF(H311="",0,H311)+IF(I311="",0,I311*20)+IF(J311="",0,J311)+IF(K311="",0,K311*10))/COUNT(E311,G311,H311,I311,J311,K311),1))</f>
        <v/>
      </c>
      <c r="M311">
        <f>IF(L311="","",IF(L311&gt;=85,"Excellent",IF(L311&gt;=70,"Good",IF(L311&gt;=55,"Mixed","Poor"))))</f>
        <v/>
      </c>
      <c r="N311" s="66" t="n"/>
      <c r="O311" t="inlineStr">
        <is>
          <t>https://www.imdb.com/find/?q=Taken+2+2012</t>
        </is>
      </c>
      <c r="P311" t="inlineStr">
        <is>
          <t>https://www.rottentomatoes.com/search?search=Taken+2</t>
        </is>
      </c>
      <c r="Q311" t="inlineStr">
        <is>
          <t>https://letterboxd.com/search/Taken%202/</t>
        </is>
      </c>
      <c r="R311" t="inlineStr">
        <is>
          <t>https://www.metacritic.com/search/Taken+2/</t>
        </is>
      </c>
    </row>
    <row r="312">
      <c r="A312" t="inlineStr">
        <is>
          <t>F0308</t>
        </is>
      </c>
      <c r="B312" t="inlineStr">
        <is>
          <t>Ted</t>
        </is>
      </c>
      <c r="C312" s="63" t="inlineStr">
        <is>
          <t>2012</t>
        </is>
      </c>
      <c r="E312" s="82" t="n"/>
      <c r="F312" s="85" t="n"/>
      <c r="G312" s="71" t="n"/>
      <c r="H312" s="71" t="n"/>
      <c r="I312" s="83" t="n"/>
      <c r="J312" s="71" t="n"/>
      <c r="K312" s="82" t="n"/>
      <c r="L312" s="82">
        <f>IF(COUNT(E312,G312,H312,I312,J312,K312)=0,"",ROUND((IF(E312="",0,E312*10)+IF(G312="",0,G312)+IF(H312="",0,H312)+IF(I312="",0,I312*20)+IF(J312="",0,J312)+IF(K312="",0,K312*10))/COUNT(E312,G312,H312,I312,J312,K312),1))</f>
        <v/>
      </c>
      <c r="M312">
        <f>IF(L312="","",IF(L312&gt;=85,"Excellent",IF(L312&gt;=70,"Good",IF(L312&gt;=55,"Mixed","Poor"))))</f>
        <v/>
      </c>
      <c r="N312" s="66" t="n"/>
      <c r="O312" t="inlineStr">
        <is>
          <t>https://www.imdb.com/find/?q=Ted+2012</t>
        </is>
      </c>
      <c r="P312" t="inlineStr">
        <is>
          <t>https://www.rottentomatoes.com/search?search=Ted</t>
        </is>
      </c>
      <c r="Q312" t="inlineStr">
        <is>
          <t>https://letterboxd.com/search/Ted/</t>
        </is>
      </c>
      <c r="R312" t="inlineStr">
        <is>
          <t>https://www.metacritic.com/search/Ted/</t>
        </is>
      </c>
    </row>
    <row r="313">
      <c r="A313" t="inlineStr">
        <is>
          <t>F0309</t>
        </is>
      </c>
      <c r="B313" t="inlineStr">
        <is>
          <t>Teenage Mutant Ninja Turtles</t>
        </is>
      </c>
      <c r="C313" s="63" t="inlineStr">
        <is>
          <t>2014</t>
        </is>
      </c>
      <c r="E313" s="82" t="n"/>
      <c r="F313" s="85" t="n"/>
      <c r="G313" s="71" t="n"/>
      <c r="H313" s="71" t="n"/>
      <c r="I313" s="83" t="n"/>
      <c r="J313" s="71" t="n"/>
      <c r="K313" s="82" t="n"/>
      <c r="L313" s="82">
        <f>IF(COUNT(E313,G313,H313,I313,J313,K313)=0,"",ROUND((IF(E313="",0,E313*10)+IF(G313="",0,G313)+IF(H313="",0,H313)+IF(I313="",0,I313*20)+IF(J313="",0,J313)+IF(K313="",0,K313*10))/COUNT(E313,G313,H313,I313,J313,K313),1))</f>
        <v/>
      </c>
      <c r="M313">
        <f>IF(L313="","",IF(L313&gt;=85,"Excellent",IF(L313&gt;=70,"Good",IF(L313&gt;=55,"Mixed","Poor"))))</f>
        <v/>
      </c>
      <c r="N313" s="66" t="n"/>
      <c r="O313" t="inlineStr">
        <is>
          <t>https://www.imdb.com/find/?q=Teenage+Mutant+Ninja+Turtles+2014</t>
        </is>
      </c>
      <c r="P313" t="inlineStr">
        <is>
          <t>https://www.rottentomatoes.com/search?search=Teenage+Mutant+Ninja+Turtles</t>
        </is>
      </c>
      <c r="Q313" t="inlineStr">
        <is>
          <t>https://letterboxd.com/search/Teenage%20Mutant%20Ninja%20Turtles/</t>
        </is>
      </c>
      <c r="R313" t="inlineStr">
        <is>
          <t>https://www.metacritic.com/search/Teenage+Mutant+Ninja+Turtles/</t>
        </is>
      </c>
    </row>
    <row r="314">
      <c r="A314" t="inlineStr">
        <is>
          <t>F0310</t>
        </is>
      </c>
      <c r="B314" t="inlineStr">
        <is>
          <t>Terminator Salvation</t>
        </is>
      </c>
      <c r="C314" s="63" t="inlineStr">
        <is>
          <t>2009</t>
        </is>
      </c>
      <c r="E314" s="82" t="n"/>
      <c r="F314" s="85" t="n"/>
      <c r="G314" s="71" t="n"/>
      <c r="H314" s="71" t="n"/>
      <c r="I314" s="83" t="n"/>
      <c r="J314" s="71" t="n"/>
      <c r="K314" s="82" t="n"/>
      <c r="L314" s="82">
        <f>IF(COUNT(E314,G314,H314,I314,J314,K314)=0,"",ROUND((IF(E314="",0,E314*10)+IF(G314="",0,G314)+IF(H314="",0,H314)+IF(I314="",0,I314*20)+IF(J314="",0,J314)+IF(K314="",0,K314*10))/COUNT(E314,G314,H314,I314,J314,K314),1))</f>
        <v/>
      </c>
      <c r="M314">
        <f>IF(L314="","",IF(L314&gt;=85,"Excellent",IF(L314&gt;=70,"Good",IF(L314&gt;=55,"Mixed","Poor"))))</f>
        <v/>
      </c>
      <c r="N314" s="66" t="n"/>
      <c r="O314" t="inlineStr">
        <is>
          <t>https://www.imdb.com/find/?q=Terminator+Salvation+2009</t>
        </is>
      </c>
      <c r="P314" t="inlineStr">
        <is>
          <t>https://www.rottentomatoes.com/search?search=Terminator+Salvation</t>
        </is>
      </c>
      <c r="Q314" t="inlineStr">
        <is>
          <t>https://letterboxd.com/search/Terminator%20Salvation/</t>
        </is>
      </c>
      <c r="R314" t="inlineStr">
        <is>
          <t>https://www.metacritic.com/search/Terminator+Salvation/</t>
        </is>
      </c>
    </row>
    <row r="315">
      <c r="A315" t="inlineStr">
        <is>
          <t>F0311</t>
        </is>
      </c>
      <c r="B315" t="inlineStr">
        <is>
          <t>The Theory of Everything</t>
        </is>
      </c>
      <c r="C315" s="63" t="inlineStr">
        <is>
          <t>2014</t>
        </is>
      </c>
      <c r="E315" s="82" t="n"/>
      <c r="F315" s="85" t="n"/>
      <c r="G315" s="71" t="n"/>
      <c r="H315" s="71" t="n"/>
      <c r="I315" s="83" t="n"/>
      <c r="J315" s="71" t="n"/>
      <c r="K315" s="82" t="n"/>
      <c r="L315" s="82">
        <f>IF(COUNT(E315,G315,H315,I315,J315,K315)=0,"",ROUND((IF(E315="",0,E315*10)+IF(G315="",0,G315)+IF(H315="",0,H315)+IF(I315="",0,I315*20)+IF(J315="",0,J315)+IF(K315="",0,K315*10))/COUNT(E315,G315,H315,I315,J315,K315),1))</f>
        <v/>
      </c>
      <c r="M315">
        <f>IF(L315="","",IF(L315&gt;=85,"Excellent",IF(L315&gt;=70,"Good",IF(L315&gt;=55,"Mixed","Poor"))))</f>
        <v/>
      </c>
      <c r="N315" s="66" t="n"/>
      <c r="O315" t="inlineStr">
        <is>
          <t>https://www.imdb.com/find/?q=The+Theory+of+Everything+2014</t>
        </is>
      </c>
      <c r="P315" t="inlineStr">
        <is>
          <t>https://www.rottentomatoes.com/search?search=The+Theory+of+Everything</t>
        </is>
      </c>
      <c r="Q315" t="inlineStr">
        <is>
          <t>https://letterboxd.com/search/The%20Theory%20of%20Everything/</t>
        </is>
      </c>
      <c r="R315" t="inlineStr">
        <is>
          <t>https://www.metacritic.com/search/The+Theory+of+Everything/</t>
        </is>
      </c>
    </row>
    <row r="316">
      <c r="A316" t="inlineStr">
        <is>
          <t>F0312</t>
        </is>
      </c>
      <c r="B316" t="inlineStr">
        <is>
          <t>Toy Story</t>
        </is>
      </c>
      <c r="C316" s="63" t="inlineStr">
        <is>
          <t>1995</t>
        </is>
      </c>
      <c r="E316" s="82" t="n"/>
      <c r="F316" s="85" t="n"/>
      <c r="G316" s="71" t="n"/>
      <c r="H316" s="71" t="n"/>
      <c r="I316" s="83" t="n"/>
      <c r="J316" s="71" t="n"/>
      <c r="K316" s="82" t="n"/>
      <c r="L316" s="82">
        <f>IF(COUNT(E316,G316,H316,I316,J316,K316)=0,"",ROUND((IF(E316="",0,E316*10)+IF(G316="",0,G316)+IF(H316="",0,H316)+IF(I316="",0,I316*20)+IF(J316="",0,J316)+IF(K316="",0,K316*10))/COUNT(E316,G316,H316,I316,J316,K316),1))</f>
        <v/>
      </c>
      <c r="M316">
        <f>IF(L316="","",IF(L316&gt;=85,"Excellent",IF(L316&gt;=70,"Good",IF(L316&gt;=55,"Mixed","Poor"))))</f>
        <v/>
      </c>
      <c r="N316" s="66" t="n"/>
      <c r="O316" t="inlineStr">
        <is>
          <t>https://www.imdb.com/find/?q=Toy+Story+1995</t>
        </is>
      </c>
      <c r="P316" t="inlineStr">
        <is>
          <t>https://www.rottentomatoes.com/search?search=Toy+Story</t>
        </is>
      </c>
      <c r="Q316" t="inlineStr">
        <is>
          <t>https://letterboxd.com/search/Toy%20Story/</t>
        </is>
      </c>
      <c r="R316" t="inlineStr">
        <is>
          <t>https://www.metacritic.com/search/Toy+Story/</t>
        </is>
      </c>
    </row>
    <row r="317">
      <c r="A317" t="inlineStr">
        <is>
          <t>F0313</t>
        </is>
      </c>
      <c r="B317" t="inlineStr">
        <is>
          <t>Toy Story 2</t>
        </is>
      </c>
      <c r="C317" s="63" t="inlineStr">
        <is>
          <t>1999</t>
        </is>
      </c>
      <c r="E317" s="82" t="n"/>
      <c r="F317" s="85" t="n"/>
      <c r="G317" s="71" t="n"/>
      <c r="H317" s="71" t="n"/>
      <c r="I317" s="83" t="n"/>
      <c r="J317" s="71" t="n"/>
      <c r="K317" s="82" t="n"/>
      <c r="L317" s="82">
        <f>IF(COUNT(E317,G317,H317,I317,J317,K317)=0,"",ROUND((IF(E317="",0,E317*10)+IF(G317="",0,G317)+IF(H317="",0,H317)+IF(I317="",0,I317*20)+IF(J317="",0,J317)+IF(K317="",0,K317*10))/COUNT(E317,G317,H317,I317,J317,K317),1))</f>
        <v/>
      </c>
      <c r="M317">
        <f>IF(L317="","",IF(L317&gt;=85,"Excellent",IF(L317&gt;=70,"Good",IF(L317&gt;=55,"Mixed","Poor"))))</f>
        <v/>
      </c>
      <c r="N317" s="66" t="n"/>
      <c r="O317" t="inlineStr">
        <is>
          <t>https://www.imdb.com/find/?q=Toy+Story+2+1999</t>
        </is>
      </c>
      <c r="P317" t="inlineStr">
        <is>
          <t>https://www.rottentomatoes.com/search?search=Toy+Story+2</t>
        </is>
      </c>
      <c r="Q317" t="inlineStr">
        <is>
          <t>https://letterboxd.com/search/Toy%20Story%202/</t>
        </is>
      </c>
      <c r="R317" t="inlineStr">
        <is>
          <t>https://www.metacritic.com/search/Toy+Story+2/</t>
        </is>
      </c>
    </row>
    <row r="318">
      <c r="A318" t="inlineStr">
        <is>
          <t>F0314</t>
        </is>
      </c>
      <c r="B318" t="inlineStr">
        <is>
          <t>Toy Story 3</t>
        </is>
      </c>
      <c r="C318" s="63" t="inlineStr">
        <is>
          <t>2010</t>
        </is>
      </c>
      <c r="E318" s="82" t="n"/>
      <c r="F318" s="85" t="n"/>
      <c r="G318" s="71" t="n"/>
      <c r="H318" s="71" t="n"/>
      <c r="I318" s="83" t="n"/>
      <c r="J318" s="71" t="n"/>
      <c r="K318" s="82" t="n"/>
      <c r="L318" s="82">
        <f>IF(COUNT(E318,G318,H318,I318,J318,K318)=0,"",ROUND((IF(E318="",0,E318*10)+IF(G318="",0,G318)+IF(H318="",0,H318)+IF(I318="",0,I318*20)+IF(J318="",0,J318)+IF(K318="",0,K318*10))/COUNT(E318,G318,H318,I318,J318,K318),1))</f>
        <v/>
      </c>
      <c r="M318">
        <f>IF(L318="","",IF(L318&gt;=85,"Excellent",IF(L318&gt;=70,"Good",IF(L318&gt;=55,"Mixed","Poor"))))</f>
        <v/>
      </c>
      <c r="N318" s="66" t="n"/>
      <c r="O318" t="inlineStr">
        <is>
          <t>https://www.imdb.com/find/?q=Toy+Story+3+2010</t>
        </is>
      </c>
      <c r="P318" t="inlineStr">
        <is>
          <t>https://www.rottentomatoes.com/search?search=Toy+Story+3</t>
        </is>
      </c>
      <c r="Q318" t="inlineStr">
        <is>
          <t>https://letterboxd.com/search/Toy%20Story%203/</t>
        </is>
      </c>
      <c r="R318" t="inlineStr">
        <is>
          <t>https://www.metacritic.com/search/Toy+Story+3/</t>
        </is>
      </c>
    </row>
    <row r="319">
      <c r="A319" t="inlineStr">
        <is>
          <t>F0315</t>
        </is>
      </c>
      <c r="B319" t="inlineStr">
        <is>
          <t>Toy Story 4</t>
        </is>
      </c>
      <c r="C319" s="63" t="inlineStr">
        <is>
          <t>2019</t>
        </is>
      </c>
      <c r="E319" s="82" t="n"/>
      <c r="F319" s="85" t="n"/>
      <c r="G319" s="71" t="n"/>
      <c r="H319" s="71" t="n"/>
      <c r="I319" s="83" t="n"/>
      <c r="J319" s="71" t="n"/>
      <c r="K319" s="82" t="n"/>
      <c r="L319" s="82">
        <f>IF(COUNT(E319,G319,H319,I319,J319,K319)=0,"",ROUND((IF(E319="",0,E319*10)+IF(G319="",0,G319)+IF(H319="",0,H319)+IF(I319="",0,I319*20)+IF(J319="",0,J319)+IF(K319="",0,K319*10))/COUNT(E319,G319,H319,I319,J319,K319),1))</f>
        <v/>
      </c>
      <c r="M319">
        <f>IF(L319="","",IF(L319&gt;=85,"Excellent",IF(L319&gt;=70,"Good",IF(L319&gt;=55,"Mixed","Poor"))))</f>
        <v/>
      </c>
      <c r="N319" s="66" t="n"/>
      <c r="O319" t="inlineStr">
        <is>
          <t>https://www.imdb.com/find/?q=Toy+Story+4+2019</t>
        </is>
      </c>
      <c r="P319" t="inlineStr">
        <is>
          <t>https://www.rottentomatoes.com/search?search=Toy+Story+4</t>
        </is>
      </c>
      <c r="Q319" t="inlineStr">
        <is>
          <t>https://letterboxd.com/search/Toy%20Story%204/</t>
        </is>
      </c>
      <c r="R319" t="inlineStr">
        <is>
          <t>https://www.metacritic.com/search/Toy+Story+4/</t>
        </is>
      </c>
    </row>
    <row r="320">
      <c r="A320" t="inlineStr">
        <is>
          <t>F0316</t>
        </is>
      </c>
      <c r="B320" t="inlineStr">
        <is>
          <t>Transformers</t>
        </is>
      </c>
      <c r="C320" s="63" t="inlineStr">
        <is>
          <t>2007</t>
        </is>
      </c>
      <c r="E320" s="82" t="n"/>
      <c r="F320" s="85" t="n"/>
      <c r="G320" s="71" t="n"/>
      <c r="H320" s="71" t="n"/>
      <c r="I320" s="83" t="n"/>
      <c r="J320" s="71" t="n"/>
      <c r="K320" s="82" t="n"/>
      <c r="L320" s="82">
        <f>IF(COUNT(E320,G320,H320,I320,J320,K320)=0,"",ROUND((IF(E320="",0,E320*10)+IF(G320="",0,G320)+IF(H320="",0,H320)+IF(I320="",0,I320*20)+IF(J320="",0,J320)+IF(K320="",0,K320*10))/COUNT(E320,G320,H320,I320,J320,K320),1))</f>
        <v/>
      </c>
      <c r="M320">
        <f>IF(L320="","",IF(L320&gt;=85,"Excellent",IF(L320&gt;=70,"Good",IF(L320&gt;=55,"Mixed","Poor"))))</f>
        <v/>
      </c>
      <c r="N320" s="66" t="n"/>
      <c r="O320" t="inlineStr">
        <is>
          <t>https://www.imdb.com/find/?q=Transformers+2007</t>
        </is>
      </c>
      <c r="P320" t="inlineStr">
        <is>
          <t>https://www.rottentomatoes.com/search?search=Transformers</t>
        </is>
      </c>
      <c r="Q320" t="inlineStr">
        <is>
          <t>https://letterboxd.com/search/Transformers/</t>
        </is>
      </c>
      <c r="R320" t="inlineStr">
        <is>
          <t>https://www.metacritic.com/search/Transformers/</t>
        </is>
      </c>
    </row>
    <row r="321">
      <c r="A321" t="inlineStr">
        <is>
          <t>F0317</t>
        </is>
      </c>
      <c r="B321" t="inlineStr">
        <is>
          <t>Transformers: Revenge of the Fallen</t>
        </is>
      </c>
      <c r="C321" s="63" t="inlineStr">
        <is>
          <t>2009</t>
        </is>
      </c>
      <c r="E321" s="82" t="n"/>
      <c r="F321" s="85" t="n"/>
      <c r="G321" s="71" t="n"/>
      <c r="H321" s="71" t="n"/>
      <c r="I321" s="83" t="n"/>
      <c r="J321" s="71" t="n"/>
      <c r="K321" s="82" t="n"/>
      <c r="L321" s="82">
        <f>IF(COUNT(E321,G321,H321,I321,J321,K321)=0,"",ROUND((IF(E321="",0,E321*10)+IF(G321="",0,G321)+IF(H321="",0,H321)+IF(I321="",0,I321*20)+IF(J321="",0,J321)+IF(K321="",0,K321*10))/COUNT(E321,G321,H321,I321,J321,K321),1))</f>
        <v/>
      </c>
      <c r="M321">
        <f>IF(L321="","",IF(L321&gt;=85,"Excellent",IF(L321&gt;=70,"Good",IF(L321&gt;=55,"Mixed","Poor"))))</f>
        <v/>
      </c>
      <c r="N321" s="66" t="n"/>
      <c r="O321" t="inlineStr">
        <is>
          <t>https://www.imdb.com/find/?q=Transformers%3A+Revenge+of+the+Fallen+2009</t>
        </is>
      </c>
      <c r="P321" t="inlineStr">
        <is>
          <t>https://www.rottentomatoes.com/search?search=Transformers%3A+Revenge+of+the+Fallen</t>
        </is>
      </c>
      <c r="Q321" t="inlineStr">
        <is>
          <t>https://letterboxd.com/search/Transformers%3A%20Revenge%20of%20the%20Fallen/</t>
        </is>
      </c>
      <c r="R321" t="inlineStr">
        <is>
          <t>https://www.metacritic.com/search/Transformers%3A+Revenge+of+the+Fallen/</t>
        </is>
      </c>
    </row>
    <row r="322">
      <c r="A322" t="inlineStr">
        <is>
          <t>F0318</t>
        </is>
      </c>
      <c r="B322" t="inlineStr">
        <is>
          <t>Transformers: Dark of the Moon</t>
        </is>
      </c>
      <c r="C322" s="63" t="inlineStr">
        <is>
          <t>2011</t>
        </is>
      </c>
      <c r="E322" s="82" t="n"/>
      <c r="F322" s="85" t="n"/>
      <c r="G322" s="71" t="n"/>
      <c r="H322" s="71" t="n"/>
      <c r="I322" s="83" t="n"/>
      <c r="J322" s="71" t="n"/>
      <c r="K322" s="82" t="n"/>
      <c r="L322" s="82">
        <f>IF(COUNT(E322,G322,H322,I322,J322,K322)=0,"",ROUND((IF(E322="",0,E322*10)+IF(G322="",0,G322)+IF(H322="",0,H322)+IF(I322="",0,I322*20)+IF(J322="",0,J322)+IF(K322="",0,K322*10))/COUNT(E322,G322,H322,I322,J322,K322),1))</f>
        <v/>
      </c>
      <c r="M322">
        <f>IF(L322="","",IF(L322&gt;=85,"Excellent",IF(L322&gt;=70,"Good",IF(L322&gt;=55,"Mixed","Poor"))))</f>
        <v/>
      </c>
      <c r="N322" s="66" t="n"/>
      <c r="O322" t="inlineStr">
        <is>
          <t>https://www.imdb.com/find/?q=Transformers%3A+Dark+of+the+Moon+2011</t>
        </is>
      </c>
      <c r="P322" t="inlineStr">
        <is>
          <t>https://www.rottentomatoes.com/search?search=Transformers%3A+Dark+of+the+Moon</t>
        </is>
      </c>
      <c r="Q322" t="inlineStr">
        <is>
          <t>https://letterboxd.com/search/Transformers%3A%20Dark%20of%20the%20Moon/</t>
        </is>
      </c>
      <c r="R322" t="inlineStr">
        <is>
          <t>https://www.metacritic.com/search/Transformers%3A+Dark+of+the+Moon/</t>
        </is>
      </c>
    </row>
    <row r="323">
      <c r="A323" t="inlineStr">
        <is>
          <t>F0319</t>
        </is>
      </c>
      <c r="B323" t="inlineStr">
        <is>
          <t>Transformers: Age of Extinction</t>
        </is>
      </c>
      <c r="C323" s="63" t="inlineStr">
        <is>
          <t>2014</t>
        </is>
      </c>
      <c r="E323" s="82" t="n"/>
      <c r="F323" s="85" t="n"/>
      <c r="G323" s="71" t="n"/>
      <c r="H323" s="71" t="n"/>
      <c r="I323" s="83" t="n"/>
      <c r="J323" s="71" t="n"/>
      <c r="K323" s="82" t="n"/>
      <c r="L323" s="82">
        <f>IF(COUNT(E323,G323,H323,I323,J323,K323)=0,"",ROUND((IF(E323="",0,E323*10)+IF(G323="",0,G323)+IF(H323="",0,H323)+IF(I323="",0,I323*20)+IF(J323="",0,J323)+IF(K323="",0,K323*10))/COUNT(E323,G323,H323,I323,J323,K323),1))</f>
        <v/>
      </c>
      <c r="M323">
        <f>IF(L323="","",IF(L323&gt;=85,"Excellent",IF(L323&gt;=70,"Good",IF(L323&gt;=55,"Mixed","Poor"))))</f>
        <v/>
      </c>
      <c r="N323" s="66" t="n"/>
      <c r="O323" t="inlineStr">
        <is>
          <t>https://www.imdb.com/find/?q=Transformers%3A+Age+of+Extinction+2014</t>
        </is>
      </c>
      <c r="P323" t="inlineStr">
        <is>
          <t>https://www.rottentomatoes.com/search?search=Transformers%3A+Age+of+Extinction</t>
        </is>
      </c>
      <c r="Q323" t="inlineStr">
        <is>
          <t>https://letterboxd.com/search/Transformers%3A%20Age%20of%20Extinction/</t>
        </is>
      </c>
      <c r="R323" t="inlineStr">
        <is>
          <t>https://www.metacritic.com/search/Transformers%3A+Age+of+Extinction/</t>
        </is>
      </c>
    </row>
    <row r="324">
      <c r="A324" t="inlineStr">
        <is>
          <t>F0320</t>
        </is>
      </c>
      <c r="B324" t="inlineStr">
        <is>
          <t>Transformers: The Last Knight</t>
        </is>
      </c>
      <c r="C324" s="63" t="inlineStr">
        <is>
          <t>2017</t>
        </is>
      </c>
      <c r="E324" s="82" t="n"/>
      <c r="F324" s="85" t="n"/>
      <c r="G324" s="71" t="n"/>
      <c r="H324" s="71" t="n"/>
      <c r="I324" s="83" t="n"/>
      <c r="J324" s="71" t="n"/>
      <c r="K324" s="82" t="n"/>
      <c r="L324" s="82">
        <f>IF(COUNT(E324,G324,H324,I324,J324,K324)=0,"",ROUND((IF(E324="",0,E324*10)+IF(G324="",0,G324)+IF(H324="",0,H324)+IF(I324="",0,I324*20)+IF(J324="",0,J324)+IF(K324="",0,K324*10))/COUNT(E324,G324,H324,I324,J324,K324),1))</f>
        <v/>
      </c>
      <c r="M324">
        <f>IF(L324="","",IF(L324&gt;=85,"Excellent",IF(L324&gt;=70,"Good",IF(L324&gt;=55,"Mixed","Poor"))))</f>
        <v/>
      </c>
      <c r="N324" s="66" t="n"/>
      <c r="O324" t="inlineStr">
        <is>
          <t>https://www.imdb.com/find/?q=Transformers%3A+The+Last+Knight+2017</t>
        </is>
      </c>
      <c r="P324" t="inlineStr">
        <is>
          <t>https://www.rottentomatoes.com/search?search=Transformers%3A+The+Last+Knight</t>
        </is>
      </c>
      <c r="Q324" t="inlineStr">
        <is>
          <t>https://letterboxd.com/search/Transformers%3A%20The%20Last%20Knight/</t>
        </is>
      </c>
      <c r="R324" t="inlineStr">
        <is>
          <t>https://www.metacritic.com/search/Transformers%3A+The+Last+Knight/</t>
        </is>
      </c>
    </row>
    <row r="325">
      <c r="A325" t="inlineStr">
        <is>
          <t>F0321</t>
        </is>
      </c>
      <c r="B325" t="inlineStr">
        <is>
          <t>Transformers: Rise of the Beasts</t>
        </is>
      </c>
      <c r="C325" s="63" t="inlineStr">
        <is>
          <t>2023</t>
        </is>
      </c>
      <c r="E325" s="82" t="n"/>
      <c r="F325" s="85" t="n"/>
      <c r="G325" s="71" t="n"/>
      <c r="H325" s="71" t="n"/>
      <c r="I325" s="83" t="n"/>
      <c r="J325" s="71" t="n"/>
      <c r="K325" s="82" t="n"/>
      <c r="L325" s="82">
        <f>IF(COUNT(E325,G325,H325,I325,J325,K325)=0,"",ROUND((IF(E325="",0,E325*10)+IF(G325="",0,G325)+IF(H325="",0,H325)+IF(I325="",0,I325*20)+IF(J325="",0,J325)+IF(K325="",0,K325*10))/COUNT(E325,G325,H325,I325,J325,K325),1))</f>
        <v/>
      </c>
      <c r="M325">
        <f>IF(L325="","",IF(L325&gt;=85,"Excellent",IF(L325&gt;=70,"Good",IF(L325&gt;=55,"Mixed","Poor"))))</f>
        <v/>
      </c>
      <c r="N325" s="66" t="n"/>
      <c r="O325" t="inlineStr">
        <is>
          <t>https://www.imdb.com/find/?q=Transformers%3A+Rise+of+the+Beasts+2023</t>
        </is>
      </c>
      <c r="P325" t="inlineStr">
        <is>
          <t>https://www.rottentomatoes.com/search?search=Transformers%3A+Rise+of+the+Beasts</t>
        </is>
      </c>
      <c r="Q325" t="inlineStr">
        <is>
          <t>https://letterboxd.com/search/Transformers%3A%20Rise%20of%20the%20Beasts/</t>
        </is>
      </c>
      <c r="R325" t="inlineStr">
        <is>
          <t>https://www.metacritic.com/search/Transformers%3A+Rise+of+the+Beasts/</t>
        </is>
      </c>
    </row>
    <row r="326">
      <c r="A326" t="inlineStr">
        <is>
          <t>F0322</t>
        </is>
      </c>
      <c r="B326" t="inlineStr">
        <is>
          <t>The Transformers: The Movie</t>
        </is>
      </c>
      <c r="C326" s="63" t="inlineStr">
        <is>
          <t>1986</t>
        </is>
      </c>
      <c r="E326" s="82" t="n"/>
      <c r="F326" s="85" t="n"/>
      <c r="G326" s="71" t="n"/>
      <c r="H326" s="71" t="n"/>
      <c r="I326" s="83" t="n"/>
      <c r="J326" s="71" t="n"/>
      <c r="K326" s="82" t="n"/>
      <c r="L326" s="82">
        <f>IF(COUNT(E326,G326,H326,I326,J326,K326)=0,"",ROUND((IF(E326="",0,E326*10)+IF(G326="",0,G326)+IF(H326="",0,H326)+IF(I326="",0,I326*20)+IF(J326="",0,J326)+IF(K326="",0,K326*10))/COUNT(E326,G326,H326,I326,J326,K326),1))</f>
        <v/>
      </c>
      <c r="M326">
        <f>IF(L326="","",IF(L326&gt;=85,"Excellent",IF(L326&gt;=70,"Good",IF(L326&gt;=55,"Mixed","Poor"))))</f>
        <v/>
      </c>
      <c r="N326" s="66" t="n"/>
      <c r="O326" t="inlineStr">
        <is>
          <t>https://www.imdb.com/find/?q=The+Transformers%3A+The+Movie+1986</t>
        </is>
      </c>
      <c r="P326" t="inlineStr">
        <is>
          <t>https://www.rottentomatoes.com/search?search=The+Transformers%3A+The+Movie</t>
        </is>
      </c>
      <c r="Q326" t="inlineStr">
        <is>
          <t>https://letterboxd.com/search/The%20Transformers%3A%20The%20Movie/</t>
        </is>
      </c>
      <c r="R326" t="inlineStr">
        <is>
          <t>https://www.metacritic.com/search/The+Transformers%3A+The+Movie/</t>
        </is>
      </c>
    </row>
    <row r="327">
      <c r="A327" t="inlineStr">
        <is>
          <t>F0323</t>
        </is>
      </c>
      <c r="B327" t="inlineStr">
        <is>
          <t>The Transporter Refueled</t>
        </is>
      </c>
      <c r="C327" s="63" t="inlineStr">
        <is>
          <t>2015</t>
        </is>
      </c>
      <c r="E327" s="82" t="n"/>
      <c r="F327" s="85" t="n"/>
      <c r="G327" s="71" t="n"/>
      <c r="H327" s="71" t="n"/>
      <c r="I327" s="83" t="n"/>
      <c r="J327" s="71" t="n"/>
      <c r="K327" s="82" t="n"/>
      <c r="L327" s="82">
        <f>IF(COUNT(E327,G327,H327,I327,J327,K327)=0,"",ROUND((IF(E327="",0,E327*10)+IF(G327="",0,G327)+IF(H327="",0,H327)+IF(I327="",0,I327*20)+IF(J327="",0,J327)+IF(K327="",0,K327*10))/COUNT(E327,G327,H327,I327,J327,K327),1))</f>
        <v/>
      </c>
      <c r="M327">
        <f>IF(L327="","",IF(L327&gt;=85,"Excellent",IF(L327&gt;=70,"Good",IF(L327&gt;=55,"Mixed","Poor"))))</f>
        <v/>
      </c>
      <c r="N327" s="66" t="n"/>
      <c r="O327" t="inlineStr">
        <is>
          <t>https://www.imdb.com/find/?q=The+Transporter+Refueled+2015</t>
        </is>
      </c>
      <c r="P327" t="inlineStr">
        <is>
          <t>https://www.rottentomatoes.com/search?search=The+Transporter+Refueled</t>
        </is>
      </c>
      <c r="Q327" t="inlineStr">
        <is>
          <t>https://letterboxd.com/search/The%20Transporter%20Refueled/</t>
        </is>
      </c>
      <c r="R327" t="inlineStr">
        <is>
          <t>https://www.metacritic.com/search/The+Transporter+Refueled/</t>
        </is>
      </c>
    </row>
    <row r="328">
      <c r="A328" t="inlineStr">
        <is>
          <t>F0324</t>
        </is>
      </c>
      <c r="B328" t="inlineStr">
        <is>
          <t>Tropic Thunder</t>
        </is>
      </c>
      <c r="C328" s="63" t="inlineStr">
        <is>
          <t>2008</t>
        </is>
      </c>
      <c r="E328" s="82" t="n"/>
      <c r="F328" s="85" t="n"/>
      <c r="G328" s="71" t="n"/>
      <c r="H328" s="71" t="n"/>
      <c r="I328" s="83" t="n"/>
      <c r="J328" s="71" t="n"/>
      <c r="K328" s="82" t="n"/>
      <c r="L328" s="82">
        <f>IF(COUNT(E328,G328,H328,I328,J328,K328)=0,"",ROUND((IF(E328="",0,E328*10)+IF(G328="",0,G328)+IF(H328="",0,H328)+IF(I328="",0,I328*20)+IF(J328="",0,J328)+IF(K328="",0,K328*10))/COUNT(E328,G328,H328,I328,J328,K328),1))</f>
        <v/>
      </c>
      <c r="M328">
        <f>IF(L328="","",IF(L328&gt;=85,"Excellent",IF(L328&gt;=70,"Good",IF(L328&gt;=55,"Mixed","Poor"))))</f>
        <v/>
      </c>
      <c r="N328" s="66" t="n"/>
      <c r="O328" t="inlineStr">
        <is>
          <t>https://www.imdb.com/find/?q=Tropic+Thunder+2008</t>
        </is>
      </c>
      <c r="P328" t="inlineStr">
        <is>
          <t>https://www.rottentomatoes.com/search?search=Tropic+Thunder</t>
        </is>
      </c>
      <c r="Q328" t="inlineStr">
        <is>
          <t>https://letterboxd.com/search/Tropic%20Thunder/</t>
        </is>
      </c>
      <c r="R328" t="inlineStr">
        <is>
          <t>https://www.metacritic.com/search/Tropic+Thunder/</t>
        </is>
      </c>
    </row>
    <row r="329">
      <c r="A329" t="inlineStr">
        <is>
          <t>F0325</t>
        </is>
      </c>
      <c r="B329" t="inlineStr">
        <is>
          <t>True Grit</t>
        </is>
      </c>
      <c r="C329" s="63" t="inlineStr">
        <is>
          <t>2010</t>
        </is>
      </c>
      <c r="E329" s="82" t="n"/>
      <c r="F329" s="85" t="n"/>
      <c r="G329" s="71" t="n"/>
      <c r="H329" s="71" t="n"/>
      <c r="I329" s="83" t="n"/>
      <c r="J329" s="71" t="n"/>
      <c r="K329" s="82" t="n"/>
      <c r="L329" s="82">
        <f>IF(COUNT(E329,G329,H329,I329,J329,K329)=0,"",ROUND((IF(E329="",0,E329*10)+IF(G329="",0,G329)+IF(H329="",0,H329)+IF(I329="",0,I329*20)+IF(J329="",0,J329)+IF(K329="",0,K329*10))/COUNT(E329,G329,H329,I329,J329,K329),1))</f>
        <v/>
      </c>
      <c r="M329">
        <f>IF(L329="","",IF(L329&gt;=85,"Excellent",IF(L329&gt;=70,"Good",IF(L329&gt;=55,"Mixed","Poor"))))</f>
        <v/>
      </c>
      <c r="N329" s="66" t="n"/>
      <c r="O329" t="inlineStr">
        <is>
          <t>https://www.imdb.com/find/?q=True+Grit+2010</t>
        </is>
      </c>
      <c r="P329" t="inlineStr">
        <is>
          <t>https://www.rottentomatoes.com/search?search=True+Grit</t>
        </is>
      </c>
      <c r="Q329" t="inlineStr">
        <is>
          <t>https://letterboxd.com/search/True%20Grit/</t>
        </is>
      </c>
      <c r="R329" t="inlineStr">
        <is>
          <t>https://www.metacritic.com/search/True+Grit/</t>
        </is>
      </c>
    </row>
    <row r="330">
      <c r="A330" t="inlineStr">
        <is>
          <t>F0326</t>
        </is>
      </c>
      <c r="B330" t="inlineStr">
        <is>
          <t>Underworld: Evolution</t>
        </is>
      </c>
      <c r="C330" s="63" t="inlineStr">
        <is>
          <t>2006</t>
        </is>
      </c>
      <c r="E330" s="82" t="n"/>
      <c r="F330" s="85" t="n"/>
      <c r="G330" s="71" t="n"/>
      <c r="H330" s="71" t="n"/>
      <c r="I330" s="83" t="n"/>
      <c r="J330" s="71" t="n"/>
      <c r="K330" s="82" t="n"/>
      <c r="L330" s="82">
        <f>IF(COUNT(E330,G330,H330,I330,J330,K330)=0,"",ROUND((IF(E330="",0,E330*10)+IF(G330="",0,G330)+IF(H330="",0,H330)+IF(I330="",0,I330*20)+IF(J330="",0,J330)+IF(K330="",0,K330*10))/COUNT(E330,G330,H330,I330,J330,K330),1))</f>
        <v/>
      </c>
      <c r="M330">
        <f>IF(L330="","",IF(L330&gt;=85,"Excellent",IF(L330&gt;=70,"Good",IF(L330&gt;=55,"Mixed","Poor"))))</f>
        <v/>
      </c>
      <c r="N330" s="66" t="n"/>
      <c r="O330" t="inlineStr">
        <is>
          <t>https://www.imdb.com/find/?q=Underworld%3A+Evolution+2006</t>
        </is>
      </c>
      <c r="P330" t="inlineStr">
        <is>
          <t>https://www.rottentomatoes.com/search?search=Underworld%3A+Evolution</t>
        </is>
      </c>
      <c r="Q330" t="inlineStr">
        <is>
          <t>https://letterboxd.com/search/Underworld%3A%20Evolution/</t>
        </is>
      </c>
      <c r="R330" t="inlineStr">
        <is>
          <t>https://www.metacritic.com/search/Underworld%3A+Evolution/</t>
        </is>
      </c>
    </row>
    <row r="331">
      <c r="A331" t="inlineStr">
        <is>
          <t>F0327</t>
        </is>
      </c>
      <c r="B331" t="inlineStr">
        <is>
          <t>Underworld: Rise of the Lycans</t>
        </is>
      </c>
      <c r="C331" s="63" t="inlineStr">
        <is>
          <t>2009</t>
        </is>
      </c>
      <c r="E331" s="82" t="n"/>
      <c r="F331" s="85" t="n"/>
      <c r="G331" s="71" t="n"/>
      <c r="H331" s="71" t="n"/>
      <c r="I331" s="83" t="n"/>
      <c r="J331" s="71" t="n"/>
      <c r="K331" s="82" t="n"/>
      <c r="L331" s="82">
        <f>IF(COUNT(E331,G331,H331,I331,J331,K331)=0,"",ROUND((IF(E331="",0,E331*10)+IF(G331="",0,G331)+IF(H331="",0,H331)+IF(I331="",0,I331*20)+IF(J331="",0,J331)+IF(K331="",0,K331*10))/COUNT(E331,G331,H331,I331,J331,K331),1))</f>
        <v/>
      </c>
      <c r="M331">
        <f>IF(L331="","",IF(L331&gt;=85,"Excellent",IF(L331&gt;=70,"Good",IF(L331&gt;=55,"Mixed","Poor"))))</f>
        <v/>
      </c>
      <c r="N331" s="66" t="n"/>
      <c r="O331" t="inlineStr">
        <is>
          <t>https://www.imdb.com/find/?q=Underworld%3A+Rise+of+the+Lycans+2009</t>
        </is>
      </c>
      <c r="P331" t="inlineStr">
        <is>
          <t>https://www.rottentomatoes.com/search?search=Underworld%3A+Rise+of+the+Lycans</t>
        </is>
      </c>
      <c r="Q331" t="inlineStr">
        <is>
          <t>https://letterboxd.com/search/Underworld%3A%20Rise%20of%20the%20Lycans/</t>
        </is>
      </c>
      <c r="R331" t="inlineStr">
        <is>
          <t>https://www.metacritic.com/search/Underworld%3A+Rise+of+the+Lycans/</t>
        </is>
      </c>
    </row>
    <row r="332">
      <c r="A332" t="inlineStr">
        <is>
          <t>F0328</t>
        </is>
      </c>
      <c r="B332" t="inlineStr">
        <is>
          <t>Underworld: Awakening</t>
        </is>
      </c>
      <c r="C332" s="63" t="inlineStr">
        <is>
          <t>2012</t>
        </is>
      </c>
      <c r="E332" s="82" t="n"/>
      <c r="F332" s="85" t="n"/>
      <c r="G332" s="71" t="n"/>
      <c r="H332" s="71" t="n"/>
      <c r="I332" s="83" t="n"/>
      <c r="J332" s="71" t="n"/>
      <c r="K332" s="82" t="n"/>
      <c r="L332" s="82">
        <f>IF(COUNT(E332,G332,H332,I332,J332,K332)=0,"",ROUND((IF(E332="",0,E332*10)+IF(G332="",0,G332)+IF(H332="",0,H332)+IF(I332="",0,I332*20)+IF(J332="",0,J332)+IF(K332="",0,K332*10))/COUNT(E332,G332,H332,I332,J332,K332),1))</f>
        <v/>
      </c>
      <c r="M332">
        <f>IF(L332="","",IF(L332&gt;=85,"Excellent",IF(L332&gt;=70,"Good",IF(L332&gt;=55,"Mixed","Poor"))))</f>
        <v/>
      </c>
      <c r="N332" s="66" t="n"/>
      <c r="O332" t="inlineStr">
        <is>
          <t>https://www.imdb.com/find/?q=Underworld%3A+Awakening+2012</t>
        </is>
      </c>
      <c r="P332" t="inlineStr">
        <is>
          <t>https://www.rottentomatoes.com/search?search=Underworld%3A+Awakening</t>
        </is>
      </c>
      <c r="Q332" t="inlineStr">
        <is>
          <t>https://letterboxd.com/search/Underworld%3A%20Awakening/</t>
        </is>
      </c>
      <c r="R332" t="inlineStr">
        <is>
          <t>https://www.metacritic.com/search/Underworld%3A+Awakening/</t>
        </is>
      </c>
    </row>
    <row r="333">
      <c r="A333" t="inlineStr">
        <is>
          <t>F0329</t>
        </is>
      </c>
      <c r="B333" t="inlineStr">
        <is>
          <t>Unknown</t>
        </is>
      </c>
      <c r="C333" s="63" t="inlineStr">
        <is>
          <t>2011</t>
        </is>
      </c>
      <c r="E333" s="82" t="n"/>
      <c r="F333" s="85" t="n"/>
      <c r="G333" s="71" t="n"/>
      <c r="H333" s="71" t="n"/>
      <c r="I333" s="83" t="n"/>
      <c r="J333" s="71" t="n"/>
      <c r="K333" s="82" t="n"/>
      <c r="L333" s="82">
        <f>IF(COUNT(E333,G333,H333,I333,J333,K333)=0,"",ROUND((IF(E333="",0,E333*10)+IF(G333="",0,G333)+IF(H333="",0,H333)+IF(I333="",0,I333*20)+IF(J333="",0,J333)+IF(K333="",0,K333*10))/COUNT(E333,G333,H333,I333,J333,K333),1))</f>
        <v/>
      </c>
      <c r="M333">
        <f>IF(L333="","",IF(L333&gt;=85,"Excellent",IF(L333&gt;=70,"Good",IF(L333&gt;=55,"Mixed","Poor"))))</f>
        <v/>
      </c>
      <c r="N333" s="66" t="n"/>
      <c r="O333" t="inlineStr">
        <is>
          <t>https://www.imdb.com/find/?q=Unknown+2011</t>
        </is>
      </c>
      <c r="P333" t="inlineStr">
        <is>
          <t>https://www.rottentomatoes.com/search?search=Unknown</t>
        </is>
      </c>
      <c r="Q333" t="inlineStr">
        <is>
          <t>https://letterboxd.com/search/Unknown/</t>
        </is>
      </c>
      <c r="R333" t="inlineStr">
        <is>
          <t>https://www.metacritic.com/search/Unknown/</t>
        </is>
      </c>
    </row>
    <row r="334">
      <c r="A334" t="inlineStr">
        <is>
          <t>F0330</t>
        </is>
      </c>
      <c r="B334" t="inlineStr">
        <is>
          <t>Up</t>
        </is>
      </c>
      <c r="C334" s="63" t="inlineStr">
        <is>
          <t>2009</t>
        </is>
      </c>
      <c r="E334" s="82" t="n"/>
      <c r="F334" s="85" t="n"/>
      <c r="G334" s="71" t="n"/>
      <c r="H334" s="71" t="n"/>
      <c r="I334" s="83" t="n"/>
      <c r="J334" s="71" t="n"/>
      <c r="K334" s="82" t="n"/>
      <c r="L334" s="82">
        <f>IF(COUNT(E334,G334,H334,I334,J334,K334)=0,"",ROUND((IF(E334="",0,E334*10)+IF(G334="",0,G334)+IF(H334="",0,H334)+IF(I334="",0,I334*20)+IF(J334="",0,J334)+IF(K334="",0,K334*10))/COUNT(E334,G334,H334,I334,J334,K334),1))</f>
        <v/>
      </c>
      <c r="M334">
        <f>IF(L334="","",IF(L334&gt;=85,"Excellent",IF(L334&gt;=70,"Good",IF(L334&gt;=55,"Mixed","Poor"))))</f>
        <v/>
      </c>
      <c r="N334" s="66" t="n"/>
      <c r="O334" t="inlineStr">
        <is>
          <t>https://www.imdb.com/find/?q=Up+2009</t>
        </is>
      </c>
      <c r="P334" t="inlineStr">
        <is>
          <t>https://www.rottentomatoes.com/search?search=Up</t>
        </is>
      </c>
      <c r="Q334" t="inlineStr">
        <is>
          <t>https://letterboxd.com/search/Up/</t>
        </is>
      </c>
      <c r="R334" t="inlineStr">
        <is>
          <t>https://www.metacritic.com/search/Up/</t>
        </is>
      </c>
    </row>
    <row r="335">
      <c r="A335" t="inlineStr">
        <is>
          <t>F0331</t>
        </is>
      </c>
      <c r="B335" t="inlineStr">
        <is>
          <t>WALL·E</t>
        </is>
      </c>
      <c r="C335" s="63" t="inlineStr">
        <is>
          <t>2008</t>
        </is>
      </c>
      <c r="E335" s="82" t="n"/>
      <c r="F335" s="85" t="n"/>
      <c r="G335" s="71" t="n"/>
      <c r="H335" s="71" t="n"/>
      <c r="I335" s="83" t="n"/>
      <c r="J335" s="71" t="n"/>
      <c r="K335" s="82" t="n"/>
      <c r="L335" s="82">
        <f>IF(COUNT(E335,G335,H335,I335,J335,K335)=0,"",ROUND((IF(E335="",0,E335*10)+IF(G335="",0,G335)+IF(H335="",0,H335)+IF(I335="",0,I335*20)+IF(J335="",0,J335)+IF(K335="",0,K335*10))/COUNT(E335,G335,H335,I335,J335,K335),1))</f>
        <v/>
      </c>
      <c r="M335">
        <f>IF(L335="","",IF(L335&gt;=85,"Excellent",IF(L335&gt;=70,"Good",IF(L335&gt;=55,"Mixed","Poor"))))</f>
        <v/>
      </c>
      <c r="N335" s="66" t="n"/>
      <c r="O335" t="inlineStr">
        <is>
          <t>https://www.imdb.com/find/?q=WALL%C2%B7E+2008</t>
        </is>
      </c>
      <c r="P335" t="inlineStr">
        <is>
          <t>https://www.rottentomatoes.com/search?search=WALL%C2%B7E</t>
        </is>
      </c>
      <c r="Q335" t="inlineStr">
        <is>
          <t>https://letterboxd.com/search/WALL%C2%B7E/</t>
        </is>
      </c>
      <c r="R335" t="inlineStr">
        <is>
          <t>https://www.metacritic.com/search/WALL%C2%B7E/</t>
        </is>
      </c>
    </row>
    <row r="336">
      <c r="A336" t="inlineStr">
        <is>
          <t>F0332</t>
        </is>
      </c>
      <c r="B336" t="inlineStr">
        <is>
          <t>War of the Worlds</t>
        </is>
      </c>
      <c r="C336" s="63" t="inlineStr">
        <is>
          <t>2005</t>
        </is>
      </c>
      <c r="E336" s="82" t="n"/>
      <c r="F336" s="85" t="n"/>
      <c r="G336" s="71" t="n"/>
      <c r="H336" s="71" t="n"/>
      <c r="I336" s="83" t="n"/>
      <c r="J336" s="71" t="n"/>
      <c r="K336" s="82" t="n"/>
      <c r="L336" s="82">
        <f>IF(COUNT(E336,G336,H336,I336,J336,K336)=0,"",ROUND((IF(E336="",0,E336*10)+IF(G336="",0,G336)+IF(H336="",0,H336)+IF(I336="",0,I336*20)+IF(J336="",0,J336)+IF(K336="",0,K336*10))/COUNT(E336,G336,H336,I336,J336,K336),1))</f>
        <v/>
      </c>
      <c r="M336">
        <f>IF(L336="","",IF(L336&gt;=85,"Excellent",IF(L336&gt;=70,"Good",IF(L336&gt;=55,"Mixed","Poor"))))</f>
        <v/>
      </c>
      <c r="N336" s="66" t="n"/>
      <c r="O336" t="inlineStr">
        <is>
          <t>https://www.imdb.com/find/?q=War+of+the+Worlds+2005</t>
        </is>
      </c>
      <c r="P336" t="inlineStr">
        <is>
          <t>https://www.rottentomatoes.com/search?search=War+of+the+Worlds</t>
        </is>
      </c>
      <c r="Q336" t="inlineStr">
        <is>
          <t>https://letterboxd.com/search/War%20of%20the%20Worlds/</t>
        </is>
      </c>
      <c r="R336" t="inlineStr">
        <is>
          <t>https://www.metacritic.com/search/War+of+the+Worlds/</t>
        </is>
      </c>
    </row>
    <row r="337">
      <c r="A337" t="inlineStr">
        <is>
          <t>F0333</t>
        </is>
      </c>
      <c r="B337" t="inlineStr">
        <is>
          <t>Warrior</t>
        </is>
      </c>
      <c r="C337" s="63" t="inlineStr">
        <is>
          <t>2011</t>
        </is>
      </c>
      <c r="E337" s="82" t="n"/>
      <c r="F337" s="85" t="n"/>
      <c r="G337" s="71" t="n"/>
      <c r="H337" s="71" t="n"/>
      <c r="I337" s="83" t="n"/>
      <c r="J337" s="71" t="n"/>
      <c r="K337" s="82" t="n"/>
      <c r="L337" s="82">
        <f>IF(COUNT(E337,G337,H337,I337,J337,K337)=0,"",ROUND((IF(E337="",0,E337*10)+IF(G337="",0,G337)+IF(H337="",0,H337)+IF(I337="",0,I337*20)+IF(J337="",0,J337)+IF(K337="",0,K337*10))/COUNT(E337,G337,H337,I337,J337,K337),1))</f>
        <v/>
      </c>
      <c r="M337">
        <f>IF(L337="","",IF(L337&gt;=85,"Excellent",IF(L337&gt;=70,"Good",IF(L337&gt;=55,"Mixed","Poor"))))</f>
        <v/>
      </c>
      <c r="N337" s="66" t="n"/>
      <c r="O337" t="inlineStr">
        <is>
          <t>https://www.imdb.com/find/?q=Warrior+2011</t>
        </is>
      </c>
      <c r="P337" t="inlineStr">
        <is>
          <t>https://www.rottentomatoes.com/search?search=Warrior</t>
        </is>
      </c>
      <c r="Q337" t="inlineStr">
        <is>
          <t>https://letterboxd.com/search/Warrior/</t>
        </is>
      </c>
      <c r="R337" t="inlineStr">
        <is>
          <t>https://www.metacritic.com/search/Warrior/</t>
        </is>
      </c>
    </row>
    <row r="338">
      <c r="A338" t="inlineStr">
        <is>
          <t>F0334</t>
        </is>
      </c>
      <c r="B338" t="inlineStr">
        <is>
          <t>The Warriors</t>
        </is>
      </c>
      <c r="C338" s="63" t="inlineStr">
        <is>
          <t>1979</t>
        </is>
      </c>
      <c r="E338" s="82" t="n"/>
      <c r="F338" s="85" t="n"/>
      <c r="G338" s="71" t="n"/>
      <c r="H338" s="71" t="n"/>
      <c r="I338" s="83" t="n"/>
      <c r="J338" s="71" t="n"/>
      <c r="K338" s="82" t="n"/>
      <c r="L338" s="82">
        <f>IF(COUNT(E338,G338,H338,I338,J338,K338)=0,"",ROUND((IF(E338="",0,E338*10)+IF(G338="",0,G338)+IF(H338="",0,H338)+IF(I338="",0,I338*20)+IF(J338="",0,J338)+IF(K338="",0,K338*10))/COUNT(E338,G338,H338,I338,J338,K338),1))</f>
        <v/>
      </c>
      <c r="M338">
        <f>IF(L338="","",IF(L338&gt;=85,"Excellent",IF(L338&gt;=70,"Good",IF(L338&gt;=55,"Mixed","Poor"))))</f>
        <v/>
      </c>
      <c r="N338" s="66" t="n"/>
      <c r="O338" t="inlineStr">
        <is>
          <t>https://www.imdb.com/find/?q=The+Warriors+1979</t>
        </is>
      </c>
      <c r="P338" t="inlineStr">
        <is>
          <t>https://www.rottentomatoes.com/search?search=The+Warriors</t>
        </is>
      </c>
      <c r="Q338" t="inlineStr">
        <is>
          <t>https://letterboxd.com/search/The%20Warriors/</t>
        </is>
      </c>
      <c r="R338" t="inlineStr">
        <is>
          <t>https://www.metacritic.com/search/The+Warriors/</t>
        </is>
      </c>
    </row>
    <row r="339">
      <c r="A339" t="inlineStr">
        <is>
          <t>F0335</t>
        </is>
      </c>
      <c r="B339" t="inlineStr">
        <is>
          <t>White House Down</t>
        </is>
      </c>
      <c r="C339" s="63" t="inlineStr">
        <is>
          <t>2013</t>
        </is>
      </c>
      <c r="E339" s="82" t="n"/>
      <c r="F339" s="85" t="n"/>
      <c r="G339" s="71" t="n"/>
      <c r="H339" s="71" t="n"/>
      <c r="I339" s="83" t="n"/>
      <c r="J339" s="71" t="n"/>
      <c r="K339" s="82" t="n"/>
      <c r="L339" s="82">
        <f>IF(COUNT(E339,G339,H339,I339,J339,K339)=0,"",ROUND((IF(E339="",0,E339*10)+IF(G339="",0,G339)+IF(H339="",0,H339)+IF(I339="",0,I339*20)+IF(J339="",0,J339)+IF(K339="",0,K339*10))/COUNT(E339,G339,H339,I339,J339,K339),1))</f>
        <v/>
      </c>
      <c r="M339">
        <f>IF(L339="","",IF(L339&gt;=85,"Excellent",IF(L339&gt;=70,"Good",IF(L339&gt;=55,"Mixed","Poor"))))</f>
        <v/>
      </c>
      <c r="N339" s="66" t="n"/>
      <c r="O339" t="inlineStr">
        <is>
          <t>https://www.imdb.com/find/?q=White+House+Down+2013</t>
        </is>
      </c>
      <c r="P339" t="inlineStr">
        <is>
          <t>https://www.rottentomatoes.com/search?search=White+House+Down</t>
        </is>
      </c>
      <c r="Q339" t="inlineStr">
        <is>
          <t>https://letterboxd.com/search/White%20House%20Down/</t>
        </is>
      </c>
      <c r="R339" t="inlineStr">
        <is>
          <t>https://www.metacritic.com/search/White+House+Down/</t>
        </is>
      </c>
    </row>
    <row r="340">
      <c r="A340" t="inlineStr">
        <is>
          <t>F0336</t>
        </is>
      </c>
      <c r="B340" t="inlineStr">
        <is>
          <t>Wreck-It Ralph</t>
        </is>
      </c>
      <c r="C340" s="63" t="inlineStr">
        <is>
          <t>2012</t>
        </is>
      </c>
      <c r="E340" s="82" t="n"/>
      <c r="F340" s="85" t="n"/>
      <c r="G340" s="71" t="n"/>
      <c r="H340" s="71" t="n"/>
      <c r="I340" s="83" t="n"/>
      <c r="J340" s="71" t="n"/>
      <c r="K340" s="82" t="n"/>
      <c r="L340" s="82">
        <f>IF(COUNT(E340,G340,H340,I340,J340,K340)=0,"",ROUND((IF(E340="",0,E340*10)+IF(G340="",0,G340)+IF(H340="",0,H340)+IF(I340="",0,I340*20)+IF(J340="",0,J340)+IF(K340="",0,K340*10))/COUNT(E340,G340,H340,I340,J340,K340),1))</f>
        <v/>
      </c>
      <c r="M340">
        <f>IF(L340="","",IF(L340&gt;=85,"Excellent",IF(L340&gt;=70,"Good",IF(L340&gt;=55,"Mixed","Poor"))))</f>
        <v/>
      </c>
      <c r="N340" s="66" t="n"/>
      <c r="O340" t="inlineStr">
        <is>
          <t>https://www.imdb.com/find/?q=Wreck-It+Ralph+2012</t>
        </is>
      </c>
      <c r="P340" t="inlineStr">
        <is>
          <t>https://www.rottentomatoes.com/search?search=Wreck-It+Ralph</t>
        </is>
      </c>
      <c r="Q340" t="inlineStr">
        <is>
          <t>https://letterboxd.com/search/Wreck-It%20Ralph/</t>
        </is>
      </c>
      <c r="R340" t="inlineStr">
        <is>
          <t>https://www.metacritic.com/search/Wreck-It+Ralph/</t>
        </is>
      </c>
    </row>
    <row r="341">
      <c r="A341" t="inlineStr">
        <is>
          <t>F0337</t>
        </is>
      </c>
      <c r="B341" t="inlineStr">
        <is>
          <t>Ralph Breaks the Internet</t>
        </is>
      </c>
      <c r="C341" s="63" t="inlineStr">
        <is>
          <t>2018</t>
        </is>
      </c>
      <c r="E341" s="82" t="n"/>
      <c r="F341" s="85" t="n"/>
      <c r="G341" s="71" t="n"/>
      <c r="H341" s="71" t="n"/>
      <c r="I341" s="83" t="n"/>
      <c r="J341" s="71" t="n"/>
      <c r="K341" s="82" t="n"/>
      <c r="L341" s="82">
        <f>IF(COUNT(E341,G341,H341,I341,J341,K341)=0,"",ROUND((IF(E341="",0,E341*10)+IF(G341="",0,G341)+IF(H341="",0,H341)+IF(I341="",0,I341*20)+IF(J341="",0,J341)+IF(K341="",0,K341*10))/COUNT(E341,G341,H341,I341,J341,K341),1))</f>
        <v/>
      </c>
      <c r="M341">
        <f>IF(L341="","",IF(L341&gt;=85,"Excellent",IF(L341&gt;=70,"Good",IF(L341&gt;=55,"Mixed","Poor"))))</f>
        <v/>
      </c>
      <c r="N341" s="66" t="n"/>
      <c r="O341" t="inlineStr">
        <is>
          <t>https://www.imdb.com/find/?q=Ralph+Breaks+the+Internet+2018</t>
        </is>
      </c>
      <c r="P341" t="inlineStr">
        <is>
          <t>https://www.rottentomatoes.com/search?search=Ralph+Breaks+the+Internet</t>
        </is>
      </c>
      <c r="Q341" t="inlineStr">
        <is>
          <t>https://letterboxd.com/search/Ralph%20Breaks%20the%20Internet/</t>
        </is>
      </c>
      <c r="R341" t="inlineStr">
        <is>
          <t>https://www.metacritic.com/search/Ralph+Breaks+the+Internet/</t>
        </is>
      </c>
    </row>
    <row r="342">
      <c r="A342" t="inlineStr">
        <is>
          <t>F0338</t>
        </is>
      </c>
      <c r="B342" t="inlineStr">
        <is>
          <t>Wonka</t>
        </is>
      </c>
      <c r="C342" s="63" t="inlineStr">
        <is>
          <t>2023</t>
        </is>
      </c>
      <c r="E342" s="82" t="n"/>
      <c r="F342" s="85" t="n"/>
      <c r="G342" s="71" t="n"/>
      <c r="H342" s="71" t="n"/>
      <c r="I342" s="83" t="n"/>
      <c r="J342" s="71" t="n"/>
      <c r="K342" s="82" t="n"/>
      <c r="L342" s="82">
        <f>IF(COUNT(E342,G342,H342,I342,J342,K342)=0,"",ROUND((IF(E342="",0,E342*10)+IF(G342="",0,G342)+IF(H342="",0,H342)+IF(I342="",0,I342*20)+IF(J342="",0,J342)+IF(K342="",0,K342*10))/COUNT(E342,G342,H342,I342,J342,K342),1))</f>
        <v/>
      </c>
      <c r="M342">
        <f>IF(L342="","",IF(L342&gt;=85,"Excellent",IF(L342&gt;=70,"Good",IF(L342&gt;=55,"Mixed","Poor"))))</f>
        <v/>
      </c>
      <c r="N342" s="66" t="n"/>
      <c r="O342" t="inlineStr">
        <is>
          <t>https://www.imdb.com/find/?q=Wonka+2023</t>
        </is>
      </c>
      <c r="P342" t="inlineStr">
        <is>
          <t>https://www.rottentomatoes.com/search?search=Wonka</t>
        </is>
      </c>
      <c r="Q342" t="inlineStr">
        <is>
          <t>https://letterboxd.com/search/Wonka/</t>
        </is>
      </c>
      <c r="R342" t="inlineStr">
        <is>
          <t>https://www.metacritic.com/search/Wonka/</t>
        </is>
      </c>
    </row>
    <row r="343">
      <c r="A343" t="inlineStr">
        <is>
          <t>F0339</t>
        </is>
      </c>
      <c r="B343" t="inlineStr">
        <is>
          <t>Willy Wonka &amp; the Chocolate Factory</t>
        </is>
      </c>
      <c r="C343" s="63" t="inlineStr">
        <is>
          <t>1971</t>
        </is>
      </c>
      <c r="E343" s="82" t="n"/>
      <c r="F343" s="85" t="n"/>
      <c r="G343" s="71" t="n"/>
      <c r="H343" s="71" t="n"/>
      <c r="I343" s="83" t="n"/>
      <c r="J343" s="71" t="n"/>
      <c r="K343" s="82" t="n"/>
      <c r="L343" s="82">
        <f>IF(COUNT(E343,G343,H343,I343,J343,K343)=0,"",ROUND((IF(E343="",0,E343*10)+IF(G343="",0,G343)+IF(H343="",0,H343)+IF(I343="",0,I343*20)+IF(J343="",0,J343)+IF(K343="",0,K343*10))/COUNT(E343,G343,H343,I343,J343,K343),1))</f>
        <v/>
      </c>
      <c r="M343">
        <f>IF(L343="","",IF(L343&gt;=85,"Excellent",IF(L343&gt;=70,"Good",IF(L343&gt;=55,"Mixed","Poor"))))</f>
        <v/>
      </c>
      <c r="N343" s="66" t="n"/>
      <c r="O343" t="inlineStr">
        <is>
          <t>https://www.imdb.com/find/?q=Willy+Wonka+%26+the+Chocolate+Factory+1971</t>
        </is>
      </c>
      <c r="P343" t="inlineStr">
        <is>
          <t>https://www.rottentomatoes.com/search?search=Willy+Wonka+%26+the+Chocolate+Factory</t>
        </is>
      </c>
      <c r="Q343" t="inlineStr">
        <is>
          <t>https://letterboxd.com/search/Willy%20Wonka%20%26%20the%20Chocolate%20Factory/</t>
        </is>
      </c>
      <c r="R343" t="inlineStr">
        <is>
          <t>https://www.metacritic.com/search/Willy+Wonka+%26+the+Chocolate+Factory/</t>
        </is>
      </c>
    </row>
    <row r="344">
      <c r="A344" t="inlineStr">
        <is>
          <t>F0340</t>
        </is>
      </c>
      <c r="B344" t="inlineStr">
        <is>
          <t>X-Men: First Class</t>
        </is>
      </c>
      <c r="C344" s="63" t="inlineStr">
        <is>
          <t>2011</t>
        </is>
      </c>
      <c r="E344" s="82" t="n"/>
      <c r="F344" s="85" t="n"/>
      <c r="G344" s="71" t="n"/>
      <c r="H344" s="71" t="n"/>
      <c r="I344" s="83" t="n"/>
      <c r="J344" s="71" t="n"/>
      <c r="K344" s="82" t="n"/>
      <c r="L344" s="82">
        <f>IF(COUNT(E344,G344,H344,I344,J344,K344)=0,"",ROUND((IF(E344="",0,E344*10)+IF(G344="",0,G344)+IF(H344="",0,H344)+IF(I344="",0,I344*20)+IF(J344="",0,J344)+IF(K344="",0,K344*10))/COUNT(E344,G344,H344,I344,J344,K344),1))</f>
        <v/>
      </c>
      <c r="M344">
        <f>IF(L344="","",IF(L344&gt;=85,"Excellent",IF(L344&gt;=70,"Good",IF(L344&gt;=55,"Mixed","Poor"))))</f>
        <v/>
      </c>
      <c r="N344" s="66" t="n"/>
      <c r="O344" t="inlineStr">
        <is>
          <t>https://www.imdb.com/find/?q=X-Men%3A+First+Class+2011</t>
        </is>
      </c>
      <c r="P344" t="inlineStr">
        <is>
          <t>https://www.rottentomatoes.com/search?search=X-Men%3A+First+Class</t>
        </is>
      </c>
      <c r="Q344" t="inlineStr">
        <is>
          <t>https://letterboxd.com/search/X-Men%3A%20First%20Class/</t>
        </is>
      </c>
      <c r="R344" t="inlineStr">
        <is>
          <t>https://www.metacritic.com/search/X-Men%3A+First+Class/</t>
        </is>
      </c>
    </row>
    <row r="345">
      <c r="A345" t="inlineStr">
        <is>
          <t>F0341</t>
        </is>
      </c>
      <c r="B345" t="inlineStr">
        <is>
          <t>X-Men: Days of Future Past</t>
        </is>
      </c>
      <c r="C345" s="63" t="inlineStr">
        <is>
          <t>2014</t>
        </is>
      </c>
      <c r="E345" s="82" t="n"/>
      <c r="F345" s="85" t="n"/>
      <c r="G345" s="71" t="n"/>
      <c r="H345" s="71" t="n"/>
      <c r="I345" s="83" t="n"/>
      <c r="J345" s="71" t="n"/>
      <c r="K345" s="82" t="n"/>
      <c r="L345" s="82">
        <f>IF(COUNT(E345,G345,H345,I345,J345,K345)=0,"",ROUND((IF(E345="",0,E345*10)+IF(G345="",0,G345)+IF(H345="",0,H345)+IF(I345="",0,I345*20)+IF(J345="",0,J345)+IF(K345="",0,K345*10))/COUNT(E345,G345,H345,I345,J345,K345),1))</f>
        <v/>
      </c>
      <c r="M345">
        <f>IF(L345="","",IF(L345&gt;=85,"Excellent",IF(L345&gt;=70,"Good",IF(L345&gt;=55,"Mixed","Poor"))))</f>
        <v/>
      </c>
      <c r="N345" s="66" t="n"/>
      <c r="O345" t="inlineStr">
        <is>
          <t>https://www.imdb.com/find/?q=X-Men%3A+Days+of+Future+Past+2014</t>
        </is>
      </c>
      <c r="P345" t="inlineStr">
        <is>
          <t>https://www.rottentomatoes.com/search?search=X-Men%3A+Days+of+Future+Past</t>
        </is>
      </c>
      <c r="Q345" t="inlineStr">
        <is>
          <t>https://letterboxd.com/search/X-Men%3A%20Days%20of%20Future%20Past/</t>
        </is>
      </c>
      <c r="R345" t="inlineStr">
        <is>
          <t>https://www.metacritic.com/search/X-Men%3A+Days+of+Future+Past/</t>
        </is>
      </c>
    </row>
    <row r="346">
      <c r="A346" t="inlineStr">
        <is>
          <t>F0342</t>
        </is>
      </c>
      <c r="B346" t="inlineStr">
        <is>
          <t>X-Men: Apocalypse</t>
        </is>
      </c>
      <c r="C346" s="63" t="inlineStr">
        <is>
          <t>2016</t>
        </is>
      </c>
      <c r="E346" s="82" t="n"/>
      <c r="F346" s="85" t="n"/>
      <c r="G346" s="71" t="n"/>
      <c r="H346" s="71" t="n"/>
      <c r="I346" s="83" t="n"/>
      <c r="J346" s="71" t="n"/>
      <c r="K346" s="82" t="n"/>
      <c r="L346" s="82">
        <f>IF(COUNT(E346,G346,H346,I346,J346,K346)=0,"",ROUND((IF(E346="",0,E346*10)+IF(G346="",0,G346)+IF(H346="",0,H346)+IF(I346="",0,I346*20)+IF(J346="",0,J346)+IF(K346="",0,K346*10))/COUNT(E346,G346,H346,I346,J346,K346),1))</f>
        <v/>
      </c>
      <c r="M346">
        <f>IF(L346="","",IF(L346&gt;=85,"Excellent",IF(L346&gt;=70,"Good",IF(L346&gt;=55,"Mixed","Poor"))))</f>
        <v/>
      </c>
      <c r="N346" s="66" t="n"/>
      <c r="O346" t="inlineStr">
        <is>
          <t>https://www.imdb.com/find/?q=X-Men%3A+Apocalypse+2016</t>
        </is>
      </c>
      <c r="P346" t="inlineStr">
        <is>
          <t>https://www.rottentomatoes.com/search?search=X-Men%3A+Apocalypse</t>
        </is>
      </c>
      <c r="Q346" t="inlineStr">
        <is>
          <t>https://letterboxd.com/search/X-Men%3A%20Apocalypse/</t>
        </is>
      </c>
      <c r="R346" t="inlineStr">
        <is>
          <t>https://www.metacritic.com/search/X-Men%3A+Apocalypse/</t>
        </is>
      </c>
    </row>
    <row r="347">
      <c r="A347" t="inlineStr">
        <is>
          <t>F0343</t>
        </is>
      </c>
      <c r="B347" t="inlineStr">
        <is>
          <t>X-Men Origins: Wolverine</t>
        </is>
      </c>
      <c r="C347" s="63" t="inlineStr">
        <is>
          <t>2009</t>
        </is>
      </c>
      <c r="E347" s="82" t="n"/>
      <c r="F347" s="85" t="n"/>
      <c r="G347" s="71" t="n"/>
      <c r="H347" s="71" t="n"/>
      <c r="I347" s="83" t="n"/>
      <c r="J347" s="71" t="n"/>
      <c r="K347" s="82" t="n"/>
      <c r="L347" s="82">
        <f>IF(COUNT(E347,G347,H347,I347,J347,K347)=0,"",ROUND((IF(E347="",0,E347*10)+IF(G347="",0,G347)+IF(H347="",0,H347)+IF(I347="",0,I347*20)+IF(J347="",0,J347)+IF(K347="",0,K347*10))/COUNT(E347,G347,H347,I347,J347,K347),1))</f>
        <v/>
      </c>
      <c r="M347">
        <f>IF(L347="","",IF(L347&gt;=85,"Excellent",IF(L347&gt;=70,"Good",IF(L347&gt;=55,"Mixed","Poor"))))</f>
        <v/>
      </c>
      <c r="N347" s="66" t="n"/>
      <c r="O347" t="inlineStr">
        <is>
          <t>https://www.imdb.com/find/?q=X-Men+Origins%3A+Wolverine+2009</t>
        </is>
      </c>
      <c r="P347" t="inlineStr">
        <is>
          <t>https://www.rottentomatoes.com/search?search=X-Men+Origins%3A+Wolverine</t>
        </is>
      </c>
      <c r="Q347" t="inlineStr">
        <is>
          <t>https://letterboxd.com/search/X-Men%20Origins%3A%20Wolverine/</t>
        </is>
      </c>
      <c r="R347" t="inlineStr">
        <is>
          <t>https://www.metacritic.com/search/X-Men+Origins%3A+Wolverine/</t>
        </is>
      </c>
    </row>
    <row r="348">
      <c r="A348" t="inlineStr">
        <is>
          <t>F0344</t>
        </is>
      </c>
      <c r="B348" t="inlineStr">
        <is>
          <t>X-Men</t>
        </is>
      </c>
      <c r="C348" s="63" t="inlineStr">
        <is>
          <t>2000</t>
        </is>
      </c>
      <c r="E348" s="82" t="n"/>
      <c r="F348" s="85" t="n"/>
      <c r="G348" s="71" t="n"/>
      <c r="H348" s="71" t="n"/>
      <c r="I348" s="83" t="n"/>
      <c r="J348" s="71" t="n"/>
      <c r="K348" s="82" t="n"/>
      <c r="L348" s="82">
        <f>IF(COUNT(E348,G348,H348,I348,J348,K348)=0,"",ROUND((IF(E348="",0,E348*10)+IF(G348="",0,G348)+IF(H348="",0,H348)+IF(I348="",0,I348*20)+IF(J348="",0,J348)+IF(K348="",0,K348*10))/COUNT(E348,G348,H348,I348,J348,K348),1))</f>
        <v/>
      </c>
      <c r="M348">
        <f>IF(L348="","",IF(L348&gt;=85,"Excellent",IF(L348&gt;=70,"Good",IF(L348&gt;=55,"Mixed","Poor"))))</f>
        <v/>
      </c>
      <c r="N348" s="66" t="n"/>
      <c r="O348" t="inlineStr">
        <is>
          <t>https://www.imdb.com/find/?q=X-Men+2000</t>
        </is>
      </c>
      <c r="P348" t="inlineStr">
        <is>
          <t>https://www.rottentomatoes.com/search?search=X-Men</t>
        </is>
      </c>
      <c r="Q348" t="inlineStr">
        <is>
          <t>https://letterboxd.com/search/X-Men/</t>
        </is>
      </c>
      <c r="R348" t="inlineStr">
        <is>
          <t>https://www.metacritic.com/search/X-Men/</t>
        </is>
      </c>
    </row>
    <row r="349">
      <c r="A349" t="inlineStr">
        <is>
          <t>F0345</t>
        </is>
      </c>
      <c r="B349" t="inlineStr">
        <is>
          <t>X2: X-Men United</t>
        </is>
      </c>
      <c r="C349" s="63" t="inlineStr">
        <is>
          <t>2003</t>
        </is>
      </c>
      <c r="E349" s="82" t="n"/>
      <c r="F349" s="85" t="n"/>
      <c r="G349" s="71" t="n"/>
      <c r="H349" s="71" t="n"/>
      <c r="I349" s="83" t="n"/>
      <c r="J349" s="71" t="n"/>
      <c r="K349" s="82" t="n"/>
      <c r="L349" s="82">
        <f>IF(COUNT(E349,G349,H349,I349,J349,K349)=0,"",ROUND((IF(E349="",0,E349*10)+IF(G349="",0,G349)+IF(H349="",0,H349)+IF(I349="",0,I349*20)+IF(J349="",0,J349)+IF(K349="",0,K349*10))/COUNT(E349,G349,H349,I349,J349,K349),1))</f>
        <v/>
      </c>
      <c r="M349">
        <f>IF(L349="","",IF(L349&gt;=85,"Excellent",IF(L349&gt;=70,"Good",IF(L349&gt;=55,"Mixed","Poor"))))</f>
        <v/>
      </c>
      <c r="N349" s="66" t="n"/>
      <c r="O349" t="inlineStr">
        <is>
          <t>https://www.imdb.com/find/?q=X2%3A+X-Men+United+2003</t>
        </is>
      </c>
      <c r="P349" t="inlineStr">
        <is>
          <t>https://www.rottentomatoes.com/search?search=X2%3A+X-Men+United</t>
        </is>
      </c>
      <c r="Q349" t="inlineStr">
        <is>
          <t>https://letterboxd.com/search/X2%3A%20X-Men%20United/</t>
        </is>
      </c>
      <c r="R349" t="inlineStr">
        <is>
          <t>https://www.metacritic.com/search/X2%3A+X-Men+United/</t>
        </is>
      </c>
    </row>
    <row r="350">
      <c r="A350" t="inlineStr">
        <is>
          <t>F0346</t>
        </is>
      </c>
      <c r="B350" t="inlineStr">
        <is>
          <t>X-Men: The Last Stand</t>
        </is>
      </c>
      <c r="C350" s="63" t="inlineStr">
        <is>
          <t>2006</t>
        </is>
      </c>
      <c r="E350" s="82" t="n"/>
      <c r="F350" s="85" t="n"/>
      <c r="G350" s="71" t="n"/>
      <c r="H350" s="71" t="n"/>
      <c r="I350" s="83" t="n"/>
      <c r="J350" s="71" t="n"/>
      <c r="K350" s="82" t="n"/>
      <c r="L350" s="82">
        <f>IF(COUNT(E350,G350,H350,I350,J350,K350)=0,"",ROUND((IF(E350="",0,E350*10)+IF(G350="",0,G350)+IF(H350="",0,H350)+IF(I350="",0,I350*20)+IF(J350="",0,J350)+IF(K350="",0,K350*10))/COUNT(E350,G350,H350,I350,J350,K350),1))</f>
        <v/>
      </c>
      <c r="M350">
        <f>IF(L350="","",IF(L350&gt;=85,"Excellent",IF(L350&gt;=70,"Good",IF(L350&gt;=55,"Mixed","Poor"))))</f>
        <v/>
      </c>
      <c r="N350" s="66" t="n"/>
      <c r="O350" t="inlineStr">
        <is>
          <t>https://www.imdb.com/find/?q=X-Men%3A+The+Last+Stand+2006</t>
        </is>
      </c>
      <c r="P350" t="inlineStr">
        <is>
          <t>https://www.rottentomatoes.com/search?search=X-Men%3A+The+Last+Stand</t>
        </is>
      </c>
      <c r="Q350" t="inlineStr">
        <is>
          <t>https://letterboxd.com/search/X-Men%3A%20The%20Last%20Stand/</t>
        </is>
      </c>
      <c r="R350" t="inlineStr">
        <is>
          <t>https://www.metacritic.com/search/X-Men%3A+The+Last+Stand/</t>
        </is>
      </c>
    </row>
    <row r="351">
      <c r="A351" t="inlineStr">
        <is>
          <t>F0347</t>
        </is>
      </c>
      <c r="B351" t="inlineStr">
        <is>
          <t>The Wolverine</t>
        </is>
      </c>
      <c r="C351" s="63" t="inlineStr">
        <is>
          <t>2013</t>
        </is>
      </c>
      <c r="E351" s="82" t="n"/>
      <c r="F351" s="85" t="n"/>
      <c r="G351" s="71" t="n"/>
      <c r="H351" s="71" t="n"/>
      <c r="I351" s="83" t="n"/>
      <c r="J351" s="71" t="n"/>
      <c r="K351" s="82" t="n"/>
      <c r="L351" s="82">
        <f>IF(COUNT(E351,G351,H351,I351,J351,K351)=0,"",ROUND((IF(E351="",0,E351*10)+IF(G351="",0,G351)+IF(H351="",0,H351)+IF(I351="",0,I351*20)+IF(J351="",0,J351)+IF(K351="",0,K351*10))/COUNT(E351,G351,H351,I351,J351,K351),1))</f>
        <v/>
      </c>
      <c r="M351">
        <f>IF(L351="","",IF(L351&gt;=85,"Excellent",IF(L351&gt;=70,"Good",IF(L351&gt;=55,"Mixed","Poor"))))</f>
        <v/>
      </c>
      <c r="N351" s="66" t="n"/>
      <c r="O351" t="inlineStr">
        <is>
          <t>https://www.imdb.com/find/?q=The+Wolverine+2013</t>
        </is>
      </c>
      <c r="P351" t="inlineStr">
        <is>
          <t>https://www.rottentomatoes.com/search?search=The+Wolverine</t>
        </is>
      </c>
      <c r="Q351" t="inlineStr">
        <is>
          <t>https://letterboxd.com/search/The%20Wolverine/</t>
        </is>
      </c>
      <c r="R351" t="inlineStr">
        <is>
          <t>https://www.metacritic.com/search/The+Wolverine/</t>
        </is>
      </c>
    </row>
    <row r="352">
      <c r="A352" t="inlineStr">
        <is>
          <t>F0348</t>
        </is>
      </c>
      <c r="B352" t="inlineStr">
        <is>
          <t>Yogi Bear</t>
        </is>
      </c>
      <c r="C352" s="63" t="inlineStr">
        <is>
          <t>2010</t>
        </is>
      </c>
      <c r="E352" s="82" t="n"/>
      <c r="F352" s="85" t="n"/>
      <c r="G352" s="71" t="n"/>
      <c r="H352" s="71" t="n"/>
      <c r="I352" s="83" t="n"/>
      <c r="J352" s="71" t="n"/>
      <c r="K352" s="82" t="n"/>
      <c r="L352" s="82">
        <f>IF(COUNT(E352,G352,H352,I352,J352,K352)=0,"",ROUND((IF(E352="",0,E352*10)+IF(G352="",0,G352)+IF(H352="",0,H352)+IF(I352="",0,I352*20)+IF(J352="",0,J352)+IF(K352="",0,K352*10))/COUNT(E352,G352,H352,I352,J352,K352),1))</f>
        <v/>
      </c>
      <c r="M352">
        <f>IF(L352="","",IF(L352&gt;=85,"Excellent",IF(L352&gt;=70,"Good",IF(L352&gt;=55,"Mixed","Poor"))))</f>
        <v/>
      </c>
      <c r="N352" s="66" t="n"/>
      <c r="O352" t="inlineStr">
        <is>
          <t>https://www.imdb.com/find/?q=Yogi+Bear+2010</t>
        </is>
      </c>
      <c r="P352" t="inlineStr">
        <is>
          <t>https://www.rottentomatoes.com/search?search=Yogi+Bear</t>
        </is>
      </c>
      <c r="Q352" t="inlineStr">
        <is>
          <t>https://letterboxd.com/search/Yogi%20Bear/</t>
        </is>
      </c>
      <c r="R352" t="inlineStr">
        <is>
          <t>https://www.metacritic.com/search/Yogi+Bear/</t>
        </is>
      </c>
    </row>
    <row r="353">
      <c r="A353" t="inlineStr">
        <is>
          <t>F0349</t>
        </is>
      </c>
      <c r="B353" t="inlineStr">
        <is>
          <t>Zero Dark Thirty</t>
        </is>
      </c>
      <c r="C353" s="63" t="inlineStr">
        <is>
          <t>2012</t>
        </is>
      </c>
      <c r="E353" s="82" t="n"/>
      <c r="F353" s="85" t="n"/>
      <c r="G353" s="71" t="n"/>
      <c r="H353" s="71" t="n"/>
      <c r="I353" s="83" t="n"/>
      <c r="J353" s="71" t="n"/>
      <c r="K353" s="82" t="n"/>
      <c r="L353" s="82">
        <f>IF(COUNT(E353,G353,H353,I353,J353,K353)=0,"",ROUND((IF(E353="",0,E353*10)+IF(G353="",0,G353)+IF(H353="",0,H353)+IF(I353="",0,I353*20)+IF(J353="",0,J353)+IF(K353="",0,K353*10))/COUNT(E353,G353,H353,I353,J353,K353),1))</f>
        <v/>
      </c>
      <c r="M353">
        <f>IF(L353="","",IF(L353&gt;=85,"Excellent",IF(L353&gt;=70,"Good",IF(L353&gt;=55,"Mixed","Poor"))))</f>
        <v/>
      </c>
      <c r="N353" s="66" t="n"/>
      <c r="O353" t="inlineStr">
        <is>
          <t>https://www.imdb.com/find/?q=Zero+Dark+Thirty+2012</t>
        </is>
      </c>
      <c r="P353" t="inlineStr">
        <is>
          <t>https://www.rottentomatoes.com/search?search=Zero+Dark+Thirty</t>
        </is>
      </c>
      <c r="Q353" t="inlineStr">
        <is>
          <t>https://letterboxd.com/search/Zero%20Dark%20Thirty/</t>
        </is>
      </c>
      <c r="R353" t="inlineStr">
        <is>
          <t>https://www.metacritic.com/search/Zero+Dark+Thirty/</t>
        </is>
      </c>
    </row>
    <row r="354">
      <c r="A354" s="65" t="inlineStr">
        <is>
          <t>F0350</t>
        </is>
      </c>
      <c r="B354" s="65" t="inlineStr">
        <is>
          <t>Zodiac</t>
        </is>
      </c>
      <c r="C354" s="69" t="inlineStr">
        <is>
          <t>2007</t>
        </is>
      </c>
      <c r="D354" s="65" t="n"/>
      <c r="E354" s="84" t="n"/>
      <c r="F354" s="86" t="n"/>
      <c r="G354" s="72" t="n"/>
      <c r="H354" s="72" t="n"/>
      <c r="I354" s="87" t="n"/>
      <c r="J354" s="72" t="n"/>
      <c r="K354" s="84" t="n"/>
      <c r="L354" s="84">
        <f>IF(COUNT(E354,G354,H354,I354,J354,K354)=0,"",ROUND((IF(E354="",0,E354*10)+IF(G354="",0,G354)+IF(H354="",0,H354)+IF(I354="",0,I354*20)+IF(J354="",0,J354)+IF(K354="",0,K354*10))/COUNT(E354,G354,H354,I354,J354,K354),1))</f>
        <v/>
      </c>
      <c r="M354" s="65">
        <f>IF(L354="","",IF(L354&gt;=85,"Excellent",IF(L354&gt;=70,"Good",IF(L354&gt;=55,"Mixed","Poor"))))</f>
        <v/>
      </c>
      <c r="N354" s="67" t="n"/>
      <c r="O354" s="65" t="inlineStr">
        <is>
          <t>https://www.imdb.com/find/?q=Zodiac+2007</t>
        </is>
      </c>
      <c r="P354" s="65" t="inlineStr">
        <is>
          <t>https://www.rottentomatoes.com/search?search=Zodiac</t>
        </is>
      </c>
      <c r="Q354" s="65" t="inlineStr">
        <is>
          <t>https://letterboxd.com/search/Zodiac/</t>
        </is>
      </c>
      <c r="R354" s="65" t="inlineStr">
        <is>
          <t>https://www.metacritic.com/search/Zodiac/</t>
        </is>
      </c>
    </row>
    <row r="355">
      <c r="C355" s="63" t="n"/>
    </row>
    <row r="356">
      <c r="C356" s="63" t="n"/>
    </row>
    <row r="357">
      <c r="C357" s="63" t="n"/>
    </row>
    <row r="358">
      <c r="C358" s="63" t="n"/>
    </row>
    <row r="359">
      <c r="C359" s="63" t="n"/>
    </row>
    <row r="360">
      <c r="C360" s="63" t="n"/>
    </row>
    <row r="361">
      <c r="C361" s="63" t="n"/>
    </row>
    <row r="362">
      <c r="C362" s="63" t="n"/>
    </row>
    <row r="363">
      <c r="C363" s="63" t="n"/>
    </row>
    <row r="364">
      <c r="C364" s="63" t="n"/>
    </row>
    <row r="365">
      <c r="C365" s="63" t="n"/>
    </row>
    <row r="366">
      <c r="C366" s="63" t="n"/>
    </row>
    <row r="367">
      <c r="C367" s="63" t="n"/>
    </row>
    <row r="368">
      <c r="C368" s="63" t="n"/>
    </row>
    <row r="369">
      <c r="C369" s="63" t="n"/>
    </row>
    <row r="370">
      <c r="C370" s="63" t="n"/>
    </row>
    <row r="371">
      <c r="C371" s="63" t="n"/>
    </row>
    <row r="372">
      <c r="C372" s="63" t="n"/>
    </row>
    <row r="373">
      <c r="C373" s="63" t="n"/>
    </row>
    <row r="374">
      <c r="C374" s="63" t="n"/>
    </row>
    <row r="375">
      <c r="C375" s="63" t="n"/>
    </row>
    <row r="376">
      <c r="C376" s="63" t="n"/>
    </row>
    <row r="377">
      <c r="C377" s="63" t="n"/>
    </row>
    <row r="378">
      <c r="C378" s="63" t="n"/>
    </row>
    <row r="379">
      <c r="C379" s="63" t="n"/>
    </row>
    <row r="380">
      <c r="C380" s="63" t="n"/>
    </row>
    <row r="381">
      <c r="C381" s="63" t="n"/>
    </row>
    <row r="382">
      <c r="C382" s="63" t="n"/>
    </row>
    <row r="383">
      <c r="C383" s="63" t="n"/>
    </row>
    <row r="384">
      <c r="C384" s="63" t="n"/>
    </row>
    <row r="385">
      <c r="C385" s="63" t="n"/>
    </row>
    <row r="386">
      <c r="C386" s="63" t="n"/>
    </row>
    <row r="387">
      <c r="C387" s="63" t="n"/>
    </row>
    <row r="388">
      <c r="C388" s="63" t="n"/>
    </row>
    <row r="389">
      <c r="C389" s="63" t="n"/>
    </row>
    <row r="390">
      <c r="C390" s="63" t="n"/>
    </row>
    <row r="391">
      <c r="C391" s="63" t="n"/>
    </row>
    <row r="392">
      <c r="C392" s="63" t="n"/>
    </row>
    <row r="393">
      <c r="C393" s="63" t="n"/>
    </row>
    <row r="394">
      <c r="C394" s="63" t="n"/>
    </row>
    <row r="395">
      <c r="C395" s="63" t="n"/>
    </row>
    <row r="396">
      <c r="C396" s="63" t="n"/>
    </row>
    <row r="397">
      <c r="C397" s="63" t="n"/>
    </row>
    <row r="398">
      <c r="C398" s="63" t="n"/>
    </row>
    <row r="399">
      <c r="C399" s="63" t="n"/>
    </row>
    <row r="400">
      <c r="C400" s="63" t="n"/>
    </row>
    <row r="401">
      <c r="C401" s="63" t="n"/>
    </row>
    <row r="402">
      <c r="C402" s="63" t="n"/>
    </row>
    <row r="403">
      <c r="C403" s="63" t="n"/>
    </row>
    <row r="404">
      <c r="C404" s="63" t="n"/>
    </row>
    <row r="405">
      <c r="C405" s="63" t="n"/>
    </row>
    <row r="406">
      <c r="C406" s="63" t="n"/>
    </row>
    <row r="407">
      <c r="C407" s="63" t="n"/>
    </row>
    <row r="408">
      <c r="C408" s="63" t="n"/>
    </row>
    <row r="409">
      <c r="C409" s="63" t="n"/>
    </row>
    <row r="410">
      <c r="C410" s="63" t="n"/>
    </row>
    <row r="411">
      <c r="C411" s="63" t="n"/>
    </row>
    <row r="412">
      <c r="C412" s="63" t="n"/>
    </row>
    <row r="413">
      <c r="C413" s="63" t="n"/>
    </row>
    <row r="414">
      <c r="C414" s="63" t="n"/>
    </row>
    <row r="415">
      <c r="C415" s="63" t="n"/>
    </row>
    <row r="416">
      <c r="C416" s="63" t="n"/>
    </row>
    <row r="417">
      <c r="C417" s="63" t="n"/>
    </row>
    <row r="418">
      <c r="C418" s="63" t="n"/>
    </row>
    <row r="419">
      <c r="C419" s="63" t="n"/>
    </row>
    <row r="420">
      <c r="C420" s="63" t="n"/>
    </row>
    <row r="421">
      <c r="C421" s="63" t="n"/>
    </row>
    <row r="422">
      <c r="C422" s="63" t="n"/>
    </row>
    <row r="423">
      <c r="C423" s="63" t="n"/>
    </row>
    <row r="424">
      <c r="C424" s="63" t="n"/>
    </row>
    <row r="425">
      <c r="C425" s="63" t="n"/>
    </row>
    <row r="426">
      <c r="C426" s="63" t="n"/>
    </row>
    <row r="427">
      <c r="C427" s="63" t="n"/>
    </row>
    <row r="428">
      <c r="C428" s="63" t="n"/>
    </row>
    <row r="429">
      <c r="C429" s="63" t="n"/>
    </row>
    <row r="430">
      <c r="C430" s="63" t="n"/>
    </row>
    <row r="431">
      <c r="C431" s="63" t="n"/>
    </row>
    <row r="432">
      <c r="C432" s="63" t="n"/>
    </row>
    <row r="433">
      <c r="C433" s="63" t="n"/>
    </row>
    <row r="434">
      <c r="C434" s="63" t="n"/>
    </row>
    <row r="435">
      <c r="C435" s="63" t="n"/>
    </row>
    <row r="436">
      <c r="C436" s="63" t="n"/>
    </row>
    <row r="437">
      <c r="C437" s="63" t="n"/>
    </row>
    <row r="438">
      <c r="C438" s="63" t="n"/>
    </row>
    <row r="439">
      <c r="C439" s="63" t="n"/>
    </row>
    <row r="440">
      <c r="C440" s="63" t="n"/>
    </row>
    <row r="441">
      <c r="C441" s="63" t="n"/>
    </row>
    <row r="442">
      <c r="C442" s="63" t="n"/>
    </row>
    <row r="443">
      <c r="C443" s="63" t="n"/>
    </row>
    <row r="444">
      <c r="C444" s="63" t="n"/>
    </row>
    <row r="445">
      <c r="C445" s="63" t="n"/>
    </row>
    <row r="446">
      <c r="C446" s="63" t="n"/>
    </row>
    <row r="447">
      <c r="C447" s="63" t="n"/>
    </row>
    <row r="448">
      <c r="C448" s="63" t="n"/>
    </row>
    <row r="449">
      <c r="C449" s="63" t="n"/>
    </row>
    <row r="450">
      <c r="C450" s="63" t="n"/>
    </row>
    <row r="451">
      <c r="C451" s="63" t="n"/>
    </row>
    <row r="452">
      <c r="C452" s="63" t="n"/>
    </row>
    <row r="453">
      <c r="C453" s="63" t="n"/>
    </row>
    <row r="454">
      <c r="C454" s="63" t="n"/>
    </row>
    <row r="455">
      <c r="C455" s="63" t="n"/>
    </row>
    <row r="456">
      <c r="C456" s="63" t="n"/>
    </row>
    <row r="457">
      <c r="C457" s="63" t="n"/>
    </row>
    <row r="458">
      <c r="C458" s="63" t="n"/>
    </row>
    <row r="459">
      <c r="C459" s="63" t="n"/>
    </row>
    <row r="460">
      <c r="C460" s="63" t="n"/>
    </row>
    <row r="461">
      <c r="C461" s="63" t="n"/>
    </row>
    <row r="462">
      <c r="C462" s="63" t="n"/>
    </row>
    <row r="463">
      <c r="C463" s="63" t="n"/>
    </row>
    <row r="464">
      <c r="C464" s="63" t="n"/>
    </row>
    <row r="465">
      <c r="C465" s="63" t="n"/>
    </row>
    <row r="466">
      <c r="C466" s="63" t="n"/>
    </row>
    <row r="467">
      <c r="C467" s="63" t="n"/>
    </row>
    <row r="468">
      <c r="C468" s="63" t="n"/>
    </row>
    <row r="469">
      <c r="C469" s="63" t="n"/>
    </row>
    <row r="470">
      <c r="C470" s="63" t="n"/>
    </row>
    <row r="471">
      <c r="C471" s="63" t="n"/>
    </row>
    <row r="472">
      <c r="C472" s="63" t="n"/>
    </row>
    <row r="473">
      <c r="C473" s="63" t="n"/>
    </row>
    <row r="474">
      <c r="C474" s="63" t="n"/>
    </row>
    <row r="475">
      <c r="C475" s="63" t="n"/>
    </row>
    <row r="476">
      <c r="C476" s="63" t="n"/>
    </row>
    <row r="477">
      <c r="C477" s="63" t="n"/>
    </row>
    <row r="478">
      <c r="C478" s="63" t="n"/>
    </row>
    <row r="479">
      <c r="C479" s="63" t="n"/>
    </row>
    <row r="480">
      <c r="C480" s="63" t="n"/>
    </row>
    <row r="481">
      <c r="C481" s="63" t="n"/>
    </row>
    <row r="482">
      <c r="C482" s="63" t="n"/>
    </row>
    <row r="483">
      <c r="C483" s="63" t="n"/>
    </row>
    <row r="484">
      <c r="C484" s="63" t="n"/>
    </row>
    <row r="485">
      <c r="C485" s="63" t="n"/>
    </row>
    <row r="486">
      <c r="C486" s="63" t="n"/>
    </row>
    <row r="487">
      <c r="C487" s="63" t="n"/>
    </row>
    <row r="488">
      <c r="C488" s="63" t="n"/>
    </row>
    <row r="489">
      <c r="C489" s="63" t="n"/>
    </row>
    <row r="490">
      <c r="C490" s="63" t="n"/>
    </row>
    <row r="491">
      <c r="C491" s="63" t="n"/>
    </row>
    <row r="492">
      <c r="C492" s="63" t="n"/>
    </row>
    <row r="493">
      <c r="C493" s="63" t="n"/>
    </row>
    <row r="494">
      <c r="C494" s="63" t="n"/>
    </row>
    <row r="495">
      <c r="C495" s="63" t="n"/>
    </row>
    <row r="496">
      <c r="C496" s="63" t="n"/>
    </row>
    <row r="497">
      <c r="C497" s="63" t="n"/>
    </row>
    <row r="498">
      <c r="C498" s="63" t="n"/>
    </row>
    <row r="499">
      <c r="C499" s="63" t="n"/>
    </row>
    <row r="500">
      <c r="C500" s="63" t="n"/>
    </row>
  </sheetData>
  <mergeCells count="2">
    <mergeCell ref="A2:R2"/>
    <mergeCell ref="A1:R1"/>
  </mergeCells>
  <conditionalFormatting sqref="L5:L354">
    <cfRule type="colorScale" priority="1">
      <colorScale>
        <cfvo type="min"/>
        <cfvo type="percentile" val="50"/>
        <cfvo type="max"/>
        <color rgb="FFFCE8E6"/>
        <color rgb="FFFFF1B8"/>
        <color rgb="FFD9EAD3"/>
      </colorScale>
    </cfRule>
  </conditionalFormatting>
  <conditionalFormatting sqref="M5:M354">
    <cfRule type="expression" priority="2" dxfId="3">
      <formula>M5="Excellent"</formula>
    </cfRule>
    <cfRule type="expression" priority="3" dxfId="2">
      <formula>M5="Good"</formula>
    </cfRule>
    <cfRule type="expression" priority="4" dxfId="1">
      <formula>M5="Mixed"</formula>
    </cfRule>
    <cfRule type="expression" priority="5" dxfId="0">
      <formula>M5="Poor"</formula>
    </cfRule>
  </conditionalFormatting>
  <dataValidations count="4">
    <dataValidation sqref="D5:D500" showDropDown="0" showInputMessage="0" showErrorMessage="0" allowBlank="0" type="decimal">
      <formula1>1</formula1>
      <formula2>5</formula2>
    </dataValidation>
    <dataValidation sqref="E5:E500 K5:K500" showDropDown="0" showInputMessage="0" showErrorMessage="0" allowBlank="0" type="decimal">
      <formula1>0</formula1>
      <formula2>10</formula2>
    </dataValidation>
    <dataValidation sqref="G5:H500 J5:J500" showDropDown="0" showInputMessage="0" showErrorMessage="0" allowBlank="0">
      <formula1>0</formula1>
      <formula2>100</formula2>
    </dataValidation>
    <dataValidation sqref="I5:I500" showDropDown="0" showInputMessage="0" showErrorMessage="0" allowBlank="0" type="decimal">
      <formula1>0</formula1>
      <formula2>5</formula2>
    </dataValidation>
  </dataValidations>
  <pageMargins left="0.7" right="0.7" top="0.75" bottom="0.75" header="0.3" footer="0.3"/>
  <tableParts count="1">
    <tablePart xmlns:r="http://schemas.openxmlformats.org/officeDocument/2006/relationships" r:id="rId1"/>
  </tableParts>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2026-08-07T19:37:50Z</dcterms:created>
  <dcterms:modified xsi:type="dcterms:W3CDTF">2026-08-08T01:59:04Z</dcterms:modified>
  <cp:lastModifiedBy>Conor Hughes</cp:lastModifiedBy>
</cp:coreProperties>
</file>