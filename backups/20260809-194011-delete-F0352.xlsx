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ables/table1.xml" ContentType="application/vnd.openxmlformats-officedocument.spreadsheetml.table+xml"/>
  <Override PartName="/xl/worksheets/sheet6.xml" ContentType="application/vnd.openxmlformats-officedocument.spreadsheetml.worksheet+xml"/>
  <Override PartName="/xl/tables/table2.xml" ContentType="application/vnd.openxmlformats-officedocument.spreadsheetml.table+xml"/>
  <Override PartName="/xl/worksheets/sheet7.xml" ContentType="application/vnd.openxmlformats-officedocument.spreadsheetml.worksheet+xml"/>
  <Override PartName="/xl/tables/table3.xml" ContentType="application/vnd.openxmlformats-officedocument.spreadsheetml.table+xml"/>
  <Override PartName="/xl/worksheets/sheet8.xml" ContentType="application/vnd.openxmlformats-officedocument.spreadsheetml.worksheet+xml"/>
  <Override PartName="/xl/tables/table4.xml" ContentType="application/vnd.openxmlformats-officedocument.spreadsheetml.table+xml"/>
  <Override PartName="/xl/charts/chart1.xml" ContentType="application/vnd.openxmlformats-officedocument.drawingml.chart+xml"/>
  <Override PartName="/xl/charts/chart2.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9040" windowHeight="15720" tabRatio="600" firstSheet="0" activeTab="2" autoFilterDateGrouping="1"/>
  </bookViews>
  <sheets>
    <sheet name="Dashboard" sheetId="1" state="visible" r:id="rId1"/>
    <sheet name="Collection" sheetId="2" state="visible" r:id="rId2"/>
    <sheet name="Wishlist" sheetId="3" state="visible" r:id="rId3"/>
    <sheet name="Franchise Tracker" sheetId="4" state="visible" r:id="rId4"/>
    <sheet name="Actors" sheetId="5" state="visible" r:id="rId5"/>
    <sheet name="Directors" sheetId="6" state="visible" r:id="rId6"/>
    <sheet name="Awards" sheetId="7" state="visible" r:id="rId7"/>
    <sheet name="Ratings" sheetId="8" state="visible" r:id="rId8"/>
  </sheets>
  <definedNames/>
  <calcPr calcId="191029" fullCalcOnLoad="1"/>
</workbook>
</file>

<file path=xl/styles.xml><?xml version="1.0" encoding="utf-8"?>
<styleSheet xmlns="http://schemas.openxmlformats.org/spreadsheetml/2006/main">
  <numFmts count="4">
    <numFmt numFmtId="164" formatCode="\£0.00"/>
    <numFmt numFmtId="165" formatCode="dd\-mmm\-yyyy"/>
    <numFmt numFmtId="166" formatCode="0.0"/>
    <numFmt numFmtId="167" formatCode="0.0%"/>
  </numFmts>
  <fonts count="24">
    <font>
      <name val="Calibri"/>
      <color theme="1"/>
      <sz val="11"/>
    </font>
    <font>
      <name val="Calibri"/>
      <b val="1"/>
      <color rgb="FFFFFFFF"/>
      <sz val="18"/>
    </font>
    <font>
      <name val="Calibri"/>
      <i val="1"/>
      <color rgb="FFDCE6F1"/>
      <sz val="10"/>
    </font>
    <font>
      <name val="Calibri"/>
      <b val="1"/>
      <color rgb="FF0B1F33"/>
      <sz val="11"/>
    </font>
    <font>
      <name val="Arial"/>
      <b val="1"/>
      <color rgb="FFFFFFFF"/>
      <sz val="18"/>
    </font>
    <font>
      <name val="Calibri"/>
      <color theme="1"/>
      <sz val="11"/>
    </font>
    <font>
      <name val="Arial"/>
      <i val="1"/>
      <color rgb="FFDCE6F1"/>
      <sz val="10"/>
    </font>
    <font>
      <name val="Arial"/>
      <b val="1"/>
      <color rgb="FF0B1F33"/>
      <sz val="11"/>
    </font>
    <font>
      <name val="Arial"/>
      <color theme="1"/>
      <sz val="10"/>
    </font>
    <font>
      <name val="Arial"/>
      <i val="1"/>
      <color rgb="FF9CA3AF"/>
      <sz val="11"/>
    </font>
    <font>
      <name val="Arial"/>
      <color rgb="FF0000FF"/>
      <sz val="11"/>
    </font>
    <font>
      <name val="Arial"/>
      <b val="1"/>
      <color rgb="FFFFFFFF"/>
      <sz val="20"/>
    </font>
    <font>
      <name val="Arial"/>
      <color rgb="FF1F2937"/>
      <sz val="10"/>
    </font>
    <font>
      <name val="Arial"/>
      <b val="1"/>
      <color rgb="FF0B1F33"/>
      <sz val="12"/>
    </font>
    <font>
      <name val="Calibri"/>
      <color rgb="FF1F2937"/>
      <sz val="11"/>
    </font>
    <font>
      <name val="Calibri"/>
      <b val="1"/>
      <color rgb="FF0B1F33"/>
      <sz val="12"/>
    </font>
    <font>
      <name val="Arial"/>
      <b val="1"/>
      <color rgb="FF1F2937"/>
      <sz val="11"/>
    </font>
    <font>
      <name val="Arial"/>
      <b val="1"/>
      <color rgb="FF0B1F33"/>
      <sz val="10"/>
    </font>
    <font>
      <name val="Arial"/>
      <i val="1"/>
      <color rgb="FF6B7280"/>
      <sz val="9"/>
    </font>
    <font>
      <name val="Arial"/>
      <i val="1"/>
      <color rgb="FF1F2937"/>
      <sz val="9"/>
    </font>
    <font>
      <name val="Calibri"/>
      <color theme="1"/>
      <sz val="11"/>
    </font>
    <font>
      <name val="Calibri"/>
      <i val="1"/>
      <color rgb="FFDCE6F1"/>
      <sz val="11"/>
    </font>
    <font>
      <name val="Calibri"/>
      <color theme="1"/>
      <sz val="11"/>
    </font>
    <font>
      <name val="Calibri"/>
      <b val="1"/>
      <color rgb="FFFFFFFF"/>
      <sz val="14"/>
    </font>
  </fonts>
  <fills count="15">
    <fill>
      <patternFill/>
    </fill>
    <fill>
      <patternFill patternType="gray125"/>
    </fill>
    <fill>
      <patternFill patternType="solid">
        <fgColor rgb="FF0B1F33"/>
      </patternFill>
    </fill>
    <fill>
      <patternFill patternType="solid">
        <fgColor rgb="FF163A5F"/>
      </patternFill>
    </fill>
    <fill>
      <patternFill patternType="solid">
        <fgColor rgb="FFD7B56D"/>
      </patternFill>
    </fill>
    <fill>
      <patternFill patternType="solid">
        <fgColor rgb="FFEAF2F8"/>
      </patternFill>
    </fill>
    <fill>
      <patternFill patternType="solid">
        <fgColor rgb="FFF7F3E8"/>
      </patternFill>
    </fill>
    <fill>
      <patternFill patternType="solid">
        <fgColor rgb="FF0B1F33"/>
      </patternFill>
    </fill>
    <fill>
      <patternFill patternType="solid">
        <fgColor rgb="FF163A5F"/>
      </patternFill>
    </fill>
    <fill>
      <patternFill patternType="solid">
        <fgColor rgb="FFD7B56D"/>
      </patternFill>
    </fill>
    <fill>
      <patternFill patternType="solid">
        <fgColor rgb="FFF7F3E8"/>
      </patternFill>
    </fill>
    <fill>
      <patternFill patternType="solid">
        <fgColor rgb="FF0B1F33"/>
      </patternFill>
    </fill>
    <fill>
      <patternFill patternType="solid">
        <fgColor rgb="FF163A5F"/>
      </patternFill>
    </fill>
    <fill>
      <patternFill patternType="solid">
        <fgColor rgb="FFD7B56D"/>
      </patternFill>
    </fill>
    <fill>
      <patternFill patternType="solid">
        <fgColor rgb="FFF7F3E8"/>
      </patternFill>
    </fill>
  </fills>
  <borders count="26">
    <border>
      <left/>
      <right/>
      <top/>
      <bottom/>
      <diagonal/>
    </border>
    <border>
      <left style="thin">
        <color rgb="FFD1D5DB"/>
      </left>
      <right style="thin">
        <color rgb="FFD1D5DB"/>
      </right>
      <top style="thin">
        <color rgb="FFD1D5DB"/>
      </top>
      <bottom style="thin">
        <color rgb="FFD1D5DB"/>
      </bottom>
      <diagonal/>
    </border>
    <border>
      <left style="thin">
        <color rgb="FFD1D5DB"/>
      </left>
      <right style="thin">
        <color rgb="FFD1D5DB"/>
      </right>
      <top style="thin">
        <color rgb="FFD1D5DB"/>
      </top>
      <bottom style="thin">
        <color rgb="FF0B1F33"/>
      </bottom>
      <diagonal/>
    </border>
    <border>
      <left/>
      <right/>
      <top/>
      <bottom style="thin">
        <color rgb="FF0B1F33"/>
      </bottom>
      <diagonal/>
    </border>
    <border>
      <left style="hair">
        <color rgb="FFD6D3C9"/>
      </left>
      <right style="thin">
        <color rgb="FFD1D5DB"/>
      </right>
      <top style="hair">
        <color rgb="FFD6D3C9"/>
      </top>
      <bottom style="thin">
        <color rgb="FFD1D5DB"/>
      </bottom>
      <diagonal/>
    </border>
    <border>
      <left style="thin">
        <color rgb="FFD1D5DB"/>
      </left>
      <right style="hair">
        <color rgb="FFD6D3C9"/>
      </right>
      <top style="hair">
        <color rgb="FFD6D3C9"/>
      </top>
      <bottom style="thin">
        <color rgb="FFD1D5DB"/>
      </bottom>
      <diagonal/>
    </border>
    <border>
      <left style="hair">
        <color rgb="FFD6D3C9"/>
      </left>
      <right/>
      <top style="hair">
        <color rgb="FFD6D3C9"/>
      </top>
      <bottom/>
      <diagonal/>
    </border>
    <border>
      <left/>
      <right style="hair">
        <color rgb="FFD6D3C9"/>
      </right>
      <top style="hair">
        <color rgb="FFD6D3C9"/>
      </top>
      <bottom/>
      <diagonal/>
    </border>
    <border>
      <left style="hair">
        <color rgb="FFD6D3C9"/>
      </left>
      <right style="thin">
        <color rgb="FFD1D5DB"/>
      </right>
      <top style="thin">
        <color rgb="FFD1D5DB"/>
      </top>
      <bottom style="thin">
        <color rgb="FFD1D5DB"/>
      </bottom>
      <diagonal/>
    </border>
    <border>
      <left style="thin">
        <color rgb="FFD1D5DB"/>
      </left>
      <right style="hair">
        <color rgb="FFD6D3C9"/>
      </right>
      <top style="thin">
        <color rgb="FFD1D5DB"/>
      </top>
      <bottom style="thin">
        <color rgb="FFD1D5DB"/>
      </bottom>
      <diagonal/>
    </border>
    <border>
      <left style="hair">
        <color rgb="FFD6D3C9"/>
      </left>
      <right/>
      <top/>
      <bottom/>
      <diagonal/>
    </border>
    <border>
      <left/>
      <right style="hair">
        <color rgb="FFD6D3C9"/>
      </right>
      <top/>
      <bottom/>
      <diagonal/>
    </border>
    <border>
      <left style="hair">
        <color rgb="FFD6D3C9"/>
      </left>
      <right style="thin">
        <color rgb="FFD1D5DB"/>
      </right>
      <top style="thin">
        <color rgb="FFD1D5DB"/>
      </top>
      <bottom style="hair">
        <color rgb="FFD6D3C9"/>
      </bottom>
      <diagonal/>
    </border>
    <border>
      <left style="thin">
        <color rgb="FFD1D5DB"/>
      </left>
      <right style="hair">
        <color rgb="FFD6D3C9"/>
      </right>
      <top style="thin">
        <color rgb="FFD1D5DB"/>
      </top>
      <bottom style="hair">
        <color rgb="FFD6D3C9"/>
      </bottom>
      <diagonal/>
    </border>
    <border>
      <left style="hair">
        <color rgb="FFD6D3C9"/>
      </left>
      <right/>
      <top/>
      <bottom style="hair">
        <color rgb="FFD6D3C9"/>
      </bottom>
      <diagonal/>
    </border>
    <border>
      <left/>
      <right style="hair">
        <color rgb="FFD6D3C9"/>
      </right>
      <top/>
      <bottom style="hair">
        <color rgb="FFD6D3C9"/>
      </bottom>
      <diagonal/>
    </border>
    <border>
      <left/>
      <right/>
      <top style="thin">
        <color rgb="FFD1D5DB"/>
      </top>
      <bottom style="thin">
        <color rgb="FF0B1F33"/>
      </bottom>
      <diagonal/>
    </border>
    <border>
      <left/>
      <right style="thin">
        <color rgb="FFD1D5DB"/>
      </right>
      <top style="thin">
        <color rgb="FFD1D5DB"/>
      </top>
      <bottom style="thin">
        <color rgb="FF0B1F33"/>
      </bottom>
      <diagonal/>
    </border>
    <border>
      <left style="thin">
        <color rgb="FFD1D5DB"/>
      </left>
      <right/>
      <top/>
      <bottom/>
      <diagonal/>
    </border>
    <border>
      <left/>
      <right/>
      <top style="hair">
        <color rgb="FFD6D3C9"/>
      </top>
      <bottom/>
      <diagonal/>
    </border>
    <border>
      <left/>
      <right style="thin">
        <color rgb="FFD1D5DB"/>
      </right>
      <top/>
      <bottom/>
      <diagonal/>
    </border>
    <border>
      <left/>
      <right/>
      <top/>
      <bottom style="hair">
        <color rgb="FFD6D3C9"/>
      </bottom>
      <diagonal/>
    </border>
    <border>
      <left style="thin">
        <color rgb="FFD1D5DB"/>
      </left>
      <right/>
      <top/>
      <bottom style="hair">
        <color rgb="FFE5E7EB"/>
      </bottom>
      <diagonal/>
    </border>
    <border>
      <left/>
      <right/>
      <top/>
      <bottom style="hair">
        <color rgb="FFE5E7EB"/>
      </bottom>
      <diagonal/>
    </border>
    <border>
      <left/>
      <right style="thin">
        <color rgb="FFD1D5DB"/>
      </right>
      <top/>
      <bottom style="hair">
        <color rgb="FFE5E7EB"/>
      </bottom>
      <diagonal/>
    </border>
    <border>
      <left style="thin">
        <color rgb="FFD1D5DB"/>
      </left>
      <right style="thin">
        <color rgb="FFD1D5DB"/>
      </right>
      <top/>
      <bottom/>
      <diagonal/>
    </border>
  </borders>
  <cellStyleXfs count="1">
    <xf numFmtId="0" fontId="22" fillId="0" borderId="0"/>
  </cellStyleXfs>
  <cellXfs count="109">
    <xf numFmtId="0" fontId="0" fillId="0" borderId="0" pivotButton="0" quotePrefix="0" xfId="0"/>
    <xf numFmtId="0" fontId="5" fillId="0" borderId="0" pivotButton="0" quotePrefix="0" xfId="0"/>
    <xf numFmtId="0" fontId="7" fillId="4" borderId="1" applyAlignment="1" pivotButton="0" quotePrefix="0" xfId="0">
      <alignment horizontal="center" vertical="center" wrapText="1"/>
    </xf>
    <xf numFmtId="49" fontId="5" fillId="0" borderId="0" pivotButton="0" quotePrefix="0" xfId="0"/>
    <xf numFmtId="0" fontId="5" fillId="0" borderId="0" applyAlignment="1" pivotButton="0" quotePrefix="0" xfId="0">
      <alignment wrapText="1"/>
    </xf>
    <xf numFmtId="0" fontId="8" fillId="0" borderId="1" pivotButton="0" quotePrefix="0" xfId="0"/>
    <xf numFmtId="0" fontId="3" fillId="4" borderId="0" applyAlignment="1" pivotButton="0" quotePrefix="0" xfId="0">
      <alignment horizontal="center" wrapText="1"/>
    </xf>
    <xf numFmtId="0" fontId="9" fillId="0" borderId="0" pivotButton="0" quotePrefix="0" xfId="0"/>
    <xf numFmtId="164" fontId="9" fillId="0" borderId="0" pivotButton="0" quotePrefix="0" xfId="0"/>
    <xf numFmtId="165" fontId="9" fillId="0" borderId="0" pivotButton="0" quotePrefix="0" xfId="0"/>
    <xf numFmtId="0" fontId="10" fillId="5" borderId="1" pivotButton="0" quotePrefix="0" xfId="0"/>
    <xf numFmtId="0" fontId="5" fillId="0" borderId="1" pivotButton="0" quotePrefix="0" xfId="0"/>
    <xf numFmtId="164" fontId="5" fillId="0" borderId="1" pivotButton="0" quotePrefix="0" xfId="0"/>
    <xf numFmtId="9" fontId="8" fillId="0" borderId="1" pivotButton="0" quotePrefix="0" xfId="0"/>
    <xf numFmtId="165" fontId="5" fillId="0" borderId="1" pivotButton="0" quotePrefix="0" xfId="0"/>
    <xf numFmtId="0" fontId="7" fillId="4" borderId="2" applyAlignment="1" pivotButton="0" quotePrefix="0" xfId="0">
      <alignment horizontal="center" vertical="center" wrapText="1"/>
    </xf>
    <xf numFmtId="0" fontId="3" fillId="4" borderId="3" applyAlignment="1" pivotButton="0" quotePrefix="0" xfId="0">
      <alignment horizontal="center" vertical="center"/>
    </xf>
    <xf numFmtId="0" fontId="12" fillId="6" borderId="4" pivotButton="0" quotePrefix="0" xfId="0"/>
    <xf numFmtId="0" fontId="13" fillId="6" borderId="5" pivotButton="0" quotePrefix="0" xfId="0"/>
    <xf numFmtId="0" fontId="14" fillId="6" borderId="6" pivotButton="0" quotePrefix="0" xfId="0"/>
    <xf numFmtId="0" fontId="15" fillId="6" borderId="7" pivotButton="0" quotePrefix="0" xfId="0"/>
    <xf numFmtId="166" fontId="15" fillId="6" borderId="7" pivotButton="0" quotePrefix="0" xfId="0"/>
    <xf numFmtId="0" fontId="12" fillId="6" borderId="8" pivotButton="0" quotePrefix="0" xfId="0"/>
    <xf numFmtId="0" fontId="13" fillId="6" borderId="9" pivotButton="0" quotePrefix="0" xfId="0"/>
    <xf numFmtId="0" fontId="14" fillId="6" borderId="10" pivotButton="0" quotePrefix="0" xfId="0"/>
    <xf numFmtId="0" fontId="15" fillId="6" borderId="11" pivotButton="0" quotePrefix="0" xfId="0"/>
    <xf numFmtId="0" fontId="12" fillId="6" borderId="12" pivotButton="0" quotePrefix="0" xfId="0"/>
    <xf numFmtId="0" fontId="13" fillId="6" borderId="13" pivotButton="0" quotePrefix="0" xfId="0"/>
    <xf numFmtId="0" fontId="14" fillId="6" borderId="14" pivotButton="0" quotePrefix="0" xfId="0"/>
    <xf numFmtId="0" fontId="15" fillId="6" borderId="15" pivotButton="0" quotePrefix="0" xfId="0"/>
    <xf numFmtId="0" fontId="16" fillId="0" borderId="1" pivotButton="0" quotePrefix="0" xfId="0"/>
    <xf numFmtId="166" fontId="16" fillId="0" borderId="1" pivotButton="0" quotePrefix="0" xfId="0"/>
    <xf numFmtId="0" fontId="17" fillId="4" borderId="2" applyAlignment="1" pivotButton="0" quotePrefix="0" xfId="0">
      <alignment horizontal="center" vertical="center"/>
    </xf>
    <xf numFmtId="0" fontId="7" fillId="4" borderId="2" applyAlignment="1" pivotButton="0" quotePrefix="0" xfId="0">
      <alignment horizontal="center" vertical="center"/>
    </xf>
    <xf numFmtId="0" fontId="3" fillId="4" borderId="16" applyAlignment="1" pivotButton="0" quotePrefix="0" xfId="0">
      <alignment horizontal="center" vertical="center"/>
    </xf>
    <xf numFmtId="0" fontId="3" fillId="4" borderId="17" applyAlignment="1" pivotButton="0" quotePrefix="0" xfId="0">
      <alignment horizontal="center" vertical="center"/>
    </xf>
    <xf numFmtId="0" fontId="5" fillId="0" borderId="18" pivotButton="0" quotePrefix="0" xfId="0"/>
    <xf numFmtId="0" fontId="3" fillId="4" borderId="0" applyAlignment="1" pivotButton="0" quotePrefix="0" xfId="0">
      <alignment horizontal="center"/>
    </xf>
    <xf numFmtId="0" fontId="5" fillId="5" borderId="0" pivotButton="0" quotePrefix="0" xfId="0"/>
    <xf numFmtId="0" fontId="14" fillId="6" borderId="19" pivotButton="0" quotePrefix="0" xfId="0"/>
    <xf numFmtId="9" fontId="5" fillId="0" borderId="20" pivotButton="0" quotePrefix="0" xfId="0"/>
    <xf numFmtId="9" fontId="14" fillId="6" borderId="7" pivotButton="0" quotePrefix="0" xfId="0"/>
    <xf numFmtId="0" fontId="14" fillId="6" borderId="0" pivotButton="0" quotePrefix="0" xfId="0"/>
    <xf numFmtId="9" fontId="14" fillId="6" borderId="11" pivotButton="0" quotePrefix="0" xfId="0"/>
    <xf numFmtId="0" fontId="14" fillId="6" borderId="21" pivotButton="0" quotePrefix="0" xfId="0"/>
    <xf numFmtId="9" fontId="14" fillId="6" borderId="15" pivotButton="0" quotePrefix="0" xfId="0"/>
    <xf numFmtId="0" fontId="5" fillId="0" borderId="22" pivotButton="0" quotePrefix="0" xfId="0"/>
    <xf numFmtId="0" fontId="5" fillId="0" borderId="23" pivotButton="0" quotePrefix="0" xfId="0"/>
    <xf numFmtId="0" fontId="5" fillId="5" borderId="23" pivotButton="0" quotePrefix="0" xfId="0"/>
    <xf numFmtId="9" fontId="5" fillId="0" borderId="24" pivotButton="0" quotePrefix="0" xfId="0"/>
    <xf numFmtId="164" fontId="5" fillId="0" borderId="0" pivotButton="0" quotePrefix="0" xfId="0"/>
    <xf numFmtId="165" fontId="5" fillId="0" borderId="0" pivotButton="0" quotePrefix="0" xfId="0"/>
    <xf numFmtId="164" fontId="5" fillId="0" borderId="23" pivotButton="0" quotePrefix="0" xfId="0"/>
    <xf numFmtId="165" fontId="5" fillId="0" borderId="23" pivotButton="0" quotePrefix="0" xfId="0"/>
    <xf numFmtId="0" fontId="5" fillId="0" borderId="23" applyAlignment="1" pivotButton="0" quotePrefix="0" xfId="0">
      <alignment wrapText="1"/>
    </xf>
    <xf numFmtId="0" fontId="20" fillId="0" borderId="0" pivotButton="0" quotePrefix="0" xfId="0"/>
    <xf numFmtId="0" fontId="22" fillId="0" borderId="0" pivotButton="0" quotePrefix="0" xfId="0"/>
    <xf numFmtId="0" fontId="14" fillId="0" borderId="18" pivotButton="0" quotePrefix="0" xfId="0"/>
    <xf numFmtId="0" fontId="14" fillId="0" borderId="0" pivotButton="0" quotePrefix="0" xfId="0"/>
    <xf numFmtId="0" fontId="14" fillId="0" borderId="20" pivotButton="0" quotePrefix="0" xfId="0"/>
    <xf numFmtId="0" fontId="14" fillId="0" borderId="22" pivotButton="0" quotePrefix="0" xfId="0"/>
    <xf numFmtId="0" fontId="14" fillId="0" borderId="23" pivotButton="0" quotePrefix="0" xfId="0"/>
    <xf numFmtId="0" fontId="14" fillId="0" borderId="24" pivotButton="0" quotePrefix="0" xfId="0"/>
    <xf numFmtId="49" fontId="0" fillId="0" borderId="0" pivotButton="0" quotePrefix="0" xfId="0"/>
    <xf numFmtId="0" fontId="0" fillId="0" borderId="0" applyAlignment="1" pivotButton="0" quotePrefix="0" xfId="0">
      <alignment wrapText="1"/>
    </xf>
    <xf numFmtId="0" fontId="0" fillId="0" borderId="23" pivotButton="0" quotePrefix="0" xfId="0"/>
    <xf numFmtId="165" fontId="0" fillId="0" borderId="0" pivotButton="0" quotePrefix="0" xfId="0"/>
    <xf numFmtId="165" fontId="0" fillId="0" borderId="23" pivotButton="0" quotePrefix="0" xfId="0"/>
    <xf numFmtId="0" fontId="0" fillId="0" borderId="23" applyAlignment="1" pivotButton="0" quotePrefix="0" xfId="0">
      <alignment wrapText="1"/>
    </xf>
    <xf numFmtId="49" fontId="0" fillId="0" borderId="23" pivotButton="0" quotePrefix="0" xfId="0"/>
    <xf numFmtId="0" fontId="3" fillId="9" borderId="0" applyAlignment="1" pivotButton="0" quotePrefix="0" xfId="0">
      <alignment horizontal="center" wrapText="1"/>
    </xf>
    <xf numFmtId="1" fontId="0" fillId="0" borderId="0" pivotButton="0" quotePrefix="0" xfId="0"/>
    <xf numFmtId="1" fontId="0" fillId="0" borderId="23" pivotButton="0" quotePrefix="0" xfId="0"/>
    <xf numFmtId="0" fontId="3" fillId="9" borderId="0" applyAlignment="1" pivotButton="0" quotePrefix="0" xfId="0">
      <alignment horizontal="center"/>
    </xf>
    <xf numFmtId="0" fontId="14" fillId="10" borderId="6" pivotButton="0" quotePrefix="0" xfId="0"/>
    <xf numFmtId="0" fontId="14" fillId="10" borderId="10" pivotButton="0" quotePrefix="0" xfId="0"/>
    <xf numFmtId="0" fontId="14" fillId="10" borderId="14" pivotButton="0" quotePrefix="0" xfId="0"/>
    <xf numFmtId="0" fontId="3" fillId="10" borderId="7" pivotButton="0" quotePrefix="0" xfId="0"/>
    <xf numFmtId="0" fontId="3" fillId="10" borderId="11" pivotButton="0" quotePrefix="0" xfId="0"/>
    <xf numFmtId="167" fontId="3" fillId="10" borderId="11" pivotButton="0" quotePrefix="0" xfId="0"/>
    <xf numFmtId="0" fontId="3" fillId="10" borderId="15" pivotButton="0" quotePrefix="0" xfId="0"/>
    <xf numFmtId="0" fontId="3" fillId="13" borderId="0" applyAlignment="1" pivotButton="0" quotePrefix="0" xfId="0">
      <alignment horizontal="center" vertical="center" wrapText="1"/>
    </xf>
    <xf numFmtId="166" fontId="0" fillId="0" borderId="0" pivotButton="0" quotePrefix="0" xfId="0"/>
    <xf numFmtId="2" fontId="0" fillId="0" borderId="0" pivotButton="0" quotePrefix="0" xfId="0"/>
    <xf numFmtId="166" fontId="0" fillId="0" borderId="23" pivotButton="0" quotePrefix="0" xfId="0"/>
    <xf numFmtId="3" fontId="0" fillId="0" borderId="0" pivotButton="0" quotePrefix="0" xfId="0"/>
    <xf numFmtId="3" fontId="0" fillId="0" borderId="23" pivotButton="0" quotePrefix="0" xfId="0"/>
    <xf numFmtId="2" fontId="0" fillId="0" borderId="23" pivotButton="0" quotePrefix="0" xfId="0"/>
    <xf numFmtId="0" fontId="3" fillId="13" borderId="0" applyAlignment="1" pivotButton="0" quotePrefix="0" xfId="0">
      <alignment horizontal="center"/>
    </xf>
    <xf numFmtId="0" fontId="14" fillId="14" borderId="0" pivotButton="0" quotePrefix="0" xfId="0"/>
    <xf numFmtId="0" fontId="14" fillId="14" borderId="21" pivotButton="0" quotePrefix="0" xfId="0"/>
    <xf numFmtId="0" fontId="3" fillId="14" borderId="0" pivotButton="0" quotePrefix="0" xfId="0"/>
    <xf numFmtId="166" fontId="3" fillId="14" borderId="0" pivotButton="0" quotePrefix="0" xfId="0"/>
    <xf numFmtId="0" fontId="3" fillId="14" borderId="21" pivotButton="0" quotePrefix="0" xfId="0"/>
    <xf numFmtId="0" fontId="23" fillId="11" borderId="0" applyAlignment="1" pivotButton="0" quotePrefix="0" xfId="0">
      <alignment horizontal="center"/>
    </xf>
    <xf numFmtId="0" fontId="0" fillId="0" borderId="0" pivotButton="0" quotePrefix="0" xfId="0"/>
    <xf numFmtId="0" fontId="19" fillId="6" borderId="10" pivotButton="0" quotePrefix="0" xfId="0"/>
    <xf numFmtId="0" fontId="6" fillId="3" borderId="0" applyAlignment="1" pivotButton="0" quotePrefix="0" xfId="0">
      <alignment horizontal="center"/>
    </xf>
    <xf numFmtId="0" fontId="11" fillId="2" borderId="0" applyAlignment="1" pivotButton="0" quotePrefix="0" xfId="0">
      <alignment horizontal="center" vertical="center"/>
    </xf>
    <xf numFmtId="0" fontId="1" fillId="11" borderId="0" applyAlignment="1" pivotButton="0" quotePrefix="0" xfId="0">
      <alignment horizontal="center" vertical="center"/>
    </xf>
    <xf numFmtId="0" fontId="2" fillId="12" borderId="0" applyAlignment="1" pivotButton="0" quotePrefix="0" xfId="0">
      <alignment horizontal="center" vertical="center"/>
    </xf>
    <xf numFmtId="0" fontId="4" fillId="2" borderId="0" applyAlignment="1" pivotButton="0" quotePrefix="0" xfId="0">
      <alignment horizontal="center"/>
    </xf>
    <xf numFmtId="0" fontId="6" fillId="3" borderId="0" applyAlignment="1" pivotButton="0" quotePrefix="0" xfId="0">
      <alignment horizontal="center" wrapText="1"/>
    </xf>
    <xf numFmtId="0" fontId="18" fillId="0" borderId="25" pivotButton="0" quotePrefix="0" xfId="0"/>
    <xf numFmtId="0" fontId="0" fillId="0" borderId="20" pivotButton="0" quotePrefix="0" xfId="0"/>
    <xf numFmtId="0" fontId="21" fillId="3" borderId="0" applyAlignment="1" pivotButton="0" quotePrefix="0" xfId="0">
      <alignment horizontal="center"/>
    </xf>
    <xf numFmtId="0" fontId="1" fillId="2" borderId="0" applyAlignment="1" pivotButton="0" quotePrefix="0" xfId="0">
      <alignment horizontal="center"/>
    </xf>
    <xf numFmtId="0" fontId="21" fillId="8" borderId="0" applyAlignment="1" pivotButton="0" quotePrefix="0" xfId="0">
      <alignment horizontal="center"/>
    </xf>
    <xf numFmtId="0" fontId="1" fillId="7" borderId="0" applyAlignment="1" pivotButton="0" quotePrefix="0" xfId="0">
      <alignment horizontal="center"/>
    </xf>
  </cellXfs>
  <cellStyles count="1">
    <cellStyle name="Normal" xfId="0" builtinId="0"/>
  </cellStyles>
  <dxfs count="17">
    <dxf>
      <font>
        <color rgb="FF8A1C15"/>
      </font>
      <fill>
        <patternFill patternType="solid">
          <bgColor rgb="FFFCE4D6"/>
        </patternFill>
      </fill>
    </dxf>
    <dxf>
      <font>
        <color rgb="FF7A5A00"/>
      </font>
      <fill>
        <patternFill patternType="solid">
          <bgColor rgb="FFFFF1CC"/>
        </patternFill>
      </fill>
    </dxf>
    <dxf>
      <font>
        <color rgb="FF315B7D"/>
      </font>
      <fill>
        <patternFill patternType="solid">
          <bgColor rgb="FFEAF0F6"/>
        </patternFill>
      </fill>
    </dxf>
    <dxf>
      <font>
        <b val="1"/>
        <color rgb="FF245B36"/>
      </font>
      <fill>
        <patternFill patternType="solid">
          <bgColor rgb="FFDDEFE2"/>
        </patternFill>
      </fill>
    </dxf>
    <dxf>
      <font>
        <b val="1"/>
        <color rgb="FF245B36"/>
      </font>
      <fill>
        <patternFill>
          <bgColor rgb="FFDDEFE2"/>
        </patternFill>
      </fill>
    </dxf>
    <dxf>
      <font>
        <color rgb="FF7A5A00"/>
      </font>
      <fill>
        <patternFill>
          <bgColor rgb="FFFFF1CC"/>
        </patternFill>
      </fill>
    </dxf>
    <dxf>
      <font>
        <b val="1"/>
        <color rgb="FF245B36"/>
      </font>
      <fill>
        <patternFill>
          <bgColor rgb="FFDDEFE2"/>
        </patternFill>
      </fill>
    </dxf>
    <dxf>
      <font>
        <b val="1"/>
        <color rgb="FF245B36"/>
      </font>
      <fill>
        <patternFill>
          <bgColor rgb="FFDDEFE2"/>
        </patternFill>
      </fill>
    </dxf>
    <dxf>
      <font>
        <b val="1"/>
        <color rgb="FF5B3A7A"/>
      </font>
      <fill>
        <patternFill>
          <bgColor rgb="FFEEE5F6"/>
        </patternFill>
      </fill>
    </dxf>
    <dxf>
      <font>
        <b val="1"/>
        <color rgb="FF1F4E78"/>
      </font>
      <fill>
        <patternFill>
          <bgColor rgb="FFDDEBF7"/>
        </patternFill>
      </fill>
    </dxf>
    <dxf>
      <font>
        <color rgb="FF7A5A00"/>
      </font>
      <fill>
        <patternFill>
          <bgColor rgb="FFFFF1CC"/>
        </patternFill>
      </fill>
    </dxf>
    <dxf>
      <font>
        <b val="1"/>
        <color rgb="FF245B36"/>
      </font>
      <fill>
        <patternFill>
          <bgColor rgb="FFDDEFE2"/>
        </patternFill>
      </fill>
    </dxf>
    <dxf>
      <font>
        <b val="1"/>
        <color rgb="FF7A5A00"/>
      </font>
      <fill>
        <patternFill>
          <bgColor rgb="FFFFF1CC"/>
        </patternFill>
      </fill>
    </dxf>
    <dxf>
      <font>
        <color rgb="FF25613B"/>
      </font>
      <fill>
        <patternFill>
          <bgColor rgb="FFE5F4E9"/>
        </patternFill>
      </fill>
    </dxf>
    <dxf>
      <font>
        <b val="1"/>
        <color rgb="FF7A5A00"/>
      </font>
      <fill>
        <patternFill>
          <bgColor rgb="FFFFF1CC"/>
        </patternFill>
      </fill>
    </dxf>
    <dxf>
      <font>
        <color rgb="FF315B7D"/>
      </font>
      <fill>
        <patternFill>
          <bgColor rgb="FFEEF4FA"/>
        </patternFill>
      </fill>
    </dxf>
    <dxf>
      <font>
        <color rgb="FF25613B"/>
      </font>
      <fill>
        <patternFill>
          <bgColor rgb="FFE5F4E9"/>
        </patternFill>
      </fill>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styles" Target="styles.xml" Id="rId9" /><Relationship Type="http://schemas.openxmlformats.org/officeDocument/2006/relationships/theme" Target="theme/theme1.xml" Id="rId10" /></Relationships>
</file>

<file path=xl/charts/chart1.xml><?xml version="1.0" encoding="utf-8"?>
<chartSpace xmlns:a="http://schemas.openxmlformats.org/drawingml/2006/main" xmlns="http://schemas.openxmlformats.org/drawingml/2006/chart">
  <chart>
    <title>
      <tx>
        <rich>
          <a:bodyPr/>
          <a:lstStyle/>
          <a:p>
            <a:r>
              <a:rPr lang="en-GB" b="0">
                <a:solidFill>
                  <a:srgbClr val="757575"/>
                </a:solidFill>
                <a:latin typeface="+mn-lt"/>
                <a:ea typeface="+mn-lt"/>
                <a:cs typeface="+mn-lt"/>
              </a:rPr>
              <a:t>Owned films in key collections</a:t>
            </a:r>
          </a:p>
        </rich>
      </tx>
      <overlay val="0"/>
    </title>
    <plotArea>
      <layout/>
      <barChart>
        <barDir val="col"/>
        <grouping val="clustered"/>
        <varyColors val="0"/>
        <ser>
          <idx val="0"/>
          <order val="0"/>
          <spPr>
            <a:solidFill>
              <a:schemeClr val="accent1"/>
            </a:solidFill>
            <a:ln cmpd="sng">
              <a:noFill/>
              <a:prstDash val="solid"/>
            </a:ln>
          </spPr>
          <invertIfNegative val="1"/>
          <val>
            <numRef>
              <f>Dashboard!$B$13:$B$22</f>
              <numCache>
                <formatCode>General</formatCode>
                <ptCount val="10"/>
                <pt idx="0">
                  <v>5</v>
                </pt>
                <pt idx="2">
                  <v>4</v>
                </pt>
                <pt idx="3">
                  <v>11</v>
                </pt>
                <pt idx="4">
                  <v>8</v>
                </pt>
                <pt idx="5">
                  <v>1</v>
                </pt>
                <pt idx="6">
                  <v>3</v>
                </pt>
                <pt idx="7">
                  <v>3</v>
                </pt>
                <pt idx="8">
                  <v>8</v>
                </pt>
                <pt idx="9">
                  <v>10</v>
                </pt>
              </numCache>
            </numRef>
          </val>
        </ser>
        <dLbls>
          <showLegendKey val="0"/>
          <showVal val="0"/>
          <showCatName val="0"/>
          <showSerName val="0"/>
          <showPercent val="0"/>
          <showBubbleSize val="0"/>
        </dLbls>
        <gapWidth val="150"/>
        <axId val="48650112"/>
        <axId val="48672768"/>
      </barChart>
      <catAx>
        <axId val="48650112"/>
        <scaling>
          <orientation val="minMax"/>
        </scaling>
        <delete val="0"/>
        <axPos val="b"/>
        <numFmt formatCode="General" sourceLinked="0"/>
        <majorTickMark val="none"/>
        <minorTickMark val="none"/>
        <tickLblPos val="nextTo"/>
        <spPr>
          <a:ln>
            <a:noFill/>
            <a:prstDash val="solid"/>
          </a:ln>
        </spPr>
        <txPr>
          <a:bodyPr anchorCtr="1"/>
          <a:lstStyle/>
          <a:p>
            <a:pPr>
              <a:defRPr b="0" i="0">
                <a:solidFill>
                  <a:srgbClr val="000000"/>
                </a:solidFill>
                <a:latin typeface="Calibri"/>
                <a:ea typeface="Calibri"/>
                <a:cs typeface="Calibri"/>
              </a:defRPr>
            </a:pPr>
            <a:r>
              <a:t>None</a:t>
            </a:r>
            <a:endParaRPr lang="en-US"/>
          </a:p>
        </txPr>
        <crossAx val="48672768"/>
        <crosses val="autoZero"/>
        <auto val="1"/>
        <lblAlgn val="ctr"/>
        <lblOffset val="100"/>
        <noMultiLvlLbl val="0"/>
      </catAx>
      <valAx>
        <axId val="48672768"/>
        <scaling>
          <orientation val="minMax"/>
        </scaling>
        <delete val="0"/>
        <axPos val="l"/>
        <numFmt formatCode="General" sourceLinked="0"/>
        <majorTickMark val="none"/>
        <minorTickMark val="none"/>
        <tickLblPos val="nextTo"/>
        <spPr>
          <a:ln>
            <a:noFill/>
            <a:prstDash val="solid"/>
          </a:ln>
        </spPr>
        <txPr>
          <a:bodyPr anchorCtr="1"/>
          <a:lstStyle/>
          <a:p>
            <a:pPr>
              <a:defRPr b="0" i="0">
                <a:solidFill>
                  <a:srgbClr val="000000"/>
                </a:solidFill>
                <a:latin typeface="Calibri"/>
                <a:ea typeface="Calibri"/>
                <a:cs typeface="Calibri"/>
              </a:defRPr>
            </a:pPr>
            <a:r>
              <a:t>None</a:t>
            </a:r>
            <a:endParaRPr lang="en-US"/>
          </a:p>
        </txPr>
        <crossAx val="48650112"/>
        <crosses val="autoZero"/>
        <crossBetween val="between"/>
      </valAx>
    </plotArea>
    <plotVisOnly val="1"/>
    <dispBlanksAs val="gap"/>
  </chart>
</chartSpace>
</file>

<file path=xl/charts/chart2.xml><?xml version="1.0" encoding="utf-8"?>
<chartSpace xmlns:a="http://schemas.openxmlformats.org/drawingml/2006/main" xmlns="http://schemas.openxmlformats.org/drawingml/2006/chart">
  <chart>
    <title>
      <tx>
        <rich>
          <a:bodyPr/>
          <a:lstStyle/>
          <a:p>
            <a:r>
              <a:rPr lang="en-GB" b="0">
                <a:solidFill>
                  <a:srgbClr val="757575"/>
                </a:solidFill>
                <a:latin typeface="+mn-lt"/>
                <a:ea typeface="+mn-lt"/>
                <a:cs typeface="+mn-lt"/>
              </a:rPr>
              <a:t>Collection progress: owned vs target</a:t>
            </a:r>
          </a:p>
        </rich>
      </tx>
      <overlay val="0"/>
    </title>
    <plotArea>
      <layout/>
      <barChart>
        <barDir val="col"/>
        <grouping val="clustered"/>
        <varyColors val="0"/>
        <ser>
          <idx val="0"/>
          <order val="0"/>
          <tx>
            <v>OWNED</v>
          </tx>
          <spPr>
            <a:solidFill>
              <a:schemeClr val="accent1"/>
            </a:solidFill>
            <a:ln cmpd="sng">
              <a:noFill/>
              <a:prstDash val="solid"/>
            </a:ln>
          </spPr>
          <invertIfNegative val="1"/>
          <val>
            <numRef>
              <f>Dashboard!$B$13:$B$22</f>
              <numCache>
                <formatCode>General</formatCode>
                <ptCount val="10"/>
                <pt idx="0">
                  <v>5</v>
                </pt>
                <pt idx="2">
                  <v>4</v>
                </pt>
                <pt idx="3">
                  <v>11</v>
                </pt>
                <pt idx="4">
                  <v>8</v>
                </pt>
                <pt idx="5">
                  <v>1</v>
                </pt>
                <pt idx="6">
                  <v>3</v>
                </pt>
                <pt idx="7">
                  <v>3</v>
                </pt>
                <pt idx="8">
                  <v>8</v>
                </pt>
                <pt idx="9">
                  <v>10</v>
                </pt>
              </numCache>
            </numRef>
          </val>
        </ser>
        <ser>
          <idx val="1"/>
          <order val="1"/>
          <spPr>
            <a:solidFill>
              <a:schemeClr val="accent2"/>
            </a:solidFill>
            <a:ln cmpd="sng">
              <a:noFill/>
              <a:prstDash val="solid"/>
            </a:ln>
          </spPr>
          <invertIfNegative val="1"/>
          <val>
            <numRef>
              <f>Dashboard!$C$13:$C$22</f>
              <numCache>
                <formatCode>General</formatCode>
                <ptCount val="10"/>
                <pt idx="0">
                  <v>5</v>
                </pt>
                <pt idx="1">
                  <v>7</v>
                </pt>
                <pt idx="2">
                  <v>5</v>
                </pt>
                <pt idx="3">
                  <v>11</v>
                </pt>
                <pt idx="4">
                  <v>8</v>
                </pt>
                <pt idx="5">
                  <v>3</v>
                </pt>
                <pt idx="6">
                  <v>3</v>
                </pt>
                <pt idx="7">
                  <v>3</v>
                </pt>
                <pt idx="8">
                  <v>8</v>
                </pt>
                <pt idx="9">
                  <v>10</v>
                </pt>
              </numCache>
            </numRef>
          </val>
        </ser>
        <dLbls>
          <showLegendKey val="0"/>
          <showVal val="0"/>
          <showCatName val="0"/>
          <showSerName val="0"/>
          <showPercent val="0"/>
          <showBubbleSize val="0"/>
        </dLbls>
        <gapWidth val="150"/>
        <axId val="48650112"/>
        <axId val="48672768"/>
      </barChart>
      <catAx>
        <axId val="48650112"/>
        <scaling>
          <orientation val="minMax"/>
        </scaling>
        <delete val="0"/>
        <axPos val="b"/>
        <numFmt formatCode="General" sourceLinked="0"/>
        <majorTickMark val="none"/>
        <minorTickMark val="none"/>
        <tickLblPos val="nextTo"/>
        <spPr>
          <a:ln>
            <a:noFill/>
            <a:prstDash val="solid"/>
          </a:ln>
        </spPr>
        <txPr>
          <a:bodyPr anchorCtr="1"/>
          <a:lstStyle/>
          <a:p>
            <a:pPr>
              <a:defRPr b="0" i="0">
                <a:solidFill>
                  <a:srgbClr val="000000"/>
                </a:solidFill>
                <a:latin typeface="Calibri"/>
                <a:ea typeface="Calibri"/>
                <a:cs typeface="Calibri"/>
              </a:defRPr>
            </a:pPr>
            <a:r>
              <a:t>None</a:t>
            </a:r>
            <a:endParaRPr lang="en-US"/>
          </a:p>
        </txPr>
        <crossAx val="48672768"/>
        <crosses val="autoZero"/>
        <auto val="1"/>
        <lblAlgn val="ctr"/>
        <lblOffset val="100"/>
        <noMultiLvlLbl val="0"/>
      </catAx>
      <valAx>
        <axId val="48672768"/>
        <scaling>
          <orientation val="minMax"/>
        </scaling>
        <delete val="0"/>
        <axPos val="l"/>
        <majorGridlines>
          <spPr>
            <a:ln>
              <a:solidFill>
                <a:srgbClr val="B7B7B7"/>
              </a:solidFill>
              <a:prstDash val="solid"/>
            </a:ln>
          </spPr>
        </majorGridlines>
        <numFmt formatCode="General" sourceLinked="0"/>
        <majorTickMark val="none"/>
        <minorTickMark val="none"/>
        <tickLblPos val="nextTo"/>
        <spPr>
          <a:ln>
            <a:noFill/>
            <a:prstDash val="solid"/>
          </a:ln>
        </spPr>
        <txPr>
          <a:bodyPr anchorCtr="1"/>
          <a:lstStyle/>
          <a:p>
            <a:pPr>
              <a:defRPr b="0" i="0">
                <a:solidFill>
                  <a:srgbClr val="000000"/>
                </a:solidFill>
                <a:latin typeface="Calibri"/>
                <a:ea typeface="Calibri"/>
                <a:cs typeface="Calibri"/>
              </a:defRPr>
            </a:pPr>
            <a:r>
              <a:t>None</a:t>
            </a:r>
            <a:endParaRPr lang="en-US"/>
          </a:p>
        </txPr>
        <crossAx val="48650112"/>
        <crosses val="autoZero"/>
        <crossBetween val="between"/>
      </valAx>
    </plotArea>
    <legend>
      <legendPos val="b"/>
      <overlay val="0"/>
      <txPr>
        <a:bodyPr anchorCtr="1"/>
        <a:lstStyle/>
        <a:p>
          <a:pPr>
            <a:defRPr b="0" i="0">
              <a:solidFill>
                <a:srgbClr val="1A1A1A"/>
              </a:solidFill>
              <a:latin typeface="Calibri"/>
              <a:ea typeface="Calibri"/>
              <a:cs typeface="Calibri"/>
            </a:defRPr>
          </a:pPr>
          <a:r>
            <a:t>None</a:t>
          </a:r>
          <a:endParaRPr lang="en-US"/>
        </a:p>
      </txPr>
    </legend>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 /><Relationship Type="http://schemas.openxmlformats.org/officeDocument/2006/relationships/chart" Target="/xl/charts/chart2.xml" Id="rId2" /></Relationships>
</file>

<file path=xl/drawings/drawing1.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6</col>
      <colOff>409575</colOff>
      <row>22</row>
      <rowOff>114300</rowOff>
    </from>
    <ext cx="2324100" cy="3200400"/>
    <graphicFrame>
      <nvGraphicFramePr>
        <cNvPr id="1" name="Chart 1"/>
        <cNvGraphicFramePr/>
      </nvGraphicFramePr>
      <xfrm/>
      <a:graphic>
        <a:graphicData uri="http://schemas.openxmlformats.org/drawingml/2006/chart">
          <c:chart r:id="rId1"/>
        </a:graphicData>
      </a:graphic>
    </graphicFrame>
    <clientData/>
  </oneCellAnchor>
  <oneCellAnchor>
    <from>
      <col>0</col>
      <colOff>0</colOff>
      <row>24</row>
      <rowOff>0</rowOff>
    </from>
    <ext cx="5124450" cy="3600450"/>
    <graphicFrame>
      <nvGraphicFramePr>
        <cNvPr id="2" name="Chart 2"/>
        <cNvGraphicFramePr/>
      </nvGraphicFramePr>
      <xfrm/>
      <a:graphic>
        <a:graphicData uri="http://schemas.openxmlformats.org/drawingml/2006/chart">
          <c:chart r:id="rId2"/>
        </a:graphicData>
      </a:graphic>
    </graphicFrame>
    <clientData/>
  </oneCellAnchor>
</wsDr>
</file>

<file path=xl/tables/table1.xml><?xml version="1.0" encoding="utf-8"?>
<table xmlns="http://schemas.openxmlformats.org/spreadsheetml/2006/main" id="1" name="ActorsTable" displayName="ActorsTable" ref="A4:F975" headerRowCount="1">
  <tableColumns count="6">
    <tableColumn id="1" name="Actor"/>
    <tableColumn id="2" name="Films Owned"/>
    <tableColumn id="3" name="Earliest Film"/>
    <tableColumn id="4" name="Latest Film"/>
    <tableColumn id="5" name="Films in Collection"/>
    <tableColumn id="6" name="Film IDs"/>
  </tableColumns>
  <tableStyleInfo name="Actors-style" showFirstColumn="1" showLastColumn="1" showRowStripes="1" showColumnStripes="0"/>
</table>
</file>

<file path=xl/tables/table2.xml><?xml version="1.0" encoding="utf-8"?>
<table xmlns="http://schemas.openxmlformats.org/spreadsheetml/2006/main" id="2" name="DirectorsTable" displayName="DirectorsTable" ref="A4:F251" headerRowCount="1">
  <tableColumns count="6">
    <tableColumn id="1" name="Director"/>
    <tableColumn id="2" name="Films Owned"/>
    <tableColumn id="3" name="Earliest Film"/>
    <tableColumn id="4" name="Latest Film"/>
    <tableColumn id="5" name="Films in Collection"/>
    <tableColumn id="6" name="Film IDs"/>
  </tableColumns>
  <tableStyleInfo name="Directors-style" showFirstColumn="1" showLastColumn="1" showRowStripes="1" showColumnStripes="0"/>
</table>
</file>

<file path=xl/tables/table3.xml><?xml version="1.0" encoding="utf-8"?>
<table xmlns="http://schemas.openxmlformats.org/spreadsheetml/2006/main" id="3" name="AwardsTable" displayName="AwardsTable" ref="A4:R354" headerRowCount="1">
  <tableColumns count="18">
    <tableColumn id="1" name="Film ID"/>
    <tableColumn id="2" name="Title"/>
    <tableColumn id="3" name="Year"/>
    <tableColumn id="4" name="Nominations"/>
    <tableColumn id="5" name="Wins"/>
    <tableColumn id="6" name="Best Picture"/>
    <tableColumn id="7" name="Acting Noms"/>
    <tableColumn id="8" name="Acting Wins"/>
    <tableColumn id="9" name="Acting Winner(s)"/>
    <tableColumn id="10" name="Directing Noms"/>
    <tableColumn id="11" name="Directing Wins"/>
    <tableColumn id="12" name="Director Winner(s)"/>
    <tableColumn id="13" name="Writing Noms"/>
    <tableColumn id="14" name="Writing Wins"/>
    <tableColumn id="15" name="Animated Feature"/>
    <tableColumn id="16" name="Winning Categories"/>
    <tableColumn id="17" name="All Nominated Categories"/>
    <tableColumn id="18" name="Source"/>
  </tableColumns>
  <tableStyleInfo name="TableStyleMedium2" showFirstColumn="0" showLastColumn="0" showRowStripes="1" showColumnStripes="0"/>
</table>
</file>

<file path=xl/tables/table4.xml><?xml version="1.0" encoding="utf-8"?>
<table xmlns="http://schemas.openxmlformats.org/spreadsheetml/2006/main" id="4" name="RatingsTable" displayName="RatingsTable" ref="A4:R354" headerRowCount="1">
  <tableColumns count="18">
    <tableColumn id="1" name="Film ID"/>
    <tableColumn id="2" name="Title"/>
    <tableColumn id="3" name="Year"/>
    <tableColumn id="4" name="Your Rating /5"/>
    <tableColumn id="5" name="IMDb /10"/>
    <tableColumn id="6" name="IMDb Votes"/>
    <tableColumn id="7" name="RT Critics %"/>
    <tableColumn id="8" name="RT Audience %"/>
    <tableColumn id="9" name="Letterboxd /5"/>
    <tableColumn id="10" name="Metacritic /100"/>
    <tableColumn id="11" name="TMDb /10"/>
    <tableColumn id="12" name="Consensus /100"/>
    <tableColumn id="13" name="Rating Status"/>
    <tableColumn id="14" name="Last Checked"/>
    <tableColumn id="15" name="IMDb Lookup"/>
    <tableColumn id="16" name="Rotten Tomatoes Lookup"/>
    <tableColumn id="17" name="Letterboxd Lookup"/>
    <tableColumn id="18" name="Metacritic Lookup"/>
  </tableColumns>
  <tableStyleInfo name="TableStyleMedium2" showFirstColumn="0" showLastColumn="0"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Office">
      <a:majorFont>
        <a:latin typeface="Calibri"/>
        <a:ea typeface="Calibri"/>
        <a:cs typeface="Calibri"/>
      </a:majorFont>
      <a:minorFont>
        <a:latin typeface="Calibri"/>
        <a:ea typeface="Calibri"/>
        <a:cs typeface="Calibri"/>
      </a:minorFont>
    </a:fontScheme>
    <a:fmtScheme name="Sheets">
      <a:fillStyleLst>
        <a:solidFill>
          <a:schemeClr val="phClr"/>
        </a:solidFill>
        <a:solidFill>
          <a:schemeClr val="dk1"/>
        </a:solidFill>
        <a:solidFill>
          <a:schemeClr val="accent1"/>
        </a:solidFill>
      </a:fillStyleLst>
      <a:lnStyleLst>
        <a:ln w="6350">
          <a:solidFill>
            <a:schemeClr val="phClr"/>
          </a:solidFill>
          <a:prstDash val="solid"/>
        </a:ln>
        <a:ln w="12700">
          <a:solidFill>
            <a:schemeClr val="phClr"/>
          </a:solidFill>
          <a:prstDash val="solid"/>
        </a:ln>
        <a:ln w="19050">
          <a:solidFill>
            <a:schemeClr val="phClr"/>
          </a:solidFill>
          <a:prstDash val="solid"/>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drawing" Target="/xl/drawings/drawing1.xml" Id="rId1" /></Relationships>
</file>

<file path=xl/worksheets/_rels/sheet5.xml.rels><Relationships xmlns="http://schemas.openxmlformats.org/package/2006/relationships"><Relationship Type="http://schemas.openxmlformats.org/officeDocument/2006/relationships/table" Target="/xl/tables/table1.xml" Id="rId1" /></Relationships>
</file>

<file path=xl/worksheets/_rels/sheet6.xml.rels><Relationships xmlns="http://schemas.openxmlformats.org/package/2006/relationships"><Relationship Type="http://schemas.openxmlformats.org/officeDocument/2006/relationships/table" Target="/xl/tables/table2.xml" Id="rId1" /></Relationships>
</file>

<file path=xl/worksheets/_rels/sheet7.xml.rels><Relationships xmlns="http://schemas.openxmlformats.org/package/2006/relationships"><Relationship Type="http://schemas.openxmlformats.org/officeDocument/2006/relationships/table" Target="/xl/tables/table3.xml" Id="rId1" /></Relationships>
</file>

<file path=xl/worksheets/_rels/sheet8.xml.rels><Relationships xmlns="http://schemas.openxmlformats.org/package/2006/relationships"><Relationship Type="http://schemas.openxmlformats.org/officeDocument/2006/relationships/table" Target="/xl/tables/table4.xml" Id="rId1" /></Relationships>
</file>

<file path=xl/worksheets/sheet1.xml><?xml version="1.0" encoding="utf-8"?>
<worksheet xmlns="http://schemas.openxmlformats.org/spreadsheetml/2006/main">
  <sheetPr>
    <outlinePr summaryBelow="1" summaryRight="1"/>
    <pageSetUpPr/>
  </sheetPr>
  <dimension ref="A1:H34"/>
  <sheetViews>
    <sheetView workbookViewId="0">
      <selection activeCell="A1" sqref="A1:H1"/>
    </sheetView>
  </sheetViews>
  <sheetFormatPr baseColWidth="8" defaultColWidth="14.42578125" defaultRowHeight="15"/>
  <cols>
    <col width="28" customWidth="1" style="95" min="1" max="1"/>
    <col width="16" customWidth="1" style="95" min="2" max="2"/>
    <col width="8.7109375" customWidth="1" style="95" min="3" max="3"/>
    <col width="28" customWidth="1" style="95" min="4" max="4"/>
    <col width="16" customWidth="1" style="95" min="5" max="5"/>
    <col width="8.7109375" customWidth="1" style="95" min="6" max="6"/>
    <col width="26" customWidth="1" style="95" min="7" max="7"/>
    <col width="18" customWidth="1" style="95" min="8" max="8"/>
  </cols>
  <sheetData>
    <row r="1" ht="33.75" customHeight="1" s="95">
      <c r="A1" s="98" t="inlineStr">
        <is>
          <t>🎬 CONOR'S BLU-RAY COLLECTION</t>
        </is>
      </c>
    </row>
    <row r="2" ht="21.75" customHeight="1" s="95">
      <c r="A2" s="97" t="inlineStr">
        <is>
          <t>Physical media tracker • collection progress • wishlist • franchise completion</t>
        </is>
      </c>
    </row>
    <row r="4">
      <c r="A4" s="15" t="inlineStr">
        <is>
          <t>COLLECTION</t>
        </is>
      </c>
      <c r="B4" s="15" t="inlineStr">
        <is>
          <t>VALUE</t>
        </is>
      </c>
      <c r="D4" s="16" t="inlineStr">
        <is>
          <t>FOUNDATION</t>
        </is>
      </c>
      <c r="E4" s="16" t="inlineStr">
        <is>
          <t>VALUE</t>
        </is>
      </c>
      <c r="G4" s="16" t="inlineStr">
        <is>
          <t>WISHLIST</t>
        </is>
      </c>
      <c r="H4" s="16" t="inlineStr">
        <is>
          <t>VALUE</t>
        </is>
      </c>
    </row>
    <row r="5" ht="15.75" customHeight="1" s="95">
      <c r="A5" s="17" t="inlineStr">
        <is>
          <t>Individual films</t>
        </is>
      </c>
      <c r="B5" s="18">
        <f>COUNTIF(Collection!B5:B500,"&lt;&gt;")</f>
        <v/>
      </c>
      <c r="D5" s="19" t="inlineStr">
        <is>
          <t>Film IDs</t>
        </is>
      </c>
      <c r="E5" s="20">
        <f>COUNTA(Collection!A5:A500)</f>
        <v/>
      </c>
      <c r="G5" s="19" t="inlineStr">
        <is>
          <t>Total wishlist</t>
        </is>
      </c>
      <c r="H5" s="21">
        <f>COUNTA(Wishlist!A5:A100)</f>
        <v/>
      </c>
    </row>
    <row r="6" ht="15.75" customHeight="1" s="95">
      <c r="A6" s="22" t="inlineStr">
        <is>
          <t>Blu-ray entries</t>
        </is>
      </c>
      <c r="B6" s="23">
        <f>COUNTIF(Collection!D5:D500,"Blu-ray")</f>
        <v/>
      </c>
      <c r="D6" s="24" t="inlineStr">
        <is>
          <t>Years filled</t>
        </is>
      </c>
      <c r="E6" s="25">
        <f>COUNTA(Collection!C5:C500)</f>
        <v/>
      </c>
      <c r="G6" s="24" t="inlineStr">
        <is>
          <t>Your requested films</t>
        </is>
      </c>
      <c r="H6" s="25">
        <f>COUNTIF(Wishlist!B5:B100,"Your list")</f>
        <v/>
      </c>
    </row>
    <row r="7" ht="15.75" customHeight="1" s="95">
      <c r="A7" s="22" t="inlineStr">
        <is>
          <t>4K UHD entries</t>
        </is>
      </c>
      <c r="B7" s="23">
        <f>COUNTIF(Collection!D5:D500,"4K UHD")</f>
        <v/>
      </c>
      <c r="D7" s="24" t="inlineStr">
        <is>
          <t>Directors filled</t>
        </is>
      </c>
      <c r="E7" s="25">
        <f>COUNTIF(Collection!J5:J500,"&lt;&gt;")</f>
        <v/>
      </c>
      <c r="G7" s="24" t="inlineStr">
        <is>
          <t>Recommendations</t>
        </is>
      </c>
      <c r="H7" s="25">
        <f>COUNTIF(Wishlist!B5:B100,"Recommended")</f>
        <v/>
      </c>
    </row>
    <row r="8" ht="15.75" customHeight="1" s="95">
      <c r="A8" s="22" t="inlineStr">
        <is>
          <t>Watched</t>
        </is>
      </c>
      <c r="B8" s="23">
        <f>COUNTIF(Collection!G5:G500,"Yes")</f>
        <v/>
      </c>
      <c r="D8" s="24" t="inlineStr">
        <is>
          <t>Box-set films</t>
        </is>
      </c>
      <c r="E8" s="25">
        <f>COUNTIF(Collection!F5:F500,"Back to the Future Trilogy (Box Set)")+COUNTIF(Collection!F5:F500,"Bad Boys I &amp; II (Box Set)")+COUNTIF(Collection!F5:F500,"Cornetto Trilogy (Box Set)")+COUNTIF(Collection!F5:F500,"Jurassic Park / World: 7-Film Collection")+COUNTIF(Collection!F5:F500,"The Lord of the Rings Trilogy (Box Set)")+COUNTIF(Collection!F5:F500,"Star Wars Episodes I–VI (Box Set)")+COUNTIF(Collection!F5:F500,"X-Men Trilogy (Box Set)")</f>
        <v/>
      </c>
      <c r="G8" s="24" t="inlineStr">
        <is>
          <t>Already owned</t>
        </is>
      </c>
      <c r="H8" s="25">
        <f>COUNTIF(Wishlist!H5:H100,"Yes")</f>
        <v/>
      </c>
    </row>
    <row r="9" ht="15.75" customHeight="1" s="95">
      <c r="A9" s="26" t="inlineStr">
        <is>
          <t>Rated</t>
        </is>
      </c>
      <c r="B9" s="27">
        <f>COUNT(Collection!H5:H500)</f>
        <v/>
      </c>
      <c r="D9" s="28" t="inlineStr">
        <is>
          <t>Collections tracked</t>
        </is>
      </c>
      <c r="E9" s="29">
        <f>COUNTA('Franchise Tracker'!A5:A47)</f>
        <v/>
      </c>
      <c r="G9" s="28" t="inlineStr">
        <is>
          <t>Still to buy</t>
        </is>
      </c>
      <c r="H9" s="29">
        <f>COUNTIF(Wishlist!H5:H100,"No")</f>
        <v/>
      </c>
    </row>
    <row r="10">
      <c r="A10" s="5" t="n"/>
      <c r="B10" s="30" t="n"/>
    </row>
    <row r="11">
      <c r="A11" s="5" t="n"/>
      <c r="B11" s="31" t="n"/>
    </row>
    <row r="12">
      <c r="A12" s="32" t="inlineStr">
        <is>
          <t>COLLECTION</t>
        </is>
      </c>
      <c r="B12" s="33" t="inlineStr">
        <is>
          <t>OWNED</t>
        </is>
      </c>
      <c r="C12" s="34" t="inlineStr">
        <is>
          <t>TARGET</t>
        </is>
      </c>
      <c r="D12" s="34" t="inlineStr">
        <is>
          <t>MISSING</t>
        </is>
      </c>
      <c r="E12" s="35" t="inlineStr">
        <is>
          <t>COMPLETE</t>
        </is>
      </c>
      <c r="G12" s="73" t="inlineStr">
        <is>
          <t>AWARDS</t>
        </is>
      </c>
      <c r="H12" s="73" t="inlineStr">
        <is>
          <t>VALUE</t>
        </is>
      </c>
    </row>
    <row r="13">
      <c r="A13" s="19">
        <f>'Franchise Tracker'!A5</f>
        <v/>
      </c>
      <c r="B13" s="39">
        <f>'Franchise Tracker'!B5</f>
        <v/>
      </c>
      <c r="C13" s="39">
        <f>'Franchise Tracker'!C5</f>
        <v/>
      </c>
      <c r="D13" s="39">
        <f>'Franchise Tracker'!D5</f>
        <v/>
      </c>
      <c r="E13" s="41">
        <f>'Franchise Tracker'!E5</f>
        <v/>
      </c>
      <c r="G13" s="74" t="inlineStr">
        <is>
          <t>Oscar-nominated films</t>
        </is>
      </c>
      <c r="H13" s="77">
        <f>COUNTIF(Collection!U5:U500,"&gt;0")</f>
        <v/>
      </c>
    </row>
    <row r="14">
      <c r="A14" s="96">
        <f>'Franchise Tracker'!A6</f>
        <v/>
      </c>
      <c r="C14" s="42">
        <f>'Franchise Tracker'!C6</f>
        <v/>
      </c>
      <c r="D14" s="42">
        <f>'Franchise Tracker'!D6</f>
        <v/>
      </c>
      <c r="E14" s="43">
        <f>'Franchise Tracker'!E6</f>
        <v/>
      </c>
      <c r="G14" s="75" t="inlineStr">
        <is>
          <t>Oscar-winning films</t>
        </is>
      </c>
      <c r="H14" s="78">
        <f>COUNTIF(Collection!V5:V500,"&gt;0")</f>
        <v/>
      </c>
    </row>
    <row r="15">
      <c r="A15" s="24">
        <f>'Franchise Tracker'!A7</f>
        <v/>
      </c>
      <c r="B15" s="42">
        <f>'Franchise Tracker'!B7</f>
        <v/>
      </c>
      <c r="C15" s="42">
        <f>'Franchise Tracker'!C7</f>
        <v/>
      </c>
      <c r="D15" s="42">
        <f>'Franchise Tracker'!D7</f>
        <v/>
      </c>
      <c r="E15" s="43">
        <f>'Franchise Tracker'!E7</f>
        <v/>
      </c>
      <c r="G15" s="75" t="inlineStr">
        <is>
          <t>Total nominations</t>
        </is>
      </c>
      <c r="H15" s="78">
        <f>SUM(Collection!U5:U500)</f>
        <v/>
      </c>
    </row>
    <row r="16">
      <c r="A16" s="24">
        <f>'Franchise Tracker'!A8</f>
        <v/>
      </c>
      <c r="B16" s="42">
        <f>'Franchise Tracker'!B8</f>
        <v/>
      </c>
      <c r="C16" s="42">
        <f>'Franchise Tracker'!C8</f>
        <v/>
      </c>
      <c r="D16" s="42">
        <f>'Franchise Tracker'!D8</f>
        <v/>
      </c>
      <c r="E16" s="43">
        <f>'Franchise Tracker'!E8</f>
        <v/>
      </c>
      <c r="G16" s="75" t="inlineStr">
        <is>
          <t>Total wins</t>
        </is>
      </c>
      <c r="H16" s="78">
        <f>SUM(Collection!V5:V500)</f>
        <v/>
      </c>
    </row>
    <row r="17">
      <c r="A17" s="24">
        <f>'Franchise Tracker'!A9</f>
        <v/>
      </c>
      <c r="B17" s="42">
        <f>'Franchise Tracker'!B9</f>
        <v/>
      </c>
      <c r="C17" s="42">
        <f>'Franchise Tracker'!C9</f>
        <v/>
      </c>
      <c r="D17" s="42">
        <f>'Franchise Tracker'!D9</f>
        <v/>
      </c>
      <c r="E17" s="43">
        <f>'Franchise Tracker'!E9</f>
        <v/>
      </c>
      <c r="G17" s="75" t="inlineStr">
        <is>
          <t>Best Picture winners</t>
        </is>
      </c>
      <c r="H17" s="78">
        <f>COUNTIF(Collection!W5:W500,"Winner")</f>
        <v/>
      </c>
    </row>
    <row r="18">
      <c r="A18" s="24">
        <f>'Franchise Tracker'!A10</f>
        <v/>
      </c>
      <c r="B18" s="42">
        <f>'Franchise Tracker'!B10</f>
        <v/>
      </c>
      <c r="C18" s="42">
        <f>'Franchise Tracker'!C10</f>
        <v/>
      </c>
      <c r="D18" s="42">
        <f>'Franchise Tracker'!D10</f>
        <v/>
      </c>
      <c r="E18" s="43">
        <f>'Franchise Tracker'!E10</f>
        <v/>
      </c>
      <c r="G18" s="75" t="inlineStr">
        <is>
          <t>Best Picture nominees</t>
        </is>
      </c>
      <c r="H18" s="78">
        <f>COUNTIF(Collection!W5:W500,"Winner")+COUNTIF(Collection!W5:W500,"Nominated")</f>
        <v/>
      </c>
    </row>
    <row r="19">
      <c r="A19" s="24">
        <f>'Franchise Tracker'!A11</f>
        <v/>
      </c>
      <c r="B19" s="42">
        <f>'Franchise Tracker'!B11</f>
        <v/>
      </c>
      <c r="C19" s="42">
        <f>'Franchise Tracker'!C11</f>
        <v/>
      </c>
      <c r="D19" s="42">
        <f>'Franchise Tracker'!D11</f>
        <v/>
      </c>
      <c r="E19" s="43">
        <f>'Franchise Tracker'!E11</f>
        <v/>
      </c>
      <c r="G19" s="75" t="inlineStr">
        <is>
          <t>Best Picture progress</t>
        </is>
      </c>
      <c r="H19" s="79">
        <f>H17/98</f>
        <v/>
      </c>
    </row>
    <row r="20">
      <c r="A20" s="24">
        <f>'Franchise Tracker'!A12</f>
        <v/>
      </c>
      <c r="B20" s="42">
        <f>'Franchise Tracker'!B12</f>
        <v/>
      </c>
      <c r="C20" s="42">
        <f>'Franchise Tracker'!C12</f>
        <v/>
      </c>
      <c r="D20" s="42">
        <f>'Franchise Tracker'!D12</f>
        <v/>
      </c>
      <c r="E20" s="43">
        <f>'Franchise Tracker'!E12</f>
        <v/>
      </c>
      <c r="G20" s="75" t="inlineStr">
        <is>
          <t>Animated Feature winners</t>
        </is>
      </c>
      <c r="H20" s="78">
        <f>COUNTIF(Awards!O5:O500,"Winner")</f>
        <v/>
      </c>
    </row>
    <row r="21" ht="15.75" customHeight="1" s="95">
      <c r="A21" s="24">
        <f>'Franchise Tracker'!A13</f>
        <v/>
      </c>
      <c r="B21" s="42">
        <f>'Franchise Tracker'!B13</f>
        <v/>
      </c>
      <c r="C21" s="42">
        <f>'Franchise Tracker'!C13</f>
        <v/>
      </c>
      <c r="D21" s="42">
        <f>'Franchise Tracker'!D13</f>
        <v/>
      </c>
      <c r="E21" s="43">
        <f>'Franchise Tracker'!E13</f>
        <v/>
      </c>
      <c r="G21" s="75" t="inlineStr">
        <is>
          <t>Acting-winning films</t>
        </is>
      </c>
      <c r="H21" s="78">
        <f>COUNTIF(Awards!H5:H500,"&gt;0")</f>
        <v/>
      </c>
    </row>
    <row r="22" ht="15.75" customHeight="1" s="95">
      <c r="A22" s="28">
        <f>'Franchise Tracker'!A14</f>
        <v/>
      </c>
      <c r="B22" s="44">
        <f>'Franchise Tracker'!B14</f>
        <v/>
      </c>
      <c r="C22" s="44">
        <f>'Franchise Tracker'!C14</f>
        <v/>
      </c>
      <c r="D22" s="44">
        <f>'Franchise Tracker'!D14</f>
        <v/>
      </c>
      <c r="E22" s="45">
        <f>'Franchise Tracker'!E14</f>
        <v/>
      </c>
      <c r="G22" s="76" t="inlineStr">
        <is>
          <t>Directing-winning films</t>
        </is>
      </c>
      <c r="H22" s="80">
        <f>COUNTIF(Awards!K5:K500,"&gt;0")</f>
        <v/>
      </c>
    </row>
    <row r="23" ht="15.75" customHeight="1" s="95"/>
    <row r="24" ht="15.75" customHeight="1" s="95"/>
    <row r="25" ht="15.75" customHeight="1" s="95">
      <c r="A25" s="94" t="inlineStr">
        <is>
          <t>⭐ RATINGS OVERVIEW</t>
        </is>
      </c>
    </row>
    <row r="26" ht="15.75" customHeight="1" s="95"/>
    <row r="27" ht="15.75" customHeight="1" s="95">
      <c r="A27" s="88" t="inlineStr">
        <is>
          <t>RATINGS</t>
        </is>
      </c>
      <c r="B27" s="88" t="inlineStr">
        <is>
          <t>VALUE</t>
        </is>
      </c>
      <c r="D27" s="88" t="inlineStr">
        <is>
          <t>SOURCE COVERAGE</t>
        </is>
      </c>
      <c r="E27" s="88" t="inlineStr">
        <is>
          <t>FILMS</t>
        </is>
      </c>
    </row>
    <row r="28" ht="15.75" customHeight="1" s="95">
      <c r="A28" s="89" t="inlineStr">
        <is>
          <t>Your films rated</t>
        </is>
      </c>
      <c r="B28" s="91">
        <f>COUNT(Ratings!D5:D500)</f>
        <v/>
      </c>
      <c r="D28" s="89" t="inlineStr">
        <is>
          <t>IMDb</t>
        </is>
      </c>
      <c r="E28" s="91">
        <f>COUNT(Ratings!E5:E500)</f>
        <v/>
      </c>
    </row>
    <row r="29" ht="15.75" customHeight="1" s="95">
      <c r="A29" s="89" t="inlineStr">
        <is>
          <t>External ratings entered</t>
        </is>
      </c>
      <c r="B29" s="91">
        <f>COUNT(Ratings!L5:L500)</f>
        <v/>
      </c>
      <c r="D29" s="89" t="inlineStr">
        <is>
          <t>Rotten Tomatoes critics</t>
        </is>
      </c>
      <c r="E29" s="91">
        <f>COUNT(Ratings!G5:G500)</f>
        <v/>
      </c>
    </row>
    <row r="30" ht="15.75" customHeight="1" s="95">
      <c r="A30" s="89" t="inlineStr">
        <is>
          <t>Average consensus</t>
        </is>
      </c>
      <c r="B30" s="92">
        <f>IFERROR(AVERAGE(Ratings!L5:L500),0)</f>
        <v/>
      </c>
      <c r="D30" s="89" t="inlineStr">
        <is>
          <t>Rotten Tomatoes audience</t>
        </is>
      </c>
      <c r="E30" s="91">
        <f>COUNT(Ratings!H5:H500)</f>
        <v/>
      </c>
    </row>
    <row r="31" ht="15.75" customHeight="1" s="95">
      <c r="A31" s="89" t="inlineStr">
        <is>
          <t>Excellent (85+)</t>
        </is>
      </c>
      <c r="B31" s="91">
        <f>COUNTIF(Ratings!M5:M500,"Excellent")</f>
        <v/>
      </c>
      <c r="D31" s="89" t="inlineStr">
        <is>
          <t>Letterboxd</t>
        </is>
      </c>
      <c r="E31" s="91">
        <f>COUNT(Ratings!I5:I500)</f>
        <v/>
      </c>
    </row>
    <row r="32" ht="15.75" customHeight="1" s="95">
      <c r="A32" s="89" t="inlineStr">
        <is>
          <t>Good (70–84.9)</t>
        </is>
      </c>
      <c r="B32" s="91">
        <f>COUNTIF(Ratings!M5:M500,"Good")</f>
        <v/>
      </c>
      <c r="D32" s="89" t="inlineStr">
        <is>
          <t>Metacritic</t>
        </is>
      </c>
      <c r="E32" s="91">
        <f>COUNT(Ratings!J5:J500)</f>
        <v/>
      </c>
    </row>
    <row r="33" ht="15.75" customHeight="1" s="95">
      <c r="A33" s="89" t="inlineStr">
        <is>
          <t>Mixed (55–69.9)</t>
        </is>
      </c>
      <c r="B33" s="91">
        <f>COUNTIF(Ratings!M5:M500,"Mixed")</f>
        <v/>
      </c>
      <c r="D33" s="89" t="inlineStr">
        <is>
          <t>TMDb</t>
        </is>
      </c>
      <c r="E33" s="91">
        <f>COUNT(Ratings!K5:K500)</f>
        <v/>
      </c>
    </row>
    <row r="34" ht="15.75" customHeight="1" s="95">
      <c r="A34" s="90" t="inlineStr">
        <is>
          <t>Poor (&lt;55)</t>
        </is>
      </c>
      <c r="B34" s="93">
        <f>COUNTIF(Ratings!M5:M500,"Poor")</f>
        <v/>
      </c>
      <c r="D34" s="90" t="inlineStr">
        <is>
          <t>Consensus</t>
        </is>
      </c>
      <c r="E34" s="93">
        <f>COUNT(Ratings!L5:L500)</f>
        <v/>
      </c>
    </row>
    <row r="35" ht="15.75" customHeight="1" s="95"/>
    <row r="36" ht="15.75" customHeight="1" s="95"/>
    <row r="37" ht="15.75" customHeight="1" s="95"/>
    <row r="38" ht="15.75" customHeight="1" s="95"/>
    <row r="39" ht="15.75" customHeight="1" s="95"/>
    <row r="40" ht="15.75" customHeight="1" s="95"/>
    <row r="41" ht="15.75" customHeight="1" s="95"/>
    <row r="42" ht="15.75" customHeight="1" s="95"/>
    <row r="43" ht="15.75" customHeight="1" s="95"/>
    <row r="44" ht="15.75" customHeight="1" s="95"/>
    <row r="45" ht="15.75" customHeight="1" s="95"/>
    <row r="46" ht="15.75" customHeight="1" s="95"/>
    <row r="47" ht="15.75" customHeight="1" s="95"/>
    <row r="48" ht="15.75" customHeight="1" s="95"/>
    <row r="49" ht="15.75" customHeight="1" s="95"/>
    <row r="50" ht="15.75" customHeight="1" s="95"/>
    <row r="51" ht="15.75" customHeight="1" s="95"/>
    <row r="52" ht="15.75" customHeight="1" s="95"/>
    <row r="53" ht="15.75" customHeight="1" s="95"/>
    <row r="54" ht="15.75" customHeight="1" s="95"/>
    <row r="55" ht="15.75" customHeight="1" s="95"/>
    <row r="56" ht="15.75" customHeight="1" s="95"/>
    <row r="57" ht="15.75" customHeight="1" s="95"/>
    <row r="58" ht="15.75" customHeight="1" s="95"/>
    <row r="59" ht="15.75" customHeight="1" s="95"/>
    <row r="60" ht="15.75" customHeight="1" s="95"/>
    <row r="61" ht="15.75" customHeight="1" s="95"/>
    <row r="62" ht="15.75" customHeight="1" s="95"/>
    <row r="63" ht="15.75" customHeight="1" s="95"/>
    <row r="64" ht="15.75" customHeight="1" s="95"/>
    <row r="65" ht="15.75" customHeight="1" s="95"/>
    <row r="66" ht="15.75" customHeight="1" s="95"/>
    <row r="67" ht="15.75" customHeight="1" s="95"/>
    <row r="68" ht="15.75" customHeight="1" s="95"/>
    <row r="69" ht="15.75" customHeight="1" s="95"/>
    <row r="70" ht="15.75" customHeight="1" s="95"/>
    <row r="71" ht="15.75" customHeight="1" s="95"/>
    <row r="72" ht="15.75" customHeight="1" s="95"/>
    <row r="73" ht="15.75" customHeight="1" s="95"/>
    <row r="74" ht="15.75" customHeight="1" s="95"/>
    <row r="75" ht="15.75" customHeight="1" s="95"/>
    <row r="76" ht="15.75" customHeight="1" s="95"/>
    <row r="77" ht="15.75" customHeight="1" s="95"/>
    <row r="78" ht="15.75" customHeight="1" s="95"/>
    <row r="79" ht="15.75" customHeight="1" s="95"/>
    <row r="80" ht="15.75" customHeight="1" s="95"/>
    <row r="81" ht="15.75" customHeight="1" s="95"/>
    <row r="82" ht="15.75" customHeight="1" s="95"/>
    <row r="83" ht="15.75" customHeight="1" s="95"/>
    <row r="84" ht="15.75" customHeight="1" s="95"/>
    <row r="85" ht="15.75" customHeight="1" s="95"/>
    <row r="86" ht="15.75" customHeight="1" s="95"/>
    <row r="87" ht="15.75" customHeight="1" s="95"/>
    <row r="88" ht="15.75" customHeight="1" s="95"/>
    <row r="89" ht="15.75" customHeight="1" s="95"/>
    <row r="90" ht="15.75" customHeight="1" s="95"/>
    <row r="91" ht="15.75" customHeight="1" s="95"/>
    <row r="92" ht="15.75" customHeight="1" s="95"/>
    <row r="93" ht="15.75" customHeight="1" s="95"/>
    <row r="94" ht="15.75" customHeight="1" s="95"/>
    <row r="95" ht="15.75" customHeight="1" s="95"/>
    <row r="96" ht="15.75" customHeight="1" s="95"/>
    <row r="97" ht="15.75" customHeight="1" s="95"/>
    <row r="98" ht="15.75" customHeight="1" s="95"/>
    <row r="99" ht="15.75" customHeight="1" s="95"/>
    <row r="100" ht="15.75" customHeight="1" s="95"/>
    <row r="101" ht="15.75" customHeight="1" s="95"/>
    <row r="102" ht="15.75" customHeight="1" s="95"/>
    <row r="103" ht="15.75" customHeight="1" s="95"/>
    <row r="104" ht="15.75" customHeight="1" s="95"/>
    <row r="105" ht="15.75" customHeight="1" s="95"/>
    <row r="106" ht="15.75" customHeight="1" s="95"/>
    <row r="107" ht="15.75" customHeight="1" s="95"/>
    <row r="108" ht="15.75" customHeight="1" s="95"/>
    <row r="109" ht="15.75" customHeight="1" s="95"/>
    <row r="110" ht="15.75" customHeight="1" s="95"/>
    <row r="111" ht="15.75" customHeight="1" s="95"/>
    <row r="112" ht="15.75" customHeight="1" s="95"/>
    <row r="113" ht="15.75" customHeight="1" s="95"/>
    <row r="114" ht="15.75" customHeight="1" s="95"/>
    <row r="115" ht="15.75" customHeight="1" s="95"/>
    <row r="116" ht="15.75" customHeight="1" s="95"/>
    <row r="117" ht="15.75" customHeight="1" s="95"/>
    <row r="118" ht="15.75" customHeight="1" s="95"/>
    <row r="119" ht="15.75" customHeight="1" s="95"/>
    <row r="120" ht="15.75" customHeight="1" s="95"/>
    <row r="121" ht="15.75" customHeight="1" s="95"/>
    <row r="122" ht="15.75" customHeight="1" s="95"/>
    <row r="123" ht="15.75" customHeight="1" s="95"/>
    <row r="124" ht="15.75" customHeight="1" s="95"/>
    <row r="125" ht="15.75" customHeight="1" s="95"/>
    <row r="126" ht="15.75" customHeight="1" s="95"/>
    <row r="127" ht="15.75" customHeight="1" s="95"/>
    <row r="128" ht="15.75" customHeight="1" s="95"/>
    <row r="129" ht="15.75" customHeight="1" s="95"/>
    <row r="130" ht="15.75" customHeight="1" s="95"/>
    <row r="131" ht="15.75" customHeight="1" s="95"/>
    <row r="132" ht="15.75" customHeight="1" s="95"/>
    <row r="133" ht="15.75" customHeight="1" s="95"/>
    <row r="134" ht="15.75" customHeight="1" s="95"/>
    <row r="135" ht="15.75" customHeight="1" s="95"/>
    <row r="136" ht="15.75" customHeight="1" s="95"/>
    <row r="137" ht="15.75" customHeight="1" s="95"/>
    <row r="138" ht="15.75" customHeight="1" s="95"/>
    <row r="139" ht="15.75" customHeight="1" s="95"/>
    <row r="140" ht="15.75" customHeight="1" s="95"/>
    <row r="141" ht="15.75" customHeight="1" s="95"/>
    <row r="142" ht="15.75" customHeight="1" s="95"/>
    <row r="143" ht="15.75" customHeight="1" s="95"/>
    <row r="144" ht="15.75" customHeight="1" s="95"/>
    <row r="145" ht="15.75" customHeight="1" s="95"/>
    <row r="146" ht="15.75" customHeight="1" s="95"/>
    <row r="147" ht="15.75" customHeight="1" s="95"/>
    <row r="148" ht="15.75" customHeight="1" s="95"/>
    <row r="149" ht="15.75" customHeight="1" s="95"/>
    <row r="150" ht="15.75" customHeight="1" s="95"/>
    <row r="151" ht="15.75" customHeight="1" s="95"/>
    <row r="152" ht="15.75" customHeight="1" s="95"/>
    <row r="153" ht="15.75" customHeight="1" s="95"/>
    <row r="154" ht="15.75" customHeight="1" s="95"/>
    <row r="155" ht="15.75" customHeight="1" s="95"/>
    <row r="156" ht="15.75" customHeight="1" s="95"/>
    <row r="157" ht="15.75" customHeight="1" s="95"/>
    <row r="158" ht="15.75" customHeight="1" s="95"/>
    <row r="159" ht="15.75" customHeight="1" s="95"/>
    <row r="160" ht="15.75" customHeight="1" s="95"/>
    <row r="161" ht="15.75" customHeight="1" s="95"/>
    <row r="162" ht="15.75" customHeight="1" s="95"/>
    <row r="163" ht="15.75" customHeight="1" s="95"/>
    <row r="164" ht="15.75" customHeight="1" s="95"/>
    <row r="165" ht="15.75" customHeight="1" s="95"/>
    <row r="166" ht="15.75" customHeight="1" s="95"/>
    <row r="167" ht="15.75" customHeight="1" s="95"/>
    <row r="168" ht="15.75" customHeight="1" s="95"/>
    <row r="169" ht="15.75" customHeight="1" s="95"/>
    <row r="170" ht="15.75" customHeight="1" s="95"/>
    <row r="171" ht="15.75" customHeight="1" s="95"/>
    <row r="172" ht="15.75" customHeight="1" s="95"/>
    <row r="173" ht="15.75" customHeight="1" s="95"/>
    <row r="174" ht="15.75" customHeight="1" s="95"/>
    <row r="175" ht="15.75" customHeight="1" s="95"/>
    <row r="176" ht="15.75" customHeight="1" s="95"/>
    <row r="177" ht="15.75" customHeight="1" s="95"/>
    <row r="178" ht="15.75" customHeight="1" s="95"/>
    <row r="179" ht="15.75" customHeight="1" s="95"/>
    <row r="180" ht="15.75" customHeight="1" s="95"/>
    <row r="181" ht="15.75" customHeight="1" s="95"/>
    <row r="182" ht="15.75" customHeight="1" s="95"/>
    <row r="183" ht="15.75" customHeight="1" s="95"/>
    <row r="184" ht="15.75" customHeight="1" s="95"/>
    <row r="185" ht="15.75" customHeight="1" s="95"/>
    <row r="186" ht="15.75" customHeight="1" s="95"/>
    <row r="187" ht="15.75" customHeight="1" s="95"/>
    <row r="188" ht="15.75" customHeight="1" s="95"/>
    <row r="189" ht="15.75" customHeight="1" s="95"/>
    <row r="190" ht="15.75" customHeight="1" s="95"/>
    <row r="191" ht="15.75" customHeight="1" s="95"/>
    <row r="192" ht="15.75" customHeight="1" s="95"/>
    <row r="193" ht="15.75" customHeight="1" s="95"/>
    <row r="194" ht="15.75" customHeight="1" s="95"/>
    <row r="195" ht="15.75" customHeight="1" s="95"/>
    <row r="196" ht="15.75" customHeight="1" s="95"/>
    <row r="197" ht="15.75" customHeight="1" s="95"/>
    <row r="198" ht="15.75" customHeight="1" s="95"/>
    <row r="199" ht="15.75" customHeight="1" s="95"/>
    <row r="200" ht="15.75" customHeight="1" s="95"/>
    <row r="201" ht="15.75" customHeight="1" s="95"/>
    <row r="202" ht="15.75" customHeight="1" s="95"/>
    <row r="203" ht="15.75" customHeight="1" s="95"/>
    <row r="204" ht="15.75" customHeight="1" s="95"/>
    <row r="205" ht="15.75" customHeight="1" s="95"/>
    <row r="206" ht="15.75" customHeight="1" s="95"/>
    <row r="207" ht="15.75" customHeight="1" s="95"/>
    <row r="208" ht="15.75" customHeight="1" s="95"/>
    <row r="209" ht="15.75" customHeight="1" s="95"/>
    <row r="210" ht="15.75" customHeight="1" s="95"/>
    <row r="211" ht="15.75" customHeight="1" s="95"/>
    <row r="212" ht="15.75" customHeight="1" s="95"/>
    <row r="213" ht="15.75" customHeight="1" s="95"/>
    <row r="214" ht="15.75" customHeight="1" s="95"/>
    <row r="215" ht="15.75" customHeight="1" s="95"/>
    <row r="216" ht="15.75" customHeight="1" s="95"/>
    <row r="217" ht="15.75" customHeight="1" s="95"/>
    <row r="218" ht="15.75" customHeight="1" s="95"/>
    <row r="219" ht="15.75" customHeight="1" s="95"/>
    <row r="220" ht="15.75" customHeight="1" s="95"/>
    <row r="221" ht="15.75" customHeight="1" s="95"/>
    <row r="222" ht="15.75" customHeight="1" s="95"/>
    <row r="223" ht="15.75" customHeight="1" s="95"/>
    <row r="224" ht="15.75" customHeight="1" s="95"/>
    <row r="225" ht="15.75" customHeight="1" s="95"/>
    <row r="226" ht="15.75" customHeight="1" s="95"/>
    <row r="227" ht="15.75" customHeight="1" s="95"/>
    <row r="228" ht="15.75" customHeight="1" s="95"/>
    <row r="229" ht="15.75" customHeight="1" s="95"/>
    <row r="230" ht="15.75" customHeight="1" s="95"/>
    <row r="231" ht="15.75" customHeight="1" s="95"/>
    <row r="232" ht="15.75" customHeight="1" s="95"/>
    <row r="233" ht="15.75" customHeight="1" s="95"/>
    <row r="234" ht="15.75" customHeight="1" s="95"/>
    <row r="235" ht="15.75" customHeight="1" s="95"/>
    <row r="236" ht="15.75" customHeight="1" s="95"/>
    <row r="237" ht="15.75" customHeight="1" s="95"/>
    <row r="238" ht="15.75" customHeight="1" s="95"/>
    <row r="239" ht="15.75" customHeight="1" s="95"/>
    <row r="240" ht="15.75" customHeight="1" s="95"/>
    <row r="241" ht="15.75" customHeight="1" s="95"/>
    <row r="242" ht="15.75" customHeight="1" s="95"/>
    <row r="243" ht="15.75" customHeight="1" s="95"/>
    <row r="244" ht="15.75" customHeight="1" s="95"/>
    <row r="245" ht="15.75" customHeight="1" s="95"/>
    <row r="246" ht="15.75" customHeight="1" s="95"/>
    <row r="247" ht="15.75" customHeight="1" s="95"/>
    <row r="248" ht="15.75" customHeight="1" s="95"/>
    <row r="249" ht="15.75" customHeight="1" s="95"/>
    <row r="250" ht="15.75" customHeight="1" s="95"/>
    <row r="251" ht="15.75" customHeight="1" s="95"/>
    <row r="252" ht="15.75" customHeight="1" s="95"/>
    <row r="253" ht="15.75" customHeight="1" s="95"/>
    <row r="254" ht="15.75" customHeight="1" s="95"/>
    <row r="255" ht="15.75" customHeight="1" s="95"/>
    <row r="256" ht="15.75" customHeight="1" s="95"/>
    <row r="257" ht="15.75" customHeight="1" s="95"/>
    <row r="258" ht="15.75" customHeight="1" s="95"/>
    <row r="259" ht="15.75" customHeight="1" s="95"/>
    <row r="260" ht="15.75" customHeight="1" s="95"/>
    <row r="261" ht="15.75" customHeight="1" s="95"/>
    <row r="262" ht="15.75" customHeight="1" s="95"/>
    <row r="263" ht="15.75" customHeight="1" s="95"/>
    <row r="264" ht="15.75" customHeight="1" s="95"/>
    <row r="265" ht="15.75" customHeight="1" s="95"/>
    <row r="266" ht="15.75" customHeight="1" s="95"/>
    <row r="267" ht="15.75" customHeight="1" s="95"/>
    <row r="268" ht="15.75" customHeight="1" s="95"/>
    <row r="269" ht="15.75" customHeight="1" s="95"/>
    <row r="270" ht="15.75" customHeight="1" s="95"/>
    <row r="271" ht="15.75" customHeight="1" s="95"/>
    <row r="272" ht="15.75" customHeight="1" s="95"/>
    <row r="273" ht="15.75" customHeight="1" s="95"/>
    <row r="274" ht="15.75" customHeight="1" s="95"/>
    <row r="275" ht="15.75" customHeight="1" s="95"/>
    <row r="276" ht="15.75" customHeight="1" s="95"/>
    <row r="277" ht="15.75" customHeight="1" s="95"/>
    <row r="278" ht="15.75" customHeight="1" s="95"/>
    <row r="279" ht="15.75" customHeight="1" s="95"/>
    <row r="280" ht="15.75" customHeight="1" s="95"/>
    <row r="281" ht="15.75" customHeight="1" s="95"/>
    <row r="282" ht="15.75" customHeight="1" s="95"/>
    <row r="283" ht="15.75" customHeight="1" s="95"/>
    <row r="284" ht="15.75" customHeight="1" s="95"/>
    <row r="285" ht="15.75" customHeight="1" s="95"/>
    <row r="286" ht="15.75" customHeight="1" s="95"/>
    <row r="287" ht="15.75" customHeight="1" s="95"/>
    <row r="288" ht="15.75" customHeight="1" s="95"/>
    <row r="289" ht="15.75" customHeight="1" s="95"/>
    <row r="290" ht="15.75" customHeight="1" s="95"/>
    <row r="291" ht="15.75" customHeight="1" s="95"/>
    <row r="292" ht="15.75" customHeight="1" s="95"/>
    <row r="293" ht="15.75" customHeight="1" s="95"/>
    <row r="294" ht="15.75" customHeight="1" s="95"/>
    <row r="295" ht="15.75" customHeight="1" s="95"/>
    <row r="296" ht="15.75" customHeight="1" s="95"/>
    <row r="297" ht="15.75" customHeight="1" s="95"/>
    <row r="298" ht="15.75" customHeight="1" s="95"/>
    <row r="299" ht="15.75" customHeight="1" s="95"/>
    <row r="300" ht="15.75" customHeight="1" s="95"/>
    <row r="301" ht="15.75" customHeight="1" s="95"/>
    <row r="302" ht="15.75" customHeight="1" s="95"/>
    <row r="303" ht="15.75" customHeight="1" s="95"/>
    <row r="304" ht="15.75" customHeight="1" s="95"/>
    <row r="305" ht="15.75" customHeight="1" s="95"/>
    <row r="306" ht="15.75" customHeight="1" s="95"/>
    <row r="307" ht="15.75" customHeight="1" s="95"/>
    <row r="308" ht="15.75" customHeight="1" s="95"/>
    <row r="309" ht="15.75" customHeight="1" s="95"/>
    <row r="310" ht="15.75" customHeight="1" s="95"/>
    <row r="311" ht="15.75" customHeight="1" s="95"/>
    <row r="312" ht="15.75" customHeight="1" s="95"/>
    <row r="313" ht="15.75" customHeight="1" s="95"/>
    <row r="314" ht="15.75" customHeight="1" s="95"/>
    <row r="315" ht="15.75" customHeight="1" s="95"/>
    <row r="316" ht="15.75" customHeight="1" s="95"/>
    <row r="317" ht="15.75" customHeight="1" s="95"/>
    <row r="318" ht="15.75" customHeight="1" s="95"/>
    <row r="319" ht="15.75" customHeight="1" s="95"/>
    <row r="320" ht="15.75" customHeight="1" s="95"/>
    <row r="321" ht="15.75" customHeight="1" s="95"/>
    <row r="322" ht="15.75" customHeight="1" s="95"/>
    <row r="323" ht="15.75" customHeight="1" s="95"/>
    <row r="324" ht="15.75" customHeight="1" s="95"/>
    <row r="325" ht="15.75" customHeight="1" s="95"/>
    <row r="326" ht="15.75" customHeight="1" s="95"/>
    <row r="327" ht="15.75" customHeight="1" s="95"/>
    <row r="328" ht="15.75" customHeight="1" s="95"/>
    <row r="329" ht="15.75" customHeight="1" s="95"/>
    <row r="330" ht="15.75" customHeight="1" s="95"/>
    <row r="331" ht="15.75" customHeight="1" s="95"/>
    <row r="332" ht="15.75" customHeight="1" s="95"/>
    <row r="333" ht="15.75" customHeight="1" s="95"/>
    <row r="334" ht="15.75" customHeight="1" s="95"/>
    <row r="335" ht="15.75" customHeight="1" s="95"/>
    <row r="336" ht="15.75" customHeight="1" s="95"/>
    <row r="337" ht="15.75" customHeight="1" s="95"/>
    <row r="338" ht="15.75" customHeight="1" s="95"/>
    <row r="339" ht="15.75" customHeight="1" s="95"/>
    <row r="340" ht="15.75" customHeight="1" s="95"/>
    <row r="341" ht="15.75" customHeight="1" s="95"/>
    <row r="342" ht="15.75" customHeight="1" s="95"/>
    <row r="343" ht="15.75" customHeight="1" s="95"/>
    <row r="344" ht="15.75" customHeight="1" s="95"/>
    <row r="345" ht="15.75" customHeight="1" s="95"/>
    <row r="346" ht="15.75" customHeight="1" s="95"/>
    <row r="347" ht="15.75" customHeight="1" s="95"/>
    <row r="348" ht="15.75" customHeight="1" s="95"/>
    <row r="349" ht="15.75" customHeight="1" s="95"/>
    <row r="350" ht="15.75" customHeight="1" s="95"/>
    <row r="351" ht="15.75" customHeight="1" s="95"/>
    <row r="352" ht="15.75" customHeight="1" s="95"/>
    <row r="353" ht="15.75" customHeight="1" s="95"/>
    <row r="354" ht="15.75" customHeight="1" s="95"/>
    <row r="355" ht="15.75" customHeight="1" s="95"/>
    <row r="356" ht="15.75" customHeight="1" s="95"/>
    <row r="357" ht="15.75" customHeight="1" s="95"/>
    <row r="358" ht="15.75" customHeight="1" s="95"/>
    <row r="359" ht="15.75" customHeight="1" s="95"/>
    <row r="360" ht="15.75" customHeight="1" s="95"/>
    <row r="361" ht="15.75" customHeight="1" s="95"/>
    <row r="362" ht="15.75" customHeight="1" s="95"/>
    <row r="363" ht="15.75" customHeight="1" s="95"/>
    <row r="364" ht="15.75" customHeight="1" s="95"/>
    <row r="365" ht="15.75" customHeight="1" s="95"/>
    <row r="366" ht="15.75" customHeight="1" s="95"/>
    <row r="367" ht="15.75" customHeight="1" s="95"/>
    <row r="368" ht="15.75" customHeight="1" s="95"/>
    <row r="369" ht="15.75" customHeight="1" s="95"/>
    <row r="370" ht="15.75" customHeight="1" s="95"/>
    <row r="371" ht="15.75" customHeight="1" s="95"/>
    <row r="372" ht="15.75" customHeight="1" s="95"/>
    <row r="373" ht="15.75" customHeight="1" s="95"/>
    <row r="374" ht="15.75" customHeight="1" s="95"/>
    <row r="375" ht="15.75" customHeight="1" s="95"/>
    <row r="376" ht="15.75" customHeight="1" s="95"/>
    <row r="377" ht="15.75" customHeight="1" s="95"/>
    <row r="378" ht="15.75" customHeight="1" s="95"/>
    <row r="379" ht="15.75" customHeight="1" s="95"/>
    <row r="380" ht="15.75" customHeight="1" s="95"/>
    <row r="381" ht="15.75" customHeight="1" s="95"/>
    <row r="382" ht="15.75" customHeight="1" s="95"/>
    <row r="383" ht="15.75" customHeight="1" s="95"/>
    <row r="384" ht="15.75" customHeight="1" s="95"/>
    <row r="385" ht="15.75" customHeight="1" s="95"/>
    <row r="386" ht="15.75" customHeight="1" s="95"/>
    <row r="387" ht="15.75" customHeight="1" s="95"/>
    <row r="388" ht="15.75" customHeight="1" s="95"/>
    <row r="389" ht="15.75" customHeight="1" s="95"/>
    <row r="390" ht="15.75" customHeight="1" s="95"/>
    <row r="391" ht="15.75" customHeight="1" s="95"/>
    <row r="392" ht="15.75" customHeight="1" s="95"/>
    <row r="393" ht="15.75" customHeight="1" s="95"/>
    <row r="394" ht="15.75" customHeight="1" s="95"/>
    <row r="395" ht="15.75" customHeight="1" s="95"/>
    <row r="396" ht="15.75" customHeight="1" s="95"/>
    <row r="397" ht="15.75" customHeight="1" s="95"/>
    <row r="398" ht="15.75" customHeight="1" s="95"/>
    <row r="399" ht="15.75" customHeight="1" s="95"/>
    <row r="400" ht="15.75" customHeight="1" s="95"/>
    <row r="401" ht="15.75" customHeight="1" s="95"/>
    <row r="402" ht="15.75" customHeight="1" s="95"/>
    <row r="403" ht="15.75" customHeight="1" s="95"/>
    <row r="404" ht="15.75" customHeight="1" s="95"/>
    <row r="405" ht="15.75" customHeight="1" s="95"/>
    <row r="406" ht="15.75" customHeight="1" s="95"/>
    <row r="407" ht="15.75" customHeight="1" s="95"/>
    <row r="408" ht="15.75" customHeight="1" s="95"/>
    <row r="409" ht="15.75" customHeight="1" s="95"/>
    <row r="410" ht="15.75" customHeight="1" s="95"/>
    <row r="411" ht="15.75" customHeight="1" s="95"/>
    <row r="412" ht="15.75" customHeight="1" s="95"/>
    <row r="413" ht="15.75" customHeight="1" s="95"/>
    <row r="414" ht="15.75" customHeight="1" s="95"/>
    <row r="415" ht="15.75" customHeight="1" s="95"/>
    <row r="416" ht="15.75" customHeight="1" s="95"/>
    <row r="417" ht="15.75" customHeight="1" s="95"/>
    <row r="418" ht="15.75" customHeight="1" s="95"/>
    <row r="419" ht="15.75" customHeight="1" s="95"/>
    <row r="420" ht="15.75" customHeight="1" s="95"/>
    <row r="421" ht="15.75" customHeight="1" s="95"/>
    <row r="422" ht="15.75" customHeight="1" s="95"/>
    <row r="423" ht="15.75" customHeight="1" s="95"/>
    <row r="424" ht="15.75" customHeight="1" s="95"/>
    <row r="425" ht="15.75" customHeight="1" s="95"/>
    <row r="426" ht="15.75" customHeight="1" s="95"/>
    <row r="427" ht="15.75" customHeight="1" s="95"/>
    <row r="428" ht="15.75" customHeight="1" s="95"/>
    <row r="429" ht="15.75" customHeight="1" s="95"/>
    <row r="430" ht="15.75" customHeight="1" s="95"/>
    <row r="431" ht="15.75" customHeight="1" s="95"/>
    <row r="432" ht="15.75" customHeight="1" s="95"/>
    <row r="433" ht="15.75" customHeight="1" s="95"/>
    <row r="434" ht="15.75" customHeight="1" s="95"/>
    <row r="435" ht="15.75" customHeight="1" s="95"/>
    <row r="436" ht="15.75" customHeight="1" s="95"/>
    <row r="437" ht="15.75" customHeight="1" s="95"/>
    <row r="438" ht="15.75" customHeight="1" s="95"/>
    <row r="439" ht="15.75" customHeight="1" s="95"/>
    <row r="440" ht="15.75" customHeight="1" s="95"/>
    <row r="441" ht="15.75" customHeight="1" s="95"/>
    <row r="442" ht="15.75" customHeight="1" s="95"/>
    <row r="443" ht="15.75" customHeight="1" s="95"/>
    <row r="444" ht="15.75" customHeight="1" s="95"/>
    <row r="445" ht="15.75" customHeight="1" s="95"/>
    <row r="446" ht="15.75" customHeight="1" s="95"/>
    <row r="447" ht="15.75" customHeight="1" s="95"/>
    <row r="448" ht="15.75" customHeight="1" s="95"/>
    <row r="449" ht="15.75" customHeight="1" s="95"/>
    <row r="450" ht="15.75" customHeight="1" s="95"/>
    <row r="451" ht="15.75" customHeight="1" s="95"/>
    <row r="452" ht="15.75" customHeight="1" s="95"/>
    <row r="453" ht="15.75" customHeight="1" s="95"/>
    <row r="454" ht="15.75" customHeight="1" s="95"/>
    <row r="455" ht="15.75" customHeight="1" s="95"/>
    <row r="456" ht="15.75" customHeight="1" s="95"/>
    <row r="457" ht="15.75" customHeight="1" s="95"/>
    <row r="458" ht="15.75" customHeight="1" s="95"/>
    <row r="459" ht="15.75" customHeight="1" s="95"/>
    <row r="460" ht="15.75" customHeight="1" s="95"/>
    <row r="461" ht="15.75" customHeight="1" s="95"/>
    <row r="462" ht="15.75" customHeight="1" s="95"/>
    <row r="463" ht="15.75" customHeight="1" s="95"/>
    <row r="464" ht="15.75" customHeight="1" s="95"/>
    <row r="465" ht="15.75" customHeight="1" s="95"/>
    <row r="466" ht="15.75" customHeight="1" s="95"/>
    <row r="467" ht="15.75" customHeight="1" s="95"/>
    <row r="468" ht="15.75" customHeight="1" s="95"/>
    <row r="469" ht="15.75" customHeight="1" s="95"/>
    <row r="470" ht="15.75" customHeight="1" s="95"/>
    <row r="471" ht="15.75" customHeight="1" s="95"/>
    <row r="472" ht="15.75" customHeight="1" s="95"/>
    <row r="473" ht="15.75" customHeight="1" s="95"/>
    <row r="474" ht="15.75" customHeight="1" s="95"/>
    <row r="475" ht="15.75" customHeight="1" s="95"/>
    <row r="476" ht="15.75" customHeight="1" s="95"/>
    <row r="477" ht="15.75" customHeight="1" s="95"/>
    <row r="478" ht="15.75" customHeight="1" s="95"/>
    <row r="479" ht="15.75" customHeight="1" s="95"/>
    <row r="480" ht="15.75" customHeight="1" s="95"/>
    <row r="481" ht="15.75" customHeight="1" s="95"/>
    <row r="482" ht="15.75" customHeight="1" s="95"/>
    <row r="483" ht="15.75" customHeight="1" s="95"/>
    <row r="484" ht="15.75" customHeight="1" s="95"/>
    <row r="485" ht="15.75" customHeight="1" s="95"/>
    <row r="486" ht="15.75" customHeight="1" s="95"/>
    <row r="487" ht="15.75" customHeight="1" s="95"/>
    <row r="488" ht="15.75" customHeight="1" s="95"/>
    <row r="489" ht="15.75" customHeight="1" s="95"/>
    <row r="490" ht="15.75" customHeight="1" s="95"/>
    <row r="491" ht="15.75" customHeight="1" s="95"/>
    <row r="492" ht="15.75" customHeight="1" s="95"/>
    <row r="493" ht="15.75" customHeight="1" s="95"/>
    <row r="494" ht="15.75" customHeight="1" s="95"/>
    <row r="495" ht="15.75" customHeight="1" s="95"/>
    <row r="496" ht="15.75" customHeight="1" s="95"/>
    <row r="497" ht="15.75" customHeight="1" s="95"/>
    <row r="498" ht="15.75" customHeight="1" s="95"/>
    <row r="499" ht="15.75" customHeight="1" s="95"/>
    <row r="500" ht="15.75" customHeight="1" s="95"/>
    <row r="501" ht="15.75" customHeight="1" s="95"/>
    <row r="502" ht="15.75" customHeight="1" s="95"/>
    <row r="503" ht="15.75" customHeight="1" s="95"/>
    <row r="504" ht="15.75" customHeight="1" s="95"/>
    <row r="505" ht="15.75" customHeight="1" s="95"/>
    <row r="506" ht="15.75" customHeight="1" s="95"/>
    <row r="507" ht="15.75" customHeight="1" s="95"/>
    <row r="508" ht="15.75" customHeight="1" s="95"/>
    <row r="509" ht="15.75" customHeight="1" s="95"/>
    <row r="510" ht="15.75" customHeight="1" s="95"/>
    <row r="511" ht="15.75" customHeight="1" s="95"/>
    <row r="512" ht="15.75" customHeight="1" s="95"/>
    <row r="513" ht="15.75" customHeight="1" s="95"/>
    <row r="514" ht="15.75" customHeight="1" s="95"/>
    <row r="515" ht="15.75" customHeight="1" s="95"/>
    <row r="516" ht="15.75" customHeight="1" s="95"/>
    <row r="517" ht="15.75" customHeight="1" s="95"/>
    <row r="518" ht="15.75" customHeight="1" s="95"/>
    <row r="519" ht="15.75" customHeight="1" s="95"/>
    <row r="520" ht="15.75" customHeight="1" s="95"/>
    <row r="521" ht="15.75" customHeight="1" s="95"/>
    <row r="522" ht="15.75" customHeight="1" s="95"/>
    <row r="523" ht="15.75" customHeight="1" s="95"/>
    <row r="524" ht="15.75" customHeight="1" s="95"/>
    <row r="525" ht="15.75" customHeight="1" s="95"/>
    <row r="526" ht="15.75" customHeight="1" s="95"/>
    <row r="527" ht="15.75" customHeight="1" s="95"/>
    <row r="528" ht="15.75" customHeight="1" s="95"/>
    <row r="529" ht="15.75" customHeight="1" s="95"/>
    <row r="530" ht="15.75" customHeight="1" s="95"/>
    <row r="531" ht="15.75" customHeight="1" s="95"/>
    <row r="532" ht="15.75" customHeight="1" s="95"/>
    <row r="533" ht="15.75" customHeight="1" s="95"/>
    <row r="534" ht="15.75" customHeight="1" s="95"/>
    <row r="535" ht="15.75" customHeight="1" s="95"/>
    <row r="536" ht="15.75" customHeight="1" s="95"/>
    <row r="537" ht="15.75" customHeight="1" s="95"/>
    <row r="538" ht="15.75" customHeight="1" s="95"/>
    <row r="539" ht="15.75" customHeight="1" s="95"/>
    <row r="540" ht="15.75" customHeight="1" s="95"/>
    <row r="541" ht="15.75" customHeight="1" s="95"/>
    <row r="542" ht="15.75" customHeight="1" s="95"/>
    <row r="543" ht="15.75" customHeight="1" s="95"/>
    <row r="544" ht="15.75" customHeight="1" s="95"/>
    <row r="545" ht="15.75" customHeight="1" s="95"/>
    <row r="546" ht="15.75" customHeight="1" s="95"/>
    <row r="547" ht="15.75" customHeight="1" s="95"/>
    <row r="548" ht="15.75" customHeight="1" s="95"/>
    <row r="549" ht="15.75" customHeight="1" s="95"/>
    <row r="550" ht="15.75" customHeight="1" s="95"/>
    <row r="551" ht="15.75" customHeight="1" s="95"/>
    <row r="552" ht="15.75" customHeight="1" s="95"/>
    <row r="553" ht="15.75" customHeight="1" s="95"/>
    <row r="554" ht="15.75" customHeight="1" s="95"/>
    <row r="555" ht="15.75" customHeight="1" s="95"/>
    <row r="556" ht="15.75" customHeight="1" s="95"/>
    <row r="557" ht="15.75" customHeight="1" s="95"/>
    <row r="558" ht="15.75" customHeight="1" s="95"/>
    <row r="559" ht="15.75" customHeight="1" s="95"/>
    <row r="560" ht="15.75" customHeight="1" s="95"/>
    <row r="561" ht="15.75" customHeight="1" s="95"/>
    <row r="562" ht="15.75" customHeight="1" s="95"/>
    <row r="563" ht="15.75" customHeight="1" s="95"/>
    <row r="564" ht="15.75" customHeight="1" s="95"/>
    <row r="565" ht="15.75" customHeight="1" s="95"/>
    <row r="566" ht="15.75" customHeight="1" s="95"/>
    <row r="567" ht="15.75" customHeight="1" s="95"/>
    <row r="568" ht="15.75" customHeight="1" s="95"/>
    <row r="569" ht="15.75" customHeight="1" s="95"/>
    <row r="570" ht="15.75" customHeight="1" s="95"/>
    <row r="571" ht="15.75" customHeight="1" s="95"/>
    <row r="572" ht="15.75" customHeight="1" s="95"/>
    <row r="573" ht="15.75" customHeight="1" s="95"/>
    <row r="574" ht="15.75" customHeight="1" s="95"/>
    <row r="575" ht="15.75" customHeight="1" s="95"/>
    <row r="576" ht="15.75" customHeight="1" s="95"/>
    <row r="577" ht="15.75" customHeight="1" s="95"/>
    <row r="578" ht="15.75" customHeight="1" s="95"/>
    <row r="579" ht="15.75" customHeight="1" s="95"/>
    <row r="580" ht="15.75" customHeight="1" s="95"/>
    <row r="581" ht="15.75" customHeight="1" s="95"/>
    <row r="582" ht="15.75" customHeight="1" s="95"/>
    <row r="583" ht="15.75" customHeight="1" s="95"/>
    <row r="584" ht="15.75" customHeight="1" s="95"/>
    <row r="585" ht="15.75" customHeight="1" s="95"/>
    <row r="586" ht="15.75" customHeight="1" s="95"/>
    <row r="587" ht="15.75" customHeight="1" s="95"/>
    <row r="588" ht="15.75" customHeight="1" s="95"/>
    <row r="589" ht="15.75" customHeight="1" s="95"/>
    <row r="590" ht="15.75" customHeight="1" s="95"/>
    <row r="591" ht="15.75" customHeight="1" s="95"/>
    <row r="592" ht="15.75" customHeight="1" s="95"/>
    <row r="593" ht="15.75" customHeight="1" s="95"/>
    <row r="594" ht="15.75" customHeight="1" s="95"/>
    <row r="595" ht="15.75" customHeight="1" s="95"/>
    <row r="596" ht="15.75" customHeight="1" s="95"/>
    <row r="597" ht="15.75" customHeight="1" s="95"/>
    <row r="598" ht="15.75" customHeight="1" s="95"/>
    <row r="599" ht="15.75" customHeight="1" s="95"/>
    <row r="600" ht="15.75" customHeight="1" s="95"/>
    <row r="601" ht="15.75" customHeight="1" s="95"/>
    <row r="602" ht="15.75" customHeight="1" s="95"/>
    <row r="603" ht="15.75" customHeight="1" s="95"/>
    <row r="604" ht="15.75" customHeight="1" s="95"/>
    <row r="605" ht="15.75" customHeight="1" s="95"/>
    <row r="606" ht="15.75" customHeight="1" s="95"/>
    <row r="607" ht="15.75" customHeight="1" s="95"/>
    <row r="608" ht="15.75" customHeight="1" s="95"/>
    <row r="609" ht="15.75" customHeight="1" s="95"/>
    <row r="610" ht="15.75" customHeight="1" s="95"/>
    <row r="611" ht="15.75" customHeight="1" s="95"/>
    <row r="612" ht="15.75" customHeight="1" s="95"/>
    <row r="613" ht="15.75" customHeight="1" s="95"/>
    <row r="614" ht="15.75" customHeight="1" s="95"/>
    <row r="615" ht="15.75" customHeight="1" s="95"/>
    <row r="616" ht="15.75" customHeight="1" s="95"/>
    <row r="617" ht="15.75" customHeight="1" s="95"/>
    <row r="618" ht="15.75" customHeight="1" s="95"/>
    <row r="619" ht="15.75" customHeight="1" s="95"/>
    <row r="620" ht="15.75" customHeight="1" s="95"/>
    <row r="621" ht="15.75" customHeight="1" s="95"/>
    <row r="622" ht="15.75" customHeight="1" s="95"/>
    <row r="623" ht="15.75" customHeight="1" s="95"/>
    <row r="624" ht="15.75" customHeight="1" s="95"/>
    <row r="625" ht="15.75" customHeight="1" s="95"/>
    <row r="626" ht="15.75" customHeight="1" s="95"/>
    <row r="627" ht="15.75" customHeight="1" s="95"/>
    <row r="628" ht="15.75" customHeight="1" s="95"/>
    <row r="629" ht="15.75" customHeight="1" s="95"/>
    <row r="630" ht="15.75" customHeight="1" s="95"/>
    <row r="631" ht="15.75" customHeight="1" s="95"/>
    <row r="632" ht="15.75" customHeight="1" s="95"/>
    <row r="633" ht="15.75" customHeight="1" s="95"/>
    <row r="634" ht="15.75" customHeight="1" s="95"/>
    <row r="635" ht="15.75" customHeight="1" s="95"/>
    <row r="636" ht="15.75" customHeight="1" s="95"/>
    <row r="637" ht="15.75" customHeight="1" s="95"/>
    <row r="638" ht="15.75" customHeight="1" s="95"/>
    <row r="639" ht="15.75" customHeight="1" s="95"/>
    <row r="640" ht="15.75" customHeight="1" s="95"/>
    <row r="641" ht="15.75" customHeight="1" s="95"/>
    <row r="642" ht="15.75" customHeight="1" s="95"/>
    <row r="643" ht="15.75" customHeight="1" s="95"/>
    <row r="644" ht="15.75" customHeight="1" s="95"/>
    <row r="645" ht="15.75" customHeight="1" s="95"/>
    <row r="646" ht="15.75" customHeight="1" s="95"/>
    <row r="647" ht="15.75" customHeight="1" s="95"/>
    <row r="648" ht="15.75" customHeight="1" s="95"/>
    <row r="649" ht="15.75" customHeight="1" s="95"/>
    <row r="650" ht="15.75" customHeight="1" s="95"/>
    <row r="651" ht="15.75" customHeight="1" s="95"/>
    <row r="652" ht="15.75" customHeight="1" s="95"/>
    <row r="653" ht="15.75" customHeight="1" s="95"/>
    <row r="654" ht="15.75" customHeight="1" s="95"/>
    <row r="655" ht="15.75" customHeight="1" s="95"/>
    <row r="656" ht="15.75" customHeight="1" s="95"/>
    <row r="657" ht="15.75" customHeight="1" s="95"/>
    <row r="658" ht="15.75" customHeight="1" s="95"/>
    <row r="659" ht="15.75" customHeight="1" s="95"/>
    <row r="660" ht="15.75" customHeight="1" s="95"/>
    <row r="661" ht="15.75" customHeight="1" s="95"/>
    <row r="662" ht="15.75" customHeight="1" s="95"/>
    <row r="663" ht="15.75" customHeight="1" s="95"/>
    <row r="664" ht="15.75" customHeight="1" s="95"/>
    <row r="665" ht="15.75" customHeight="1" s="95"/>
    <row r="666" ht="15.75" customHeight="1" s="95"/>
    <row r="667" ht="15.75" customHeight="1" s="95"/>
    <row r="668" ht="15.75" customHeight="1" s="95"/>
    <row r="669" ht="15.75" customHeight="1" s="95"/>
    <row r="670" ht="15.75" customHeight="1" s="95"/>
    <row r="671" ht="15.75" customHeight="1" s="95"/>
    <row r="672" ht="15.75" customHeight="1" s="95"/>
    <row r="673" ht="15.75" customHeight="1" s="95"/>
    <row r="674" ht="15.75" customHeight="1" s="95"/>
    <row r="675" ht="15.75" customHeight="1" s="95"/>
    <row r="676" ht="15.75" customHeight="1" s="95"/>
    <row r="677" ht="15.75" customHeight="1" s="95"/>
    <row r="678" ht="15.75" customHeight="1" s="95"/>
    <row r="679" ht="15.75" customHeight="1" s="95"/>
    <row r="680" ht="15.75" customHeight="1" s="95"/>
    <row r="681" ht="15.75" customHeight="1" s="95"/>
    <row r="682" ht="15.75" customHeight="1" s="95"/>
    <row r="683" ht="15.75" customHeight="1" s="95"/>
    <row r="684" ht="15.75" customHeight="1" s="95"/>
    <row r="685" ht="15.75" customHeight="1" s="95"/>
    <row r="686" ht="15.75" customHeight="1" s="95"/>
    <row r="687" ht="15.75" customHeight="1" s="95"/>
    <row r="688" ht="15.75" customHeight="1" s="95"/>
    <row r="689" ht="15.75" customHeight="1" s="95"/>
    <row r="690" ht="15.75" customHeight="1" s="95"/>
    <row r="691" ht="15.75" customHeight="1" s="95"/>
    <row r="692" ht="15.75" customHeight="1" s="95"/>
    <row r="693" ht="15.75" customHeight="1" s="95"/>
    <row r="694" ht="15.75" customHeight="1" s="95"/>
    <row r="695" ht="15.75" customHeight="1" s="95"/>
    <row r="696" ht="15.75" customHeight="1" s="95"/>
    <row r="697" ht="15.75" customHeight="1" s="95"/>
    <row r="698" ht="15.75" customHeight="1" s="95"/>
    <row r="699" ht="15.75" customHeight="1" s="95"/>
    <row r="700" ht="15.75" customHeight="1" s="95"/>
    <row r="701" ht="15.75" customHeight="1" s="95"/>
    <row r="702" ht="15.75" customHeight="1" s="95"/>
    <row r="703" ht="15.75" customHeight="1" s="95"/>
    <row r="704" ht="15.75" customHeight="1" s="95"/>
    <row r="705" ht="15.75" customHeight="1" s="95"/>
    <row r="706" ht="15.75" customHeight="1" s="95"/>
    <row r="707" ht="15.75" customHeight="1" s="95"/>
    <row r="708" ht="15.75" customHeight="1" s="95"/>
    <row r="709" ht="15.75" customHeight="1" s="95"/>
    <row r="710" ht="15.75" customHeight="1" s="95"/>
    <row r="711" ht="15.75" customHeight="1" s="95"/>
    <row r="712" ht="15.75" customHeight="1" s="95"/>
    <row r="713" ht="15.75" customHeight="1" s="95"/>
    <row r="714" ht="15.75" customHeight="1" s="95"/>
    <row r="715" ht="15.75" customHeight="1" s="95"/>
    <row r="716" ht="15.75" customHeight="1" s="95"/>
    <row r="717" ht="15.75" customHeight="1" s="95"/>
    <row r="718" ht="15.75" customHeight="1" s="95"/>
    <row r="719" ht="15.75" customHeight="1" s="95"/>
    <row r="720" ht="15.75" customHeight="1" s="95"/>
    <row r="721" ht="15.75" customHeight="1" s="95"/>
    <row r="722" ht="15.75" customHeight="1" s="95"/>
    <row r="723" ht="15.75" customHeight="1" s="95"/>
    <row r="724" ht="15.75" customHeight="1" s="95"/>
    <row r="725" ht="15.75" customHeight="1" s="95"/>
    <row r="726" ht="15.75" customHeight="1" s="95"/>
    <row r="727" ht="15.75" customHeight="1" s="95"/>
    <row r="728" ht="15.75" customHeight="1" s="95"/>
    <row r="729" ht="15.75" customHeight="1" s="95"/>
    <row r="730" ht="15.75" customHeight="1" s="95"/>
    <row r="731" ht="15.75" customHeight="1" s="95"/>
    <row r="732" ht="15.75" customHeight="1" s="95"/>
    <row r="733" ht="15.75" customHeight="1" s="95"/>
    <row r="734" ht="15.75" customHeight="1" s="95"/>
    <row r="735" ht="15.75" customHeight="1" s="95"/>
    <row r="736" ht="15.75" customHeight="1" s="95"/>
    <row r="737" ht="15.75" customHeight="1" s="95"/>
    <row r="738" ht="15.75" customHeight="1" s="95"/>
    <row r="739" ht="15.75" customHeight="1" s="95"/>
    <row r="740" ht="15.75" customHeight="1" s="95"/>
    <row r="741" ht="15.75" customHeight="1" s="95"/>
    <row r="742" ht="15.75" customHeight="1" s="95"/>
    <row r="743" ht="15.75" customHeight="1" s="95"/>
    <row r="744" ht="15.75" customHeight="1" s="95"/>
    <row r="745" ht="15.75" customHeight="1" s="95"/>
    <row r="746" ht="15.75" customHeight="1" s="95"/>
    <row r="747" ht="15.75" customHeight="1" s="95"/>
    <row r="748" ht="15.75" customHeight="1" s="95"/>
    <row r="749" ht="15.75" customHeight="1" s="95"/>
    <row r="750" ht="15.75" customHeight="1" s="95"/>
    <row r="751" ht="15.75" customHeight="1" s="95"/>
    <row r="752" ht="15.75" customHeight="1" s="95"/>
    <row r="753" ht="15.75" customHeight="1" s="95"/>
    <row r="754" ht="15.75" customHeight="1" s="95"/>
    <row r="755" ht="15.75" customHeight="1" s="95"/>
    <row r="756" ht="15.75" customHeight="1" s="95"/>
    <row r="757" ht="15.75" customHeight="1" s="95"/>
    <row r="758" ht="15.75" customHeight="1" s="95"/>
    <row r="759" ht="15.75" customHeight="1" s="95"/>
    <row r="760" ht="15.75" customHeight="1" s="95"/>
    <row r="761" ht="15.75" customHeight="1" s="95"/>
    <row r="762" ht="15.75" customHeight="1" s="95"/>
    <row r="763" ht="15.75" customHeight="1" s="95"/>
    <row r="764" ht="15.75" customHeight="1" s="95"/>
    <row r="765" ht="15.75" customHeight="1" s="95"/>
    <row r="766" ht="15.75" customHeight="1" s="95"/>
    <row r="767" ht="15.75" customHeight="1" s="95"/>
    <row r="768" ht="15.75" customHeight="1" s="95"/>
    <row r="769" ht="15.75" customHeight="1" s="95"/>
    <row r="770" ht="15.75" customHeight="1" s="95"/>
    <row r="771" ht="15.75" customHeight="1" s="95"/>
    <row r="772" ht="15.75" customHeight="1" s="95"/>
    <row r="773" ht="15.75" customHeight="1" s="95"/>
    <row r="774" ht="15.75" customHeight="1" s="95"/>
    <row r="775" ht="15.75" customHeight="1" s="95"/>
    <row r="776" ht="15.75" customHeight="1" s="95"/>
    <row r="777" ht="15.75" customHeight="1" s="95"/>
    <row r="778" ht="15.75" customHeight="1" s="95"/>
    <row r="779" ht="15.75" customHeight="1" s="95"/>
    <row r="780" ht="15.75" customHeight="1" s="95"/>
    <row r="781" ht="15.75" customHeight="1" s="95"/>
    <row r="782" ht="15.75" customHeight="1" s="95"/>
    <row r="783" ht="15.75" customHeight="1" s="95"/>
    <row r="784" ht="15.75" customHeight="1" s="95"/>
    <row r="785" ht="15.75" customHeight="1" s="95"/>
    <row r="786" ht="15.75" customHeight="1" s="95"/>
    <row r="787" ht="15.75" customHeight="1" s="95"/>
    <row r="788" ht="15.75" customHeight="1" s="95"/>
    <row r="789" ht="15.75" customHeight="1" s="95"/>
    <row r="790" ht="15.75" customHeight="1" s="95"/>
    <row r="791" ht="15.75" customHeight="1" s="95"/>
    <row r="792" ht="15.75" customHeight="1" s="95"/>
    <row r="793" ht="15.75" customHeight="1" s="95"/>
    <row r="794" ht="15.75" customHeight="1" s="95"/>
    <row r="795" ht="15.75" customHeight="1" s="95"/>
    <row r="796" ht="15.75" customHeight="1" s="95"/>
    <row r="797" ht="15.75" customHeight="1" s="95"/>
    <row r="798" ht="15.75" customHeight="1" s="95"/>
    <row r="799" ht="15.75" customHeight="1" s="95"/>
    <row r="800" ht="15.75" customHeight="1" s="95"/>
    <row r="801" ht="15.75" customHeight="1" s="95"/>
    <row r="802" ht="15.75" customHeight="1" s="95"/>
    <row r="803" ht="15.75" customHeight="1" s="95"/>
    <row r="804" ht="15.75" customHeight="1" s="95"/>
    <row r="805" ht="15.75" customHeight="1" s="95"/>
    <row r="806" ht="15.75" customHeight="1" s="95"/>
    <row r="807" ht="15.75" customHeight="1" s="95"/>
    <row r="808" ht="15.75" customHeight="1" s="95"/>
    <row r="809" ht="15.75" customHeight="1" s="95"/>
    <row r="810" ht="15.75" customHeight="1" s="95"/>
    <row r="811" ht="15.75" customHeight="1" s="95"/>
    <row r="812" ht="15.75" customHeight="1" s="95"/>
    <row r="813" ht="15.75" customHeight="1" s="95"/>
    <row r="814" ht="15.75" customHeight="1" s="95"/>
    <row r="815" ht="15.75" customHeight="1" s="95"/>
    <row r="816" ht="15.75" customHeight="1" s="95"/>
    <row r="817" ht="15.75" customHeight="1" s="95"/>
    <row r="818" ht="15.75" customHeight="1" s="95"/>
    <row r="819" ht="15.75" customHeight="1" s="95"/>
    <row r="820" ht="15.75" customHeight="1" s="95"/>
    <row r="821" ht="15.75" customHeight="1" s="95"/>
    <row r="822" ht="15.75" customHeight="1" s="95"/>
    <row r="823" ht="15.75" customHeight="1" s="95"/>
    <row r="824" ht="15.75" customHeight="1" s="95"/>
    <row r="825" ht="15.75" customHeight="1" s="95"/>
    <row r="826" ht="15.75" customHeight="1" s="95"/>
    <row r="827" ht="15.75" customHeight="1" s="95"/>
    <row r="828" ht="15.75" customHeight="1" s="95"/>
    <row r="829" ht="15.75" customHeight="1" s="95"/>
    <row r="830" ht="15.75" customHeight="1" s="95"/>
    <row r="831" ht="15.75" customHeight="1" s="95"/>
    <row r="832" ht="15.75" customHeight="1" s="95"/>
    <row r="833" ht="15.75" customHeight="1" s="95"/>
    <row r="834" ht="15.75" customHeight="1" s="95"/>
    <row r="835" ht="15.75" customHeight="1" s="95"/>
    <row r="836" ht="15.75" customHeight="1" s="95"/>
    <row r="837" ht="15.75" customHeight="1" s="95"/>
    <row r="838" ht="15.75" customHeight="1" s="95"/>
    <row r="839" ht="15.75" customHeight="1" s="95"/>
    <row r="840" ht="15.75" customHeight="1" s="95"/>
    <row r="841" ht="15.75" customHeight="1" s="95"/>
    <row r="842" ht="15.75" customHeight="1" s="95"/>
    <row r="843" ht="15.75" customHeight="1" s="95"/>
    <row r="844" ht="15.75" customHeight="1" s="95"/>
    <row r="845" ht="15.75" customHeight="1" s="95"/>
    <row r="846" ht="15.75" customHeight="1" s="95"/>
    <row r="847" ht="15.75" customHeight="1" s="95"/>
    <row r="848" ht="15.75" customHeight="1" s="95"/>
    <row r="849" ht="15.75" customHeight="1" s="95"/>
    <row r="850" ht="15.75" customHeight="1" s="95"/>
    <row r="851" ht="15.75" customHeight="1" s="95"/>
    <row r="852" ht="15.75" customHeight="1" s="95"/>
    <row r="853" ht="15.75" customHeight="1" s="95"/>
    <row r="854" ht="15.75" customHeight="1" s="95"/>
    <row r="855" ht="15.75" customHeight="1" s="95"/>
    <row r="856" ht="15.75" customHeight="1" s="95"/>
    <row r="857" ht="15.75" customHeight="1" s="95"/>
    <row r="858" ht="15.75" customHeight="1" s="95"/>
    <row r="859" ht="15.75" customHeight="1" s="95"/>
    <row r="860" ht="15.75" customHeight="1" s="95"/>
    <row r="861" ht="15.75" customHeight="1" s="95"/>
    <row r="862" ht="15.75" customHeight="1" s="95"/>
    <row r="863" ht="15.75" customHeight="1" s="95"/>
    <row r="864" ht="15.75" customHeight="1" s="95"/>
    <row r="865" ht="15.75" customHeight="1" s="95"/>
    <row r="866" ht="15.75" customHeight="1" s="95"/>
    <row r="867" ht="15.75" customHeight="1" s="95"/>
    <row r="868" ht="15.75" customHeight="1" s="95"/>
    <row r="869" ht="15.75" customHeight="1" s="95"/>
    <row r="870" ht="15.75" customHeight="1" s="95"/>
    <row r="871" ht="15.75" customHeight="1" s="95"/>
    <row r="872" ht="15.75" customHeight="1" s="95"/>
    <row r="873" ht="15.75" customHeight="1" s="95"/>
    <row r="874" ht="15.75" customHeight="1" s="95"/>
    <row r="875" ht="15.75" customHeight="1" s="95"/>
    <row r="876" ht="15.75" customHeight="1" s="95"/>
    <row r="877" ht="15.75" customHeight="1" s="95"/>
    <row r="878" ht="15.75" customHeight="1" s="95"/>
    <row r="879" ht="15.75" customHeight="1" s="95"/>
    <row r="880" ht="15.75" customHeight="1" s="95"/>
    <row r="881" ht="15.75" customHeight="1" s="95"/>
    <row r="882" ht="15.75" customHeight="1" s="95"/>
    <row r="883" ht="15.75" customHeight="1" s="95"/>
    <row r="884" ht="15.75" customHeight="1" s="95"/>
    <row r="885" ht="15.75" customHeight="1" s="95"/>
    <row r="886" ht="15.75" customHeight="1" s="95"/>
    <row r="887" ht="15.75" customHeight="1" s="95"/>
    <row r="888" ht="15.75" customHeight="1" s="95"/>
    <row r="889" ht="15.75" customHeight="1" s="95"/>
    <row r="890" ht="15.75" customHeight="1" s="95"/>
    <row r="891" ht="15.75" customHeight="1" s="95"/>
    <row r="892" ht="15.75" customHeight="1" s="95"/>
    <row r="893" ht="15.75" customHeight="1" s="95"/>
    <row r="894" ht="15.75" customHeight="1" s="95"/>
    <row r="895" ht="15.75" customHeight="1" s="95"/>
    <row r="896" ht="15.75" customHeight="1" s="95"/>
    <row r="897" ht="15.75" customHeight="1" s="95"/>
    <row r="898" ht="15.75" customHeight="1" s="95"/>
    <row r="899" ht="15.75" customHeight="1" s="95"/>
    <row r="900" ht="15.75" customHeight="1" s="95"/>
    <row r="901" ht="15.75" customHeight="1" s="95"/>
    <row r="902" ht="15.75" customHeight="1" s="95"/>
    <row r="903" ht="15.75" customHeight="1" s="95"/>
    <row r="904" ht="15.75" customHeight="1" s="95"/>
    <row r="905" ht="15.75" customHeight="1" s="95"/>
    <row r="906" ht="15.75" customHeight="1" s="95"/>
    <row r="907" ht="15.75" customHeight="1" s="95"/>
    <row r="908" ht="15.75" customHeight="1" s="95"/>
    <row r="909" ht="15.75" customHeight="1" s="95"/>
    <row r="910" ht="15.75" customHeight="1" s="95"/>
    <row r="911" ht="15.75" customHeight="1" s="95"/>
    <row r="912" ht="15.75" customHeight="1" s="95"/>
    <row r="913" ht="15.75" customHeight="1" s="95"/>
    <row r="914" ht="15.75" customHeight="1" s="95"/>
    <row r="915" ht="15.75" customHeight="1" s="95"/>
    <row r="916" ht="15.75" customHeight="1" s="95"/>
    <row r="917" ht="15.75" customHeight="1" s="95"/>
    <row r="918" ht="15.75" customHeight="1" s="95"/>
    <row r="919" ht="15.75" customHeight="1" s="95"/>
    <row r="920" ht="15.75" customHeight="1" s="95"/>
    <row r="921" ht="15.75" customHeight="1" s="95"/>
    <row r="922" ht="15.75" customHeight="1" s="95"/>
    <row r="923" ht="15.75" customHeight="1" s="95"/>
    <row r="924" ht="15.75" customHeight="1" s="95"/>
    <row r="925" ht="15.75" customHeight="1" s="95"/>
    <row r="926" ht="15.75" customHeight="1" s="95"/>
    <row r="927" ht="15.75" customHeight="1" s="95"/>
    <row r="928" ht="15.75" customHeight="1" s="95"/>
    <row r="929" ht="15.75" customHeight="1" s="95"/>
    <row r="930" ht="15.75" customHeight="1" s="95"/>
    <row r="931" ht="15.75" customHeight="1" s="95"/>
    <row r="932" ht="15.75" customHeight="1" s="95"/>
    <row r="933" ht="15.75" customHeight="1" s="95"/>
    <row r="934" ht="15.75" customHeight="1" s="95"/>
    <row r="935" ht="15.75" customHeight="1" s="95"/>
    <row r="936" ht="15.75" customHeight="1" s="95"/>
    <row r="937" ht="15.75" customHeight="1" s="95"/>
    <row r="938" ht="15.75" customHeight="1" s="95"/>
    <row r="939" ht="15.75" customHeight="1" s="95"/>
    <row r="940" ht="15.75" customHeight="1" s="95"/>
    <row r="941" ht="15.75" customHeight="1" s="95"/>
    <row r="942" ht="15.75" customHeight="1" s="95"/>
    <row r="943" ht="15.75" customHeight="1" s="95"/>
    <row r="944" ht="15.75" customHeight="1" s="95"/>
    <row r="945" ht="15.75" customHeight="1" s="95"/>
    <row r="946" ht="15.75" customHeight="1" s="95"/>
    <row r="947" ht="15.75" customHeight="1" s="95"/>
    <row r="948" ht="15.75" customHeight="1" s="95"/>
    <row r="949" ht="15.75" customHeight="1" s="95"/>
    <row r="950" ht="15.75" customHeight="1" s="95"/>
    <row r="951" ht="15.75" customHeight="1" s="95"/>
    <row r="952" ht="15.75" customHeight="1" s="95"/>
    <row r="953" ht="15.75" customHeight="1" s="95"/>
    <row r="954" ht="15.75" customHeight="1" s="95"/>
    <row r="955" ht="15.75" customHeight="1" s="95"/>
    <row r="956" ht="15.75" customHeight="1" s="95"/>
    <row r="957" ht="15.75" customHeight="1" s="95"/>
    <row r="958" ht="15.75" customHeight="1" s="95"/>
    <row r="959" ht="15.75" customHeight="1" s="95"/>
    <row r="960" ht="15.75" customHeight="1" s="95"/>
    <row r="961" ht="15.75" customHeight="1" s="95"/>
    <row r="962" ht="15.75" customHeight="1" s="95"/>
    <row r="963" ht="15.75" customHeight="1" s="95"/>
    <row r="964" ht="15.75" customHeight="1" s="95"/>
    <row r="965" ht="15.75" customHeight="1" s="95"/>
    <row r="966" ht="15.75" customHeight="1" s="95"/>
    <row r="967" ht="15.75" customHeight="1" s="95"/>
    <row r="968" ht="15.75" customHeight="1" s="95"/>
    <row r="969" ht="15.75" customHeight="1" s="95"/>
    <row r="970" ht="15.75" customHeight="1" s="95"/>
    <row r="971" ht="15.75" customHeight="1" s="95"/>
    <row r="972" ht="15.75" customHeight="1" s="95"/>
    <row r="973" ht="15.75" customHeight="1" s="95"/>
    <row r="974" ht="15.75" customHeight="1" s="95"/>
    <row r="975" ht="15.75" customHeight="1" s="95"/>
    <row r="976" ht="15.75" customHeight="1" s="95"/>
    <row r="977" ht="15.75" customHeight="1" s="95"/>
    <row r="978" ht="15.75" customHeight="1" s="95"/>
    <row r="979" ht="15.75" customHeight="1" s="95"/>
    <row r="980" ht="15.75" customHeight="1" s="95"/>
    <row r="981" ht="15.75" customHeight="1" s="95"/>
    <row r="982" ht="15.75" customHeight="1" s="95"/>
    <row r="983" ht="15.75" customHeight="1" s="95"/>
    <row r="984" ht="15.75" customHeight="1" s="95"/>
    <row r="985" ht="15.75" customHeight="1" s="95"/>
    <row r="986" ht="15.75" customHeight="1" s="95"/>
    <row r="987" ht="15.75" customHeight="1" s="95"/>
    <row r="988" ht="15.75" customHeight="1" s="95"/>
    <row r="989" ht="15.75" customHeight="1" s="95"/>
    <row r="990" ht="15.75" customHeight="1" s="95"/>
    <row r="991" ht="15.75" customHeight="1" s="95"/>
    <row r="992" ht="15.75" customHeight="1" s="95"/>
    <row r="993" ht="15.75" customHeight="1" s="95"/>
    <row r="994" ht="15.75" customHeight="1" s="95"/>
    <row r="995" ht="15.75" customHeight="1" s="95"/>
    <row r="996" ht="15.75" customHeight="1" s="95"/>
    <row r="997" ht="15.75" customHeight="1" s="95"/>
    <row r="998" ht="15.75" customHeight="1" s="95"/>
    <row r="999" ht="15.75" customHeight="1" s="95"/>
    <row r="1000" ht="15.75" customHeight="1" s="95"/>
  </sheetData>
  <mergeCells count="4">
    <mergeCell ref="A25:H25"/>
    <mergeCell ref="A14:B14"/>
    <mergeCell ref="A2:H2"/>
    <mergeCell ref="A1:H1"/>
  </mergeCells>
  <conditionalFormatting sqref="E13:E22">
    <cfRule type="colorScale" priority="1">
      <colorScale>
        <cfvo type="min"/>
        <cfvo type="percentile" val="50"/>
        <cfvo type="max"/>
        <color rgb="FFF7C6C2"/>
        <color rgb="FFFFE59A"/>
        <color rgb="FFC6E0B4"/>
      </colorScale>
    </cfRule>
  </conditionalFormatting>
  <pageMargins left="0.7" right="0.7" top="0.75" bottom="0.75" header="0.3" footer="0.3"/>
  <drawing xmlns:r="http://schemas.openxmlformats.org/officeDocument/2006/relationships" r:id="rId1"/>
</worksheet>
</file>

<file path=xl/worksheets/sheet2.xml><?xml version="1.0" encoding="utf-8"?>
<worksheet xmlns="http://schemas.openxmlformats.org/spreadsheetml/2006/main">
  <sheetPr>
    <outlinePr summaryBelow="1" summaryRight="1"/>
    <pageSetUpPr/>
  </sheetPr>
  <dimension ref="A1:AA506"/>
  <sheetViews>
    <sheetView workbookViewId="0">
      <selection activeCell="A1" sqref="A1"/>
    </sheetView>
  </sheetViews>
  <sheetFormatPr baseColWidth="8" defaultColWidth="14.42578125" defaultRowHeight="15"/>
  <cols>
    <col width="10" customWidth="1" style="95" min="1" max="1"/>
    <col width="40" customWidth="1" style="95" min="2" max="2"/>
    <col width="8" customWidth="1" style="95" min="3" max="3"/>
    <col width="13" customWidth="1" style="95" min="4" max="4"/>
    <col width="25" customWidth="1" style="95" min="5" max="5"/>
    <col width="32" customWidth="1" style="95" min="6" max="6"/>
    <col width="10" customWidth="1" style="95" min="7" max="7"/>
    <col width="12" customWidth="1" style="95" min="8" max="8"/>
    <col width="34" customWidth="1" style="95" min="9" max="9"/>
    <col width="25" customWidth="1" style="95" min="10" max="10"/>
    <col width="13" customWidth="1" style="95" min="11" max="11"/>
    <col width="29" customWidth="1" style="95" min="12" max="12"/>
    <col width="35" customWidth="1" style="95" min="13" max="13"/>
    <col width="39" customWidth="1" style="95" min="14" max="15"/>
    <col width="22" customWidth="1" style="95" min="16" max="20"/>
    <col width="12" customWidth="1" style="95" min="21" max="21"/>
    <col width="11" customWidth="1" style="95" min="22" max="22"/>
    <col width="14" customWidth="1" style="95" min="23" max="23"/>
    <col width="10" customWidth="1" style="95" min="24" max="24"/>
    <col width="11" customWidth="1" style="95" min="25" max="26"/>
  </cols>
  <sheetData>
    <row r="1" ht="31.5" customHeight="1" s="95">
      <c r="A1" s="99" t="inlineStr">
        <is>
          <t>🎬 MY BLU-RAY COLLECTION — v5.0</t>
        </is>
      </c>
    </row>
    <row r="2" ht="21" customHeight="1" s="95">
      <c r="A2" s="100" t="inlineStr">
        <is>
          <t>Ratings edition: dedicated ratings database added with your score, external-rating fields, consensus scoring and one-click source lookups.</t>
        </is>
      </c>
    </row>
    <row r="4" ht="30" customHeight="1" s="95">
      <c r="A4" s="81" t="inlineStr">
        <is>
          <t>Film ID</t>
        </is>
      </c>
      <c r="B4" s="81" t="inlineStr">
        <is>
          <t>Title</t>
        </is>
      </c>
      <c r="C4" s="81" t="inlineStr">
        <is>
          <t>Year</t>
        </is>
      </c>
      <c r="D4" s="81" t="inlineStr">
        <is>
          <t>Format</t>
        </is>
      </c>
      <c r="E4" s="81" t="inlineStr">
        <is>
          <t>Collection</t>
        </is>
      </c>
      <c r="F4" s="81" t="inlineStr">
        <is>
          <t>Physical Release / Box Set</t>
        </is>
      </c>
      <c r="G4" s="81" t="inlineStr">
        <is>
          <t>Watched</t>
        </is>
      </c>
      <c r="H4" s="81" t="inlineStr">
        <is>
          <t>Rating (1-5)</t>
        </is>
      </c>
      <c r="I4" s="81" t="inlineStr">
        <is>
          <t>Notes</t>
        </is>
      </c>
      <c r="J4" s="81" t="inlineStr">
        <is>
          <t>Director</t>
        </is>
      </c>
      <c r="K4" s="81" t="inlineStr">
        <is>
          <t>Runtime (min)</t>
        </is>
      </c>
      <c r="L4" s="81" t="inlineStr">
        <is>
          <t>Genre</t>
        </is>
      </c>
      <c r="M4" s="81" t="inlineStr">
        <is>
          <t>Studio / Production</t>
        </is>
      </c>
      <c r="N4" s="81" t="inlineStr">
        <is>
          <t>Metadata Source</t>
        </is>
      </c>
      <c r="O4" s="81" t="inlineStr">
        <is>
          <t>Cast Source</t>
        </is>
      </c>
      <c r="P4" s="81" t="inlineStr">
        <is>
          <t>Actor 1</t>
        </is>
      </c>
      <c r="Q4" s="81" t="inlineStr">
        <is>
          <t>Actor 2</t>
        </is>
      </c>
      <c r="R4" s="81" t="inlineStr">
        <is>
          <t>Actor 3</t>
        </is>
      </c>
      <c r="S4" s="81" t="inlineStr">
        <is>
          <t>Actor 4</t>
        </is>
      </c>
      <c r="T4" s="81" t="inlineStr">
        <is>
          <t>Actor 5</t>
        </is>
      </c>
      <c r="U4" s="81" t="inlineStr">
        <is>
          <t>Oscar Noms</t>
        </is>
      </c>
      <c r="V4" s="81" t="inlineStr">
        <is>
          <t>Oscar Wins</t>
        </is>
      </c>
      <c r="W4" s="81" t="inlineStr">
        <is>
          <t>Best Picture</t>
        </is>
      </c>
      <c r="X4" s="81" t="inlineStr">
        <is>
          <t>IMDb</t>
        </is>
      </c>
      <c r="Y4" s="81" t="inlineStr">
        <is>
          <t>RT Critics</t>
        </is>
      </c>
      <c r="Z4" s="81" t="inlineStr">
        <is>
          <t>Letterboxd</t>
        </is>
      </c>
      <c r="AA4" t="inlineStr">
        <is>
          <t>Date Watched</t>
        </is>
      </c>
    </row>
    <row r="5" ht="30" customHeight="1" s="95">
      <c r="A5" t="inlineStr">
        <is>
          <t>F0001</t>
        </is>
      </c>
      <c r="B5" t="inlineStr">
        <is>
          <t>Casino Royale</t>
        </is>
      </c>
      <c r="C5" s="63" t="inlineStr">
        <is>
          <t>2006</t>
        </is>
      </c>
      <c r="D5" t="inlineStr">
        <is>
          <t>Blu-ray</t>
        </is>
      </c>
      <c r="E5" t="inlineStr">
        <is>
          <t>James Bond</t>
        </is>
      </c>
      <c r="F5" s="64" t="n"/>
      <c r="I5" s="64" t="inlineStr">
        <is>
          <t>Le Chiffre, a banker to the world's terrorists, is scheduled to participate in a high-stakes poker game in Montenegro, where he intends to use his winnings to establish his financial grip on the terrorist market. M sends Bond—on his maiden mission as a 00 Agent—to attend this game and prevent Le Chiffre from winning. With the help of Vesper Lynd and Felix Leiter, Bond enters the most important poker game in his already dangerous career.</t>
        </is>
      </c>
      <c r="J5" s="64" t="inlineStr">
        <is>
          <t>Martin Campbell</t>
        </is>
      </c>
      <c r="K5" s="64" t="n">
        <v>144</v>
      </c>
      <c r="L5" s="64" t="inlineStr">
        <is>
          <t>Adventure, Action, Thriller</t>
        </is>
      </c>
      <c r="M5" s="64" t="inlineStr">
        <is>
          <t>Eon Productions, Stillking Films, Columbia Pictures</t>
        </is>
      </c>
      <c r="N5" s="64" t="inlineStr">
        <is>
          <t>https://huggingface.co/datasets/HenryWaltson/TMDB-IMDB-Movies-Dataset</t>
        </is>
      </c>
      <c r="O5" s="64" t="inlineStr">
        <is>
          <t>https://huggingface.co/datasets/HenryWaltson/TMDB-IMDB-Movies-Dataset</t>
        </is>
      </c>
      <c r="P5" t="inlineStr">
        <is>
          <t>Daniel Craig</t>
        </is>
      </c>
      <c r="Q5" t="inlineStr">
        <is>
          <t>Eva Green</t>
        </is>
      </c>
      <c r="R5" t="inlineStr">
        <is>
          <t>Mads Mikkelsen</t>
        </is>
      </c>
      <c r="S5" t="inlineStr">
        <is>
          <t>Judi Dench</t>
        </is>
      </c>
      <c r="T5" t="inlineStr">
        <is>
          <t>Jeffrey Wright</t>
        </is>
      </c>
      <c r="U5" s="71" t="n">
        <v>0</v>
      </c>
      <c r="V5" s="71" t="n">
        <v>0</v>
      </c>
      <c r="X5" s="82">
        <f>IFERROR(INDEX(Ratings!$E$5:$E$500,MATCH(A5,Ratings!$A$5:$A$500,0)),"")</f>
        <v/>
      </c>
      <c r="Y5" s="71">
        <f>IFERROR(INDEX(Ratings!$G$5:$G$500,MATCH(A5,Ratings!$A$5:$A$500,0)),"")</f>
        <v/>
      </c>
      <c r="Z5" s="83">
        <f>IFERROR(INDEX(Ratings!$I$5:$I$500,MATCH(A5,Ratings!$A$5:$A$500,0)),"")</f>
        <v/>
      </c>
    </row>
    <row r="6" ht="30" customHeight="1" s="95">
      <c r="A6" t="inlineStr">
        <is>
          <t>F0002</t>
        </is>
      </c>
      <c r="B6" t="inlineStr">
        <is>
          <t>Quantum of Solace</t>
        </is>
      </c>
      <c r="C6" s="63" t="inlineStr">
        <is>
          <t>2008</t>
        </is>
      </c>
      <c r="D6" t="inlineStr">
        <is>
          <t>Blu-ray</t>
        </is>
      </c>
      <c r="E6" t="inlineStr">
        <is>
          <t>James Bond</t>
        </is>
      </c>
      <c r="F6" s="64" t="n"/>
      <c r="I6" s="64" t="inlineStr">
        <is>
          <t>Betrayed by Vesper, the woman he loved, 007 fights the urge to make his latest mission personal. Pursuing his determination to uncover the truth, Bond and M interrogate Mr. White, who reveals that the organization that blackmailed Vesper is far more complex and dangerous than anyone had imagined.</t>
        </is>
      </c>
      <c r="J6" s="64" t="inlineStr">
        <is>
          <t>Marc Forster</t>
        </is>
      </c>
      <c r="K6" s="64" t="n">
        <v>106</v>
      </c>
      <c r="L6" s="64" t="inlineStr">
        <is>
          <t>Adventure, Action, Thriller, Crime</t>
        </is>
      </c>
      <c r="M6" s="64" t="inlineStr">
        <is>
          <t>Eon Productions, Metro-Goldwyn-Mayer, Columbia Pictures</t>
        </is>
      </c>
      <c r="N6" s="64" t="inlineStr">
        <is>
          <t>https://huggingface.co/datasets/HenryWaltson/TMDB-IMDB-Movies-Dataset</t>
        </is>
      </c>
      <c r="O6" s="64" t="inlineStr">
        <is>
          <t>https://huggingface.co/datasets/HenryWaltson/TMDB-IMDB-Movies-Dataset</t>
        </is>
      </c>
      <c r="P6" t="inlineStr">
        <is>
          <t>Daniel Craig</t>
        </is>
      </c>
      <c r="Q6" t="inlineStr">
        <is>
          <t>Olga Kurylenko</t>
        </is>
      </c>
      <c r="R6" t="inlineStr">
        <is>
          <t>Mathieu Amalric</t>
        </is>
      </c>
      <c r="S6" t="inlineStr">
        <is>
          <t>Judi Dench</t>
        </is>
      </c>
      <c r="T6" t="inlineStr">
        <is>
          <t>Giancarlo Giannini</t>
        </is>
      </c>
      <c r="U6" s="71" t="n">
        <v>0</v>
      </c>
      <c r="V6" s="71" t="n">
        <v>0</v>
      </c>
      <c r="X6" s="82">
        <f>IFERROR(INDEX(Ratings!$E$5:$E$500,MATCH(A6,Ratings!$A$5:$A$500,0)),"")</f>
        <v/>
      </c>
      <c r="Y6" s="71">
        <f>IFERROR(INDEX(Ratings!$G$5:$G$500,MATCH(A6,Ratings!$A$5:$A$500,0)),"")</f>
        <v/>
      </c>
      <c r="Z6" s="83">
        <f>IFERROR(INDEX(Ratings!$I$5:$I$500,MATCH(A6,Ratings!$A$5:$A$500,0)),"")</f>
        <v/>
      </c>
    </row>
    <row r="7" ht="30" customHeight="1" s="95">
      <c r="A7" t="inlineStr">
        <is>
          <t>F0003</t>
        </is>
      </c>
      <c r="B7" t="inlineStr">
        <is>
          <t>Skyfall</t>
        </is>
      </c>
      <c r="C7" s="63" t="inlineStr">
        <is>
          <t>2012</t>
        </is>
      </c>
      <c r="D7" t="inlineStr">
        <is>
          <t>Blu-ray</t>
        </is>
      </c>
      <c r="E7" t="inlineStr">
        <is>
          <t>James Bond</t>
        </is>
      </c>
      <c r="F7" s="64" t="n"/>
      <c r="I7" s="64" t="inlineStr">
        <is>
          <t>When Bond's latest assignment goes gravely wrong, agents around the world are exposed and MI6 headquarters is attacked. While M faces challenges to her authority and position from Gareth Mallory, the new Chairman of the Intelligence and Security Committee, it's up to Bond, aided only by field agent Eve, to locate the mastermind behind the attack.</t>
        </is>
      </c>
      <c r="J7" s="64" t="inlineStr">
        <is>
          <t>Sam Mendes</t>
        </is>
      </c>
      <c r="K7" s="64" t="n">
        <v>143</v>
      </c>
      <c r="L7" s="64" t="inlineStr">
        <is>
          <t>Action, Adventure, Thriller</t>
        </is>
      </c>
      <c r="M7" s="64" t="inlineStr">
        <is>
          <t>Metro-Goldwyn-Mayer, Eon Productions, Danjaq</t>
        </is>
      </c>
      <c r="N7" s="64" t="inlineStr">
        <is>
          <t>https://huggingface.co/datasets/HenryWaltson/TMDB-IMDB-Movies-Dataset</t>
        </is>
      </c>
      <c r="O7" s="64" t="inlineStr">
        <is>
          <t>https://huggingface.co/datasets/HenryWaltson/TMDB-IMDB-Movies-Dataset</t>
        </is>
      </c>
      <c r="P7" t="inlineStr">
        <is>
          <t>Daniel Craig</t>
        </is>
      </c>
      <c r="Q7" t="inlineStr">
        <is>
          <t>Judi Dench</t>
        </is>
      </c>
      <c r="R7" t="inlineStr">
        <is>
          <t>Javier Bardem</t>
        </is>
      </c>
      <c r="S7" t="inlineStr">
        <is>
          <t>Ralph Fiennes</t>
        </is>
      </c>
      <c r="T7" t="inlineStr">
        <is>
          <t>Naomie Harris</t>
        </is>
      </c>
      <c r="U7" s="71" t="n">
        <v>5</v>
      </c>
      <c r="V7" s="71" t="n">
        <v>2</v>
      </c>
      <c r="X7" s="82">
        <f>IFERROR(INDEX(Ratings!$E$5:$E$500,MATCH(A7,Ratings!$A$5:$A$500,0)),"")</f>
        <v/>
      </c>
      <c r="Y7" s="71">
        <f>IFERROR(INDEX(Ratings!$G$5:$G$500,MATCH(A7,Ratings!$A$5:$A$500,0)),"")</f>
        <v/>
      </c>
      <c r="Z7" s="83">
        <f>IFERROR(INDEX(Ratings!$I$5:$I$500,MATCH(A7,Ratings!$A$5:$A$500,0)),"")</f>
        <v/>
      </c>
    </row>
    <row r="8" ht="30" customHeight="1" s="95">
      <c r="A8" t="inlineStr">
        <is>
          <t>F0004</t>
        </is>
      </c>
      <c r="B8" t="inlineStr">
        <is>
          <t>Spectre</t>
        </is>
      </c>
      <c r="C8" s="63" t="inlineStr">
        <is>
          <t>2015</t>
        </is>
      </c>
      <c r="D8" t="inlineStr">
        <is>
          <t>Blu-ray</t>
        </is>
      </c>
      <c r="E8" t="inlineStr">
        <is>
          <t>James Bond</t>
        </is>
      </c>
      <c r="F8" s="64" t="n"/>
      <c r="I8" s="64" t="inlineStr">
        <is>
          <t>A cryptic message from Bond’s past sends him on a trail to uncover a sinister organization. While M battles political forces to keep the secret service alive, Bond peels back the layers of deceit to reveal the terrible truth behind SPECTRE.</t>
        </is>
      </c>
      <c r="J8" s="64" t="inlineStr">
        <is>
          <t>Sam Mendes</t>
        </is>
      </c>
      <c r="K8" s="64" t="n">
        <v>148</v>
      </c>
      <c r="L8" s="64" t="inlineStr">
        <is>
          <t>Action, Adventure, Thriller</t>
        </is>
      </c>
      <c r="M8" s="64" t="inlineStr">
        <is>
          <t>Columbia Pictures, Metro-Goldwyn-Mayer, Eon Productions</t>
        </is>
      </c>
      <c r="N8" s="64" t="inlineStr">
        <is>
          <t>https://huggingface.co/datasets/HenryWaltson/TMDB-IMDB-Movies-Dataset</t>
        </is>
      </c>
      <c r="O8" s="64" t="inlineStr">
        <is>
          <t>https://huggingface.co/datasets/HenryWaltson/TMDB-IMDB-Movies-Dataset</t>
        </is>
      </c>
      <c r="P8" t="inlineStr">
        <is>
          <t>Daniel Craig</t>
        </is>
      </c>
      <c r="Q8" t="inlineStr">
        <is>
          <t>Christoph Waltz</t>
        </is>
      </c>
      <c r="R8" t="inlineStr">
        <is>
          <t>Léa Seydoux</t>
        </is>
      </c>
      <c r="S8" t="inlineStr">
        <is>
          <t>Ralph Fiennes</t>
        </is>
      </c>
      <c r="T8" t="inlineStr">
        <is>
          <t>Monica Bellucci</t>
        </is>
      </c>
      <c r="U8" s="71" t="n">
        <v>1</v>
      </c>
      <c r="V8" s="71" t="n">
        <v>1</v>
      </c>
      <c r="X8" s="82">
        <f>IFERROR(INDEX(Ratings!$E$5:$E$500,MATCH(A8,Ratings!$A$5:$A$500,0)),"")</f>
        <v/>
      </c>
      <c r="Y8" s="71">
        <f>IFERROR(INDEX(Ratings!$G$5:$G$500,MATCH(A8,Ratings!$A$5:$A$500,0)),"")</f>
        <v/>
      </c>
      <c r="Z8" s="83">
        <f>IFERROR(INDEX(Ratings!$I$5:$I$500,MATCH(A8,Ratings!$A$5:$A$500,0)),"")</f>
        <v/>
      </c>
    </row>
    <row r="9" ht="30" customHeight="1" s="95">
      <c r="A9" t="inlineStr">
        <is>
          <t>F0005</t>
        </is>
      </c>
      <c r="B9" t="inlineStr">
        <is>
          <t>No Time to Die</t>
        </is>
      </c>
      <c r="C9" s="63" t="inlineStr">
        <is>
          <t>2021</t>
        </is>
      </c>
      <c r="D9" t="inlineStr">
        <is>
          <t>Blu-ray</t>
        </is>
      </c>
      <c r="E9" t="inlineStr">
        <is>
          <t>James Bond</t>
        </is>
      </c>
      <c r="F9" s="64" t="n"/>
      <c r="I9" s="64" t="inlineStr">
        <is>
          <t>Bond has left active service and is enjoying a tranquil life in Jamaica. His peace is short-lived when his old friend Felix Leiter from the CIA turns up asking for help. The mission to rescue a kidnapped scientist turns out to be far more treacherous than expected, leading Bond onto the trail of a mysterious villain armed with dangerous new technology.</t>
        </is>
      </c>
      <c r="J9" s="64" t="inlineStr">
        <is>
          <t>Cary Joji Fukunaga</t>
        </is>
      </c>
      <c r="K9" s="64" t="n">
        <v>163</v>
      </c>
      <c r="L9" s="64" t="inlineStr">
        <is>
          <t>Action, Thriller, Romance</t>
        </is>
      </c>
      <c r="M9" s="64" t="inlineStr">
        <is>
          <t>Eon Productions, Metro-Goldwyn-Mayer, Universal Pictures</t>
        </is>
      </c>
      <c r="N9" s="64" t="inlineStr">
        <is>
          <t>https://huggingface.co/datasets/HenryWaltson/TMDB-IMDB-Movies-Dataset</t>
        </is>
      </c>
      <c r="O9" s="64" t="inlineStr">
        <is>
          <t>https://huggingface.co/datasets/HenryWaltson/TMDB-IMDB-Movies-Dataset</t>
        </is>
      </c>
      <c r="P9" t="inlineStr">
        <is>
          <t>Daniel Craig</t>
        </is>
      </c>
      <c r="Q9" t="inlineStr">
        <is>
          <t>Léa Seydoux</t>
        </is>
      </c>
      <c r="R9" t="inlineStr">
        <is>
          <t>Rami Malek</t>
        </is>
      </c>
      <c r="S9" t="inlineStr">
        <is>
          <t>Lashana Lynch</t>
        </is>
      </c>
      <c r="T9" t="inlineStr">
        <is>
          <t>Ralph Fiennes</t>
        </is>
      </c>
      <c r="U9" s="71" t="n">
        <v>3</v>
      </c>
      <c r="V9" s="71" t="n">
        <v>1</v>
      </c>
      <c r="X9" s="82">
        <f>IFERROR(INDEX(Ratings!$E$5:$E$500,MATCH(A9,Ratings!$A$5:$A$500,0)),"")</f>
        <v/>
      </c>
      <c r="Y9" s="71">
        <f>IFERROR(INDEX(Ratings!$G$5:$G$500,MATCH(A9,Ratings!$A$5:$A$500,0)),"")</f>
        <v/>
      </c>
      <c r="Z9" s="83">
        <f>IFERROR(INDEX(Ratings!$I$5:$I$500,MATCH(A9,Ratings!$A$5:$A$500,0)),"")</f>
        <v/>
      </c>
    </row>
    <row r="10" ht="30" customHeight="1" s="95">
      <c r="A10" t="inlineStr">
        <is>
          <t>F0006</t>
        </is>
      </c>
      <c r="B10" t="inlineStr">
        <is>
          <t>2012</t>
        </is>
      </c>
      <c r="C10" s="63" t="inlineStr">
        <is>
          <t>2009</t>
        </is>
      </c>
      <c r="D10" t="inlineStr">
        <is>
          <t>Blu-ray</t>
        </is>
      </c>
      <c r="F10" s="64" t="n"/>
      <c r="I10" s="64" t="inlineStr">
        <is>
          <t>Dr. Adrian Helmsley, part of a worldwide geophysical team investigating the effect on the earth of radiation from unprecedented solar storms, learns that the earth's core is heating up. He warns U.S. President Thomas Wilson that the crust of the earth is becoming unstable and that without proper preparations for saving a fraction of the world's population, the entire race is doomed. Meanwhile, writer Jackson Curtis stumbles on the same information. While the world's leaders race to build "arks" to escape the impending cataclysm, Curtis struggles to find a way to save his family. Meanwhile, volcanic eruptions and earthquakes of unprecedented strength wreak havoc around the world.</t>
        </is>
      </c>
      <c r="J10" s="64" t="inlineStr">
        <is>
          <t>Roland Emmerich</t>
        </is>
      </c>
      <c r="K10" s="64" t="n">
        <v>158</v>
      </c>
      <c r="L10" s="64" t="inlineStr">
        <is>
          <t>Action, Adventure, Science Fiction</t>
        </is>
      </c>
      <c r="M10" s="64" t="inlineStr">
        <is>
          <t>Columbia Pictures, Centropolis Entertainment, Farewell Productions</t>
        </is>
      </c>
      <c r="N10" s="64" t="inlineStr">
        <is>
          <t>https://huggingface.co/datasets/HenryWaltson/TMDB-IMDB-Movies-Dataset</t>
        </is>
      </c>
      <c r="O10" s="64" t="inlineStr">
        <is>
          <t>https://huggingface.co/datasets/HenryWaltson/TMDB-IMDB-Movies-Dataset</t>
        </is>
      </c>
      <c r="P10" t="inlineStr">
        <is>
          <t>John Cusack</t>
        </is>
      </c>
      <c r="Q10" t="inlineStr">
        <is>
          <t>Amanda Peet</t>
        </is>
      </c>
      <c r="R10" t="inlineStr">
        <is>
          <t>Chiwetel Ejiofor</t>
        </is>
      </c>
      <c r="S10" t="inlineStr">
        <is>
          <t>Thandiwe Newton</t>
        </is>
      </c>
      <c r="T10" t="inlineStr">
        <is>
          <t>Oliver Platt</t>
        </is>
      </c>
      <c r="U10" s="71" t="n">
        <v>0</v>
      </c>
      <c r="V10" s="71" t="n">
        <v>0</v>
      </c>
      <c r="X10" s="82">
        <f>IFERROR(INDEX(Ratings!$E$5:$E$500,MATCH(A10,Ratings!$A$5:$A$500,0)),"")</f>
        <v/>
      </c>
      <c r="Y10" s="71">
        <f>IFERROR(INDEX(Ratings!$G$5:$G$500,MATCH(A10,Ratings!$A$5:$A$500,0)),"")</f>
        <v/>
      </c>
      <c r="Z10" s="83">
        <f>IFERROR(INDEX(Ratings!$I$5:$I$500,MATCH(A10,Ratings!$A$5:$A$500,0)),"")</f>
        <v/>
      </c>
    </row>
    <row r="11" ht="30" customHeight="1" s="95">
      <c r="A11" t="inlineStr">
        <is>
          <t>F0007</t>
        </is>
      </c>
      <c r="B11" t="inlineStr">
        <is>
          <t>21 Jump Street</t>
        </is>
      </c>
      <c r="C11" s="63" t="inlineStr">
        <is>
          <t>2012</t>
        </is>
      </c>
      <c r="D11" t="inlineStr">
        <is>
          <t>Blu-ray</t>
        </is>
      </c>
      <c r="E11" t="inlineStr">
        <is>
          <t>Jump Street</t>
        </is>
      </c>
      <c r="F11" s="64" t="n"/>
      <c r="G11" t="inlineStr">
        <is>
          <t>Yes</t>
        </is>
      </c>
      <c r="H11" t="inlineStr">
        <is>
          <t>⭐⭐⭐⭐</t>
        </is>
      </c>
      <c r="I11" s="64" t="inlineStr">
        <is>
          <t>When cops Schmidt and Jenko join the secret Jump Street unit, they use their youthful appearances to go undercover as high school students. They trade in their guns and badges for backpacks, and set out to shut down a dangerous drug ring. But, as time goes on, Schmidt and Jenko discover that high school is nothing like it was just a few years earlier -- and, what's more, they must again confront the teenage terror and anxiety they thought they had left behind.</t>
        </is>
      </c>
      <c r="J11" s="64" t="inlineStr">
        <is>
          <t>Phil Lord, Christopher Miller</t>
        </is>
      </c>
      <c r="K11" s="64" t="n">
        <v>109</v>
      </c>
      <c r="L11" s="64" t="inlineStr">
        <is>
          <t>Action, Comedy, Crime</t>
        </is>
      </c>
      <c r="M11" s="64" t="inlineStr">
        <is>
          <t>Columbia Pictures, Relativity Media, Original Film</t>
        </is>
      </c>
      <c r="N11" s="64" t="inlineStr">
        <is>
          <t>https://huggingface.co/datasets/HenryWaltson/TMDB-IMDB-Movies-Dataset</t>
        </is>
      </c>
      <c r="O11" s="64" t="inlineStr">
        <is>
          <t>https://huggingface.co/datasets/HenryWaltson/TMDB-IMDB-Movies-Dataset</t>
        </is>
      </c>
      <c r="P11" t="inlineStr">
        <is>
          <t>Jonah Hill</t>
        </is>
      </c>
      <c r="Q11" t="inlineStr">
        <is>
          <t>Channing Tatum</t>
        </is>
      </c>
      <c r="R11" t="inlineStr">
        <is>
          <t>Brie Larson</t>
        </is>
      </c>
      <c r="S11" t="inlineStr">
        <is>
          <t>Dave Franco</t>
        </is>
      </c>
      <c r="T11" t="inlineStr">
        <is>
          <t>Rob Riggle</t>
        </is>
      </c>
      <c r="U11" s="71" t="n">
        <v>0</v>
      </c>
      <c r="V11" s="71" t="n">
        <v>0</v>
      </c>
      <c r="X11" s="82">
        <f>IFERROR(INDEX(Ratings!$E$5:$E$500,MATCH(A11,Ratings!$A$5:$A$500,0)),"")</f>
        <v/>
      </c>
      <c r="Y11" s="71">
        <f>IFERROR(INDEX(Ratings!$G$5:$G$500,MATCH(A11,Ratings!$A$5:$A$500,0)),"")</f>
        <v/>
      </c>
      <c r="Z11" s="83">
        <f>IFERROR(INDEX(Ratings!$I$5:$I$500,MATCH(A11,Ratings!$A$5:$A$500,0)),"")</f>
        <v/>
      </c>
    </row>
    <row r="12" ht="30" customHeight="1" s="95">
      <c r="A12" t="inlineStr">
        <is>
          <t>F0008</t>
        </is>
      </c>
      <c r="B12" t="inlineStr">
        <is>
          <t>22 Jump Street</t>
        </is>
      </c>
      <c r="C12" s="63" t="inlineStr">
        <is>
          <t>2014</t>
        </is>
      </c>
      <c r="D12" t="inlineStr">
        <is>
          <t>Blu-ray</t>
        </is>
      </c>
      <c r="E12" t="inlineStr">
        <is>
          <t>Jump Street</t>
        </is>
      </c>
      <c r="F12" s="64" t="n"/>
      <c r="I12" s="64" t="inlineStr">
        <is>
          <t>After making their way through high school (twice), big changes are in store for officers Schmidt and Jenko when they go deep undercover at a local college. But when Jenko meets a kindred spirit on the football team, and Schmidt infiltrates the bohemian art major scene, they begin to question their partnership. Now they don't have to just crack the case - they have to figure out if they can have a mature relationship. If these two overgrown adolescents can grow from freshmen into real men, college might be the best thing that ever happened to them.</t>
        </is>
      </c>
      <c r="J12" s="64" t="inlineStr">
        <is>
          <t>Phil Lord, Christopher Miller</t>
        </is>
      </c>
      <c r="K12" s="64" t="n">
        <v>112</v>
      </c>
      <c r="L12" s="64" t="inlineStr">
        <is>
          <t>Crime, Comedy, Action</t>
        </is>
      </c>
      <c r="M12" s="64" t="inlineStr">
        <is>
          <t>Columbia Pictures, Original Film, MRC</t>
        </is>
      </c>
      <c r="N12" s="64" t="inlineStr">
        <is>
          <t>https://huggingface.co/datasets/HenryWaltson/TMDB-IMDB-Movies-Dataset</t>
        </is>
      </c>
      <c r="O12" s="64" t="inlineStr">
        <is>
          <t>https://huggingface.co/datasets/HenryWaltson/TMDB-IMDB-Movies-Dataset</t>
        </is>
      </c>
      <c r="P12" t="inlineStr">
        <is>
          <t>Jonah Hill</t>
        </is>
      </c>
      <c r="Q12" t="inlineStr">
        <is>
          <t>Channing Tatum</t>
        </is>
      </c>
      <c r="R12" t="inlineStr">
        <is>
          <t>Peter Stormare</t>
        </is>
      </c>
      <c r="S12" t="inlineStr">
        <is>
          <t>Wyatt Russell</t>
        </is>
      </c>
      <c r="T12" t="inlineStr">
        <is>
          <t>Amber Stevens West</t>
        </is>
      </c>
      <c r="U12" s="71" t="n">
        <v>0</v>
      </c>
      <c r="V12" s="71" t="n">
        <v>0</v>
      </c>
      <c r="X12" s="82">
        <f>IFERROR(INDEX(Ratings!$E$5:$E$500,MATCH(A12,Ratings!$A$5:$A$500,0)),"")</f>
        <v/>
      </c>
      <c r="Y12" s="71">
        <f>IFERROR(INDEX(Ratings!$G$5:$G$500,MATCH(A12,Ratings!$A$5:$A$500,0)),"")</f>
        <v/>
      </c>
      <c r="Z12" s="83">
        <f>IFERROR(INDEX(Ratings!$I$5:$I$500,MATCH(A12,Ratings!$A$5:$A$500,0)),"")</f>
        <v/>
      </c>
    </row>
    <row r="13" ht="30" customHeight="1" s="95">
      <c r="A13" t="inlineStr">
        <is>
          <t>F0009</t>
        </is>
      </c>
      <c r="B13" t="inlineStr">
        <is>
          <t>30 Minutes or Less</t>
        </is>
      </c>
      <c r="C13" s="63" t="inlineStr">
        <is>
          <t>2011</t>
        </is>
      </c>
      <c r="D13" t="inlineStr">
        <is>
          <t>Blu-ray</t>
        </is>
      </c>
      <c r="F13" s="64" t="n"/>
      <c r="I13" s="64" t="inlineStr">
        <is>
          <t>Two fledgling criminals kidnap a pizza delivery guy, strap a bomb to his chest, and advise him that he has mere hours to rob a bank or else...</t>
        </is>
      </c>
      <c r="J13" s="64" t="inlineStr">
        <is>
          <t>Ruben Fleischer</t>
        </is>
      </c>
      <c r="K13" s="64" t="n">
        <v>83</v>
      </c>
      <c r="L13" s="64" t="inlineStr">
        <is>
          <t>Action, Adventure, Comedy</t>
        </is>
      </c>
      <c r="M13" s="64" t="inlineStr">
        <is>
          <t>Columbia Pictures</t>
        </is>
      </c>
      <c r="N13" s="64" t="inlineStr">
        <is>
          <t>https://huggingface.co/datasets/HenryWaltson/TMDB-IMDB-Movies-Dataset</t>
        </is>
      </c>
      <c r="O13" s="64" t="inlineStr">
        <is>
          <t>https://huggingface.co/datasets/HenryWaltson/TMDB-IMDB-Movies-Dataset</t>
        </is>
      </c>
      <c r="P13" t="inlineStr">
        <is>
          <t>Jesse Eisenberg</t>
        </is>
      </c>
      <c r="Q13" t="inlineStr">
        <is>
          <t>Aziz Ansari</t>
        </is>
      </c>
      <c r="R13" t="inlineStr">
        <is>
          <t>Danny McBride</t>
        </is>
      </c>
      <c r="S13" t="inlineStr">
        <is>
          <t>Nick Swardson</t>
        </is>
      </c>
      <c r="T13" t="inlineStr">
        <is>
          <t>Dilshad Vadsaria</t>
        </is>
      </c>
      <c r="U13" s="71" t="n">
        <v>0</v>
      </c>
      <c r="V13" s="71" t="n">
        <v>0</v>
      </c>
      <c r="X13" s="82">
        <f>IFERROR(INDEX(Ratings!$E$5:$E$500,MATCH(A13,Ratings!$A$5:$A$500,0)),"")</f>
        <v/>
      </c>
      <c r="Y13" s="71">
        <f>IFERROR(INDEX(Ratings!$G$5:$G$500,MATCH(A13,Ratings!$A$5:$A$500,0)),"")</f>
        <v/>
      </c>
      <c r="Z13" s="83">
        <f>IFERROR(INDEX(Ratings!$I$5:$I$500,MATCH(A13,Ratings!$A$5:$A$500,0)),"")</f>
        <v/>
      </c>
    </row>
    <row r="14" ht="30" customHeight="1" s="95">
      <c r="A14" t="inlineStr">
        <is>
          <t>F0010</t>
        </is>
      </c>
      <c r="B14" t="inlineStr">
        <is>
          <t>44 Inch Chest</t>
        </is>
      </c>
      <c r="C14" s="63" t="inlineStr">
        <is>
          <t>2009</t>
        </is>
      </c>
      <c r="D14" t="inlineStr">
        <is>
          <t>Blu-ray</t>
        </is>
      </c>
      <c r="F14" s="64" t="n"/>
      <c r="I14" s="64" t="inlineStr">
        <is>
          <t>Colin is in agony, shattered by his wife’s infidelity, so his friends kidnap the wife's lover so he can have his revenge.</t>
        </is>
      </c>
      <c r="J14" s="64" t="inlineStr">
        <is>
          <t>Malcolm Venville</t>
        </is>
      </c>
      <c r="K14" s="64" t="n">
        <v>95</v>
      </c>
      <c r="L14" s="64" t="inlineStr">
        <is>
          <t>Drama, Crime</t>
        </is>
      </c>
      <c r="M14" s="64" t="inlineStr">
        <is>
          <t>Omni Films, Prescience Media, Twilight Production &amp; Entertainment</t>
        </is>
      </c>
      <c r="N14" s="64" t="inlineStr">
        <is>
          <t>https://huggingface.co/datasets/HenryWaltson/TMDB-IMDB-Movies-Dataset</t>
        </is>
      </c>
      <c r="O14" s="64" t="inlineStr">
        <is>
          <t>https://huggingface.co/datasets/HenryWaltson/TMDB-IMDB-Movies-Dataset</t>
        </is>
      </c>
      <c r="P14" t="inlineStr">
        <is>
          <t>Ray Winstone</t>
        </is>
      </c>
      <c r="Q14" t="inlineStr">
        <is>
          <t>John Hurt</t>
        </is>
      </c>
      <c r="R14" t="inlineStr">
        <is>
          <t>Ian McShane</t>
        </is>
      </c>
      <c r="S14" t="inlineStr">
        <is>
          <t>Tom Wilkinson</t>
        </is>
      </c>
      <c r="T14" t="inlineStr">
        <is>
          <t>Joanne Whalley</t>
        </is>
      </c>
      <c r="U14" s="71" t="n">
        <v>0</v>
      </c>
      <c r="V14" s="71" t="n">
        <v>0</v>
      </c>
      <c r="X14" s="82">
        <f>IFERROR(INDEX(Ratings!$E$5:$E$500,MATCH(A14,Ratings!$A$5:$A$500,0)),"")</f>
        <v/>
      </c>
      <c r="Y14" s="71">
        <f>IFERROR(INDEX(Ratings!$G$5:$G$500,MATCH(A14,Ratings!$A$5:$A$500,0)),"")</f>
        <v/>
      </c>
      <c r="Z14" s="83">
        <f>IFERROR(INDEX(Ratings!$I$5:$I$500,MATCH(A14,Ratings!$A$5:$A$500,0)),"")</f>
        <v/>
      </c>
    </row>
    <row r="15" ht="30" customHeight="1" s="95">
      <c r="A15" t="inlineStr">
        <is>
          <t>F0011</t>
        </is>
      </c>
      <c r="B15" t="inlineStr">
        <is>
          <t>50/50</t>
        </is>
      </c>
      <c r="C15" s="63" t="inlineStr">
        <is>
          <t>2011</t>
        </is>
      </c>
      <c r="D15" t="inlineStr">
        <is>
          <t>Blu-ray</t>
        </is>
      </c>
      <c r="F15" s="64" t="n"/>
      <c r="I15" s="64" t="inlineStr">
        <is>
          <t>Inspired by a true story, a comedy centered on a 27-year-old guy who learns of his cancer diagnosis and his subsequent struggle to beat the disease.</t>
        </is>
      </c>
      <c r="J15" s="64" t="inlineStr">
        <is>
          <t>Jonathan Levine</t>
        </is>
      </c>
      <c r="K15" s="64" t="n">
        <v>100</v>
      </c>
      <c r="L15" s="64" t="inlineStr">
        <is>
          <t>Comedy, Drama</t>
        </is>
      </c>
      <c r="M15" s="64" t="inlineStr">
        <is>
          <t>Summit Entertainment, Mandate Pictures, Point Grey Pictures</t>
        </is>
      </c>
      <c r="N15" s="64" t="inlineStr">
        <is>
          <t>https://huggingface.co/datasets/HenryWaltson/TMDB-IMDB-Movies-Dataset</t>
        </is>
      </c>
      <c r="O15" s="64" t="inlineStr">
        <is>
          <t>https://huggingface.co/datasets/HenryWaltson/TMDB-IMDB-Movies-Dataset</t>
        </is>
      </c>
      <c r="P15" t="inlineStr">
        <is>
          <t>Joseph Gordon-Levitt</t>
        </is>
      </c>
      <c r="Q15" t="inlineStr">
        <is>
          <t>Seth Rogen</t>
        </is>
      </c>
      <c r="R15" t="inlineStr">
        <is>
          <t>Anna Kendrick</t>
        </is>
      </c>
      <c r="S15" t="inlineStr">
        <is>
          <t>Bryce Dallas Howard</t>
        </is>
      </c>
      <c r="T15" t="inlineStr">
        <is>
          <t>Philip Baker Hall</t>
        </is>
      </c>
      <c r="U15" s="71" t="n">
        <v>0</v>
      </c>
      <c r="V15" s="71" t="n">
        <v>0</v>
      </c>
      <c r="X15" s="82">
        <f>IFERROR(INDEX(Ratings!$E$5:$E$500,MATCH(A15,Ratings!$A$5:$A$500,0)),"")</f>
        <v/>
      </c>
      <c r="Y15" s="71">
        <f>IFERROR(INDEX(Ratings!$G$5:$G$500,MATCH(A15,Ratings!$A$5:$A$500,0)),"")</f>
        <v/>
      </c>
      <c r="Z15" s="83">
        <f>IFERROR(INDEX(Ratings!$I$5:$I$500,MATCH(A15,Ratings!$A$5:$A$500,0)),"")</f>
        <v/>
      </c>
    </row>
    <row r="16" ht="30" customHeight="1" s="95">
      <c r="A16" t="inlineStr">
        <is>
          <t>F0012</t>
        </is>
      </c>
      <c r="B16" t="inlineStr">
        <is>
          <t>A Bug's Life</t>
        </is>
      </c>
      <c r="C16" s="63" t="inlineStr">
        <is>
          <t>1998</t>
        </is>
      </c>
      <c r="D16" t="inlineStr">
        <is>
          <t>Blu-ray</t>
        </is>
      </c>
      <c r="F16" s="64" t="n"/>
      <c r="G16" t="inlineStr">
        <is>
          <t>Yes</t>
        </is>
      </c>
      <c r="H16" t="inlineStr">
        <is>
          <t>⭐⭐⭐⭐</t>
        </is>
      </c>
      <c r="I16" s="64" t="inlineStr">
        <is>
          <t>On behalf of "oppressed bugs everywhere," an inventive ant named Flik hires a troupe of warrior bugs to defend his bustling colony from a horde of freeloading grasshoppers led by the evil-minded Hopper.</t>
        </is>
      </c>
      <c r="J16" s="64" t="inlineStr">
        <is>
          <t>John Lasseter, Andrew Stanton</t>
        </is>
      </c>
      <c r="K16" s="64" t="n">
        <v>95</v>
      </c>
      <c r="L16" s="64" t="inlineStr">
        <is>
          <t>Adventure, Animation, Comedy, Family</t>
        </is>
      </c>
      <c r="M16" s="64" t="inlineStr">
        <is>
          <t>Pixar, Walt Disney Pictures</t>
        </is>
      </c>
      <c r="N16" s="64" t="inlineStr">
        <is>
          <t>https://huggingface.co/datasets/HenryWaltson/TMDB-IMDB-Movies-Dataset</t>
        </is>
      </c>
      <c r="O16" s="64" t="inlineStr">
        <is>
          <t>https://huggingface.co/datasets/HenryWaltson/TMDB-IMDB-Movies-Dataset</t>
        </is>
      </c>
      <c r="P16" t="inlineStr">
        <is>
          <t>Dave Foley</t>
        </is>
      </c>
      <c r="Q16" t="inlineStr">
        <is>
          <t>Kevin Spacey</t>
        </is>
      </c>
      <c r="R16" t="inlineStr">
        <is>
          <t>Julia Louis-Dreyfus</t>
        </is>
      </c>
      <c r="S16" t="inlineStr">
        <is>
          <t>Hayden Panettiere</t>
        </is>
      </c>
      <c r="T16" t="inlineStr">
        <is>
          <t>Phyllis Diller</t>
        </is>
      </c>
      <c r="U16" s="71" t="n">
        <v>1</v>
      </c>
      <c r="V16" s="71" t="n">
        <v>0</v>
      </c>
      <c r="X16" s="82">
        <f>IFERROR(INDEX(Ratings!$E$5:$E$500,MATCH(A16,Ratings!$A$5:$A$500,0)),"")</f>
        <v/>
      </c>
      <c r="Y16" s="71">
        <f>IFERROR(INDEX(Ratings!$G$5:$G$500,MATCH(A16,Ratings!$A$5:$A$500,0)),"")</f>
        <v/>
      </c>
      <c r="Z16" s="83">
        <f>IFERROR(INDEX(Ratings!$I$5:$I$500,MATCH(A16,Ratings!$A$5:$A$500,0)),"")</f>
        <v/>
      </c>
    </row>
    <row r="17" ht="45" customHeight="1" s="95">
      <c r="A17" t="inlineStr">
        <is>
          <t>F0013</t>
        </is>
      </c>
      <c r="B17" t="inlineStr">
        <is>
          <t>The Accountant</t>
        </is>
      </c>
      <c r="C17" s="63" t="inlineStr">
        <is>
          <t>2016</t>
        </is>
      </c>
      <c r="D17" t="inlineStr">
        <is>
          <t>Blu-ray</t>
        </is>
      </c>
      <c r="F17" s="64" t="n"/>
      <c r="I17" s="64" t="inlineStr">
        <is>
          <t>As a math savant uncooks the books for a new client, the Treasury Department closes in on his activities and the body count starts to rise.</t>
        </is>
      </c>
      <c r="J17" s="64" t="inlineStr">
        <is>
          <t>Gavin O'Connor</t>
        </is>
      </c>
      <c r="K17" s="64" t="n">
        <v>128</v>
      </c>
      <c r="L17" s="64" t="inlineStr">
        <is>
          <t>Crime, Thriller, Drama</t>
        </is>
      </c>
      <c r="M17" s="64" t="inlineStr">
        <is>
          <t>Zero Gravity Management, Electric City Entertainment, RatPac Entertainment</t>
        </is>
      </c>
      <c r="N17" s="64" t="inlineStr">
        <is>
          <t>https://huggingface.co/datasets/HenryWaltson/TMDB-IMDB-Movies-Dataset</t>
        </is>
      </c>
      <c r="O17" s="64" t="inlineStr">
        <is>
          <t>https://huggingface.co/datasets/HenryWaltson/TMDB-IMDB-Movies-Dataset</t>
        </is>
      </c>
      <c r="P17" t="inlineStr">
        <is>
          <t>Ben Affleck</t>
        </is>
      </c>
      <c r="Q17" t="inlineStr">
        <is>
          <t>Cynthia Addai-Robinson</t>
        </is>
      </c>
      <c r="R17" t="inlineStr">
        <is>
          <t>Anna Kendrick</t>
        </is>
      </c>
      <c r="S17" t="inlineStr">
        <is>
          <t>J.K. Simmons</t>
        </is>
      </c>
      <c r="T17" t="inlineStr">
        <is>
          <t>Jon Bernthal</t>
        </is>
      </c>
      <c r="U17" s="71" t="n">
        <v>0</v>
      </c>
      <c r="V17" s="71" t="n">
        <v>0</v>
      </c>
      <c r="X17" s="82">
        <f>IFERROR(INDEX(Ratings!$E$5:$E$500,MATCH(A17,Ratings!$A$5:$A$500,0)),"")</f>
        <v/>
      </c>
      <c r="Y17" s="71">
        <f>IFERROR(INDEX(Ratings!$G$5:$G$500,MATCH(A17,Ratings!$A$5:$A$500,0)),"")</f>
        <v/>
      </c>
      <c r="Z17" s="83">
        <f>IFERROR(INDEX(Ratings!$I$5:$I$500,MATCH(A17,Ratings!$A$5:$A$500,0)),"")</f>
        <v/>
      </c>
    </row>
    <row r="18" ht="30" customHeight="1" s="95">
      <c r="A18" t="inlineStr">
        <is>
          <t>F0014</t>
        </is>
      </c>
      <c r="B18" t="inlineStr">
        <is>
          <t>Alan Partridge: Alpha Papa</t>
        </is>
      </c>
      <c r="C18" s="63" t="inlineStr">
        <is>
          <t>2013</t>
        </is>
      </c>
      <c r="D18" t="inlineStr">
        <is>
          <t>Blu-ray</t>
        </is>
      </c>
      <c r="F18" s="64" t="n"/>
      <c r="I18" s="64" t="inlineStr">
        <is>
          <t>When famous DJ Alan Partridge’s radio station is taken over by a new media conglomerate, it sets in motion a chain of events which see Alan having to work with the police to defuse a potentially violent siege.</t>
        </is>
      </c>
      <c r="J18" s="64" t="inlineStr">
        <is>
          <t>Declan Lowney</t>
        </is>
      </c>
      <c r="K18" s="64" t="n">
        <v>90</v>
      </c>
      <c r="L18" s="64" t="inlineStr">
        <is>
          <t>Comedy</t>
        </is>
      </c>
      <c r="M18" s="64" t="inlineStr">
        <is>
          <t>BFI, BBC Film, StudioCanal</t>
        </is>
      </c>
      <c r="N18" s="64" t="inlineStr">
        <is>
          <t>https://huggingface.co/datasets/HenryWaltson/TMDB-IMDB-Movies-Dataset</t>
        </is>
      </c>
      <c r="O18" s="64" t="inlineStr">
        <is>
          <t>https://huggingface.co/datasets/HenryWaltson/TMDB-IMDB-Movies-Dataset</t>
        </is>
      </c>
      <c r="P18" t="inlineStr">
        <is>
          <t>Steve Coogan</t>
        </is>
      </c>
      <c r="Q18" t="inlineStr">
        <is>
          <t>Colm Meaney</t>
        </is>
      </c>
      <c r="R18" t="inlineStr">
        <is>
          <t>Felicity Montagu</t>
        </is>
      </c>
      <c r="S18" t="inlineStr">
        <is>
          <t>Simon Greenall</t>
        </is>
      </c>
      <c r="T18" t="inlineStr">
        <is>
          <t>Anna Maxwell Martin</t>
        </is>
      </c>
      <c r="U18" s="71" t="n">
        <v>0</v>
      </c>
      <c r="V18" s="71" t="n">
        <v>0</v>
      </c>
      <c r="X18" s="82">
        <f>IFERROR(INDEX(Ratings!$E$5:$E$500,MATCH(A18,Ratings!$A$5:$A$500,0)),"")</f>
        <v/>
      </c>
      <c r="Y18" s="71">
        <f>IFERROR(INDEX(Ratings!$G$5:$G$500,MATCH(A18,Ratings!$A$5:$A$500,0)),"")</f>
        <v/>
      </c>
      <c r="Z18" s="83">
        <f>IFERROR(INDEX(Ratings!$I$5:$I$500,MATCH(A18,Ratings!$A$5:$A$500,0)),"")</f>
        <v/>
      </c>
    </row>
    <row r="19" ht="30" customHeight="1" s="95">
      <c r="A19" t="inlineStr">
        <is>
          <t>F0015</t>
        </is>
      </c>
      <c r="B19" t="inlineStr">
        <is>
          <t>Alien</t>
        </is>
      </c>
      <c r="C19" s="63" t="inlineStr">
        <is>
          <t>1979</t>
        </is>
      </c>
      <c r="D19" t="inlineStr">
        <is>
          <t>Blu-ray</t>
        </is>
      </c>
      <c r="E19" t="inlineStr">
        <is>
          <t>Alien</t>
        </is>
      </c>
      <c r="F19" s="64" t="n"/>
      <c r="I19" s="64" t="inlineStr">
        <is>
          <t>During its return to the earth, commercial spaceship Nostromo intercepts a distress signal from a distant planet. When a three-member team of the crew discovers a chamber containing thousands of eggs on the planet, a creature inside one of the eggs attacks an explorer. The entire crew is unaware of the impending nightmare set to descend upon them when the alien parasite planted inside its unfortunate host is birthed.</t>
        </is>
      </c>
      <c r="J19" s="64" t="inlineStr">
        <is>
          <t>Ridley Scott</t>
        </is>
      </c>
      <c r="K19" s="64" t="n">
        <v>117</v>
      </c>
      <c r="L19" s="64" t="inlineStr">
        <is>
          <t>Horror, Science Fiction</t>
        </is>
      </c>
      <c r="M19" s="64" t="inlineStr">
        <is>
          <t>Brandywine Productions, 20th Century Fox</t>
        </is>
      </c>
      <c r="N19" s="64" t="inlineStr">
        <is>
          <t>https://huggingface.co/datasets/HenryWaltson/TMDB-IMDB-Movies-Dataset</t>
        </is>
      </c>
      <c r="O19" s="64" t="inlineStr">
        <is>
          <t>https://huggingface.co/datasets/HenryWaltson/TMDB-IMDB-Movies-Dataset</t>
        </is>
      </c>
      <c r="P19" t="inlineStr">
        <is>
          <t>Tom Skerritt</t>
        </is>
      </c>
      <c r="Q19" t="inlineStr">
        <is>
          <t>Sigourney Weaver</t>
        </is>
      </c>
      <c r="R19" t="inlineStr">
        <is>
          <t>Veronica Cartwright</t>
        </is>
      </c>
      <c r="S19" t="inlineStr">
        <is>
          <t>Harry Dean Stanton</t>
        </is>
      </c>
      <c r="T19" t="inlineStr">
        <is>
          <t>John Hurt</t>
        </is>
      </c>
      <c r="U19" s="71" t="n">
        <v>2</v>
      </c>
      <c r="V19" s="71" t="n">
        <v>1</v>
      </c>
      <c r="X19" s="82">
        <f>IFERROR(INDEX(Ratings!$E$5:$E$500,MATCH(A19,Ratings!$A$5:$A$500,0)),"")</f>
        <v/>
      </c>
      <c r="Y19" s="71">
        <f>IFERROR(INDEX(Ratings!$G$5:$G$500,MATCH(A19,Ratings!$A$5:$A$500,0)),"")</f>
        <v/>
      </c>
      <c r="Z19" s="83">
        <f>IFERROR(INDEX(Ratings!$I$5:$I$500,MATCH(A19,Ratings!$A$5:$A$500,0)),"")</f>
        <v/>
      </c>
    </row>
    <row r="20" ht="30" customHeight="1" s="95">
      <c r="A20" t="inlineStr">
        <is>
          <t>F0016</t>
        </is>
      </c>
      <c r="B20" t="inlineStr">
        <is>
          <t>Aliens</t>
        </is>
      </c>
      <c r="C20" s="63" t="inlineStr">
        <is>
          <t>1986</t>
        </is>
      </c>
      <c r="D20" t="inlineStr">
        <is>
          <t>Blu-ray</t>
        </is>
      </c>
      <c r="E20" t="inlineStr">
        <is>
          <t>Alien</t>
        </is>
      </c>
      <c r="F20" s="64" t="n"/>
      <c r="I20" s="64" t="inlineStr">
        <is>
          <t>Ripley, the sole survivor of the Nostromo's deadly encounter with the monstrous Alien, returns to Earth after drifting through space in hypersleep for 57 years. Although her story is initially met with skepticism, she agrees to accompany a team of Colonial Marines back to LV-426.</t>
        </is>
      </c>
      <c r="J20" s="64" t="inlineStr">
        <is>
          <t>James Cameron</t>
        </is>
      </c>
      <c r="K20" s="64" t="n">
        <v>137</v>
      </c>
      <c r="L20" s="64" t="inlineStr">
        <is>
          <t>Action, Thriller, Science Fiction</t>
        </is>
      </c>
      <c r="M20" s="64" t="inlineStr">
        <is>
          <t>Brandywine Productions, SLM Production Group, 20th Century Fox</t>
        </is>
      </c>
      <c r="N20" s="64" t="inlineStr">
        <is>
          <t>https://huggingface.co/datasets/HenryWaltson/TMDB-IMDB-Movies-Dataset</t>
        </is>
      </c>
      <c r="O20" s="64" t="inlineStr">
        <is>
          <t>https://huggingface.co/datasets/HenryWaltson/TMDB-IMDB-Movies-Dataset</t>
        </is>
      </c>
      <c r="P20" t="inlineStr">
        <is>
          <t>Sigourney Weaver</t>
        </is>
      </c>
      <c r="Q20" t="inlineStr">
        <is>
          <t>Carrie Henn</t>
        </is>
      </c>
      <c r="R20" t="inlineStr">
        <is>
          <t>Michael Biehn</t>
        </is>
      </c>
      <c r="S20" t="inlineStr">
        <is>
          <t>Paul Reiser</t>
        </is>
      </c>
      <c r="T20" t="inlineStr">
        <is>
          <t>Lance Henriksen</t>
        </is>
      </c>
      <c r="U20" s="71" t="n">
        <v>7</v>
      </c>
      <c r="V20" s="71" t="n">
        <v>2</v>
      </c>
      <c r="X20" s="82">
        <f>IFERROR(INDEX(Ratings!$E$5:$E$500,MATCH(A20,Ratings!$A$5:$A$500,0)),"")</f>
        <v/>
      </c>
      <c r="Y20" s="71">
        <f>IFERROR(INDEX(Ratings!$G$5:$G$500,MATCH(A20,Ratings!$A$5:$A$500,0)),"")</f>
        <v/>
      </c>
      <c r="Z20" s="83">
        <f>IFERROR(INDEX(Ratings!$I$5:$I$500,MATCH(A20,Ratings!$A$5:$A$500,0)),"")</f>
        <v/>
      </c>
    </row>
    <row r="21" ht="15.75" customHeight="1" s="95">
      <c r="A21" t="inlineStr">
        <is>
          <t>F0017</t>
        </is>
      </c>
      <c r="B21" t="inlineStr">
        <is>
          <t>Alien³</t>
        </is>
      </c>
      <c r="C21" s="63" t="inlineStr">
        <is>
          <t>1992</t>
        </is>
      </c>
      <c r="D21" t="inlineStr">
        <is>
          <t>Blu-ray</t>
        </is>
      </c>
      <c r="E21" t="inlineStr">
        <is>
          <t>Alien</t>
        </is>
      </c>
      <c r="F21" s="64" t="n"/>
      <c r="I21" s="64" t="inlineStr">
        <is>
          <t>After escaping with Newt and Hicks from the alien planet, Ripley crash lands on Fiorina 161, a prison planet and host to a correctional facility. Unfortunately, although Newt and Hicks do not survive the crash, a more unwelcome visitor does. The prison does not allow weapons of any kind, and with aid being a long time away, the prisoners must simply survive in any way they can.</t>
        </is>
      </c>
      <c r="J21" s="64" t="inlineStr">
        <is>
          <t>David Fincher</t>
        </is>
      </c>
      <c r="K21" s="64" t="n">
        <v>114</v>
      </c>
      <c r="L21" s="64" t="inlineStr">
        <is>
          <t>Science Fiction, Horror, Action</t>
        </is>
      </c>
      <c r="M21" s="64" t="inlineStr">
        <is>
          <t>20th Century Fox, Brandywine Productions</t>
        </is>
      </c>
      <c r="N21" s="64" t="inlineStr">
        <is>
          <t>https://huggingface.co/datasets/HenryWaltson/TMDB-IMDB-Movies-Dataset</t>
        </is>
      </c>
      <c r="O21" s="64" t="inlineStr">
        <is>
          <t>https://huggingface.co/datasets/HenryWaltson/TMDB-IMDB-Movies-Dataset</t>
        </is>
      </c>
      <c r="P21" t="inlineStr">
        <is>
          <t>Sigourney Weaver</t>
        </is>
      </c>
      <c r="Q21" t="inlineStr">
        <is>
          <t>Charles S. Dutton</t>
        </is>
      </c>
      <c r="R21" t="inlineStr">
        <is>
          <t>Charles Dance</t>
        </is>
      </c>
      <c r="S21" t="inlineStr">
        <is>
          <t>Paul McGann</t>
        </is>
      </c>
      <c r="T21" t="inlineStr">
        <is>
          <t>Brian Glover</t>
        </is>
      </c>
      <c r="U21" s="71" t="n">
        <v>0</v>
      </c>
      <c r="V21" s="71" t="n">
        <v>0</v>
      </c>
      <c r="X21" s="82">
        <f>IFERROR(INDEX(Ratings!$E$5:$E$500,MATCH(A21,Ratings!$A$5:$A$500,0)),"")</f>
        <v/>
      </c>
      <c r="Y21" s="71">
        <f>IFERROR(INDEX(Ratings!$G$5:$G$500,MATCH(A21,Ratings!$A$5:$A$500,0)),"")</f>
        <v/>
      </c>
      <c r="Z21" s="83">
        <f>IFERROR(INDEX(Ratings!$I$5:$I$500,MATCH(A21,Ratings!$A$5:$A$500,0)),"")</f>
        <v/>
      </c>
    </row>
    <row r="22" ht="15.75" customHeight="1" s="95">
      <c r="A22" t="inlineStr">
        <is>
          <t>F0018</t>
        </is>
      </c>
      <c r="B22" t="inlineStr">
        <is>
          <t>Alien Resurrection</t>
        </is>
      </c>
      <c r="C22" s="63" t="inlineStr">
        <is>
          <t>1997</t>
        </is>
      </c>
      <c r="D22" t="inlineStr">
        <is>
          <t>Blu-ray</t>
        </is>
      </c>
      <c r="E22" t="inlineStr">
        <is>
          <t>Alien</t>
        </is>
      </c>
      <c r="F22" s="64" t="n"/>
      <c r="I22" s="64" t="inlineStr">
        <is>
          <t>Two hundred years after Lt. Ripley died, a group of scientists clone her, hoping to breed the ultimate weapon. But the new Ripley is full of surprises … as are the new aliens. Ripley must team with a band of smugglers to keep the creatures from reaching Earth.</t>
        </is>
      </c>
      <c r="J22" s="64" t="inlineStr">
        <is>
          <t>Jean-Pierre Jeunet</t>
        </is>
      </c>
      <c r="K22" s="64" t="n">
        <v>109</v>
      </c>
      <c r="L22" s="64" t="inlineStr">
        <is>
          <t>Science Fiction, Horror, Action</t>
        </is>
      </c>
      <c r="M22" s="64" t="inlineStr">
        <is>
          <t>Brandywine Productions, 20th Century Fox</t>
        </is>
      </c>
      <c r="N22" s="64" t="inlineStr">
        <is>
          <t>https://huggingface.co/datasets/HenryWaltson/TMDB-IMDB-Movies-Dataset</t>
        </is>
      </c>
      <c r="O22" s="64" t="inlineStr">
        <is>
          <t>https://huggingface.co/datasets/HenryWaltson/TMDB-IMDB-Movies-Dataset</t>
        </is>
      </c>
      <c r="P22" t="inlineStr">
        <is>
          <t>Sigourney Weaver</t>
        </is>
      </c>
      <c r="Q22" t="inlineStr">
        <is>
          <t>Winona Ryder</t>
        </is>
      </c>
      <c r="R22" t="inlineStr">
        <is>
          <t>Dominique Pinon</t>
        </is>
      </c>
      <c r="S22" t="inlineStr">
        <is>
          <t>Ron Perlman</t>
        </is>
      </c>
      <c r="T22" t="inlineStr">
        <is>
          <t>Gary Dourdan</t>
        </is>
      </c>
      <c r="U22" s="71" t="n">
        <v>0</v>
      </c>
      <c r="V22" s="71" t="n">
        <v>0</v>
      </c>
      <c r="X22" s="82">
        <f>IFERROR(INDEX(Ratings!$E$5:$E$500,MATCH(A22,Ratings!$A$5:$A$500,0)),"")</f>
        <v/>
      </c>
      <c r="Y22" s="71">
        <f>IFERROR(INDEX(Ratings!$G$5:$G$500,MATCH(A22,Ratings!$A$5:$A$500,0)),"")</f>
        <v/>
      </c>
      <c r="Z22" s="83">
        <f>IFERROR(INDEX(Ratings!$I$5:$I$500,MATCH(A22,Ratings!$A$5:$A$500,0)),"")</f>
        <v/>
      </c>
    </row>
    <row r="23" ht="15.75" customHeight="1" s="95">
      <c r="A23" t="inlineStr">
        <is>
          <t>F0019</t>
        </is>
      </c>
      <c r="B23" t="inlineStr">
        <is>
          <t>The Amazing Spider-Man</t>
        </is>
      </c>
      <c r="C23" s="63" t="inlineStr">
        <is>
          <t>2012</t>
        </is>
      </c>
      <c r="D23" t="inlineStr">
        <is>
          <t>Blu-ray</t>
        </is>
      </c>
      <c r="E23" t="inlineStr">
        <is>
          <t>Spider-Man</t>
        </is>
      </c>
      <c r="F23" s="64" t="n"/>
      <c r="I23" s="64" t="inlineStr">
        <is>
          <t>A teenage Peter Parker grapples with both high school and amazing super-human crises as his alter-ego Spider-Man.</t>
        </is>
      </c>
      <c r="J23" s="64" t="inlineStr">
        <is>
          <t>Marc Webb</t>
        </is>
      </c>
      <c r="K23" s="64" t="n">
        <v>136</v>
      </c>
      <c r="L23" s="64" t="inlineStr">
        <is>
          <t>Action, Adventure, Fantasy</t>
        </is>
      </c>
      <c r="M23" s="64" t="inlineStr">
        <is>
          <t>Marvel Entertainment, Laura Ziskin Productions, Columbia Pictures</t>
        </is>
      </c>
      <c r="N23" s="64" t="inlineStr">
        <is>
          <t>https://huggingface.co/datasets/HenryWaltson/TMDB-IMDB-Movies-Dataset</t>
        </is>
      </c>
      <c r="O23" s="64" t="inlineStr">
        <is>
          <t>https://huggingface.co/datasets/HenryWaltson/TMDB-IMDB-Movies-Dataset</t>
        </is>
      </c>
      <c r="P23" t="inlineStr">
        <is>
          <t>Andrew Garfield</t>
        </is>
      </c>
      <c r="Q23" t="inlineStr">
        <is>
          <t>Emma Stone</t>
        </is>
      </c>
      <c r="R23" t="inlineStr">
        <is>
          <t>Rhys Ifans</t>
        </is>
      </c>
      <c r="S23" t="inlineStr">
        <is>
          <t>Denis Leary</t>
        </is>
      </c>
      <c r="T23" t="inlineStr">
        <is>
          <t>Martin Sheen</t>
        </is>
      </c>
      <c r="U23" s="71" t="n">
        <v>0</v>
      </c>
      <c r="V23" s="71" t="n">
        <v>0</v>
      </c>
      <c r="X23" s="82">
        <f>IFERROR(INDEX(Ratings!$E$5:$E$500,MATCH(A23,Ratings!$A$5:$A$500,0)),"")</f>
        <v/>
      </c>
      <c r="Y23" s="71">
        <f>IFERROR(INDEX(Ratings!$G$5:$G$500,MATCH(A23,Ratings!$A$5:$A$500,0)),"")</f>
        <v/>
      </c>
      <c r="Z23" s="83">
        <f>IFERROR(INDEX(Ratings!$I$5:$I$500,MATCH(A23,Ratings!$A$5:$A$500,0)),"")</f>
        <v/>
      </c>
    </row>
    <row r="24" ht="15.75" customHeight="1" s="95">
      <c r="A24" t="inlineStr">
        <is>
          <t>F0020</t>
        </is>
      </c>
      <c r="B24" t="inlineStr">
        <is>
          <t>American Hustle</t>
        </is>
      </c>
      <c r="C24" s="63" t="inlineStr">
        <is>
          <t>2013</t>
        </is>
      </c>
      <c r="D24" t="inlineStr">
        <is>
          <t>Blu-ray</t>
        </is>
      </c>
      <c r="F24" s="64" t="n"/>
      <c r="I24" s="64" t="inlineStr">
        <is>
          <t>A conman and his seductive partner are forced to work for a wild FBI agent, who pushes them into a world of Jersey power-brokers and the Mafia.</t>
        </is>
      </c>
      <c r="J24" s="64" t="inlineStr">
        <is>
          <t>David O. Russell</t>
        </is>
      </c>
      <c r="K24" s="64" t="n">
        <v>138</v>
      </c>
      <c r="L24" s="64" t="inlineStr">
        <is>
          <t>Drama, Crime</t>
        </is>
      </c>
      <c r="M24" s="64" t="inlineStr">
        <is>
          <t>Annapurna Pictures, Atlas Entertainment, Columbia Pictures</t>
        </is>
      </c>
      <c r="N24" s="64" t="inlineStr">
        <is>
          <t>https://huggingface.co/datasets/HenryWaltson/TMDB-IMDB-Movies-Dataset</t>
        </is>
      </c>
      <c r="O24" s="64" t="inlineStr">
        <is>
          <t>https://huggingface.co/datasets/HenryWaltson/TMDB-IMDB-Movies-Dataset</t>
        </is>
      </c>
      <c r="P24" t="inlineStr">
        <is>
          <t>Christian Bale</t>
        </is>
      </c>
      <c r="Q24" t="inlineStr">
        <is>
          <t>Bradley Cooper</t>
        </is>
      </c>
      <c r="R24" t="inlineStr">
        <is>
          <t>Amy Adams</t>
        </is>
      </c>
      <c r="S24" t="inlineStr">
        <is>
          <t>Jeremy Renner</t>
        </is>
      </c>
      <c r="T24" t="inlineStr">
        <is>
          <t>Jennifer Lawrence</t>
        </is>
      </c>
      <c r="U24" s="71" t="n">
        <v>10</v>
      </c>
      <c r="V24" s="71" t="n">
        <v>0</v>
      </c>
      <c r="W24" t="inlineStr">
        <is>
          <t>Nominated</t>
        </is>
      </c>
      <c r="X24" s="82">
        <f>IFERROR(INDEX(Ratings!$E$5:$E$500,MATCH(A24,Ratings!$A$5:$A$500,0)),"")</f>
        <v/>
      </c>
      <c r="Y24" s="71">
        <f>IFERROR(INDEX(Ratings!$G$5:$G$500,MATCH(A24,Ratings!$A$5:$A$500,0)),"")</f>
        <v/>
      </c>
      <c r="Z24" s="83">
        <f>IFERROR(INDEX(Ratings!$I$5:$I$500,MATCH(A24,Ratings!$A$5:$A$500,0)),"")</f>
        <v/>
      </c>
    </row>
    <row r="25" ht="15.75" customHeight="1" s="95">
      <c r="A25" t="inlineStr">
        <is>
          <t>F0021</t>
        </is>
      </c>
      <c r="B25" t="inlineStr">
        <is>
          <t>A Million Ways to Die in the West</t>
        </is>
      </c>
      <c r="C25" s="63" t="inlineStr">
        <is>
          <t>2014</t>
        </is>
      </c>
      <c r="D25" t="inlineStr">
        <is>
          <t>Blu-ray</t>
        </is>
      </c>
      <c r="F25" s="64" t="n"/>
      <c r="I25" s="64" t="inlineStr">
        <is>
          <t>As a cowardly farmer begins to fall for the mysterious new woman in town, he must put his new-found courage to the test when her husband, a notorious gun-slinger, announces his arrival.</t>
        </is>
      </c>
      <c r="J25" s="64" t="inlineStr">
        <is>
          <t>Seth MacFarlane</t>
        </is>
      </c>
      <c r="K25" s="64" t="n">
        <v>116</v>
      </c>
      <c r="L25" s="64" t="inlineStr">
        <is>
          <t>Comedy, Western</t>
        </is>
      </c>
      <c r="M25" s="64" t="inlineStr">
        <is>
          <t>RGB Media, Fuzzy Door Productions, MRC</t>
        </is>
      </c>
      <c r="N25" s="64" t="inlineStr">
        <is>
          <t>https://huggingface.co/datasets/HenryWaltson/TMDB-IMDB-Movies-Dataset</t>
        </is>
      </c>
      <c r="O25" s="64" t="inlineStr">
        <is>
          <t>https://huggingface.co/datasets/HenryWaltson/TMDB-IMDB-Movies-Dataset</t>
        </is>
      </c>
      <c r="P25" t="inlineStr">
        <is>
          <t>Seth MacFarlane</t>
        </is>
      </c>
      <c r="Q25" t="inlineStr">
        <is>
          <t>Charlize Theron</t>
        </is>
      </c>
      <c r="R25" t="inlineStr">
        <is>
          <t>Amanda Seyfried</t>
        </is>
      </c>
      <c r="S25" t="inlineStr">
        <is>
          <t>Liam Neeson</t>
        </is>
      </c>
      <c r="T25" t="inlineStr">
        <is>
          <t>Giovanni Ribisi</t>
        </is>
      </c>
      <c r="U25" s="71" t="n">
        <v>0</v>
      </c>
      <c r="V25" s="71" t="n">
        <v>0</v>
      </c>
      <c r="X25" s="82">
        <f>IFERROR(INDEX(Ratings!$E$5:$E$500,MATCH(A25,Ratings!$A$5:$A$500,0)),"")</f>
        <v/>
      </c>
      <c r="Y25" s="71">
        <f>IFERROR(INDEX(Ratings!$G$5:$G$500,MATCH(A25,Ratings!$A$5:$A$500,0)),"")</f>
        <v/>
      </c>
      <c r="Z25" s="83">
        <f>IFERROR(INDEX(Ratings!$I$5:$I$500,MATCH(A25,Ratings!$A$5:$A$500,0)),"")</f>
        <v/>
      </c>
    </row>
    <row r="26" ht="15.75" customHeight="1" s="95">
      <c r="A26" t="inlineStr">
        <is>
          <t>F0022</t>
        </is>
      </c>
      <c r="B26" t="inlineStr">
        <is>
          <t>Anchorman: The Legend of Ron Burgundy</t>
        </is>
      </c>
      <c r="C26" s="63" t="inlineStr">
        <is>
          <t>2004</t>
        </is>
      </c>
      <c r="D26" t="inlineStr">
        <is>
          <t>Blu-ray</t>
        </is>
      </c>
      <c r="E26" t="inlineStr">
        <is>
          <t>Anchorman</t>
        </is>
      </c>
      <c r="F26" s="64" t="n"/>
      <c r="I26" s="64" t="inlineStr">
        <is>
          <t>It's the 1970s and San Diego anchorman Ron Burgundy is the top dog in local TV, but that's all about to change when ambitious reporter Veronica Corningstone arrives as a new employee at his station.</t>
        </is>
      </c>
      <c r="J26" s="64" t="inlineStr">
        <is>
          <t>Adam McKay</t>
        </is>
      </c>
      <c r="K26" s="64" t="n">
        <v>95</v>
      </c>
      <c r="L26" s="64" t="inlineStr">
        <is>
          <t>Comedy</t>
        </is>
      </c>
      <c r="M26" s="64" t="inlineStr">
        <is>
          <t>DreamWorks Pictures, Apatow Productions</t>
        </is>
      </c>
      <c r="N26" s="64" t="inlineStr">
        <is>
          <t>https://huggingface.co/datasets/HenryWaltson/TMDB-IMDB-Movies-Dataset</t>
        </is>
      </c>
      <c r="O26" s="64" t="inlineStr">
        <is>
          <t>https://huggingface.co/datasets/HenryWaltson/TMDB-IMDB-Movies-Dataset</t>
        </is>
      </c>
      <c r="P26" t="inlineStr">
        <is>
          <t>Will Ferrell</t>
        </is>
      </c>
      <c r="Q26" t="inlineStr">
        <is>
          <t>Christina Applegate</t>
        </is>
      </c>
      <c r="R26" t="inlineStr">
        <is>
          <t>Paul Rudd</t>
        </is>
      </c>
      <c r="S26" t="inlineStr">
        <is>
          <t>Steve Carell</t>
        </is>
      </c>
      <c r="T26" t="inlineStr">
        <is>
          <t>David Koechner</t>
        </is>
      </c>
      <c r="U26" s="71" t="n">
        <v>0</v>
      </c>
      <c r="V26" s="71" t="n">
        <v>0</v>
      </c>
      <c r="X26" s="82">
        <f>IFERROR(INDEX(Ratings!$E$5:$E$500,MATCH(A26,Ratings!$A$5:$A$500,0)),"")</f>
        <v/>
      </c>
      <c r="Y26" s="71">
        <f>IFERROR(INDEX(Ratings!$G$5:$G$500,MATCH(A26,Ratings!$A$5:$A$500,0)),"")</f>
        <v/>
      </c>
      <c r="Z26" s="83">
        <f>IFERROR(INDEX(Ratings!$I$5:$I$500,MATCH(A26,Ratings!$A$5:$A$500,0)),"")</f>
        <v/>
      </c>
    </row>
    <row r="27" ht="17.25" customHeight="1" s="95">
      <c r="A27" t="inlineStr">
        <is>
          <t>F0023</t>
        </is>
      </c>
      <c r="B27" t="inlineStr">
        <is>
          <t>Angels &amp; Demons</t>
        </is>
      </c>
      <c r="C27" s="63" t="inlineStr">
        <is>
          <t>2009</t>
        </is>
      </c>
      <c r="D27" t="inlineStr">
        <is>
          <t>Blu-ray</t>
        </is>
      </c>
      <c r="F27" s="64" t="n"/>
      <c r="I27" s="64" t="inlineStr">
        <is>
          <t>Harvard symbologist Robert Langdon is recruited by the Vatican to investigate the apparent return of the Illuminati – a secret, underground organization – after four cardinals are kidnapped on the night of the papal conclave.</t>
        </is>
      </c>
      <c r="J27" s="64" t="inlineStr">
        <is>
          <t>Ron Howard</t>
        </is>
      </c>
      <c r="K27" s="64" t="n">
        <v>138</v>
      </c>
      <c r="L27" s="64" t="inlineStr">
        <is>
          <t>Thriller, Mystery</t>
        </is>
      </c>
      <c r="M27" s="64" t="inlineStr">
        <is>
          <t>Columbia Pictures, Imagine Entertainment, Skylark Productions</t>
        </is>
      </c>
      <c r="N27" s="64" t="inlineStr">
        <is>
          <t>https://huggingface.co/datasets/HenryWaltson/TMDB-IMDB-Movies-Dataset</t>
        </is>
      </c>
      <c r="O27" s="64" t="inlineStr">
        <is>
          <t>https://huggingface.co/datasets/HenryWaltson/TMDB-IMDB-Movies-Dataset</t>
        </is>
      </c>
      <c r="P27" t="inlineStr">
        <is>
          <t>Tom Hanks</t>
        </is>
      </c>
      <c r="Q27" t="inlineStr">
        <is>
          <t>Ewan McGregor</t>
        </is>
      </c>
      <c r="R27" t="inlineStr">
        <is>
          <t>Ayelet Zurer</t>
        </is>
      </c>
      <c r="S27" t="inlineStr">
        <is>
          <t>Stellan Skarsgård</t>
        </is>
      </c>
      <c r="T27" t="inlineStr">
        <is>
          <t>Pierfrancesco Favino</t>
        </is>
      </c>
      <c r="U27" s="71" t="n">
        <v>0</v>
      </c>
      <c r="V27" s="71" t="n">
        <v>0</v>
      </c>
      <c r="X27" s="82">
        <f>IFERROR(INDEX(Ratings!$E$5:$E$500,MATCH(A27,Ratings!$A$5:$A$500,0)),"")</f>
        <v/>
      </c>
      <c r="Y27" s="71">
        <f>IFERROR(INDEX(Ratings!$G$5:$G$500,MATCH(A27,Ratings!$A$5:$A$500,0)),"")</f>
        <v/>
      </c>
      <c r="Z27" s="83">
        <f>IFERROR(INDEX(Ratings!$I$5:$I$500,MATCH(A27,Ratings!$A$5:$A$500,0)),"")</f>
        <v/>
      </c>
    </row>
    <row r="28" ht="15.75" customHeight="1" s="95">
      <c r="A28" t="inlineStr">
        <is>
          <t>F0024</t>
        </is>
      </c>
      <c r="B28" t="inlineStr">
        <is>
          <t>Anuvahood</t>
        </is>
      </c>
      <c r="C28" s="63" t="inlineStr">
        <is>
          <t>2011</t>
        </is>
      </c>
      <c r="D28" t="inlineStr">
        <is>
          <t>Blu-ray</t>
        </is>
      </c>
      <c r="F28" s="64" t="n"/>
      <c r="I28" s="64" t="inlineStr">
        <is>
          <t>Kenneth (who likes to call himself Kay) begins to realise he's just another wannabe bad boy... even less than a loser in fact. After quitting his job at Laimsbury's, Kay vows to become a respected gangster... or cry trying. A pulls-no-punches, coming-of-age story, centering on one directionless hopeless "shotter", who finds his true worth in the face of urban adversity.</t>
        </is>
      </c>
      <c r="J28" s="64" t="inlineStr">
        <is>
          <t>Adam Deacon, Daniel Toland</t>
        </is>
      </c>
      <c r="K28" s="64" t="n">
        <v>88</v>
      </c>
      <c r="L28" s="64" t="inlineStr">
        <is>
          <t>Comedy</t>
        </is>
      </c>
      <c r="M28" s="64" t="inlineStr">
        <is>
          <t>Gunslinger, Gateway Films, Cabin Fever Films</t>
        </is>
      </c>
      <c r="N28" s="64" t="inlineStr">
        <is>
          <t>https://huggingface.co/datasets/HenryWaltson/TMDB-IMDB-Movies-Dataset</t>
        </is>
      </c>
      <c r="O28" s="64" t="inlineStr">
        <is>
          <t>https://huggingface.co/datasets/HenryWaltson/TMDB-IMDB-Movies-Dataset</t>
        </is>
      </c>
      <c r="P28" t="inlineStr">
        <is>
          <t>Adam Deacon</t>
        </is>
      </c>
      <c r="Q28" t="inlineStr">
        <is>
          <t>Ollie Barbieri</t>
        </is>
      </c>
      <c r="R28" t="inlineStr">
        <is>
          <t>Jazzie Zonzolo</t>
        </is>
      </c>
      <c r="S28" t="inlineStr">
        <is>
          <t>Richie Campbell</t>
        </is>
      </c>
      <c r="T28" t="inlineStr">
        <is>
          <t>Jaime Winstone</t>
        </is>
      </c>
      <c r="U28" s="71" t="n">
        <v>0</v>
      </c>
      <c r="V28" s="71" t="n">
        <v>0</v>
      </c>
      <c r="X28" s="82">
        <f>IFERROR(INDEX(Ratings!$E$5:$E$500,MATCH(A28,Ratings!$A$5:$A$500,0)),"")</f>
        <v/>
      </c>
      <c r="Y28" s="71">
        <f>IFERROR(INDEX(Ratings!$G$5:$G$500,MATCH(A28,Ratings!$A$5:$A$500,0)),"")</f>
        <v/>
      </c>
      <c r="Z28" s="83">
        <f>IFERROR(INDEX(Ratings!$I$5:$I$500,MATCH(A28,Ratings!$A$5:$A$500,0)),"")</f>
        <v/>
      </c>
    </row>
    <row r="29" ht="15.75" customHeight="1" s="95">
      <c r="A29" t="inlineStr">
        <is>
          <t>F0025</t>
        </is>
      </c>
      <c r="B29" t="inlineStr">
        <is>
          <t>Argo</t>
        </is>
      </c>
      <c r="C29" s="63" t="inlineStr">
        <is>
          <t>2012</t>
        </is>
      </c>
      <c r="D29" t="inlineStr">
        <is>
          <t>Blu-ray</t>
        </is>
      </c>
      <c r="F29" s="64" t="n"/>
      <c r="I29" s="64" t="inlineStr">
        <is>
          <t>As the Iranian revolution reaches a boiling point, a CIA 'exfiltration' specialist concocts a risky plan to free six Americans who have found shelter at the home of the Canadian ambassador.</t>
        </is>
      </c>
      <c r="J29" s="64" t="inlineStr">
        <is>
          <t>Ben Affleck</t>
        </is>
      </c>
      <c r="K29" s="64" t="n">
        <v>120</v>
      </c>
      <c r="L29" s="64" t="inlineStr">
        <is>
          <t>Drama, Thriller</t>
        </is>
      </c>
      <c r="M29" s="64" t="inlineStr">
        <is>
          <t>GK Films, Warner Bros. Pictures, Smoke House Pictures</t>
        </is>
      </c>
      <c r="N29" s="64" t="inlineStr">
        <is>
          <t>https://huggingface.co/datasets/HenryWaltson/TMDB-IMDB-Movies-Dataset</t>
        </is>
      </c>
      <c r="O29" s="64" t="inlineStr">
        <is>
          <t>https://huggingface.co/datasets/HenryWaltson/TMDB-IMDB-Movies-Dataset</t>
        </is>
      </c>
      <c r="P29" t="inlineStr">
        <is>
          <t>Ben Affleck</t>
        </is>
      </c>
      <c r="Q29" t="inlineStr">
        <is>
          <t>Bryan Cranston</t>
        </is>
      </c>
      <c r="R29" t="inlineStr">
        <is>
          <t>Alan Arkin</t>
        </is>
      </c>
      <c r="S29" t="inlineStr">
        <is>
          <t>John Goodman</t>
        </is>
      </c>
      <c r="T29" t="inlineStr">
        <is>
          <t>Victor Garber</t>
        </is>
      </c>
      <c r="U29" s="71" t="n">
        <v>7</v>
      </c>
      <c r="V29" s="71" t="n">
        <v>3</v>
      </c>
      <c r="W29" t="inlineStr">
        <is>
          <t>Winner</t>
        </is>
      </c>
      <c r="X29" s="82">
        <f>IFERROR(INDEX(Ratings!$E$5:$E$500,MATCH(A29,Ratings!$A$5:$A$500,0)),"")</f>
        <v/>
      </c>
      <c r="Y29" s="71">
        <f>IFERROR(INDEX(Ratings!$G$5:$G$500,MATCH(A29,Ratings!$A$5:$A$500,0)),"")</f>
        <v/>
      </c>
      <c r="Z29" s="83">
        <f>IFERROR(INDEX(Ratings!$I$5:$I$500,MATCH(A29,Ratings!$A$5:$A$500,0)),"")</f>
        <v/>
      </c>
    </row>
    <row r="30" ht="15.75" customHeight="1" s="95">
      <c r="A30" t="inlineStr">
        <is>
          <t>F0026</t>
        </is>
      </c>
      <c r="B30" t="inlineStr">
        <is>
          <t>The A-Team</t>
        </is>
      </c>
      <c r="C30" s="63" t="inlineStr">
        <is>
          <t>2010</t>
        </is>
      </c>
      <c r="D30" t="inlineStr">
        <is>
          <t>Blu-ray</t>
        </is>
      </c>
      <c r="F30" s="64" t="n"/>
      <c r="I30" s="64" t="inlineStr">
        <is>
          <t>A man who loves when a plan comes together, Col. Hannibal Smith leads a close-knit team of elite operatives and Iraq War veterans. Framed for a crime they didn't commit, Smith and his men, Capt. H.M. ‘Howling Mad’ Murdock , Sgt. Bosco ‘B.A.’ Baracus, and Lt. Templeton ‘Faceman’ Peck, break out and go rogue, using their special talents to clear their names and find the perpetrator. Hot on their trail is Capt. Charissa Sosa, who was once involved with a member of Smith's team and has sworn to capture them, no matter what it takes.</t>
        </is>
      </c>
      <c r="J30" s="64" t="inlineStr">
        <is>
          <t>Joe Carnahan</t>
        </is>
      </c>
      <c r="K30" s="64" t="n">
        <v>117</v>
      </c>
      <c r="L30" s="64" t="inlineStr">
        <is>
          <t>Thriller, Action, Adventure, Comedy, Crime</t>
        </is>
      </c>
      <c r="M30" s="64" t="inlineStr">
        <is>
          <t>Phoenix Film Partners, Dune Entertainment, Stephen J. Cannell Productions</t>
        </is>
      </c>
      <c r="N30" s="64" t="inlineStr">
        <is>
          <t>https://huggingface.co/datasets/HenryWaltson/TMDB-IMDB-Movies-Dataset</t>
        </is>
      </c>
      <c r="O30" s="64" t="inlineStr">
        <is>
          <t>https://huggingface.co/datasets/HenryWaltson/TMDB-IMDB-Movies-Dataset</t>
        </is>
      </c>
      <c r="P30" t="inlineStr">
        <is>
          <t>Liam Neeson</t>
        </is>
      </c>
      <c r="Q30" t="inlineStr">
        <is>
          <t>Bradley Cooper</t>
        </is>
      </c>
      <c r="R30" t="inlineStr">
        <is>
          <t>Jessica Biel</t>
        </is>
      </c>
      <c r="S30" t="inlineStr">
        <is>
          <t>Quinton 'Rampage' Jackson</t>
        </is>
      </c>
      <c r="T30" t="inlineStr">
        <is>
          <t>Sharlto Copley</t>
        </is>
      </c>
      <c r="U30" s="71" t="n">
        <v>0</v>
      </c>
      <c r="V30" s="71" t="n">
        <v>0</v>
      </c>
      <c r="X30" s="82">
        <f>IFERROR(INDEX(Ratings!$E$5:$E$500,MATCH(A30,Ratings!$A$5:$A$500,0)),"")</f>
        <v/>
      </c>
      <c r="Y30" s="71">
        <f>IFERROR(INDEX(Ratings!$G$5:$G$500,MATCH(A30,Ratings!$A$5:$A$500,0)),"")</f>
        <v/>
      </c>
      <c r="Z30" s="83">
        <f>IFERROR(INDEX(Ratings!$I$5:$I$500,MATCH(A30,Ratings!$A$5:$A$500,0)),"")</f>
        <v/>
      </c>
    </row>
    <row r="31" ht="15.75" customHeight="1" s="95">
      <c r="A31" t="inlineStr">
        <is>
          <t>F0027</t>
        </is>
      </c>
      <c r="B31" t="inlineStr">
        <is>
          <t>Attack the Block</t>
        </is>
      </c>
      <c r="C31" s="63" t="inlineStr">
        <is>
          <t>2011</t>
        </is>
      </c>
      <c r="D31" t="inlineStr">
        <is>
          <t>Blu-ray</t>
        </is>
      </c>
      <c r="F31" s="64" t="n"/>
      <c r="I31" s="64" t="inlineStr">
        <is>
          <t>A South London teen gang must team up with the other residents of their housing estate to protect the neighbourhood from a terrifying alien invasion.</t>
        </is>
      </c>
      <c r="J31" s="64" t="inlineStr">
        <is>
          <t>Joe Cornish</t>
        </is>
      </c>
      <c r="K31" s="64" t="n">
        <v>88</v>
      </c>
      <c r="L31" s="64" t="inlineStr">
        <is>
          <t>Action, Comedy, Science Fiction</t>
        </is>
      </c>
      <c r="M31" s="64" t="inlineStr">
        <is>
          <t>UK Film Council, Film4 Productions, StudioCanal</t>
        </is>
      </c>
      <c r="N31" s="64" t="inlineStr">
        <is>
          <t>https://huggingface.co/datasets/HenryWaltson/TMDB-IMDB-Movies-Dataset</t>
        </is>
      </c>
      <c r="O31" s="64" t="inlineStr">
        <is>
          <t>https://huggingface.co/datasets/HenryWaltson/TMDB-IMDB-Movies-Dataset</t>
        </is>
      </c>
      <c r="P31" t="inlineStr">
        <is>
          <t>John Boyega</t>
        </is>
      </c>
      <c r="Q31" t="inlineStr">
        <is>
          <t>Jodie Whittaker</t>
        </is>
      </c>
      <c r="R31" t="inlineStr">
        <is>
          <t>Nick Frost</t>
        </is>
      </c>
      <c r="S31" t="inlineStr">
        <is>
          <t>Alex Esmail</t>
        </is>
      </c>
      <c r="T31" t="inlineStr">
        <is>
          <t>Luke Treadaway</t>
        </is>
      </c>
      <c r="U31" s="71" t="n">
        <v>0</v>
      </c>
      <c r="V31" s="71" t="n">
        <v>0</v>
      </c>
      <c r="X31" s="82">
        <f>IFERROR(INDEX(Ratings!$E$5:$E$500,MATCH(A31,Ratings!$A$5:$A$500,0)),"")</f>
        <v/>
      </c>
      <c r="Y31" s="71">
        <f>IFERROR(INDEX(Ratings!$G$5:$G$500,MATCH(A31,Ratings!$A$5:$A$500,0)),"")</f>
        <v/>
      </c>
      <c r="Z31" s="83">
        <f>IFERROR(INDEX(Ratings!$I$5:$I$500,MATCH(A31,Ratings!$A$5:$A$500,0)),"")</f>
        <v/>
      </c>
    </row>
    <row r="32" ht="15.75" customHeight="1" s="95">
      <c r="A32" t="inlineStr">
        <is>
          <t>F0028</t>
        </is>
      </c>
      <c r="B32" t="inlineStr">
        <is>
          <t>Avatar</t>
        </is>
      </c>
      <c r="C32" s="63" t="inlineStr">
        <is>
          <t>2009</t>
        </is>
      </c>
      <c r="D32" t="inlineStr">
        <is>
          <t>Blu-ray</t>
        </is>
      </c>
      <c r="E32" t="inlineStr">
        <is>
          <t>Avatar</t>
        </is>
      </c>
      <c r="F32" s="64" t="n"/>
      <c r="I32" s="64" t="inlineStr">
        <is>
          <t>In the 22nd century, a paraplegic Marine is dispatched to the moon Pandora on a unique mission, but becomes torn between following orders and protecting an alien civilization.</t>
        </is>
      </c>
      <c r="J32" s="64" t="inlineStr">
        <is>
          <t>James Cameron</t>
        </is>
      </c>
      <c r="K32" s="64" t="n">
        <v>162</v>
      </c>
      <c r="L32" s="64" t="inlineStr">
        <is>
          <t>Action, Adventure, Fantasy, Science Fiction</t>
        </is>
      </c>
      <c r="M32" s="64" t="inlineStr">
        <is>
          <t>Dune Entertainment, Lightstorm Entertainment, 20th Century Fox</t>
        </is>
      </c>
      <c r="N32" s="64" t="inlineStr">
        <is>
          <t>https://huggingface.co/datasets/HenryWaltson/TMDB-IMDB-Movies-Dataset</t>
        </is>
      </c>
      <c r="O32" s="64" t="inlineStr">
        <is>
          <t>https://huggingface.co/datasets/HenryWaltson/TMDB-IMDB-Movies-Dataset</t>
        </is>
      </c>
      <c r="P32" t="inlineStr">
        <is>
          <t>Sam Worthington</t>
        </is>
      </c>
      <c r="Q32" t="inlineStr">
        <is>
          <t>Zoe Saldaña</t>
        </is>
      </c>
      <c r="R32" t="inlineStr">
        <is>
          <t>Sigourney Weaver</t>
        </is>
      </c>
      <c r="S32" t="inlineStr">
        <is>
          <t>Stephen Lang</t>
        </is>
      </c>
      <c r="T32" t="inlineStr">
        <is>
          <t>Michelle Rodriguez</t>
        </is>
      </c>
      <c r="U32" s="71" t="n">
        <v>9</v>
      </c>
      <c r="V32" s="71" t="n">
        <v>3</v>
      </c>
      <c r="W32" t="inlineStr">
        <is>
          <t>Nominated</t>
        </is>
      </c>
      <c r="X32" s="82">
        <f>IFERROR(INDEX(Ratings!$E$5:$E$500,MATCH(A32,Ratings!$A$5:$A$500,0)),"")</f>
        <v/>
      </c>
      <c r="Y32" s="71">
        <f>IFERROR(INDEX(Ratings!$G$5:$G$500,MATCH(A32,Ratings!$A$5:$A$500,0)),"")</f>
        <v/>
      </c>
      <c r="Z32" s="83">
        <f>IFERROR(INDEX(Ratings!$I$5:$I$500,MATCH(A32,Ratings!$A$5:$A$500,0)),"")</f>
        <v/>
      </c>
    </row>
    <row r="33" ht="15.75" customHeight="1" s="95">
      <c r="A33" t="inlineStr">
        <is>
          <t>F0029</t>
        </is>
      </c>
      <c r="B33" t="inlineStr">
        <is>
          <t>The Avengers</t>
        </is>
      </c>
      <c r="C33" s="63" t="inlineStr">
        <is>
          <t>2012</t>
        </is>
      </c>
      <c r="D33" t="inlineStr">
        <is>
          <t>Blu-ray</t>
        </is>
      </c>
      <c r="E33" t="inlineStr">
        <is>
          <t>MCU</t>
        </is>
      </c>
      <c r="F33" s="64" t="n"/>
      <c r="I33" s="64" t="inlineStr">
        <is>
          <t>When an unexpected enemy emerges and threatens global safety and security, Nick Fury, director of the international peacekeeping agency known as S.H.I.E.L.D., finds himself in need of a team to pull the world back from the brink of disaster. Spanning the globe, a daring recruitment effort begins!</t>
        </is>
      </c>
      <c r="J33" s="64" t="inlineStr">
        <is>
          <t>Joss Whedon</t>
        </is>
      </c>
      <c r="K33" s="64" t="n">
        <v>143</v>
      </c>
      <c r="L33" s="64" t="inlineStr">
        <is>
          <t>Science Fiction, Action, Adventure</t>
        </is>
      </c>
      <c r="M33" s="64" t="inlineStr">
        <is>
          <t>Marvel Studios</t>
        </is>
      </c>
      <c r="N33" s="64" t="inlineStr">
        <is>
          <t>https://huggingface.co/datasets/HenryWaltson/TMDB-IMDB-Movies-Dataset</t>
        </is>
      </c>
      <c r="O33" s="64" t="inlineStr">
        <is>
          <t>https://huggingface.co/datasets/HenryWaltson/TMDB-IMDB-Movies-Dataset</t>
        </is>
      </c>
      <c r="P33" t="inlineStr">
        <is>
          <t>Robert Downey Jr.</t>
        </is>
      </c>
      <c r="Q33" t="inlineStr">
        <is>
          <t>Chris Evans</t>
        </is>
      </c>
      <c r="R33" t="inlineStr">
        <is>
          <t>Mark Ruffalo</t>
        </is>
      </c>
      <c r="S33" t="inlineStr">
        <is>
          <t>Chris Hemsworth</t>
        </is>
      </c>
      <c r="T33" t="inlineStr">
        <is>
          <t>Scarlett Johansson</t>
        </is>
      </c>
      <c r="U33" s="71" t="n">
        <v>1</v>
      </c>
      <c r="V33" s="71" t="n">
        <v>0</v>
      </c>
      <c r="X33" s="82">
        <f>IFERROR(INDEX(Ratings!$E$5:$E$500,MATCH(A33,Ratings!$A$5:$A$500,0)),"")</f>
        <v/>
      </c>
      <c r="Y33" s="71">
        <f>IFERROR(INDEX(Ratings!$G$5:$G$500,MATCH(A33,Ratings!$A$5:$A$500,0)),"")</f>
        <v/>
      </c>
      <c r="Z33" s="83">
        <f>IFERROR(INDEX(Ratings!$I$5:$I$500,MATCH(A33,Ratings!$A$5:$A$500,0)),"")</f>
        <v/>
      </c>
    </row>
    <row r="34" ht="15.75" customHeight="1" s="95">
      <c r="A34" t="inlineStr">
        <is>
          <t>F0030</t>
        </is>
      </c>
      <c r="B34" t="inlineStr">
        <is>
          <t>Avengers: Infinity War</t>
        </is>
      </c>
      <c r="C34" s="63" t="inlineStr">
        <is>
          <t>2018</t>
        </is>
      </c>
      <c r="D34" t="inlineStr">
        <is>
          <t>4K UHD</t>
        </is>
      </c>
      <c r="E34" t="inlineStr">
        <is>
          <t>MCU</t>
        </is>
      </c>
      <c r="F34" s="64" t="n"/>
      <c r="I34" s="64" t="inlineStr">
        <is>
          <t>As the Avengers and their allies have continued to protect the world from threats too large for any one hero to handle, a new danger has emerged from the cosmic shadows: Thanos. A despot of intergalactic infamy, his goal is to collect all six Infinity Stones, artifacts of unimaginable power, and use them to inflict his twisted will on all of reality. Everything the Avengers have fought for has led up to this moment - the fate of Earth and existence itself has never been more uncertain.</t>
        </is>
      </c>
      <c r="J34" s="64" t="inlineStr">
        <is>
          <t>Anthony Russo, Joe Russo</t>
        </is>
      </c>
      <c r="K34" s="64" t="n">
        <v>149</v>
      </c>
      <c r="L34" s="64" t="inlineStr">
        <is>
          <t>Adventure, Action, Science Fiction</t>
        </is>
      </c>
      <c r="M34" s="64" t="inlineStr">
        <is>
          <t>Marvel Studios</t>
        </is>
      </c>
      <c r="N34" s="64" t="inlineStr">
        <is>
          <t>https://huggingface.co/datasets/HenryWaltson/TMDB-IMDB-Movies-Dataset</t>
        </is>
      </c>
      <c r="O34" s="64" t="inlineStr">
        <is>
          <t>https://huggingface.co/datasets/HenryWaltson/TMDB-IMDB-Movies-Dataset</t>
        </is>
      </c>
      <c r="P34" t="inlineStr">
        <is>
          <t>Robert Downey Jr.</t>
        </is>
      </c>
      <c r="Q34" t="inlineStr">
        <is>
          <t>Chris Evans</t>
        </is>
      </c>
      <c r="R34" t="inlineStr">
        <is>
          <t>Chris Hemsworth</t>
        </is>
      </c>
      <c r="S34" t="inlineStr">
        <is>
          <t>Josh Brolin</t>
        </is>
      </c>
      <c r="T34" t="inlineStr">
        <is>
          <t>Mark Ruffalo</t>
        </is>
      </c>
      <c r="U34" s="71" t="n">
        <v>1</v>
      </c>
      <c r="V34" s="71" t="n">
        <v>0</v>
      </c>
      <c r="X34" s="82">
        <f>IFERROR(INDEX(Ratings!$E$5:$E$500,MATCH(A34,Ratings!$A$5:$A$500,0)),"")</f>
        <v/>
      </c>
      <c r="Y34" s="71">
        <f>IFERROR(INDEX(Ratings!$G$5:$G$500,MATCH(A34,Ratings!$A$5:$A$500,0)),"")</f>
        <v/>
      </c>
      <c r="Z34" s="83">
        <f>IFERROR(INDEX(Ratings!$I$5:$I$500,MATCH(A34,Ratings!$A$5:$A$500,0)),"")</f>
        <v/>
      </c>
    </row>
    <row r="35" ht="15.75" customHeight="1" s="95">
      <c r="A35" t="inlineStr">
        <is>
          <t>F0031</t>
        </is>
      </c>
      <c r="B35" t="inlineStr">
        <is>
          <t>Avengers: Endgame</t>
        </is>
      </c>
      <c r="C35" s="63" t="inlineStr">
        <is>
          <t>2019</t>
        </is>
      </c>
      <c r="D35" t="inlineStr">
        <is>
          <t>4K UHD</t>
        </is>
      </c>
      <c r="E35" t="inlineStr">
        <is>
          <t>MCU</t>
        </is>
      </c>
      <c r="F35" s="64" t="n"/>
      <c r="I35" s="64" t="inlineStr">
        <is>
          <t>After the devastating events of Avengers: Infinity War, the universe is in ruins due to the efforts of the Mad Titan, Thanos. With the help of remaining allies, the Avengers must assemble once more in order to undo Thanos' actions and restore order to the universe once and for all, no matter what consequences may be in store.</t>
        </is>
      </c>
      <c r="J35" s="64" t="inlineStr">
        <is>
          <t>Anthony Russo, Joe Russo</t>
        </is>
      </c>
      <c r="K35" s="64" t="n">
        <v>181</v>
      </c>
      <c r="L35" s="64" t="inlineStr">
        <is>
          <t>Adventure, Science Fiction, Action</t>
        </is>
      </c>
      <c r="M35" s="64" t="inlineStr">
        <is>
          <t>Marvel Studios</t>
        </is>
      </c>
      <c r="N35" s="64" t="inlineStr">
        <is>
          <t>https://huggingface.co/datasets/HenryWaltson/TMDB-IMDB-Movies-Dataset</t>
        </is>
      </c>
      <c r="O35" s="64" t="inlineStr">
        <is>
          <t>https://huggingface.co/datasets/HenryWaltson/TMDB-IMDB-Movies-Dataset</t>
        </is>
      </c>
      <c r="P35" t="inlineStr">
        <is>
          <t>Robert Downey Jr.</t>
        </is>
      </c>
      <c r="Q35" t="inlineStr">
        <is>
          <t>Chris Evans</t>
        </is>
      </c>
      <c r="R35" t="inlineStr">
        <is>
          <t>Mark Ruffalo</t>
        </is>
      </c>
      <c r="S35" t="inlineStr">
        <is>
          <t>Chris Hemsworth</t>
        </is>
      </c>
      <c r="T35" t="inlineStr">
        <is>
          <t>Scarlett Johansson</t>
        </is>
      </c>
      <c r="U35" s="71" t="n">
        <v>1</v>
      </c>
      <c r="V35" s="71" t="n">
        <v>0</v>
      </c>
      <c r="X35" s="82">
        <f>IFERROR(INDEX(Ratings!$E$5:$E$500,MATCH(A35,Ratings!$A$5:$A$500,0)),"")</f>
        <v/>
      </c>
      <c r="Y35" s="71">
        <f>IFERROR(INDEX(Ratings!$G$5:$G$500,MATCH(A35,Ratings!$A$5:$A$500,0)),"")</f>
        <v/>
      </c>
      <c r="Z35" s="83">
        <f>IFERROR(INDEX(Ratings!$I$5:$I$500,MATCH(A35,Ratings!$A$5:$A$500,0)),"")</f>
        <v/>
      </c>
    </row>
    <row r="36" ht="15.75" customHeight="1" s="95">
      <c r="A36" t="inlineStr">
        <is>
          <t>F0032</t>
        </is>
      </c>
      <c r="B36" t="inlineStr">
        <is>
          <t>Baby Driver</t>
        </is>
      </c>
      <c r="C36" s="63" t="inlineStr">
        <is>
          <t>2017</t>
        </is>
      </c>
      <c r="D36" t="inlineStr">
        <is>
          <t>Blu-ray</t>
        </is>
      </c>
      <c r="F36" s="64" t="n"/>
      <c r="I36" s="64" t="inlineStr">
        <is>
          <t>After being coerced into working for a crime boss, a young getaway driver finds himself taking part in a heist doomed to fail.</t>
        </is>
      </c>
      <c r="J36" s="64" t="inlineStr">
        <is>
          <t>Edgar Wright</t>
        </is>
      </c>
      <c r="K36" s="64" t="n">
        <v>113</v>
      </c>
      <c r="L36" s="64" t="inlineStr">
        <is>
          <t>Action, Crime</t>
        </is>
      </c>
      <c r="M36" s="64" t="inlineStr">
        <is>
          <t>Big Talk Productions, Working Title Films</t>
        </is>
      </c>
      <c r="N36" s="64" t="inlineStr">
        <is>
          <t>https://huggingface.co/datasets/HenryWaltson/TMDB-IMDB-Movies-Dataset</t>
        </is>
      </c>
      <c r="O36" s="64" t="inlineStr">
        <is>
          <t>https://huggingface.co/datasets/HenryWaltson/TMDB-IMDB-Movies-Dataset</t>
        </is>
      </c>
      <c r="P36" t="inlineStr">
        <is>
          <t>Ansel Elgort</t>
        </is>
      </c>
      <c r="Q36" t="inlineStr">
        <is>
          <t>Kevin Spacey</t>
        </is>
      </c>
      <c r="R36" t="inlineStr">
        <is>
          <t>Lily James</t>
        </is>
      </c>
      <c r="S36" t="inlineStr">
        <is>
          <t>Jon Hamm</t>
        </is>
      </c>
      <c r="T36" t="inlineStr">
        <is>
          <t>Jamie Foxx</t>
        </is>
      </c>
      <c r="U36" s="71" t="n">
        <v>3</v>
      </c>
      <c r="V36" s="71" t="n">
        <v>0</v>
      </c>
      <c r="X36" s="82">
        <f>IFERROR(INDEX(Ratings!$E$5:$E$500,MATCH(A36,Ratings!$A$5:$A$500,0)),"")</f>
        <v/>
      </c>
      <c r="Y36" s="71">
        <f>IFERROR(INDEX(Ratings!$G$5:$G$500,MATCH(A36,Ratings!$A$5:$A$500,0)),"")</f>
        <v/>
      </c>
      <c r="Z36" s="83">
        <f>IFERROR(INDEX(Ratings!$I$5:$I$500,MATCH(A36,Ratings!$A$5:$A$500,0)),"")</f>
        <v/>
      </c>
    </row>
    <row r="37" ht="15.75" customHeight="1" s="95">
      <c r="A37" t="inlineStr">
        <is>
          <t>F0033</t>
        </is>
      </c>
      <c r="B37" t="inlineStr">
        <is>
          <t>Back to the Future</t>
        </is>
      </c>
      <c r="C37" s="63" t="inlineStr">
        <is>
          <t>1985</t>
        </is>
      </c>
      <c r="D37" t="inlineStr">
        <is>
          <t>Blu-ray</t>
        </is>
      </c>
      <c r="E37" t="inlineStr">
        <is>
          <t>Back to the Future</t>
        </is>
      </c>
      <c r="F37" s="64" t="inlineStr">
        <is>
          <t>Back to the Future Trilogy (Box Set)</t>
        </is>
      </c>
      <c r="I37" s="64" t="inlineStr">
        <is>
          <t>Owned via Back to the Future Trilogy (Box Set).</t>
        </is>
      </c>
      <c r="J37" s="64" t="inlineStr">
        <is>
          <t>Robert Zemeckis</t>
        </is>
      </c>
      <c r="K37" s="64" t="n">
        <v>116</v>
      </c>
      <c r="L37" s="64" t="inlineStr">
        <is>
          <t>Adventure, Comedy, Science Fiction</t>
        </is>
      </c>
      <c r="M37" s="64" t="inlineStr">
        <is>
          <t>Universal Pictures, Amblin Entertainment</t>
        </is>
      </c>
      <c r="N37" s="64" t="inlineStr">
        <is>
          <t>https://huggingface.co/datasets/HenryWaltson/TMDB-IMDB-Movies-Dataset</t>
        </is>
      </c>
      <c r="O37" s="64" t="inlineStr">
        <is>
          <t>https://huggingface.co/datasets/HenryWaltson/TMDB-IMDB-Movies-Dataset</t>
        </is>
      </c>
      <c r="P37" t="inlineStr">
        <is>
          <t>Michael J. Fox</t>
        </is>
      </c>
      <c r="Q37" t="inlineStr">
        <is>
          <t>Christopher Lloyd</t>
        </is>
      </c>
      <c r="R37" t="inlineStr">
        <is>
          <t>Crispin Glover</t>
        </is>
      </c>
      <c r="S37" t="inlineStr">
        <is>
          <t>Lea Thompson</t>
        </is>
      </c>
      <c r="T37" t="inlineStr">
        <is>
          <t>Claudia Wells</t>
        </is>
      </c>
      <c r="U37" s="71" t="n">
        <v>4</v>
      </c>
      <c r="V37" s="71" t="n">
        <v>1</v>
      </c>
      <c r="X37" s="82">
        <f>IFERROR(INDEX(Ratings!$E$5:$E$500,MATCH(A37,Ratings!$A$5:$A$500,0)),"")</f>
        <v/>
      </c>
      <c r="Y37" s="71">
        <f>IFERROR(INDEX(Ratings!$G$5:$G$500,MATCH(A37,Ratings!$A$5:$A$500,0)),"")</f>
        <v/>
      </c>
      <c r="Z37" s="83">
        <f>IFERROR(INDEX(Ratings!$I$5:$I$500,MATCH(A37,Ratings!$A$5:$A$500,0)),"")</f>
        <v/>
      </c>
    </row>
    <row r="38" ht="15.75" customHeight="1" s="95">
      <c r="A38" t="inlineStr">
        <is>
          <t>F0034</t>
        </is>
      </c>
      <c r="B38" t="inlineStr">
        <is>
          <t>Back to the Future Part II</t>
        </is>
      </c>
      <c r="C38" s="63" t="inlineStr">
        <is>
          <t>1989</t>
        </is>
      </c>
      <c r="D38" t="inlineStr">
        <is>
          <t>Blu-ray</t>
        </is>
      </c>
      <c r="E38" t="inlineStr">
        <is>
          <t>Back to the Future</t>
        </is>
      </c>
      <c r="F38" s="64" t="inlineStr">
        <is>
          <t>Back to the Future Trilogy (Box Set)</t>
        </is>
      </c>
      <c r="I38" s="64" t="inlineStr">
        <is>
          <t>Owned via Back to the Future Trilogy (Box Set).</t>
        </is>
      </c>
      <c r="J38" s="64" t="inlineStr">
        <is>
          <t>Robert Zemeckis</t>
        </is>
      </c>
      <c r="K38" s="64" t="n">
        <v>108</v>
      </c>
      <c r="L38" s="64" t="inlineStr">
        <is>
          <t>Adventure, Comedy, Science Fiction</t>
        </is>
      </c>
      <c r="M38" s="64" t="inlineStr">
        <is>
          <t>Universal Pictures, Amblin Entertainment</t>
        </is>
      </c>
      <c r="N38" s="64" t="inlineStr">
        <is>
          <t>https://huggingface.co/datasets/HenryWaltson/TMDB-IMDB-Movies-Dataset</t>
        </is>
      </c>
      <c r="O38" s="64" t="inlineStr">
        <is>
          <t>https://huggingface.co/datasets/HenryWaltson/TMDB-IMDB-Movies-Dataset</t>
        </is>
      </c>
      <c r="P38" t="inlineStr">
        <is>
          <t>Michael J. Fox</t>
        </is>
      </c>
      <c r="Q38" t="inlineStr">
        <is>
          <t>Christopher Lloyd</t>
        </is>
      </c>
      <c r="R38" t="inlineStr">
        <is>
          <t>Lea Thompson</t>
        </is>
      </c>
      <c r="S38" t="inlineStr">
        <is>
          <t>Thomas F. Wilson</t>
        </is>
      </c>
      <c r="T38" t="inlineStr">
        <is>
          <t>Elisabeth Shue</t>
        </is>
      </c>
      <c r="U38" s="71" t="n">
        <v>1</v>
      </c>
      <c r="V38" s="71" t="n">
        <v>0</v>
      </c>
      <c r="X38" s="82">
        <f>IFERROR(INDEX(Ratings!$E$5:$E$500,MATCH(A38,Ratings!$A$5:$A$500,0)),"")</f>
        <v/>
      </c>
      <c r="Y38" s="71">
        <f>IFERROR(INDEX(Ratings!$G$5:$G$500,MATCH(A38,Ratings!$A$5:$A$500,0)),"")</f>
        <v/>
      </c>
      <c r="Z38" s="83">
        <f>IFERROR(INDEX(Ratings!$I$5:$I$500,MATCH(A38,Ratings!$A$5:$A$500,0)),"")</f>
        <v/>
      </c>
    </row>
    <row r="39" ht="15.75" customHeight="1" s="95">
      <c r="A39" t="inlineStr">
        <is>
          <t>F0035</t>
        </is>
      </c>
      <c r="B39" t="inlineStr">
        <is>
          <t>Back to the Future Part III</t>
        </is>
      </c>
      <c r="C39" s="63" t="inlineStr">
        <is>
          <t>1990</t>
        </is>
      </c>
      <c r="D39" t="inlineStr">
        <is>
          <t>Blu-ray</t>
        </is>
      </c>
      <c r="E39" t="inlineStr">
        <is>
          <t>Back to the Future</t>
        </is>
      </c>
      <c r="F39" s="64" t="inlineStr">
        <is>
          <t>Back to the Future Trilogy (Box Set)</t>
        </is>
      </c>
      <c r="I39" s="64" t="inlineStr">
        <is>
          <t>Owned via Back to the Future Trilogy (Box Set).</t>
        </is>
      </c>
      <c r="J39" s="64" t="inlineStr">
        <is>
          <t>Robert Zemeckis</t>
        </is>
      </c>
      <c r="K39" s="64" t="n">
        <v>118</v>
      </c>
      <c r="L39" s="64" t="inlineStr">
        <is>
          <t>Adventure, Comedy, Science Fiction, Western</t>
        </is>
      </c>
      <c r="M39" s="64" t="inlineStr">
        <is>
          <t>Universal Pictures, Amblin Entertainment</t>
        </is>
      </c>
      <c r="N39" s="64" t="inlineStr">
        <is>
          <t>https://huggingface.co/datasets/HenryWaltson/TMDB-IMDB-Movies-Dataset</t>
        </is>
      </c>
      <c r="O39" s="64" t="inlineStr">
        <is>
          <t>https://huggingface.co/datasets/HenryWaltson/TMDB-IMDB-Movies-Dataset</t>
        </is>
      </c>
      <c r="P39" t="inlineStr">
        <is>
          <t>Michael J. Fox</t>
        </is>
      </c>
      <c r="Q39" t="inlineStr">
        <is>
          <t>Christopher Lloyd</t>
        </is>
      </c>
      <c r="R39" t="inlineStr">
        <is>
          <t>Mary Steenburgen</t>
        </is>
      </c>
      <c r="S39" t="inlineStr">
        <is>
          <t>Thomas F. Wilson</t>
        </is>
      </c>
      <c r="T39" t="inlineStr">
        <is>
          <t>Lea Thompson</t>
        </is>
      </c>
      <c r="U39" s="71" t="n">
        <v>0</v>
      </c>
      <c r="V39" s="71" t="n">
        <v>0</v>
      </c>
      <c r="X39" s="82">
        <f>IFERROR(INDEX(Ratings!$E$5:$E$500,MATCH(A39,Ratings!$A$5:$A$500,0)),"")</f>
        <v/>
      </c>
      <c r="Y39" s="71">
        <f>IFERROR(INDEX(Ratings!$G$5:$G$500,MATCH(A39,Ratings!$A$5:$A$500,0)),"")</f>
        <v/>
      </c>
      <c r="Z39" s="83">
        <f>IFERROR(INDEX(Ratings!$I$5:$I$500,MATCH(A39,Ratings!$A$5:$A$500,0)),"")</f>
        <v/>
      </c>
    </row>
    <row r="40" ht="15.75" customHeight="1" s="95">
      <c r="A40" t="inlineStr">
        <is>
          <t>F0036</t>
        </is>
      </c>
      <c r="B40" t="inlineStr">
        <is>
          <t>Bad Boys</t>
        </is>
      </c>
      <c r="C40" s="63" t="inlineStr">
        <is>
          <t>1995</t>
        </is>
      </c>
      <c r="D40" t="inlineStr">
        <is>
          <t>Blu-ray</t>
        </is>
      </c>
      <c r="E40" t="inlineStr">
        <is>
          <t>Bad Boys</t>
        </is>
      </c>
      <c r="F40" s="64" t="inlineStr">
        <is>
          <t>Bad Boys I &amp; II (Box Set)</t>
        </is>
      </c>
      <c r="I40" s="64" t="inlineStr">
        <is>
          <t>Owned via Bad Boys I &amp; II (Box Set).</t>
        </is>
      </c>
      <c r="J40" s="64" t="inlineStr">
        <is>
          <t>Michael Bay</t>
        </is>
      </c>
      <c r="K40" s="64" t="n">
        <v>119</v>
      </c>
      <c r="L40" s="64" t="inlineStr">
        <is>
          <t>Action, Comedy, Crime, Thriller</t>
        </is>
      </c>
      <c r="M40" s="64" t="inlineStr">
        <is>
          <t>Columbia Pictures, Don Simpson/Jerry Bruckheimer Films</t>
        </is>
      </c>
      <c r="N40" s="64" t="inlineStr">
        <is>
          <t>https://huggingface.co/datasets/HenryWaltson/TMDB-IMDB-Movies-Dataset</t>
        </is>
      </c>
      <c r="O40" s="64" t="inlineStr">
        <is>
          <t>https://huggingface.co/datasets/HenryWaltson/TMDB-IMDB-Movies-Dataset</t>
        </is>
      </c>
      <c r="P40" t="inlineStr">
        <is>
          <t>Will Smith</t>
        </is>
      </c>
      <c r="Q40" t="inlineStr">
        <is>
          <t>Martin Lawrence</t>
        </is>
      </c>
      <c r="R40" t="inlineStr">
        <is>
          <t>Téa Leoni</t>
        </is>
      </c>
      <c r="S40" t="inlineStr">
        <is>
          <t>Tchéky Karyo</t>
        </is>
      </c>
      <c r="T40" t="inlineStr">
        <is>
          <t>Joe Pantoliano</t>
        </is>
      </c>
      <c r="U40" s="71" t="n">
        <v>0</v>
      </c>
      <c r="V40" s="71" t="n">
        <v>0</v>
      </c>
      <c r="X40" s="82">
        <f>IFERROR(INDEX(Ratings!$E$5:$E$500,MATCH(A40,Ratings!$A$5:$A$500,0)),"")</f>
        <v/>
      </c>
      <c r="Y40" s="71">
        <f>IFERROR(INDEX(Ratings!$G$5:$G$500,MATCH(A40,Ratings!$A$5:$A$500,0)),"")</f>
        <v/>
      </c>
      <c r="Z40" s="83">
        <f>IFERROR(INDEX(Ratings!$I$5:$I$500,MATCH(A40,Ratings!$A$5:$A$500,0)),"")</f>
        <v/>
      </c>
    </row>
    <row r="41" ht="15.75" customHeight="1" s="95">
      <c r="A41" t="inlineStr">
        <is>
          <t>F0037</t>
        </is>
      </c>
      <c r="B41" t="inlineStr">
        <is>
          <t>Bad Boys II</t>
        </is>
      </c>
      <c r="C41" s="63" t="inlineStr">
        <is>
          <t>2003</t>
        </is>
      </c>
      <c r="D41" t="inlineStr">
        <is>
          <t>Blu-ray</t>
        </is>
      </c>
      <c r="E41" t="inlineStr">
        <is>
          <t>Bad Boys</t>
        </is>
      </c>
      <c r="F41" s="64" t="inlineStr">
        <is>
          <t>Bad Boys I &amp; II (Box Set)</t>
        </is>
      </c>
      <c r="I41" s="64" t="inlineStr">
        <is>
          <t>Owned via Bad Boys I &amp; II (Box Set).</t>
        </is>
      </c>
      <c r="J41" s="64" t="inlineStr">
        <is>
          <t>Michael Bay</t>
        </is>
      </c>
      <c r="K41" s="64" t="n">
        <v>147</v>
      </c>
      <c r="L41" s="64" t="inlineStr">
        <is>
          <t>Action, Comedy, Crime, Thriller</t>
        </is>
      </c>
      <c r="M41" s="64" t="inlineStr">
        <is>
          <t>Columbia Pictures, Don Simpson/Jerry Bruckheimer Films</t>
        </is>
      </c>
      <c r="N41" s="64" t="inlineStr">
        <is>
          <t>https://huggingface.co/datasets/HenryWaltson/TMDB-IMDB-Movies-Dataset</t>
        </is>
      </c>
      <c r="O41" s="64" t="inlineStr">
        <is>
          <t>https://huggingface.co/datasets/HenryWaltson/TMDB-IMDB-Movies-Dataset</t>
        </is>
      </c>
      <c r="P41" t="inlineStr">
        <is>
          <t>Martin Lawrence</t>
        </is>
      </c>
      <c r="Q41" t="inlineStr">
        <is>
          <t>Will Smith</t>
        </is>
      </c>
      <c r="R41" t="inlineStr">
        <is>
          <t>Jordi Mollà</t>
        </is>
      </c>
      <c r="S41" t="inlineStr">
        <is>
          <t>Gabrielle Union</t>
        </is>
      </c>
      <c r="T41" t="inlineStr">
        <is>
          <t>Peter Stormare</t>
        </is>
      </c>
      <c r="U41" s="71" t="n">
        <v>0</v>
      </c>
      <c r="V41" s="71" t="n">
        <v>0</v>
      </c>
      <c r="X41" s="82">
        <f>IFERROR(INDEX(Ratings!$E$5:$E$500,MATCH(A41,Ratings!$A$5:$A$500,0)),"")</f>
        <v/>
      </c>
      <c r="Y41" s="71">
        <f>IFERROR(INDEX(Ratings!$G$5:$G$500,MATCH(A41,Ratings!$A$5:$A$500,0)),"")</f>
        <v/>
      </c>
      <c r="Z41" s="83">
        <f>IFERROR(INDEX(Ratings!$I$5:$I$500,MATCH(A41,Ratings!$A$5:$A$500,0)),"")</f>
        <v/>
      </c>
    </row>
    <row r="42" ht="15.75" customHeight="1" s="95">
      <c r="A42" t="inlineStr">
        <is>
          <t>F0038</t>
        </is>
      </c>
      <c r="B42" t="inlineStr">
        <is>
          <t>Bad Moms</t>
        </is>
      </c>
      <c r="C42" s="63" t="inlineStr">
        <is>
          <t>2016</t>
        </is>
      </c>
      <c r="D42" t="inlineStr">
        <is>
          <t>Blu-ray</t>
        </is>
      </c>
      <c r="F42" s="64" t="n"/>
      <c r="I42" s="64" t="inlineStr">
        <is>
          <t>When three overworked and under-appreciated moms are pushed beyond their limits, they ditch their conventional responsibilities for a jolt of long overdue freedom, fun, and comedic self-indulgence.</t>
        </is>
      </c>
      <c r="J42" s="64" t="inlineStr">
        <is>
          <t>Jon Lucas, Scott Moore</t>
        </is>
      </c>
      <c r="K42" s="64" t="n">
        <v>100</v>
      </c>
      <c r="L42" s="64" t="inlineStr">
        <is>
          <t>Comedy</t>
        </is>
      </c>
      <c r="M42" s="64" t="inlineStr">
        <is>
          <t>STX Films, BillBlock Media, Robert Simonds Productions</t>
        </is>
      </c>
      <c r="N42" s="64" t="inlineStr">
        <is>
          <t>https://huggingface.co/datasets/HenryWaltson/TMDB-IMDB-Movies-Dataset</t>
        </is>
      </c>
      <c r="O42" s="64" t="inlineStr">
        <is>
          <t>https://huggingface.co/datasets/HenryWaltson/TMDB-IMDB-Movies-Dataset</t>
        </is>
      </c>
      <c r="P42" t="inlineStr">
        <is>
          <t>Mila Kunis</t>
        </is>
      </c>
      <c r="Q42" t="inlineStr">
        <is>
          <t>Kristen Bell</t>
        </is>
      </c>
      <c r="R42" t="inlineStr">
        <is>
          <t>Kathryn Hahn</t>
        </is>
      </c>
      <c r="S42" t="inlineStr">
        <is>
          <t>Christina Applegate</t>
        </is>
      </c>
      <c r="T42" t="inlineStr">
        <is>
          <t>Jada Pinkett Smith</t>
        </is>
      </c>
      <c r="U42" s="71" t="n">
        <v>0</v>
      </c>
      <c r="V42" s="71" t="n">
        <v>0</v>
      </c>
      <c r="X42" s="82">
        <f>IFERROR(INDEX(Ratings!$E$5:$E$500,MATCH(A42,Ratings!$A$5:$A$500,0)),"")</f>
        <v/>
      </c>
      <c r="Y42" s="71">
        <f>IFERROR(INDEX(Ratings!$G$5:$G$500,MATCH(A42,Ratings!$A$5:$A$500,0)),"")</f>
        <v/>
      </c>
      <c r="Z42" s="83">
        <f>IFERROR(INDEX(Ratings!$I$5:$I$500,MATCH(A42,Ratings!$A$5:$A$500,0)),"")</f>
        <v/>
      </c>
    </row>
    <row r="43" ht="15.75" customHeight="1" s="95">
      <c r="A43" t="inlineStr">
        <is>
          <t>F0039</t>
        </is>
      </c>
      <c r="B43" t="inlineStr">
        <is>
          <t>Bad Teacher</t>
        </is>
      </c>
      <c r="C43" s="63" t="inlineStr">
        <is>
          <t>2011</t>
        </is>
      </c>
      <c r="D43" t="inlineStr">
        <is>
          <t>Blu-ray</t>
        </is>
      </c>
      <c r="F43" s="64" t="n"/>
      <c r="I43" s="64" t="inlineStr">
        <is>
          <t>A lazy, incompetent middle school teacher who hates her job and her students is forced to return to her job to make enough money for a boob job after her rich fiancé dumps her.</t>
        </is>
      </c>
      <c r="J43" s="64" t="inlineStr">
        <is>
          <t>Jake Kasdan</t>
        </is>
      </c>
      <c r="K43" s="64" t="n">
        <v>92</v>
      </c>
      <c r="L43" s="64" t="inlineStr">
        <is>
          <t>Comedy</t>
        </is>
      </c>
      <c r="M43" s="64" t="inlineStr">
        <is>
          <t>Columbia Pictures, Mosaic Media Group</t>
        </is>
      </c>
      <c r="N43" s="64" t="inlineStr">
        <is>
          <t>https://huggingface.co/datasets/HenryWaltson/TMDB-IMDB-Movies-Dataset</t>
        </is>
      </c>
      <c r="O43" s="64" t="inlineStr">
        <is>
          <t>https://huggingface.co/datasets/HenryWaltson/TMDB-IMDB-Movies-Dataset</t>
        </is>
      </c>
      <c r="P43" t="inlineStr">
        <is>
          <t>Cameron Diaz</t>
        </is>
      </c>
      <c r="Q43" t="inlineStr">
        <is>
          <t>Jason Segel</t>
        </is>
      </c>
      <c r="R43" t="inlineStr">
        <is>
          <t>Justin Timberlake</t>
        </is>
      </c>
      <c r="S43" t="inlineStr">
        <is>
          <t>Lucy Punch</t>
        </is>
      </c>
      <c r="T43" t="inlineStr">
        <is>
          <t>John Michael Higgins</t>
        </is>
      </c>
      <c r="U43" s="71" t="n">
        <v>0</v>
      </c>
      <c r="V43" s="71" t="n">
        <v>0</v>
      </c>
      <c r="X43" s="82">
        <f>IFERROR(INDEX(Ratings!$E$5:$E$500,MATCH(A43,Ratings!$A$5:$A$500,0)),"")</f>
        <v/>
      </c>
      <c r="Y43" s="71">
        <f>IFERROR(INDEX(Ratings!$G$5:$G$500,MATCH(A43,Ratings!$A$5:$A$500,0)),"")</f>
        <v/>
      </c>
      <c r="Z43" s="83">
        <f>IFERROR(INDEX(Ratings!$I$5:$I$500,MATCH(A43,Ratings!$A$5:$A$500,0)),"")</f>
        <v/>
      </c>
    </row>
    <row r="44" ht="15.75" customHeight="1" s="95">
      <c r="A44" t="inlineStr">
        <is>
          <t>F0040</t>
        </is>
      </c>
      <c r="B44" t="inlineStr">
        <is>
          <t>The Bank Job</t>
        </is>
      </c>
      <c r="C44" s="63" t="inlineStr">
        <is>
          <t>2008</t>
        </is>
      </c>
      <c r="D44" t="inlineStr">
        <is>
          <t>Blu-ray</t>
        </is>
      </c>
      <c r="F44" s="64" t="n"/>
      <c r="I44" s="64" t="inlineStr">
        <is>
          <t>Terry is a small-time car dealer trying to leave his shady past behind and start a family. Martine is a beautiful model from Terry's old neighbourhood who knows that Terry is no angel. When Martine proposes a foolproof plan to rob a bank, Terry recognises the danger but realises this may be the opportunity of a lifetime.</t>
        </is>
      </c>
      <c r="J44" s="64" t="inlineStr">
        <is>
          <t>Roger Donaldson</t>
        </is>
      </c>
      <c r="K44" s="64" t="n">
        <v>112</v>
      </c>
      <c r="L44" s="64" t="inlineStr">
        <is>
          <t>Thriller, Crime, Drama</t>
        </is>
      </c>
      <c r="M44" s="64" t="inlineStr">
        <is>
          <t>Omnilab Media, Mosaic Media Group, Relativity Media</t>
        </is>
      </c>
      <c r="N44" s="64" t="inlineStr">
        <is>
          <t>https://huggingface.co/datasets/HenryWaltson/TMDB-IMDB-Movies-Dataset</t>
        </is>
      </c>
      <c r="O44" s="64" t="inlineStr">
        <is>
          <t>https://huggingface.co/datasets/HenryWaltson/TMDB-IMDB-Movies-Dataset</t>
        </is>
      </c>
      <c r="P44" t="inlineStr">
        <is>
          <t>Jason Statham</t>
        </is>
      </c>
      <c r="Q44" t="inlineStr">
        <is>
          <t>Saffron Burrows</t>
        </is>
      </c>
      <c r="R44" t="inlineStr">
        <is>
          <t>Stephen Campbell Moore</t>
        </is>
      </c>
      <c r="S44" t="inlineStr">
        <is>
          <t>Daniel Mays</t>
        </is>
      </c>
      <c r="T44" t="inlineStr">
        <is>
          <t>James Faulkner</t>
        </is>
      </c>
      <c r="U44" s="71" t="n">
        <v>0</v>
      </c>
      <c r="V44" s="71" t="n">
        <v>0</v>
      </c>
      <c r="X44" s="82">
        <f>IFERROR(INDEX(Ratings!$E$5:$E$500,MATCH(A44,Ratings!$A$5:$A$500,0)),"")</f>
        <v/>
      </c>
      <c r="Y44" s="71">
        <f>IFERROR(INDEX(Ratings!$G$5:$G$500,MATCH(A44,Ratings!$A$5:$A$500,0)),"")</f>
        <v/>
      </c>
      <c r="Z44" s="83">
        <f>IFERROR(INDEX(Ratings!$I$5:$I$500,MATCH(A44,Ratings!$A$5:$A$500,0)),"")</f>
        <v/>
      </c>
    </row>
    <row r="45" ht="15.75" customHeight="1" s="95">
      <c r="A45" t="inlineStr">
        <is>
          <t>F0041</t>
        </is>
      </c>
      <c r="B45" t="inlineStr">
        <is>
          <t>Barbie</t>
        </is>
      </c>
      <c r="C45" s="63" t="inlineStr">
        <is>
          <t>2023</t>
        </is>
      </c>
      <c r="D45" t="inlineStr">
        <is>
          <t>Blu-ray</t>
        </is>
      </c>
      <c r="F45" s="64" t="n"/>
      <c r="I45" s="64" t="inlineStr">
        <is>
          <t>Barbie and Ken are having the time of their lives in the colorful and seemingly perfect world of Barbie Land. However, when they get a chance to go to the real world, they soon discover the joys and perils of living among humans.</t>
        </is>
      </c>
      <c r="J45" s="64" t="inlineStr">
        <is>
          <t>Greta Gerwig</t>
        </is>
      </c>
      <c r="K45" s="64" t="n">
        <v>114</v>
      </c>
      <c r="L45" s="64" t="inlineStr">
        <is>
          <t>Comedy, Adventure, Fantasy</t>
        </is>
      </c>
      <c r="M45" s="64" t="inlineStr">
        <is>
          <t>LuckyChap Entertainment, Heyday Films, NB/GG Pictures</t>
        </is>
      </c>
      <c r="N45" s="64" t="inlineStr">
        <is>
          <t>https://huggingface.co/datasets/HenryWaltson/TMDB-IMDB-Movies-Dataset</t>
        </is>
      </c>
      <c r="O45" s="64" t="inlineStr">
        <is>
          <t>https://huggingface.co/datasets/HenryWaltson/TMDB-IMDB-Movies-Dataset</t>
        </is>
      </c>
      <c r="P45" t="inlineStr">
        <is>
          <t>Margot Robbie</t>
        </is>
      </c>
      <c r="Q45" t="inlineStr">
        <is>
          <t>Ryan Gosling</t>
        </is>
      </c>
      <c r="R45" t="inlineStr">
        <is>
          <t>America Ferrera</t>
        </is>
      </c>
      <c r="S45" t="inlineStr">
        <is>
          <t>Ariana Greenblatt</t>
        </is>
      </c>
      <c r="T45" t="inlineStr">
        <is>
          <t>Issa Rae</t>
        </is>
      </c>
      <c r="U45" s="71" t="n">
        <v>8</v>
      </c>
      <c r="V45" s="71" t="n">
        <v>1</v>
      </c>
      <c r="W45" t="inlineStr">
        <is>
          <t>Nominated</t>
        </is>
      </c>
      <c r="X45" s="82">
        <f>IFERROR(INDEX(Ratings!$E$5:$E$500,MATCH(A45,Ratings!$A$5:$A$500,0)),"")</f>
        <v/>
      </c>
      <c r="Y45" s="71">
        <f>IFERROR(INDEX(Ratings!$G$5:$G$500,MATCH(A45,Ratings!$A$5:$A$500,0)),"")</f>
        <v/>
      </c>
      <c r="Z45" s="83">
        <f>IFERROR(INDEX(Ratings!$I$5:$I$500,MATCH(A45,Ratings!$A$5:$A$500,0)),"")</f>
        <v/>
      </c>
    </row>
    <row r="46" ht="15.75" customHeight="1" s="95">
      <c r="A46" t="inlineStr">
        <is>
          <t>F0042</t>
        </is>
      </c>
      <c r="B46" t="inlineStr">
        <is>
          <t>The Batman</t>
        </is>
      </c>
      <c r="C46" s="63" t="inlineStr">
        <is>
          <t>2022</t>
        </is>
      </c>
      <c r="D46" t="inlineStr">
        <is>
          <t>4K UHD</t>
        </is>
      </c>
      <c r="E46" t="inlineStr">
        <is>
          <t>The Batman</t>
        </is>
      </c>
      <c r="F46" s="64" t="n"/>
      <c r="I46" s="64" t="inlineStr">
        <is>
          <t>In his second year of fighting crime, Batman uncovers corruption in Gotham City that connects to his own family while facing a serial killer known as the Riddler.</t>
        </is>
      </c>
      <c r="J46" s="64" t="inlineStr">
        <is>
          <t>Matt Reeves</t>
        </is>
      </c>
      <c r="K46" s="64" t="n">
        <v>177</v>
      </c>
      <c r="L46" s="64" t="inlineStr">
        <is>
          <t>Crime, Mystery, Thriller</t>
        </is>
      </c>
      <c r="M46" s="64" t="inlineStr">
        <is>
          <t>6th &amp; Idaho, Dylan Clark Productions, DC Films</t>
        </is>
      </c>
      <c r="N46" s="64" t="inlineStr">
        <is>
          <t>https://huggingface.co/datasets/HenryWaltson/TMDB-IMDB-Movies-Dataset</t>
        </is>
      </c>
      <c r="O46" s="64" t="inlineStr">
        <is>
          <t>https://huggingface.co/datasets/HenryWaltson/TMDB-IMDB-Movies-Dataset</t>
        </is>
      </c>
      <c r="P46" t="inlineStr">
        <is>
          <t>Robert Pattinson</t>
        </is>
      </c>
      <c r="Q46" t="inlineStr">
        <is>
          <t>Zoë Kravitz</t>
        </is>
      </c>
      <c r="R46" t="inlineStr">
        <is>
          <t>Jeffrey Wright</t>
        </is>
      </c>
      <c r="S46" t="inlineStr">
        <is>
          <t>Colin Farrell</t>
        </is>
      </c>
      <c r="T46" t="inlineStr">
        <is>
          <t>Paul Dano</t>
        </is>
      </c>
      <c r="U46" s="71" t="n">
        <v>3</v>
      </c>
      <c r="V46" s="71" t="n">
        <v>0</v>
      </c>
      <c r="X46" s="82">
        <f>IFERROR(INDEX(Ratings!$E$5:$E$500,MATCH(A46,Ratings!$A$5:$A$500,0)),"")</f>
        <v/>
      </c>
      <c r="Y46" s="71">
        <f>IFERROR(INDEX(Ratings!$G$5:$G$500,MATCH(A46,Ratings!$A$5:$A$500,0)),"")</f>
        <v/>
      </c>
      <c r="Z46" s="83">
        <f>IFERROR(INDEX(Ratings!$I$5:$I$500,MATCH(A46,Ratings!$A$5:$A$500,0)),"")</f>
        <v/>
      </c>
    </row>
    <row r="47" ht="15.75" customHeight="1" s="95">
      <c r="A47" t="inlineStr">
        <is>
          <t>F0043</t>
        </is>
      </c>
      <c r="B47" t="inlineStr">
        <is>
          <t>Batman Begins</t>
        </is>
      </c>
      <c r="C47" s="63" t="inlineStr">
        <is>
          <t>2005</t>
        </is>
      </c>
      <c r="D47" t="inlineStr">
        <is>
          <t>Blu-ray</t>
        </is>
      </c>
      <c r="E47" t="inlineStr">
        <is>
          <t>The Dark Knight Trilogy</t>
        </is>
      </c>
      <c r="F47" s="64" t="n"/>
      <c r="I47" s="64" t="inlineStr">
        <is>
          <t>Driven by tragedy, billionaire Bruce Wayne dedicates his life to uncovering and defeating the corruption that plagues his home, Gotham City.  Unable to work within the system, he instead creates a new identity, a symbol of fear for the criminal underworld - The Batman.</t>
        </is>
      </c>
      <c r="J47" s="64" t="inlineStr">
        <is>
          <t>Christopher Nolan</t>
        </is>
      </c>
      <c r="K47" s="64" t="n">
        <v>140</v>
      </c>
      <c r="L47" s="64" t="inlineStr">
        <is>
          <t>Action, Crime, Drama</t>
        </is>
      </c>
      <c r="M47" s="64" t="inlineStr">
        <is>
          <t>Warner Bros. Pictures, DC Comics, Syncopy</t>
        </is>
      </c>
      <c r="N47" s="64" t="inlineStr">
        <is>
          <t>https://huggingface.co/datasets/HenryWaltson/TMDB-IMDB-Movies-Dataset</t>
        </is>
      </c>
      <c r="O47" s="64" t="inlineStr">
        <is>
          <t>https://huggingface.co/datasets/HenryWaltson/TMDB-IMDB-Movies-Dataset</t>
        </is>
      </c>
      <c r="P47" t="inlineStr">
        <is>
          <t>Christian Bale</t>
        </is>
      </c>
      <c r="Q47" t="inlineStr">
        <is>
          <t>Michael Caine</t>
        </is>
      </c>
      <c r="R47" t="inlineStr">
        <is>
          <t>Liam Neeson</t>
        </is>
      </c>
      <c r="S47" t="inlineStr">
        <is>
          <t>Katie Holmes</t>
        </is>
      </c>
      <c r="T47" t="inlineStr">
        <is>
          <t>Gary Oldman</t>
        </is>
      </c>
      <c r="U47" s="71" t="n">
        <v>1</v>
      </c>
      <c r="V47" s="71" t="n">
        <v>0</v>
      </c>
      <c r="X47" s="82">
        <f>IFERROR(INDEX(Ratings!$E$5:$E$500,MATCH(A47,Ratings!$A$5:$A$500,0)),"")</f>
        <v/>
      </c>
      <c r="Y47" s="71">
        <f>IFERROR(INDEX(Ratings!$G$5:$G$500,MATCH(A47,Ratings!$A$5:$A$500,0)),"")</f>
        <v/>
      </c>
      <c r="Z47" s="83">
        <f>IFERROR(INDEX(Ratings!$I$5:$I$500,MATCH(A47,Ratings!$A$5:$A$500,0)),"")</f>
        <v/>
      </c>
    </row>
    <row r="48" ht="15.75" customHeight="1" s="95">
      <c r="A48" t="inlineStr">
        <is>
          <t>F0044</t>
        </is>
      </c>
      <c r="B48" t="inlineStr">
        <is>
          <t>The Dark Knight</t>
        </is>
      </c>
      <c r="C48" s="63" t="inlineStr">
        <is>
          <t>2008</t>
        </is>
      </c>
      <c r="D48" t="inlineStr">
        <is>
          <t>Blu-ray</t>
        </is>
      </c>
      <c r="E48" t="inlineStr">
        <is>
          <t>The Dark Knight Trilogy</t>
        </is>
      </c>
      <c r="F48" s="64" t="n"/>
      <c r="I48" s="64" t="inlineStr">
        <is>
          <t>Batman raises the stakes in his war on crime. With the help of Lt. Jim Gordon and District Attorney Harvey Dent, Batman sets out to dismantle the remaining criminal organizations that plague the streets. The partnership proves to be effective, but they soon find themselves prey to a reign of chaos unleashed by a rising criminal mastermind known to the terrified citizens of Gotham as the Joker.</t>
        </is>
      </c>
      <c r="J48" s="64" t="inlineStr">
        <is>
          <t>Christopher Nolan</t>
        </is>
      </c>
      <c r="K48" s="64" t="n">
        <v>152</v>
      </c>
      <c r="L48" s="64" t="inlineStr">
        <is>
          <t>Drama, Action, Crime, Thriller</t>
        </is>
      </c>
      <c r="M48" s="64" t="inlineStr">
        <is>
          <t>DC Comics, Legendary Pictures, Syncopy</t>
        </is>
      </c>
      <c r="N48" s="64" t="inlineStr">
        <is>
          <t>https://huggingface.co/datasets/HenryWaltson/TMDB-IMDB-Movies-Dataset</t>
        </is>
      </c>
      <c r="O48" s="64" t="inlineStr">
        <is>
          <t>https://huggingface.co/datasets/HenryWaltson/TMDB-IMDB-Movies-Dataset</t>
        </is>
      </c>
      <c r="P48" t="inlineStr">
        <is>
          <t>Christian Bale</t>
        </is>
      </c>
      <c r="Q48" t="inlineStr">
        <is>
          <t>Heath Ledger</t>
        </is>
      </c>
      <c r="R48" t="inlineStr">
        <is>
          <t>Aaron Eckhart</t>
        </is>
      </c>
      <c r="S48" t="inlineStr">
        <is>
          <t>Michael Caine</t>
        </is>
      </c>
      <c r="T48" t="inlineStr">
        <is>
          <t>Maggie Gyllenhaal</t>
        </is>
      </c>
      <c r="U48" s="71" t="n">
        <v>8</v>
      </c>
      <c r="V48" s="71" t="n">
        <v>2</v>
      </c>
      <c r="X48" s="82">
        <f>IFERROR(INDEX(Ratings!$E$5:$E$500,MATCH(A48,Ratings!$A$5:$A$500,0)),"")</f>
        <v/>
      </c>
      <c r="Y48" s="71">
        <f>IFERROR(INDEX(Ratings!$G$5:$G$500,MATCH(A48,Ratings!$A$5:$A$500,0)),"")</f>
        <v/>
      </c>
      <c r="Z48" s="83">
        <f>IFERROR(INDEX(Ratings!$I$5:$I$500,MATCH(A48,Ratings!$A$5:$A$500,0)),"")</f>
        <v/>
      </c>
    </row>
    <row r="49" ht="15.75" customHeight="1" s="95">
      <c r="A49" t="inlineStr">
        <is>
          <t>F0045</t>
        </is>
      </c>
      <c r="B49" t="inlineStr">
        <is>
          <t>The Dark Knight Rises</t>
        </is>
      </c>
      <c r="C49" s="63" t="inlineStr">
        <is>
          <t>2012</t>
        </is>
      </c>
      <c r="D49" t="inlineStr">
        <is>
          <t>Blu-ray</t>
        </is>
      </c>
      <c r="E49" t="inlineStr">
        <is>
          <t>The Dark Knight Trilogy</t>
        </is>
      </c>
      <c r="F49" s="64" t="n"/>
      <c r="I49" s="64" t="inlineStr">
        <is>
          <t>Following the death of District Attorney Harvey Dent, Batman assumes responsibility for Dent's crimes to protect the late attorney's reputation and is subsequently hunted by the Gotham City Police Department. Eight years later, Batman encounters the mysterious Selina Kyle and the villainous Bane, a new terrorist leader who overwhelms Gotham's finest. The Dark Knight resurfaces to protect a city that has branded him an enemy.</t>
        </is>
      </c>
      <c r="J49" s="64" t="inlineStr">
        <is>
          <t>Christopher Nolan</t>
        </is>
      </c>
      <c r="K49" s="64" t="n">
        <v>165</v>
      </c>
      <c r="L49" s="64" t="inlineStr">
        <is>
          <t>Action, Crime, Drama, Thriller</t>
        </is>
      </c>
      <c r="M49" s="64" t="inlineStr">
        <is>
          <t>Syncopy, Legendary Pictures, DC Entertainment</t>
        </is>
      </c>
      <c r="N49" s="64" t="inlineStr">
        <is>
          <t>https://huggingface.co/datasets/HenryWaltson/TMDB-IMDB-Movies-Dataset</t>
        </is>
      </c>
      <c r="O49" s="64" t="inlineStr">
        <is>
          <t>https://huggingface.co/datasets/HenryWaltson/TMDB-IMDB-Movies-Dataset</t>
        </is>
      </c>
      <c r="P49" t="inlineStr">
        <is>
          <t>Christian Bale</t>
        </is>
      </c>
      <c r="Q49" t="inlineStr">
        <is>
          <t>Gary Oldman</t>
        </is>
      </c>
      <c r="R49" t="inlineStr">
        <is>
          <t>Tom Hardy</t>
        </is>
      </c>
      <c r="S49" t="inlineStr">
        <is>
          <t>Joseph Gordon-Levitt</t>
        </is>
      </c>
      <c r="T49" t="inlineStr">
        <is>
          <t>Anne Hathaway</t>
        </is>
      </c>
      <c r="U49" s="71" t="n">
        <v>0</v>
      </c>
      <c r="V49" s="71" t="n">
        <v>0</v>
      </c>
      <c r="X49" s="82">
        <f>IFERROR(INDEX(Ratings!$E$5:$E$500,MATCH(A49,Ratings!$A$5:$A$500,0)),"")</f>
        <v/>
      </c>
      <c r="Y49" s="71">
        <f>IFERROR(INDEX(Ratings!$G$5:$G$500,MATCH(A49,Ratings!$A$5:$A$500,0)),"")</f>
        <v/>
      </c>
      <c r="Z49" s="83">
        <f>IFERROR(INDEX(Ratings!$I$5:$I$500,MATCH(A49,Ratings!$A$5:$A$500,0)),"")</f>
        <v/>
      </c>
    </row>
    <row r="50" ht="15.75" customHeight="1" s="95">
      <c r="A50" t="inlineStr">
        <is>
          <t>F0046</t>
        </is>
      </c>
      <c r="B50" t="inlineStr">
        <is>
          <t>Battle: Los Angeles</t>
        </is>
      </c>
      <c r="C50" s="63" t="inlineStr">
        <is>
          <t>2011</t>
        </is>
      </c>
      <c r="D50" t="inlineStr">
        <is>
          <t>Blu-ray</t>
        </is>
      </c>
      <c r="F50" s="64" t="n"/>
      <c r="I50" s="64" t="inlineStr">
        <is>
          <t>When once distant UFOs become a terrifying threat and an alien invasion force begins attacking Earths major costal and riverside cities, a U.S Marine staff sergeant and his team are sent into battle only to find they must take it upon themselves to defeat an unknown enemy and protect what remains of Los Angeles.</t>
        </is>
      </c>
      <c r="J50" s="64" t="inlineStr">
        <is>
          <t>Jonathan Liebesman</t>
        </is>
      </c>
      <c r="K50" s="64" t="n">
        <v>116</v>
      </c>
      <c r="L50" s="64" t="inlineStr">
        <is>
          <t>Science Fiction, Action</t>
        </is>
      </c>
      <c r="M50" s="64" t="inlineStr">
        <is>
          <t>Columbia Pictures, Relativity Media, Original Film</t>
        </is>
      </c>
      <c r="N50" s="64" t="inlineStr">
        <is>
          <t>https://huggingface.co/datasets/HenryWaltson/TMDB-IMDB-Movies-Dataset</t>
        </is>
      </c>
      <c r="O50" s="64" t="inlineStr">
        <is>
          <t>https://huggingface.co/datasets/HenryWaltson/TMDB-IMDB-Movies-Dataset</t>
        </is>
      </c>
      <c r="P50" t="inlineStr">
        <is>
          <t>Aaron Eckhart</t>
        </is>
      </c>
      <c r="Q50" t="inlineStr">
        <is>
          <t>Ramón Rodríguez</t>
        </is>
      </c>
      <c r="R50" t="inlineStr">
        <is>
          <t>Will Rothhaar</t>
        </is>
      </c>
      <c r="S50" t="inlineStr">
        <is>
          <t>Michael Peña</t>
        </is>
      </c>
      <c r="T50" t="inlineStr">
        <is>
          <t>Bridget Moynahan</t>
        </is>
      </c>
      <c r="U50" s="71" t="n">
        <v>0</v>
      </c>
      <c r="V50" s="71" t="n">
        <v>0</v>
      </c>
      <c r="X50" s="82">
        <f>IFERROR(INDEX(Ratings!$E$5:$E$500,MATCH(A50,Ratings!$A$5:$A$500,0)),"")</f>
        <v/>
      </c>
      <c r="Y50" s="71">
        <f>IFERROR(INDEX(Ratings!$G$5:$G$500,MATCH(A50,Ratings!$A$5:$A$500,0)),"")</f>
        <v/>
      </c>
      <c r="Z50" s="83">
        <f>IFERROR(INDEX(Ratings!$I$5:$I$500,MATCH(A50,Ratings!$A$5:$A$500,0)),"")</f>
        <v/>
      </c>
    </row>
    <row r="51" ht="15.75" customHeight="1" s="95">
      <c r="A51" t="inlineStr">
        <is>
          <t>F0047</t>
        </is>
      </c>
      <c r="B51" t="inlineStr">
        <is>
          <t>The BFG</t>
        </is>
      </c>
      <c r="C51" s="63" t="inlineStr">
        <is>
          <t>2016</t>
        </is>
      </c>
      <c r="D51" t="inlineStr">
        <is>
          <t>Blu-ray</t>
        </is>
      </c>
      <c r="F51" s="64" t="n"/>
      <c r="I51" s="64" t="inlineStr">
        <is>
          <t>Best guess: 2016 Spielberg film.</t>
        </is>
      </c>
      <c r="J51" s="64" t="inlineStr">
        <is>
          <t>Steven Spielberg</t>
        </is>
      </c>
      <c r="K51" s="64" t="n">
        <v>117</v>
      </c>
      <c r="L51" s="64" t="inlineStr">
        <is>
          <t>Adventure, Family, Fantasy</t>
        </is>
      </c>
      <c r="M51" s="64" t="inlineStr">
        <is>
          <t>Walt Disney Pictures, Amblin Entertainment, Reliance Entertainment</t>
        </is>
      </c>
      <c r="N51" s="64" t="inlineStr">
        <is>
          <t>https://huggingface.co/datasets/HenryWaltson/TMDB-IMDB-Movies-Dataset</t>
        </is>
      </c>
      <c r="O51" s="64" t="inlineStr">
        <is>
          <t>https://huggingface.co/datasets/HenryWaltson/TMDB-IMDB-Movies-Dataset</t>
        </is>
      </c>
      <c r="P51" t="inlineStr">
        <is>
          <t>Mark Rylance</t>
        </is>
      </c>
      <c r="Q51" t="inlineStr">
        <is>
          <t>Ruby Barnhill</t>
        </is>
      </c>
      <c r="R51" t="inlineStr">
        <is>
          <t>Rebecca Hall</t>
        </is>
      </c>
      <c r="S51" t="inlineStr">
        <is>
          <t>Jemaine Clement</t>
        </is>
      </c>
      <c r="T51" t="inlineStr">
        <is>
          <t>Bill Hader</t>
        </is>
      </c>
      <c r="U51" s="71" t="n">
        <v>0</v>
      </c>
      <c r="V51" s="71" t="n">
        <v>0</v>
      </c>
      <c r="X51" s="82">
        <f>IFERROR(INDEX(Ratings!$E$5:$E$500,MATCH(A51,Ratings!$A$5:$A$500,0)),"")</f>
        <v/>
      </c>
      <c r="Y51" s="71">
        <f>IFERROR(INDEX(Ratings!$G$5:$G$500,MATCH(A51,Ratings!$A$5:$A$500,0)),"")</f>
        <v/>
      </c>
      <c r="Z51" s="83">
        <f>IFERROR(INDEX(Ratings!$I$5:$I$500,MATCH(A51,Ratings!$A$5:$A$500,0)),"")</f>
        <v/>
      </c>
    </row>
    <row r="52" ht="15.75" customHeight="1" s="95">
      <c r="A52" t="inlineStr">
        <is>
          <t>F0048</t>
        </is>
      </c>
      <c r="B52" t="inlineStr">
        <is>
          <t>Big Hero 6</t>
        </is>
      </c>
      <c r="C52" s="63" t="inlineStr">
        <is>
          <t>2014</t>
        </is>
      </c>
      <c r="D52" t="inlineStr">
        <is>
          <t>Blu-ray</t>
        </is>
      </c>
      <c r="F52" s="64" t="n"/>
      <c r="I52" s="64" t="inlineStr">
        <is>
          <t>A special bond develops between plus-sized inflatable robot Baymax, and prodigy Hiro Hamada, who team up with a group of friends to form a band of high-tech heroes.</t>
        </is>
      </c>
      <c r="J52" s="64" t="inlineStr">
        <is>
          <t>Don Hall, Chris Williams</t>
        </is>
      </c>
      <c r="K52" s="64" t="n">
        <v>102</v>
      </c>
      <c r="L52" s="64" t="inlineStr">
        <is>
          <t>Adventure, Family, Animation, Action, Comedy</t>
        </is>
      </c>
      <c r="M52" s="64" t="inlineStr">
        <is>
          <t>Walt Disney Pictures, Walt Disney Animation Studios</t>
        </is>
      </c>
      <c r="N52" s="64" t="inlineStr">
        <is>
          <t>https://huggingface.co/datasets/HenryWaltson/TMDB-IMDB-Movies-Dataset</t>
        </is>
      </c>
      <c r="O52" s="64" t="inlineStr">
        <is>
          <t>https://huggingface.co/datasets/HenryWaltson/TMDB-IMDB-Movies-Dataset</t>
        </is>
      </c>
      <c r="P52" t="inlineStr">
        <is>
          <t>Scott Adsit</t>
        </is>
      </c>
      <c r="Q52" t="inlineStr">
        <is>
          <t>Ryan Potter</t>
        </is>
      </c>
      <c r="R52" t="inlineStr">
        <is>
          <t>Daniel Henney</t>
        </is>
      </c>
      <c r="S52" t="inlineStr">
        <is>
          <t>T.J. Miller</t>
        </is>
      </c>
      <c r="T52" t="inlineStr">
        <is>
          <t>Jamie Chung</t>
        </is>
      </c>
      <c r="U52" s="71" t="n">
        <v>1</v>
      </c>
      <c r="V52" s="71" t="n">
        <v>1</v>
      </c>
      <c r="X52" s="82">
        <f>IFERROR(INDEX(Ratings!$E$5:$E$500,MATCH(A52,Ratings!$A$5:$A$500,0)),"")</f>
        <v/>
      </c>
      <c r="Y52" s="71">
        <f>IFERROR(INDEX(Ratings!$G$5:$G$500,MATCH(A52,Ratings!$A$5:$A$500,0)),"")</f>
        <v/>
      </c>
      <c r="Z52" s="83">
        <f>IFERROR(INDEX(Ratings!$I$5:$I$500,MATCH(A52,Ratings!$A$5:$A$500,0)),"")</f>
        <v/>
      </c>
    </row>
    <row r="53" ht="15.75" customHeight="1" s="95">
      <c r="A53" t="inlineStr">
        <is>
          <t>F0049</t>
        </is>
      </c>
      <c r="B53" t="inlineStr">
        <is>
          <t>The Big Lebowski</t>
        </is>
      </c>
      <c r="C53" s="63" t="inlineStr">
        <is>
          <t>1998</t>
        </is>
      </c>
      <c r="D53" t="inlineStr">
        <is>
          <t>Blu-ray</t>
        </is>
      </c>
      <c r="F53" s="64" t="n"/>
      <c r="I53" s="64" t="inlineStr">
        <is>
          <t>Jeffrey 'The Dude' Lebowski, a Los Angeles slacker who only wants to bowl and drink White Russians, is mistaken for another Jeffrey Lebowski, a wheelchair-bound millionaire, and finds himself dragged into a strange series of events involving nihilists, adult film producers, ferrets, errant toes, and large sums of money.</t>
        </is>
      </c>
      <c r="J53" s="64" t="inlineStr">
        <is>
          <t>Joel Coen, Ethan Coen</t>
        </is>
      </c>
      <c r="K53" s="64" t="n">
        <v>117</v>
      </c>
      <c r="L53" s="64" t="inlineStr">
        <is>
          <t>Comedy, Crime</t>
        </is>
      </c>
      <c r="M53" s="64" t="inlineStr">
        <is>
          <t>Gramercy Pictures, PolyGram Filmed Entertainment, Working Title Films</t>
        </is>
      </c>
      <c r="N53" s="64" t="inlineStr">
        <is>
          <t>https://huggingface.co/datasets/HenryWaltson/TMDB-IMDB-Movies-Dataset</t>
        </is>
      </c>
      <c r="O53" s="64" t="inlineStr">
        <is>
          <t>https://huggingface.co/datasets/HenryWaltson/TMDB-IMDB-Movies-Dataset</t>
        </is>
      </c>
      <c r="P53" t="inlineStr">
        <is>
          <t>Jeff Bridges</t>
        </is>
      </c>
      <c r="Q53" t="inlineStr">
        <is>
          <t>John Goodman</t>
        </is>
      </c>
      <c r="R53" t="inlineStr">
        <is>
          <t>Julianne Moore</t>
        </is>
      </c>
      <c r="S53" t="inlineStr">
        <is>
          <t>Steve Buscemi</t>
        </is>
      </c>
      <c r="T53" t="inlineStr">
        <is>
          <t>David Huddleston</t>
        </is>
      </c>
      <c r="U53" s="71" t="n">
        <v>0</v>
      </c>
      <c r="V53" s="71" t="n">
        <v>0</v>
      </c>
      <c r="X53" s="82">
        <f>IFERROR(INDEX(Ratings!$E$5:$E$500,MATCH(A53,Ratings!$A$5:$A$500,0)),"")</f>
        <v/>
      </c>
      <c r="Y53" s="71">
        <f>IFERROR(INDEX(Ratings!$G$5:$G$500,MATCH(A53,Ratings!$A$5:$A$500,0)),"")</f>
        <v/>
      </c>
      <c r="Z53" s="83">
        <f>IFERROR(INDEX(Ratings!$I$5:$I$500,MATCH(A53,Ratings!$A$5:$A$500,0)),"")</f>
        <v/>
      </c>
    </row>
    <row r="54" ht="15.75" customHeight="1" s="95">
      <c r="A54" t="inlineStr">
        <is>
          <t>F0050</t>
        </is>
      </c>
      <c r="B54" t="inlineStr">
        <is>
          <t>Black Hawk Down</t>
        </is>
      </c>
      <c r="C54" s="63" t="inlineStr">
        <is>
          <t>2001</t>
        </is>
      </c>
      <c r="D54" t="inlineStr">
        <is>
          <t>Blu-ray</t>
        </is>
      </c>
      <c r="F54" s="64" t="n"/>
      <c r="I54" s="64" t="inlineStr">
        <is>
          <t>When U.S. Rangers and an elite Delta Force team attempt to kidnap two underlings of a Somali warlord, their Black Hawk helicopters are shot down, and the Americans suffer heavy casualties, facing intense fighting from the militia on the ground.</t>
        </is>
      </c>
      <c r="J54" s="64" t="inlineStr">
        <is>
          <t>Ridley Scott</t>
        </is>
      </c>
      <c r="K54" s="64" t="n">
        <v>145</v>
      </c>
      <c r="L54" s="64" t="inlineStr">
        <is>
          <t>Action, History, War</t>
        </is>
      </c>
      <c r="M54" s="64" t="inlineStr">
        <is>
          <t>Jerry Bruckheimer Films, Revolution Studios, Scott Free Productions</t>
        </is>
      </c>
      <c r="N54" s="64" t="inlineStr">
        <is>
          <t>https://huggingface.co/datasets/HenryWaltson/TMDB-IMDB-Movies-Dataset</t>
        </is>
      </c>
      <c r="O54" s="64" t="inlineStr">
        <is>
          <t>https://huggingface.co/datasets/HenryWaltson/TMDB-IMDB-Movies-Dataset</t>
        </is>
      </c>
      <c r="P54" t="inlineStr">
        <is>
          <t>Josh Hartnett</t>
        </is>
      </c>
      <c r="Q54" t="inlineStr">
        <is>
          <t>Eric Bana</t>
        </is>
      </c>
      <c r="R54" t="inlineStr">
        <is>
          <t>Ewan McGregor</t>
        </is>
      </c>
      <c r="S54" t="inlineStr">
        <is>
          <t>Tom Sizemore</t>
        </is>
      </c>
      <c r="T54" t="inlineStr">
        <is>
          <t>William Fichtner</t>
        </is>
      </c>
      <c r="U54" s="71" t="n">
        <v>4</v>
      </c>
      <c r="V54" s="71" t="n">
        <v>2</v>
      </c>
      <c r="X54" s="82">
        <f>IFERROR(INDEX(Ratings!$E$5:$E$500,MATCH(A54,Ratings!$A$5:$A$500,0)),"")</f>
        <v/>
      </c>
      <c r="Y54" s="71">
        <f>IFERROR(INDEX(Ratings!$G$5:$G$500,MATCH(A54,Ratings!$A$5:$A$500,0)),"")</f>
        <v/>
      </c>
      <c r="Z54" s="83">
        <f>IFERROR(INDEX(Ratings!$I$5:$I$500,MATCH(A54,Ratings!$A$5:$A$500,0)),"")</f>
        <v/>
      </c>
    </row>
    <row r="55" ht="15.75" customHeight="1" s="95">
      <c r="A55" t="inlineStr">
        <is>
          <t>F0051</t>
        </is>
      </c>
      <c r="B55" t="inlineStr">
        <is>
          <t>Body of Lies</t>
        </is>
      </c>
      <c r="C55" s="63" t="inlineStr">
        <is>
          <t>2008</t>
        </is>
      </c>
      <c r="D55" t="inlineStr">
        <is>
          <t>Blu-ray</t>
        </is>
      </c>
      <c r="F55" s="64" t="n"/>
      <c r="I55" s="64" t="inlineStr">
        <is>
          <t>The CIA’s hunt is on for the mastermind of a wave of terrorist attacks. Roger Ferris is the agency’s man on the ground, moving from place to place, scrambling to stay ahead of ever-shifting events. An eye in the sky – a satellite link – watches Ferris.  At the other end of that real-time link is the CIA’s Ed Hoffman, strategizing events from thousands of miles away. And as Ferris nears the target, he discovers trust can be just as dangerous as it is necessary for survival.</t>
        </is>
      </c>
      <c r="J55" s="64" t="inlineStr">
        <is>
          <t>Ridley Scott</t>
        </is>
      </c>
      <c r="K55" s="64" t="n">
        <v>128</v>
      </c>
      <c r="L55" s="64" t="inlineStr">
        <is>
          <t>Action, Drama, Thriller</t>
        </is>
      </c>
      <c r="M55" s="64" t="inlineStr">
        <is>
          <t>Scott Free Productions, De Line Pictures, Warner Bros. Pictures</t>
        </is>
      </c>
      <c r="N55" s="64" t="inlineStr">
        <is>
          <t>https://huggingface.co/datasets/HenryWaltson/TMDB-IMDB-Movies-Dataset</t>
        </is>
      </c>
      <c r="O55" s="64" t="inlineStr">
        <is>
          <t>https://huggingface.co/datasets/HenryWaltson/TMDB-IMDB-Movies-Dataset</t>
        </is>
      </c>
      <c r="P55" t="inlineStr">
        <is>
          <t>Leonardo DiCaprio</t>
        </is>
      </c>
      <c r="Q55" t="inlineStr">
        <is>
          <t>Russell Crowe</t>
        </is>
      </c>
      <c r="R55" t="inlineStr">
        <is>
          <t>Mark Strong</t>
        </is>
      </c>
      <c r="S55" t="inlineStr">
        <is>
          <t>Ali Suliman</t>
        </is>
      </c>
      <c r="T55" t="inlineStr">
        <is>
          <t>Simon McBurney</t>
        </is>
      </c>
      <c r="U55" s="71" t="n">
        <v>0</v>
      </c>
      <c r="V55" s="71" t="n">
        <v>0</v>
      </c>
      <c r="X55" s="82">
        <f>IFERROR(INDEX(Ratings!$E$5:$E$500,MATCH(A55,Ratings!$A$5:$A$500,0)),"")</f>
        <v/>
      </c>
      <c r="Y55" s="71">
        <f>IFERROR(INDEX(Ratings!$G$5:$G$500,MATCH(A55,Ratings!$A$5:$A$500,0)),"")</f>
        <v/>
      </c>
      <c r="Z55" s="83">
        <f>IFERROR(INDEX(Ratings!$I$5:$I$500,MATCH(A55,Ratings!$A$5:$A$500,0)),"")</f>
        <v/>
      </c>
    </row>
    <row r="56" ht="15.75" customHeight="1" s="95">
      <c r="A56" t="inlineStr">
        <is>
          <t>F0052</t>
        </is>
      </c>
      <c r="B56" t="inlineStr">
        <is>
          <t>Bohemian Rhapsody</t>
        </is>
      </c>
      <c r="C56" s="63" t="inlineStr">
        <is>
          <t>2018</t>
        </is>
      </c>
      <c r="D56" t="inlineStr">
        <is>
          <t>Blu-ray</t>
        </is>
      </c>
      <c r="F56" s="64" t="n"/>
      <c r="I56" s="64" t="inlineStr">
        <is>
          <t>Singer Freddie Mercury, guitarist Brian May, drummer Roger Taylor and bass guitarist John Deacon take the music world by storm when they form the rock 'n' roll band Queen in 1970. Hit songs become instant classics. When Mercury's increasingly wild lifestyle starts to spiral out of control, Queen soon faces its greatest challenge yet – finding a way to keep the band together amid the success and excess.</t>
        </is>
      </c>
      <c r="J56" s="64" t="inlineStr">
        <is>
          <t>Bryan Singer</t>
        </is>
      </c>
      <c r="K56" s="64" t="n">
        <v>135</v>
      </c>
      <c r="L56" s="64" t="inlineStr">
        <is>
          <t>Music, Drama</t>
        </is>
      </c>
      <c r="M56" s="64" t="inlineStr">
        <is>
          <t>20th Century Fox, New Regency Pictures, GK Films</t>
        </is>
      </c>
      <c r="N56" s="64" t="inlineStr">
        <is>
          <t>https://huggingface.co/datasets/HenryWaltson/TMDB-IMDB-Movies-Dataset</t>
        </is>
      </c>
      <c r="O56" s="64" t="inlineStr">
        <is>
          <t>https://huggingface.co/datasets/HenryWaltson/TMDB-IMDB-Movies-Dataset</t>
        </is>
      </c>
      <c r="P56" t="inlineStr">
        <is>
          <t>Rami Malek</t>
        </is>
      </c>
      <c r="Q56" t="inlineStr">
        <is>
          <t>Gwilym Lee</t>
        </is>
      </c>
      <c r="R56" t="inlineStr">
        <is>
          <t>Ben Hardy</t>
        </is>
      </c>
      <c r="S56" t="inlineStr">
        <is>
          <t>Joseph Mazzello</t>
        </is>
      </c>
      <c r="T56" t="inlineStr">
        <is>
          <t>Lucy Boynton</t>
        </is>
      </c>
      <c r="U56" s="71" t="n">
        <v>5</v>
      </c>
      <c r="V56" s="71" t="n">
        <v>4</v>
      </c>
      <c r="W56" t="inlineStr">
        <is>
          <t>Nominated</t>
        </is>
      </c>
      <c r="X56" s="82">
        <f>IFERROR(INDEX(Ratings!$E$5:$E$500,MATCH(A56,Ratings!$A$5:$A$500,0)),"")</f>
        <v/>
      </c>
      <c r="Y56" s="71">
        <f>IFERROR(INDEX(Ratings!$G$5:$G$500,MATCH(A56,Ratings!$A$5:$A$500,0)),"")</f>
        <v/>
      </c>
      <c r="Z56" s="83">
        <f>IFERROR(INDEX(Ratings!$I$5:$I$500,MATCH(A56,Ratings!$A$5:$A$500,0)),"")</f>
        <v/>
      </c>
    </row>
    <row r="57" ht="15.75" customHeight="1" s="95">
      <c r="A57" t="inlineStr">
        <is>
          <t>F0053</t>
        </is>
      </c>
      <c r="B57" t="inlineStr">
        <is>
          <t>The Bourne Identity</t>
        </is>
      </c>
      <c r="C57" s="63" t="inlineStr">
        <is>
          <t>2002</t>
        </is>
      </c>
      <c r="D57" t="inlineStr">
        <is>
          <t>Blu-ray</t>
        </is>
      </c>
      <c r="E57" t="inlineStr">
        <is>
          <t>Bourne</t>
        </is>
      </c>
      <c r="F57" s="64" t="n"/>
      <c r="I57" s="64" t="inlineStr">
        <is>
          <t>Wounded to the brink of death and suffering from amnesia, Jason Bourne is rescued at sea by a fisherman. With nothing to go on but a Swiss bank account number, he starts to reconstruct his life, but finds that many people he encounters want him dead. However, Bourne realizes that he has the combat and mental skills of a world-class spy—but who does he work for?</t>
        </is>
      </c>
      <c r="J57" s="64" t="inlineStr">
        <is>
          <t>Doug Liman</t>
        </is>
      </c>
      <c r="K57" s="64" t="n">
        <v>119</v>
      </c>
      <c r="L57" s="64" t="inlineStr">
        <is>
          <t>Action, Drama, Mystery, Thriller</t>
        </is>
      </c>
      <c r="M57" s="64" t="inlineStr">
        <is>
          <t>Universal Pictures, Hypnotic, Kalima Productions</t>
        </is>
      </c>
      <c r="N57" s="64" t="inlineStr">
        <is>
          <t>https://huggingface.co/datasets/HenryWaltson/TMDB-IMDB-Movies-Dataset</t>
        </is>
      </c>
      <c r="O57" s="64" t="inlineStr">
        <is>
          <t>https://huggingface.co/datasets/HenryWaltson/TMDB-IMDB-Movies-Dataset</t>
        </is>
      </c>
      <c r="P57" t="inlineStr">
        <is>
          <t>Matt Damon</t>
        </is>
      </c>
      <c r="Q57" t="inlineStr">
        <is>
          <t>Franka Potente</t>
        </is>
      </c>
      <c r="R57" t="inlineStr">
        <is>
          <t>Chris Cooper</t>
        </is>
      </c>
      <c r="S57" t="inlineStr">
        <is>
          <t>Clive Owen</t>
        </is>
      </c>
      <c r="T57" t="inlineStr">
        <is>
          <t>Brian Cox</t>
        </is>
      </c>
      <c r="U57" s="71" t="n">
        <v>0</v>
      </c>
      <c r="V57" s="71" t="n">
        <v>0</v>
      </c>
      <c r="X57" s="82">
        <f>IFERROR(INDEX(Ratings!$E$5:$E$500,MATCH(A57,Ratings!$A$5:$A$500,0)),"")</f>
        <v/>
      </c>
      <c r="Y57" s="71">
        <f>IFERROR(INDEX(Ratings!$G$5:$G$500,MATCH(A57,Ratings!$A$5:$A$500,0)),"")</f>
        <v/>
      </c>
      <c r="Z57" s="83">
        <f>IFERROR(INDEX(Ratings!$I$5:$I$500,MATCH(A57,Ratings!$A$5:$A$500,0)),"")</f>
        <v/>
      </c>
    </row>
    <row r="58" ht="15.75" customHeight="1" s="95">
      <c r="A58" t="inlineStr">
        <is>
          <t>F0054</t>
        </is>
      </c>
      <c r="B58" t="inlineStr">
        <is>
          <t>The Bourne Supremacy</t>
        </is>
      </c>
      <c r="C58" s="63" t="inlineStr">
        <is>
          <t>2004</t>
        </is>
      </c>
      <c r="D58" t="inlineStr">
        <is>
          <t>Blu-ray</t>
        </is>
      </c>
      <c r="E58" t="inlineStr">
        <is>
          <t>Bourne</t>
        </is>
      </c>
      <c r="F58" s="64" t="n"/>
      <c r="I58" s="64" t="inlineStr">
        <is>
          <t>A CIA operation to purchase classified Russian documents is blown by a rival agent, who then shows up in the sleepy seaside village where Bourne and Marie have been living. The pair run for their lives and Bourne, who promised retaliation should anyone from his former life attempt contact, is forced to once again take up his life as a trained assassin to survive.</t>
        </is>
      </c>
      <c r="J58" s="64" t="inlineStr">
        <is>
          <t>Paul Greengrass</t>
        </is>
      </c>
      <c r="K58" s="64" t="n">
        <v>108</v>
      </c>
      <c r="L58" s="64" t="inlineStr">
        <is>
          <t>Action, Drama, Thriller</t>
        </is>
      </c>
      <c r="M58" s="64" t="inlineStr">
        <is>
          <t>Universal Pictures, The Kennedy/Marshall Company, Hypnotic</t>
        </is>
      </c>
      <c r="N58" s="64" t="inlineStr">
        <is>
          <t>https://huggingface.co/datasets/HenryWaltson/TMDB-IMDB-Movies-Dataset</t>
        </is>
      </c>
      <c r="O58" s="64" t="inlineStr">
        <is>
          <t>https://huggingface.co/datasets/HenryWaltson/TMDB-IMDB-Movies-Dataset</t>
        </is>
      </c>
      <c r="P58" t="inlineStr">
        <is>
          <t>Matt Damon</t>
        </is>
      </c>
      <c r="Q58" t="inlineStr">
        <is>
          <t>Franka Potente</t>
        </is>
      </c>
      <c r="R58" t="inlineStr">
        <is>
          <t>Brian Cox</t>
        </is>
      </c>
      <c r="S58" t="inlineStr">
        <is>
          <t>Julia Stiles</t>
        </is>
      </c>
      <c r="T58" t="inlineStr">
        <is>
          <t>Karl Urban</t>
        </is>
      </c>
      <c r="U58" s="71" t="n">
        <v>0</v>
      </c>
      <c r="V58" s="71" t="n">
        <v>0</v>
      </c>
      <c r="X58" s="82">
        <f>IFERROR(INDEX(Ratings!$E$5:$E$500,MATCH(A58,Ratings!$A$5:$A$500,0)),"")</f>
        <v/>
      </c>
      <c r="Y58" s="71">
        <f>IFERROR(INDEX(Ratings!$G$5:$G$500,MATCH(A58,Ratings!$A$5:$A$500,0)),"")</f>
        <v/>
      </c>
      <c r="Z58" s="83">
        <f>IFERROR(INDEX(Ratings!$I$5:$I$500,MATCH(A58,Ratings!$A$5:$A$500,0)),"")</f>
        <v/>
      </c>
    </row>
    <row r="59" ht="15.75" customHeight="1" s="95">
      <c r="A59" t="inlineStr">
        <is>
          <t>F0055</t>
        </is>
      </c>
      <c r="B59" t="inlineStr">
        <is>
          <t>The Bourne Ultimatum</t>
        </is>
      </c>
      <c r="C59" s="63" t="inlineStr">
        <is>
          <t>2007</t>
        </is>
      </c>
      <c r="D59" t="inlineStr">
        <is>
          <t>Blu-ray</t>
        </is>
      </c>
      <c r="E59" t="inlineStr">
        <is>
          <t>Bourne</t>
        </is>
      </c>
      <c r="F59" s="64" t="n"/>
      <c r="I59" s="64" t="inlineStr">
        <is>
          <t>Bourne is brought out of hiding once again by reporter Simon Ross who is trying to unveil Operation Blackbriar, an upgrade to Project Treadstone, in a series of newspaper columns. Information from the reporter stirs a new set of memories, and Bourne must finally uncover his dark past while dodging The Company's best efforts to eradicate him.</t>
        </is>
      </c>
      <c r="J59" s="64" t="inlineStr">
        <is>
          <t>Paul Greengrass</t>
        </is>
      </c>
      <c r="K59" s="64" t="n">
        <v>115</v>
      </c>
      <c r="L59" s="64" t="inlineStr">
        <is>
          <t>Action, Drama, Mystery, Thriller</t>
        </is>
      </c>
      <c r="M59" s="64" t="inlineStr">
        <is>
          <t>Universal Pictures, The Kennedy/Marshall Company, Ludlum Entertainment</t>
        </is>
      </c>
      <c r="N59" s="64" t="inlineStr">
        <is>
          <t>https://huggingface.co/datasets/HenryWaltson/TMDB-IMDB-Movies-Dataset</t>
        </is>
      </c>
      <c r="O59" s="64" t="inlineStr">
        <is>
          <t>https://huggingface.co/datasets/HenryWaltson/TMDB-IMDB-Movies-Dataset</t>
        </is>
      </c>
      <c r="P59" t="inlineStr">
        <is>
          <t>Matt Damon</t>
        </is>
      </c>
      <c r="Q59" t="inlineStr">
        <is>
          <t>Julia Stiles</t>
        </is>
      </c>
      <c r="R59" t="inlineStr">
        <is>
          <t>David Strathairn</t>
        </is>
      </c>
      <c r="S59" t="inlineStr">
        <is>
          <t>Scott Glenn</t>
        </is>
      </c>
      <c r="T59" t="inlineStr">
        <is>
          <t>Paddy Considine</t>
        </is>
      </c>
      <c r="U59" s="71" t="n">
        <v>3</v>
      </c>
      <c r="V59" s="71" t="n">
        <v>3</v>
      </c>
      <c r="X59" s="82">
        <f>IFERROR(INDEX(Ratings!$E$5:$E$500,MATCH(A59,Ratings!$A$5:$A$500,0)),"")</f>
        <v/>
      </c>
      <c r="Y59" s="71">
        <f>IFERROR(INDEX(Ratings!$G$5:$G$500,MATCH(A59,Ratings!$A$5:$A$500,0)),"")</f>
        <v/>
      </c>
      <c r="Z59" s="83">
        <f>IFERROR(INDEX(Ratings!$I$5:$I$500,MATCH(A59,Ratings!$A$5:$A$500,0)),"")</f>
        <v/>
      </c>
    </row>
    <row r="60" ht="15.75" customHeight="1" s="95">
      <c r="A60" t="inlineStr">
        <is>
          <t>F0056</t>
        </is>
      </c>
      <c r="B60" t="inlineStr">
        <is>
          <t>The Bourne Legacy</t>
        </is>
      </c>
      <c r="C60" s="63" t="inlineStr">
        <is>
          <t>2012</t>
        </is>
      </c>
      <c r="D60" t="inlineStr">
        <is>
          <t>Blu-ray</t>
        </is>
      </c>
      <c r="E60" t="inlineStr">
        <is>
          <t>Bourne</t>
        </is>
      </c>
      <c r="F60" s="64" t="n"/>
      <c r="I60" s="64" t="inlineStr">
        <is>
          <t>New CIA operative Aaron Cross experiences life-or-death stakes that have been triggered by the previous actions of Jason Bourne.</t>
        </is>
      </c>
      <c r="J60" s="64" t="inlineStr">
        <is>
          <t>Tony Gilroy</t>
        </is>
      </c>
      <c r="K60" s="64" t="n">
        <v>135</v>
      </c>
      <c r="L60" s="64" t="inlineStr">
        <is>
          <t>Action, Thriller</t>
        </is>
      </c>
      <c r="M60" s="64" t="inlineStr">
        <is>
          <t>Universal Pictures, Relativity Media, Captivate Entertainment</t>
        </is>
      </c>
      <c r="N60" s="64" t="inlineStr">
        <is>
          <t>https://huggingface.co/datasets/HenryWaltson/TMDB-IMDB-Movies-Dataset</t>
        </is>
      </c>
      <c r="O60" s="64" t="inlineStr">
        <is>
          <t>https://huggingface.co/datasets/HenryWaltson/TMDB-IMDB-Movies-Dataset</t>
        </is>
      </c>
      <c r="P60" t="inlineStr">
        <is>
          <t>Jeremy Renner</t>
        </is>
      </c>
      <c r="Q60" t="inlineStr">
        <is>
          <t>Rachel Weisz</t>
        </is>
      </c>
      <c r="R60" t="inlineStr">
        <is>
          <t>Edward Norton</t>
        </is>
      </c>
      <c r="S60" t="inlineStr">
        <is>
          <t>Stacy Keach</t>
        </is>
      </c>
      <c r="T60" t="inlineStr">
        <is>
          <t>Dennis Boutsikaris</t>
        </is>
      </c>
      <c r="U60" s="71" t="n">
        <v>0</v>
      </c>
      <c r="V60" s="71" t="n">
        <v>0</v>
      </c>
      <c r="X60" s="82">
        <f>IFERROR(INDEX(Ratings!$E$5:$E$500,MATCH(A60,Ratings!$A$5:$A$500,0)),"")</f>
        <v/>
      </c>
      <c r="Y60" s="71">
        <f>IFERROR(INDEX(Ratings!$G$5:$G$500,MATCH(A60,Ratings!$A$5:$A$500,0)),"")</f>
        <v/>
      </c>
      <c r="Z60" s="83">
        <f>IFERROR(INDEX(Ratings!$I$5:$I$500,MATCH(A60,Ratings!$A$5:$A$500,0)),"")</f>
        <v/>
      </c>
    </row>
    <row r="61" ht="15.75" customHeight="1" s="95">
      <c r="A61" t="inlineStr">
        <is>
          <t>F0057</t>
        </is>
      </c>
      <c r="B61" t="inlineStr">
        <is>
          <t>The Breakfast Club</t>
        </is>
      </c>
      <c r="C61" s="63" t="inlineStr">
        <is>
          <t>1985</t>
        </is>
      </c>
      <c r="D61" t="inlineStr">
        <is>
          <t>Blu-ray</t>
        </is>
      </c>
      <c r="F61" s="64" t="n"/>
      <c r="I61" s="64" t="inlineStr">
        <is>
          <t>Five high school students from different walks of life endure a Saturday detention under a power-hungry principal. The disparate group includes rebel John, princess Claire, outcast Allison, brainy Brian and Andrew, the jock. Each has a chance to tell his or her story, making the others see them a little differently -- and when the day ends, they question whether school will ever be the same.</t>
        </is>
      </c>
      <c r="J61" s="64" t="inlineStr">
        <is>
          <t>John Hughes</t>
        </is>
      </c>
      <c r="K61" s="64" t="n">
        <v>98</v>
      </c>
      <c r="L61" s="64" t="inlineStr">
        <is>
          <t>Comedy, Drama</t>
        </is>
      </c>
      <c r="M61" s="64" t="inlineStr">
        <is>
          <t>Universal Pictures, A&amp;M Films, Channel Productions</t>
        </is>
      </c>
      <c r="N61" s="64" t="inlineStr">
        <is>
          <t>https://huggingface.co/datasets/HenryWaltson/TMDB-IMDB-Movies-Dataset</t>
        </is>
      </c>
      <c r="O61" s="64" t="inlineStr">
        <is>
          <t>https://huggingface.co/datasets/HenryWaltson/TMDB-IMDB-Movies-Dataset</t>
        </is>
      </c>
      <c r="P61" t="inlineStr">
        <is>
          <t>Emilio Estevez</t>
        </is>
      </c>
      <c r="Q61" t="inlineStr">
        <is>
          <t>Judd Nelson</t>
        </is>
      </c>
      <c r="R61" t="inlineStr">
        <is>
          <t>Molly Ringwald</t>
        </is>
      </c>
      <c r="S61" t="inlineStr">
        <is>
          <t>Anthony Michael Hall</t>
        </is>
      </c>
      <c r="T61" t="inlineStr">
        <is>
          <t>Ally Sheedy</t>
        </is>
      </c>
      <c r="U61" s="71" t="n">
        <v>0</v>
      </c>
      <c r="V61" s="71" t="n">
        <v>0</v>
      </c>
      <c r="X61" s="82">
        <f>IFERROR(INDEX(Ratings!$E$5:$E$500,MATCH(A61,Ratings!$A$5:$A$500,0)),"")</f>
        <v/>
      </c>
      <c r="Y61" s="71">
        <f>IFERROR(INDEX(Ratings!$G$5:$G$500,MATCH(A61,Ratings!$A$5:$A$500,0)),"")</f>
        <v/>
      </c>
      <c r="Z61" s="83">
        <f>IFERROR(INDEX(Ratings!$I$5:$I$500,MATCH(A61,Ratings!$A$5:$A$500,0)),"")</f>
        <v/>
      </c>
    </row>
    <row r="62" ht="15.75" customHeight="1" s="95">
      <c r="A62" t="inlineStr">
        <is>
          <t>F0058</t>
        </is>
      </c>
      <c r="B62" t="inlineStr">
        <is>
          <t>Bridesmaids</t>
        </is>
      </c>
      <c r="C62" s="63" t="inlineStr">
        <is>
          <t>2011</t>
        </is>
      </c>
      <c r="D62" t="inlineStr">
        <is>
          <t>Blu-ray</t>
        </is>
      </c>
      <c r="F62" s="64" t="n"/>
      <c r="I62" s="64" t="inlineStr">
        <is>
          <t>Annie's life is a mess. But when she finds out her lifetime best friend is engaged, she simply must serve as Lillian's maid of honor. Though lovelorn and broke, Annie bluffs her way through the expensive and bizarre rituals. With one chance to get it perfect, she’ll show Lillian and her bridesmaids just how far you’ll go for someone you love.</t>
        </is>
      </c>
      <c r="J62" s="64" t="inlineStr">
        <is>
          <t>Paul Feig</t>
        </is>
      </c>
      <c r="K62" s="64" t="n">
        <v>125</v>
      </c>
      <c r="L62" s="64" t="inlineStr">
        <is>
          <t>Comedy, Romance</t>
        </is>
      </c>
      <c r="M62" s="64" t="inlineStr">
        <is>
          <t>Apatow Productions, Relativity Media</t>
        </is>
      </c>
      <c r="N62" s="64" t="inlineStr">
        <is>
          <t>https://huggingface.co/datasets/HenryWaltson/TMDB-IMDB-Movies-Dataset</t>
        </is>
      </c>
      <c r="O62" s="64" t="inlineStr">
        <is>
          <t>https://huggingface.co/datasets/HenryWaltson/TMDB-IMDB-Movies-Dataset</t>
        </is>
      </c>
      <c r="P62" t="inlineStr">
        <is>
          <t>Kristen Wiig</t>
        </is>
      </c>
      <c r="Q62" t="inlineStr">
        <is>
          <t>Maya Rudolph</t>
        </is>
      </c>
      <c r="R62" t="inlineStr">
        <is>
          <t>Rose Byrne</t>
        </is>
      </c>
      <c r="S62" t="inlineStr">
        <is>
          <t>Chris O'Dowd</t>
        </is>
      </c>
      <c r="T62" t="inlineStr">
        <is>
          <t>Wendi McLendon-Covey</t>
        </is>
      </c>
      <c r="U62" s="71" t="n">
        <v>2</v>
      </c>
      <c r="V62" s="71" t="n">
        <v>0</v>
      </c>
      <c r="X62" s="82">
        <f>IFERROR(INDEX(Ratings!$E$5:$E$500,MATCH(A62,Ratings!$A$5:$A$500,0)),"")</f>
        <v/>
      </c>
      <c r="Y62" s="71">
        <f>IFERROR(INDEX(Ratings!$G$5:$G$500,MATCH(A62,Ratings!$A$5:$A$500,0)),"")</f>
        <v/>
      </c>
      <c r="Z62" s="83">
        <f>IFERROR(INDEX(Ratings!$I$5:$I$500,MATCH(A62,Ratings!$A$5:$A$500,0)),"")</f>
        <v/>
      </c>
    </row>
    <row r="63" ht="15.75" customHeight="1" s="95">
      <c r="A63" t="inlineStr">
        <is>
          <t>F0059</t>
        </is>
      </c>
      <c r="B63" t="inlineStr">
        <is>
          <t>Brüno</t>
        </is>
      </c>
      <c r="C63" s="63" t="inlineStr">
        <is>
          <t>2009</t>
        </is>
      </c>
      <c r="D63" t="inlineStr">
        <is>
          <t>Blu-ray</t>
        </is>
      </c>
      <c r="F63" s="64" t="n"/>
      <c r="I63" s="64" t="inlineStr">
        <is>
          <t>Flamboyantly gay Austrian television reporter Bruno stirs up trouble with unsuspecting guests and large crowds through brutally frank interviews and painfully hilarious public displays of homosexuality.</t>
        </is>
      </c>
      <c r="J63" s="64" t="inlineStr">
        <is>
          <t>Larry Charles</t>
        </is>
      </c>
      <c r="K63" s="64" t="n">
        <v>83</v>
      </c>
      <c r="L63" s="64" t="inlineStr">
        <is>
          <t>Comedy</t>
        </is>
      </c>
      <c r="M63" s="64" t="inlineStr">
        <is>
          <t>Universal Pictures, MRC, Four by Two</t>
        </is>
      </c>
      <c r="N63" s="64" t="inlineStr">
        <is>
          <t>https://huggingface.co/datasets/HenryWaltson/TMDB-IMDB-Movies-Dataset</t>
        </is>
      </c>
      <c r="O63" s="64" t="inlineStr">
        <is>
          <t>https://huggingface.co/datasets/HenryWaltson/TMDB-IMDB-Movies-Dataset</t>
        </is>
      </c>
      <c r="P63" t="inlineStr">
        <is>
          <t>Sacha Baron Cohen</t>
        </is>
      </c>
      <c r="Q63" t="inlineStr">
        <is>
          <t>Gustaf Hammarsten</t>
        </is>
      </c>
      <c r="R63" t="inlineStr">
        <is>
          <t>Clifford Bañagale</t>
        </is>
      </c>
      <c r="S63" t="inlineStr">
        <is>
          <t>Josh Meyers</t>
        </is>
      </c>
      <c r="T63" t="inlineStr">
        <is>
          <t>Robert Huerta</t>
        </is>
      </c>
      <c r="U63" s="71" t="n">
        <v>0</v>
      </c>
      <c r="V63" s="71" t="n">
        <v>0</v>
      </c>
      <c r="X63" s="82">
        <f>IFERROR(INDEX(Ratings!$E$5:$E$500,MATCH(A63,Ratings!$A$5:$A$500,0)),"")</f>
        <v/>
      </c>
      <c r="Y63" s="71">
        <f>IFERROR(INDEX(Ratings!$G$5:$G$500,MATCH(A63,Ratings!$A$5:$A$500,0)),"")</f>
        <v/>
      </c>
      <c r="Z63" s="83">
        <f>IFERROR(INDEX(Ratings!$I$5:$I$500,MATCH(A63,Ratings!$A$5:$A$500,0)),"")</f>
        <v/>
      </c>
    </row>
    <row r="64" ht="15.75" customHeight="1" s="95">
      <c r="A64" t="inlineStr">
        <is>
          <t>F0060</t>
        </is>
      </c>
      <c r="B64" t="inlineStr">
        <is>
          <t>The Bucket List</t>
        </is>
      </c>
      <c r="C64" s="63" t="inlineStr">
        <is>
          <t>2007</t>
        </is>
      </c>
      <c r="D64" t="inlineStr">
        <is>
          <t>Blu-ray</t>
        </is>
      </c>
      <c r="F64" s="64" t="n"/>
      <c r="I64" s="64" t="inlineStr">
        <is>
          <t>Corporate billionaire Edward Cole and working class mechanic Carter Chambers are worlds apart. At a crossroads in their lives, they share a hospital room and discover they have two things in common: a desire to spend the time they have left doing everything they ever wanted to do and an unrealized need to come to terms with who they are. Together they embark on the road trip of a lifetime, becoming friends along the way and learning to live life to the fullest, with insight and humor.</t>
        </is>
      </c>
      <c r="J64" s="64" t="inlineStr">
        <is>
          <t>Rob Reiner</t>
        </is>
      </c>
      <c r="K64" s="64" t="n">
        <v>97</v>
      </c>
      <c r="L64" s="64" t="inlineStr">
        <is>
          <t>Drama, Comedy</t>
        </is>
      </c>
      <c r="M64" s="64" t="inlineStr">
        <is>
          <t>Two Ton Films, Zadan / Meron Productions, Reiner / Greisman Productions</t>
        </is>
      </c>
      <c r="N64" s="64" t="inlineStr">
        <is>
          <t>https://huggingface.co/datasets/HenryWaltson/TMDB-IMDB-Movies-Dataset</t>
        </is>
      </c>
      <c r="O64" s="64" t="inlineStr">
        <is>
          <t>https://huggingface.co/datasets/HenryWaltson/TMDB-IMDB-Movies-Dataset</t>
        </is>
      </c>
      <c r="P64" t="inlineStr">
        <is>
          <t>Jack Nicholson</t>
        </is>
      </c>
      <c r="Q64" t="inlineStr">
        <is>
          <t>Morgan Freeman</t>
        </is>
      </c>
      <c r="R64" t="inlineStr">
        <is>
          <t>Sean Hayes</t>
        </is>
      </c>
      <c r="S64" t="inlineStr">
        <is>
          <t>Beverly Todd</t>
        </is>
      </c>
      <c r="T64" t="inlineStr">
        <is>
          <t>Alfonso Freeman</t>
        </is>
      </c>
      <c r="U64" s="71" t="n">
        <v>0</v>
      </c>
      <c r="V64" s="71" t="n">
        <v>0</v>
      </c>
      <c r="X64" s="82">
        <f>IFERROR(INDEX(Ratings!$E$5:$E$500,MATCH(A64,Ratings!$A$5:$A$500,0)),"")</f>
        <v/>
      </c>
      <c r="Y64" s="71">
        <f>IFERROR(INDEX(Ratings!$G$5:$G$500,MATCH(A64,Ratings!$A$5:$A$500,0)),"")</f>
        <v/>
      </c>
      <c r="Z64" s="83">
        <f>IFERROR(INDEX(Ratings!$I$5:$I$500,MATCH(A64,Ratings!$A$5:$A$500,0)),"")</f>
        <v/>
      </c>
    </row>
    <row r="65" ht="15.75" customHeight="1" s="95">
      <c r="A65" t="inlineStr">
        <is>
          <t>F0061</t>
        </is>
      </c>
      <c r="B65" t="inlineStr">
        <is>
          <t>Bumblebee</t>
        </is>
      </c>
      <c r="C65" s="63" t="inlineStr">
        <is>
          <t>2018</t>
        </is>
      </c>
      <c r="D65" t="inlineStr">
        <is>
          <t>Blu-ray</t>
        </is>
      </c>
      <c r="E65" t="inlineStr">
        <is>
          <t>Transformers</t>
        </is>
      </c>
      <c r="F65" s="64" t="n"/>
      <c r="I65" s="64" t="inlineStr">
        <is>
          <t>On the run in the year 1987, Bumblebee finds refuge in a junkyard in a small Californian beach town. Charlie, on the cusp of turning 18 and trying to find her place in the world, discovers Bumblebee, battle-scarred and broken.  When Charlie revives him, she quickly learns this is no ordinary yellow VW bug.</t>
        </is>
      </c>
      <c r="J65" s="64" t="inlineStr">
        <is>
          <t>Travis Knight</t>
        </is>
      </c>
      <c r="K65" s="64" t="n">
        <v>113</v>
      </c>
      <c r="L65" s="64" t="inlineStr">
        <is>
          <t>Action, Adventure, Science Fiction</t>
        </is>
      </c>
      <c r="M65" s="64" t="inlineStr">
        <is>
          <t>Paramount, Allspark Pictures, Bay Films</t>
        </is>
      </c>
      <c r="N65" s="64" t="inlineStr">
        <is>
          <t>https://huggingface.co/datasets/HenryWaltson/TMDB-IMDB-Movies-Dataset</t>
        </is>
      </c>
      <c r="O65" s="64" t="inlineStr">
        <is>
          <t>https://huggingface.co/datasets/HenryWaltson/TMDB-IMDB-Movies-Dataset</t>
        </is>
      </c>
      <c r="P65" t="inlineStr">
        <is>
          <t>Hailee Steinfeld</t>
        </is>
      </c>
      <c r="Q65" t="inlineStr">
        <is>
          <t>John Cena</t>
        </is>
      </c>
      <c r="R65" t="inlineStr">
        <is>
          <t>Jorge Lendeborg Jr.</t>
        </is>
      </c>
      <c r="S65" t="inlineStr">
        <is>
          <t>John Ortiz</t>
        </is>
      </c>
      <c r="T65" t="inlineStr">
        <is>
          <t>Jason Ian Drucker</t>
        </is>
      </c>
      <c r="U65" s="71" t="n">
        <v>0</v>
      </c>
      <c r="V65" s="71" t="n">
        <v>0</v>
      </c>
      <c r="X65" s="82">
        <f>IFERROR(INDEX(Ratings!$E$5:$E$500,MATCH(A65,Ratings!$A$5:$A$500,0)),"")</f>
        <v/>
      </c>
      <c r="Y65" s="71">
        <f>IFERROR(INDEX(Ratings!$G$5:$G$500,MATCH(A65,Ratings!$A$5:$A$500,0)),"")</f>
        <v/>
      </c>
      <c r="Z65" s="83">
        <f>IFERROR(INDEX(Ratings!$I$5:$I$500,MATCH(A65,Ratings!$A$5:$A$500,0)),"")</f>
        <v/>
      </c>
    </row>
    <row r="66" ht="15.75" customHeight="1" s="95">
      <c r="A66" t="inlineStr">
        <is>
          <t>F0062</t>
        </is>
      </c>
      <c r="B66" t="inlineStr">
        <is>
          <t>Captain Phillips</t>
        </is>
      </c>
      <c r="C66" s="63" t="inlineStr">
        <is>
          <t>2013</t>
        </is>
      </c>
      <c r="D66" t="inlineStr">
        <is>
          <t>Blu-ray</t>
        </is>
      </c>
      <c r="F66" s="64" t="n"/>
      <c r="I66" s="64" t="inlineStr">
        <is>
          <t>The true story of Captain Richard Phillips and the 2009 hijacking by Somali pirates of the US-flagged MV Maersk Alabama, the first American cargo ship to be hijacked in two hundred years.</t>
        </is>
      </c>
      <c r="J66" s="64" t="inlineStr">
        <is>
          <t>Paul Greengrass</t>
        </is>
      </c>
      <c r="K66" s="64" t="n">
        <v>134</v>
      </c>
      <c r="L66" s="64" t="inlineStr">
        <is>
          <t>Action, Drama, Thriller</t>
        </is>
      </c>
      <c r="M66" s="64" t="inlineStr">
        <is>
          <t>Columbia Pictures, Michael De Luca Productions, Scott Rudin Productions</t>
        </is>
      </c>
      <c r="N66" s="64" t="inlineStr">
        <is>
          <t>https://huggingface.co/datasets/HenryWaltson/TMDB-IMDB-Movies-Dataset</t>
        </is>
      </c>
      <c r="O66" s="64" t="inlineStr">
        <is>
          <t>https://huggingface.co/datasets/HenryWaltson/TMDB-IMDB-Movies-Dataset</t>
        </is>
      </c>
      <c r="P66" t="inlineStr">
        <is>
          <t>Tom Hanks</t>
        </is>
      </c>
      <c r="Q66" t="inlineStr">
        <is>
          <t>Barkhad Abdi</t>
        </is>
      </c>
      <c r="R66" t="inlineStr">
        <is>
          <t>Barkhad Abdirahman</t>
        </is>
      </c>
      <c r="S66" t="inlineStr">
        <is>
          <t>Faysal  Ahmed</t>
        </is>
      </c>
      <c r="T66" t="inlineStr">
        <is>
          <t>Mahat M. Ali</t>
        </is>
      </c>
      <c r="U66" s="71" t="n">
        <v>6</v>
      </c>
      <c r="V66" s="71" t="n">
        <v>0</v>
      </c>
      <c r="W66" t="inlineStr">
        <is>
          <t>Nominated</t>
        </is>
      </c>
      <c r="X66" s="82">
        <f>IFERROR(INDEX(Ratings!$E$5:$E$500,MATCH(A66,Ratings!$A$5:$A$500,0)),"")</f>
        <v/>
      </c>
      <c r="Y66" s="71">
        <f>IFERROR(INDEX(Ratings!$G$5:$G$500,MATCH(A66,Ratings!$A$5:$A$500,0)),"")</f>
        <v/>
      </c>
      <c r="Z66" s="83">
        <f>IFERROR(INDEX(Ratings!$I$5:$I$500,MATCH(A66,Ratings!$A$5:$A$500,0)),"")</f>
        <v/>
      </c>
    </row>
    <row r="67" ht="15.75" customHeight="1" s="95">
      <c r="A67" t="inlineStr">
        <is>
          <t>F0063</t>
        </is>
      </c>
      <c r="B67" t="inlineStr">
        <is>
          <t>Catch.44</t>
        </is>
      </c>
      <c r="C67" s="63" t="inlineStr">
        <is>
          <t>2011</t>
        </is>
      </c>
      <c r="D67" t="inlineStr">
        <is>
          <t>Blu-ray</t>
        </is>
      </c>
      <c r="F67" s="64" t="n"/>
      <c r="I67" s="64" t="inlineStr">
        <is>
          <t>The lives of three female assassins take a sudden turn when their charming boss lures them into one last job. They soon find themselves thrust into a bizarre situation involving a psychotic hit man, a grizzled trucker and a delusional line cook.</t>
        </is>
      </c>
      <c r="J67" s="64" t="inlineStr">
        <is>
          <t>Aaron Harvey</t>
        </is>
      </c>
      <c r="K67" s="64" t="n">
        <v>93</v>
      </c>
      <c r="L67" s="64" t="inlineStr">
        <is>
          <t>Drama, Action, Thriller</t>
        </is>
      </c>
      <c r="M67" s="64" t="inlineStr">
        <is>
          <t>Sakonnet Capital Partners, EFO Films, Benaroya Pictures</t>
        </is>
      </c>
      <c r="N67" s="64" t="inlineStr">
        <is>
          <t>https://huggingface.co/datasets/HenryWaltson/TMDB-IMDB-Movies-Dataset</t>
        </is>
      </c>
      <c r="O67" s="64" t="inlineStr">
        <is>
          <t>https://huggingface.co/datasets/HenryWaltson/TMDB-IMDB-Movies-Dataset</t>
        </is>
      </c>
      <c r="P67" t="inlineStr">
        <is>
          <t>Bruce Willis</t>
        </is>
      </c>
      <c r="Q67" t="inlineStr">
        <is>
          <t>Malin Åkerman</t>
        </is>
      </c>
      <c r="R67" t="inlineStr">
        <is>
          <t>Nikki Reed</t>
        </is>
      </c>
      <c r="S67" t="inlineStr">
        <is>
          <t>Deborah Ann Woll</t>
        </is>
      </c>
      <c r="T67" t="inlineStr">
        <is>
          <t>Forest Whitaker</t>
        </is>
      </c>
      <c r="U67" s="71" t="n">
        <v>0</v>
      </c>
      <c r="V67" s="71" t="n">
        <v>0</v>
      </c>
      <c r="X67" s="82">
        <f>IFERROR(INDEX(Ratings!$E$5:$E$500,MATCH(A67,Ratings!$A$5:$A$500,0)),"")</f>
        <v/>
      </c>
      <c r="Y67" s="71">
        <f>IFERROR(INDEX(Ratings!$G$5:$G$500,MATCH(A67,Ratings!$A$5:$A$500,0)),"")</f>
        <v/>
      </c>
      <c r="Z67" s="83">
        <f>IFERROR(INDEX(Ratings!$I$5:$I$500,MATCH(A67,Ratings!$A$5:$A$500,0)),"")</f>
        <v/>
      </c>
    </row>
    <row r="68" ht="15.75" customHeight="1" s="95">
      <c r="A68" t="inlineStr">
        <is>
          <t>F0064</t>
        </is>
      </c>
      <c r="B68" t="inlineStr">
        <is>
          <t>Catch Me If You Can</t>
        </is>
      </c>
      <c r="C68" s="63" t="inlineStr">
        <is>
          <t>2002</t>
        </is>
      </c>
      <c r="D68" t="inlineStr">
        <is>
          <t>Blu-ray</t>
        </is>
      </c>
      <c r="F68" s="64" t="n"/>
      <c r="I68" s="64" t="inlineStr">
        <is>
          <t>A true story about Frank Abagnale Jr. who, before his 19th birthday, successfully conned millions of dollars worth of checks as a Pan Am pilot, doctor, and legal prosecutor. An FBI agent makes it his mission to put him behind bars. But Frank not only eludes capture, he revels in the pursuit.</t>
        </is>
      </c>
      <c r="J68" s="64" t="inlineStr">
        <is>
          <t>Steven Spielberg</t>
        </is>
      </c>
      <c r="K68" s="64" t="n">
        <v>141</v>
      </c>
      <c r="L68" s="64" t="inlineStr">
        <is>
          <t>Drama, Crime</t>
        </is>
      </c>
      <c r="M68" s="64" t="inlineStr">
        <is>
          <t>Parkes/MacDonald Productions, Kemp Company, Splendid Pictures</t>
        </is>
      </c>
      <c r="N68" s="64" t="inlineStr">
        <is>
          <t>https://huggingface.co/datasets/HenryWaltson/TMDB-IMDB-Movies-Dataset</t>
        </is>
      </c>
      <c r="O68" s="64" t="inlineStr">
        <is>
          <t>https://huggingface.co/datasets/HenryWaltson/TMDB-IMDB-Movies-Dataset</t>
        </is>
      </c>
      <c r="P68" t="inlineStr">
        <is>
          <t>Leonardo DiCaprio</t>
        </is>
      </c>
      <c r="Q68" t="inlineStr">
        <is>
          <t>Tom Hanks</t>
        </is>
      </c>
      <c r="R68" t="inlineStr">
        <is>
          <t>Christopher Walken</t>
        </is>
      </c>
      <c r="S68" t="inlineStr">
        <is>
          <t>Martin Sheen</t>
        </is>
      </c>
      <c r="T68" t="inlineStr">
        <is>
          <t>Nathalie Baye</t>
        </is>
      </c>
      <c r="U68" s="71" t="n">
        <v>2</v>
      </c>
      <c r="V68" s="71" t="n">
        <v>0</v>
      </c>
      <c r="X68" s="82">
        <f>IFERROR(INDEX(Ratings!$E$5:$E$500,MATCH(A68,Ratings!$A$5:$A$500,0)),"")</f>
        <v/>
      </c>
      <c r="Y68" s="71">
        <f>IFERROR(INDEX(Ratings!$G$5:$G$500,MATCH(A68,Ratings!$A$5:$A$500,0)),"")</f>
        <v/>
      </c>
      <c r="Z68" s="83">
        <f>IFERROR(INDEX(Ratings!$I$5:$I$500,MATCH(A68,Ratings!$A$5:$A$500,0)),"")</f>
        <v/>
      </c>
    </row>
    <row r="69" ht="15.75" customHeight="1" s="95">
      <c r="A69" t="inlineStr">
        <is>
          <t>F0065</t>
        </is>
      </c>
      <c r="B69" t="inlineStr">
        <is>
          <t>Chef</t>
        </is>
      </c>
      <c r="C69" s="63" t="inlineStr">
        <is>
          <t>2014</t>
        </is>
      </c>
      <c r="D69" t="inlineStr">
        <is>
          <t>Blu-ray</t>
        </is>
      </c>
      <c r="F69" s="64" t="n"/>
      <c r="I69" s="64" t="inlineStr">
        <is>
          <t>When Chef Carl Casper suddenly quits his job at a prominent Los Angeles restaurant after refusing to compromise his creative integrity for its controlling owner, he is left to figure out what's next. Finding himself in Miami, he teams up with his ex-wife, his friend and his son to launch a food truck. Taking to the road, Chef Carl goes back to his roots to reignite his passion for the kitchen -- and zest for life and love.</t>
        </is>
      </c>
      <c r="J69" s="64" t="inlineStr">
        <is>
          <t>Jon Favreau</t>
        </is>
      </c>
      <c r="K69" s="64" t="n">
        <v>114</v>
      </c>
      <c r="L69" s="64" t="inlineStr">
        <is>
          <t>Comedy</t>
        </is>
      </c>
      <c r="M69" s="64" t="inlineStr">
        <is>
          <t>Altus Media, Fairview Entertainment, Prescience</t>
        </is>
      </c>
      <c r="N69" s="64" t="inlineStr">
        <is>
          <t>https://huggingface.co/datasets/HenryWaltson/TMDB-IMDB-Movies-Dataset</t>
        </is>
      </c>
      <c r="O69" s="64" t="inlineStr">
        <is>
          <t>https://huggingface.co/datasets/HenryWaltson/TMDB-IMDB-Movies-Dataset</t>
        </is>
      </c>
      <c r="P69" t="inlineStr">
        <is>
          <t>Jon Favreau</t>
        </is>
      </c>
      <c r="Q69" t="inlineStr">
        <is>
          <t>John Leguizamo</t>
        </is>
      </c>
      <c r="R69" t="inlineStr">
        <is>
          <t>Bobby Cannavale</t>
        </is>
      </c>
      <c r="S69" t="inlineStr">
        <is>
          <t>Emjay Anthony</t>
        </is>
      </c>
      <c r="T69" t="inlineStr">
        <is>
          <t>Scarlett Johansson</t>
        </is>
      </c>
      <c r="U69" s="71" t="n">
        <v>0</v>
      </c>
      <c r="V69" s="71" t="n">
        <v>0</v>
      </c>
      <c r="X69" s="82">
        <f>IFERROR(INDEX(Ratings!$E$5:$E$500,MATCH(A69,Ratings!$A$5:$A$500,0)),"")</f>
        <v/>
      </c>
      <c r="Y69" s="71">
        <f>IFERROR(INDEX(Ratings!$G$5:$G$500,MATCH(A69,Ratings!$A$5:$A$500,0)),"")</f>
        <v/>
      </c>
      <c r="Z69" s="83">
        <f>IFERROR(INDEX(Ratings!$I$5:$I$500,MATCH(A69,Ratings!$A$5:$A$500,0)),"")</f>
        <v/>
      </c>
    </row>
    <row r="70" ht="15.75" customHeight="1" s="95">
      <c r="A70" t="inlineStr">
        <is>
          <t>F0066</t>
        </is>
      </c>
      <c r="B70" t="inlineStr">
        <is>
          <t>Clash of the Titans</t>
        </is>
      </c>
      <c r="C70" s="63" t="inlineStr">
        <is>
          <t>2010</t>
        </is>
      </c>
      <c r="D70" t="inlineStr">
        <is>
          <t>Blu-ray</t>
        </is>
      </c>
      <c r="F70" s="64" t="n"/>
      <c r="I70" s="64" t="inlineStr">
        <is>
          <t>Best guess: 2010 remake.</t>
        </is>
      </c>
      <c r="J70" s="64" t="inlineStr">
        <is>
          <t>Louis Leterrier</t>
        </is>
      </c>
      <c r="K70" s="64" t="n">
        <v>106</v>
      </c>
      <c r="L70" s="64" t="inlineStr">
        <is>
          <t>Adventure, Fantasy, Action</t>
        </is>
      </c>
      <c r="M70" s="64" t="inlineStr">
        <is>
          <t>The Zanuck Company, Legendary Pictures, Thunder Road</t>
        </is>
      </c>
      <c r="N70" s="64" t="inlineStr">
        <is>
          <t>https://huggingface.co/datasets/HenryWaltson/TMDB-IMDB-Movies-Dataset</t>
        </is>
      </c>
      <c r="O70" s="64" t="inlineStr">
        <is>
          <t>https://huggingface.co/datasets/HenryWaltson/TMDB-IMDB-Movies-Dataset</t>
        </is>
      </c>
      <c r="P70" t="inlineStr">
        <is>
          <t>Sam Worthington</t>
        </is>
      </c>
      <c r="Q70" t="inlineStr">
        <is>
          <t>Gemma Arterton</t>
        </is>
      </c>
      <c r="R70" t="inlineStr">
        <is>
          <t>Mads Mikkelsen</t>
        </is>
      </c>
      <c r="S70" t="inlineStr">
        <is>
          <t>Alexa Davalos</t>
        </is>
      </c>
      <c r="T70" t="inlineStr">
        <is>
          <t>Jason Flemyng</t>
        </is>
      </c>
      <c r="U70" s="71" t="n">
        <v>0</v>
      </c>
      <c r="V70" s="71" t="n">
        <v>0</v>
      </c>
      <c r="X70" s="82">
        <f>IFERROR(INDEX(Ratings!$E$5:$E$500,MATCH(A70,Ratings!$A$5:$A$500,0)),"")</f>
        <v/>
      </c>
      <c r="Y70" s="71">
        <f>IFERROR(INDEX(Ratings!$G$5:$G$500,MATCH(A70,Ratings!$A$5:$A$500,0)),"")</f>
        <v/>
      </c>
      <c r="Z70" s="83">
        <f>IFERROR(INDEX(Ratings!$I$5:$I$500,MATCH(A70,Ratings!$A$5:$A$500,0)),"")</f>
        <v/>
      </c>
    </row>
    <row r="71" ht="15.75" customHeight="1" s="95">
      <c r="A71" t="inlineStr">
        <is>
          <t>F0067</t>
        </is>
      </c>
      <c r="B71" t="inlineStr">
        <is>
          <t>Cloudy with a Chance of Meatballs 2</t>
        </is>
      </c>
      <c r="C71" s="63" t="inlineStr">
        <is>
          <t>2013</t>
        </is>
      </c>
      <c r="D71" t="inlineStr">
        <is>
          <t>Blu-ray</t>
        </is>
      </c>
      <c r="E71" t="inlineStr">
        <is>
          <t>Cloudy with a Chance of Meatballs</t>
        </is>
      </c>
      <c r="F71" s="64" t="n"/>
      <c r="I71" s="64" t="inlineStr">
        <is>
          <t>After the disastrous food storm in the first film, Flint and his friends are forced to leave the town. Flint accepts the invitation from his idol Chester V to join The Live Corp Company, which has been tasked to clean the island, and where the best inventors in the world create technologies for the betterment of mankind. When Flint discovers that his machine still operates and now creates mutant food beasts like living pickles, hungry tacodiles, shrimpanzees and apple pie-thons, he and his friends must return to save the world.</t>
        </is>
      </c>
      <c r="J71" s="64" t="inlineStr">
        <is>
          <t>Cody Cameron, Kris Pearn</t>
        </is>
      </c>
      <c r="K71" s="64" t="n">
        <v>95</v>
      </c>
      <c r="L71" s="64" t="inlineStr">
        <is>
          <t>Animation, Family, Comedy</t>
        </is>
      </c>
      <c r="M71" s="64" t="inlineStr">
        <is>
          <t>Columbia Pictures, Sony Pictures Animation</t>
        </is>
      </c>
      <c r="N71" s="64" t="inlineStr">
        <is>
          <t>https://huggingface.co/datasets/HenryWaltson/TMDB-IMDB-Movies-Dataset</t>
        </is>
      </c>
      <c r="O71" s="64" t="inlineStr">
        <is>
          <t>https://huggingface.co/datasets/HenryWaltson/TMDB-IMDB-Movies-Dataset</t>
        </is>
      </c>
      <c r="P71" t="inlineStr">
        <is>
          <t>Bill Hader</t>
        </is>
      </c>
      <c r="Q71" t="inlineStr">
        <is>
          <t>Anna Faris</t>
        </is>
      </c>
      <c r="R71" t="inlineStr">
        <is>
          <t>James Caan</t>
        </is>
      </c>
      <c r="S71" t="inlineStr">
        <is>
          <t>Will Forte</t>
        </is>
      </c>
      <c r="T71" t="inlineStr">
        <is>
          <t>Andy Samberg</t>
        </is>
      </c>
      <c r="U71" s="71" t="n">
        <v>0</v>
      </c>
      <c r="V71" s="71" t="n">
        <v>0</v>
      </c>
      <c r="X71" s="82">
        <f>IFERROR(INDEX(Ratings!$E$5:$E$500,MATCH(A71,Ratings!$A$5:$A$500,0)),"")</f>
        <v/>
      </c>
      <c r="Y71" s="71">
        <f>IFERROR(INDEX(Ratings!$G$5:$G$500,MATCH(A71,Ratings!$A$5:$A$500,0)),"")</f>
        <v/>
      </c>
      <c r="Z71" s="83">
        <f>IFERROR(INDEX(Ratings!$I$5:$I$500,MATCH(A71,Ratings!$A$5:$A$500,0)),"")</f>
        <v/>
      </c>
    </row>
    <row r="72" ht="15.75" customHeight="1" s="95">
      <c r="A72" t="inlineStr">
        <is>
          <t>F0068</t>
        </is>
      </c>
      <c r="B72" t="inlineStr">
        <is>
          <t>Con Air</t>
        </is>
      </c>
      <c r="C72" s="63" t="inlineStr">
        <is>
          <t>1997</t>
        </is>
      </c>
      <c r="D72" t="inlineStr">
        <is>
          <t>Blu-ray</t>
        </is>
      </c>
      <c r="F72" s="64" t="n"/>
      <c r="I72" s="64" t="inlineStr">
        <is>
          <t>Newly-paroled former US Army ranger Cameron Poe is headed back to his wife, but must fly home aboard a prison transport flight dubbed "Jailbird" taking the “worst of the worst” prisoners, a group described as “pure predators”, to a new super-prison. Poe faces impossible odds when the transport plane is skyjacked mid-flight by the most vicious criminals in the country led by the mastermind — genius serial killer Cyrus "The Virus" Grissom, and backed by black militant Diamond Dog and psychopath Billy Bedlam.</t>
        </is>
      </c>
      <c r="J72" s="64" t="inlineStr">
        <is>
          <t>Simon West</t>
        </is>
      </c>
      <c r="K72" s="64" t="n">
        <v>116</v>
      </c>
      <c r="L72" s="64" t="inlineStr">
        <is>
          <t>Action, Thriller, Crime</t>
        </is>
      </c>
      <c r="M72" s="64" t="inlineStr">
        <is>
          <t>Touchstone Pictures, Jerry Bruckheimer Films</t>
        </is>
      </c>
      <c r="N72" s="64" t="inlineStr">
        <is>
          <t>https://huggingface.co/datasets/HenryWaltson/TMDB-IMDB-Movies-Dataset</t>
        </is>
      </c>
      <c r="O72" s="64" t="inlineStr">
        <is>
          <t>https://huggingface.co/datasets/HenryWaltson/TMDB-IMDB-Movies-Dataset</t>
        </is>
      </c>
      <c r="P72" t="inlineStr">
        <is>
          <t>Nicolas Cage</t>
        </is>
      </c>
      <c r="Q72" t="inlineStr">
        <is>
          <t>John Cusack</t>
        </is>
      </c>
      <c r="R72" t="inlineStr">
        <is>
          <t>John Malkovich</t>
        </is>
      </c>
      <c r="S72" t="inlineStr">
        <is>
          <t>Ving Rhames</t>
        </is>
      </c>
      <c r="T72" t="inlineStr">
        <is>
          <t>Mykelti Williamson</t>
        </is>
      </c>
      <c r="U72" s="71" t="n">
        <v>2</v>
      </c>
      <c r="V72" s="71" t="n">
        <v>0</v>
      </c>
      <c r="X72" s="82">
        <f>IFERROR(INDEX(Ratings!$E$5:$E$500,MATCH(A72,Ratings!$A$5:$A$500,0)),"")</f>
        <v/>
      </c>
      <c r="Y72" s="71">
        <f>IFERROR(INDEX(Ratings!$G$5:$G$500,MATCH(A72,Ratings!$A$5:$A$500,0)),"")</f>
        <v/>
      </c>
      <c r="Z72" s="83">
        <f>IFERROR(INDEX(Ratings!$I$5:$I$500,MATCH(A72,Ratings!$A$5:$A$500,0)),"")</f>
        <v/>
      </c>
    </row>
    <row r="73" ht="15.75" customHeight="1" s="95">
      <c r="A73" t="inlineStr">
        <is>
          <t>F0069</t>
        </is>
      </c>
      <c r="B73" t="inlineStr">
        <is>
          <t>Cop Out</t>
        </is>
      </c>
      <c r="C73" s="63" t="inlineStr">
        <is>
          <t>2010</t>
        </is>
      </c>
      <c r="D73" t="inlineStr">
        <is>
          <t>Blu-ray</t>
        </is>
      </c>
      <c r="F73" s="64" t="n"/>
      <c r="I73" s="64" t="inlineStr">
        <is>
          <t>Detectives Jimmy and Paul, despite nine years as partners, can still sometimes seem like polar opposites—especially when Paul's unpredictable antics get them suspended without pay. Already strapped for cash and trying to pay for his daughter's wedding, Jimmy decides to sell a rare baseball card that's worth tens of thousands. Unfortunately, when the collector's shop is robbed and the card vanishes with the crook, Paul and Jimmy end up going rogue, tracking down the card and the drug ring behind its theft, all on their own time and without any backup—except for each other.</t>
        </is>
      </c>
      <c r="J73" s="64" t="inlineStr">
        <is>
          <t>Kevin Smith</t>
        </is>
      </c>
      <c r="K73" s="64" t="n">
        <v>107</v>
      </c>
      <c r="L73" s="64" t="inlineStr">
        <is>
          <t>Action, Comedy, Crime</t>
        </is>
      </c>
      <c r="M73" s="64" t="inlineStr">
        <is>
          <t>Marc Platt Productions</t>
        </is>
      </c>
      <c r="N73" s="64" t="inlineStr">
        <is>
          <t>https://huggingface.co/datasets/HenryWaltson/TMDB-IMDB-Movies-Dataset</t>
        </is>
      </c>
      <c r="O73" s="64" t="inlineStr">
        <is>
          <t>https://huggingface.co/datasets/HenryWaltson/TMDB-IMDB-Movies-Dataset</t>
        </is>
      </c>
      <c r="P73" t="inlineStr">
        <is>
          <t>Bruce Willis</t>
        </is>
      </c>
      <c r="Q73" t="inlineStr">
        <is>
          <t>Tracy Morgan</t>
        </is>
      </c>
      <c r="R73" t="inlineStr">
        <is>
          <t>Seann William Scott</t>
        </is>
      </c>
      <c r="S73" t="inlineStr">
        <is>
          <t>Ana de la Reguera</t>
        </is>
      </c>
      <c r="T73" t="inlineStr">
        <is>
          <t>Adam Brody</t>
        </is>
      </c>
      <c r="U73" s="71" t="n">
        <v>0</v>
      </c>
      <c r="V73" s="71" t="n">
        <v>0</v>
      </c>
      <c r="X73" s="82">
        <f>IFERROR(INDEX(Ratings!$E$5:$E$500,MATCH(A73,Ratings!$A$5:$A$500,0)),"")</f>
        <v/>
      </c>
      <c r="Y73" s="71">
        <f>IFERROR(INDEX(Ratings!$G$5:$G$500,MATCH(A73,Ratings!$A$5:$A$500,0)),"")</f>
        <v/>
      </c>
      <c r="Z73" s="83">
        <f>IFERROR(INDEX(Ratings!$I$5:$I$500,MATCH(A73,Ratings!$A$5:$A$500,0)),"")</f>
        <v/>
      </c>
    </row>
    <row r="74" ht="15.75" customHeight="1" s="95">
      <c r="A74" t="inlineStr">
        <is>
          <t>F0070</t>
        </is>
      </c>
      <c r="B74" t="inlineStr">
        <is>
          <t>Shaun of the Dead</t>
        </is>
      </c>
      <c r="C74" s="63" t="inlineStr">
        <is>
          <t>2004</t>
        </is>
      </c>
      <c r="D74" t="inlineStr">
        <is>
          <t>Blu-ray</t>
        </is>
      </c>
      <c r="E74" t="inlineStr">
        <is>
          <t>Cornetto Trilogy</t>
        </is>
      </c>
      <c r="F74" s="64" t="inlineStr">
        <is>
          <t>Cornetto Trilogy (Box Set)</t>
        </is>
      </c>
      <c r="I74" s="64" t="inlineStr">
        <is>
          <t>Owned via Cornetto Trilogy (Box Set).</t>
        </is>
      </c>
      <c r="J74" s="64" t="inlineStr">
        <is>
          <t>Edgar Wright</t>
        </is>
      </c>
      <c r="K74" s="64" t="n">
        <v>99</v>
      </c>
      <c r="L74" s="64" t="inlineStr">
        <is>
          <t>Comedy, Horror</t>
        </is>
      </c>
      <c r="M74" s="64" t="inlineStr">
        <is>
          <t>StudioCanal, Working Title Films, Big Talk Productions</t>
        </is>
      </c>
      <c r="N74" s="64" t="inlineStr">
        <is>
          <t>https://huggingface.co/datasets/HenryWaltson/TMDB-IMDB-Movies-Dataset</t>
        </is>
      </c>
      <c r="O74" s="64" t="inlineStr">
        <is>
          <t>https://huggingface.co/datasets/HenryWaltson/TMDB-IMDB-Movies-Dataset</t>
        </is>
      </c>
      <c r="P74" t="inlineStr">
        <is>
          <t>Simon Pegg</t>
        </is>
      </c>
      <c r="Q74" t="inlineStr">
        <is>
          <t>Nick Frost</t>
        </is>
      </c>
      <c r="R74" t="inlineStr">
        <is>
          <t>Kate Ashfield</t>
        </is>
      </c>
      <c r="S74" t="inlineStr">
        <is>
          <t>Lucy Davis</t>
        </is>
      </c>
      <c r="T74" t="inlineStr">
        <is>
          <t>Dylan Moran</t>
        </is>
      </c>
      <c r="U74" s="71" t="n">
        <v>0</v>
      </c>
      <c r="V74" s="71" t="n">
        <v>0</v>
      </c>
      <c r="X74" s="82">
        <f>IFERROR(INDEX(Ratings!$E$5:$E$500,MATCH(A74,Ratings!$A$5:$A$500,0)),"")</f>
        <v/>
      </c>
      <c r="Y74" s="71">
        <f>IFERROR(INDEX(Ratings!$G$5:$G$500,MATCH(A74,Ratings!$A$5:$A$500,0)),"")</f>
        <v/>
      </c>
      <c r="Z74" s="83">
        <f>IFERROR(INDEX(Ratings!$I$5:$I$500,MATCH(A74,Ratings!$A$5:$A$500,0)),"")</f>
        <v/>
      </c>
    </row>
    <row r="75" ht="15.75" customHeight="1" s="95">
      <c r="A75" t="inlineStr">
        <is>
          <t>F0071</t>
        </is>
      </c>
      <c r="B75" t="inlineStr">
        <is>
          <t>Hot Fuzz</t>
        </is>
      </c>
      <c r="C75" s="63" t="inlineStr">
        <is>
          <t>2007</t>
        </is>
      </c>
      <c r="D75" t="inlineStr">
        <is>
          <t>Blu-ray</t>
        </is>
      </c>
      <c r="E75" t="inlineStr">
        <is>
          <t>Cornetto Trilogy</t>
        </is>
      </c>
      <c r="F75" s="64" t="inlineStr">
        <is>
          <t>Cornetto Trilogy (Box Set)</t>
        </is>
      </c>
      <c r="I75" s="64" t="inlineStr">
        <is>
          <t>Owned via Cornetto Trilogy (Box Set).</t>
        </is>
      </c>
      <c r="J75" s="64" t="inlineStr">
        <is>
          <t>Edgar Wright</t>
        </is>
      </c>
      <c r="K75" s="64" t="n">
        <v>121</v>
      </c>
      <c r="L75" s="64" t="inlineStr">
        <is>
          <t>Action, Comedy, Mystery</t>
        </is>
      </c>
      <c r="M75" s="64" t="inlineStr">
        <is>
          <t>Universal Pictures, StudioCanal, Working Title Films</t>
        </is>
      </c>
      <c r="N75" s="64" t="inlineStr">
        <is>
          <t>https://huggingface.co/datasets/HenryWaltson/TMDB-IMDB-Movies-Dataset</t>
        </is>
      </c>
      <c r="O75" s="64" t="inlineStr">
        <is>
          <t>https://huggingface.co/datasets/HenryWaltson/TMDB-IMDB-Movies-Dataset</t>
        </is>
      </c>
      <c r="P75" t="inlineStr">
        <is>
          <t>Simon Pegg</t>
        </is>
      </c>
      <c r="Q75" t="inlineStr">
        <is>
          <t>Nick Frost</t>
        </is>
      </c>
      <c r="R75" t="inlineStr">
        <is>
          <t>Jim Broadbent</t>
        </is>
      </c>
      <c r="S75" t="inlineStr">
        <is>
          <t>Paddy Considine</t>
        </is>
      </c>
      <c r="T75" t="inlineStr">
        <is>
          <t>Rafe Spall</t>
        </is>
      </c>
      <c r="U75" s="71" t="n">
        <v>0</v>
      </c>
      <c r="V75" s="71" t="n">
        <v>0</v>
      </c>
      <c r="X75" s="82">
        <f>IFERROR(INDEX(Ratings!$E$5:$E$500,MATCH(A75,Ratings!$A$5:$A$500,0)),"")</f>
        <v/>
      </c>
      <c r="Y75" s="71">
        <f>IFERROR(INDEX(Ratings!$G$5:$G$500,MATCH(A75,Ratings!$A$5:$A$500,0)),"")</f>
        <v/>
      </c>
      <c r="Z75" s="83">
        <f>IFERROR(INDEX(Ratings!$I$5:$I$500,MATCH(A75,Ratings!$A$5:$A$500,0)),"")</f>
        <v/>
      </c>
    </row>
    <row r="76" ht="15.75" customHeight="1" s="95">
      <c r="A76" t="inlineStr">
        <is>
          <t>F0072</t>
        </is>
      </c>
      <c r="B76" t="inlineStr">
        <is>
          <t>The World's End</t>
        </is>
      </c>
      <c r="C76" s="63" t="inlineStr">
        <is>
          <t>2013</t>
        </is>
      </c>
      <c r="D76" t="inlineStr">
        <is>
          <t>Blu-ray</t>
        </is>
      </c>
      <c r="E76" t="inlineStr">
        <is>
          <t>Cornetto Trilogy</t>
        </is>
      </c>
      <c r="F76" s="64" t="inlineStr">
        <is>
          <t>Cornetto Trilogy (Box Set)</t>
        </is>
      </c>
      <c r="I76" s="64" t="inlineStr">
        <is>
          <t>Owned via Cornetto Trilogy (Box Set).</t>
        </is>
      </c>
      <c r="J76" s="64" t="inlineStr">
        <is>
          <t>Edgar Wright</t>
        </is>
      </c>
      <c r="K76" s="64" t="n">
        <v>109</v>
      </c>
      <c r="L76" s="64" t="inlineStr">
        <is>
          <t>Comedy, Science Fiction</t>
        </is>
      </c>
      <c r="M76" s="64" t="inlineStr">
        <is>
          <t>Universal Pictures, Focus Features, Working Title Films</t>
        </is>
      </c>
      <c r="N76" s="64" t="inlineStr">
        <is>
          <t>https://huggingface.co/datasets/HenryWaltson/TMDB-IMDB-Movies-Dataset</t>
        </is>
      </c>
      <c r="O76" s="64" t="inlineStr">
        <is>
          <t>https://huggingface.co/datasets/HenryWaltson/TMDB-IMDB-Movies-Dataset</t>
        </is>
      </c>
      <c r="P76" t="inlineStr">
        <is>
          <t>Simon Pegg</t>
        </is>
      </c>
      <c r="Q76" t="inlineStr">
        <is>
          <t>Nick Frost</t>
        </is>
      </c>
      <c r="R76" t="inlineStr">
        <is>
          <t>Martin Freeman</t>
        </is>
      </c>
      <c r="S76" t="inlineStr">
        <is>
          <t>Paddy Considine</t>
        </is>
      </c>
      <c r="T76" t="inlineStr">
        <is>
          <t>Eddie Marsan</t>
        </is>
      </c>
      <c r="U76" s="71" t="n">
        <v>0</v>
      </c>
      <c r="V76" s="71" t="n">
        <v>0</v>
      </c>
      <c r="X76" s="82">
        <f>IFERROR(INDEX(Ratings!$E$5:$E$500,MATCH(A76,Ratings!$A$5:$A$500,0)),"")</f>
        <v/>
      </c>
      <c r="Y76" s="71">
        <f>IFERROR(INDEX(Ratings!$G$5:$G$500,MATCH(A76,Ratings!$A$5:$A$500,0)),"")</f>
        <v/>
      </c>
      <c r="Z76" s="83">
        <f>IFERROR(INDEX(Ratings!$I$5:$I$500,MATCH(A76,Ratings!$A$5:$A$500,0)),"")</f>
        <v/>
      </c>
    </row>
    <row r="77" ht="15.75" customHeight="1" s="95">
      <c r="A77" t="inlineStr">
        <is>
          <t>F0073</t>
        </is>
      </c>
      <c r="B77" t="inlineStr">
        <is>
          <t>Cowboys &amp; Aliens</t>
        </is>
      </c>
      <c r="C77" s="63" t="inlineStr">
        <is>
          <t>2011</t>
        </is>
      </c>
      <c r="D77" t="inlineStr">
        <is>
          <t>Blu-ray</t>
        </is>
      </c>
      <c r="F77" s="64" t="n"/>
      <c r="I77" s="64" t="inlineStr">
        <is>
          <t>A stranger stumbles into the desert town of Absolution with no memory of his past and a futuristic shackle around his wrist. With the help of mysterious beauty Ella and the iron-fisted Colonel Dolarhyde, he finds himself leading an unlikely posse of cowboys, outlaws, and Apache warriors against a common enemy from beyond this world in an epic showdown for survival.</t>
        </is>
      </c>
      <c r="J77" s="64" t="inlineStr">
        <is>
          <t>Jon Favreau</t>
        </is>
      </c>
      <c r="K77" s="64" t="n">
        <v>119</v>
      </c>
      <c r="L77" s="64" t="inlineStr">
        <is>
          <t>Action, Science Fiction, Thriller, Western</t>
        </is>
      </c>
      <c r="M77" s="64" t="inlineStr">
        <is>
          <t>DreamWorks Pictures, Universal Pictures, Reliance Entertainment</t>
        </is>
      </c>
      <c r="N77" s="64" t="inlineStr">
        <is>
          <t>https://huggingface.co/datasets/HenryWaltson/TMDB-IMDB-Movies-Dataset</t>
        </is>
      </c>
      <c r="O77" s="64" t="inlineStr">
        <is>
          <t>https://huggingface.co/datasets/HenryWaltson/TMDB-IMDB-Movies-Dataset</t>
        </is>
      </c>
      <c r="P77" t="inlineStr">
        <is>
          <t>Daniel Craig</t>
        </is>
      </c>
      <c r="Q77" t="inlineStr">
        <is>
          <t>Harrison Ford</t>
        </is>
      </c>
      <c r="R77" t="inlineStr">
        <is>
          <t>Olivia Wilde</t>
        </is>
      </c>
      <c r="S77" t="inlineStr">
        <is>
          <t>Sam Rockwell</t>
        </is>
      </c>
      <c r="T77" t="inlineStr">
        <is>
          <t>Adam Beach</t>
        </is>
      </c>
      <c r="U77" s="71" t="n">
        <v>0</v>
      </c>
      <c r="V77" s="71" t="n">
        <v>0</v>
      </c>
      <c r="X77" s="82">
        <f>IFERROR(INDEX(Ratings!$E$5:$E$500,MATCH(A77,Ratings!$A$5:$A$500,0)),"")</f>
        <v/>
      </c>
      <c r="Y77" s="71">
        <f>IFERROR(INDEX(Ratings!$G$5:$G$500,MATCH(A77,Ratings!$A$5:$A$500,0)),"")</f>
        <v/>
      </c>
      <c r="Z77" s="83">
        <f>IFERROR(INDEX(Ratings!$I$5:$I$500,MATCH(A77,Ratings!$A$5:$A$500,0)),"")</f>
        <v/>
      </c>
    </row>
    <row r="78" ht="15.75" customHeight="1" s="95">
      <c r="A78" t="inlineStr">
        <is>
          <t>F0074</t>
        </is>
      </c>
      <c r="B78" t="inlineStr">
        <is>
          <t>Creed</t>
        </is>
      </c>
      <c r="C78" s="63" t="inlineStr">
        <is>
          <t>2015</t>
        </is>
      </c>
      <c r="D78" t="inlineStr">
        <is>
          <t>Blu-ray</t>
        </is>
      </c>
      <c r="F78" s="64" t="n"/>
      <c r="I78" s="64" t="inlineStr">
        <is>
          <t>The former World Heavyweight Champion Rocky Balboa serves as a trainer and mentor to Adonis Johnson, the son of his late friend and former rival Apollo Creed.</t>
        </is>
      </c>
      <c r="J78" s="64" t="inlineStr">
        <is>
          <t>Ryan Coogler</t>
        </is>
      </c>
      <c r="K78" s="64" t="n">
        <v>133</v>
      </c>
      <c r="L78" s="64" t="inlineStr">
        <is>
          <t>Action, Drama</t>
        </is>
      </c>
      <c r="M78" s="64" t="inlineStr">
        <is>
          <t>Metro-Goldwyn-Mayer, New Line Cinema, Chartoff-Winkler Productions</t>
        </is>
      </c>
      <c r="N78" s="64" t="inlineStr">
        <is>
          <t>https://huggingface.co/datasets/HenryWaltson/TMDB-IMDB-Movies-Dataset</t>
        </is>
      </c>
      <c r="O78" s="64" t="inlineStr">
        <is>
          <t>https://huggingface.co/datasets/HenryWaltson/TMDB-IMDB-Movies-Dataset</t>
        </is>
      </c>
      <c r="P78" t="inlineStr">
        <is>
          <t>Michael B. Jordan</t>
        </is>
      </c>
      <c r="Q78" t="inlineStr">
        <is>
          <t>Sylvester Stallone</t>
        </is>
      </c>
      <c r="R78" t="inlineStr">
        <is>
          <t>Tessa Thompson</t>
        </is>
      </c>
      <c r="S78" t="inlineStr">
        <is>
          <t>Phylicia Rashād</t>
        </is>
      </c>
      <c r="T78" t="inlineStr">
        <is>
          <t>Andre Ward</t>
        </is>
      </c>
      <c r="U78" s="71" t="n">
        <v>1</v>
      </c>
      <c r="V78" s="71" t="n">
        <v>0</v>
      </c>
      <c r="X78" s="82">
        <f>IFERROR(INDEX(Ratings!$E$5:$E$500,MATCH(A78,Ratings!$A$5:$A$500,0)),"")</f>
        <v/>
      </c>
      <c r="Y78" s="71">
        <f>IFERROR(INDEX(Ratings!$G$5:$G$500,MATCH(A78,Ratings!$A$5:$A$500,0)),"")</f>
        <v/>
      </c>
      <c r="Z78" s="83">
        <f>IFERROR(INDEX(Ratings!$I$5:$I$500,MATCH(A78,Ratings!$A$5:$A$500,0)),"")</f>
        <v/>
      </c>
    </row>
    <row r="79" ht="15.75" customHeight="1" s="95">
      <c r="A79" t="inlineStr">
        <is>
          <t>F0075</t>
        </is>
      </c>
      <c r="B79" t="inlineStr">
        <is>
          <t>The Croods</t>
        </is>
      </c>
      <c r="C79" s="63" t="inlineStr">
        <is>
          <t>2013</t>
        </is>
      </c>
      <c r="D79" t="inlineStr">
        <is>
          <t>Blu-ray</t>
        </is>
      </c>
      <c r="E79" t="inlineStr">
        <is>
          <t>The Croods</t>
        </is>
      </c>
      <c r="F79" s="64" t="n"/>
      <c r="I79" s="64" t="inlineStr">
        <is>
          <t>The prehistoric Croods family live in a particularly dangerous moment in time. Patriarch Grug, his mate Ugga, teenage daughter Eep, son Thunk, and feisty Gran gather food by day and huddle together in a cave at night. When a more evolved caveman named Guy arrives on the scene, Grug is distrustful, but it soon becomes apparent that Guy is correct about the impending destruction of their world.</t>
        </is>
      </c>
      <c r="J79" s="64" t="inlineStr">
        <is>
          <t>Kirk DeMicco, Chris Sanders</t>
        </is>
      </c>
      <c r="K79" s="64" t="n">
        <v>98</v>
      </c>
      <c r="L79" s="64" t="inlineStr">
        <is>
          <t>Animation, Adventure, Family, Fantasy, Comedy, Action</t>
        </is>
      </c>
      <c r="M79" s="64" t="inlineStr">
        <is>
          <t>DreamWorks Animation, 20th Century Fox</t>
        </is>
      </c>
      <c r="N79" s="64" t="inlineStr">
        <is>
          <t>https://huggingface.co/datasets/HenryWaltson/TMDB-IMDB-Movies-Dataset</t>
        </is>
      </c>
      <c r="O79" s="64" t="inlineStr">
        <is>
          <t>https://huggingface.co/datasets/HenryWaltson/TMDB-IMDB-Movies-Dataset</t>
        </is>
      </c>
      <c r="P79" t="inlineStr">
        <is>
          <t>Nicolas Cage</t>
        </is>
      </c>
      <c r="Q79" t="inlineStr">
        <is>
          <t>Emma Stone</t>
        </is>
      </c>
      <c r="R79" t="inlineStr">
        <is>
          <t>Ryan Reynolds</t>
        </is>
      </c>
      <c r="S79" t="inlineStr">
        <is>
          <t>Catherine Keener</t>
        </is>
      </c>
      <c r="T79" t="inlineStr">
        <is>
          <t>Cloris Leachman</t>
        </is>
      </c>
      <c r="U79" s="71" t="n">
        <v>1</v>
      </c>
      <c r="V79" s="71" t="n">
        <v>0</v>
      </c>
      <c r="X79" s="82">
        <f>IFERROR(INDEX(Ratings!$E$5:$E$500,MATCH(A79,Ratings!$A$5:$A$500,0)),"")</f>
        <v/>
      </c>
      <c r="Y79" s="71">
        <f>IFERROR(INDEX(Ratings!$G$5:$G$500,MATCH(A79,Ratings!$A$5:$A$500,0)),"")</f>
        <v/>
      </c>
      <c r="Z79" s="83">
        <f>IFERROR(INDEX(Ratings!$I$5:$I$500,MATCH(A79,Ratings!$A$5:$A$500,0)),"")</f>
        <v/>
      </c>
    </row>
    <row r="80" ht="15.75" customHeight="1" s="95">
      <c r="A80" t="inlineStr">
        <is>
          <t>F0076</t>
        </is>
      </c>
      <c r="B80" t="inlineStr">
        <is>
          <t>Deadpool</t>
        </is>
      </c>
      <c r="C80" s="63" t="inlineStr">
        <is>
          <t>2016</t>
        </is>
      </c>
      <c r="D80" t="inlineStr">
        <is>
          <t>Blu-ray</t>
        </is>
      </c>
      <c r="E80" t="inlineStr">
        <is>
          <t>Deadpool / X-Men</t>
        </is>
      </c>
      <c r="F80" s="64" t="n"/>
      <c r="I80" s="64" t="inlineStr">
        <is>
          <t>The origin story of former Special Forces operative turned mercenary Wade Wilson, who, after being subjected to a rogue experiment that leaves him with accelerated healing powers, adopts the alter ego Deadpool. Armed with his new abilities and a dark, twisted sense of humor, Deadpool hunts down the man who nearly destroyed his life.</t>
        </is>
      </c>
      <c r="J80" s="64" t="inlineStr">
        <is>
          <t>Tim Miller</t>
        </is>
      </c>
      <c r="K80" s="64" t="n">
        <v>108</v>
      </c>
      <c r="L80" s="64" t="inlineStr">
        <is>
          <t>Action, Adventure, Comedy</t>
        </is>
      </c>
      <c r="M80" s="64" t="inlineStr">
        <is>
          <t>20th Century Fox, The Donners' Company, Genre Films</t>
        </is>
      </c>
      <c r="N80" s="64" t="inlineStr">
        <is>
          <t>https://huggingface.co/datasets/HenryWaltson/TMDB-IMDB-Movies-Dataset</t>
        </is>
      </c>
      <c r="O80" s="64" t="inlineStr">
        <is>
          <t>https://huggingface.co/datasets/HenryWaltson/TMDB-IMDB-Movies-Dataset</t>
        </is>
      </c>
      <c r="P80" t="inlineStr">
        <is>
          <t>Ryan Reynolds</t>
        </is>
      </c>
      <c r="Q80" t="inlineStr">
        <is>
          <t>Morena Baccarin</t>
        </is>
      </c>
      <c r="R80" t="inlineStr">
        <is>
          <t>Ed Skrein</t>
        </is>
      </c>
      <c r="S80" t="inlineStr">
        <is>
          <t>T.J. Miller</t>
        </is>
      </c>
      <c r="T80" t="inlineStr">
        <is>
          <t>Gina Carano</t>
        </is>
      </c>
      <c r="U80" s="71" t="n">
        <v>0</v>
      </c>
      <c r="V80" s="71" t="n">
        <v>0</v>
      </c>
      <c r="X80" s="82">
        <f>IFERROR(INDEX(Ratings!$E$5:$E$500,MATCH(A80,Ratings!$A$5:$A$500,0)),"")</f>
        <v/>
      </c>
      <c r="Y80" s="71">
        <f>IFERROR(INDEX(Ratings!$G$5:$G$500,MATCH(A80,Ratings!$A$5:$A$500,0)),"")</f>
        <v/>
      </c>
      <c r="Z80" s="83">
        <f>IFERROR(INDEX(Ratings!$I$5:$I$500,MATCH(A80,Ratings!$A$5:$A$500,0)),"")</f>
        <v/>
      </c>
    </row>
    <row r="81" ht="15.75" customHeight="1" s="95">
      <c r="A81" t="inlineStr">
        <is>
          <t>F0077</t>
        </is>
      </c>
      <c r="B81" t="inlineStr">
        <is>
          <t>Deadpool 2</t>
        </is>
      </c>
      <c r="C81" s="63" t="inlineStr">
        <is>
          <t>2018</t>
        </is>
      </c>
      <c r="D81" t="inlineStr">
        <is>
          <t>4K UHD</t>
        </is>
      </c>
      <c r="E81" t="inlineStr">
        <is>
          <t>Deadpool / X-Men</t>
        </is>
      </c>
      <c r="F81" s="64" t="n"/>
      <c r="I81" s="64" t="inlineStr">
        <is>
          <t>Wisecracking mercenary Deadpool battles the evil and powerful Cable and other bad guys to save a boy's life.</t>
        </is>
      </c>
      <c r="J81" s="64" t="inlineStr">
        <is>
          <t>David Leitch</t>
        </is>
      </c>
      <c r="K81" s="64" t="n">
        <v>120</v>
      </c>
      <c r="L81" s="64" t="inlineStr">
        <is>
          <t>Action, Comedy, Adventure</t>
        </is>
      </c>
      <c r="M81" s="64" t="inlineStr">
        <is>
          <t>Maximum Effort, Genre Films, 20th Century Fox</t>
        </is>
      </c>
      <c r="N81" s="64" t="inlineStr">
        <is>
          <t>https://huggingface.co/datasets/HenryWaltson/TMDB-IMDB-Movies-Dataset</t>
        </is>
      </c>
      <c r="O81" s="64" t="inlineStr">
        <is>
          <t>https://huggingface.co/datasets/HenryWaltson/TMDB-IMDB-Movies-Dataset</t>
        </is>
      </c>
      <c r="P81" t="inlineStr">
        <is>
          <t>Ryan Reynolds</t>
        </is>
      </c>
      <c r="Q81" t="inlineStr">
        <is>
          <t>Josh Brolin</t>
        </is>
      </c>
      <c r="R81" t="inlineStr">
        <is>
          <t>Morena Baccarin</t>
        </is>
      </c>
      <c r="S81" t="inlineStr">
        <is>
          <t>Julian Dennison</t>
        </is>
      </c>
      <c r="T81" t="inlineStr">
        <is>
          <t>Zazie Beetz</t>
        </is>
      </c>
      <c r="U81" s="71" t="n">
        <v>0</v>
      </c>
      <c r="V81" s="71" t="n">
        <v>0</v>
      </c>
      <c r="X81" s="82">
        <f>IFERROR(INDEX(Ratings!$E$5:$E$500,MATCH(A81,Ratings!$A$5:$A$500,0)),"")</f>
        <v/>
      </c>
      <c r="Y81" s="71">
        <f>IFERROR(INDEX(Ratings!$G$5:$G$500,MATCH(A81,Ratings!$A$5:$A$500,0)),"")</f>
        <v/>
      </c>
      <c r="Z81" s="83">
        <f>IFERROR(INDEX(Ratings!$I$5:$I$500,MATCH(A81,Ratings!$A$5:$A$500,0)),"")</f>
        <v/>
      </c>
    </row>
    <row r="82" ht="15.75" customHeight="1" s="95">
      <c r="A82" t="inlineStr">
        <is>
          <t>F0078</t>
        </is>
      </c>
      <c r="B82" t="inlineStr">
        <is>
          <t>Deadpool &amp; Wolverine</t>
        </is>
      </c>
      <c r="C82" s="63" t="inlineStr">
        <is>
          <t>2024</t>
        </is>
      </c>
      <c r="D82" t="inlineStr">
        <is>
          <t>4K UHD</t>
        </is>
      </c>
      <c r="E82" t="inlineStr">
        <is>
          <t>X-Men</t>
        </is>
      </c>
      <c r="F82" s="64" t="n"/>
      <c r="I82" s="64" t="inlineStr">
        <is>
          <t>A listless Wade Wilson toils away in civilian life with his days as the morally flexible mercenary, Deadpool, behind him. But when his homeworld faces an existential threat, Wade must reluctantly suit-up again with an even more reluctant Wolverine.</t>
        </is>
      </c>
      <c r="J82" s="64" t="inlineStr">
        <is>
          <t>Shawn Levy</t>
        </is>
      </c>
      <c r="K82" s="64" t="n">
        <v>128</v>
      </c>
      <c r="L82" s="64" t="inlineStr">
        <is>
          <t>Action, Comedy, Science Fiction</t>
        </is>
      </c>
      <c r="M82" s="64" t="inlineStr">
        <is>
          <t>Marvel Studios, Maximum Effort, 21 Laps Entertainment</t>
        </is>
      </c>
      <c r="N82" s="64" t="inlineStr">
        <is>
          <t>https://huggingface.co/datasets/HenryWaltson/TMDB-IMDB-Movies-Dataset</t>
        </is>
      </c>
      <c r="O82" s="64" t="inlineStr">
        <is>
          <t>https://huggingface.co/datasets/HenryWaltson/TMDB-IMDB-Movies-Dataset</t>
        </is>
      </c>
      <c r="P82" t="inlineStr">
        <is>
          <t>Ryan Reynolds</t>
        </is>
      </c>
      <c r="Q82" t="inlineStr">
        <is>
          <t>Hugh Jackman</t>
        </is>
      </c>
      <c r="R82" t="inlineStr">
        <is>
          <t>Emma Corrin</t>
        </is>
      </c>
      <c r="S82" t="inlineStr">
        <is>
          <t>Matthew Macfadyen</t>
        </is>
      </c>
      <c r="T82" t="inlineStr">
        <is>
          <t>Dafne Keen</t>
        </is>
      </c>
      <c r="U82" s="71" t="n">
        <v>0</v>
      </c>
      <c r="V82" s="71" t="n">
        <v>0</v>
      </c>
      <c r="X82" s="82">
        <f>IFERROR(INDEX(Ratings!$E$5:$E$500,MATCH(A82,Ratings!$A$5:$A$500,0)),"")</f>
        <v/>
      </c>
      <c r="Y82" s="71">
        <f>IFERROR(INDEX(Ratings!$G$5:$G$500,MATCH(A82,Ratings!$A$5:$A$500,0)),"")</f>
        <v/>
      </c>
      <c r="Z82" s="83">
        <f>IFERROR(INDEX(Ratings!$I$5:$I$500,MATCH(A82,Ratings!$A$5:$A$500,0)),"")</f>
        <v/>
      </c>
    </row>
    <row r="83" ht="15.75" customHeight="1" s="95">
      <c r="A83" t="inlineStr">
        <is>
          <t>F0079</t>
        </is>
      </c>
      <c r="B83" t="inlineStr">
        <is>
          <t>Dear John</t>
        </is>
      </c>
      <c r="C83" s="63" t="inlineStr">
        <is>
          <t>2010</t>
        </is>
      </c>
      <c r="D83" t="inlineStr">
        <is>
          <t>Blu-ray</t>
        </is>
      </c>
      <c r="F83" s="64" t="n"/>
      <c r="I83" s="64" t="inlineStr">
        <is>
          <t>While Sergeant John Tyree is home on two weeks leave from Germany, he meets Savannah after he dives into the ocean to retrieve Savannah's purse that had fallen off a pier. John eventually falls in love with Savannah, who promises to write to him until he returns from overseas.</t>
        </is>
      </c>
      <c r="J83" s="64" t="inlineStr">
        <is>
          <t>Lasse Hallström</t>
        </is>
      </c>
      <c r="K83" s="64" t="n">
        <v>108</v>
      </c>
      <c r="L83" s="64" t="inlineStr">
        <is>
          <t>Drama, Romance, War</t>
        </is>
      </c>
      <c r="M83" s="64" t="inlineStr">
        <is>
          <t>Screen Gems, Relativity Media, Temple Hill Entertainment</t>
        </is>
      </c>
      <c r="N83" s="64" t="inlineStr">
        <is>
          <t>https://huggingface.co/datasets/HenryWaltson/TMDB-IMDB-Movies-Dataset</t>
        </is>
      </c>
      <c r="O83" s="64" t="inlineStr">
        <is>
          <t>https://huggingface.co/datasets/HenryWaltson/TMDB-IMDB-Movies-Dataset</t>
        </is>
      </c>
      <c r="P83" t="inlineStr">
        <is>
          <t>Amanda Seyfried</t>
        </is>
      </c>
      <c r="Q83" t="inlineStr">
        <is>
          <t>Channing Tatum</t>
        </is>
      </c>
      <c r="R83" t="inlineStr">
        <is>
          <t>Richard Jenkins</t>
        </is>
      </c>
      <c r="S83" t="inlineStr">
        <is>
          <t>Henry Thomas</t>
        </is>
      </c>
      <c r="T83" t="inlineStr">
        <is>
          <t>D.J. Cotrona</t>
        </is>
      </c>
      <c r="U83" s="71" t="n">
        <v>0</v>
      </c>
      <c r="V83" s="71" t="n">
        <v>0</v>
      </c>
      <c r="X83" s="82">
        <f>IFERROR(INDEX(Ratings!$E$5:$E$500,MATCH(A83,Ratings!$A$5:$A$500,0)),"")</f>
        <v/>
      </c>
      <c r="Y83" s="71">
        <f>IFERROR(INDEX(Ratings!$G$5:$G$500,MATCH(A83,Ratings!$A$5:$A$500,0)),"")</f>
        <v/>
      </c>
      <c r="Z83" s="83">
        <f>IFERROR(INDEX(Ratings!$I$5:$I$500,MATCH(A83,Ratings!$A$5:$A$500,0)),"")</f>
        <v/>
      </c>
    </row>
    <row r="84" ht="15.75" customHeight="1" s="95">
      <c r="A84" t="inlineStr">
        <is>
          <t>F0080</t>
        </is>
      </c>
      <c r="B84" t="inlineStr">
        <is>
          <t>Delivery Man</t>
        </is>
      </c>
      <c r="C84" s="63" t="inlineStr">
        <is>
          <t>2013</t>
        </is>
      </c>
      <c r="D84" t="inlineStr">
        <is>
          <t>Blu-ray</t>
        </is>
      </c>
      <c r="F84" s="64" t="n"/>
      <c r="I84" s="64" t="inlineStr">
        <is>
          <t>An affable underachiever finds out he's fathered 533 children through anonymous donations to a fertility clinic 20 years ago. Now he must decide whether or not to come forward when 142 of them file a lawsuit to reveal his identity.</t>
        </is>
      </c>
      <c r="J84" s="64" t="inlineStr">
        <is>
          <t>Ken Scott</t>
        </is>
      </c>
      <c r="K84" s="64" t="n">
        <v>105</v>
      </c>
      <c r="L84" s="64" t="inlineStr">
        <is>
          <t>Comedy</t>
        </is>
      </c>
      <c r="M84" s="64" t="inlineStr">
        <is>
          <t>Touchstone Pictures, DreamWorks Pictures, Reliance Entertainment</t>
        </is>
      </c>
      <c r="N84" s="64" t="inlineStr">
        <is>
          <t>https://huggingface.co/datasets/HenryWaltson/TMDB-IMDB-Movies-Dataset</t>
        </is>
      </c>
      <c r="O84" s="64" t="inlineStr">
        <is>
          <t>https://huggingface.co/datasets/HenryWaltson/TMDB-IMDB-Movies-Dataset</t>
        </is>
      </c>
      <c r="P84" t="inlineStr">
        <is>
          <t>Vince Vaughn</t>
        </is>
      </c>
      <c r="Q84" t="inlineStr">
        <is>
          <t>Cobie Smulders</t>
        </is>
      </c>
      <c r="R84" t="inlineStr">
        <is>
          <t>Chris Pratt</t>
        </is>
      </c>
      <c r="S84" t="inlineStr">
        <is>
          <t>Britt Robertson</t>
        </is>
      </c>
      <c r="T84" t="inlineStr">
        <is>
          <t>Jack Reynor</t>
        </is>
      </c>
      <c r="U84" s="71" t="n">
        <v>0</v>
      </c>
      <c r="V84" s="71" t="n">
        <v>0</v>
      </c>
      <c r="X84" s="82">
        <f>IFERROR(INDEX(Ratings!$E$5:$E$500,MATCH(A84,Ratings!$A$5:$A$500,0)),"")</f>
        <v/>
      </c>
      <c r="Y84" s="71">
        <f>IFERROR(INDEX(Ratings!$G$5:$G$500,MATCH(A84,Ratings!$A$5:$A$500,0)),"")</f>
        <v/>
      </c>
      <c r="Z84" s="83">
        <f>IFERROR(INDEX(Ratings!$I$5:$I$500,MATCH(A84,Ratings!$A$5:$A$500,0)),"")</f>
        <v/>
      </c>
    </row>
    <row r="85" ht="15.75" customHeight="1" s="95">
      <c r="A85" t="inlineStr">
        <is>
          <t>F0081</t>
        </is>
      </c>
      <c r="B85" t="inlineStr">
        <is>
          <t>The Departed</t>
        </is>
      </c>
      <c r="C85" s="63" t="inlineStr">
        <is>
          <t>2006</t>
        </is>
      </c>
      <c r="D85" t="inlineStr">
        <is>
          <t>Blu-ray</t>
        </is>
      </c>
      <c r="F85" s="64" t="n"/>
      <c r="I85" s="64" t="inlineStr">
        <is>
          <t>To take down South Boston's Irish Mafia, the police send in one of their own to infiltrate the underworld, not realizing the syndicate has done likewise. While an undercover cop curries favor with the mob kingpin, a career criminal rises through the police ranks. But both sides soon discover there's a mole among them.</t>
        </is>
      </c>
      <c r="J85" s="64" t="inlineStr">
        <is>
          <t>Martin Scorsese</t>
        </is>
      </c>
      <c r="K85" s="64" t="n">
        <v>151</v>
      </c>
      <c r="L85" s="64" t="inlineStr">
        <is>
          <t>Drama, Thriller, Crime</t>
        </is>
      </c>
      <c r="M85" s="64" t="inlineStr">
        <is>
          <t>Vertigo Entertainment, Media Asia Films, Initial Entertainment Group</t>
        </is>
      </c>
      <c r="N85" s="64" t="inlineStr">
        <is>
          <t>https://huggingface.co/datasets/HenryWaltson/TMDB-IMDB-Movies-Dataset</t>
        </is>
      </c>
      <c r="O85" s="64" t="inlineStr">
        <is>
          <t>https://huggingface.co/datasets/HenryWaltson/TMDB-IMDB-Movies-Dataset</t>
        </is>
      </c>
      <c r="P85" t="inlineStr">
        <is>
          <t>Leonardo DiCaprio</t>
        </is>
      </c>
      <c r="Q85" t="inlineStr">
        <is>
          <t>Matt Damon</t>
        </is>
      </c>
      <c r="R85" t="inlineStr">
        <is>
          <t>Jack Nicholson</t>
        </is>
      </c>
      <c r="S85" t="inlineStr">
        <is>
          <t>Mark Wahlberg</t>
        </is>
      </c>
      <c r="T85" t="inlineStr">
        <is>
          <t>Martin Sheen</t>
        </is>
      </c>
      <c r="U85" s="71" t="n">
        <v>5</v>
      </c>
      <c r="V85" s="71" t="n">
        <v>4</v>
      </c>
      <c r="W85" t="inlineStr">
        <is>
          <t>Winner</t>
        </is>
      </c>
      <c r="X85" s="82">
        <f>IFERROR(INDEX(Ratings!$E$5:$E$500,MATCH(A85,Ratings!$A$5:$A$500,0)),"")</f>
        <v/>
      </c>
      <c r="Y85" s="71">
        <f>IFERROR(INDEX(Ratings!$G$5:$G$500,MATCH(A85,Ratings!$A$5:$A$500,0)),"")</f>
        <v/>
      </c>
      <c r="Z85" s="83">
        <f>IFERROR(INDEX(Ratings!$I$5:$I$500,MATCH(A85,Ratings!$A$5:$A$500,0)),"")</f>
        <v/>
      </c>
    </row>
    <row r="86" ht="15.75" customHeight="1" s="95">
      <c r="A86" t="inlineStr">
        <is>
          <t>F0082</t>
        </is>
      </c>
      <c r="B86" t="inlineStr">
        <is>
          <t>Despicable Me</t>
        </is>
      </c>
      <c r="C86" s="63" t="inlineStr">
        <is>
          <t>2010</t>
        </is>
      </c>
      <c r="D86" t="inlineStr">
        <is>
          <t>Blu-ray</t>
        </is>
      </c>
      <c r="E86" t="inlineStr">
        <is>
          <t>Despicable Me / Minions</t>
        </is>
      </c>
      <c r="F86" s="64" t="n"/>
      <c r="I86" s="64" t="inlineStr">
        <is>
          <t>Determined to prove he's the world's greatest supervillain, Gru hatches an audacious plan to steal the Moon. To pull it off, he adopts three orphaned girls—Margo, Edith, and Agnes—intending to use them as pawns in his scheme. But the unexpected bond they form forces him to question the criminal life he's always known.</t>
        </is>
      </c>
      <c r="J86" s="64" t="inlineStr">
        <is>
          <t>Pierre Coffin, Chris Renaud</t>
        </is>
      </c>
      <c r="K86" s="64" t="n">
        <v>95</v>
      </c>
      <c r="L86" s="64" t="inlineStr">
        <is>
          <t>Family, Animation, Comedy</t>
        </is>
      </c>
      <c r="M86" s="64" t="inlineStr">
        <is>
          <t>Illumination, Universal Pictures</t>
        </is>
      </c>
      <c r="N86" s="64" t="inlineStr">
        <is>
          <t>https://huggingface.co/datasets/HenryWaltson/TMDB-IMDB-Movies-Dataset</t>
        </is>
      </c>
      <c r="O86" s="64" t="inlineStr">
        <is>
          <t>https://huggingface.co/datasets/HenryWaltson/TMDB-IMDB-Movies-Dataset</t>
        </is>
      </c>
      <c r="P86" t="inlineStr">
        <is>
          <t>Steve Carell</t>
        </is>
      </c>
      <c r="Q86" t="inlineStr">
        <is>
          <t>Jason Segel</t>
        </is>
      </c>
      <c r="R86" t="inlineStr">
        <is>
          <t>Miranda Cosgrove</t>
        </is>
      </c>
      <c r="S86" t="inlineStr">
        <is>
          <t>Elsie Fisher</t>
        </is>
      </c>
      <c r="T86" t="inlineStr">
        <is>
          <t>Dana Gaier</t>
        </is>
      </c>
      <c r="U86" s="71" t="n">
        <v>0</v>
      </c>
      <c r="V86" s="71" t="n">
        <v>0</v>
      </c>
      <c r="X86" s="82">
        <f>IFERROR(INDEX(Ratings!$E$5:$E$500,MATCH(A86,Ratings!$A$5:$A$500,0)),"")</f>
        <v/>
      </c>
      <c r="Y86" s="71">
        <f>IFERROR(INDEX(Ratings!$G$5:$G$500,MATCH(A86,Ratings!$A$5:$A$500,0)),"")</f>
        <v/>
      </c>
      <c r="Z86" s="83">
        <f>IFERROR(INDEX(Ratings!$I$5:$I$500,MATCH(A86,Ratings!$A$5:$A$500,0)),"")</f>
        <v/>
      </c>
    </row>
    <row r="87" ht="15.75" customHeight="1" s="95">
      <c r="A87" t="inlineStr">
        <is>
          <t>F0083</t>
        </is>
      </c>
      <c r="B87" t="inlineStr">
        <is>
          <t>Despicable Me 2</t>
        </is>
      </c>
      <c r="C87" s="63" t="inlineStr">
        <is>
          <t>2013</t>
        </is>
      </c>
      <c r="D87" t="inlineStr">
        <is>
          <t>Blu-ray</t>
        </is>
      </c>
      <c r="E87" t="inlineStr">
        <is>
          <t>Despicable Me / Minions</t>
        </is>
      </c>
      <c r="F87" s="64" t="n"/>
      <c r="I87" s="64" t="inlineStr">
        <is>
          <t>Gru is recruited by the Anti-Villain League to help deal with a powerful new super criminal.</t>
        </is>
      </c>
      <c r="J87" s="64" t="inlineStr">
        <is>
          <t>Pierre Coffin, Chris Renaud</t>
        </is>
      </c>
      <c r="K87" s="64" t="n">
        <v>98</v>
      </c>
      <c r="L87" s="64" t="inlineStr">
        <is>
          <t>Animation, Comedy, Family</t>
        </is>
      </c>
      <c r="M87" s="64" t="inlineStr">
        <is>
          <t>Illumination, Universal Pictures</t>
        </is>
      </c>
      <c r="N87" s="64" t="inlineStr">
        <is>
          <t>https://huggingface.co/datasets/HenryWaltson/TMDB-IMDB-Movies-Dataset</t>
        </is>
      </c>
      <c r="O87" s="64" t="inlineStr">
        <is>
          <t>https://huggingface.co/datasets/HenryWaltson/TMDB-IMDB-Movies-Dataset</t>
        </is>
      </c>
      <c r="P87" t="inlineStr">
        <is>
          <t>Steve Carell</t>
        </is>
      </c>
      <c r="Q87" t="inlineStr">
        <is>
          <t>Kristen Wiig</t>
        </is>
      </c>
      <c r="R87" t="inlineStr">
        <is>
          <t>Benjamin Bratt</t>
        </is>
      </c>
      <c r="S87" t="inlineStr">
        <is>
          <t>Miranda Cosgrove</t>
        </is>
      </c>
      <c r="T87" t="inlineStr">
        <is>
          <t>Russell Brand</t>
        </is>
      </c>
      <c r="U87" s="71" t="n">
        <v>2</v>
      </c>
      <c r="V87" s="71" t="n">
        <v>0</v>
      </c>
      <c r="X87" s="82">
        <f>IFERROR(INDEX(Ratings!$E$5:$E$500,MATCH(A87,Ratings!$A$5:$A$500,0)),"")</f>
        <v/>
      </c>
      <c r="Y87" s="71">
        <f>IFERROR(INDEX(Ratings!$G$5:$G$500,MATCH(A87,Ratings!$A$5:$A$500,0)),"")</f>
        <v/>
      </c>
      <c r="Z87" s="83">
        <f>IFERROR(INDEX(Ratings!$I$5:$I$500,MATCH(A87,Ratings!$A$5:$A$500,0)),"")</f>
        <v/>
      </c>
    </row>
    <row r="88" ht="15.75" customHeight="1" s="95">
      <c r="A88" t="inlineStr">
        <is>
          <t>F0084</t>
        </is>
      </c>
      <c r="B88" t="inlineStr">
        <is>
          <t>Despicable Me 3</t>
        </is>
      </c>
      <c r="C88" s="63" t="inlineStr">
        <is>
          <t>2017</t>
        </is>
      </c>
      <c r="D88" t="inlineStr">
        <is>
          <t>Blu-ray</t>
        </is>
      </c>
      <c r="E88" t="inlineStr">
        <is>
          <t>Despicable Me / Minions</t>
        </is>
      </c>
      <c r="F88" s="64" t="n"/>
      <c r="I88" s="64" t="inlineStr">
        <is>
          <t>Gru and his wife Lucy must stop former '80s child star Balthazar Bratt from achieving world domination.</t>
        </is>
      </c>
      <c r="J88" s="64" t="inlineStr">
        <is>
          <t>Kyle Balda, Pierre Coffin, Eric Guillon</t>
        </is>
      </c>
      <c r="K88" s="64" t="n">
        <v>90</v>
      </c>
      <c r="L88" s="64" t="inlineStr">
        <is>
          <t>Action, Animation, Comedy, Family, Adventure</t>
        </is>
      </c>
      <c r="M88" s="64" t="inlineStr">
        <is>
          <t>Illumination, Universal Pictures</t>
        </is>
      </c>
      <c r="N88" s="64" t="inlineStr">
        <is>
          <t>https://huggingface.co/datasets/HenryWaltson/TMDB-IMDB-Movies-Dataset</t>
        </is>
      </c>
      <c r="O88" s="64" t="inlineStr">
        <is>
          <t>https://huggingface.co/datasets/HenryWaltson/TMDB-IMDB-Movies-Dataset</t>
        </is>
      </c>
      <c r="P88" t="inlineStr">
        <is>
          <t>Steve Carell</t>
        </is>
      </c>
      <c r="Q88" t="inlineStr">
        <is>
          <t>Kristen Wiig</t>
        </is>
      </c>
      <c r="R88" t="inlineStr">
        <is>
          <t>Miranda Cosgrove</t>
        </is>
      </c>
      <c r="S88" t="inlineStr">
        <is>
          <t>Dana Gaier</t>
        </is>
      </c>
      <c r="T88" t="inlineStr">
        <is>
          <t>Nev Scharrel</t>
        </is>
      </c>
      <c r="U88" s="71" t="n">
        <v>0</v>
      </c>
      <c r="V88" s="71" t="n">
        <v>0</v>
      </c>
      <c r="X88" s="82">
        <f>IFERROR(INDEX(Ratings!$E$5:$E$500,MATCH(A88,Ratings!$A$5:$A$500,0)),"")</f>
        <v/>
      </c>
      <c r="Y88" s="71">
        <f>IFERROR(INDEX(Ratings!$G$5:$G$500,MATCH(A88,Ratings!$A$5:$A$500,0)),"")</f>
        <v/>
      </c>
      <c r="Z88" s="83">
        <f>IFERROR(INDEX(Ratings!$I$5:$I$500,MATCH(A88,Ratings!$A$5:$A$500,0)),"")</f>
        <v/>
      </c>
    </row>
    <row r="89" ht="15.75" customHeight="1" s="95">
      <c r="A89" t="inlineStr">
        <is>
          <t>F0085</t>
        </is>
      </c>
      <c r="B89" t="inlineStr">
        <is>
          <t>The Dictator</t>
        </is>
      </c>
      <c r="C89" s="63" t="inlineStr">
        <is>
          <t>2012</t>
        </is>
      </c>
      <c r="D89" t="inlineStr">
        <is>
          <t>Blu-ray</t>
        </is>
      </c>
      <c r="F89" s="64" t="n"/>
      <c r="I89" s="64" t="inlineStr">
        <is>
          <t>The heroic story of a dictator who risks his life to ensure that democracy would never come to the country he so lovingly oppressed.</t>
        </is>
      </c>
      <c r="J89" s="64" t="inlineStr">
        <is>
          <t>Larry Charles</t>
        </is>
      </c>
      <c r="K89" s="64" t="n">
        <v>83</v>
      </c>
      <c r="L89" s="64" t="inlineStr">
        <is>
          <t>Comedy</t>
        </is>
      </c>
      <c r="M89" s="64" t="inlineStr">
        <is>
          <t>Four By Two Productions, Paramount</t>
        </is>
      </c>
      <c r="N89" s="64" t="inlineStr">
        <is>
          <t>https://huggingface.co/datasets/HenryWaltson/TMDB-IMDB-Movies-Dataset</t>
        </is>
      </c>
      <c r="O89" s="64" t="inlineStr">
        <is>
          <t>https://huggingface.co/datasets/HenryWaltson/TMDB-IMDB-Movies-Dataset</t>
        </is>
      </c>
      <c r="P89" t="inlineStr">
        <is>
          <t>Sacha Baron Cohen</t>
        </is>
      </c>
      <c r="Q89" t="inlineStr">
        <is>
          <t>Ben Kingsley</t>
        </is>
      </c>
      <c r="R89" t="inlineStr">
        <is>
          <t>Anna Faris</t>
        </is>
      </c>
      <c r="S89" t="inlineStr">
        <is>
          <t>Jason Mantzoukas</t>
        </is>
      </c>
      <c r="T89" t="inlineStr">
        <is>
          <t>Sayed Badreya</t>
        </is>
      </c>
      <c r="U89" s="71" t="n">
        <v>0</v>
      </c>
      <c r="V89" s="71" t="n">
        <v>0</v>
      </c>
      <c r="X89" s="82">
        <f>IFERROR(INDEX(Ratings!$E$5:$E$500,MATCH(A89,Ratings!$A$5:$A$500,0)),"")</f>
        <v/>
      </c>
      <c r="Y89" s="71">
        <f>IFERROR(INDEX(Ratings!$G$5:$G$500,MATCH(A89,Ratings!$A$5:$A$500,0)),"")</f>
        <v/>
      </c>
      <c r="Z89" s="83">
        <f>IFERROR(INDEX(Ratings!$I$5:$I$500,MATCH(A89,Ratings!$A$5:$A$500,0)),"")</f>
        <v/>
      </c>
    </row>
    <row r="90" ht="15.75" customHeight="1" s="95">
      <c r="A90" t="inlineStr">
        <is>
          <t>F0086</t>
        </is>
      </c>
      <c r="B90" t="inlineStr">
        <is>
          <t>Live Free or Die Hard</t>
        </is>
      </c>
      <c r="C90" s="63" t="inlineStr">
        <is>
          <t>2007</t>
        </is>
      </c>
      <c r="D90" t="inlineStr">
        <is>
          <t>Blu-ray</t>
        </is>
      </c>
      <c r="F90" s="64" t="n"/>
      <c r="I90" s="64" t="inlineStr">
        <is>
          <t>John McClane is back and badder than ever, and this time he calls on the services of a young hacker in his bid to stop a ring of Internet terrorists intent on taking control of America's computer infrastructure.</t>
        </is>
      </c>
      <c r="J90" s="64" t="inlineStr">
        <is>
          <t>Len Wiseman</t>
        </is>
      </c>
      <c r="K90" s="64" t="n">
        <v>128</v>
      </c>
      <c r="L90" s="64" t="inlineStr">
        <is>
          <t>Action, Thriller</t>
        </is>
      </c>
      <c r="M90" s="64" t="inlineStr">
        <is>
          <t>Dune Entertainment, Cheyenne Enterprises, Wintergreen Productions</t>
        </is>
      </c>
      <c r="N90" s="64" t="inlineStr">
        <is>
          <t>https://huggingface.co/datasets/HenryWaltson/TMDB-IMDB-Movies-Dataset</t>
        </is>
      </c>
      <c r="O90" s="64" t="inlineStr">
        <is>
          <t>https://huggingface.co/datasets/HenryWaltson/TMDB-IMDB-Movies-Dataset</t>
        </is>
      </c>
      <c r="P90" t="inlineStr">
        <is>
          <t>Bruce Willis</t>
        </is>
      </c>
      <c r="Q90" t="inlineStr">
        <is>
          <t>Justin Long</t>
        </is>
      </c>
      <c r="R90" t="inlineStr">
        <is>
          <t>Timothy Olyphant</t>
        </is>
      </c>
      <c r="S90" t="inlineStr">
        <is>
          <t>Cliff Curtis</t>
        </is>
      </c>
      <c r="T90" t="inlineStr">
        <is>
          <t>Maggie Q</t>
        </is>
      </c>
      <c r="U90" s="71" t="n">
        <v>0</v>
      </c>
      <c r="V90" s="71" t="n">
        <v>0</v>
      </c>
      <c r="X90" s="82">
        <f>IFERROR(INDEX(Ratings!$E$5:$E$500,MATCH(A90,Ratings!$A$5:$A$500,0)),"")</f>
        <v/>
      </c>
      <c r="Y90" s="71">
        <f>IFERROR(INDEX(Ratings!$G$5:$G$500,MATCH(A90,Ratings!$A$5:$A$500,0)),"")</f>
        <v/>
      </c>
      <c r="Z90" s="83">
        <f>IFERROR(INDEX(Ratings!$I$5:$I$500,MATCH(A90,Ratings!$A$5:$A$500,0)),"")</f>
        <v/>
      </c>
    </row>
    <row r="91" ht="15.75" customHeight="1" s="95">
      <c r="A91" t="inlineStr">
        <is>
          <t>F0087</t>
        </is>
      </c>
      <c r="B91" t="inlineStr">
        <is>
          <t>Dirty Grandpa</t>
        </is>
      </c>
      <c r="C91" s="63" t="inlineStr">
        <is>
          <t>2016</t>
        </is>
      </c>
      <c r="D91" t="inlineStr">
        <is>
          <t>Blu-ray</t>
        </is>
      </c>
      <c r="F91" s="64" t="n"/>
      <c r="I91" s="64" t="inlineStr">
        <is>
          <t>Jason Kelly is one week away from marrying his boss's uber-controlling daughter, putting him on the fast track for a partnership at the law firm. However, when the straight-laced Jason is tricked into driving his foul-mouthed grandfather, Dick, to Daytona for spring break, his pending nuptials are suddenly in jeopardy. Between riotous frat parties, bar fights, and an epic night of karaoke, Dick is on a quest to live his life to the fullest and bring Jason along for the ride.</t>
        </is>
      </c>
      <c r="J91" s="64" t="inlineStr">
        <is>
          <t>Dan Mazer</t>
        </is>
      </c>
      <c r="K91" s="64" t="n">
        <v>102</v>
      </c>
      <c r="L91" s="64" t="inlineStr">
        <is>
          <t>Comedy</t>
        </is>
      </c>
      <c r="M91" s="64" t="inlineStr">
        <is>
          <t>Covert Media, Lionsgate, BillBlock Media</t>
        </is>
      </c>
      <c r="N91" s="64" t="inlineStr">
        <is>
          <t>https://huggingface.co/datasets/HenryWaltson/TMDB-IMDB-Movies-Dataset</t>
        </is>
      </c>
      <c r="O91" s="64" t="inlineStr">
        <is>
          <t>https://huggingface.co/datasets/HenryWaltson/TMDB-IMDB-Movies-Dataset</t>
        </is>
      </c>
      <c r="P91" t="inlineStr">
        <is>
          <t>Robert De Niro</t>
        </is>
      </c>
      <c r="Q91" t="inlineStr">
        <is>
          <t>Zac Efron</t>
        </is>
      </c>
      <c r="R91" t="inlineStr">
        <is>
          <t>Aubrey Plaza</t>
        </is>
      </c>
      <c r="S91" t="inlineStr">
        <is>
          <t>Zoey Deutch</t>
        </is>
      </c>
      <c r="T91" t="inlineStr">
        <is>
          <t>Julianne Hough</t>
        </is>
      </c>
      <c r="U91" s="71" t="n">
        <v>0</v>
      </c>
      <c r="V91" s="71" t="n">
        <v>0</v>
      </c>
      <c r="X91" s="82">
        <f>IFERROR(INDEX(Ratings!$E$5:$E$500,MATCH(A91,Ratings!$A$5:$A$500,0)),"")</f>
        <v/>
      </c>
      <c r="Y91" s="71">
        <f>IFERROR(INDEX(Ratings!$G$5:$G$500,MATCH(A91,Ratings!$A$5:$A$500,0)),"")</f>
        <v/>
      </c>
      <c r="Z91" s="83">
        <f>IFERROR(INDEX(Ratings!$I$5:$I$500,MATCH(A91,Ratings!$A$5:$A$500,0)),"")</f>
        <v/>
      </c>
    </row>
    <row r="92" ht="15.75" customHeight="1" s="95">
      <c r="A92" t="inlineStr">
        <is>
          <t>F0088</t>
        </is>
      </c>
      <c r="B92" t="inlineStr">
        <is>
          <t>District 9</t>
        </is>
      </c>
      <c r="C92" s="63" t="inlineStr">
        <is>
          <t>2009</t>
        </is>
      </c>
      <c r="D92" t="inlineStr">
        <is>
          <t>Blu-ray</t>
        </is>
      </c>
      <c r="F92" s="64" t="n"/>
      <c r="I92" s="64" t="inlineStr">
        <is>
          <t>Thirty years ago, aliens arrive on Earth. Not to conquer or give aid, but to find refuge from their dying planet. Separated from humans in a South African area called District 9, the aliens are managed by Multi-National United, which is unconcerned with the aliens' welfare but will do anything to master their advanced technology. When a company field agent contracts a mysterious virus that begins to alter his DNA, there is only one place he can hide: District 9.</t>
        </is>
      </c>
      <c r="J92" s="64" t="inlineStr">
        <is>
          <t>Neill Blomkamp</t>
        </is>
      </c>
      <c r="K92" s="64" t="n">
        <v>112</v>
      </c>
      <c r="L92" s="64" t="inlineStr">
        <is>
          <t>Science Fiction</t>
        </is>
      </c>
      <c r="M92" s="64" t="inlineStr">
        <is>
          <t>TriStar Pictures, Block / Hanson, WingNut Films</t>
        </is>
      </c>
      <c r="N92" s="64" t="inlineStr">
        <is>
          <t>https://huggingface.co/datasets/HenryWaltson/TMDB-IMDB-Movies-Dataset</t>
        </is>
      </c>
      <c r="O92" s="64" t="inlineStr">
        <is>
          <t>https://huggingface.co/datasets/HenryWaltson/TMDB-IMDB-Movies-Dataset</t>
        </is>
      </c>
      <c r="P92" t="inlineStr">
        <is>
          <t>Sharlto Copley</t>
        </is>
      </c>
      <c r="Q92" t="inlineStr">
        <is>
          <t>Jason Cope</t>
        </is>
      </c>
      <c r="R92" t="inlineStr">
        <is>
          <t>Nathalie Boltt</t>
        </is>
      </c>
      <c r="S92" t="inlineStr">
        <is>
          <t>Sylvaine Strike</t>
        </is>
      </c>
      <c r="T92" t="inlineStr">
        <is>
          <t>Elizabeth Mkandawie</t>
        </is>
      </c>
      <c r="U92" s="71" t="n">
        <v>4</v>
      </c>
      <c r="V92" s="71" t="n">
        <v>0</v>
      </c>
      <c r="W92" t="inlineStr">
        <is>
          <t>Nominated</t>
        </is>
      </c>
      <c r="X92" s="82">
        <f>IFERROR(INDEX(Ratings!$E$5:$E$500,MATCH(A92,Ratings!$A$5:$A$500,0)),"")</f>
        <v/>
      </c>
      <c r="Y92" s="71">
        <f>IFERROR(INDEX(Ratings!$G$5:$G$500,MATCH(A92,Ratings!$A$5:$A$500,0)),"")</f>
        <v/>
      </c>
      <c r="Z92" s="83">
        <f>IFERROR(INDEX(Ratings!$I$5:$I$500,MATCH(A92,Ratings!$A$5:$A$500,0)),"")</f>
        <v/>
      </c>
    </row>
    <row r="93" ht="15.75" customHeight="1" s="95">
      <c r="A93" t="inlineStr">
        <is>
          <t>F0089</t>
        </is>
      </c>
      <c r="B93" t="inlineStr">
        <is>
          <t>Divergent</t>
        </is>
      </c>
      <c r="C93" s="63" t="inlineStr">
        <is>
          <t>2014</t>
        </is>
      </c>
      <c r="D93" t="inlineStr">
        <is>
          <t>Blu-ray</t>
        </is>
      </c>
      <c r="E93" t="inlineStr">
        <is>
          <t>Divergent</t>
        </is>
      </c>
      <c r="F93" s="64" t="n"/>
      <c r="I93" s="64" t="inlineStr">
        <is>
          <t>In a world divided into factions based on personality types, Tris learns that she's been classified as Divergent and won't fit in. When she discovers a plot to destroy Divergents, Tris and the mysterious Four must find out what makes Divergents dangerous before it's too late.</t>
        </is>
      </c>
      <c r="J93" s="64" t="inlineStr">
        <is>
          <t>Neil Burger</t>
        </is>
      </c>
      <c r="K93" s="64" t="n">
        <v>139</v>
      </c>
      <c r="L93" s="64" t="inlineStr">
        <is>
          <t>Action, Adventure, Science Fiction</t>
        </is>
      </c>
      <c r="M93" s="64" t="inlineStr">
        <is>
          <t>Summit Entertainment, Red Wagon Entertainment</t>
        </is>
      </c>
      <c r="N93" s="64" t="inlineStr">
        <is>
          <t>https://huggingface.co/datasets/HenryWaltson/TMDB-IMDB-Movies-Dataset</t>
        </is>
      </c>
      <c r="O93" s="64" t="inlineStr">
        <is>
          <t>https://huggingface.co/datasets/HenryWaltson/TMDB-IMDB-Movies-Dataset</t>
        </is>
      </c>
      <c r="P93" t="inlineStr">
        <is>
          <t>Shailene Woodley</t>
        </is>
      </c>
      <c r="Q93" t="inlineStr">
        <is>
          <t>Theo James</t>
        </is>
      </c>
      <c r="R93" t="inlineStr">
        <is>
          <t>Zoë Kravitz</t>
        </is>
      </c>
      <c r="S93" t="inlineStr">
        <is>
          <t>Miles Teller</t>
        </is>
      </c>
      <c r="T93" t="inlineStr">
        <is>
          <t>Jai Courtney</t>
        </is>
      </c>
      <c r="U93" s="71" t="n">
        <v>0</v>
      </c>
      <c r="V93" s="71" t="n">
        <v>0</v>
      </c>
      <c r="X93" s="82">
        <f>IFERROR(INDEX(Ratings!$E$5:$E$500,MATCH(A93,Ratings!$A$5:$A$500,0)),"")</f>
        <v/>
      </c>
      <c r="Y93" s="71">
        <f>IFERROR(INDEX(Ratings!$G$5:$G$500,MATCH(A93,Ratings!$A$5:$A$500,0)),"")</f>
        <v/>
      </c>
      <c r="Z93" s="83">
        <f>IFERROR(INDEX(Ratings!$I$5:$I$500,MATCH(A93,Ratings!$A$5:$A$500,0)),"")</f>
        <v/>
      </c>
    </row>
    <row r="94" ht="15.75" customHeight="1" s="95">
      <c r="A94" t="inlineStr">
        <is>
          <t>F0090</t>
        </is>
      </c>
      <c r="B94" t="inlineStr">
        <is>
          <t>Django Unchained</t>
        </is>
      </c>
      <c r="C94" s="63" t="inlineStr">
        <is>
          <t>2012</t>
        </is>
      </c>
      <c r="D94" t="inlineStr">
        <is>
          <t>Blu-ray</t>
        </is>
      </c>
      <c r="F94" s="64" t="n"/>
      <c r="I94" s="64" t="inlineStr">
        <is>
          <t>With the help of a German bounty hunter, a freed slave sets out to rescue his wife from a brutal Mississippi plantation owner.</t>
        </is>
      </c>
      <c r="J94" s="64" t="inlineStr">
        <is>
          <t>Quentin Tarantino</t>
        </is>
      </c>
      <c r="K94" s="64" t="n">
        <v>165</v>
      </c>
      <c r="L94" s="64" t="inlineStr">
        <is>
          <t>Drama, Western</t>
        </is>
      </c>
      <c r="M94" s="64" t="inlineStr">
        <is>
          <t>The Weinstein Company, Columbia Pictures</t>
        </is>
      </c>
      <c r="N94" s="64" t="inlineStr">
        <is>
          <t>https://huggingface.co/datasets/HenryWaltson/TMDB-IMDB-Movies-Dataset</t>
        </is>
      </c>
      <c r="O94" s="64" t="inlineStr">
        <is>
          <t>https://huggingface.co/datasets/HenryWaltson/TMDB-IMDB-Movies-Dataset</t>
        </is>
      </c>
      <c r="P94" t="inlineStr">
        <is>
          <t>Jamie Foxx</t>
        </is>
      </c>
      <c r="Q94" t="inlineStr">
        <is>
          <t>Christoph Waltz</t>
        </is>
      </c>
      <c r="R94" t="inlineStr">
        <is>
          <t>Leonardo DiCaprio</t>
        </is>
      </c>
      <c r="S94" t="inlineStr">
        <is>
          <t>Kerry Washington</t>
        </is>
      </c>
      <c r="T94" t="inlineStr">
        <is>
          <t>Samuel L. Jackson</t>
        </is>
      </c>
      <c r="U94" s="71" t="n">
        <v>5</v>
      </c>
      <c r="V94" s="71" t="n">
        <v>2</v>
      </c>
      <c r="W94" t="inlineStr">
        <is>
          <t>Nominated</t>
        </is>
      </c>
      <c r="X94" s="82">
        <f>IFERROR(INDEX(Ratings!$E$5:$E$500,MATCH(A94,Ratings!$A$5:$A$500,0)),"")</f>
        <v/>
      </c>
      <c r="Y94" s="71">
        <f>IFERROR(INDEX(Ratings!$G$5:$G$500,MATCH(A94,Ratings!$A$5:$A$500,0)),"")</f>
        <v/>
      </c>
      <c r="Z94" s="83">
        <f>IFERROR(INDEX(Ratings!$I$5:$I$500,MATCH(A94,Ratings!$A$5:$A$500,0)),"")</f>
        <v/>
      </c>
    </row>
    <row r="95" ht="15.75" customHeight="1" s="95">
      <c r="A95" t="inlineStr">
        <is>
          <t>F0091</t>
        </is>
      </c>
      <c r="B95" t="inlineStr">
        <is>
          <t>Due Date</t>
        </is>
      </c>
      <c r="C95" s="63" t="inlineStr">
        <is>
          <t>2010</t>
        </is>
      </c>
      <c r="D95" t="inlineStr">
        <is>
          <t>Blu-ray</t>
        </is>
      </c>
      <c r="F95" s="64" t="n"/>
      <c r="G95" t="inlineStr">
        <is>
          <t>Yes</t>
        </is>
      </c>
      <c r="H95" t="inlineStr">
        <is>
          <t>⭐⭐⭐⭐</t>
        </is>
      </c>
      <c r="I95" s="64" t="inlineStr">
        <is>
          <t>Peter Highman must scramble across the US in five days to be present for the birth of his first child. He gets off to a bad start when his wallet and luggage are stolen, and put on the 'no-fly' list. Peter embarks on a terrifying journey when he accepts a ride from an actor.</t>
        </is>
      </c>
      <c r="J95" s="64" t="inlineStr">
        <is>
          <t>Todd Phillips</t>
        </is>
      </c>
      <c r="K95" s="64" t="n">
        <v>95</v>
      </c>
      <c r="L95" s="64" t="inlineStr">
        <is>
          <t>Comedy, Drama</t>
        </is>
      </c>
      <c r="M95" s="64" t="inlineStr">
        <is>
          <t>Legendary Pictures, Green Hat Films, Warner Bros. Pictures</t>
        </is>
      </c>
      <c r="N95" s="64" t="inlineStr">
        <is>
          <t>https://huggingface.co/datasets/HenryWaltson/TMDB-IMDB-Movies-Dataset</t>
        </is>
      </c>
      <c r="O95" s="64" t="inlineStr">
        <is>
          <t>https://huggingface.co/datasets/HenryWaltson/TMDB-IMDB-Movies-Dataset</t>
        </is>
      </c>
      <c r="P95" t="inlineStr">
        <is>
          <t>Robert Downey Jr.</t>
        </is>
      </c>
      <c r="Q95" t="inlineStr">
        <is>
          <t>Zach Galifianakis</t>
        </is>
      </c>
      <c r="R95" t="inlineStr">
        <is>
          <t>Michelle Monaghan</t>
        </is>
      </c>
      <c r="S95" t="inlineStr">
        <is>
          <t>Jamie Foxx</t>
        </is>
      </c>
      <c r="T95" t="inlineStr">
        <is>
          <t>Juliette Lewis</t>
        </is>
      </c>
      <c r="U95" s="71" t="n">
        <v>0</v>
      </c>
      <c r="V95" s="71" t="n">
        <v>0</v>
      </c>
      <c r="X95" s="82">
        <f>IFERROR(INDEX(Ratings!$E$5:$E$500,MATCH(A95,Ratings!$A$5:$A$500,0)),"")</f>
        <v/>
      </c>
      <c r="Y95" s="71">
        <f>IFERROR(INDEX(Ratings!$G$5:$G$500,MATCH(A95,Ratings!$A$5:$A$500,0)),"")</f>
        <v/>
      </c>
      <c r="Z95" s="83">
        <f>IFERROR(INDEX(Ratings!$I$5:$I$500,MATCH(A95,Ratings!$A$5:$A$500,0)),"")</f>
        <v/>
      </c>
      <c r="AA95" t="inlineStr">
        <is>
          <t>2026-08-08</t>
        </is>
      </c>
    </row>
    <row r="96" ht="15.75" customHeight="1" s="95">
      <c r="A96" t="inlineStr">
        <is>
          <t>F0092</t>
        </is>
      </c>
      <c r="B96" t="inlineStr">
        <is>
          <t>Elf</t>
        </is>
      </c>
      <c r="C96" s="63" t="inlineStr">
        <is>
          <t>2003</t>
        </is>
      </c>
      <c r="D96" t="inlineStr">
        <is>
          <t>4K UHD</t>
        </is>
      </c>
      <c r="F96" s="64" t="n"/>
      <c r="I96" s="64" t="inlineStr">
        <is>
          <t>When young Buddy falls into Santa's gift sack on Christmas Eve, he's transported back to the North Pole and raised as a toy-making elf by Santa's helpers. But as he grows into adulthood, he can't shake the nagging feeling that he doesn't belong. Buddy vows to visit Manhattan and find his real dad, a workaholic.</t>
        </is>
      </c>
      <c r="J96" s="64" t="inlineStr">
        <is>
          <t>Jon Favreau</t>
        </is>
      </c>
      <c r="K96" s="64" t="n">
        <v>97</v>
      </c>
      <c r="L96" s="64" t="inlineStr">
        <is>
          <t>Comedy, Family, Fantasy</t>
        </is>
      </c>
      <c r="M96" s="64" t="inlineStr">
        <is>
          <t>New Line Cinema, Guy Walks into a Bar Productions</t>
        </is>
      </c>
      <c r="N96" s="64" t="inlineStr">
        <is>
          <t>https://huggingface.co/datasets/HenryWaltson/TMDB-IMDB-Movies-Dataset</t>
        </is>
      </c>
      <c r="O96" s="64" t="inlineStr">
        <is>
          <t>https://huggingface.co/datasets/HenryWaltson/TMDB-IMDB-Movies-Dataset</t>
        </is>
      </c>
      <c r="P96" t="inlineStr">
        <is>
          <t>Will Ferrell</t>
        </is>
      </c>
      <c r="Q96" t="inlineStr">
        <is>
          <t>James Caan</t>
        </is>
      </c>
      <c r="R96" t="inlineStr">
        <is>
          <t>Bob Newhart</t>
        </is>
      </c>
      <c r="S96" t="inlineStr">
        <is>
          <t>Ed Asner</t>
        </is>
      </c>
      <c r="T96" t="inlineStr">
        <is>
          <t>Mary Steenburgen</t>
        </is>
      </c>
      <c r="U96" s="71" t="n">
        <v>0</v>
      </c>
      <c r="V96" s="71" t="n">
        <v>0</v>
      </c>
      <c r="X96" s="82">
        <f>IFERROR(INDEX(Ratings!$E$5:$E$500,MATCH(A96,Ratings!$A$5:$A$500,0)),"")</f>
        <v/>
      </c>
      <c r="Y96" s="71">
        <f>IFERROR(INDEX(Ratings!$G$5:$G$500,MATCH(A96,Ratings!$A$5:$A$500,0)),"")</f>
        <v/>
      </c>
      <c r="Z96" s="83">
        <f>IFERROR(INDEX(Ratings!$I$5:$I$500,MATCH(A96,Ratings!$A$5:$A$500,0)),"")</f>
        <v/>
      </c>
    </row>
    <row r="97" ht="15.75" customHeight="1" s="95">
      <c r="A97" t="inlineStr">
        <is>
          <t>F0093</t>
        </is>
      </c>
      <c r="B97" t="inlineStr">
        <is>
          <t>Elysium</t>
        </is>
      </c>
      <c r="C97" s="63" t="inlineStr">
        <is>
          <t>2013</t>
        </is>
      </c>
      <c r="D97" t="inlineStr">
        <is>
          <t>Blu-ray</t>
        </is>
      </c>
      <c r="F97" s="64" t="n"/>
      <c r="I97" s="64" t="inlineStr">
        <is>
          <t>In the year 2159, two classes of people exist: the very wealthy who live on a pristine man-made space station called Elysium, and the rest, who live on an overpopulated, ruined Earth. Secretary Rhodes, a hard line government official, will stop at nothing to enforce anti-immigration laws and preserve the luxurious lifestyle of the citizens of Elysium. That doesn’t stop the people of Earth from trying to get in, by any means they can. When unlucky Max is backed into a corner, he agrees to take on a daunting mission that, if successful, will not only save his life, but could bring equality to these polarized worlds.</t>
        </is>
      </c>
      <c r="J97" s="64" t="inlineStr">
        <is>
          <t>Neill Blomkamp</t>
        </is>
      </c>
      <c r="K97" s="64" t="n">
        <v>109</v>
      </c>
      <c r="L97" s="64" t="inlineStr">
        <is>
          <t>Science Fiction, Action, Drama, Thriller</t>
        </is>
      </c>
      <c r="M97" s="64" t="inlineStr">
        <is>
          <t>Genre Films, TriStar Pictures, MRC</t>
        </is>
      </c>
      <c r="N97" s="64" t="inlineStr">
        <is>
          <t>https://huggingface.co/datasets/HenryWaltson/TMDB-IMDB-Movies-Dataset</t>
        </is>
      </c>
      <c r="O97" s="64" t="inlineStr">
        <is>
          <t>https://huggingface.co/datasets/HenryWaltson/TMDB-IMDB-Movies-Dataset</t>
        </is>
      </c>
      <c r="P97" t="inlineStr">
        <is>
          <t>Matt Damon</t>
        </is>
      </c>
      <c r="Q97" t="inlineStr">
        <is>
          <t>Jodie Foster</t>
        </is>
      </c>
      <c r="R97" t="inlineStr">
        <is>
          <t>Sharlto Copley</t>
        </is>
      </c>
      <c r="S97" t="inlineStr">
        <is>
          <t>Diego Luna</t>
        </is>
      </c>
      <c r="T97" t="inlineStr">
        <is>
          <t>Wagner Moura</t>
        </is>
      </c>
      <c r="U97" s="71" t="n">
        <v>0</v>
      </c>
      <c r="V97" s="71" t="n">
        <v>0</v>
      </c>
      <c r="X97" s="82">
        <f>IFERROR(INDEX(Ratings!$E$5:$E$500,MATCH(A97,Ratings!$A$5:$A$500,0)),"")</f>
        <v/>
      </c>
      <c r="Y97" s="71">
        <f>IFERROR(INDEX(Ratings!$G$5:$G$500,MATCH(A97,Ratings!$A$5:$A$500,0)),"")</f>
        <v/>
      </c>
      <c r="Z97" s="83">
        <f>IFERROR(INDEX(Ratings!$I$5:$I$500,MATCH(A97,Ratings!$A$5:$A$500,0)),"")</f>
        <v/>
      </c>
    </row>
    <row r="98" ht="15.75" customHeight="1" s="95">
      <c r="A98" t="inlineStr">
        <is>
          <t>F0094</t>
        </is>
      </c>
      <c r="B98" t="inlineStr">
        <is>
          <t>Enemy of the State</t>
        </is>
      </c>
      <c r="C98" s="63" t="inlineStr">
        <is>
          <t>1998</t>
        </is>
      </c>
      <c r="D98" t="inlineStr">
        <is>
          <t>Blu-ray</t>
        </is>
      </c>
      <c r="F98" s="64" t="n"/>
      <c r="I98" s="64" t="inlineStr">
        <is>
          <t>When the videotape of the murder of a congressman unknowingly ends up in the hands of labor lawyer and dedicated family man Robert Clayton Dean, he is framed for the murder. With the help of the mysterious Brill, Dean attempts to throw the NSA off his trail and prove his innocence.</t>
        </is>
      </c>
      <c r="J98" s="64" t="inlineStr">
        <is>
          <t>Tony Scott</t>
        </is>
      </c>
      <c r="K98" s="64" t="n">
        <v>132</v>
      </c>
      <c r="L98" s="64" t="inlineStr">
        <is>
          <t>Action, Drama, Thriller</t>
        </is>
      </c>
      <c r="M98" s="64" t="inlineStr">
        <is>
          <t>Touchstone Pictures, Jerry Bruckheimer Films, Don Simpson/Jerry Bruckheimer Films</t>
        </is>
      </c>
      <c r="N98" s="64" t="inlineStr">
        <is>
          <t>https://huggingface.co/datasets/HenryWaltson/TMDB-IMDB-Movies-Dataset</t>
        </is>
      </c>
      <c r="O98" s="64" t="inlineStr">
        <is>
          <t>https://huggingface.co/datasets/HenryWaltson/TMDB-IMDB-Movies-Dataset</t>
        </is>
      </c>
      <c r="P98" t="inlineStr">
        <is>
          <t>Will Smith</t>
        </is>
      </c>
      <c r="Q98" t="inlineStr">
        <is>
          <t>Gene Hackman</t>
        </is>
      </c>
      <c r="R98" t="inlineStr">
        <is>
          <t>Jon Voight</t>
        </is>
      </c>
      <c r="S98" t="inlineStr">
        <is>
          <t>Regina King</t>
        </is>
      </c>
      <c r="T98" t="inlineStr">
        <is>
          <t>Loren Dean</t>
        </is>
      </c>
      <c r="U98" s="71" t="n">
        <v>0</v>
      </c>
      <c r="V98" s="71" t="n">
        <v>0</v>
      </c>
      <c r="X98" s="82">
        <f>IFERROR(INDEX(Ratings!$E$5:$E$500,MATCH(A98,Ratings!$A$5:$A$500,0)),"")</f>
        <v/>
      </c>
      <c r="Y98" s="71">
        <f>IFERROR(INDEX(Ratings!$G$5:$G$500,MATCH(A98,Ratings!$A$5:$A$500,0)),"")</f>
        <v/>
      </c>
      <c r="Z98" s="83">
        <f>IFERROR(INDEX(Ratings!$I$5:$I$500,MATCH(A98,Ratings!$A$5:$A$500,0)),"")</f>
        <v/>
      </c>
    </row>
    <row r="99" ht="15.75" customHeight="1" s="95">
      <c r="A99" t="inlineStr">
        <is>
          <t>F0095</t>
        </is>
      </c>
      <c r="B99" t="inlineStr">
        <is>
          <t>The Expendables</t>
        </is>
      </c>
      <c r="C99" s="63" t="inlineStr">
        <is>
          <t>2010</t>
        </is>
      </c>
      <c r="D99" t="inlineStr">
        <is>
          <t>Blu-ray</t>
        </is>
      </c>
      <c r="E99" t="inlineStr">
        <is>
          <t>Expendables</t>
        </is>
      </c>
      <c r="F99" s="64" t="n"/>
      <c r="I99" s="64" t="inlineStr">
        <is>
          <t>Barney Ross leads a band of highly skilled mercenaries including knife enthusiast Lee Christmas, a martial arts expert Yin Yang, heavy weapons specialist Hale Caesar, demolitionist Toll Road, and a loose-cannon sniper Gunner Jensen. When the group is commissioned by the mysterious Mr. Church to assassinate the dictator of a small South American island, Barney and Lee visit the remote locale to scout out their opposition and discover the true nature of the conflict engulfing the city.</t>
        </is>
      </c>
      <c r="J99" s="64" t="inlineStr">
        <is>
          <t>Sylvester Stallone</t>
        </is>
      </c>
      <c r="K99" s="64" t="n">
        <v>103</v>
      </c>
      <c r="L99" s="64" t="inlineStr">
        <is>
          <t>Thriller, Adventure, Action</t>
        </is>
      </c>
      <c r="M99" s="64" t="inlineStr">
        <is>
          <t>Nimar Studios, Rogue Marble, Millennium Media</t>
        </is>
      </c>
      <c r="N99" s="64" t="inlineStr">
        <is>
          <t>https://huggingface.co/datasets/HenryWaltson/TMDB-IMDB-Movies-Dataset</t>
        </is>
      </c>
      <c r="O99" s="64" t="inlineStr">
        <is>
          <t>https://huggingface.co/datasets/HenryWaltson/TMDB-IMDB-Movies-Dataset</t>
        </is>
      </c>
      <c r="P99" t="inlineStr">
        <is>
          <t>Sylvester Stallone</t>
        </is>
      </c>
      <c r="Q99" t="inlineStr">
        <is>
          <t>Jason Statham</t>
        </is>
      </c>
      <c r="R99" t="inlineStr">
        <is>
          <t>Jet Li</t>
        </is>
      </c>
      <c r="S99" t="inlineStr">
        <is>
          <t>Dolph Lundgren</t>
        </is>
      </c>
      <c r="T99" t="inlineStr">
        <is>
          <t>Eric Roberts</t>
        </is>
      </c>
      <c r="U99" s="71" t="n">
        <v>0</v>
      </c>
      <c r="V99" s="71" t="n">
        <v>0</v>
      </c>
      <c r="X99" s="82">
        <f>IFERROR(INDEX(Ratings!$E$5:$E$500,MATCH(A99,Ratings!$A$5:$A$500,0)),"")</f>
        <v/>
      </c>
      <c r="Y99" s="71">
        <f>IFERROR(INDEX(Ratings!$G$5:$G$500,MATCH(A99,Ratings!$A$5:$A$500,0)),"")</f>
        <v/>
      </c>
      <c r="Z99" s="83">
        <f>IFERROR(INDEX(Ratings!$I$5:$I$500,MATCH(A99,Ratings!$A$5:$A$500,0)),"")</f>
        <v/>
      </c>
    </row>
    <row r="100" ht="15.75" customHeight="1" s="95">
      <c r="A100" t="inlineStr">
        <is>
          <t>F0096</t>
        </is>
      </c>
      <c r="B100" t="inlineStr">
        <is>
          <t>The Expendables 2</t>
        </is>
      </c>
      <c r="C100" s="63" t="inlineStr">
        <is>
          <t>2012</t>
        </is>
      </c>
      <c r="D100" t="inlineStr">
        <is>
          <t>Blu-ray</t>
        </is>
      </c>
      <c r="E100" t="inlineStr">
        <is>
          <t>Expendables</t>
        </is>
      </c>
      <c r="F100" s="64" t="n"/>
      <c r="I100" s="64" t="inlineStr">
        <is>
          <t>Mr. Church reunites the Expendables for what should be an easy paycheck, but when one of their men is murdered on the job, their quest for revenge puts them deep in enemy territory and up against an unexpected threat.</t>
        </is>
      </c>
      <c r="J100" s="64" t="inlineStr">
        <is>
          <t>Simon West</t>
        </is>
      </c>
      <c r="K100" s="64" t="n">
        <v>103</v>
      </c>
      <c r="L100" s="64" t="inlineStr">
        <is>
          <t>Action, Adventure, Thriller</t>
        </is>
      </c>
      <c r="M100" s="64" t="inlineStr">
        <is>
          <t>Nu Image, Millennium Media, Lionsgate</t>
        </is>
      </c>
      <c r="N100" s="64" t="inlineStr">
        <is>
          <t>https://huggingface.co/datasets/HenryWaltson/TMDB-IMDB-Movies-Dataset</t>
        </is>
      </c>
      <c r="O100" s="64" t="inlineStr">
        <is>
          <t>https://huggingface.co/datasets/HenryWaltson/TMDB-IMDB-Movies-Dataset</t>
        </is>
      </c>
      <c r="P100" t="inlineStr">
        <is>
          <t>Sylvester Stallone</t>
        </is>
      </c>
      <c r="Q100" t="inlineStr">
        <is>
          <t>Jason Statham</t>
        </is>
      </c>
      <c r="R100" t="inlineStr">
        <is>
          <t>Jet Li</t>
        </is>
      </c>
      <c r="S100" t="inlineStr">
        <is>
          <t>Dolph Lundgren</t>
        </is>
      </c>
      <c r="T100" t="inlineStr">
        <is>
          <t>Chuck Norris</t>
        </is>
      </c>
      <c r="U100" s="71" t="n">
        <v>0</v>
      </c>
      <c r="V100" s="71" t="n">
        <v>0</v>
      </c>
      <c r="X100" s="82">
        <f>IFERROR(INDEX(Ratings!$E$5:$E$500,MATCH(A100,Ratings!$A$5:$A$500,0)),"")</f>
        <v/>
      </c>
      <c r="Y100" s="71">
        <f>IFERROR(INDEX(Ratings!$G$5:$G$500,MATCH(A100,Ratings!$A$5:$A$500,0)),"")</f>
        <v/>
      </c>
      <c r="Z100" s="83">
        <f>IFERROR(INDEX(Ratings!$I$5:$I$500,MATCH(A100,Ratings!$A$5:$A$500,0)),"")</f>
        <v/>
      </c>
    </row>
    <row r="101" ht="15.75" customHeight="1" s="95">
      <c r="A101" t="inlineStr">
        <is>
          <t>F0097</t>
        </is>
      </c>
      <c r="B101" t="inlineStr">
        <is>
          <t>The Expendables 3</t>
        </is>
      </c>
      <c r="C101" s="63" t="inlineStr">
        <is>
          <t>2014</t>
        </is>
      </c>
      <c r="D101" t="inlineStr">
        <is>
          <t>Blu-ray</t>
        </is>
      </c>
      <c r="E101" t="inlineStr">
        <is>
          <t>Expendables</t>
        </is>
      </c>
      <c r="F101" s="64" t="n"/>
      <c r="I101" s="64" t="inlineStr">
        <is>
          <t>Barney, Christmas and the rest of the team comes face-to-face with Conrad Stonebanks, who years ago co-founded The Expendables with Barney. Stonebanks subsequently became a ruthless arms trader and someone who Barney was forced to kill… or so he thought. Stonebanks, who eluded death once before, now is making it his mission to end The Expendables -- but Barney has other plans. Barney decides that he has to fight old blood with new blood, and brings in a new era of Expendables team members, recruiting individuals who are younger, faster and more tech-savvy. The latest mission becomes a clash of classic old-school style versus high-tech expertise in the Expendables’ most personal battle yet.</t>
        </is>
      </c>
      <c r="J101" s="64" t="inlineStr">
        <is>
          <t>Patrick Hughes</t>
        </is>
      </c>
      <c r="K101" s="64" t="n">
        <v>126</v>
      </c>
      <c r="L101" s="64" t="inlineStr">
        <is>
          <t>Action, Adventure, Thriller</t>
        </is>
      </c>
      <c r="M101" s="64" t="inlineStr">
        <is>
          <t>Davis Films, Nu Image, Ex3 Productions</t>
        </is>
      </c>
      <c r="N101" s="64" t="inlineStr">
        <is>
          <t>https://huggingface.co/datasets/HenryWaltson/TMDB-IMDB-Movies-Dataset</t>
        </is>
      </c>
      <c r="O101" s="64" t="inlineStr">
        <is>
          <t>https://huggingface.co/datasets/HenryWaltson/TMDB-IMDB-Movies-Dataset</t>
        </is>
      </c>
      <c r="P101" t="inlineStr">
        <is>
          <t>Sylvester Stallone</t>
        </is>
      </c>
      <c r="Q101" t="inlineStr">
        <is>
          <t>Jason Statham</t>
        </is>
      </c>
      <c r="R101" t="inlineStr">
        <is>
          <t>Harrison Ford</t>
        </is>
      </c>
      <c r="S101" t="inlineStr">
        <is>
          <t>Mel Gibson</t>
        </is>
      </c>
      <c r="T101" t="inlineStr">
        <is>
          <t>Arnold Schwarzenegger</t>
        </is>
      </c>
      <c r="U101" s="71" t="n">
        <v>0</v>
      </c>
      <c r="V101" s="71" t="n">
        <v>0</v>
      </c>
      <c r="X101" s="82">
        <f>IFERROR(INDEX(Ratings!$E$5:$E$500,MATCH(A101,Ratings!$A$5:$A$500,0)),"")</f>
        <v/>
      </c>
      <c r="Y101" s="71">
        <f>IFERROR(INDEX(Ratings!$G$5:$G$500,MATCH(A101,Ratings!$A$5:$A$500,0)),"")</f>
        <v/>
      </c>
      <c r="Z101" s="83">
        <f>IFERROR(INDEX(Ratings!$I$5:$I$500,MATCH(A101,Ratings!$A$5:$A$500,0)),"")</f>
        <v/>
      </c>
    </row>
    <row r="102" ht="15.75" customHeight="1" s="95">
      <c r="A102" t="inlineStr">
        <is>
          <t>F0098</t>
        </is>
      </c>
      <c r="B102" t="inlineStr">
        <is>
          <t>F1</t>
        </is>
      </c>
      <c r="C102" s="63" t="inlineStr">
        <is>
          <t>2025</t>
        </is>
      </c>
      <c r="D102" t="inlineStr">
        <is>
          <t>Blu-ray</t>
        </is>
      </c>
      <c r="F102" s="64" t="n"/>
      <c r="I102" s="64" t="inlineStr">
        <is>
          <t>Racing legend Sonny Hayes is coaxed out of retirement to lead a struggling Formula 1 team—and mentor a young hotshot driver—while chasing one more chance at glory.</t>
        </is>
      </c>
      <c r="J102" s="64" t="inlineStr">
        <is>
          <t>Joseph Kosinski</t>
        </is>
      </c>
      <c r="K102" s="64" t="n">
        <v>155</v>
      </c>
      <c r="L102" s="64" t="inlineStr">
        <is>
          <t>Action, Drama, Sport</t>
        </is>
      </c>
      <c r="M102" s="64" t="inlineStr">
        <is>
          <t>Apple Original Films, Jerry Bruckheimer Films, Plan B Entertainment</t>
        </is>
      </c>
      <c r="N102" s="64" t="inlineStr">
        <is>
          <t>https://huggingface.co/datasets/HenryWaltson/TMDB-IMDB-Movies-Dataset</t>
        </is>
      </c>
      <c r="O102" s="64" t="inlineStr">
        <is>
          <t>https://www.formula1.com/en/latest/article/all-the-key-f1-the-movie-cast-members-and-the-characters-they-play.7gTzQ326rBLko6fiVTjvRH.7gTzQ326rBLko6fiVTjvRH</t>
        </is>
      </c>
      <c r="P102" t="inlineStr">
        <is>
          <t>Brad Pitt</t>
        </is>
      </c>
      <c r="Q102" t="inlineStr">
        <is>
          <t>Damson Idris</t>
        </is>
      </c>
      <c r="R102" t="inlineStr">
        <is>
          <t>Javier Bardem</t>
        </is>
      </c>
      <c r="S102" t="inlineStr">
        <is>
          <t>Kerry Condon</t>
        </is>
      </c>
      <c r="T102" t="inlineStr">
        <is>
          <t>Tobias Menzies</t>
        </is>
      </c>
      <c r="U102" s="71" t="n">
        <v>4</v>
      </c>
      <c r="V102" s="71" t="n">
        <v>1</v>
      </c>
      <c r="W102" t="inlineStr">
        <is>
          <t>Nominated</t>
        </is>
      </c>
      <c r="X102" s="82">
        <f>IFERROR(INDEX(Ratings!$E$5:$E$500,MATCH(A102,Ratings!$A$5:$A$500,0)),"")</f>
        <v/>
      </c>
      <c r="Y102" s="71">
        <f>IFERROR(INDEX(Ratings!$G$5:$G$500,MATCH(A102,Ratings!$A$5:$A$500,0)),"")</f>
        <v/>
      </c>
      <c r="Z102" s="83">
        <f>IFERROR(INDEX(Ratings!$I$5:$I$500,MATCH(A102,Ratings!$A$5:$A$500,0)),"")</f>
        <v/>
      </c>
    </row>
    <row r="103" ht="15.75" customHeight="1" s="95">
      <c r="A103" t="inlineStr">
        <is>
          <t>F0099</t>
        </is>
      </c>
      <c r="B103" t="inlineStr">
        <is>
          <t>The Fall Guy</t>
        </is>
      </c>
      <c r="C103" s="63" t="inlineStr">
        <is>
          <t>2024</t>
        </is>
      </c>
      <c r="D103" t="inlineStr">
        <is>
          <t>Blu-ray</t>
        </is>
      </c>
      <c r="F103" s="64" t="n"/>
      <c r="I103" s="64" t="inlineStr">
        <is>
          <t>Fresh off an almost career-ending accident, stuntman Colt Seavers has to track down a missing movie star, solve a conspiracy and try to win back the love of his life while still doing his day job.</t>
        </is>
      </c>
      <c r="J103" s="64" t="inlineStr">
        <is>
          <t>David Leitch</t>
        </is>
      </c>
      <c r="K103" s="64" t="n">
        <v>127</v>
      </c>
      <c r="L103" s="64" t="inlineStr">
        <is>
          <t>Action, Adventure, Thriller</t>
        </is>
      </c>
      <c r="M103" s="64" t="inlineStr">
        <is>
          <t>Universal Pictures, 87North Productions, Entertainment 360</t>
        </is>
      </c>
      <c r="N103" s="64" t="inlineStr">
        <is>
          <t>https://huggingface.co/datasets/HenryWaltson/TMDB-IMDB-Movies-Dataset</t>
        </is>
      </c>
      <c r="O103" s="64" t="inlineStr">
        <is>
          <t>https://huggingface.co/datasets/HenryWaltson/TMDB-IMDB-Movies-Dataset</t>
        </is>
      </c>
      <c r="P103" t="inlineStr">
        <is>
          <t>Ryan Gosling</t>
        </is>
      </c>
      <c r="Q103" t="inlineStr">
        <is>
          <t>Emily Blunt</t>
        </is>
      </c>
      <c r="R103" t="inlineStr">
        <is>
          <t>Aaron Taylor-Johnson</t>
        </is>
      </c>
      <c r="S103" t="inlineStr">
        <is>
          <t>Hannah Waddingham</t>
        </is>
      </c>
      <c r="T103" t="inlineStr">
        <is>
          <t>Teresa Palmer</t>
        </is>
      </c>
      <c r="U103" s="71" t="n">
        <v>0</v>
      </c>
      <c r="V103" s="71" t="n">
        <v>0</v>
      </c>
      <c r="X103" s="82">
        <f>IFERROR(INDEX(Ratings!$E$5:$E$500,MATCH(A103,Ratings!$A$5:$A$500,0)),"")</f>
        <v/>
      </c>
      <c r="Y103" s="71">
        <f>IFERROR(INDEX(Ratings!$G$5:$G$500,MATCH(A103,Ratings!$A$5:$A$500,0)),"")</f>
        <v/>
      </c>
      <c r="Z103" s="83">
        <f>IFERROR(INDEX(Ratings!$I$5:$I$500,MATCH(A103,Ratings!$A$5:$A$500,0)),"")</f>
        <v/>
      </c>
    </row>
    <row r="104" ht="15.75" customHeight="1" s="95">
      <c r="A104" t="inlineStr">
        <is>
          <t>F0100</t>
        </is>
      </c>
      <c r="B104" t="inlineStr">
        <is>
          <t>Fantastic Beasts and Where to Find Them</t>
        </is>
      </c>
      <c r="C104" s="63" t="inlineStr">
        <is>
          <t>2016</t>
        </is>
      </c>
      <c r="D104" t="inlineStr">
        <is>
          <t>Blu-ray</t>
        </is>
      </c>
      <c r="E104" t="inlineStr">
        <is>
          <t>Wizarding World</t>
        </is>
      </c>
      <c r="F104" s="64" t="n"/>
      <c r="I104" s="64" t="inlineStr">
        <is>
          <t>In 1926, Newt Scamander arrives at the Magical Congress of the United States of America with a magically expanded briefcase, which houses a number of dangerous creatures and their habitats. When the creatures escape from the briefcase, it sends the American wizarding authorities after Newt, and threatens to strain even further the state of magical and non-magical relations.</t>
        </is>
      </c>
      <c r="J104" s="64" t="inlineStr">
        <is>
          <t>David Yates</t>
        </is>
      </c>
      <c r="K104" s="64" t="n">
        <v>132</v>
      </c>
      <c r="L104" s="64" t="inlineStr">
        <is>
          <t>Fantasy, Adventure, Family</t>
        </is>
      </c>
      <c r="M104" s="64" t="inlineStr">
        <is>
          <t>Heyday Films, Warner Bros. Pictures</t>
        </is>
      </c>
      <c r="N104" s="64" t="inlineStr">
        <is>
          <t>https://huggingface.co/datasets/HenryWaltson/TMDB-IMDB-Movies-Dataset</t>
        </is>
      </c>
      <c r="O104" s="64" t="inlineStr">
        <is>
          <t>https://huggingface.co/datasets/HenryWaltson/TMDB-IMDB-Movies-Dataset</t>
        </is>
      </c>
      <c r="P104" t="inlineStr">
        <is>
          <t>Eddie Redmayne</t>
        </is>
      </c>
      <c r="Q104" t="inlineStr">
        <is>
          <t>Katherine Waterston</t>
        </is>
      </c>
      <c r="R104" t="inlineStr">
        <is>
          <t>Dan Fogler</t>
        </is>
      </c>
      <c r="S104" t="inlineStr">
        <is>
          <t>Alison Sudol</t>
        </is>
      </c>
      <c r="T104" t="inlineStr">
        <is>
          <t>Colin Farrell</t>
        </is>
      </c>
      <c r="U104" s="71" t="n">
        <v>2</v>
      </c>
      <c r="V104" s="71" t="n">
        <v>1</v>
      </c>
      <c r="X104" s="82">
        <f>IFERROR(INDEX(Ratings!$E$5:$E$500,MATCH(A104,Ratings!$A$5:$A$500,0)),"")</f>
        <v/>
      </c>
      <c r="Y104" s="71">
        <f>IFERROR(INDEX(Ratings!$G$5:$G$500,MATCH(A104,Ratings!$A$5:$A$500,0)),"")</f>
        <v/>
      </c>
      <c r="Z104" s="83">
        <f>IFERROR(INDEX(Ratings!$I$5:$I$500,MATCH(A104,Ratings!$A$5:$A$500,0)),"")</f>
        <v/>
      </c>
    </row>
    <row r="105" ht="15.75" customHeight="1" s="95">
      <c r="A105" t="inlineStr">
        <is>
          <t>F0101</t>
        </is>
      </c>
      <c r="B105" t="inlineStr">
        <is>
          <t>The Fast and the Furious</t>
        </is>
      </c>
      <c r="C105" s="63" t="inlineStr">
        <is>
          <t>2001</t>
        </is>
      </c>
      <c r="D105" t="inlineStr">
        <is>
          <t>Blu-ray</t>
        </is>
      </c>
      <c r="E105" t="inlineStr">
        <is>
          <t>Fast &amp; Furious</t>
        </is>
      </c>
      <c r="F105" s="64" t="n"/>
      <c r="I105" s="64" t="inlineStr">
        <is>
          <t>Dominic Toretto is a Los Angeles street racer suspected of masterminding a series of big-rig hijackings. When undercover cop Brian O'Conner infiltrates Toretto's iconoclastic crew, he falls for Toretto's sister and must choose a side: the gang or the LAPD.</t>
        </is>
      </c>
      <c r="J105" s="64" t="inlineStr">
        <is>
          <t>Rob Cohen</t>
        </is>
      </c>
      <c r="K105" s="64" t="n">
        <v>106</v>
      </c>
      <c r="L105" s="64" t="inlineStr">
        <is>
          <t>Action, Crime, Thriller</t>
        </is>
      </c>
      <c r="M105" s="64" t="inlineStr">
        <is>
          <t>Ardustry Entertainment, Universal Pictures, Original Film</t>
        </is>
      </c>
      <c r="N105" s="64" t="inlineStr">
        <is>
          <t>https://huggingface.co/datasets/HenryWaltson/TMDB-IMDB-Movies-Dataset</t>
        </is>
      </c>
      <c r="O105" s="64" t="inlineStr">
        <is>
          <t>https://huggingface.co/datasets/HenryWaltson/TMDB-IMDB-Movies-Dataset</t>
        </is>
      </c>
      <c r="P105" t="inlineStr">
        <is>
          <t>Paul Walker</t>
        </is>
      </c>
      <c r="Q105" t="inlineStr">
        <is>
          <t>Vin Diesel</t>
        </is>
      </c>
      <c r="R105" t="inlineStr">
        <is>
          <t>Michelle Rodriguez</t>
        </is>
      </c>
      <c r="S105" t="inlineStr">
        <is>
          <t>Jordana Brewster</t>
        </is>
      </c>
      <c r="T105" t="inlineStr">
        <is>
          <t>Rick Yune</t>
        </is>
      </c>
      <c r="U105" s="71" t="n">
        <v>0</v>
      </c>
      <c r="V105" s="71" t="n">
        <v>0</v>
      </c>
      <c r="X105" s="82">
        <f>IFERROR(INDEX(Ratings!$E$5:$E$500,MATCH(A105,Ratings!$A$5:$A$500,0)),"")</f>
        <v/>
      </c>
      <c r="Y105" s="71">
        <f>IFERROR(INDEX(Ratings!$G$5:$G$500,MATCH(A105,Ratings!$A$5:$A$500,0)),"")</f>
        <v/>
      </c>
      <c r="Z105" s="83">
        <f>IFERROR(INDEX(Ratings!$I$5:$I$500,MATCH(A105,Ratings!$A$5:$A$500,0)),"")</f>
        <v/>
      </c>
    </row>
    <row r="106" ht="15.75" customHeight="1" s="95">
      <c r="A106" t="inlineStr">
        <is>
          <t>F0102</t>
        </is>
      </c>
      <c r="B106" t="inlineStr">
        <is>
          <t>2 Fast 2 Furious</t>
        </is>
      </c>
      <c r="C106" s="63" t="inlineStr">
        <is>
          <t>2003</t>
        </is>
      </c>
      <c r="D106" t="inlineStr">
        <is>
          <t>Blu-ray</t>
        </is>
      </c>
      <c r="E106" t="inlineStr">
        <is>
          <t>Fast &amp; Furious</t>
        </is>
      </c>
      <c r="F106" s="64" t="n"/>
      <c r="G106" t="inlineStr">
        <is>
          <t>Yes</t>
        </is>
      </c>
      <c r="H106" t="inlineStr">
        <is>
          <t>⭐⭐⭐</t>
        </is>
      </c>
      <c r="I106" s="64" t="inlineStr">
        <is>
          <t>It's a major double-cross when former police officer Brian O'Conner teams up with his ex-con buddy Roman Pearce to transport a shipment of "dirty" money for shady Miami-based import-export dealer Carter Verone. But the guys are actually working with undercover agent Monica Fuentes to bring Verone down.</t>
        </is>
      </c>
      <c r="J106" s="64" t="inlineStr">
        <is>
          <t>John Singleton</t>
        </is>
      </c>
      <c r="K106" s="64" t="n">
        <v>108</v>
      </c>
      <c r="L106" s="64" t="inlineStr">
        <is>
          <t>Action, Crime, Thriller</t>
        </is>
      </c>
      <c r="M106" s="64" t="inlineStr">
        <is>
          <t>Ardustry Entertainment, Mikona Productions, Original Film</t>
        </is>
      </c>
      <c r="N106" s="64" t="inlineStr">
        <is>
          <t>https://huggingface.co/datasets/HenryWaltson/TMDB-IMDB-Movies-Dataset</t>
        </is>
      </c>
      <c r="O106" s="64" t="inlineStr">
        <is>
          <t>https://huggingface.co/datasets/HenryWaltson/TMDB-IMDB-Movies-Dataset</t>
        </is>
      </c>
      <c r="P106" t="inlineStr">
        <is>
          <t>Paul Walker</t>
        </is>
      </c>
      <c r="Q106" t="inlineStr">
        <is>
          <t>Tyrese Gibson</t>
        </is>
      </c>
      <c r="R106" t="inlineStr">
        <is>
          <t>Eva Mendes</t>
        </is>
      </c>
      <c r="S106" t="inlineStr">
        <is>
          <t>Cole Hauser</t>
        </is>
      </c>
      <c r="T106" t="inlineStr">
        <is>
          <t>Ludacris</t>
        </is>
      </c>
      <c r="U106" s="71" t="n">
        <v>0</v>
      </c>
      <c r="V106" s="71" t="n">
        <v>0</v>
      </c>
      <c r="X106" s="82">
        <f>IFERROR(INDEX(Ratings!$E$5:$E$500,MATCH(A106,Ratings!$A$5:$A$500,0)),"")</f>
        <v/>
      </c>
      <c r="Y106" s="71">
        <f>IFERROR(INDEX(Ratings!$G$5:$G$500,MATCH(A106,Ratings!$A$5:$A$500,0)),"")</f>
        <v/>
      </c>
      <c r="Z106" s="83">
        <f>IFERROR(INDEX(Ratings!$I$5:$I$500,MATCH(A106,Ratings!$A$5:$A$500,0)),"")</f>
        <v/>
      </c>
    </row>
    <row r="107" ht="15.75" customHeight="1" s="95">
      <c r="A107" t="inlineStr">
        <is>
          <t>F0103</t>
        </is>
      </c>
      <c r="B107" t="inlineStr">
        <is>
          <t>The Fast and the Furious: Tokyo Drift</t>
        </is>
      </c>
      <c r="C107" s="63" t="inlineStr">
        <is>
          <t>2006</t>
        </is>
      </c>
      <c r="D107" t="inlineStr">
        <is>
          <t>Blu-ray</t>
        </is>
      </c>
      <c r="E107" t="inlineStr">
        <is>
          <t>Fast &amp; Furious</t>
        </is>
      </c>
      <c r="F107" s="64" t="n"/>
      <c r="I107" s="64" t="inlineStr">
        <is>
          <t>In order to avoid a jail sentence, Sean Boswell heads to Tokyo to live with his military father. In a low-rent section of the city, Sean gets caught up in the underground world of drift racing</t>
        </is>
      </c>
      <c r="J107" s="64" t="inlineStr">
        <is>
          <t>Justin Lin</t>
        </is>
      </c>
      <c r="K107" s="64" t="n">
        <v>104</v>
      </c>
      <c r="L107" s="64" t="inlineStr">
        <is>
          <t>Action, Crime, Drama, Thriller</t>
        </is>
      </c>
      <c r="M107" s="64" t="inlineStr">
        <is>
          <t>MP Munich Pape Filmproductions, Original Film, Relativity Media</t>
        </is>
      </c>
      <c r="N107" s="64" t="inlineStr">
        <is>
          <t>https://huggingface.co/datasets/HenryWaltson/TMDB-IMDB-Movies-Dataset</t>
        </is>
      </c>
      <c r="O107" s="64" t="inlineStr">
        <is>
          <t>https://huggingface.co/datasets/HenryWaltson/TMDB-IMDB-Movies-Dataset</t>
        </is>
      </c>
      <c r="P107" t="inlineStr">
        <is>
          <t>Lucas Black</t>
        </is>
      </c>
      <c r="Q107" t="inlineStr">
        <is>
          <t>Nathalie Kelley</t>
        </is>
      </c>
      <c r="R107" t="inlineStr">
        <is>
          <t>Sung Kang</t>
        </is>
      </c>
      <c r="S107" t="inlineStr">
        <is>
          <t>Shad Moss</t>
        </is>
      </c>
      <c r="T107" t="inlineStr">
        <is>
          <t>Brian Tee</t>
        </is>
      </c>
      <c r="U107" s="71" t="n">
        <v>0</v>
      </c>
      <c r="V107" s="71" t="n">
        <v>0</v>
      </c>
      <c r="X107" s="82">
        <f>IFERROR(INDEX(Ratings!$E$5:$E$500,MATCH(A107,Ratings!$A$5:$A$500,0)),"")</f>
        <v/>
      </c>
      <c r="Y107" s="71">
        <f>IFERROR(INDEX(Ratings!$G$5:$G$500,MATCH(A107,Ratings!$A$5:$A$500,0)),"")</f>
        <v/>
      </c>
      <c r="Z107" s="83">
        <f>IFERROR(INDEX(Ratings!$I$5:$I$500,MATCH(A107,Ratings!$A$5:$A$500,0)),"")</f>
        <v/>
      </c>
    </row>
    <row r="108" ht="15.75" customHeight="1" s="95">
      <c r="A108" t="inlineStr">
        <is>
          <t>F0104</t>
        </is>
      </c>
      <c r="B108" t="inlineStr">
        <is>
          <t>Fast &amp; Furious</t>
        </is>
      </c>
      <c r="C108" s="63" t="inlineStr">
        <is>
          <t>2009</t>
        </is>
      </c>
      <c r="D108" t="inlineStr">
        <is>
          <t>Blu-ray</t>
        </is>
      </c>
      <c r="E108" t="inlineStr">
        <is>
          <t>Fast &amp; Furious</t>
        </is>
      </c>
      <c r="F108" s="64" t="n"/>
      <c r="I108" s="64" t="inlineStr">
        <is>
          <t>It's a major double-cross when former police officer Brian O'Conner teams up with his ex-con buddy Roman Pearce to transport a shipment of "dirty" money for shady Miami-based import-export dealer Carter Verone. But the guys are actually working with undercover agent Monica Fuentes to bring Verone down.</t>
        </is>
      </c>
      <c r="J108" s="64" t="inlineStr">
        <is>
          <t>Justin Lin</t>
        </is>
      </c>
      <c r="K108" s="64" t="n">
        <v>107</v>
      </c>
      <c r="L108" s="64" t="inlineStr">
        <is>
          <t>Action, Crime, Drama, Thriller</t>
        </is>
      </c>
      <c r="M108" s="64" t="inlineStr">
        <is>
          <t>dentsu, Universal Pictures, Relativity Media</t>
        </is>
      </c>
      <c r="N108" s="64" t="inlineStr">
        <is>
          <t>https://huggingface.co/datasets/HenryWaltson/TMDB-IMDB-Movies-Dataset</t>
        </is>
      </c>
      <c r="O108" s="64" t="inlineStr">
        <is>
          <t>https://huggingface.co/datasets/HenryWaltson/TMDB-IMDB-Movies-Dataset</t>
        </is>
      </c>
      <c r="P108" t="inlineStr">
        <is>
          <t>Vin Diesel</t>
        </is>
      </c>
      <c r="Q108" t="inlineStr">
        <is>
          <t>Paul Walker</t>
        </is>
      </c>
      <c r="R108" t="inlineStr">
        <is>
          <t>Michelle Rodriguez</t>
        </is>
      </c>
      <c r="S108" t="inlineStr">
        <is>
          <t>Jordana Brewster</t>
        </is>
      </c>
      <c r="T108" t="inlineStr">
        <is>
          <t>John Ortiz</t>
        </is>
      </c>
      <c r="U108" s="71" t="n">
        <v>0</v>
      </c>
      <c r="V108" s="71" t="n">
        <v>0</v>
      </c>
      <c r="X108" s="82">
        <f>IFERROR(INDEX(Ratings!$E$5:$E$500,MATCH(A108,Ratings!$A$5:$A$500,0)),"")</f>
        <v/>
      </c>
      <c r="Y108" s="71">
        <f>IFERROR(INDEX(Ratings!$G$5:$G$500,MATCH(A108,Ratings!$A$5:$A$500,0)),"")</f>
        <v/>
      </c>
      <c r="Z108" s="83">
        <f>IFERROR(INDEX(Ratings!$I$5:$I$500,MATCH(A108,Ratings!$A$5:$A$500,0)),"")</f>
        <v/>
      </c>
    </row>
    <row r="109" ht="15.75" customHeight="1" s="95">
      <c r="A109" t="inlineStr">
        <is>
          <t>F0105</t>
        </is>
      </c>
      <c r="B109" t="inlineStr">
        <is>
          <t>Fast Five</t>
        </is>
      </c>
      <c r="C109" s="63" t="inlineStr">
        <is>
          <t>2011</t>
        </is>
      </c>
      <c r="D109" t="inlineStr">
        <is>
          <t>Blu-ray</t>
        </is>
      </c>
      <c r="E109" t="inlineStr">
        <is>
          <t>Fast &amp; Furious</t>
        </is>
      </c>
      <c r="F109" s="64" t="n"/>
      <c r="I109" s="64" t="inlineStr">
        <is>
          <t>Former cop Brian O'Conner partners with ex-con Dom Toretto on the opposite side of the law. Since Brian and Mia Toretto broke Dom out of custody, they've blown across many borders to elude authorities. Now backed into a corner in Rio de Janeiro, they must pull one last job in order to gain their freedom.</t>
        </is>
      </c>
      <c r="J109" s="64" t="inlineStr">
        <is>
          <t>Justin Lin</t>
        </is>
      </c>
      <c r="K109" s="64" t="n">
        <v>130</v>
      </c>
      <c r="L109" s="64" t="inlineStr">
        <is>
          <t>Action, Thriller, Crime</t>
        </is>
      </c>
      <c r="M109" s="64" t="inlineStr">
        <is>
          <t>Original Film, Universal Pictures, One Race</t>
        </is>
      </c>
      <c r="N109" s="64" t="inlineStr">
        <is>
          <t>https://huggingface.co/datasets/HenryWaltson/TMDB-IMDB-Movies-Dataset</t>
        </is>
      </c>
      <c r="O109" s="64" t="inlineStr">
        <is>
          <t>https://huggingface.co/datasets/HenryWaltson/TMDB-IMDB-Movies-Dataset</t>
        </is>
      </c>
      <c r="P109" t="inlineStr">
        <is>
          <t>Vin Diesel</t>
        </is>
      </c>
      <c r="Q109" t="inlineStr">
        <is>
          <t>Paul Walker</t>
        </is>
      </c>
      <c r="R109" t="inlineStr">
        <is>
          <t>Dwayne Johnson</t>
        </is>
      </c>
      <c r="S109" t="inlineStr">
        <is>
          <t>Jordana Brewster</t>
        </is>
      </c>
      <c r="T109" t="inlineStr">
        <is>
          <t>Tyrese Gibson</t>
        </is>
      </c>
      <c r="U109" s="71" t="n">
        <v>0</v>
      </c>
      <c r="V109" s="71" t="n">
        <v>0</v>
      </c>
      <c r="X109" s="82">
        <f>IFERROR(INDEX(Ratings!$E$5:$E$500,MATCH(A109,Ratings!$A$5:$A$500,0)),"")</f>
        <v/>
      </c>
      <c r="Y109" s="71">
        <f>IFERROR(INDEX(Ratings!$G$5:$G$500,MATCH(A109,Ratings!$A$5:$A$500,0)),"")</f>
        <v/>
      </c>
      <c r="Z109" s="83">
        <f>IFERROR(INDEX(Ratings!$I$5:$I$500,MATCH(A109,Ratings!$A$5:$A$500,0)),"")</f>
        <v/>
      </c>
    </row>
    <row r="110" ht="15.75" customHeight="1" s="95">
      <c r="A110" t="inlineStr">
        <is>
          <t>F0106</t>
        </is>
      </c>
      <c r="B110" t="inlineStr">
        <is>
          <t>Fast &amp; Furious 6</t>
        </is>
      </c>
      <c r="C110" s="63" t="inlineStr">
        <is>
          <t>2013</t>
        </is>
      </c>
      <c r="D110" t="inlineStr">
        <is>
          <t>Blu-ray</t>
        </is>
      </c>
      <c r="E110" t="inlineStr">
        <is>
          <t>Fast &amp; Furious</t>
        </is>
      </c>
      <c r="F110" s="64" t="n"/>
      <c r="I110" s="64" t="inlineStr">
        <is>
          <t>Hobbs has Dominic and Brian reassemble their crew to take down a team of mercenaries; Dominic unexpectedly gets sidetracked with facing his presumed deceased girlfriend, Letty.</t>
        </is>
      </c>
      <c r="J110" s="64" t="inlineStr">
        <is>
          <t>Justin Lin</t>
        </is>
      </c>
      <c r="K110" s="64" t="n">
        <v>131</v>
      </c>
      <c r="L110" s="64" t="inlineStr">
        <is>
          <t>Action, Thriller, Crime</t>
        </is>
      </c>
      <c r="M110" s="64" t="inlineStr">
        <is>
          <t>Universal Pictures, Relativity Media, Original Film</t>
        </is>
      </c>
      <c r="N110" s="64" t="inlineStr">
        <is>
          <t>https://huggingface.co/datasets/HenryWaltson/TMDB-IMDB-Movies-Dataset</t>
        </is>
      </c>
      <c r="O110" s="64" t="inlineStr">
        <is>
          <t>https://huggingface.co/datasets/HenryWaltson/TMDB-IMDB-Movies-Dataset</t>
        </is>
      </c>
      <c r="P110" t="inlineStr">
        <is>
          <t>Vin Diesel</t>
        </is>
      </c>
      <c r="Q110" t="inlineStr">
        <is>
          <t>Paul Walker</t>
        </is>
      </c>
      <c r="R110" t="inlineStr">
        <is>
          <t>Dwayne Johnson</t>
        </is>
      </c>
      <c r="S110" t="inlineStr">
        <is>
          <t>Jordana Brewster</t>
        </is>
      </c>
      <c r="T110" t="inlineStr">
        <is>
          <t>Michelle Rodriguez</t>
        </is>
      </c>
      <c r="U110" s="71" t="n">
        <v>0</v>
      </c>
      <c r="V110" s="71" t="n">
        <v>0</v>
      </c>
      <c r="X110" s="82">
        <f>IFERROR(INDEX(Ratings!$E$5:$E$500,MATCH(A110,Ratings!$A$5:$A$500,0)),"")</f>
        <v/>
      </c>
      <c r="Y110" s="71">
        <f>IFERROR(INDEX(Ratings!$G$5:$G$500,MATCH(A110,Ratings!$A$5:$A$500,0)),"")</f>
        <v/>
      </c>
      <c r="Z110" s="83">
        <f>IFERROR(INDEX(Ratings!$I$5:$I$500,MATCH(A110,Ratings!$A$5:$A$500,0)),"")</f>
        <v/>
      </c>
    </row>
    <row r="111" ht="15.75" customHeight="1" s="95">
      <c r="A111" t="inlineStr">
        <is>
          <t>F0107</t>
        </is>
      </c>
      <c r="B111" t="inlineStr">
        <is>
          <t>Furious 7</t>
        </is>
      </c>
      <c r="C111" s="63" t="inlineStr">
        <is>
          <t>2015</t>
        </is>
      </c>
      <c r="D111" t="inlineStr">
        <is>
          <t>Blu-ray</t>
        </is>
      </c>
      <c r="E111" t="inlineStr">
        <is>
          <t>Fast &amp; Furious</t>
        </is>
      </c>
      <c r="F111" s="64" t="n"/>
      <c r="I111" s="64" t="inlineStr">
        <is>
          <t>Deckard Shaw seeks revenge against Dominic Toretto and his family for his comatose brother.</t>
        </is>
      </c>
      <c r="J111" s="64" t="inlineStr">
        <is>
          <t>James Wan</t>
        </is>
      </c>
      <c r="K111" s="64" t="n">
        <v>137</v>
      </c>
      <c r="L111" s="64" t="inlineStr">
        <is>
          <t>Action, Thriller, Crime</t>
        </is>
      </c>
      <c r="M111" s="64" t="inlineStr">
        <is>
          <t>Original Film, One Race, Universal Pictures</t>
        </is>
      </c>
      <c r="N111" s="64" t="inlineStr">
        <is>
          <t>https://huggingface.co/datasets/HenryWaltson/TMDB-IMDB-Movies-Dataset</t>
        </is>
      </c>
      <c r="O111" s="64" t="inlineStr">
        <is>
          <t>https://huggingface.co/datasets/HenryWaltson/TMDB-IMDB-Movies-Dataset</t>
        </is>
      </c>
      <c r="P111" t="inlineStr">
        <is>
          <t>Vin Diesel</t>
        </is>
      </c>
      <c r="Q111" t="inlineStr">
        <is>
          <t>Paul Walker</t>
        </is>
      </c>
      <c r="R111" t="inlineStr">
        <is>
          <t>Jason Statham</t>
        </is>
      </c>
      <c r="S111" t="inlineStr">
        <is>
          <t>Michelle Rodriguez</t>
        </is>
      </c>
      <c r="T111" t="inlineStr">
        <is>
          <t>Jordana Brewster</t>
        </is>
      </c>
      <c r="U111" s="71" t="n">
        <v>0</v>
      </c>
      <c r="V111" s="71" t="n">
        <v>0</v>
      </c>
      <c r="X111" s="82">
        <f>IFERROR(INDEX(Ratings!$E$5:$E$500,MATCH(A111,Ratings!$A$5:$A$500,0)),"")</f>
        <v/>
      </c>
      <c r="Y111" s="71">
        <f>IFERROR(INDEX(Ratings!$G$5:$G$500,MATCH(A111,Ratings!$A$5:$A$500,0)),"")</f>
        <v/>
      </c>
      <c r="Z111" s="83">
        <f>IFERROR(INDEX(Ratings!$I$5:$I$500,MATCH(A111,Ratings!$A$5:$A$500,0)),"")</f>
        <v/>
      </c>
    </row>
    <row r="112" ht="15.75" customHeight="1" s="95">
      <c r="A112" t="inlineStr">
        <is>
          <t>F0108</t>
        </is>
      </c>
      <c r="B112" t="inlineStr">
        <is>
          <t>The Fate of the Furious</t>
        </is>
      </c>
      <c r="C112" s="63" t="inlineStr">
        <is>
          <t>2017</t>
        </is>
      </c>
      <c r="D112" t="inlineStr">
        <is>
          <t>Blu-ray</t>
        </is>
      </c>
      <c r="E112" t="inlineStr">
        <is>
          <t>Fast &amp; Furious</t>
        </is>
      </c>
      <c r="F112" s="64" t="n"/>
      <c r="I112" s="64" t="inlineStr">
        <is>
          <t>When a mysterious woman seduces Dom into the world of crime and a betrayal of those closest to him, the crew face trials that will test them as never before.</t>
        </is>
      </c>
      <c r="J112" s="64" t="inlineStr">
        <is>
          <t>F. Gary Gray</t>
        </is>
      </c>
      <c r="K112" s="64" t="n">
        <v>136</v>
      </c>
      <c r="L112" s="64" t="inlineStr">
        <is>
          <t>Action, Crime, Thriller</t>
        </is>
      </c>
      <c r="M112" s="64" t="inlineStr">
        <is>
          <t>Original Film, One Race, Universal Pictures</t>
        </is>
      </c>
      <c r="N112" s="64" t="inlineStr">
        <is>
          <t>https://huggingface.co/datasets/HenryWaltson/TMDB-IMDB-Movies-Dataset</t>
        </is>
      </c>
      <c r="O112" s="64" t="inlineStr">
        <is>
          <t>https://huggingface.co/datasets/HenryWaltson/TMDB-IMDB-Movies-Dataset</t>
        </is>
      </c>
      <c r="P112" t="inlineStr">
        <is>
          <t>Vin Diesel</t>
        </is>
      </c>
      <c r="Q112" t="inlineStr">
        <is>
          <t>Jason Statham</t>
        </is>
      </c>
      <c r="R112" t="inlineStr">
        <is>
          <t>Dwayne Johnson</t>
        </is>
      </c>
      <c r="S112" t="inlineStr">
        <is>
          <t>Michelle Rodriguez</t>
        </is>
      </c>
      <c r="T112" t="inlineStr">
        <is>
          <t>Tyrese Gibson</t>
        </is>
      </c>
      <c r="U112" s="71" t="n">
        <v>0</v>
      </c>
      <c r="V112" s="71" t="n">
        <v>0</v>
      </c>
      <c r="X112" s="82">
        <f>IFERROR(INDEX(Ratings!$E$5:$E$500,MATCH(A112,Ratings!$A$5:$A$500,0)),"")</f>
        <v/>
      </c>
      <c r="Y112" s="71">
        <f>IFERROR(INDEX(Ratings!$G$5:$G$500,MATCH(A112,Ratings!$A$5:$A$500,0)),"")</f>
        <v/>
      </c>
      <c r="Z112" s="83">
        <f>IFERROR(INDEX(Ratings!$I$5:$I$500,MATCH(A112,Ratings!$A$5:$A$500,0)),"")</f>
        <v/>
      </c>
    </row>
    <row r="113" ht="15.75" customHeight="1" s="95">
      <c r="A113" t="inlineStr">
        <is>
          <t>F0109</t>
        </is>
      </c>
      <c r="B113" t="inlineStr">
        <is>
          <t>F9: The Fast Saga</t>
        </is>
      </c>
      <c r="C113" s="63" t="inlineStr">
        <is>
          <t>2021</t>
        </is>
      </c>
      <c r="D113" t="inlineStr">
        <is>
          <t>Blu-ray</t>
        </is>
      </c>
      <c r="E113" t="inlineStr">
        <is>
          <t>Fast &amp; Furious</t>
        </is>
      </c>
      <c r="F113" s="64" t="n"/>
      <c r="I113" s="64" t="inlineStr">
        <is>
          <t>Dominic Toretto and his crew battle the most skilled assassin and high-performance driver they've ever encountered: his forsaken brother.</t>
        </is>
      </c>
      <c r="J113" s="64" t="inlineStr">
        <is>
          <t>Justin Lin</t>
        </is>
      </c>
      <c r="K113" s="64" t="n">
        <v>143</v>
      </c>
      <c r="L113" s="64" t="inlineStr">
        <is>
          <t>Action, Adventure, Crime</t>
        </is>
      </c>
      <c r="M113" s="64" t="inlineStr">
        <is>
          <t>Universal Pictures, Original Film, One Race</t>
        </is>
      </c>
      <c r="N113" s="64" t="inlineStr">
        <is>
          <t>https://huggingface.co/datasets/HenryWaltson/TMDB-IMDB-Movies-Dataset</t>
        </is>
      </c>
      <c r="O113" s="64" t="inlineStr">
        <is>
          <t>https://huggingface.co/datasets/HenryWaltson/TMDB-IMDB-Movies-Dataset</t>
        </is>
      </c>
      <c r="P113" t="inlineStr">
        <is>
          <t>Vin Diesel</t>
        </is>
      </c>
      <c r="Q113" t="inlineStr">
        <is>
          <t>Michelle Rodriguez</t>
        </is>
      </c>
      <c r="R113" t="inlineStr">
        <is>
          <t>Tyrese Gibson</t>
        </is>
      </c>
      <c r="S113" t="inlineStr">
        <is>
          <t>Ludacris</t>
        </is>
      </c>
      <c r="T113" t="inlineStr">
        <is>
          <t>John Cena</t>
        </is>
      </c>
      <c r="U113" s="71" t="n">
        <v>0</v>
      </c>
      <c r="V113" s="71" t="n">
        <v>0</v>
      </c>
      <c r="X113" s="82">
        <f>IFERROR(INDEX(Ratings!$E$5:$E$500,MATCH(A113,Ratings!$A$5:$A$500,0)),"")</f>
        <v/>
      </c>
      <c r="Y113" s="71">
        <f>IFERROR(INDEX(Ratings!$G$5:$G$500,MATCH(A113,Ratings!$A$5:$A$500,0)),"")</f>
        <v/>
      </c>
      <c r="Z113" s="83">
        <f>IFERROR(INDEX(Ratings!$I$5:$I$500,MATCH(A113,Ratings!$A$5:$A$500,0)),"")</f>
        <v/>
      </c>
    </row>
    <row r="114" ht="15.75" customHeight="1" s="95">
      <c r="A114" t="inlineStr">
        <is>
          <t>F0110</t>
        </is>
      </c>
      <c r="B114" t="inlineStr">
        <is>
          <t>Fast X</t>
        </is>
      </c>
      <c r="C114" s="63" t="inlineStr">
        <is>
          <t>2023</t>
        </is>
      </c>
      <c r="D114" t="inlineStr">
        <is>
          <t>Blu-ray</t>
        </is>
      </c>
      <c r="E114" t="inlineStr">
        <is>
          <t>Fast &amp; Furious</t>
        </is>
      </c>
      <c r="F114" s="64" t="n"/>
      <c r="I114" s="64" t="inlineStr">
        <is>
          <t>Over many missions and against impossible odds, Dom Toretto and his family have outsmarted, out-nerved and outdriven every foe in their path. Now, they confront the most lethal opponent they've ever faced: A terrifying threat emerging from the shadows of the past who's fueled by blood revenge, and who is determined to shatter this family and destroy everything—and everyone—that Dom loves, forever.</t>
        </is>
      </c>
      <c r="J114" s="64" t="inlineStr">
        <is>
          <t>Louis Leterrier</t>
        </is>
      </c>
      <c r="K114" s="64" t="n">
        <v>142</v>
      </c>
      <c r="L114" s="64" t="inlineStr">
        <is>
          <t>Action, Crime, Thriller</t>
        </is>
      </c>
      <c r="M114" s="64" t="inlineStr">
        <is>
          <t>Universal Pictures, Original Film, One Race</t>
        </is>
      </c>
      <c r="N114" s="64" t="inlineStr">
        <is>
          <t>https://huggingface.co/datasets/HenryWaltson/TMDB-IMDB-Movies-Dataset</t>
        </is>
      </c>
      <c r="O114" s="64" t="inlineStr">
        <is>
          <t>https://huggingface.co/datasets/HenryWaltson/TMDB-IMDB-Movies-Dataset</t>
        </is>
      </c>
      <c r="P114" t="inlineStr">
        <is>
          <t>Vin Diesel</t>
        </is>
      </c>
      <c r="Q114" t="inlineStr">
        <is>
          <t>Michelle Rodriguez</t>
        </is>
      </c>
      <c r="R114" t="inlineStr">
        <is>
          <t>Tyrese Gibson</t>
        </is>
      </c>
      <c r="S114" t="inlineStr">
        <is>
          <t>Ludacris</t>
        </is>
      </c>
      <c r="T114" t="inlineStr">
        <is>
          <t>John Cena</t>
        </is>
      </c>
      <c r="U114" s="71" t="n">
        <v>0</v>
      </c>
      <c r="V114" s="71" t="n">
        <v>0</v>
      </c>
      <c r="X114" s="82">
        <f>IFERROR(INDEX(Ratings!$E$5:$E$500,MATCH(A114,Ratings!$A$5:$A$500,0)),"")</f>
        <v/>
      </c>
      <c r="Y114" s="71">
        <f>IFERROR(INDEX(Ratings!$G$5:$G$500,MATCH(A114,Ratings!$A$5:$A$500,0)),"")</f>
        <v/>
      </c>
      <c r="Z114" s="83">
        <f>IFERROR(INDEX(Ratings!$I$5:$I$500,MATCH(A114,Ratings!$A$5:$A$500,0)),"")</f>
        <v/>
      </c>
    </row>
    <row r="115" ht="15.75" customHeight="1" s="95">
      <c r="A115" t="inlineStr">
        <is>
          <t>F0111</t>
        </is>
      </c>
      <c r="B115" t="inlineStr">
        <is>
          <t>Fast &amp; Furious Presents: Hobbs &amp; Shaw</t>
        </is>
      </c>
      <c r="C115" s="63" t="inlineStr">
        <is>
          <t>2019</t>
        </is>
      </c>
      <c r="D115" t="inlineStr">
        <is>
          <t>Blu-ray</t>
        </is>
      </c>
      <c r="E115" t="inlineStr">
        <is>
          <t>Fast &amp; Furious</t>
        </is>
      </c>
      <c r="F115" s="64" t="n"/>
      <c r="I115" s="64" t="inlineStr">
        <is>
          <t>Ever since US Diplomatic Security Service Agent Hobbs and lawless outcast Shaw first faced off, they just have traded smack talk and body blows. But when cyber-genetically enhanced anarchist Brixton's ruthless actions threaten the future of humanity, they join forces to defeat him.</t>
        </is>
      </c>
      <c r="J115" s="64" t="inlineStr">
        <is>
          <t>David Leitch</t>
        </is>
      </c>
      <c r="K115" s="64" t="n">
        <v>137</v>
      </c>
      <c r="L115" s="64" t="inlineStr">
        <is>
          <t>Action, Adventure, Comedy</t>
        </is>
      </c>
      <c r="M115" s="64" t="inlineStr">
        <is>
          <t>Universal Pictures, Seven Bucks Productions, Chris Morgan Productions</t>
        </is>
      </c>
      <c r="N115" s="64" t="inlineStr">
        <is>
          <t>https://huggingface.co/datasets/HenryWaltson/TMDB-IMDB-Movies-Dataset</t>
        </is>
      </c>
      <c r="O115" s="64" t="inlineStr">
        <is>
          <t>https://huggingface.co/datasets/HenryWaltson/TMDB-IMDB-Movies-Dataset</t>
        </is>
      </c>
      <c r="P115" t="inlineStr">
        <is>
          <t>Dwayne Johnson</t>
        </is>
      </c>
      <c r="Q115" t="inlineStr">
        <is>
          <t>Jason Statham</t>
        </is>
      </c>
      <c r="R115" t="inlineStr">
        <is>
          <t>Idris Elba</t>
        </is>
      </c>
      <c r="S115" t="inlineStr">
        <is>
          <t>Vanessa Kirby</t>
        </is>
      </c>
      <c r="T115" t="inlineStr">
        <is>
          <t>Helen Mirren</t>
        </is>
      </c>
      <c r="U115" s="71" t="n">
        <v>0</v>
      </c>
      <c r="V115" s="71" t="n">
        <v>0</v>
      </c>
      <c r="X115" s="82">
        <f>IFERROR(INDEX(Ratings!$E$5:$E$500,MATCH(A115,Ratings!$A$5:$A$500,0)),"")</f>
        <v/>
      </c>
      <c r="Y115" s="71">
        <f>IFERROR(INDEX(Ratings!$G$5:$G$500,MATCH(A115,Ratings!$A$5:$A$500,0)),"")</f>
        <v/>
      </c>
      <c r="Z115" s="83">
        <f>IFERROR(INDEX(Ratings!$I$5:$I$500,MATCH(A115,Ratings!$A$5:$A$500,0)),"")</f>
        <v/>
      </c>
    </row>
    <row r="116" ht="15.75" customHeight="1" s="95">
      <c r="A116" t="inlineStr">
        <is>
          <t>F0112</t>
        </is>
      </c>
      <c r="B116" t="inlineStr">
        <is>
          <t>Fight Club</t>
        </is>
      </c>
      <c r="C116" s="63" t="inlineStr">
        <is>
          <t>1999</t>
        </is>
      </c>
      <c r="D116" t="inlineStr">
        <is>
          <t>Blu-ray</t>
        </is>
      </c>
      <c r="F116" s="64" t="n"/>
      <c r="I116" s="64" t="inlineStr">
        <is>
          <t>A ticking-time-bomb insomniac and a slippery soap salesman channel primal male aggression into a shocking new form of therapy. Their concept catches on, with underground "fight clubs" forming in every town, until an eccentric gets in the way and ignites an out-of-control spiral toward oblivion.</t>
        </is>
      </c>
      <c r="J116" s="64" t="inlineStr">
        <is>
          <t>David Fincher</t>
        </is>
      </c>
      <c r="K116" s="64" t="n">
        <v>139</v>
      </c>
      <c r="L116" s="64" t="inlineStr">
        <is>
          <t>Drama</t>
        </is>
      </c>
      <c r="M116" s="64" t="inlineStr">
        <is>
          <t>Regency Enterprises, Fox 2000 Pictures, Taurus Film</t>
        </is>
      </c>
      <c r="N116" s="64" t="inlineStr">
        <is>
          <t>https://huggingface.co/datasets/HenryWaltson/TMDB-IMDB-Movies-Dataset</t>
        </is>
      </c>
      <c r="O116" s="64" t="inlineStr">
        <is>
          <t>https://huggingface.co/datasets/HenryWaltson/TMDB-IMDB-Movies-Dataset</t>
        </is>
      </c>
      <c r="P116" t="inlineStr">
        <is>
          <t>Edward Norton</t>
        </is>
      </c>
      <c r="Q116" t="inlineStr">
        <is>
          <t>Brad Pitt</t>
        </is>
      </c>
      <c r="R116" t="inlineStr">
        <is>
          <t>Helena Bonham Carter</t>
        </is>
      </c>
      <c r="S116" t="inlineStr">
        <is>
          <t>Meat Loaf</t>
        </is>
      </c>
      <c r="T116" t="inlineStr">
        <is>
          <t>Jared Leto</t>
        </is>
      </c>
      <c r="U116" s="71" t="n">
        <v>1</v>
      </c>
      <c r="V116" s="71" t="n">
        <v>0</v>
      </c>
      <c r="X116" s="82">
        <f>IFERROR(INDEX(Ratings!$E$5:$E$500,MATCH(A116,Ratings!$A$5:$A$500,0)),"")</f>
        <v/>
      </c>
      <c r="Y116" s="71">
        <f>IFERROR(INDEX(Ratings!$G$5:$G$500,MATCH(A116,Ratings!$A$5:$A$500,0)),"")</f>
        <v/>
      </c>
      <c r="Z116" s="83">
        <f>IFERROR(INDEX(Ratings!$I$5:$I$500,MATCH(A116,Ratings!$A$5:$A$500,0)),"")</f>
        <v/>
      </c>
    </row>
    <row r="117" ht="15.75" customHeight="1" s="95">
      <c r="A117" t="inlineStr">
        <is>
          <t>F0113</t>
        </is>
      </c>
      <c r="B117" t="inlineStr">
        <is>
          <t>Finding Dory</t>
        </is>
      </c>
      <c r="C117" s="63" t="inlineStr">
        <is>
          <t>2016</t>
        </is>
      </c>
      <c r="D117" t="inlineStr">
        <is>
          <t>Blu-ray</t>
        </is>
      </c>
      <c r="E117" t="inlineStr">
        <is>
          <t>Finding Nemo</t>
        </is>
      </c>
      <c r="F117" s="64" t="n"/>
      <c r="I117" s="64" t="inlineStr">
        <is>
          <t>Dory is reunited with her friends Nemo and Marlin in the search for answers about her past. What can she remember? Who are her parents? And where did she learn to speak Whale?</t>
        </is>
      </c>
      <c r="J117" s="64" t="inlineStr">
        <is>
          <t>Andrew Stanton, Angus MacLane</t>
        </is>
      </c>
      <c r="K117" s="64" t="n">
        <v>97</v>
      </c>
      <c r="L117" s="64" t="inlineStr">
        <is>
          <t>Adventure, Animation, Comedy, Family</t>
        </is>
      </c>
      <c r="M117" s="64" t="inlineStr">
        <is>
          <t>Pixar, Walt Disney Pictures</t>
        </is>
      </c>
      <c r="N117" s="64" t="inlineStr">
        <is>
          <t>https://huggingface.co/datasets/HenryWaltson/TMDB-IMDB-Movies-Dataset</t>
        </is>
      </c>
      <c r="O117" s="64" t="inlineStr">
        <is>
          <t>https://huggingface.co/datasets/HenryWaltson/TMDB-IMDB-Movies-Dataset</t>
        </is>
      </c>
      <c r="P117" t="inlineStr">
        <is>
          <t>Albert Brooks</t>
        </is>
      </c>
      <c r="Q117" t="inlineStr">
        <is>
          <t>Ellen DeGeneres</t>
        </is>
      </c>
      <c r="R117" t="inlineStr">
        <is>
          <t>Ed O'Neill</t>
        </is>
      </c>
      <c r="S117" t="inlineStr">
        <is>
          <t>Hayden Rolence</t>
        </is>
      </c>
      <c r="T117" t="inlineStr">
        <is>
          <t>Diane Keaton</t>
        </is>
      </c>
      <c r="U117" s="71" t="n">
        <v>0</v>
      </c>
      <c r="V117" s="71" t="n">
        <v>0</v>
      </c>
      <c r="X117" s="82">
        <f>IFERROR(INDEX(Ratings!$E$5:$E$500,MATCH(A117,Ratings!$A$5:$A$500,0)),"")</f>
        <v/>
      </c>
      <c r="Y117" s="71">
        <f>IFERROR(INDEX(Ratings!$G$5:$G$500,MATCH(A117,Ratings!$A$5:$A$500,0)),"")</f>
        <v/>
      </c>
      <c r="Z117" s="83">
        <f>IFERROR(INDEX(Ratings!$I$5:$I$500,MATCH(A117,Ratings!$A$5:$A$500,0)),"")</f>
        <v/>
      </c>
    </row>
    <row r="118" ht="15.75" customHeight="1" s="95">
      <c r="A118" t="inlineStr">
        <is>
          <t>F0114</t>
        </is>
      </c>
      <c r="B118" t="inlineStr">
        <is>
          <t>Firewall</t>
        </is>
      </c>
      <c r="C118" s="63" t="inlineStr">
        <is>
          <t>2006</t>
        </is>
      </c>
      <c r="D118" t="inlineStr">
        <is>
          <t>Blu-ray</t>
        </is>
      </c>
      <c r="F118" s="64" t="n"/>
      <c r="I118" s="64" t="inlineStr">
        <is>
          <t>State-of-the-art security system creator Jack Stanfield has cemented his reputation as a man who's thought of everything. But when a criminal finds a way into his personal life, everything Jack holds dear is suddenly at stake.</t>
        </is>
      </c>
      <c r="J118" s="64" t="inlineStr">
        <is>
          <t>Richard Loncraine</t>
        </is>
      </c>
      <c r="K118" s="64" t="n">
        <v>105</v>
      </c>
      <c r="L118" s="64" t="inlineStr">
        <is>
          <t>Action, Crime, Thriller</t>
        </is>
      </c>
      <c r="M118" s="64" t="inlineStr">
        <is>
          <t>Village Roadshow Pictures, Beacon Pictures, Thunder Road</t>
        </is>
      </c>
      <c r="N118" s="64" t="inlineStr">
        <is>
          <t>https://huggingface.co/datasets/HenryWaltson/TMDB-IMDB-Movies-Dataset</t>
        </is>
      </c>
      <c r="O118" s="64" t="inlineStr">
        <is>
          <t>https://huggingface.co/datasets/HenryWaltson/TMDB-IMDB-Movies-Dataset</t>
        </is>
      </c>
      <c r="P118" t="inlineStr">
        <is>
          <t>Harrison Ford</t>
        </is>
      </c>
      <c r="Q118" t="inlineStr">
        <is>
          <t>Paul Bettany</t>
        </is>
      </c>
      <c r="R118" t="inlineStr">
        <is>
          <t>Virginia Madsen</t>
        </is>
      </c>
      <c r="S118" t="inlineStr">
        <is>
          <t>Carly Schroeder</t>
        </is>
      </c>
      <c r="T118" t="inlineStr">
        <is>
          <t>Jimmy Bennett</t>
        </is>
      </c>
      <c r="U118" s="71" t="n">
        <v>0</v>
      </c>
      <c r="V118" s="71" t="n">
        <v>0</v>
      </c>
      <c r="X118" s="82">
        <f>IFERROR(INDEX(Ratings!$E$5:$E$500,MATCH(A118,Ratings!$A$5:$A$500,0)),"")</f>
        <v/>
      </c>
      <c r="Y118" s="71">
        <f>IFERROR(INDEX(Ratings!$G$5:$G$500,MATCH(A118,Ratings!$A$5:$A$500,0)),"")</f>
        <v/>
      </c>
      <c r="Z118" s="83">
        <f>IFERROR(INDEX(Ratings!$I$5:$I$500,MATCH(A118,Ratings!$A$5:$A$500,0)),"")</f>
        <v/>
      </c>
    </row>
    <row r="119" ht="15.75" customHeight="1" s="95">
      <c r="A119" t="inlineStr">
        <is>
          <t>F0115</t>
        </is>
      </c>
      <c r="B119" t="inlineStr">
        <is>
          <t>Forgetting Sarah Marshall</t>
        </is>
      </c>
      <c r="C119" s="63" t="inlineStr">
        <is>
          <t>2008</t>
        </is>
      </c>
      <c r="D119" t="inlineStr">
        <is>
          <t>Blu-ray</t>
        </is>
      </c>
      <c r="F119" s="64" t="n"/>
      <c r="I119" s="64" t="inlineStr">
        <is>
          <t>When actress Sarah Marshall dumps aspiring musician Peter Bretter for rock star Aldous Snow, Peter's world comes crashing down. His best friend Brian suggests that Peter should get away from everything and to fly off to Hawaii to escape all his problems. After arriving in Hawaii and meeting the beautiful receptionist Rachel Jansen, Peter is shocked to see not only Aldous in Hawaii, but also Sarah.</t>
        </is>
      </c>
      <c r="J119" s="64" t="inlineStr">
        <is>
          <t>Nicholas Stoller</t>
        </is>
      </c>
      <c r="K119" s="64" t="n">
        <v>111</v>
      </c>
      <c r="L119" s="64" t="inlineStr">
        <is>
          <t>Comedy, Romance, Drama</t>
        </is>
      </c>
      <c r="M119" s="64" t="inlineStr">
        <is>
          <t>Universal Pictures, Apatow Productions</t>
        </is>
      </c>
      <c r="N119" s="64" t="inlineStr">
        <is>
          <t>https://huggingface.co/datasets/HenryWaltson/TMDB-IMDB-Movies-Dataset</t>
        </is>
      </c>
      <c r="O119" s="64" t="inlineStr">
        <is>
          <t>https://huggingface.co/datasets/HenryWaltson/TMDB-IMDB-Movies-Dataset</t>
        </is>
      </c>
      <c r="P119" t="inlineStr">
        <is>
          <t>Jason Segel</t>
        </is>
      </c>
      <c r="Q119" t="inlineStr">
        <is>
          <t>Kristen Bell</t>
        </is>
      </c>
      <c r="R119" t="inlineStr">
        <is>
          <t>Mila Kunis</t>
        </is>
      </c>
      <c r="S119" t="inlineStr">
        <is>
          <t>Russell Brand</t>
        </is>
      </c>
      <c r="T119" t="inlineStr">
        <is>
          <t>Bill Hader</t>
        </is>
      </c>
      <c r="U119" s="71" t="n">
        <v>0</v>
      </c>
      <c r="V119" s="71" t="n">
        <v>0</v>
      </c>
      <c r="X119" s="82">
        <f>IFERROR(INDEX(Ratings!$E$5:$E$500,MATCH(A119,Ratings!$A$5:$A$500,0)),"")</f>
        <v/>
      </c>
      <c r="Y119" s="71">
        <f>IFERROR(INDEX(Ratings!$G$5:$G$500,MATCH(A119,Ratings!$A$5:$A$500,0)),"")</f>
        <v/>
      </c>
      <c r="Z119" s="83">
        <f>IFERROR(INDEX(Ratings!$I$5:$I$500,MATCH(A119,Ratings!$A$5:$A$500,0)),"")</f>
        <v/>
      </c>
    </row>
    <row r="120" ht="15.75" customHeight="1" s="95">
      <c r="A120" t="inlineStr">
        <is>
          <t>F0116</t>
        </is>
      </c>
      <c r="B120" t="inlineStr">
        <is>
          <t>Frozen</t>
        </is>
      </c>
      <c r="C120" s="63" t="inlineStr">
        <is>
          <t>2013</t>
        </is>
      </c>
      <c r="D120" t="inlineStr">
        <is>
          <t>Blu-ray</t>
        </is>
      </c>
      <c r="F120" s="64" t="n"/>
      <c r="I120" s="64" t="inlineStr">
        <is>
          <t>Young princess Anna of Arendelle dreams about finding true love at her sister Elsa’s coronation. Fate takes her on a dangerous journey in an attempt to end the eternal winter that has fallen over the kingdom. She's accompanied by ice delivery man Kristoff, his reindeer Sven, and snowman Olaf. On an adventure where she will find out what friendship, courage, family, and true love really means.</t>
        </is>
      </c>
      <c r="J120" s="64" t="inlineStr">
        <is>
          <t>Chris Buck, Jennifer Lee</t>
        </is>
      </c>
      <c r="K120" s="64" t="n">
        <v>102</v>
      </c>
      <c r="L120" s="64" t="inlineStr">
        <is>
          <t>Animation, Family, Adventure, Fantasy</t>
        </is>
      </c>
      <c r="M120" s="64" t="inlineStr">
        <is>
          <t>Walt Disney Pictures, Walt Disney Animation Studios</t>
        </is>
      </c>
      <c r="N120" s="64" t="inlineStr">
        <is>
          <t>https://huggingface.co/datasets/HenryWaltson/TMDB-IMDB-Movies-Dataset</t>
        </is>
      </c>
      <c r="O120" s="64" t="inlineStr">
        <is>
          <t>https://huggingface.co/datasets/HenryWaltson/TMDB-IMDB-Movies-Dataset</t>
        </is>
      </c>
      <c r="P120" t="inlineStr">
        <is>
          <t>Kristen Bell</t>
        </is>
      </c>
      <c r="Q120" t="inlineStr">
        <is>
          <t>Idina Menzel</t>
        </is>
      </c>
      <c r="R120" t="inlineStr">
        <is>
          <t>Jonathan Groff</t>
        </is>
      </c>
      <c r="S120" t="inlineStr">
        <is>
          <t>Josh Gad</t>
        </is>
      </c>
      <c r="T120" t="inlineStr">
        <is>
          <t>Livvy Stubenrauch</t>
        </is>
      </c>
      <c r="U120" s="71" t="n">
        <v>2</v>
      </c>
      <c r="V120" s="71" t="n">
        <v>2</v>
      </c>
      <c r="X120" s="82">
        <f>IFERROR(INDEX(Ratings!$E$5:$E$500,MATCH(A120,Ratings!$A$5:$A$500,0)),"")</f>
        <v/>
      </c>
      <c r="Y120" s="71">
        <f>IFERROR(INDEX(Ratings!$G$5:$G$500,MATCH(A120,Ratings!$A$5:$A$500,0)),"")</f>
        <v/>
      </c>
      <c r="Z120" s="83">
        <f>IFERROR(INDEX(Ratings!$I$5:$I$500,MATCH(A120,Ratings!$A$5:$A$500,0)),"")</f>
        <v/>
      </c>
    </row>
    <row r="121" ht="15.75" customHeight="1" s="95">
      <c r="A121" t="inlineStr">
        <is>
          <t>F0117</t>
        </is>
      </c>
      <c r="B121" t="inlineStr">
        <is>
          <t>Fury</t>
        </is>
      </c>
      <c r="C121" s="63" t="inlineStr">
        <is>
          <t>2014</t>
        </is>
      </c>
      <c r="D121" t="inlineStr">
        <is>
          <t>Blu-ray</t>
        </is>
      </c>
      <c r="F121" s="64" t="n"/>
      <c r="I121" s="64" t="inlineStr">
        <is>
          <t>April, 1945. As the Allies make their final push in the European Theatre, a battle-hardened army sergeant named Wardaddy commands a Sherman tank and her five-man crew on a deadly mission behind enemy lines. Outnumbered and outgunned, and with a rookie soldier thrust into their platoon, Wardaddy and his men face overwhelming odds in their heroic attempts to strike at the heart of Nazi Germany.</t>
        </is>
      </c>
      <c r="J121" s="64" t="inlineStr">
        <is>
          <t>David Ayer</t>
        </is>
      </c>
      <c r="K121" s="64" t="n">
        <v>135</v>
      </c>
      <c r="L121" s="64" t="inlineStr">
        <is>
          <t>War, Drama, Action</t>
        </is>
      </c>
      <c r="M121" s="64" t="inlineStr">
        <is>
          <t>Columbia Pictures, QED International, LStar Capital</t>
        </is>
      </c>
      <c r="N121" s="64" t="inlineStr">
        <is>
          <t>https://huggingface.co/datasets/HenryWaltson/TMDB-IMDB-Movies-Dataset</t>
        </is>
      </c>
      <c r="O121" s="64" t="inlineStr">
        <is>
          <t>https://huggingface.co/datasets/HenryWaltson/TMDB-IMDB-Movies-Dataset</t>
        </is>
      </c>
      <c r="P121" t="inlineStr">
        <is>
          <t>Brad Pitt</t>
        </is>
      </c>
      <c r="Q121" t="inlineStr">
        <is>
          <t>Shia LaBeouf</t>
        </is>
      </c>
      <c r="R121" t="inlineStr">
        <is>
          <t>Logan Lerman</t>
        </is>
      </c>
      <c r="S121" t="inlineStr">
        <is>
          <t>Michael Peña</t>
        </is>
      </c>
      <c r="T121" t="inlineStr">
        <is>
          <t>Jon Bernthal</t>
        </is>
      </c>
      <c r="U121" s="71" t="n">
        <v>0</v>
      </c>
      <c r="V121" s="71" t="n">
        <v>0</v>
      </c>
      <c r="X121" s="82">
        <f>IFERROR(INDEX(Ratings!$E$5:$E$500,MATCH(A121,Ratings!$A$5:$A$500,0)),"")</f>
        <v/>
      </c>
      <c r="Y121" s="71">
        <f>IFERROR(INDEX(Ratings!$G$5:$G$500,MATCH(A121,Ratings!$A$5:$A$500,0)),"")</f>
        <v/>
      </c>
      <c r="Z121" s="83">
        <f>IFERROR(INDEX(Ratings!$I$5:$I$500,MATCH(A121,Ratings!$A$5:$A$500,0)),"")</f>
        <v/>
      </c>
    </row>
    <row r="122" ht="15.75" customHeight="1" s="95">
      <c r="A122" t="inlineStr">
        <is>
          <t>F0118</t>
        </is>
      </c>
      <c r="B122" t="inlineStr">
        <is>
          <t>G.I. Joe: The Rise of Cobra</t>
        </is>
      </c>
      <c r="C122" s="63" t="inlineStr">
        <is>
          <t>2009</t>
        </is>
      </c>
      <c r="D122" t="inlineStr">
        <is>
          <t>Blu-ray</t>
        </is>
      </c>
      <c r="F122" s="64" t="n"/>
      <c r="I122" s="64" t="inlineStr">
        <is>
          <t>From the Egyptian desert to deep below the polar ice caps, the elite G.I. JOE team uses the latest in next-generation spy and military equipment to fight the corrupt arms dealer Destro and the growing threat of the mysterious Cobra organization to prevent them from plunging the world into chaos.</t>
        </is>
      </c>
      <c r="J122" s="64" t="inlineStr">
        <is>
          <t>Stephen Sommers</t>
        </is>
      </c>
      <c r="K122" s="64" t="n">
        <v>118</v>
      </c>
      <c r="L122" s="64" t="inlineStr">
        <is>
          <t>Adventure, Action, Thriller</t>
        </is>
      </c>
      <c r="M122" s="64" t="inlineStr">
        <is>
          <t>Paramount, Spyglass Entertainment, di Bonaventura Pictures</t>
        </is>
      </c>
      <c r="N122" s="64" t="inlineStr">
        <is>
          <t>https://huggingface.co/datasets/HenryWaltson/TMDB-IMDB-Movies-Dataset</t>
        </is>
      </c>
      <c r="O122" s="64" t="inlineStr">
        <is>
          <t>https://huggingface.co/datasets/HenryWaltson/TMDB-IMDB-Movies-Dataset</t>
        </is>
      </c>
      <c r="P122" t="inlineStr">
        <is>
          <t>Adewale Akinnuoye-Agbaje</t>
        </is>
      </c>
      <c r="Q122" t="inlineStr">
        <is>
          <t>Christopher Eccleston</t>
        </is>
      </c>
      <c r="R122" t="inlineStr">
        <is>
          <t>Lee Byung-hun</t>
        </is>
      </c>
      <c r="S122" t="inlineStr">
        <is>
          <t>Joseph Gordon-Levitt</t>
        </is>
      </c>
      <c r="T122" t="inlineStr">
        <is>
          <t>Sienna Miller</t>
        </is>
      </c>
      <c r="U122" s="71" t="n">
        <v>0</v>
      </c>
      <c r="V122" s="71" t="n">
        <v>0</v>
      </c>
      <c r="X122" s="82">
        <f>IFERROR(INDEX(Ratings!$E$5:$E$500,MATCH(A122,Ratings!$A$5:$A$500,0)),"")</f>
        <v/>
      </c>
      <c r="Y122" s="71">
        <f>IFERROR(INDEX(Ratings!$G$5:$G$500,MATCH(A122,Ratings!$A$5:$A$500,0)),"")</f>
        <v/>
      </c>
      <c r="Z122" s="83">
        <f>IFERROR(INDEX(Ratings!$I$5:$I$500,MATCH(A122,Ratings!$A$5:$A$500,0)),"")</f>
        <v/>
      </c>
    </row>
    <row r="123" ht="15.75" customHeight="1" s="95">
      <c r="A123" t="inlineStr">
        <is>
          <t>F0119</t>
        </is>
      </c>
      <c r="B123" t="inlineStr">
        <is>
          <t>The Gentlemen</t>
        </is>
      </c>
      <c r="C123" s="63" t="inlineStr">
        <is>
          <t>2020</t>
        </is>
      </c>
      <c r="D123" t="inlineStr">
        <is>
          <t>Blu-ray</t>
        </is>
      </c>
      <c r="F123" s="64" t="n"/>
      <c r="I123" s="64" t="inlineStr">
        <is>
          <t>American expat Mickey Pearson has built a highly profitable marijuana empire in London. When word gets out that he’s looking to cash out of the business forever it triggers plots, schemes, bribery and blackmail in an attempt to steal his domain out from under him.</t>
        </is>
      </c>
      <c r="J123" s="64" t="inlineStr">
        <is>
          <t>Guy Ritchie</t>
        </is>
      </c>
      <c r="K123" s="64" t="n">
        <v>113</v>
      </c>
      <c r="L123" s="64" t="inlineStr">
        <is>
          <t>Comedy, Crime</t>
        </is>
      </c>
      <c r="M123" s="64" t="inlineStr">
        <is>
          <t>Miramax, Toff Guy Films, STX Films</t>
        </is>
      </c>
      <c r="N123" s="64" t="inlineStr">
        <is>
          <t>https://huggingface.co/datasets/HenryWaltson/TMDB-IMDB-Movies-Dataset</t>
        </is>
      </c>
      <c r="O123" s="64" t="inlineStr">
        <is>
          <t>https://huggingface.co/datasets/HenryWaltson/TMDB-IMDB-Movies-Dataset</t>
        </is>
      </c>
      <c r="P123" t="inlineStr">
        <is>
          <t>Matthew McConaughey</t>
        </is>
      </c>
      <c r="Q123" t="inlineStr">
        <is>
          <t>Charlie Hunnam</t>
        </is>
      </c>
      <c r="R123" t="inlineStr">
        <is>
          <t>Michelle Dockery</t>
        </is>
      </c>
      <c r="S123" t="inlineStr">
        <is>
          <t>Jeremy Strong</t>
        </is>
      </c>
      <c r="T123" t="inlineStr">
        <is>
          <t>Lyne Renee</t>
        </is>
      </c>
      <c r="U123" s="71" t="n">
        <v>0</v>
      </c>
      <c r="V123" s="71" t="n">
        <v>0</v>
      </c>
      <c r="X123" s="82">
        <f>IFERROR(INDEX(Ratings!$E$5:$E$500,MATCH(A123,Ratings!$A$5:$A$500,0)),"")</f>
        <v/>
      </c>
      <c r="Y123" s="71">
        <f>IFERROR(INDEX(Ratings!$G$5:$G$500,MATCH(A123,Ratings!$A$5:$A$500,0)),"")</f>
        <v/>
      </c>
      <c r="Z123" s="83">
        <f>IFERROR(INDEX(Ratings!$I$5:$I$500,MATCH(A123,Ratings!$A$5:$A$500,0)),"")</f>
        <v/>
      </c>
    </row>
    <row r="124" ht="15.75" customHeight="1" s="95">
      <c r="A124" t="inlineStr">
        <is>
          <t>F0120</t>
        </is>
      </c>
      <c r="B124" t="inlineStr">
        <is>
          <t>The Girl with the Dragon Tattoo</t>
        </is>
      </c>
      <c r="C124" s="63" t="inlineStr">
        <is>
          <t>2011</t>
        </is>
      </c>
      <c r="D124" t="inlineStr">
        <is>
          <t>Blu-ray</t>
        </is>
      </c>
      <c r="F124" s="64" t="n"/>
      <c r="I124" s="64" t="inlineStr">
        <is>
          <t>Disgraced journalist Mikael Blomkvist investigates the disappearance of a weary patriarch's niece from 40 years ago. He is aided by the pierced, tattooed, punk computer hacker named Lisbeth Salander. As they work together in the investigation, Blomkvist and Salander uncover immense corruption beyond anything they have ever imagined.</t>
        </is>
      </c>
      <c r="J124" s="64" t="inlineStr">
        <is>
          <t>David Fincher</t>
        </is>
      </c>
      <c r="K124" s="64" t="n">
        <v>158</v>
      </c>
      <c r="L124" s="64" t="inlineStr">
        <is>
          <t>Thriller, Crime, Mystery</t>
        </is>
      </c>
      <c r="M124" s="64" t="inlineStr">
        <is>
          <t>Ground Control, Columbia Pictures, Scott Rudin Productions</t>
        </is>
      </c>
      <c r="N124" s="64" t="inlineStr">
        <is>
          <t>https://huggingface.co/datasets/HenryWaltson/TMDB-IMDB-Movies-Dataset</t>
        </is>
      </c>
      <c r="O124" s="64" t="inlineStr">
        <is>
          <t>https://huggingface.co/datasets/HenryWaltson/TMDB-IMDB-Movies-Dataset</t>
        </is>
      </c>
      <c r="P124" t="inlineStr">
        <is>
          <t>Daniel Craig</t>
        </is>
      </c>
      <c r="Q124" t="inlineStr">
        <is>
          <t>Rooney Mara</t>
        </is>
      </c>
      <c r="R124" t="inlineStr">
        <is>
          <t>Christopher Plummer</t>
        </is>
      </c>
      <c r="S124" t="inlineStr">
        <is>
          <t>Stellan Skarsgård</t>
        </is>
      </c>
      <c r="T124" t="inlineStr">
        <is>
          <t>Robin Wright</t>
        </is>
      </c>
      <c r="U124" s="71" t="n">
        <v>5</v>
      </c>
      <c r="V124" s="71" t="n">
        <v>1</v>
      </c>
      <c r="X124" s="82">
        <f>IFERROR(INDEX(Ratings!$E$5:$E$500,MATCH(A124,Ratings!$A$5:$A$500,0)),"")</f>
        <v/>
      </c>
      <c r="Y124" s="71">
        <f>IFERROR(INDEX(Ratings!$G$5:$G$500,MATCH(A124,Ratings!$A$5:$A$500,0)),"")</f>
        <v/>
      </c>
      <c r="Z124" s="83">
        <f>IFERROR(INDEX(Ratings!$I$5:$I$500,MATCH(A124,Ratings!$A$5:$A$500,0)),"")</f>
        <v/>
      </c>
    </row>
    <row r="125" ht="15.75" customHeight="1" s="95">
      <c r="A125" t="inlineStr">
        <is>
          <t>F0121</t>
        </is>
      </c>
      <c r="B125" t="inlineStr">
        <is>
          <t>Godzilla</t>
        </is>
      </c>
      <c r="C125" s="63" t="inlineStr">
        <is>
          <t>2014</t>
        </is>
      </c>
      <c r="D125" t="inlineStr">
        <is>
          <t>Blu-ray</t>
        </is>
      </c>
      <c r="E125" t="inlineStr">
        <is>
          <t>MonsterVerse</t>
        </is>
      </c>
      <c r="F125" s="64" t="n"/>
      <c r="I125" s="64" t="inlineStr">
        <is>
          <t>Ford Brody, a Navy bomb expert, has just reunited with his family in San Francisco when he is forced to go to Japan to help his estranged father, Joe. Soon, both men are swept up in an escalating crisis when an ancient alpha predator arises from the sea to combat malevolent adversaries that threaten the survival of humanity. The creatures leave colossal destruction in their wake, as they make their way toward their final battleground: San Francisco.</t>
        </is>
      </c>
      <c r="J125" s="64" t="inlineStr">
        <is>
          <t>Gareth Edwards</t>
        </is>
      </c>
      <c r="K125" s="64" t="n">
        <v>123</v>
      </c>
      <c r="L125" s="64" t="inlineStr">
        <is>
          <t>Action, Drama, Science Fiction</t>
        </is>
      </c>
      <c r="M125" s="64" t="inlineStr">
        <is>
          <t>Legendary Pictures</t>
        </is>
      </c>
      <c r="N125" s="64" t="inlineStr">
        <is>
          <t>https://huggingface.co/datasets/HenryWaltson/TMDB-IMDB-Movies-Dataset</t>
        </is>
      </c>
      <c r="O125" s="64" t="inlineStr">
        <is>
          <t>https://huggingface.co/datasets/HenryWaltson/TMDB-IMDB-Movies-Dataset</t>
        </is>
      </c>
      <c r="P125" t="inlineStr">
        <is>
          <t>Aaron Taylor-Johnson</t>
        </is>
      </c>
      <c r="Q125" t="inlineStr">
        <is>
          <t>Elizabeth Olsen</t>
        </is>
      </c>
      <c r="R125" t="inlineStr">
        <is>
          <t>Juliette Binoche</t>
        </is>
      </c>
      <c r="S125" t="inlineStr">
        <is>
          <t>Bryan Cranston</t>
        </is>
      </c>
      <c r="T125" t="inlineStr">
        <is>
          <t>Ken Watanabe</t>
        </is>
      </c>
      <c r="U125" s="71" t="n">
        <v>0</v>
      </c>
      <c r="V125" s="71" t="n">
        <v>0</v>
      </c>
      <c r="X125" s="82">
        <f>IFERROR(INDEX(Ratings!$E$5:$E$500,MATCH(A125,Ratings!$A$5:$A$500,0)),"")</f>
        <v/>
      </c>
      <c r="Y125" s="71">
        <f>IFERROR(INDEX(Ratings!$G$5:$G$500,MATCH(A125,Ratings!$A$5:$A$500,0)),"")</f>
        <v/>
      </c>
      <c r="Z125" s="83">
        <f>IFERROR(INDEX(Ratings!$I$5:$I$500,MATCH(A125,Ratings!$A$5:$A$500,0)),"")</f>
        <v/>
      </c>
    </row>
    <row r="126" ht="15.75" customHeight="1" s="95">
      <c r="A126" t="inlineStr">
        <is>
          <t>F0122</t>
        </is>
      </c>
      <c r="B126" t="inlineStr">
        <is>
          <t>Godzilla: King of the Monsters</t>
        </is>
      </c>
      <c r="C126" s="63" t="inlineStr">
        <is>
          <t>2019</t>
        </is>
      </c>
      <c r="D126" t="inlineStr">
        <is>
          <t>Blu-ray</t>
        </is>
      </c>
      <c r="E126" t="inlineStr">
        <is>
          <t>MonsterVerse</t>
        </is>
      </c>
      <c r="F126" s="64" t="n"/>
      <c r="I126" s="64" t="inlineStr">
        <is>
          <t>Follows the heroic efforts of the crypto-zoological agency Monarch as its members face off against a battery of god-sized monsters, including the mighty Godzilla, who collides with Mothra, Rodan, and his ultimate nemesis, the three-headed King Ghidorah. When these ancient super-species, thought to be mere myths, rise again, they all vie for supremacy, leaving humanity's very existence hanging in the balance.</t>
        </is>
      </c>
      <c r="J126" s="64" t="inlineStr">
        <is>
          <t>Michael Dougherty</t>
        </is>
      </c>
      <c r="K126" s="64" t="n">
        <v>132</v>
      </c>
      <c r="L126" s="64" t="inlineStr">
        <is>
          <t>Science Fiction, Action</t>
        </is>
      </c>
      <c r="M126" s="64" t="inlineStr">
        <is>
          <t>Legendary Pictures, Huahua Media, TOHO</t>
        </is>
      </c>
      <c r="N126" s="64" t="inlineStr">
        <is>
          <t>https://huggingface.co/datasets/HenryWaltson/TMDB-IMDB-Movies-Dataset</t>
        </is>
      </c>
      <c r="O126" s="64" t="inlineStr">
        <is>
          <t>https://huggingface.co/datasets/HenryWaltson/TMDB-IMDB-Movies-Dataset</t>
        </is>
      </c>
      <c r="P126" t="inlineStr">
        <is>
          <t>Kyle Chandler</t>
        </is>
      </c>
      <c r="Q126" t="inlineStr">
        <is>
          <t>Vera Farmiga</t>
        </is>
      </c>
      <c r="R126" t="inlineStr">
        <is>
          <t>Millie Bobby Brown</t>
        </is>
      </c>
      <c r="S126" t="inlineStr">
        <is>
          <t>Ken Watanabe</t>
        </is>
      </c>
      <c r="T126" t="inlineStr">
        <is>
          <t>Zhang Ziyi</t>
        </is>
      </c>
      <c r="U126" s="71" t="n">
        <v>0</v>
      </c>
      <c r="V126" s="71" t="n">
        <v>0</v>
      </c>
      <c r="X126" s="82">
        <f>IFERROR(INDEX(Ratings!$E$5:$E$500,MATCH(A126,Ratings!$A$5:$A$500,0)),"")</f>
        <v/>
      </c>
      <c r="Y126" s="71">
        <f>IFERROR(INDEX(Ratings!$G$5:$G$500,MATCH(A126,Ratings!$A$5:$A$500,0)),"")</f>
        <v/>
      </c>
      <c r="Z126" s="83">
        <f>IFERROR(INDEX(Ratings!$I$5:$I$500,MATCH(A126,Ratings!$A$5:$A$500,0)),"")</f>
        <v/>
      </c>
    </row>
    <row r="127" ht="15.75" customHeight="1" s="95">
      <c r="A127" t="inlineStr">
        <is>
          <t>F0123</t>
        </is>
      </c>
      <c r="B127" t="inlineStr">
        <is>
          <t>Godzilla vs. Kong</t>
        </is>
      </c>
      <c r="C127" s="63" t="inlineStr">
        <is>
          <t>2021</t>
        </is>
      </c>
      <c r="D127" t="inlineStr">
        <is>
          <t>Blu-ray</t>
        </is>
      </c>
      <c r="E127" t="inlineStr">
        <is>
          <t>MonsterVerse</t>
        </is>
      </c>
      <c r="F127" s="64" t="n"/>
      <c r="I127" s="64" t="inlineStr">
        <is>
          <t>In a time when monsters walk the Earth, humanity’s fight for its future sets Godzilla and Kong on a collision course that will see the two most powerful forces of nature on the planet collide in a spectacular battle for the ages.</t>
        </is>
      </c>
      <c r="J127" s="64" t="inlineStr">
        <is>
          <t>Adam Wingard</t>
        </is>
      </c>
      <c r="K127" s="64" t="n">
        <v>114</v>
      </c>
      <c r="L127" s="64" t="inlineStr">
        <is>
          <t>Action, Science Fiction, Thriller</t>
        </is>
      </c>
      <c r="M127" s="64" t="inlineStr">
        <is>
          <t>Legendary Pictures</t>
        </is>
      </c>
      <c r="N127" s="64" t="inlineStr">
        <is>
          <t>https://huggingface.co/datasets/HenryWaltson/TMDB-IMDB-Movies-Dataset</t>
        </is>
      </c>
      <c r="O127" s="64" t="inlineStr">
        <is>
          <t>https://huggingface.co/datasets/HenryWaltson/TMDB-IMDB-Movies-Dataset</t>
        </is>
      </c>
      <c r="P127" t="inlineStr">
        <is>
          <t>Alexander Skarsgård</t>
        </is>
      </c>
      <c r="Q127" t="inlineStr">
        <is>
          <t>Rebecca Hall</t>
        </is>
      </c>
      <c r="R127" t="inlineStr">
        <is>
          <t>Kaylee Hottle</t>
        </is>
      </c>
      <c r="S127" t="inlineStr">
        <is>
          <t>Brian Tyree Henry</t>
        </is>
      </c>
      <c r="T127" t="inlineStr">
        <is>
          <t>Millie Bobby Brown</t>
        </is>
      </c>
      <c r="U127" s="71" t="n">
        <v>0</v>
      </c>
      <c r="V127" s="71" t="n">
        <v>0</v>
      </c>
      <c r="X127" s="82">
        <f>IFERROR(INDEX(Ratings!$E$5:$E$500,MATCH(A127,Ratings!$A$5:$A$500,0)),"")</f>
        <v/>
      </c>
      <c r="Y127" s="71">
        <f>IFERROR(INDEX(Ratings!$G$5:$G$500,MATCH(A127,Ratings!$A$5:$A$500,0)),"")</f>
        <v/>
      </c>
      <c r="Z127" s="83">
        <f>IFERROR(INDEX(Ratings!$I$5:$I$500,MATCH(A127,Ratings!$A$5:$A$500,0)),"")</f>
        <v/>
      </c>
    </row>
    <row r="128" ht="15.75" customHeight="1" s="95">
      <c r="A128" t="inlineStr">
        <is>
          <t>F0124</t>
        </is>
      </c>
      <c r="B128" t="inlineStr">
        <is>
          <t>Good Will Hunting</t>
        </is>
      </c>
      <c r="C128" s="63" t="inlineStr">
        <is>
          <t>1997</t>
        </is>
      </c>
      <c r="D128" t="inlineStr">
        <is>
          <t>Blu-ray</t>
        </is>
      </c>
      <c r="F128" s="64" t="n"/>
      <c r="I128" s="64" t="inlineStr">
        <is>
          <t>Will Hunting is a headstrong, working-class genius who is failing the lessons of life. After one too many run-ins with the law, Will's last chance is a psychology professor, who might be the only man who can reach him.</t>
        </is>
      </c>
      <c r="J128" s="64" t="inlineStr">
        <is>
          <t>Gus Van Sant</t>
        </is>
      </c>
      <c r="K128" s="64" t="n">
        <v>127</v>
      </c>
      <c r="L128" s="64" t="inlineStr">
        <is>
          <t>Drama</t>
        </is>
      </c>
      <c r="M128" s="64" t="inlineStr">
        <is>
          <t>Miramax, Lawrence Bender Productions, Be Gentlemen Limited Partnership</t>
        </is>
      </c>
      <c r="N128" s="64" t="inlineStr">
        <is>
          <t>https://huggingface.co/datasets/HenryWaltson/TMDB-IMDB-Movies-Dataset</t>
        </is>
      </c>
      <c r="O128" s="64" t="inlineStr">
        <is>
          <t>https://huggingface.co/datasets/HenryWaltson/TMDB-IMDB-Movies-Dataset</t>
        </is>
      </c>
      <c r="P128" t="inlineStr">
        <is>
          <t>Matt Damon</t>
        </is>
      </c>
      <c r="Q128" t="inlineStr">
        <is>
          <t>Robin Williams</t>
        </is>
      </c>
      <c r="R128" t="inlineStr">
        <is>
          <t>Ben Affleck</t>
        </is>
      </c>
      <c r="S128" t="inlineStr">
        <is>
          <t>Stellan Skarsgård</t>
        </is>
      </c>
      <c r="T128" t="inlineStr">
        <is>
          <t>Minnie Driver</t>
        </is>
      </c>
      <c r="U128" s="71" t="n">
        <v>9</v>
      </c>
      <c r="V128" s="71" t="n">
        <v>2</v>
      </c>
      <c r="W128" t="inlineStr">
        <is>
          <t>Nominated</t>
        </is>
      </c>
      <c r="X128" s="82">
        <f>IFERROR(INDEX(Ratings!$E$5:$E$500,MATCH(A128,Ratings!$A$5:$A$500,0)),"")</f>
        <v/>
      </c>
      <c r="Y128" s="71">
        <f>IFERROR(INDEX(Ratings!$G$5:$G$500,MATCH(A128,Ratings!$A$5:$A$500,0)),"")</f>
        <v/>
      </c>
      <c r="Z128" s="83">
        <f>IFERROR(INDEX(Ratings!$I$5:$I$500,MATCH(A128,Ratings!$A$5:$A$500,0)),"")</f>
        <v/>
      </c>
    </row>
    <row r="129" ht="15.75" customHeight="1" s="95">
      <c r="A129" t="inlineStr">
        <is>
          <t>F0125</t>
        </is>
      </c>
      <c r="B129" t="inlineStr">
        <is>
          <t>Gran Torino</t>
        </is>
      </c>
      <c r="C129" s="63" t="inlineStr">
        <is>
          <t>2008</t>
        </is>
      </c>
      <c r="D129" t="inlineStr">
        <is>
          <t>Blu-ray</t>
        </is>
      </c>
      <c r="F129" s="64" t="n"/>
      <c r="I129" s="64" t="inlineStr">
        <is>
          <t>Disgruntled Korean War veteran Walt Kowalski sets out to reform his neighbor, Thao Lor, a Hmong teenager who tried to steal Kowalski's prized possession: a 1972 Gran Torino.</t>
        </is>
      </c>
      <c r="J129" s="64" t="inlineStr">
        <is>
          <t>Clint Eastwood</t>
        </is>
      </c>
      <c r="K129" s="64" t="n">
        <v>116</v>
      </c>
      <c r="L129" s="64" t="inlineStr">
        <is>
          <t>Drama</t>
        </is>
      </c>
      <c r="M129" s="64" t="inlineStr">
        <is>
          <t>Matten Productions, Double Nickel Entertainment, Gerber Pictures</t>
        </is>
      </c>
      <c r="N129" s="64" t="inlineStr">
        <is>
          <t>https://huggingface.co/datasets/HenryWaltson/TMDB-IMDB-Movies-Dataset</t>
        </is>
      </c>
      <c r="O129" s="64" t="inlineStr">
        <is>
          <t>https://huggingface.co/datasets/HenryWaltson/TMDB-IMDB-Movies-Dataset</t>
        </is>
      </c>
      <c r="P129" t="inlineStr">
        <is>
          <t>Clint Eastwood</t>
        </is>
      </c>
      <c r="Q129" t="inlineStr">
        <is>
          <t>Christopher Carley</t>
        </is>
      </c>
      <c r="R129" t="inlineStr">
        <is>
          <t>Bee Vang</t>
        </is>
      </c>
      <c r="S129" t="inlineStr">
        <is>
          <t>Ahney Her</t>
        </is>
      </c>
      <c r="T129" t="inlineStr">
        <is>
          <t>Brian Haley</t>
        </is>
      </c>
      <c r="U129" s="71" t="n">
        <v>0</v>
      </c>
      <c r="V129" s="71" t="n">
        <v>0</v>
      </c>
      <c r="X129" s="82">
        <f>IFERROR(INDEX(Ratings!$E$5:$E$500,MATCH(A129,Ratings!$A$5:$A$500,0)),"")</f>
        <v/>
      </c>
      <c r="Y129" s="71">
        <f>IFERROR(INDEX(Ratings!$G$5:$G$500,MATCH(A129,Ratings!$A$5:$A$500,0)),"")</f>
        <v/>
      </c>
      <c r="Z129" s="83">
        <f>IFERROR(INDEX(Ratings!$I$5:$I$500,MATCH(A129,Ratings!$A$5:$A$500,0)),"")</f>
        <v/>
      </c>
    </row>
    <row r="130" ht="15.75" customHeight="1" s="95">
      <c r="A130" t="inlineStr">
        <is>
          <t>F0126</t>
        </is>
      </c>
      <c r="B130" t="inlineStr">
        <is>
          <t>The Great Gatsby</t>
        </is>
      </c>
      <c r="C130" s="63" t="inlineStr">
        <is>
          <t>2013</t>
        </is>
      </c>
      <c r="D130" t="inlineStr">
        <is>
          <t>Blu-ray</t>
        </is>
      </c>
      <c r="F130" s="64" t="n"/>
      <c r="I130" s="64" t="inlineStr">
        <is>
          <t>An adaptation of F. Scott Fitzgerald's Long Island-set novel, where Midwesterner Nick Carraway is lured into the lavish world of his neighbor, Jay Gatsby. Soon enough, however, Carraway will see through the cracks of Gatsby's nouveau riche existence, where obsession, madness, and tragedy await.</t>
        </is>
      </c>
      <c r="J130" s="64" t="inlineStr">
        <is>
          <t>Baz Luhrmann</t>
        </is>
      </c>
      <c r="K130" s="64" t="n">
        <v>143</v>
      </c>
      <c r="L130" s="64" t="inlineStr">
        <is>
          <t>Drama, Romance</t>
        </is>
      </c>
      <c r="M130" s="64" t="inlineStr">
        <is>
          <t>Spectrum Films, Village Roadshow Pictures, Bazmark Films</t>
        </is>
      </c>
      <c r="N130" s="64" t="inlineStr">
        <is>
          <t>https://huggingface.co/datasets/HenryWaltson/TMDB-IMDB-Movies-Dataset</t>
        </is>
      </c>
      <c r="O130" s="64" t="inlineStr">
        <is>
          <t>https://huggingface.co/datasets/HenryWaltson/TMDB-IMDB-Movies-Dataset</t>
        </is>
      </c>
      <c r="P130" t="inlineStr">
        <is>
          <t>Leonardo DiCaprio</t>
        </is>
      </c>
      <c r="Q130" t="inlineStr">
        <is>
          <t>Tobey Maguire</t>
        </is>
      </c>
      <c r="R130" t="inlineStr">
        <is>
          <t>Carey Mulligan</t>
        </is>
      </c>
      <c r="S130" t="inlineStr">
        <is>
          <t>Joel Edgerton</t>
        </is>
      </c>
      <c r="T130" t="inlineStr">
        <is>
          <t>Elizabeth Debicki</t>
        </is>
      </c>
      <c r="U130" s="71" t="n">
        <v>2</v>
      </c>
      <c r="V130" s="71" t="n">
        <v>2</v>
      </c>
      <c r="X130" s="82">
        <f>IFERROR(INDEX(Ratings!$E$5:$E$500,MATCH(A130,Ratings!$A$5:$A$500,0)),"")</f>
        <v/>
      </c>
      <c r="Y130" s="71">
        <f>IFERROR(INDEX(Ratings!$G$5:$G$500,MATCH(A130,Ratings!$A$5:$A$500,0)),"")</f>
        <v/>
      </c>
      <c r="Z130" s="83">
        <f>IFERROR(INDEX(Ratings!$I$5:$I$500,MATCH(A130,Ratings!$A$5:$A$500,0)),"")</f>
        <v/>
      </c>
    </row>
    <row r="131" ht="15.75" customHeight="1" s="95">
      <c r="A131" t="inlineStr">
        <is>
          <t>F0127</t>
        </is>
      </c>
      <c r="B131" t="inlineStr">
        <is>
          <t>The Greatest Showman</t>
        </is>
      </c>
      <c r="C131" s="63" t="inlineStr">
        <is>
          <t>2017</t>
        </is>
      </c>
      <c r="D131" t="inlineStr">
        <is>
          <t>Blu-ray</t>
        </is>
      </c>
      <c r="F131" s="64" t="n"/>
      <c r="I131" s="64" t="inlineStr">
        <is>
          <t>The story of American showman P.T. Barnum, founder of the circus that became the famous traveling Ringling Bros. and Barnum &amp; Bailey Circus.</t>
        </is>
      </c>
      <c r="J131" s="64" t="inlineStr">
        <is>
          <t>Michael Gracey</t>
        </is>
      </c>
      <c r="K131" s="64" t="n">
        <v>105</v>
      </c>
      <c r="L131" s="64" t="inlineStr">
        <is>
          <t>Drama</t>
        </is>
      </c>
      <c r="M131" s="64" t="inlineStr">
        <is>
          <t>Chernin Entertainment, 20th Century Fox, TSG Entertainment</t>
        </is>
      </c>
      <c r="N131" s="64" t="inlineStr">
        <is>
          <t>https://huggingface.co/datasets/HenryWaltson/TMDB-IMDB-Movies-Dataset</t>
        </is>
      </c>
      <c r="O131" s="64" t="inlineStr">
        <is>
          <t>https://huggingface.co/datasets/HenryWaltson/TMDB-IMDB-Movies-Dataset</t>
        </is>
      </c>
      <c r="P131" t="inlineStr">
        <is>
          <t>Hugh Jackman</t>
        </is>
      </c>
      <c r="Q131" t="inlineStr">
        <is>
          <t>Zac Efron</t>
        </is>
      </c>
      <c r="R131" t="inlineStr">
        <is>
          <t>Michelle Williams</t>
        </is>
      </c>
      <c r="S131" t="inlineStr">
        <is>
          <t>Rebecca Ferguson</t>
        </is>
      </c>
      <c r="T131" t="inlineStr">
        <is>
          <t>Zendaya</t>
        </is>
      </c>
      <c r="U131" s="71" t="n">
        <v>1</v>
      </c>
      <c r="V131" s="71" t="n">
        <v>0</v>
      </c>
      <c r="X131" s="82">
        <f>IFERROR(INDEX(Ratings!$E$5:$E$500,MATCH(A131,Ratings!$A$5:$A$500,0)),"")</f>
        <v/>
      </c>
      <c r="Y131" s="71">
        <f>IFERROR(INDEX(Ratings!$G$5:$G$500,MATCH(A131,Ratings!$A$5:$A$500,0)),"")</f>
        <v/>
      </c>
      <c r="Z131" s="83">
        <f>IFERROR(INDEX(Ratings!$I$5:$I$500,MATCH(A131,Ratings!$A$5:$A$500,0)),"")</f>
        <v/>
      </c>
    </row>
    <row r="132" ht="15.75" customHeight="1" s="95">
      <c r="A132" t="inlineStr">
        <is>
          <t>F0128</t>
        </is>
      </c>
      <c r="B132" t="inlineStr">
        <is>
          <t>Green Lantern</t>
        </is>
      </c>
      <c r="C132" s="63" t="inlineStr">
        <is>
          <t>2011</t>
        </is>
      </c>
      <c r="D132" t="inlineStr">
        <is>
          <t>Blu-ray</t>
        </is>
      </c>
      <c r="F132" s="64" t="n"/>
      <c r="I132" s="64" t="inlineStr">
        <is>
          <t>For centuries, a small but powerful force of warriors called the Green Lantern Corps has sworn to keep intergalactic order. Each Green Lantern wears a ring that grants him superpowers. But when a new enemy called Parallax threatens to destroy the balance of power in the Universe, their fate and the fate of Earth lie in the hands of the first human ever recruited.</t>
        </is>
      </c>
      <c r="J132" s="64" t="inlineStr">
        <is>
          <t>Martin Campbell</t>
        </is>
      </c>
      <c r="K132" s="64" t="n">
        <v>114</v>
      </c>
      <c r="L132" s="64" t="inlineStr">
        <is>
          <t>Adventure, Action, Thriller, Science Fiction</t>
        </is>
      </c>
      <c r="M132" s="64" t="inlineStr">
        <is>
          <t>DC Entertainment, De Line Pictures, Warner Bros. Pictures</t>
        </is>
      </c>
      <c r="N132" s="64" t="inlineStr">
        <is>
          <t>https://huggingface.co/datasets/HenryWaltson/TMDB-IMDB-Movies-Dataset</t>
        </is>
      </c>
      <c r="O132" s="64" t="inlineStr">
        <is>
          <t>https://huggingface.co/datasets/HenryWaltson/TMDB-IMDB-Movies-Dataset</t>
        </is>
      </c>
      <c r="P132" t="inlineStr">
        <is>
          <t>Ryan Reynolds</t>
        </is>
      </c>
      <c r="Q132" t="inlineStr">
        <is>
          <t>Blake Lively</t>
        </is>
      </c>
      <c r="R132" t="inlineStr">
        <is>
          <t>Peter Sarsgaard</t>
        </is>
      </c>
      <c r="S132" t="inlineStr">
        <is>
          <t>Mark Strong</t>
        </is>
      </c>
      <c r="T132" t="inlineStr">
        <is>
          <t>Tim Robbins</t>
        </is>
      </c>
      <c r="U132" s="71" t="n">
        <v>0</v>
      </c>
      <c r="V132" s="71" t="n">
        <v>0</v>
      </c>
      <c r="X132" s="82">
        <f>IFERROR(INDEX(Ratings!$E$5:$E$500,MATCH(A132,Ratings!$A$5:$A$500,0)),"")</f>
        <v/>
      </c>
      <c r="Y132" s="71">
        <f>IFERROR(INDEX(Ratings!$G$5:$G$500,MATCH(A132,Ratings!$A$5:$A$500,0)),"")</f>
        <v/>
      </c>
      <c r="Z132" s="83">
        <f>IFERROR(INDEX(Ratings!$I$5:$I$500,MATCH(A132,Ratings!$A$5:$A$500,0)),"")</f>
        <v/>
      </c>
    </row>
    <row r="133" ht="15.75" customHeight="1" s="95">
      <c r="A133" t="inlineStr">
        <is>
          <t>F0129</t>
        </is>
      </c>
      <c r="B133" t="inlineStr">
        <is>
          <t>Green Zone</t>
        </is>
      </c>
      <c r="C133" s="63" t="inlineStr">
        <is>
          <t>2010</t>
        </is>
      </c>
      <c r="D133" t="inlineStr">
        <is>
          <t>Blu-ray</t>
        </is>
      </c>
      <c r="F133" s="64" t="n"/>
      <c r="I133" s="64" t="inlineStr">
        <is>
          <t>During the U.S.-led occupation of Baghdad in 2003, Chief Warrant Officer Roy Miller and his team of Army inspectors are dispatched to find weapons of mass destruction believed to be stockpiled in the Iraqi desert. Rocketing from one booby-trapped and treacherous site to the next, the men search for deadly chemical agents but stumble instead upon an elaborate cover-up that threatens to invert the purpose of their mission.</t>
        </is>
      </c>
      <c r="J133" s="64" t="inlineStr">
        <is>
          <t>Paul Greengrass</t>
        </is>
      </c>
      <c r="K133" s="64" t="n">
        <v>115</v>
      </c>
      <c r="L133" s="64" t="inlineStr">
        <is>
          <t>War, Action, Adventure, Drama, Thriller</t>
        </is>
      </c>
      <c r="M133" s="64" t="inlineStr">
        <is>
          <t>Universal Pictures, StudioCanal, Relativity Media</t>
        </is>
      </c>
      <c r="N133" s="64" t="inlineStr">
        <is>
          <t>https://huggingface.co/datasets/HenryWaltson/TMDB-IMDB-Movies-Dataset</t>
        </is>
      </c>
      <c r="O133" s="64" t="inlineStr">
        <is>
          <t>https://huggingface.co/datasets/HenryWaltson/TMDB-IMDB-Movies-Dataset</t>
        </is>
      </c>
      <c r="P133" t="inlineStr">
        <is>
          <t>Matt Damon</t>
        </is>
      </c>
      <c r="Q133" t="inlineStr">
        <is>
          <t>Greg Kinnear</t>
        </is>
      </c>
      <c r="R133" t="inlineStr">
        <is>
          <t>Brendan Gleeson</t>
        </is>
      </c>
      <c r="S133" t="inlineStr">
        <is>
          <t>Amy Ryan</t>
        </is>
      </c>
      <c r="T133" t="inlineStr">
        <is>
          <t>Khalid Abdalla</t>
        </is>
      </c>
      <c r="U133" s="71" t="n">
        <v>0</v>
      </c>
      <c r="V133" s="71" t="n">
        <v>0</v>
      </c>
      <c r="X133" s="82">
        <f>IFERROR(INDEX(Ratings!$E$5:$E$500,MATCH(A133,Ratings!$A$5:$A$500,0)),"")</f>
        <v/>
      </c>
      <c r="Y133" s="71">
        <f>IFERROR(INDEX(Ratings!$G$5:$G$500,MATCH(A133,Ratings!$A$5:$A$500,0)),"")</f>
        <v/>
      </c>
      <c r="Z133" s="83">
        <f>IFERROR(INDEX(Ratings!$I$5:$I$500,MATCH(A133,Ratings!$A$5:$A$500,0)),"")</f>
        <v/>
      </c>
    </row>
    <row r="134" ht="15.75" customHeight="1" s="95">
      <c r="A134" t="inlineStr">
        <is>
          <t>F0130</t>
        </is>
      </c>
      <c r="B134" t="inlineStr">
        <is>
          <t>Grimsby</t>
        </is>
      </c>
      <c r="C134" s="63" t="inlineStr">
        <is>
          <t>2016</t>
        </is>
      </c>
      <c r="D134" t="inlineStr">
        <is>
          <t>Blu-ray</t>
        </is>
      </c>
      <c r="F134" s="64" t="n"/>
      <c r="I134" s="64" t="inlineStr">
        <is>
          <t>Wrongfully accused and on the run, a top MI6 assassin joins forces with his long-lost, football hooligan brother to save the world from a sinister plot.</t>
        </is>
      </c>
      <c r="J134" s="64" t="inlineStr">
        <is>
          <t>Louis Leterrier</t>
        </is>
      </c>
      <c r="K134" s="64" t="n">
        <v>83</v>
      </c>
      <c r="L134" s="64" t="inlineStr">
        <is>
          <t>Action, Comedy</t>
        </is>
      </c>
      <c r="M134" s="64" t="inlineStr">
        <is>
          <t>Working Title Films, Columbia Pictures, Sony Pictures Releasing</t>
        </is>
      </c>
      <c r="N134" s="64" t="inlineStr">
        <is>
          <t>https://huggingface.co/datasets/HenryWaltson/TMDB-IMDB-Movies-Dataset</t>
        </is>
      </c>
      <c r="O134" s="64" t="inlineStr">
        <is>
          <t>https://huggingface.co/datasets/HenryWaltson/TMDB-IMDB-Movies-Dataset</t>
        </is>
      </c>
      <c r="P134" t="inlineStr">
        <is>
          <t>Sacha Baron Cohen</t>
        </is>
      </c>
      <c r="Q134" t="inlineStr">
        <is>
          <t>Mark Strong</t>
        </is>
      </c>
      <c r="R134" t="inlineStr">
        <is>
          <t>Isla Fisher</t>
        </is>
      </c>
      <c r="S134" t="inlineStr">
        <is>
          <t>Penélope Cruz</t>
        </is>
      </c>
      <c r="T134" t="inlineStr">
        <is>
          <t>Rebel Wilson</t>
        </is>
      </c>
      <c r="U134" s="71" t="n">
        <v>0</v>
      </c>
      <c r="V134" s="71" t="n">
        <v>0</v>
      </c>
      <c r="X134" s="82">
        <f>IFERROR(INDEX(Ratings!$E$5:$E$500,MATCH(A134,Ratings!$A$5:$A$500,0)),"")</f>
        <v/>
      </c>
      <c r="Y134" s="71">
        <f>IFERROR(INDEX(Ratings!$G$5:$G$500,MATCH(A134,Ratings!$A$5:$A$500,0)),"")</f>
        <v/>
      </c>
      <c r="Z134" s="83">
        <f>IFERROR(INDEX(Ratings!$I$5:$I$500,MATCH(A134,Ratings!$A$5:$A$500,0)),"")</f>
        <v/>
      </c>
    </row>
    <row r="135" ht="15.75" customHeight="1" s="95">
      <c r="A135" t="inlineStr">
        <is>
          <t>F0131</t>
        </is>
      </c>
      <c r="B135" t="inlineStr">
        <is>
          <t>Grown Ups</t>
        </is>
      </c>
      <c r="C135" s="63" t="inlineStr">
        <is>
          <t>2010</t>
        </is>
      </c>
      <c r="D135" t="inlineStr">
        <is>
          <t>Blu-ray</t>
        </is>
      </c>
      <c r="E135" t="inlineStr">
        <is>
          <t>Grown Ups</t>
        </is>
      </c>
      <c r="F135" s="64" t="n"/>
      <c r="I135" s="64" t="inlineStr">
        <is>
          <t>After their high school basketball coach passes away, five good friends and former teammates reunite for a Fourth of July holiday weekend.</t>
        </is>
      </c>
      <c r="J135" s="64" t="inlineStr">
        <is>
          <t>Dennis Dugan</t>
        </is>
      </c>
      <c r="K135" s="64" t="n">
        <v>102</v>
      </c>
      <c r="L135" s="64" t="inlineStr">
        <is>
          <t>Comedy</t>
        </is>
      </c>
      <c r="M135" s="64" t="inlineStr">
        <is>
          <t>Columbia Pictures, Relativity Media, Sony Pictures</t>
        </is>
      </c>
      <c r="N135" s="64" t="inlineStr">
        <is>
          <t>https://huggingface.co/datasets/HenryWaltson/TMDB-IMDB-Movies-Dataset</t>
        </is>
      </c>
      <c r="O135" s="64" t="inlineStr">
        <is>
          <t>https://huggingface.co/datasets/HenryWaltson/TMDB-IMDB-Movies-Dataset</t>
        </is>
      </c>
      <c r="P135" t="inlineStr">
        <is>
          <t>Adam Sandler</t>
        </is>
      </c>
      <c r="Q135" t="inlineStr">
        <is>
          <t>Kevin James</t>
        </is>
      </c>
      <c r="R135" t="inlineStr">
        <is>
          <t>Chris Rock</t>
        </is>
      </c>
      <c r="S135" t="inlineStr">
        <is>
          <t>David Spade</t>
        </is>
      </c>
      <c r="T135" t="inlineStr">
        <is>
          <t>Rob Schneider</t>
        </is>
      </c>
      <c r="U135" s="71" t="n">
        <v>0</v>
      </c>
      <c r="V135" s="71" t="n">
        <v>0</v>
      </c>
      <c r="X135" s="82">
        <f>IFERROR(INDEX(Ratings!$E$5:$E$500,MATCH(A135,Ratings!$A$5:$A$500,0)),"")</f>
        <v/>
      </c>
      <c r="Y135" s="71">
        <f>IFERROR(INDEX(Ratings!$G$5:$G$500,MATCH(A135,Ratings!$A$5:$A$500,0)),"")</f>
        <v/>
      </c>
      <c r="Z135" s="83">
        <f>IFERROR(INDEX(Ratings!$I$5:$I$500,MATCH(A135,Ratings!$A$5:$A$500,0)),"")</f>
        <v/>
      </c>
    </row>
    <row r="136" ht="15.75" customHeight="1" s="95">
      <c r="A136" t="inlineStr">
        <is>
          <t>F0132</t>
        </is>
      </c>
      <c r="B136" t="inlineStr">
        <is>
          <t>Grown Ups 2</t>
        </is>
      </c>
      <c r="C136" s="63" t="inlineStr">
        <is>
          <t>2013</t>
        </is>
      </c>
      <c r="D136" t="inlineStr">
        <is>
          <t>Blu-ray</t>
        </is>
      </c>
      <c r="E136" t="inlineStr">
        <is>
          <t>Grown Ups</t>
        </is>
      </c>
      <c r="F136" s="64" t="n"/>
      <c r="I136" s="64" t="inlineStr">
        <is>
          <t>Lenny has relocated his family back to the small town where he and his friends grew up. This time around, the grown ups are the ones learning lessons from their kids on a day notoriously full of surprises—the last day of school.</t>
        </is>
      </c>
      <c r="J136" s="64" t="inlineStr">
        <is>
          <t>Dennis Dugan</t>
        </is>
      </c>
      <c r="K136" s="64" t="n">
        <v>101</v>
      </c>
      <c r="L136" s="64" t="inlineStr">
        <is>
          <t>Comedy</t>
        </is>
      </c>
      <c r="M136" s="64" t="inlineStr">
        <is>
          <t>Columbia Pictures, Sony Pictures, Happy Madison Productions</t>
        </is>
      </c>
      <c r="N136" s="64" t="inlineStr">
        <is>
          <t>https://huggingface.co/datasets/HenryWaltson/TMDB-IMDB-Movies-Dataset</t>
        </is>
      </c>
      <c r="O136" s="64" t="inlineStr">
        <is>
          <t>https://huggingface.co/datasets/HenryWaltson/TMDB-IMDB-Movies-Dataset</t>
        </is>
      </c>
      <c r="P136" t="inlineStr">
        <is>
          <t>Adam Sandler</t>
        </is>
      </c>
      <c r="Q136" t="inlineStr">
        <is>
          <t>Kevin James</t>
        </is>
      </c>
      <c r="R136" t="inlineStr">
        <is>
          <t>Chris Rock</t>
        </is>
      </c>
      <c r="S136" t="inlineStr">
        <is>
          <t>David Spade</t>
        </is>
      </c>
      <c r="T136" t="inlineStr">
        <is>
          <t>Salma Hayek Pinault</t>
        </is>
      </c>
      <c r="U136" s="71" t="n">
        <v>0</v>
      </c>
      <c r="V136" s="71" t="n">
        <v>0</v>
      </c>
      <c r="X136" s="82">
        <f>IFERROR(INDEX(Ratings!$E$5:$E$500,MATCH(A136,Ratings!$A$5:$A$500,0)),"")</f>
        <v/>
      </c>
      <c r="Y136" s="71">
        <f>IFERROR(INDEX(Ratings!$G$5:$G$500,MATCH(A136,Ratings!$A$5:$A$500,0)),"")</f>
        <v/>
      </c>
      <c r="Z136" s="83">
        <f>IFERROR(INDEX(Ratings!$I$5:$I$500,MATCH(A136,Ratings!$A$5:$A$500,0)),"")</f>
        <v/>
      </c>
    </row>
    <row r="137" ht="15.75" customHeight="1" s="95">
      <c r="A137" t="inlineStr">
        <is>
          <t>F0133</t>
        </is>
      </c>
      <c r="B137" t="inlineStr">
        <is>
          <t>Hacksaw Ridge</t>
        </is>
      </c>
      <c r="C137" s="63" t="inlineStr">
        <is>
          <t>2016</t>
        </is>
      </c>
      <c r="D137" t="inlineStr">
        <is>
          <t>Blu-ray</t>
        </is>
      </c>
      <c r="F137" s="64" t="n"/>
      <c r="I137" s="64" t="inlineStr">
        <is>
          <t>WWII American Army Medic Desmond T. Doss, who served during the Battle of Okinawa, refuses to kill people and becomes the first Conscientious Objector in American history to receive the Congressional Medal of Honor.</t>
        </is>
      </c>
      <c r="J137" s="64" t="inlineStr">
        <is>
          <t>Mel Gibson</t>
        </is>
      </c>
      <c r="K137" s="64" t="n">
        <v>139</v>
      </c>
      <c r="L137" s="64" t="inlineStr">
        <is>
          <t>Drama, History, War</t>
        </is>
      </c>
      <c r="M137" s="64" t="inlineStr">
        <is>
          <t>Vendian Entertainment, Summit Entertainment, Cross Creek Pictures</t>
        </is>
      </c>
      <c r="N137" s="64" t="inlineStr">
        <is>
          <t>https://huggingface.co/datasets/HenryWaltson/TMDB-IMDB-Movies-Dataset</t>
        </is>
      </c>
      <c r="O137" s="64" t="inlineStr">
        <is>
          <t>https://huggingface.co/datasets/HenryWaltson/TMDB-IMDB-Movies-Dataset</t>
        </is>
      </c>
      <c r="P137" t="inlineStr">
        <is>
          <t>Andrew Garfield</t>
        </is>
      </c>
      <c r="Q137" t="inlineStr">
        <is>
          <t>Sam Worthington</t>
        </is>
      </c>
      <c r="R137" t="inlineStr">
        <is>
          <t>Vince Vaughn</t>
        </is>
      </c>
      <c r="S137" t="inlineStr">
        <is>
          <t>Teresa Palmer</t>
        </is>
      </c>
      <c r="T137" t="inlineStr">
        <is>
          <t>Luke Bracey</t>
        </is>
      </c>
      <c r="U137" s="71" t="n">
        <v>6</v>
      </c>
      <c r="V137" s="71" t="n">
        <v>2</v>
      </c>
      <c r="W137" t="inlineStr">
        <is>
          <t>Nominated</t>
        </is>
      </c>
      <c r="X137" s="82">
        <f>IFERROR(INDEX(Ratings!$E$5:$E$500,MATCH(A137,Ratings!$A$5:$A$500,0)),"")</f>
        <v/>
      </c>
      <c r="Y137" s="71">
        <f>IFERROR(INDEX(Ratings!$G$5:$G$500,MATCH(A137,Ratings!$A$5:$A$500,0)),"")</f>
        <v/>
      </c>
      <c r="Z137" s="83">
        <f>IFERROR(INDEX(Ratings!$I$5:$I$500,MATCH(A137,Ratings!$A$5:$A$500,0)),"")</f>
        <v/>
      </c>
    </row>
    <row r="138" ht="15.75" customHeight="1" s="95">
      <c r="A138" t="inlineStr">
        <is>
          <t>F0134</t>
        </is>
      </c>
      <c r="B138" t="inlineStr">
        <is>
          <t>The Hangover</t>
        </is>
      </c>
      <c r="C138" s="63" t="inlineStr">
        <is>
          <t>2009</t>
        </is>
      </c>
      <c r="D138" t="inlineStr">
        <is>
          <t>Blu-ray</t>
        </is>
      </c>
      <c r="E138" t="inlineStr">
        <is>
          <t>Hangover</t>
        </is>
      </c>
      <c r="F138" s="64" t="n"/>
      <c r="I138" s="64" t="inlineStr">
        <is>
          <t>When three friends finally come to after a raucous night of bachelor-party revelry, they find a baby in the closet and a tiger in the bathroom. But they can't seem to locate their best friend, Doug – who's supposed to be tying the knot. Launching a frantic search for Doug, the trio perseveres through a nasty hangover to try to make it to the church on time.</t>
        </is>
      </c>
      <c r="J138" s="64" t="inlineStr">
        <is>
          <t>Todd Phillips</t>
        </is>
      </c>
      <c r="K138" s="64" t="n">
        <v>100</v>
      </c>
      <c r="L138" s="64" t="inlineStr">
        <is>
          <t>Comedy</t>
        </is>
      </c>
      <c r="M138" s="64" t="inlineStr">
        <is>
          <t>Legendary Pictures, Green Hat Films, Warner Bros. Pictures</t>
        </is>
      </c>
      <c r="N138" s="64" t="inlineStr">
        <is>
          <t>https://huggingface.co/datasets/HenryWaltson/TMDB-IMDB-Movies-Dataset</t>
        </is>
      </c>
      <c r="O138" s="64" t="inlineStr">
        <is>
          <t>https://huggingface.co/datasets/HenryWaltson/TMDB-IMDB-Movies-Dataset</t>
        </is>
      </c>
      <c r="P138" t="inlineStr">
        <is>
          <t>Bradley Cooper</t>
        </is>
      </c>
      <c r="Q138" t="inlineStr">
        <is>
          <t>Ed Helms</t>
        </is>
      </c>
      <c r="R138" t="inlineStr">
        <is>
          <t>Zach Galifianakis</t>
        </is>
      </c>
      <c r="S138" t="inlineStr">
        <is>
          <t>Justin Bartha</t>
        </is>
      </c>
      <c r="T138" t="inlineStr">
        <is>
          <t>Heather Graham</t>
        </is>
      </c>
      <c r="U138" s="71" t="n">
        <v>0</v>
      </c>
      <c r="V138" s="71" t="n">
        <v>0</v>
      </c>
      <c r="X138" s="82">
        <f>IFERROR(INDEX(Ratings!$E$5:$E$500,MATCH(A138,Ratings!$A$5:$A$500,0)),"")</f>
        <v/>
      </c>
      <c r="Y138" s="71">
        <f>IFERROR(INDEX(Ratings!$G$5:$G$500,MATCH(A138,Ratings!$A$5:$A$500,0)),"")</f>
        <v/>
      </c>
      <c r="Z138" s="83">
        <f>IFERROR(INDEX(Ratings!$I$5:$I$500,MATCH(A138,Ratings!$A$5:$A$500,0)),"")</f>
        <v/>
      </c>
    </row>
    <row r="139" ht="15.75" customHeight="1" s="95">
      <c r="A139" t="inlineStr">
        <is>
          <t>F0135</t>
        </is>
      </c>
      <c r="B139" t="inlineStr">
        <is>
          <t>The Hangover Part II</t>
        </is>
      </c>
      <c r="C139" s="63" t="inlineStr">
        <is>
          <t>2011</t>
        </is>
      </c>
      <c r="D139" t="inlineStr">
        <is>
          <t>Blu-ray</t>
        </is>
      </c>
      <c r="E139" t="inlineStr">
        <is>
          <t>Hangover</t>
        </is>
      </c>
      <c r="F139" s="64" t="n"/>
      <c r="I139" s="64" t="inlineStr">
        <is>
          <t>The Hangover crew heads to Thailand for Stu's wedding. After the disaster of a bachelor party in Las Vegas last year, Stu is playing it safe with a mellow pre-wedding brunch. However, nothing goes as planned and Bangkok is the perfect setting for another adventure with the rowdy group.</t>
        </is>
      </c>
      <c r="J139" s="64" t="inlineStr">
        <is>
          <t>Todd Phillips</t>
        </is>
      </c>
      <c r="K139" s="64" t="n">
        <v>102</v>
      </c>
      <c r="L139" s="64" t="inlineStr">
        <is>
          <t>Comedy</t>
        </is>
      </c>
      <c r="M139" s="64" t="inlineStr">
        <is>
          <t>Legendary Pictures, Green Hat Films, Warner Bros. Pictures</t>
        </is>
      </c>
      <c r="N139" s="64" t="inlineStr">
        <is>
          <t>https://huggingface.co/datasets/HenryWaltson/TMDB-IMDB-Movies-Dataset</t>
        </is>
      </c>
      <c r="O139" s="64" t="inlineStr">
        <is>
          <t>https://huggingface.co/datasets/HenryWaltson/TMDB-IMDB-Movies-Dataset</t>
        </is>
      </c>
      <c r="P139" t="inlineStr">
        <is>
          <t>Bradley Cooper</t>
        </is>
      </c>
      <c r="Q139" t="inlineStr">
        <is>
          <t>Ed Helms</t>
        </is>
      </c>
      <c r="R139" t="inlineStr">
        <is>
          <t>Zach Galifianakis</t>
        </is>
      </c>
      <c r="S139" t="inlineStr">
        <is>
          <t>Justin Bartha</t>
        </is>
      </c>
      <c r="T139" t="inlineStr">
        <is>
          <t>Ken Jeong</t>
        </is>
      </c>
      <c r="U139" s="71" t="n">
        <v>0</v>
      </c>
      <c r="V139" s="71" t="n">
        <v>0</v>
      </c>
      <c r="X139" s="82">
        <f>IFERROR(INDEX(Ratings!$E$5:$E$500,MATCH(A139,Ratings!$A$5:$A$500,0)),"")</f>
        <v/>
      </c>
      <c r="Y139" s="71">
        <f>IFERROR(INDEX(Ratings!$G$5:$G$500,MATCH(A139,Ratings!$A$5:$A$500,0)),"")</f>
        <v/>
      </c>
      <c r="Z139" s="83">
        <f>IFERROR(INDEX(Ratings!$I$5:$I$500,MATCH(A139,Ratings!$A$5:$A$500,0)),"")</f>
        <v/>
      </c>
    </row>
    <row r="140" ht="15.75" customHeight="1" s="95">
      <c r="A140" t="inlineStr">
        <is>
          <t>F0136</t>
        </is>
      </c>
      <c r="B140" t="inlineStr">
        <is>
          <t>The Hangover Part III</t>
        </is>
      </c>
      <c r="C140" s="63" t="inlineStr">
        <is>
          <t>2013</t>
        </is>
      </c>
      <c r="D140" t="inlineStr">
        <is>
          <t>Blu-ray</t>
        </is>
      </c>
      <c r="E140" t="inlineStr">
        <is>
          <t>Hangover</t>
        </is>
      </c>
      <c r="F140" s="64" t="n"/>
      <c r="I140" s="64" t="inlineStr">
        <is>
          <t>This time, there's no wedding. No bachelor party. What could go wrong, right? But when the Wolfpack hits the road, all bets are off.</t>
        </is>
      </c>
      <c r="J140" s="64" t="inlineStr">
        <is>
          <t>Todd Phillips</t>
        </is>
      </c>
      <c r="K140" s="64" t="n">
        <v>100</v>
      </c>
      <c r="L140" s="64" t="inlineStr">
        <is>
          <t>Comedy</t>
        </is>
      </c>
      <c r="M140" s="64" t="inlineStr">
        <is>
          <t>Green Hat Films, Legendary Pictures, BenderSpink</t>
        </is>
      </c>
      <c r="N140" s="64" t="inlineStr">
        <is>
          <t>https://huggingface.co/datasets/HenryWaltson/TMDB-IMDB-Movies-Dataset</t>
        </is>
      </c>
      <c r="O140" s="64" t="inlineStr">
        <is>
          <t>https://huggingface.co/datasets/HenryWaltson/TMDB-IMDB-Movies-Dataset</t>
        </is>
      </c>
      <c r="P140" t="inlineStr">
        <is>
          <t>Bradley Cooper</t>
        </is>
      </c>
      <c r="Q140" t="inlineStr">
        <is>
          <t>Ed Helms</t>
        </is>
      </c>
      <c r="R140" t="inlineStr">
        <is>
          <t>Zach Galifianakis</t>
        </is>
      </c>
      <c r="S140" t="inlineStr">
        <is>
          <t>Justin Bartha</t>
        </is>
      </c>
      <c r="T140" t="inlineStr">
        <is>
          <t>Ken Jeong</t>
        </is>
      </c>
      <c r="U140" s="71" t="n">
        <v>0</v>
      </c>
      <c r="V140" s="71" t="n">
        <v>0</v>
      </c>
      <c r="X140" s="82">
        <f>IFERROR(INDEX(Ratings!$E$5:$E$500,MATCH(A140,Ratings!$A$5:$A$500,0)),"")</f>
        <v/>
      </c>
      <c r="Y140" s="71">
        <f>IFERROR(INDEX(Ratings!$G$5:$G$500,MATCH(A140,Ratings!$A$5:$A$500,0)),"")</f>
        <v/>
      </c>
      <c r="Z140" s="83">
        <f>IFERROR(INDEX(Ratings!$I$5:$I$500,MATCH(A140,Ratings!$A$5:$A$500,0)),"")</f>
        <v/>
      </c>
    </row>
    <row r="141" ht="15.75" customHeight="1" s="95">
      <c r="A141" t="inlineStr">
        <is>
          <t>F0137</t>
        </is>
      </c>
      <c r="B141" t="inlineStr">
        <is>
          <t>Harry Potter and the Philosopher's Stone</t>
        </is>
      </c>
      <c r="C141" s="63" t="inlineStr">
        <is>
          <t>2001</t>
        </is>
      </c>
      <c r="D141" t="inlineStr">
        <is>
          <t>Blu-ray</t>
        </is>
      </c>
      <c r="E141" t="inlineStr">
        <is>
          <t>Harry Potter</t>
        </is>
      </c>
      <c r="F141" s="64" t="n"/>
      <c r="I141" s="64" t="inlineStr">
        <is>
          <t>Harry Potter has lived under the stairs at his aunt and uncle's house his whole life. But on his 11th birthday, he learns he's a powerful wizard—with a place waiting for him at the Hogwarts School of Witchcraft and Wizardry. As he learns to harness his newfound powers with the help of the school's kindly headmaster, Harry uncovers the truth about his parents' deaths—and about the villain who's to blame.</t>
        </is>
      </c>
      <c r="J141" s="64" t="inlineStr">
        <is>
          <t>Chris Columbus</t>
        </is>
      </c>
      <c r="K141" s="64" t="n">
        <v>152</v>
      </c>
      <c r="L141" s="64" t="inlineStr">
        <is>
          <t>Adventure, Fantasy</t>
        </is>
      </c>
      <c r="M141" s="64" t="inlineStr">
        <is>
          <t>Warner Bros. Pictures, Heyday Films, 1492 Pictures</t>
        </is>
      </c>
      <c r="N141" s="64" t="inlineStr">
        <is>
          <t>https://huggingface.co/datasets/HenryWaltson/TMDB-IMDB-Movies-Dataset</t>
        </is>
      </c>
      <c r="O141" s="64" t="inlineStr">
        <is>
          <t>https://huggingface.co/datasets/HenryWaltson/TMDB-IMDB-Movies-Dataset</t>
        </is>
      </c>
      <c r="P141" t="inlineStr">
        <is>
          <t>Daniel Radcliffe</t>
        </is>
      </c>
      <c r="Q141" t="inlineStr">
        <is>
          <t>Rupert Grint</t>
        </is>
      </c>
      <c r="R141" t="inlineStr">
        <is>
          <t>Emma Watson</t>
        </is>
      </c>
      <c r="S141" t="inlineStr">
        <is>
          <t>Richard Harris</t>
        </is>
      </c>
      <c r="T141" t="inlineStr">
        <is>
          <t>Tom Felton</t>
        </is>
      </c>
      <c r="U141" s="71" t="n">
        <v>0</v>
      </c>
      <c r="V141" s="71" t="n">
        <v>0</v>
      </c>
      <c r="X141" s="82">
        <f>IFERROR(INDEX(Ratings!$E$5:$E$500,MATCH(A141,Ratings!$A$5:$A$500,0)),"")</f>
        <v/>
      </c>
      <c r="Y141" s="71">
        <f>IFERROR(INDEX(Ratings!$G$5:$G$500,MATCH(A141,Ratings!$A$5:$A$500,0)),"")</f>
        <v/>
      </c>
      <c r="Z141" s="83">
        <f>IFERROR(INDEX(Ratings!$I$5:$I$500,MATCH(A141,Ratings!$A$5:$A$500,0)),"")</f>
        <v/>
      </c>
    </row>
    <row r="142" ht="15.75" customHeight="1" s="95">
      <c r="A142" t="inlineStr">
        <is>
          <t>F0138</t>
        </is>
      </c>
      <c r="B142" t="inlineStr">
        <is>
          <t>Harry Potter and the Chamber of Secrets</t>
        </is>
      </c>
      <c r="C142" s="63" t="inlineStr">
        <is>
          <t>2002</t>
        </is>
      </c>
      <c r="D142" t="inlineStr">
        <is>
          <t>Blu-ray</t>
        </is>
      </c>
      <c r="E142" t="inlineStr">
        <is>
          <t>Harry Potter</t>
        </is>
      </c>
      <c r="F142" s="64" t="n"/>
      <c r="I142" s="64" t="inlineStr">
        <is>
          <t>Cars fly, trees fight back, and a mysterious house-elf comes to warn Harry Potter at the start of his second year at Hogwarts. Adventure and danger await when bloody writing on a wall announces: The Chamber Of Secrets Has Been Opened. To save Hogwarts will require all of Harry, Ron and Hermione's magical abilities and courage.</t>
        </is>
      </c>
      <c r="J142" s="64" t="inlineStr">
        <is>
          <t>Chris Columbus</t>
        </is>
      </c>
      <c r="K142" s="64" t="n">
        <v>161</v>
      </c>
      <c r="L142" s="64" t="inlineStr">
        <is>
          <t>Adventure, Fantasy</t>
        </is>
      </c>
      <c r="M142" s="64" t="inlineStr">
        <is>
          <t>Warner Bros. Pictures, Heyday Films, 1492 Pictures</t>
        </is>
      </c>
      <c r="N142" s="64" t="inlineStr">
        <is>
          <t>https://huggingface.co/datasets/HenryWaltson/TMDB-IMDB-Movies-Dataset</t>
        </is>
      </c>
      <c r="O142" s="64" t="inlineStr">
        <is>
          <t>https://huggingface.co/datasets/HenryWaltson/TMDB-IMDB-Movies-Dataset</t>
        </is>
      </c>
      <c r="P142" t="inlineStr">
        <is>
          <t>Daniel Radcliffe</t>
        </is>
      </c>
      <c r="Q142" t="inlineStr">
        <is>
          <t>Rupert Grint</t>
        </is>
      </c>
      <c r="R142" t="inlineStr">
        <is>
          <t>Emma Watson</t>
        </is>
      </c>
      <c r="S142" t="inlineStr">
        <is>
          <t>Kenneth Branagh</t>
        </is>
      </c>
      <c r="T142" t="inlineStr">
        <is>
          <t>Toby Jones</t>
        </is>
      </c>
      <c r="U142" s="71" t="n">
        <v>0</v>
      </c>
      <c r="V142" s="71" t="n">
        <v>0</v>
      </c>
      <c r="X142" s="82">
        <f>IFERROR(INDEX(Ratings!$E$5:$E$500,MATCH(A142,Ratings!$A$5:$A$500,0)),"")</f>
        <v/>
      </c>
      <c r="Y142" s="71">
        <f>IFERROR(INDEX(Ratings!$G$5:$G$500,MATCH(A142,Ratings!$A$5:$A$500,0)),"")</f>
        <v/>
      </c>
      <c r="Z142" s="83">
        <f>IFERROR(INDEX(Ratings!$I$5:$I$500,MATCH(A142,Ratings!$A$5:$A$500,0)),"")</f>
        <v/>
      </c>
    </row>
    <row r="143" ht="15.75" customHeight="1" s="95">
      <c r="A143" t="inlineStr">
        <is>
          <t>F0139</t>
        </is>
      </c>
      <c r="B143" t="inlineStr">
        <is>
          <t>Harry Potter and the Prisoner of Azkaban</t>
        </is>
      </c>
      <c r="C143" s="63" t="inlineStr">
        <is>
          <t>2004</t>
        </is>
      </c>
      <c r="D143" t="inlineStr">
        <is>
          <t>Blu-ray</t>
        </is>
      </c>
      <c r="E143" t="inlineStr">
        <is>
          <t>Harry Potter</t>
        </is>
      </c>
      <c r="F143" s="64" t="n"/>
      <c r="I143" s="64" t="inlineStr">
        <is>
          <t>Harry Potter's life is in danger once more as dangerous wizard Sirius Black has escaped from Azkaban Prison and is heading to Hogwarts.</t>
        </is>
      </c>
      <c r="J143" s="64" t="inlineStr">
        <is>
          <t>Alfonso Cuarón</t>
        </is>
      </c>
      <c r="K143" s="64" t="n">
        <v>141</v>
      </c>
      <c r="L143" s="64" t="inlineStr">
        <is>
          <t>Adventure, Fantasy</t>
        </is>
      </c>
      <c r="M143" s="64" t="inlineStr">
        <is>
          <t>Warner Bros. Pictures, 1492 Pictures, Heyday Films</t>
        </is>
      </c>
      <c r="N143" s="64" t="inlineStr">
        <is>
          <t>https://huggingface.co/datasets/HenryWaltson/TMDB-IMDB-Movies-Dataset</t>
        </is>
      </c>
      <c r="O143" s="64" t="inlineStr">
        <is>
          <t>https://huggingface.co/datasets/HenryWaltson/TMDB-IMDB-Movies-Dataset</t>
        </is>
      </c>
      <c r="P143" t="inlineStr">
        <is>
          <t>Daniel Radcliffe</t>
        </is>
      </c>
      <c r="Q143" t="inlineStr">
        <is>
          <t>Rupert Grint</t>
        </is>
      </c>
      <c r="R143" t="inlineStr">
        <is>
          <t>Emma Watson</t>
        </is>
      </c>
      <c r="S143" t="inlineStr">
        <is>
          <t>Robbie Coltrane</t>
        </is>
      </c>
      <c r="T143" t="inlineStr">
        <is>
          <t>Michael Gambon</t>
        </is>
      </c>
      <c r="U143" s="71" t="n">
        <v>2</v>
      </c>
      <c r="V143" s="71" t="n">
        <v>0</v>
      </c>
      <c r="X143" s="82">
        <f>IFERROR(INDEX(Ratings!$E$5:$E$500,MATCH(A143,Ratings!$A$5:$A$500,0)),"")</f>
        <v/>
      </c>
      <c r="Y143" s="71">
        <f>IFERROR(INDEX(Ratings!$G$5:$G$500,MATCH(A143,Ratings!$A$5:$A$500,0)),"")</f>
        <v/>
      </c>
      <c r="Z143" s="83">
        <f>IFERROR(INDEX(Ratings!$I$5:$I$500,MATCH(A143,Ratings!$A$5:$A$500,0)),"")</f>
        <v/>
      </c>
    </row>
    <row r="144" ht="15.75" customHeight="1" s="95">
      <c r="A144" t="inlineStr">
        <is>
          <t>F0140</t>
        </is>
      </c>
      <c r="B144" t="inlineStr">
        <is>
          <t>Harry Potter and the Goblet of Fire</t>
        </is>
      </c>
      <c r="C144" s="63" t="inlineStr">
        <is>
          <t>2005</t>
        </is>
      </c>
      <c r="D144" t="inlineStr">
        <is>
          <t>Blu-ray</t>
        </is>
      </c>
      <c r="E144" t="inlineStr">
        <is>
          <t>Harry Potter</t>
        </is>
      </c>
      <c r="F144" s="64" t="n"/>
      <c r="I144" s="64" t="inlineStr">
        <is>
          <t>When his name emerges from the Goblet of Fire, Harry Potter becomes a competitor in a grueling battle for glory among three wizarding schools. Signs of Voldemort's return emerge as Harry's friends help him prepare for the Triwizard Tournament.</t>
        </is>
      </c>
      <c r="J144" s="64" t="inlineStr">
        <is>
          <t>Mike Newell</t>
        </is>
      </c>
      <c r="K144" s="64" t="n">
        <v>157</v>
      </c>
      <c r="L144" s="64" t="inlineStr">
        <is>
          <t>Adventure, Fantasy</t>
        </is>
      </c>
      <c r="M144" s="64" t="inlineStr">
        <is>
          <t>Warner Bros. Pictures, Heyday Films, Patalex IV Productions Limited</t>
        </is>
      </c>
      <c r="N144" s="64" t="inlineStr">
        <is>
          <t>https://huggingface.co/datasets/HenryWaltson/TMDB-IMDB-Movies-Dataset</t>
        </is>
      </c>
      <c r="O144" s="64" t="inlineStr">
        <is>
          <t>https://huggingface.co/datasets/HenryWaltson/TMDB-IMDB-Movies-Dataset</t>
        </is>
      </c>
      <c r="P144" t="inlineStr">
        <is>
          <t>Daniel Radcliffe</t>
        </is>
      </c>
      <c r="Q144" t="inlineStr">
        <is>
          <t>Rupert Grint</t>
        </is>
      </c>
      <c r="R144" t="inlineStr">
        <is>
          <t>Emma Watson</t>
        </is>
      </c>
      <c r="S144" t="inlineStr">
        <is>
          <t>Brendan Gleeson</t>
        </is>
      </c>
      <c r="T144" t="inlineStr">
        <is>
          <t>Michael Gambon</t>
        </is>
      </c>
      <c r="U144" s="71" t="n">
        <v>1</v>
      </c>
      <c r="V144" s="71" t="n">
        <v>0</v>
      </c>
      <c r="X144" s="82">
        <f>IFERROR(INDEX(Ratings!$E$5:$E$500,MATCH(A144,Ratings!$A$5:$A$500,0)),"")</f>
        <v/>
      </c>
      <c r="Y144" s="71">
        <f>IFERROR(INDEX(Ratings!$G$5:$G$500,MATCH(A144,Ratings!$A$5:$A$500,0)),"")</f>
        <v/>
      </c>
      <c r="Z144" s="83">
        <f>IFERROR(INDEX(Ratings!$I$5:$I$500,MATCH(A144,Ratings!$A$5:$A$500,0)),"")</f>
        <v/>
      </c>
    </row>
    <row r="145" ht="15.75" customHeight="1" s="95">
      <c r="A145" t="inlineStr">
        <is>
          <t>F0141</t>
        </is>
      </c>
      <c r="B145" t="inlineStr">
        <is>
          <t>Harry Potter and the Order of the Phoenix</t>
        </is>
      </c>
      <c r="C145" s="63" t="inlineStr">
        <is>
          <t>2007</t>
        </is>
      </c>
      <c r="D145" t="inlineStr">
        <is>
          <t>Blu-ray</t>
        </is>
      </c>
      <c r="E145" t="inlineStr">
        <is>
          <t>Harry Potter</t>
        </is>
      </c>
      <c r="F145" s="64" t="n"/>
      <c r="I145" s="64" t="inlineStr">
        <is>
          <t>When a new professor's methods leave Hogwarts unprepared to fight the rising tide of evil, Harry teaches students how to defend against the dark arts.</t>
        </is>
      </c>
      <c r="J145" s="64" t="inlineStr">
        <is>
          <t>David Yates</t>
        </is>
      </c>
      <c r="K145" s="64" t="n">
        <v>138</v>
      </c>
      <c r="L145" s="64" t="inlineStr">
        <is>
          <t>Adventure, Fantasy</t>
        </is>
      </c>
      <c r="M145" s="64" t="inlineStr">
        <is>
          <t>Warner Bros. Pictures, Heyday Films</t>
        </is>
      </c>
      <c r="N145" s="64" t="inlineStr">
        <is>
          <t>https://huggingface.co/datasets/HenryWaltson/TMDB-IMDB-Movies-Dataset</t>
        </is>
      </c>
      <c r="O145" s="64" t="inlineStr">
        <is>
          <t>https://huggingface.co/datasets/HenryWaltson/TMDB-IMDB-Movies-Dataset</t>
        </is>
      </c>
      <c r="P145" t="inlineStr">
        <is>
          <t>Daniel Radcliffe</t>
        </is>
      </c>
      <c r="Q145" t="inlineStr">
        <is>
          <t>Rupert Grint</t>
        </is>
      </c>
      <c r="R145" t="inlineStr">
        <is>
          <t>Emma Watson</t>
        </is>
      </c>
      <c r="S145" t="inlineStr">
        <is>
          <t>Imelda Staunton</t>
        </is>
      </c>
      <c r="T145" t="inlineStr">
        <is>
          <t>Helena Bonham Carter</t>
        </is>
      </c>
      <c r="U145" s="71" t="n">
        <v>0</v>
      </c>
      <c r="V145" s="71" t="n">
        <v>0</v>
      </c>
      <c r="X145" s="82">
        <f>IFERROR(INDEX(Ratings!$E$5:$E$500,MATCH(A145,Ratings!$A$5:$A$500,0)),"")</f>
        <v/>
      </c>
      <c r="Y145" s="71">
        <f>IFERROR(INDEX(Ratings!$G$5:$G$500,MATCH(A145,Ratings!$A$5:$A$500,0)),"")</f>
        <v/>
      </c>
      <c r="Z145" s="83">
        <f>IFERROR(INDEX(Ratings!$I$5:$I$500,MATCH(A145,Ratings!$A$5:$A$500,0)),"")</f>
        <v/>
      </c>
    </row>
    <row r="146" ht="15.75" customHeight="1" s="95">
      <c r="A146" t="inlineStr">
        <is>
          <t>F0142</t>
        </is>
      </c>
      <c r="B146" t="inlineStr">
        <is>
          <t>Harry Potter and the Half-Blood Prince</t>
        </is>
      </c>
      <c r="C146" s="63" t="inlineStr">
        <is>
          <t>2009</t>
        </is>
      </c>
      <c r="D146" t="inlineStr">
        <is>
          <t>Blu-ray</t>
        </is>
      </c>
      <c r="E146" t="inlineStr">
        <is>
          <t>Harry Potter</t>
        </is>
      </c>
      <c r="F146" s="64" t="n"/>
      <c r="I146" s="64" t="inlineStr">
        <is>
          <t>Dumbledore tries to prepare Harry for the final battle with Voldemort while Death Eaters wreak havoc in both Muggle and Wizard worlds.</t>
        </is>
      </c>
      <c r="J146" s="64" t="inlineStr">
        <is>
          <t>David Yates</t>
        </is>
      </c>
      <c r="K146" s="64" t="n">
        <v>153</v>
      </c>
      <c r="L146" s="64" t="inlineStr">
        <is>
          <t>Adventure, Fantasy</t>
        </is>
      </c>
      <c r="M146" s="64" t="inlineStr">
        <is>
          <t>Warner Bros. Pictures, Heyday Films</t>
        </is>
      </c>
      <c r="N146" s="64" t="inlineStr">
        <is>
          <t>https://huggingface.co/datasets/HenryWaltson/TMDB-IMDB-Movies-Dataset</t>
        </is>
      </c>
      <c r="O146" s="64" t="inlineStr">
        <is>
          <t>https://huggingface.co/datasets/HenryWaltson/TMDB-IMDB-Movies-Dataset</t>
        </is>
      </c>
      <c r="P146" t="inlineStr">
        <is>
          <t>Daniel Radcliffe</t>
        </is>
      </c>
      <c r="Q146" t="inlineStr">
        <is>
          <t>Rupert Grint</t>
        </is>
      </c>
      <c r="R146" t="inlineStr">
        <is>
          <t>Emma Watson</t>
        </is>
      </c>
      <c r="S146" t="inlineStr">
        <is>
          <t>Jim Broadbent</t>
        </is>
      </c>
      <c r="T146" t="inlineStr">
        <is>
          <t>Michael Gambon</t>
        </is>
      </c>
      <c r="U146" s="71" t="n">
        <v>1</v>
      </c>
      <c r="V146" s="71" t="n">
        <v>0</v>
      </c>
      <c r="X146" s="82">
        <f>IFERROR(INDEX(Ratings!$E$5:$E$500,MATCH(A146,Ratings!$A$5:$A$500,0)),"")</f>
        <v/>
      </c>
      <c r="Y146" s="71">
        <f>IFERROR(INDEX(Ratings!$G$5:$G$500,MATCH(A146,Ratings!$A$5:$A$500,0)),"")</f>
        <v/>
      </c>
      <c r="Z146" s="83">
        <f>IFERROR(INDEX(Ratings!$I$5:$I$500,MATCH(A146,Ratings!$A$5:$A$500,0)),"")</f>
        <v/>
      </c>
    </row>
    <row r="147" ht="15.75" customHeight="1" s="95">
      <c r="A147" t="inlineStr">
        <is>
          <t>F0143</t>
        </is>
      </c>
      <c r="B147" t="inlineStr">
        <is>
          <t>Harry Potter and the Deathly Hallows: Part 1</t>
        </is>
      </c>
      <c r="C147" s="63" t="inlineStr">
        <is>
          <t>2010</t>
        </is>
      </c>
      <c r="D147" t="inlineStr">
        <is>
          <t>Blu-ray</t>
        </is>
      </c>
      <c r="E147" t="inlineStr">
        <is>
          <t>Harry Potter</t>
        </is>
      </c>
      <c r="F147" s="64" t="n"/>
      <c r="I147" s="64" t="inlineStr">
        <is>
          <t>Harry, Ron and Hermione walk away from their last year at Hogwarts to find and destroy the remaining Horcruxes, putting an end to Voldemort's bid for immortality. But with Harry's beloved Dumbledore dead and Voldemort's unscrupulous Death Eaters on the loose, the world is more dangerous than ever.</t>
        </is>
      </c>
      <c r="J147" s="64" t="inlineStr">
        <is>
          <t>David Yates</t>
        </is>
      </c>
      <c r="K147" s="64" t="n">
        <v>146</v>
      </c>
      <c r="L147" s="64" t="inlineStr">
        <is>
          <t>Adventure, Fantasy</t>
        </is>
      </c>
      <c r="M147" s="64" t="inlineStr">
        <is>
          <t>Warner Bros. Pictures, Heyday Films</t>
        </is>
      </c>
      <c r="N147" s="64" t="inlineStr">
        <is>
          <t>https://huggingface.co/datasets/HenryWaltson/TMDB-IMDB-Movies-Dataset</t>
        </is>
      </c>
      <c r="O147" s="64" t="inlineStr">
        <is>
          <t>https://huggingface.co/datasets/HenryWaltson/TMDB-IMDB-Movies-Dataset</t>
        </is>
      </c>
      <c r="P147" t="inlineStr">
        <is>
          <t>Daniel Radcliffe</t>
        </is>
      </c>
      <c r="Q147" t="inlineStr">
        <is>
          <t>Emma Watson</t>
        </is>
      </c>
      <c r="R147" t="inlineStr">
        <is>
          <t>Rupert Grint</t>
        </is>
      </c>
      <c r="S147" t="inlineStr">
        <is>
          <t>Toby Jones</t>
        </is>
      </c>
      <c r="T147" t="inlineStr">
        <is>
          <t>Helena Bonham Carter</t>
        </is>
      </c>
      <c r="U147" s="71" t="n">
        <v>2</v>
      </c>
      <c r="V147" s="71" t="n">
        <v>0</v>
      </c>
      <c r="X147" s="82">
        <f>IFERROR(INDEX(Ratings!$E$5:$E$500,MATCH(A147,Ratings!$A$5:$A$500,0)),"")</f>
        <v/>
      </c>
      <c r="Y147" s="71">
        <f>IFERROR(INDEX(Ratings!$G$5:$G$500,MATCH(A147,Ratings!$A$5:$A$500,0)),"")</f>
        <v/>
      </c>
      <c r="Z147" s="83">
        <f>IFERROR(INDEX(Ratings!$I$5:$I$500,MATCH(A147,Ratings!$A$5:$A$500,0)),"")</f>
        <v/>
      </c>
    </row>
    <row r="148" ht="15.75" customHeight="1" s="95">
      <c r="A148" t="inlineStr">
        <is>
          <t>F0144</t>
        </is>
      </c>
      <c r="B148" t="inlineStr">
        <is>
          <t>Harry Potter and the Deathly Hallows: Part 2</t>
        </is>
      </c>
      <c r="C148" s="63" t="inlineStr">
        <is>
          <t>2011</t>
        </is>
      </c>
      <c r="D148" t="inlineStr">
        <is>
          <t>Blu-ray</t>
        </is>
      </c>
      <c r="E148" t="inlineStr">
        <is>
          <t>Harry Potter</t>
        </is>
      </c>
      <c r="F148" s="64" t="n"/>
      <c r="I148" s="64" t="inlineStr">
        <is>
          <t>Harry, Ron and Hermione continue their quest to vanquish the evil Voldemort once and for all. Just as things begin to look hopeless for the young wizards, Harry discovers a trio of magical objects that endow him with powers to rival Voldemort's formidable skills.</t>
        </is>
      </c>
      <c r="J148" s="64" t="inlineStr">
        <is>
          <t>David Yates</t>
        </is>
      </c>
      <c r="K148" s="64" t="n">
        <v>130</v>
      </c>
      <c r="L148" s="64" t="inlineStr">
        <is>
          <t>Fantasy, Adventure</t>
        </is>
      </c>
      <c r="M148" s="64" t="inlineStr">
        <is>
          <t>Warner Bros. Pictures, Heyday Films</t>
        </is>
      </c>
      <c r="N148" s="64" t="inlineStr">
        <is>
          <t>https://huggingface.co/datasets/HenryWaltson/TMDB-IMDB-Movies-Dataset</t>
        </is>
      </c>
      <c r="O148" s="64" t="inlineStr">
        <is>
          <t>https://huggingface.co/datasets/HenryWaltson/TMDB-IMDB-Movies-Dataset</t>
        </is>
      </c>
      <c r="P148" t="inlineStr">
        <is>
          <t>Daniel Radcliffe</t>
        </is>
      </c>
      <c r="Q148" t="inlineStr">
        <is>
          <t>Emma Watson</t>
        </is>
      </c>
      <c r="R148" t="inlineStr">
        <is>
          <t>Rupert Grint</t>
        </is>
      </c>
      <c r="S148" t="inlineStr">
        <is>
          <t>Ralph Fiennes</t>
        </is>
      </c>
      <c r="T148" t="inlineStr">
        <is>
          <t>Alan Rickman</t>
        </is>
      </c>
      <c r="U148" s="71" t="n">
        <v>3</v>
      </c>
      <c r="V148" s="71" t="n">
        <v>0</v>
      </c>
      <c r="X148" s="82">
        <f>IFERROR(INDEX(Ratings!$E$5:$E$500,MATCH(A148,Ratings!$A$5:$A$500,0)),"")</f>
        <v/>
      </c>
      <c r="Y148" s="71">
        <f>IFERROR(INDEX(Ratings!$G$5:$G$500,MATCH(A148,Ratings!$A$5:$A$500,0)),"")</f>
        <v/>
      </c>
      <c r="Z148" s="83">
        <f>IFERROR(INDEX(Ratings!$I$5:$I$500,MATCH(A148,Ratings!$A$5:$A$500,0)),"")</f>
        <v/>
      </c>
    </row>
    <row r="149" ht="15.75" customHeight="1" s="95">
      <c r="A149" t="inlineStr">
        <is>
          <t>F0145</t>
        </is>
      </c>
      <c r="B149" t="inlineStr">
        <is>
          <t>Happy Feet Two</t>
        </is>
      </c>
      <c r="C149" s="63" t="inlineStr">
        <is>
          <t>2011</t>
        </is>
      </c>
      <c r="D149" t="inlineStr">
        <is>
          <t>Blu-ray</t>
        </is>
      </c>
      <c r="E149" t="inlineStr">
        <is>
          <t>Happy Feet</t>
        </is>
      </c>
      <c r="F149" s="64" t="n"/>
      <c r="I149" s="64" t="inlineStr">
        <is>
          <t>Mumble the penguin has a problem: his son Erik, who is reluctant to dance, encounters the Mighty Sven — a penguin who can fly! Things get worse for Mumble when the world is shaken by powerful forces, causing him to bring together the penguin nations and their allies to set things right.</t>
        </is>
      </c>
      <c r="J149" s="64" t="inlineStr">
        <is>
          <t>George Miller, Gary Eck, David Peers</t>
        </is>
      </c>
      <c r="K149" s="64" t="n">
        <v>100</v>
      </c>
      <c r="L149" s="64" t="inlineStr">
        <is>
          <t>Animation, Comedy, Family</t>
        </is>
      </c>
      <c r="M149" s="64" t="inlineStr">
        <is>
          <t>Dr D Studios, Village Roadshow Entertainment, Kennedy Miller Productions</t>
        </is>
      </c>
      <c r="N149" s="64" t="inlineStr">
        <is>
          <t>https://huggingface.co/datasets/HenryWaltson/TMDB-IMDB-Movies-Dataset</t>
        </is>
      </c>
      <c r="O149" s="64" t="inlineStr">
        <is>
          <t>https://huggingface.co/datasets/HenryWaltson/TMDB-IMDB-Movies-Dataset</t>
        </is>
      </c>
      <c r="P149" t="inlineStr">
        <is>
          <t>Elijah Wood</t>
        </is>
      </c>
      <c r="Q149" t="inlineStr">
        <is>
          <t>Robin Williams</t>
        </is>
      </c>
      <c r="R149" t="inlineStr">
        <is>
          <t>Pink</t>
        </is>
      </c>
      <c r="S149" t="inlineStr">
        <is>
          <t>Elizabeth Daily</t>
        </is>
      </c>
      <c r="T149" t="inlineStr">
        <is>
          <t>Johnny A. Sanchez</t>
        </is>
      </c>
      <c r="U149" s="71" t="n">
        <v>0</v>
      </c>
      <c r="V149" s="71" t="n">
        <v>0</v>
      </c>
      <c r="X149" s="82">
        <f>IFERROR(INDEX(Ratings!$E$5:$E$500,MATCH(A149,Ratings!$A$5:$A$500,0)),"")</f>
        <v/>
      </c>
      <c r="Y149" s="71">
        <f>IFERROR(INDEX(Ratings!$G$5:$G$500,MATCH(A149,Ratings!$A$5:$A$500,0)),"")</f>
        <v/>
      </c>
      <c r="Z149" s="83">
        <f>IFERROR(INDEX(Ratings!$I$5:$I$500,MATCH(A149,Ratings!$A$5:$A$500,0)),"")</f>
        <v/>
      </c>
    </row>
    <row r="150" ht="15.75" customHeight="1" s="95">
      <c r="A150" t="inlineStr">
        <is>
          <t>F0146</t>
        </is>
      </c>
      <c r="B150" t="inlineStr">
        <is>
          <t>The Heat</t>
        </is>
      </c>
      <c r="C150" s="63" t="inlineStr">
        <is>
          <t>2013</t>
        </is>
      </c>
      <c r="D150" t="inlineStr">
        <is>
          <t>Blu-ray</t>
        </is>
      </c>
      <c r="F150" s="64" t="n"/>
      <c r="I150" s="64" t="inlineStr">
        <is>
          <t>Uptight and straight-laced, FBI Special Agent Sarah Ashburn is a methodical investigator with a reputation for excellence--and hyper-arrogance. Shannon Mullins, one of Boston P.D.'s "finest," is foul-mouthed and has a very short fuse, and uses her gut instinct and street smarts to catch the most elusive criminals. Neither has ever had a partner, or a friend for that matter. When these two wildly incompatible law officers join forces to bring down a ruthless drug lord, they become the last thing anyone expected: buddies.</t>
        </is>
      </c>
      <c r="J150" s="64" t="inlineStr">
        <is>
          <t>Paul Feig</t>
        </is>
      </c>
      <c r="K150" s="64" t="n">
        <v>117</v>
      </c>
      <c r="L150" s="64" t="inlineStr">
        <is>
          <t>Action, Comedy, Crime</t>
        </is>
      </c>
      <c r="M150" s="64" t="inlineStr">
        <is>
          <t>Chernin Entertainment, TSG Entertainment, Ingenious Media</t>
        </is>
      </c>
      <c r="N150" s="64" t="inlineStr">
        <is>
          <t>https://huggingface.co/datasets/HenryWaltson/TMDB-IMDB-Movies-Dataset</t>
        </is>
      </c>
      <c r="O150" s="64" t="inlineStr">
        <is>
          <t>https://huggingface.co/datasets/HenryWaltson/TMDB-IMDB-Movies-Dataset</t>
        </is>
      </c>
      <c r="P150" t="inlineStr">
        <is>
          <t>Sandra Bullock</t>
        </is>
      </c>
      <c r="Q150" t="inlineStr">
        <is>
          <t>Melissa McCarthy</t>
        </is>
      </c>
      <c r="R150" t="inlineStr">
        <is>
          <t>Demián Bichir</t>
        </is>
      </c>
      <c r="S150" t="inlineStr">
        <is>
          <t>Marlon Wayans</t>
        </is>
      </c>
      <c r="T150" t="inlineStr">
        <is>
          <t>Michael Rapaport</t>
        </is>
      </c>
      <c r="U150" s="71" t="n">
        <v>0</v>
      </c>
      <c r="V150" s="71" t="n">
        <v>0</v>
      </c>
      <c r="X150" s="82">
        <f>IFERROR(INDEX(Ratings!$E$5:$E$500,MATCH(A150,Ratings!$A$5:$A$500,0)),"")</f>
        <v/>
      </c>
      <c r="Y150" s="71">
        <f>IFERROR(INDEX(Ratings!$G$5:$G$500,MATCH(A150,Ratings!$A$5:$A$500,0)),"")</f>
        <v/>
      </c>
      <c r="Z150" s="83">
        <f>IFERROR(INDEX(Ratings!$I$5:$I$500,MATCH(A150,Ratings!$A$5:$A$500,0)),"")</f>
        <v/>
      </c>
    </row>
    <row r="151" ht="15.75" customHeight="1" s="95">
      <c r="A151" t="inlineStr">
        <is>
          <t>F0147</t>
        </is>
      </c>
      <c r="B151" t="inlineStr">
        <is>
          <t>Hercules</t>
        </is>
      </c>
      <c r="C151" s="63" t="inlineStr">
        <is>
          <t>2014</t>
        </is>
      </c>
      <c r="D151" t="inlineStr">
        <is>
          <t>Blu-ray</t>
        </is>
      </c>
      <c r="F151" s="64" t="n"/>
      <c r="I151" s="64" t="inlineStr">
        <is>
          <t>Best guess: 2014 version.</t>
        </is>
      </c>
      <c r="J151" s="64" t="inlineStr">
        <is>
          <t>Brett Ratner</t>
        </is>
      </c>
      <c r="K151" s="64" t="n">
        <v>99</v>
      </c>
      <c r="L151" s="64" t="inlineStr">
        <is>
          <t>Action, Adventure</t>
        </is>
      </c>
      <c r="M151" s="64" t="inlineStr">
        <is>
          <t>Paramount, Radical Studios, Flynn Picture Company</t>
        </is>
      </c>
      <c r="N151" s="64" t="inlineStr">
        <is>
          <t>https://huggingface.co/datasets/HenryWaltson/TMDB-IMDB-Movies-Dataset</t>
        </is>
      </c>
      <c r="O151" s="64" t="inlineStr">
        <is>
          <t>https://huggingface.co/datasets/HenryWaltson/TMDB-IMDB-Movies-Dataset</t>
        </is>
      </c>
      <c r="P151" t="inlineStr">
        <is>
          <t>Dwayne Johnson</t>
        </is>
      </c>
      <c r="Q151" t="inlineStr">
        <is>
          <t>Ian McShane</t>
        </is>
      </c>
      <c r="R151" t="inlineStr">
        <is>
          <t>John Hurt</t>
        </is>
      </c>
      <c r="S151" t="inlineStr">
        <is>
          <t>Rufus Sewell</t>
        </is>
      </c>
      <c r="T151" t="inlineStr">
        <is>
          <t>Aksel Hennie</t>
        </is>
      </c>
      <c r="U151" s="71" t="n">
        <v>0</v>
      </c>
      <c r="V151" s="71" t="n">
        <v>0</v>
      </c>
      <c r="X151" s="82">
        <f>IFERROR(INDEX(Ratings!$E$5:$E$500,MATCH(A151,Ratings!$A$5:$A$500,0)),"")</f>
        <v/>
      </c>
      <c r="Y151" s="71">
        <f>IFERROR(INDEX(Ratings!$G$5:$G$500,MATCH(A151,Ratings!$A$5:$A$500,0)),"")</f>
        <v/>
      </c>
      <c r="Z151" s="83">
        <f>IFERROR(INDEX(Ratings!$I$5:$I$500,MATCH(A151,Ratings!$A$5:$A$500,0)),"")</f>
        <v/>
      </c>
    </row>
    <row r="152" ht="15.75" customHeight="1" s="95">
      <c r="A152" t="inlineStr">
        <is>
          <t>F0148</t>
        </is>
      </c>
      <c r="B152" t="inlineStr">
        <is>
          <t>The Legend of Hercules</t>
        </is>
      </c>
      <c r="C152" s="63" t="inlineStr">
        <is>
          <t>2014</t>
        </is>
      </c>
      <c r="D152" t="inlineStr">
        <is>
          <t>Blu-ray</t>
        </is>
      </c>
      <c r="F152" s="64" t="n"/>
      <c r="I152" s="64" t="inlineStr">
        <is>
          <t>In Ancient Greece 1200 B.C., a queen succumbs to the lust of Zeus to bear a son promised to overthrow the tyrannical rule of the king and restore peace to a land in hardship. But this prince, Hercules, knows nothing of his real identity or his destiny. He desires only one thing: the love of Hebe, Princess of Crete, who has been promised to his own brother. When Hercules learns of his greater purpose, he must choose: to flee with his true love or to fulfill his destiny and become the true hero of his time. The story behind one of the greatest myths is revealed in this action-packed epic - a tale of love, sacrifice and the strength of the human spirit.</t>
        </is>
      </c>
      <c r="J152" s="64" t="inlineStr">
        <is>
          <t>Renny Harlin</t>
        </is>
      </c>
      <c r="K152" s="64" t="n">
        <v>99</v>
      </c>
      <c r="L152" s="64" t="inlineStr">
        <is>
          <t>Action, Adventure</t>
        </is>
      </c>
      <c r="M152" s="64" t="inlineStr">
        <is>
          <t>Millennium Media, Summit Entertainment, Nu Boyana Film Studios</t>
        </is>
      </c>
      <c r="N152" s="64" t="inlineStr">
        <is>
          <t>https://huggingface.co/datasets/HenryWaltson/TMDB-IMDB-Movies-Dataset</t>
        </is>
      </c>
      <c r="O152" s="64" t="inlineStr">
        <is>
          <t>https://huggingface.co/datasets/HenryWaltson/TMDB-IMDB-Movies-Dataset</t>
        </is>
      </c>
      <c r="P152" t="inlineStr">
        <is>
          <t>Kellan Lutz</t>
        </is>
      </c>
      <c r="Q152" t="inlineStr">
        <is>
          <t>Liam McIntyre</t>
        </is>
      </c>
      <c r="R152" t="inlineStr">
        <is>
          <t>Gaia Weiss</t>
        </is>
      </c>
      <c r="S152" t="inlineStr">
        <is>
          <t>Scott Adkins</t>
        </is>
      </c>
      <c r="T152" t="inlineStr">
        <is>
          <t>Roxanne McKee</t>
        </is>
      </c>
      <c r="U152" s="71" t="n">
        <v>0</v>
      </c>
      <c r="V152" s="71" t="n">
        <v>0</v>
      </c>
      <c r="X152" s="82">
        <f>IFERROR(INDEX(Ratings!$E$5:$E$500,MATCH(A152,Ratings!$A$5:$A$500,0)),"")</f>
        <v/>
      </c>
      <c r="Y152" s="71">
        <f>IFERROR(INDEX(Ratings!$G$5:$G$500,MATCH(A152,Ratings!$A$5:$A$500,0)),"")</f>
        <v/>
      </c>
      <c r="Z152" s="83">
        <f>IFERROR(INDEX(Ratings!$I$5:$I$500,MATCH(A152,Ratings!$A$5:$A$500,0)),"")</f>
        <v/>
      </c>
    </row>
    <row r="153" ht="15.75" customHeight="1" s="95">
      <c r="A153" t="inlineStr">
        <is>
          <t>F0149</t>
        </is>
      </c>
      <c r="B153" t="inlineStr">
        <is>
          <t>The Hitman's Bodyguard</t>
        </is>
      </c>
      <c r="C153" s="63" t="inlineStr">
        <is>
          <t>2017</t>
        </is>
      </c>
      <c r="D153" t="inlineStr">
        <is>
          <t>Blu-ray</t>
        </is>
      </c>
      <c r="F153" s="64" t="n"/>
      <c r="I153" s="64" t="inlineStr">
        <is>
          <t>The world’s top bodyguard gets a new client, a hitman who must testify at the International Court of Justice. They must put their differences aside and work together to make it to the trial on time.</t>
        </is>
      </c>
      <c r="J153" s="64" t="inlineStr">
        <is>
          <t>Patrick Hughes</t>
        </is>
      </c>
      <c r="K153" s="64" t="n">
        <v>118</v>
      </c>
      <c r="L153" s="64" t="inlineStr">
        <is>
          <t>Action, Comedy</t>
        </is>
      </c>
      <c r="M153" s="64" t="inlineStr">
        <is>
          <t>Campbell Grobman Films, East Light Media, Nu Boyana Film Studios</t>
        </is>
      </c>
      <c r="N153" s="64" t="inlineStr">
        <is>
          <t>https://huggingface.co/datasets/HenryWaltson/TMDB-IMDB-Movies-Dataset</t>
        </is>
      </c>
      <c r="O153" s="64" t="inlineStr">
        <is>
          <t>https://huggingface.co/datasets/HenryWaltson/TMDB-IMDB-Movies-Dataset</t>
        </is>
      </c>
      <c r="P153" t="inlineStr">
        <is>
          <t>Ryan Reynolds</t>
        </is>
      </c>
      <c r="Q153" t="inlineStr">
        <is>
          <t>Samuel L. Jackson</t>
        </is>
      </c>
      <c r="R153" t="inlineStr">
        <is>
          <t>Gary Oldman</t>
        </is>
      </c>
      <c r="S153" t="inlineStr">
        <is>
          <t>Salma Hayek Pinault</t>
        </is>
      </c>
      <c r="T153" t="inlineStr">
        <is>
          <t>Elodie Yung</t>
        </is>
      </c>
      <c r="U153" s="71" t="n">
        <v>0</v>
      </c>
      <c r="V153" s="71" t="n">
        <v>0</v>
      </c>
      <c r="X153" s="82">
        <f>IFERROR(INDEX(Ratings!$E$5:$E$500,MATCH(A153,Ratings!$A$5:$A$500,0)),"")</f>
        <v/>
      </c>
      <c r="Y153" s="71">
        <f>IFERROR(INDEX(Ratings!$G$5:$G$500,MATCH(A153,Ratings!$A$5:$A$500,0)),"")</f>
        <v/>
      </c>
      <c r="Z153" s="83">
        <f>IFERROR(INDEX(Ratings!$I$5:$I$500,MATCH(A153,Ratings!$A$5:$A$500,0)),"")</f>
        <v/>
      </c>
    </row>
    <row r="154" ht="15.75" customHeight="1" s="95">
      <c r="A154" t="inlineStr">
        <is>
          <t>F0150</t>
        </is>
      </c>
      <c r="B154" t="inlineStr">
        <is>
          <t>The Hobbit: An Unexpected Journey</t>
        </is>
      </c>
      <c r="C154" s="63" t="inlineStr">
        <is>
          <t>2012</t>
        </is>
      </c>
      <c r="D154" t="inlineStr">
        <is>
          <t>Blu-ray</t>
        </is>
      </c>
      <c r="E154" t="inlineStr">
        <is>
          <t>Hobbit</t>
        </is>
      </c>
      <c r="F154" s="64" t="n"/>
      <c r="I154" s="64" t="inlineStr">
        <is>
          <t>Bilbo Baggins, a hobbit enjoying his quiet life, is swept into an epic quest by Gandalf the Grey and thirteen dwarves who seek to reclaim their mountain home from Smaug, the dragon.</t>
        </is>
      </c>
      <c r="J154" s="64" t="inlineStr">
        <is>
          <t>Peter Jackson</t>
        </is>
      </c>
      <c r="K154" s="64" t="n">
        <v>169</v>
      </c>
      <c r="L154" s="64" t="inlineStr">
        <is>
          <t>Adventure, Fantasy, Action</t>
        </is>
      </c>
      <c r="M154" s="64" t="inlineStr">
        <is>
          <t>Warner Bros. Pictures, Metro-Goldwyn-Mayer, New Line Cinema</t>
        </is>
      </c>
      <c r="N154" s="64" t="inlineStr">
        <is>
          <t>https://huggingface.co/datasets/HenryWaltson/TMDB-IMDB-Movies-Dataset</t>
        </is>
      </c>
      <c r="O154" s="64" t="inlineStr">
        <is>
          <t>https://huggingface.co/datasets/HenryWaltson/TMDB-IMDB-Movies-Dataset</t>
        </is>
      </c>
      <c r="P154" t="inlineStr">
        <is>
          <t>Martin Freeman</t>
        </is>
      </c>
      <c r="Q154" t="inlineStr">
        <is>
          <t>Ian McKellen</t>
        </is>
      </c>
      <c r="R154" t="inlineStr">
        <is>
          <t>Richard Armitage</t>
        </is>
      </c>
      <c r="S154" t="inlineStr">
        <is>
          <t>James Nesbitt</t>
        </is>
      </c>
      <c r="T154" t="inlineStr">
        <is>
          <t>Ken Stott</t>
        </is>
      </c>
      <c r="U154" s="71" t="n">
        <v>3</v>
      </c>
      <c r="V154" s="71" t="n">
        <v>0</v>
      </c>
      <c r="X154" s="82">
        <f>IFERROR(INDEX(Ratings!$E$5:$E$500,MATCH(A154,Ratings!$A$5:$A$500,0)),"")</f>
        <v/>
      </c>
      <c r="Y154" s="71">
        <f>IFERROR(INDEX(Ratings!$G$5:$G$500,MATCH(A154,Ratings!$A$5:$A$500,0)),"")</f>
        <v/>
      </c>
      <c r="Z154" s="83">
        <f>IFERROR(INDEX(Ratings!$I$5:$I$500,MATCH(A154,Ratings!$A$5:$A$500,0)),"")</f>
        <v/>
      </c>
    </row>
    <row r="155" ht="15.75" customHeight="1" s="95">
      <c r="A155" t="inlineStr">
        <is>
          <t>F0151</t>
        </is>
      </c>
      <c r="B155" t="inlineStr">
        <is>
          <t>The Hobbit: The Desolation of Smaug</t>
        </is>
      </c>
      <c r="C155" s="63" t="inlineStr">
        <is>
          <t>2013</t>
        </is>
      </c>
      <c r="D155" t="inlineStr">
        <is>
          <t>Blu-ray</t>
        </is>
      </c>
      <c r="E155" t="inlineStr">
        <is>
          <t>Hobbit</t>
        </is>
      </c>
      <c r="F155" s="64" t="n"/>
      <c r="I155" s="64" t="inlineStr">
        <is>
          <t>The Dwarves, Bilbo and Gandalf have successfully escaped the Misty Mountains, and Bilbo has gained the One Ring. They all continue their journey to get their gold back from the Dragon, Smaug.</t>
        </is>
      </c>
      <c r="J155" s="64" t="inlineStr">
        <is>
          <t>Peter Jackson</t>
        </is>
      </c>
      <c r="K155" s="64" t="n">
        <v>161</v>
      </c>
      <c r="L155" s="64" t="inlineStr">
        <is>
          <t>Fantasy, Adventure, Action</t>
        </is>
      </c>
      <c r="M155" s="64" t="inlineStr">
        <is>
          <t>Warner Bros. Pictures, WingNut Films, New Line Cinema</t>
        </is>
      </c>
      <c r="N155" s="64" t="inlineStr">
        <is>
          <t>https://huggingface.co/datasets/HenryWaltson/TMDB-IMDB-Movies-Dataset</t>
        </is>
      </c>
      <c r="O155" s="64" t="inlineStr">
        <is>
          <t>https://huggingface.co/datasets/HenryWaltson/TMDB-IMDB-Movies-Dataset</t>
        </is>
      </c>
      <c r="P155" t="inlineStr">
        <is>
          <t>Ian McKellen</t>
        </is>
      </c>
      <c r="Q155" t="inlineStr">
        <is>
          <t>Martin Freeman</t>
        </is>
      </c>
      <c r="R155" t="inlineStr">
        <is>
          <t>Richard Armitage</t>
        </is>
      </c>
      <c r="S155" t="inlineStr">
        <is>
          <t>Benedict Cumberbatch</t>
        </is>
      </c>
      <c r="T155" t="inlineStr">
        <is>
          <t>Orlando Bloom</t>
        </is>
      </c>
      <c r="U155" s="71" t="n">
        <v>3</v>
      </c>
      <c r="V155" s="71" t="n">
        <v>0</v>
      </c>
      <c r="X155" s="82">
        <f>IFERROR(INDEX(Ratings!$E$5:$E$500,MATCH(A155,Ratings!$A$5:$A$500,0)),"")</f>
        <v/>
      </c>
      <c r="Y155" s="71">
        <f>IFERROR(INDEX(Ratings!$G$5:$G$500,MATCH(A155,Ratings!$A$5:$A$500,0)),"")</f>
        <v/>
      </c>
      <c r="Z155" s="83">
        <f>IFERROR(INDEX(Ratings!$I$5:$I$500,MATCH(A155,Ratings!$A$5:$A$500,0)),"")</f>
        <v/>
      </c>
    </row>
    <row r="156" ht="15.75" customHeight="1" s="95">
      <c r="A156" t="inlineStr">
        <is>
          <t>F0152</t>
        </is>
      </c>
      <c r="B156" t="inlineStr">
        <is>
          <t>The Hobbit: The Battle of the Five Armies</t>
        </is>
      </c>
      <c r="C156" s="63" t="inlineStr">
        <is>
          <t>2014</t>
        </is>
      </c>
      <c r="D156" t="inlineStr">
        <is>
          <t>Blu-ray</t>
        </is>
      </c>
      <c r="E156" t="inlineStr">
        <is>
          <t>Hobbit</t>
        </is>
      </c>
      <c r="F156" s="64" t="n"/>
      <c r="I156" s="64" t="inlineStr">
        <is>
          <t>Following Smaug's attack on Laketown, Bilbo and the dwarves try to defend Erebor's mountain of treasure from others who claim it: the men of the ruined Laketown and the elves of Mirkwood. Meanwhile an army of Orcs led by Azog the Defiler is marching on Erebor, fueled by the rise of the dark lord Sauron. Dwarves, elves and men must unite, and the hope for Middle-Earth falls into Bilbo's hands.</t>
        </is>
      </c>
      <c r="J156" s="64" t="inlineStr">
        <is>
          <t>Peter Jackson</t>
        </is>
      </c>
      <c r="K156" s="64" t="n">
        <v>144</v>
      </c>
      <c r="L156" s="64" t="inlineStr">
        <is>
          <t>Action, Adventure, Fantasy</t>
        </is>
      </c>
      <c r="M156" s="64" t="inlineStr">
        <is>
          <t>Warner Bros. Pictures, WingNut Films, New Line Cinema</t>
        </is>
      </c>
      <c r="N156" s="64" t="inlineStr">
        <is>
          <t>https://huggingface.co/datasets/HenryWaltson/TMDB-IMDB-Movies-Dataset</t>
        </is>
      </c>
      <c r="O156" s="64" t="inlineStr">
        <is>
          <t>https://huggingface.co/datasets/HenryWaltson/TMDB-IMDB-Movies-Dataset</t>
        </is>
      </c>
      <c r="P156" t="inlineStr">
        <is>
          <t>Ian McKellen</t>
        </is>
      </c>
      <c r="Q156" t="inlineStr">
        <is>
          <t>Martin Freeman</t>
        </is>
      </c>
      <c r="R156" t="inlineStr">
        <is>
          <t>Richard Armitage</t>
        </is>
      </c>
      <c r="S156" t="inlineStr">
        <is>
          <t>Orlando Bloom</t>
        </is>
      </c>
      <c r="T156" t="inlineStr">
        <is>
          <t>Evangeline Lilly</t>
        </is>
      </c>
      <c r="U156" s="71" t="n">
        <v>1</v>
      </c>
      <c r="V156" s="71" t="n">
        <v>0</v>
      </c>
      <c r="X156" s="82">
        <f>IFERROR(INDEX(Ratings!$E$5:$E$500,MATCH(A156,Ratings!$A$5:$A$500,0)),"")</f>
        <v/>
      </c>
      <c r="Y156" s="71">
        <f>IFERROR(INDEX(Ratings!$G$5:$G$500,MATCH(A156,Ratings!$A$5:$A$500,0)),"")</f>
        <v/>
      </c>
      <c r="Z156" s="83">
        <f>IFERROR(INDEX(Ratings!$I$5:$I$500,MATCH(A156,Ratings!$A$5:$A$500,0)),"")</f>
        <v/>
      </c>
    </row>
    <row r="157" ht="15.75" customHeight="1" s="95">
      <c r="A157" t="inlineStr">
        <is>
          <t>F0153</t>
        </is>
      </c>
      <c r="B157" t="inlineStr">
        <is>
          <t>Home</t>
        </is>
      </c>
      <c r="C157" s="63" t="inlineStr">
        <is>
          <t>2015</t>
        </is>
      </c>
      <c r="D157" t="inlineStr">
        <is>
          <t>Blu-ray</t>
        </is>
      </c>
      <c r="F157" s="64" t="n"/>
      <c r="I157" s="64" t="inlineStr">
        <is>
          <t>When Earth is taken over by the overly-confident Boov, an alien race in search of a new place to call home, all humans are promptly relocated, while all Boov get busy reorganizing the planet. But when one resourceful girl, Tip, manages to avoid capture, she finds herself the accidental accomplice of a banished Boov named Oh. The two fugitives realize there’s a lot more at stake than intergalactic relations as they embark on the road trip of a lifetime.</t>
        </is>
      </c>
      <c r="J157" s="64" t="inlineStr">
        <is>
          <t>Tim Johnson</t>
        </is>
      </c>
      <c r="K157" s="64" t="n">
        <v>94</v>
      </c>
      <c r="L157" s="64" t="inlineStr">
        <is>
          <t>Fantasy, Comedy, Animation, Science Fiction, Family</t>
        </is>
      </c>
      <c r="M157" s="64" t="inlineStr">
        <is>
          <t>DreamWorks Animation, 20th Century Fox</t>
        </is>
      </c>
      <c r="N157" s="64" t="inlineStr">
        <is>
          <t>https://huggingface.co/datasets/HenryWaltson/TMDB-IMDB-Movies-Dataset</t>
        </is>
      </c>
      <c r="O157" s="64" t="inlineStr">
        <is>
          <t>https://huggingface.co/datasets/HenryWaltson/TMDB-IMDB-Movies-Dataset</t>
        </is>
      </c>
      <c r="P157" t="inlineStr">
        <is>
          <t>Jim Parsons</t>
        </is>
      </c>
      <c r="Q157" t="inlineStr">
        <is>
          <t>Rihanna</t>
        </is>
      </c>
      <c r="R157" t="inlineStr">
        <is>
          <t>Steve Martin</t>
        </is>
      </c>
      <c r="S157" t="inlineStr">
        <is>
          <t>Jennifer Lopez</t>
        </is>
      </c>
      <c r="T157" t="inlineStr">
        <is>
          <t>Matt Jones</t>
        </is>
      </c>
      <c r="U157" s="71" t="n">
        <v>0</v>
      </c>
      <c r="V157" s="71" t="n">
        <v>0</v>
      </c>
      <c r="X157" s="82">
        <f>IFERROR(INDEX(Ratings!$E$5:$E$500,MATCH(A157,Ratings!$A$5:$A$500,0)),"")</f>
        <v/>
      </c>
      <c r="Y157" s="71">
        <f>IFERROR(INDEX(Ratings!$G$5:$G$500,MATCH(A157,Ratings!$A$5:$A$500,0)),"")</f>
        <v/>
      </c>
      <c r="Z157" s="83">
        <f>IFERROR(INDEX(Ratings!$I$5:$I$500,MATCH(A157,Ratings!$A$5:$A$500,0)),"")</f>
        <v/>
      </c>
    </row>
    <row r="158" ht="15.75" customHeight="1" s="95">
      <c r="A158" t="inlineStr">
        <is>
          <t>F0154</t>
        </is>
      </c>
      <c r="B158" t="inlineStr">
        <is>
          <t>How to Train Your Dragon</t>
        </is>
      </c>
      <c r="C158" s="63" t="inlineStr">
        <is>
          <t>2010</t>
        </is>
      </c>
      <c r="D158" t="inlineStr">
        <is>
          <t>Blu-ray</t>
        </is>
      </c>
      <c r="E158" t="inlineStr">
        <is>
          <t>How to Train Your Dragon</t>
        </is>
      </c>
      <c r="F158" s="64" t="n"/>
      <c r="I158" s="64" t="inlineStr">
        <is>
          <t>As the son of a Viking leader on the cusp of manhood, shy Hiccup Horrendous Haddock III faces a rite of passage: he must kill a dragon to prove his warrior mettle. But after downing a feared dragon, he realizes that he no longer wants to destroy it, and instead befriends the beast – which he names Toothless – much to the chagrin of his warrior father.</t>
        </is>
      </c>
      <c r="J158" s="64" t="inlineStr">
        <is>
          <t>Dean DeBlois, Chris Sanders</t>
        </is>
      </c>
      <c r="K158" s="64" t="n">
        <v>98</v>
      </c>
      <c r="L158" s="64" t="inlineStr">
        <is>
          <t>Fantasy, Adventure, Animation, Family</t>
        </is>
      </c>
      <c r="M158" s="64" t="inlineStr">
        <is>
          <t>DreamWorks Animation, Paramount</t>
        </is>
      </c>
      <c r="N158" s="64" t="inlineStr">
        <is>
          <t>https://huggingface.co/datasets/HenryWaltson/TMDB-IMDB-Movies-Dataset</t>
        </is>
      </c>
      <c r="O158" s="64" t="inlineStr">
        <is>
          <t>https://huggingface.co/datasets/HenryWaltson/TMDB-IMDB-Movies-Dataset</t>
        </is>
      </c>
      <c r="P158" t="inlineStr">
        <is>
          <t>Jay Baruchel</t>
        </is>
      </c>
      <c r="Q158" t="inlineStr">
        <is>
          <t>Gerard Butler</t>
        </is>
      </c>
      <c r="R158" t="inlineStr">
        <is>
          <t>Craig Ferguson</t>
        </is>
      </c>
      <c r="S158" t="inlineStr">
        <is>
          <t>America Ferrera</t>
        </is>
      </c>
      <c r="T158" t="inlineStr">
        <is>
          <t>Jonah Hill</t>
        </is>
      </c>
      <c r="U158" s="71" t="n">
        <v>2</v>
      </c>
      <c r="V158" s="71" t="n">
        <v>0</v>
      </c>
      <c r="X158" s="82">
        <f>IFERROR(INDEX(Ratings!$E$5:$E$500,MATCH(A158,Ratings!$A$5:$A$500,0)),"")</f>
        <v/>
      </c>
      <c r="Y158" s="71">
        <f>IFERROR(INDEX(Ratings!$G$5:$G$500,MATCH(A158,Ratings!$A$5:$A$500,0)),"")</f>
        <v/>
      </c>
      <c r="Z158" s="83">
        <f>IFERROR(INDEX(Ratings!$I$5:$I$500,MATCH(A158,Ratings!$A$5:$A$500,0)),"")</f>
        <v/>
      </c>
    </row>
    <row r="159" ht="15.75" customHeight="1" s="95">
      <c r="A159" t="inlineStr">
        <is>
          <t>F0155</t>
        </is>
      </c>
      <c r="B159" t="inlineStr">
        <is>
          <t>How to Train Your Dragon 2</t>
        </is>
      </c>
      <c r="C159" s="63" t="inlineStr">
        <is>
          <t>2014</t>
        </is>
      </c>
      <c r="D159" t="inlineStr">
        <is>
          <t>Blu-ray</t>
        </is>
      </c>
      <c r="E159" t="inlineStr">
        <is>
          <t>How to Train Your Dragon</t>
        </is>
      </c>
      <c r="F159" s="64" t="n"/>
      <c r="I159" s="64" t="inlineStr">
        <is>
          <t>Five years after uniting the dragons and Vikings of Berk, Hiccup and Toothless soar beyond their homeland, charting the vast unknown. During one of their adventures, the pair discover a secret cave that houses hundreds of wild dragons -- and a mysterious dragon rider with a startling connection to Hiccup. And as the ruthless dragon conqueror Drago Bludvist rises to seize control of both dragons and people alike, Hiccup must step into his role as a true leader and, alongside his friends and Toothless, protect Berk from a devastating war.</t>
        </is>
      </c>
      <c r="J159" s="64" t="inlineStr">
        <is>
          <t>Dean DeBlois</t>
        </is>
      </c>
      <c r="K159" s="64" t="n">
        <v>102</v>
      </c>
      <c r="L159" s="64" t="inlineStr">
        <is>
          <t>Fantasy, Action, Adventure, Animation, Comedy, Family</t>
        </is>
      </c>
      <c r="M159" s="64" t="inlineStr">
        <is>
          <t>DreamWorks Animation, Mad Hatter Entertainment, Vertigo Entertainment</t>
        </is>
      </c>
      <c r="N159" s="64" t="inlineStr">
        <is>
          <t>https://huggingface.co/datasets/HenryWaltson/TMDB-IMDB-Movies-Dataset</t>
        </is>
      </c>
      <c r="O159" s="64" t="inlineStr">
        <is>
          <t>https://huggingface.co/datasets/HenryWaltson/TMDB-IMDB-Movies-Dataset</t>
        </is>
      </c>
      <c r="P159" t="inlineStr">
        <is>
          <t>Jay Baruchel</t>
        </is>
      </c>
      <c r="Q159" t="inlineStr">
        <is>
          <t>Cate Blanchett</t>
        </is>
      </c>
      <c r="R159" t="inlineStr">
        <is>
          <t>Gerard Butler</t>
        </is>
      </c>
      <c r="S159" t="inlineStr">
        <is>
          <t>Craig Ferguson</t>
        </is>
      </c>
      <c r="T159" t="inlineStr">
        <is>
          <t>America Ferrera</t>
        </is>
      </c>
      <c r="U159" s="71" t="n">
        <v>1</v>
      </c>
      <c r="V159" s="71" t="n">
        <v>0</v>
      </c>
      <c r="X159" s="82">
        <f>IFERROR(INDEX(Ratings!$E$5:$E$500,MATCH(A159,Ratings!$A$5:$A$500,0)),"")</f>
        <v/>
      </c>
      <c r="Y159" s="71">
        <f>IFERROR(INDEX(Ratings!$G$5:$G$500,MATCH(A159,Ratings!$A$5:$A$500,0)),"")</f>
        <v/>
      </c>
      <c r="Z159" s="83">
        <f>IFERROR(INDEX(Ratings!$I$5:$I$500,MATCH(A159,Ratings!$A$5:$A$500,0)),"")</f>
        <v/>
      </c>
    </row>
    <row r="160" ht="15.75" customHeight="1" s="95">
      <c r="A160" t="inlineStr">
        <is>
          <t>F0156</t>
        </is>
      </c>
      <c r="B160" t="inlineStr">
        <is>
          <t>Hummingbird</t>
        </is>
      </c>
      <c r="C160" s="63" t="inlineStr">
        <is>
          <t>2013</t>
        </is>
      </c>
      <c r="D160" t="inlineStr">
        <is>
          <t>Blu-ray</t>
        </is>
      </c>
      <c r="F160" s="64" t="n"/>
      <c r="I160" s="64" t="inlineStr">
        <is>
          <t>Homeless and on the run from a military court martial, a damaged ex-special forces soldier navigating London's criminal underworld seizes an opportunity to assume another man's identity, transforming into an avenging angel in the process.</t>
        </is>
      </c>
      <c r="J160" s="64" t="inlineStr">
        <is>
          <t>Steven Knight</t>
        </is>
      </c>
      <c r="K160" s="64" t="n">
        <v>100</v>
      </c>
      <c r="L160" s="64" t="inlineStr">
        <is>
          <t>Action, Thriller</t>
        </is>
      </c>
      <c r="M160" s="64" t="inlineStr">
        <is>
          <t>Lionsgate, Shoebox Films, IM Global</t>
        </is>
      </c>
      <c r="N160" s="64" t="inlineStr">
        <is>
          <t>https://huggingface.co/datasets/HenryWaltson/TMDB-IMDB-Movies-Dataset</t>
        </is>
      </c>
      <c r="O160" s="64" t="inlineStr">
        <is>
          <t>https://huggingface.co/datasets/HenryWaltson/TMDB-IMDB-Movies-Dataset</t>
        </is>
      </c>
      <c r="P160" t="inlineStr">
        <is>
          <t>Jason Statham</t>
        </is>
      </c>
      <c r="Q160" t="inlineStr">
        <is>
          <t>Agata Buzek</t>
        </is>
      </c>
      <c r="R160" t="inlineStr">
        <is>
          <t>Vicky McClure</t>
        </is>
      </c>
      <c r="S160" t="inlineStr">
        <is>
          <t>Benedict Wong</t>
        </is>
      </c>
      <c r="T160" t="inlineStr">
        <is>
          <t>Ger Ryan</t>
        </is>
      </c>
      <c r="U160" s="71" t="n">
        <v>0</v>
      </c>
      <c r="V160" s="71" t="n">
        <v>0</v>
      </c>
      <c r="X160" s="82">
        <f>IFERROR(INDEX(Ratings!$E$5:$E$500,MATCH(A160,Ratings!$A$5:$A$500,0)),"")</f>
        <v/>
      </c>
      <c r="Y160" s="71">
        <f>IFERROR(INDEX(Ratings!$G$5:$G$500,MATCH(A160,Ratings!$A$5:$A$500,0)),"")</f>
        <v/>
      </c>
      <c r="Z160" s="83">
        <f>IFERROR(INDEX(Ratings!$I$5:$I$500,MATCH(A160,Ratings!$A$5:$A$500,0)),"")</f>
        <v/>
      </c>
    </row>
    <row r="161" ht="15.75" customHeight="1" s="95">
      <c r="A161" t="inlineStr">
        <is>
          <t>F0157</t>
        </is>
      </c>
      <c r="B161" t="inlineStr">
        <is>
          <t>The Hunger Games</t>
        </is>
      </c>
      <c r="C161" s="63" t="inlineStr">
        <is>
          <t>2012</t>
        </is>
      </c>
      <c r="D161" t="inlineStr">
        <is>
          <t>Blu-ray</t>
        </is>
      </c>
      <c r="E161" t="inlineStr">
        <is>
          <t>The Hunger Games</t>
        </is>
      </c>
      <c r="F161" s="64" t="n"/>
      <c r="I161" s="64" t="inlineStr">
        <is>
          <t>In a dystopian society where the Capitol forces each district to send two young tributes to fight to the death in a televised spectacle, a girl volunteers to take her sister’s place, setting the stage for a struggle of survival and defiance.</t>
        </is>
      </c>
      <c r="J161" s="64" t="inlineStr">
        <is>
          <t>Gary Ross</t>
        </is>
      </c>
      <c r="K161" s="64" t="n">
        <v>142</v>
      </c>
      <c r="L161" s="64" t="inlineStr">
        <is>
          <t>Science Fiction, Adventure, Fantasy</t>
        </is>
      </c>
      <c r="M161" s="64" t="inlineStr">
        <is>
          <t>Lionsgate, Color Force</t>
        </is>
      </c>
      <c r="N161" s="64" t="inlineStr">
        <is>
          <t>https://huggingface.co/datasets/HenryWaltson/TMDB-IMDB-Movies-Dataset</t>
        </is>
      </c>
      <c r="O161" s="64" t="inlineStr">
        <is>
          <t>https://huggingface.co/datasets/HenryWaltson/TMDB-IMDB-Movies-Dataset</t>
        </is>
      </c>
      <c r="P161" t="inlineStr">
        <is>
          <t>Jennifer Lawrence</t>
        </is>
      </c>
      <c r="Q161" t="inlineStr">
        <is>
          <t>Josh Hutcherson</t>
        </is>
      </c>
      <c r="R161" t="inlineStr">
        <is>
          <t>Liam Hemsworth</t>
        </is>
      </c>
      <c r="S161" t="inlineStr">
        <is>
          <t>Woody Harrelson</t>
        </is>
      </c>
      <c r="T161" t="inlineStr">
        <is>
          <t>Elizabeth Banks</t>
        </is>
      </c>
      <c r="U161" s="71" t="n">
        <v>0</v>
      </c>
      <c r="V161" s="71" t="n">
        <v>0</v>
      </c>
      <c r="X161" s="82">
        <f>IFERROR(INDEX(Ratings!$E$5:$E$500,MATCH(A161,Ratings!$A$5:$A$500,0)),"")</f>
        <v/>
      </c>
      <c r="Y161" s="71">
        <f>IFERROR(INDEX(Ratings!$G$5:$G$500,MATCH(A161,Ratings!$A$5:$A$500,0)),"")</f>
        <v/>
      </c>
      <c r="Z161" s="83">
        <f>IFERROR(INDEX(Ratings!$I$5:$I$500,MATCH(A161,Ratings!$A$5:$A$500,0)),"")</f>
        <v/>
      </c>
    </row>
    <row r="162" ht="15.75" customHeight="1" s="95">
      <c r="A162" t="inlineStr">
        <is>
          <t>F0158</t>
        </is>
      </c>
      <c r="B162" t="inlineStr">
        <is>
          <t>The Hunger Games: Mockingjay - Part 1</t>
        </is>
      </c>
      <c r="C162" s="63" t="inlineStr">
        <is>
          <t>2014</t>
        </is>
      </c>
      <c r="D162" t="inlineStr">
        <is>
          <t>Blu-ray</t>
        </is>
      </c>
      <c r="E162" t="inlineStr">
        <is>
          <t>The Hunger Games</t>
        </is>
      </c>
      <c r="F162" s="64" t="n"/>
      <c r="I162" s="64" t="inlineStr">
        <is>
          <t>After surviving the Quarter Quell, Katniss finds herself in the hidden stronghold of District 13, where the rebellion against the Capitol is gaining momentum. Struggling with the weight of becoming the symbol of resistance, she must navigate fragile alliances while trying to protect those she loves. As propaganda battles rage and Panem moves closer to full-scale war, Katniss is forced to confront the true cost of revolution.</t>
        </is>
      </c>
      <c r="J162" s="64" t="inlineStr">
        <is>
          <t>Francis Lawrence</t>
        </is>
      </c>
      <c r="K162" s="64" t="n">
        <v>123</v>
      </c>
      <c r="L162" s="64" t="inlineStr">
        <is>
          <t>Science Fiction, Adventure, Thriller</t>
        </is>
      </c>
      <c r="M162" s="64" t="inlineStr">
        <is>
          <t>Lionsgate, Color Force</t>
        </is>
      </c>
      <c r="N162" s="64" t="inlineStr">
        <is>
          <t>https://huggingface.co/datasets/HenryWaltson/TMDB-IMDB-Movies-Dataset</t>
        </is>
      </c>
      <c r="O162" s="64" t="inlineStr">
        <is>
          <t>https://huggingface.co/datasets/HenryWaltson/TMDB-IMDB-Movies-Dataset</t>
        </is>
      </c>
      <c r="P162" t="inlineStr">
        <is>
          <t>Jennifer Lawrence</t>
        </is>
      </c>
      <c r="Q162" t="inlineStr">
        <is>
          <t>Josh Hutcherson</t>
        </is>
      </c>
      <c r="R162" t="inlineStr">
        <is>
          <t>Liam Hemsworth</t>
        </is>
      </c>
      <c r="S162" t="inlineStr">
        <is>
          <t>Woody Harrelson</t>
        </is>
      </c>
      <c r="T162" t="inlineStr">
        <is>
          <t>Elizabeth Banks</t>
        </is>
      </c>
      <c r="U162" s="71" t="n">
        <v>0</v>
      </c>
      <c r="V162" s="71" t="n">
        <v>0</v>
      </c>
      <c r="X162" s="82">
        <f>IFERROR(INDEX(Ratings!$E$5:$E$500,MATCH(A162,Ratings!$A$5:$A$500,0)),"")</f>
        <v/>
      </c>
      <c r="Y162" s="71">
        <f>IFERROR(INDEX(Ratings!$G$5:$G$500,MATCH(A162,Ratings!$A$5:$A$500,0)),"")</f>
        <v/>
      </c>
      <c r="Z162" s="83">
        <f>IFERROR(INDEX(Ratings!$I$5:$I$500,MATCH(A162,Ratings!$A$5:$A$500,0)),"")</f>
        <v/>
      </c>
    </row>
    <row r="163" ht="15.75" customHeight="1" s="95">
      <c r="A163" t="inlineStr">
        <is>
          <t>F0159</t>
        </is>
      </c>
      <c r="B163" t="inlineStr">
        <is>
          <t>I, Frankenstein</t>
        </is>
      </c>
      <c r="C163" s="63" t="inlineStr">
        <is>
          <t>2014</t>
        </is>
      </c>
      <c r="D163" t="inlineStr">
        <is>
          <t>Blu-ray</t>
        </is>
      </c>
      <c r="F163" s="64" t="n"/>
      <c r="I163" s="64" t="inlineStr">
        <is>
          <t>200 years after his shocking creation, Dr. Frankenstein's creature, Adam, still walks the earth. But when he finds himself in the middle of a war over the fate of humanity, Adam discovers he holds the key that could destroy humankind.</t>
        </is>
      </c>
      <c r="J163" s="64" t="inlineStr">
        <is>
          <t>Stuart Beattie</t>
        </is>
      </c>
      <c r="K163" s="64" t="n">
        <v>92</v>
      </c>
      <c r="L163" s="64" t="inlineStr">
        <is>
          <t>Horror, Thriller</t>
        </is>
      </c>
      <c r="M163" s="64" t="inlineStr">
        <is>
          <t>Lionsgate, Lakeshore Entertainment, Sidney Kimmel Entertainment</t>
        </is>
      </c>
      <c r="N163" s="64" t="inlineStr">
        <is>
          <t>https://huggingface.co/datasets/HenryWaltson/TMDB-IMDB-Movies-Dataset</t>
        </is>
      </c>
      <c r="O163" s="64" t="inlineStr">
        <is>
          <t>https://huggingface.co/datasets/HenryWaltson/TMDB-IMDB-Movies-Dataset</t>
        </is>
      </c>
      <c r="P163" t="inlineStr">
        <is>
          <t>Aaron Eckhart</t>
        </is>
      </c>
      <c r="Q163" t="inlineStr">
        <is>
          <t>Yvonne Strahovski</t>
        </is>
      </c>
      <c r="R163" t="inlineStr">
        <is>
          <t>Bill Nighy</t>
        </is>
      </c>
      <c r="S163" t="inlineStr">
        <is>
          <t>Jai Courtney</t>
        </is>
      </c>
      <c r="T163" t="inlineStr">
        <is>
          <t>Miranda Otto</t>
        </is>
      </c>
      <c r="U163" s="71" t="n">
        <v>0</v>
      </c>
      <c r="V163" s="71" t="n">
        <v>0</v>
      </c>
      <c r="X163" s="82">
        <f>IFERROR(INDEX(Ratings!$E$5:$E$500,MATCH(A163,Ratings!$A$5:$A$500,0)),"")</f>
        <v/>
      </c>
      <c r="Y163" s="71">
        <f>IFERROR(INDEX(Ratings!$G$5:$G$500,MATCH(A163,Ratings!$A$5:$A$500,0)),"")</f>
        <v/>
      </c>
      <c r="Z163" s="83">
        <f>IFERROR(INDEX(Ratings!$I$5:$I$500,MATCH(A163,Ratings!$A$5:$A$500,0)),"")</f>
        <v/>
      </c>
    </row>
    <row r="164" ht="15.75" customHeight="1" s="95">
      <c r="A164" t="inlineStr">
        <is>
          <t>F0160</t>
        </is>
      </c>
      <c r="B164" t="inlineStr">
        <is>
          <t>Ice Age: The Meltdown</t>
        </is>
      </c>
      <c r="C164" s="63" t="inlineStr">
        <is>
          <t>2006</t>
        </is>
      </c>
      <c r="D164" t="inlineStr">
        <is>
          <t>Blu-ray</t>
        </is>
      </c>
      <c r="E164" t="inlineStr">
        <is>
          <t>Ice Age</t>
        </is>
      </c>
      <c r="F164" s="64" t="n"/>
      <c r="I164" s="64" t="inlineStr">
        <is>
          <t>Diego, Manny and Sid return in this sequel to the hit animated movie Ice Age. This time around, the deep freeze is over, and the ice-covered earth is starting to melt, which will destroy the trio's cherished valley. The impending disaster prompts them to reunite and warn all the other beasts about the desperate situation.</t>
        </is>
      </c>
      <c r="J164" s="64" t="inlineStr">
        <is>
          <t>Carlos Saldanha</t>
        </is>
      </c>
      <c r="K164" s="64" t="n">
        <v>91</v>
      </c>
      <c r="L164" s="64" t="inlineStr">
        <is>
          <t>Animation, Family, Comedy</t>
        </is>
      </c>
      <c r="M164" s="64" t="inlineStr">
        <is>
          <t>Blue Sky Studios, 20th Century Fox Animation</t>
        </is>
      </c>
      <c r="N164" s="64" t="inlineStr">
        <is>
          <t>https://huggingface.co/datasets/HenryWaltson/TMDB-IMDB-Movies-Dataset</t>
        </is>
      </c>
      <c r="O164" s="64" t="inlineStr">
        <is>
          <t>https://huggingface.co/datasets/HenryWaltson/TMDB-IMDB-Movies-Dataset</t>
        </is>
      </c>
      <c r="P164" t="inlineStr">
        <is>
          <t>Ray Romano</t>
        </is>
      </c>
      <c r="Q164" t="inlineStr">
        <is>
          <t>John Leguizamo</t>
        </is>
      </c>
      <c r="R164" t="inlineStr">
        <is>
          <t>Denis Leary</t>
        </is>
      </c>
      <c r="S164" t="inlineStr">
        <is>
          <t>Queen Latifah</t>
        </is>
      </c>
      <c r="T164" t="inlineStr">
        <is>
          <t>Seann William Scott</t>
        </is>
      </c>
      <c r="U164" s="71" t="n">
        <v>0</v>
      </c>
      <c r="V164" s="71" t="n">
        <v>0</v>
      </c>
      <c r="X164" s="82">
        <f>IFERROR(INDEX(Ratings!$E$5:$E$500,MATCH(A164,Ratings!$A$5:$A$500,0)),"")</f>
        <v/>
      </c>
      <c r="Y164" s="71">
        <f>IFERROR(INDEX(Ratings!$G$5:$G$500,MATCH(A164,Ratings!$A$5:$A$500,0)),"")</f>
        <v/>
      </c>
      <c r="Z164" s="83">
        <f>IFERROR(INDEX(Ratings!$I$5:$I$500,MATCH(A164,Ratings!$A$5:$A$500,0)),"")</f>
        <v/>
      </c>
    </row>
    <row r="165" ht="15.75" customHeight="1" s="95">
      <c r="A165" t="inlineStr">
        <is>
          <t>F0161</t>
        </is>
      </c>
      <c r="B165" t="inlineStr">
        <is>
          <t>Ice Age: Dawn of the Dinosaurs</t>
        </is>
      </c>
      <c r="C165" s="63" t="inlineStr">
        <is>
          <t>2009</t>
        </is>
      </c>
      <c r="D165" t="inlineStr">
        <is>
          <t>Blu-ray</t>
        </is>
      </c>
      <c r="E165" t="inlineStr">
        <is>
          <t>Ice Age</t>
        </is>
      </c>
      <c r="F165" s="64" t="n"/>
      <c r="I165" s="64" t="inlineStr">
        <is>
          <t>Times are changing for Manny the moody mammoth, Sid the motor mouthed sloth and Diego the crafty saber-toothed tiger. Life heats up for our heroes when they meet some new and none-too-friendly neighbors – the mighty dinosaurs.</t>
        </is>
      </c>
      <c r="J165" s="64" t="inlineStr">
        <is>
          <t>Carlos Saldanha, Mike Thurmeier</t>
        </is>
      </c>
      <c r="K165" s="64" t="n">
        <v>94</v>
      </c>
      <c r="L165" s="64" t="inlineStr">
        <is>
          <t>Animation, Comedy, Family</t>
        </is>
      </c>
      <c r="M165" s="64" t="inlineStr">
        <is>
          <t>Blue Sky Studios, 20th Century Fox Animation</t>
        </is>
      </c>
      <c r="N165" s="64" t="inlineStr">
        <is>
          <t>https://huggingface.co/datasets/HenryWaltson/TMDB-IMDB-Movies-Dataset</t>
        </is>
      </c>
      <c r="O165" s="64" t="inlineStr">
        <is>
          <t>https://huggingface.co/datasets/HenryWaltson/TMDB-IMDB-Movies-Dataset</t>
        </is>
      </c>
      <c r="P165" t="inlineStr">
        <is>
          <t>Ray Romano</t>
        </is>
      </c>
      <c r="Q165" t="inlineStr">
        <is>
          <t>John Leguizamo</t>
        </is>
      </c>
      <c r="R165" t="inlineStr">
        <is>
          <t>Denis Leary</t>
        </is>
      </c>
      <c r="S165" t="inlineStr">
        <is>
          <t>Queen Latifah</t>
        </is>
      </c>
      <c r="T165" t="inlineStr">
        <is>
          <t>Simon Pegg</t>
        </is>
      </c>
      <c r="U165" s="71" t="n">
        <v>0</v>
      </c>
      <c r="V165" s="71" t="n">
        <v>0</v>
      </c>
      <c r="X165" s="82">
        <f>IFERROR(INDEX(Ratings!$E$5:$E$500,MATCH(A165,Ratings!$A$5:$A$500,0)),"")</f>
        <v/>
      </c>
      <c r="Y165" s="71">
        <f>IFERROR(INDEX(Ratings!$G$5:$G$500,MATCH(A165,Ratings!$A$5:$A$500,0)),"")</f>
        <v/>
      </c>
      <c r="Z165" s="83">
        <f>IFERROR(INDEX(Ratings!$I$5:$I$500,MATCH(A165,Ratings!$A$5:$A$500,0)),"")</f>
        <v/>
      </c>
    </row>
    <row r="166" ht="15.75" customHeight="1" s="95">
      <c r="A166" t="inlineStr">
        <is>
          <t>F0162</t>
        </is>
      </c>
      <c r="B166" t="inlineStr">
        <is>
          <t>The Imitation Game</t>
        </is>
      </c>
      <c r="C166" s="63" t="inlineStr">
        <is>
          <t>2014</t>
        </is>
      </c>
      <c r="D166" t="inlineStr">
        <is>
          <t>Blu-ray</t>
        </is>
      </c>
      <c r="F166" s="64" t="n"/>
      <c r="I166" s="64" t="inlineStr">
        <is>
          <t>Based on the real life story of legendary cryptanalyst Alan Turing, the film portrays the nail-biting race against time by Turing and his brilliant team of code-breakers at Britain's top-secret Government Code and Cypher School at Bletchley Park, during the darkest days of World War II.</t>
        </is>
      </c>
      <c r="J166" s="64" t="inlineStr">
        <is>
          <t>Morten Tyldum</t>
        </is>
      </c>
      <c r="K166" s="64" t="n">
        <v>113</v>
      </c>
      <c r="L166" s="64" t="inlineStr">
        <is>
          <t>History, Drama, Thriller, War</t>
        </is>
      </c>
      <c r="M166" s="64" t="inlineStr">
        <is>
          <t>Bristol Automotive, Black Bear Pictures, The Weinstein Company</t>
        </is>
      </c>
      <c r="N166" s="64" t="inlineStr">
        <is>
          <t>https://huggingface.co/datasets/HenryWaltson/TMDB-IMDB-Movies-Dataset</t>
        </is>
      </c>
      <c r="O166" s="64" t="inlineStr">
        <is>
          <t>https://huggingface.co/datasets/HenryWaltson/TMDB-IMDB-Movies-Dataset</t>
        </is>
      </c>
      <c r="P166" t="inlineStr">
        <is>
          <t>Benedict Cumberbatch</t>
        </is>
      </c>
      <c r="Q166" t="inlineStr">
        <is>
          <t>Keira Knightley</t>
        </is>
      </c>
      <c r="R166" t="inlineStr">
        <is>
          <t>Matthew Goode</t>
        </is>
      </c>
      <c r="S166" t="inlineStr">
        <is>
          <t>Rory Kinnear</t>
        </is>
      </c>
      <c r="T166" t="inlineStr">
        <is>
          <t>Allen Leech</t>
        </is>
      </c>
      <c r="U166" s="71" t="n">
        <v>8</v>
      </c>
      <c r="V166" s="71" t="n">
        <v>1</v>
      </c>
      <c r="W166" t="inlineStr">
        <is>
          <t>Nominated</t>
        </is>
      </c>
      <c r="X166" s="82">
        <f>IFERROR(INDEX(Ratings!$E$5:$E$500,MATCH(A166,Ratings!$A$5:$A$500,0)),"")</f>
        <v/>
      </c>
      <c r="Y166" s="71">
        <f>IFERROR(INDEX(Ratings!$G$5:$G$500,MATCH(A166,Ratings!$A$5:$A$500,0)),"")</f>
        <v/>
      </c>
      <c r="Z166" s="83">
        <f>IFERROR(INDEX(Ratings!$I$5:$I$500,MATCH(A166,Ratings!$A$5:$A$500,0)),"")</f>
        <v/>
      </c>
    </row>
    <row r="167" ht="15.75" customHeight="1" s="95">
      <c r="A167" t="inlineStr">
        <is>
          <t>F0163</t>
        </is>
      </c>
      <c r="B167" t="inlineStr">
        <is>
          <t>The Inbetweeners Movie</t>
        </is>
      </c>
      <c r="C167" s="63" t="inlineStr">
        <is>
          <t>2011</t>
        </is>
      </c>
      <c r="D167" t="inlineStr">
        <is>
          <t>Blu-ray</t>
        </is>
      </c>
      <c r="E167" t="inlineStr">
        <is>
          <t>The Inbetweeners</t>
        </is>
      </c>
      <c r="F167" s="64" t="n"/>
      <c r="I167" s="64" t="inlineStr">
        <is>
          <t>High school graduation just wouldn’t be complete without an unchaperoned, uninhibited and unforgettable final holiday. At least that’s what Will, Jay, Simon and Neil think when they book a two-week stay on an exotic Greek island. As their dreams of sun-drenched days and booze-filled nights are left hopelessly unfulfilled, the lads fight their way into the party scene with hilariously humiliating results.</t>
        </is>
      </c>
      <c r="J167" s="64" t="inlineStr">
        <is>
          <t>Ben Palmer</t>
        </is>
      </c>
      <c r="K167" s="64" t="n">
        <v>97</v>
      </c>
      <c r="L167" s="64" t="inlineStr">
        <is>
          <t>Comedy</t>
        </is>
      </c>
      <c r="M167" s="64" t="inlineStr">
        <is>
          <t>Film4 Productions, Bwark Productions</t>
        </is>
      </c>
      <c r="N167" s="64" t="inlineStr">
        <is>
          <t>https://huggingface.co/datasets/HenryWaltson/TMDB-IMDB-Movies-Dataset</t>
        </is>
      </c>
      <c r="O167" s="64" t="inlineStr">
        <is>
          <t>https://huggingface.co/datasets/HenryWaltson/TMDB-IMDB-Movies-Dataset</t>
        </is>
      </c>
      <c r="P167" t="inlineStr">
        <is>
          <t>Simon Bird</t>
        </is>
      </c>
      <c r="Q167" t="inlineStr">
        <is>
          <t>James Buckley</t>
        </is>
      </c>
      <c r="R167" t="inlineStr">
        <is>
          <t>Blake Harrison</t>
        </is>
      </c>
      <c r="S167" t="inlineStr">
        <is>
          <t>Joe Thomas</t>
        </is>
      </c>
      <c r="T167" t="inlineStr">
        <is>
          <t>Emily Head</t>
        </is>
      </c>
      <c r="U167" s="71" t="n">
        <v>0</v>
      </c>
      <c r="V167" s="71" t="n">
        <v>0</v>
      </c>
      <c r="X167" s="82">
        <f>IFERROR(INDEX(Ratings!$E$5:$E$500,MATCH(A167,Ratings!$A$5:$A$500,0)),"")</f>
        <v/>
      </c>
      <c r="Y167" s="71">
        <f>IFERROR(INDEX(Ratings!$G$5:$G$500,MATCH(A167,Ratings!$A$5:$A$500,0)),"")</f>
        <v/>
      </c>
      <c r="Z167" s="83">
        <f>IFERROR(INDEX(Ratings!$I$5:$I$500,MATCH(A167,Ratings!$A$5:$A$500,0)),"")</f>
        <v/>
      </c>
    </row>
    <row r="168" ht="15.75" customHeight="1" s="95">
      <c r="A168" t="inlineStr">
        <is>
          <t>F0164</t>
        </is>
      </c>
      <c r="B168" t="inlineStr">
        <is>
          <t>The Inbetweeners 2</t>
        </is>
      </c>
      <c r="C168" s="63" t="inlineStr">
        <is>
          <t>2014</t>
        </is>
      </c>
      <c r="D168" t="inlineStr">
        <is>
          <t>Blu-ray</t>
        </is>
      </c>
      <c r="E168" t="inlineStr">
        <is>
          <t>The Inbetweeners</t>
        </is>
      </c>
      <c r="F168" s="64" t="n"/>
      <c r="I168" s="64" t="inlineStr">
        <is>
          <t>Neil, Will and Simon receive an invite from Jay to join him in Australia whilst on his gap year, who promises them it’s 'the sex capital of the world'. With their lives now rather dull compared to their hedonistic school days and legendary lads holiday, it’s an offer they can’t refuse.</t>
        </is>
      </c>
      <c r="J168" s="64" t="inlineStr">
        <is>
          <t>Damon Beesley, Iain Morris</t>
        </is>
      </c>
      <c r="K168" s="64" t="n">
        <v>96</v>
      </c>
      <c r="L168" s="64" t="inlineStr">
        <is>
          <t>Comedy</t>
        </is>
      </c>
      <c r="M168" s="64" t="inlineStr">
        <is>
          <t>Film4 Productions, Young Bwark Productions, Zodiak Rights</t>
        </is>
      </c>
      <c r="N168" s="64" t="inlineStr">
        <is>
          <t>https://huggingface.co/datasets/HenryWaltson/TMDB-IMDB-Movies-Dataset</t>
        </is>
      </c>
      <c r="O168" s="64" t="inlineStr">
        <is>
          <t>https://huggingface.co/datasets/HenryWaltson/TMDB-IMDB-Movies-Dataset</t>
        </is>
      </c>
      <c r="P168" t="inlineStr">
        <is>
          <t>Simon Bird</t>
        </is>
      </c>
      <c r="Q168" t="inlineStr">
        <is>
          <t>James Buckley</t>
        </is>
      </c>
      <c r="R168" t="inlineStr">
        <is>
          <t>Blake Harrison</t>
        </is>
      </c>
      <c r="S168" t="inlineStr">
        <is>
          <t>Joe Thomas</t>
        </is>
      </c>
      <c r="T168" t="inlineStr">
        <is>
          <t>Emily Berrington</t>
        </is>
      </c>
      <c r="U168" s="71" t="n">
        <v>0</v>
      </c>
      <c r="V168" s="71" t="n">
        <v>0</v>
      </c>
      <c r="X168" s="82">
        <f>IFERROR(INDEX(Ratings!$E$5:$E$500,MATCH(A168,Ratings!$A$5:$A$500,0)),"")</f>
        <v/>
      </c>
      <c r="Y168" s="71">
        <f>IFERROR(INDEX(Ratings!$G$5:$G$500,MATCH(A168,Ratings!$A$5:$A$500,0)),"")</f>
        <v/>
      </c>
      <c r="Z168" s="83">
        <f>IFERROR(INDEX(Ratings!$I$5:$I$500,MATCH(A168,Ratings!$A$5:$A$500,0)),"")</f>
        <v/>
      </c>
    </row>
    <row r="169" ht="15.75" customHeight="1" s="95">
      <c r="A169" t="inlineStr">
        <is>
          <t>F0165</t>
        </is>
      </c>
      <c r="B169" t="inlineStr">
        <is>
          <t>Inception</t>
        </is>
      </c>
      <c r="C169" s="63" t="inlineStr">
        <is>
          <t>2010</t>
        </is>
      </c>
      <c r="D169" t="inlineStr">
        <is>
          <t>Blu-ray</t>
        </is>
      </c>
      <c r="F169" s="64" t="n"/>
      <c r="I169" s="64" t="inlineStr">
        <is>
          <t>Cobb, a skilled thief who commits corporate espionage by infiltrating the subconscious of his targets is offered a chance to regain his old life as payment for a task considered to be impossible: "inception", the implantation of another person's idea into a target's subconscious.</t>
        </is>
      </c>
      <c r="J169" s="64" t="inlineStr">
        <is>
          <t>Christopher Nolan</t>
        </is>
      </c>
      <c r="K169" s="64" t="n">
        <v>148</v>
      </c>
      <c r="L169" s="64" t="inlineStr">
        <is>
          <t>Action, Science Fiction, Adventure</t>
        </is>
      </c>
      <c r="M169" s="64" t="inlineStr">
        <is>
          <t>Legendary Pictures, Syncopy, Warner Bros. Pictures</t>
        </is>
      </c>
      <c r="N169" s="64" t="inlineStr">
        <is>
          <t>https://huggingface.co/datasets/HenryWaltson/TMDB-IMDB-Movies-Dataset</t>
        </is>
      </c>
      <c r="O169" s="64" t="inlineStr">
        <is>
          <t>https://huggingface.co/datasets/HenryWaltson/TMDB-IMDB-Movies-Dataset</t>
        </is>
      </c>
      <c r="P169" t="inlineStr">
        <is>
          <t>Leonardo DiCaprio</t>
        </is>
      </c>
      <c r="Q169" t="inlineStr">
        <is>
          <t>Joseph Gordon-Levitt</t>
        </is>
      </c>
      <c r="R169" t="inlineStr">
        <is>
          <t>Ken Watanabe</t>
        </is>
      </c>
      <c r="S169" t="inlineStr">
        <is>
          <t>Tom Hardy</t>
        </is>
      </c>
      <c r="T169" t="inlineStr">
        <is>
          <t>Elliot Page</t>
        </is>
      </c>
      <c r="U169" s="71" t="n">
        <v>8</v>
      </c>
      <c r="V169" s="71" t="n">
        <v>4</v>
      </c>
      <c r="W169" t="inlineStr">
        <is>
          <t>Nominated</t>
        </is>
      </c>
      <c r="X169" s="82">
        <f>IFERROR(INDEX(Ratings!$E$5:$E$500,MATCH(A169,Ratings!$A$5:$A$500,0)),"")</f>
        <v/>
      </c>
      <c r="Y169" s="71">
        <f>IFERROR(INDEX(Ratings!$G$5:$G$500,MATCH(A169,Ratings!$A$5:$A$500,0)),"")</f>
        <v/>
      </c>
      <c r="Z169" s="83">
        <f>IFERROR(INDEX(Ratings!$I$5:$I$500,MATCH(A169,Ratings!$A$5:$A$500,0)),"")</f>
        <v/>
      </c>
    </row>
    <row r="170" ht="15.75" customHeight="1" s="95">
      <c r="A170" t="inlineStr">
        <is>
          <t>F0166</t>
        </is>
      </c>
      <c r="B170" t="inlineStr">
        <is>
          <t>Inglourious Basterds</t>
        </is>
      </c>
      <c r="C170" s="63" t="inlineStr">
        <is>
          <t>2009</t>
        </is>
      </c>
      <c r="D170" t="inlineStr">
        <is>
          <t>Blu-ray</t>
        </is>
      </c>
      <c r="F170" s="64" t="n"/>
      <c r="I170" s="64" t="inlineStr">
        <is>
          <t>In Nazi-occupied France during World War II, a group of Jewish-American soldiers known as "The Basterds" are chosen specifically to spread fear throughout the Third Reich by scalping and brutally killing Nazis. The Basterds, lead by Lt. Aldo Raine soon cross paths with a French-Jewish teenage girl who runs a movie theater in Paris which is targeted by the soldiers.</t>
        </is>
      </c>
      <c r="J170" s="64" t="inlineStr">
        <is>
          <t>Quentin Tarantino</t>
        </is>
      </c>
      <c r="K170" s="64" t="n">
        <v>153</v>
      </c>
      <c r="L170" s="64" t="inlineStr">
        <is>
          <t>Drama, Thriller, War</t>
        </is>
      </c>
      <c r="M170" s="64" t="inlineStr">
        <is>
          <t>The Weinstein Company, Universal Pictures, A Band Apart</t>
        </is>
      </c>
      <c r="N170" s="64" t="inlineStr">
        <is>
          <t>https://huggingface.co/datasets/HenryWaltson/TMDB-IMDB-Movies-Dataset</t>
        </is>
      </c>
      <c r="O170" s="64" t="inlineStr">
        <is>
          <t>https://huggingface.co/datasets/HenryWaltson/TMDB-IMDB-Movies-Dataset</t>
        </is>
      </c>
      <c r="P170" t="inlineStr">
        <is>
          <t>Brad Pitt</t>
        </is>
      </c>
      <c r="Q170" t="inlineStr">
        <is>
          <t>Mélanie Laurent</t>
        </is>
      </c>
      <c r="R170" t="inlineStr">
        <is>
          <t>Christoph Waltz</t>
        </is>
      </c>
      <c r="S170" t="inlineStr">
        <is>
          <t>Michael Fassbender</t>
        </is>
      </c>
      <c r="T170" t="inlineStr">
        <is>
          <t>Diane Kruger</t>
        </is>
      </c>
      <c r="U170" s="71" t="n">
        <v>8</v>
      </c>
      <c r="V170" s="71" t="n">
        <v>1</v>
      </c>
      <c r="W170" t="inlineStr">
        <is>
          <t>Nominated</t>
        </is>
      </c>
      <c r="X170" s="82">
        <f>IFERROR(INDEX(Ratings!$E$5:$E$500,MATCH(A170,Ratings!$A$5:$A$500,0)),"")</f>
        <v/>
      </c>
      <c r="Y170" s="71">
        <f>IFERROR(INDEX(Ratings!$G$5:$G$500,MATCH(A170,Ratings!$A$5:$A$500,0)),"")</f>
        <v/>
      </c>
      <c r="Z170" s="83">
        <f>IFERROR(INDEX(Ratings!$I$5:$I$500,MATCH(A170,Ratings!$A$5:$A$500,0)),"")</f>
        <v/>
      </c>
    </row>
    <row r="171" ht="15.75" customHeight="1" s="95">
      <c r="A171" t="inlineStr">
        <is>
          <t>F0167</t>
        </is>
      </c>
      <c r="B171" t="inlineStr">
        <is>
          <t>Inside Out</t>
        </is>
      </c>
      <c r="C171" s="63" t="inlineStr">
        <is>
          <t>2015</t>
        </is>
      </c>
      <c r="D171" t="inlineStr">
        <is>
          <t>Blu-ray</t>
        </is>
      </c>
      <c r="F171" s="64" t="n"/>
      <c r="I171" s="64" t="inlineStr">
        <is>
          <t>When 11-year-old Riley moves to a new city, her Emotions team up to help her through the transition. Joy, Fear, Anger, Disgust and Sadness work together, but when Joy and Sadness get lost, they must journey through unfamiliar places to get back home.</t>
        </is>
      </c>
      <c r="J171" s="64" t="inlineStr">
        <is>
          <t>Pete Docter, Ronnie Del Carmen</t>
        </is>
      </c>
      <c r="K171" s="64" t="n">
        <v>95</v>
      </c>
      <c r="L171" s="64" t="inlineStr">
        <is>
          <t>Animation, Family, Adventure, Drama, Comedy</t>
        </is>
      </c>
      <c r="M171" s="64" t="inlineStr">
        <is>
          <t>Pixar, Walt Disney Pictures</t>
        </is>
      </c>
      <c r="N171" s="64" t="inlineStr">
        <is>
          <t>https://huggingface.co/datasets/HenryWaltson/TMDB-IMDB-Movies-Dataset</t>
        </is>
      </c>
      <c r="O171" s="64" t="inlineStr">
        <is>
          <t>https://huggingface.co/datasets/HenryWaltson/TMDB-IMDB-Movies-Dataset</t>
        </is>
      </c>
      <c r="P171" t="inlineStr">
        <is>
          <t>Amy Poehler</t>
        </is>
      </c>
      <c r="Q171" t="inlineStr">
        <is>
          <t>Phyllis Smith</t>
        </is>
      </c>
      <c r="R171" t="inlineStr">
        <is>
          <t>Richard Kind</t>
        </is>
      </c>
      <c r="S171" t="inlineStr">
        <is>
          <t>Bill Hader</t>
        </is>
      </c>
      <c r="T171" t="inlineStr">
        <is>
          <t>Lewis Black</t>
        </is>
      </c>
      <c r="U171" s="71" t="n">
        <v>2</v>
      </c>
      <c r="V171" s="71" t="n">
        <v>1</v>
      </c>
      <c r="X171" s="82">
        <f>IFERROR(INDEX(Ratings!$E$5:$E$500,MATCH(A171,Ratings!$A$5:$A$500,0)),"")</f>
        <v/>
      </c>
      <c r="Y171" s="71">
        <f>IFERROR(INDEX(Ratings!$G$5:$G$500,MATCH(A171,Ratings!$A$5:$A$500,0)),"")</f>
        <v/>
      </c>
      <c r="Z171" s="83">
        <f>IFERROR(INDEX(Ratings!$I$5:$I$500,MATCH(A171,Ratings!$A$5:$A$500,0)),"")</f>
        <v/>
      </c>
    </row>
    <row r="172" ht="15.75" customHeight="1" s="95">
      <c r="A172" t="inlineStr">
        <is>
          <t>F0168</t>
        </is>
      </c>
      <c r="B172" t="inlineStr">
        <is>
          <t>Interstellar</t>
        </is>
      </c>
      <c r="C172" s="63" t="inlineStr">
        <is>
          <t>2014</t>
        </is>
      </c>
      <c r="D172" t="inlineStr">
        <is>
          <t>4K UHD</t>
        </is>
      </c>
      <c r="F172" s="64" t="n"/>
      <c r="I172" s="64" t="inlineStr">
        <is>
          <t>The adventures of a group of explorers who make use of a newly discovered wormhole to surpass the limitations on human space travel and conquer the vast distances involved in an interstellar voyage.</t>
        </is>
      </c>
      <c r="J172" s="64" t="inlineStr">
        <is>
          <t>Christopher Nolan</t>
        </is>
      </c>
      <c r="K172" s="64" t="n">
        <v>169</v>
      </c>
      <c r="L172" s="64" t="inlineStr">
        <is>
          <t>Adventure, Drama, Science Fiction</t>
        </is>
      </c>
      <c r="M172" s="64" t="inlineStr">
        <is>
          <t>Legendary Pictures, Syncopy, Lynda Obst Productions</t>
        </is>
      </c>
      <c r="N172" s="64" t="inlineStr">
        <is>
          <t>https://huggingface.co/datasets/HenryWaltson/TMDB-IMDB-Movies-Dataset</t>
        </is>
      </c>
      <c r="O172" s="64" t="inlineStr">
        <is>
          <t>https://huggingface.co/datasets/HenryWaltson/TMDB-IMDB-Movies-Dataset</t>
        </is>
      </c>
      <c r="P172" t="inlineStr">
        <is>
          <t>Matthew McConaughey</t>
        </is>
      </c>
      <c r="Q172" t="inlineStr">
        <is>
          <t>Anne Hathaway</t>
        </is>
      </c>
      <c r="R172" t="inlineStr">
        <is>
          <t>Michael Caine</t>
        </is>
      </c>
      <c r="S172" t="inlineStr">
        <is>
          <t>Jessica Chastain</t>
        </is>
      </c>
      <c r="T172" t="inlineStr">
        <is>
          <t>Casey Affleck</t>
        </is>
      </c>
      <c r="U172" s="71" t="n">
        <v>5</v>
      </c>
      <c r="V172" s="71" t="n">
        <v>1</v>
      </c>
      <c r="X172" s="82">
        <f>IFERROR(INDEX(Ratings!$E$5:$E$500,MATCH(A172,Ratings!$A$5:$A$500,0)),"")</f>
        <v/>
      </c>
      <c r="Y172" s="71">
        <f>IFERROR(INDEX(Ratings!$G$5:$G$500,MATCH(A172,Ratings!$A$5:$A$500,0)),"")</f>
        <v/>
      </c>
      <c r="Z172" s="83">
        <f>IFERROR(INDEX(Ratings!$I$5:$I$500,MATCH(A172,Ratings!$A$5:$A$500,0)),"")</f>
        <v/>
      </c>
    </row>
    <row r="173" ht="15.75" customHeight="1" s="95">
      <c r="A173" t="inlineStr">
        <is>
          <t>F0169</t>
        </is>
      </c>
      <c r="B173" t="inlineStr">
        <is>
          <t>Iron Man 3</t>
        </is>
      </c>
      <c r="C173" s="63" t="inlineStr">
        <is>
          <t>2013</t>
        </is>
      </c>
      <c r="D173" t="inlineStr">
        <is>
          <t>Blu-ray</t>
        </is>
      </c>
      <c r="E173" t="inlineStr">
        <is>
          <t>MCU</t>
        </is>
      </c>
      <c r="F173" s="64" t="n"/>
      <c r="I173" s="64" t="inlineStr">
        <is>
          <t>When Tony Stark's world is torn apart by a formidable terrorist called the Mandarin, he starts an odyssey of rebuilding and retribution.</t>
        </is>
      </c>
      <c r="J173" s="64" t="inlineStr">
        <is>
          <t>Shane Black</t>
        </is>
      </c>
      <c r="K173" s="64" t="n">
        <v>130</v>
      </c>
      <c r="L173" s="64" t="inlineStr">
        <is>
          <t>Action, Adventure, Science Fiction</t>
        </is>
      </c>
      <c r="M173" s="64" t="inlineStr">
        <is>
          <t>Marvel Studios</t>
        </is>
      </c>
      <c r="N173" s="64" t="inlineStr">
        <is>
          <t>https://huggingface.co/datasets/HenryWaltson/TMDB-IMDB-Movies-Dataset</t>
        </is>
      </c>
      <c r="O173" s="64" t="inlineStr">
        <is>
          <t>https://huggingface.co/datasets/HenryWaltson/TMDB-IMDB-Movies-Dataset</t>
        </is>
      </c>
      <c r="P173" t="inlineStr">
        <is>
          <t>Robert Downey Jr.</t>
        </is>
      </c>
      <c r="Q173" t="inlineStr">
        <is>
          <t>Gwyneth Paltrow</t>
        </is>
      </c>
      <c r="R173" t="inlineStr">
        <is>
          <t>Don Cheadle</t>
        </is>
      </c>
      <c r="S173" t="inlineStr">
        <is>
          <t>Guy Pearce</t>
        </is>
      </c>
      <c r="T173" t="inlineStr">
        <is>
          <t>Rebecca Hall</t>
        </is>
      </c>
      <c r="U173" s="71" t="n">
        <v>1</v>
      </c>
      <c r="V173" s="71" t="n">
        <v>0</v>
      </c>
      <c r="X173" s="82">
        <f>IFERROR(INDEX(Ratings!$E$5:$E$500,MATCH(A173,Ratings!$A$5:$A$500,0)),"")</f>
        <v/>
      </c>
      <c r="Y173" s="71">
        <f>IFERROR(INDEX(Ratings!$G$5:$G$500,MATCH(A173,Ratings!$A$5:$A$500,0)),"")</f>
        <v/>
      </c>
      <c r="Z173" s="83">
        <f>IFERROR(INDEX(Ratings!$I$5:$I$500,MATCH(A173,Ratings!$A$5:$A$500,0)),"")</f>
        <v/>
      </c>
    </row>
    <row r="174" ht="15.75" customHeight="1" s="95">
      <c r="A174" t="inlineStr">
        <is>
          <t>F0170</t>
        </is>
      </c>
      <c r="B174" t="inlineStr">
        <is>
          <t>Jojo Rabbit</t>
        </is>
      </c>
      <c r="C174" s="63" t="inlineStr">
        <is>
          <t>2019</t>
        </is>
      </c>
      <c r="D174" t="inlineStr">
        <is>
          <t>Blu-ray</t>
        </is>
      </c>
      <c r="F174" s="64" t="n"/>
      <c r="I174" s="64" t="inlineStr">
        <is>
          <t>Jojo, a lonely German boy during World War II has his world shaken when he learns that his single mother is hiding a Jewish girl in their home. Influenced by a buffoonish imaginary version of Adolf Hitler, he begins to question his beliefs and confront the conflict between propaganda and his own humanity.</t>
        </is>
      </c>
      <c r="J174" s="64" t="inlineStr">
        <is>
          <t>Taika Waititi</t>
        </is>
      </c>
      <c r="K174" s="64" t="n">
        <v>108</v>
      </c>
      <c r="L174" s="64" t="inlineStr">
        <is>
          <t>Comedy, War, Drama</t>
        </is>
      </c>
      <c r="M174" s="64" t="inlineStr">
        <is>
          <t>Fox Searchlight Pictures, Defender Films, Piki Films</t>
        </is>
      </c>
      <c r="N174" s="64" t="inlineStr">
        <is>
          <t>https://huggingface.co/datasets/HenryWaltson/TMDB-IMDB-Movies-Dataset</t>
        </is>
      </c>
      <c r="O174" s="64" t="inlineStr">
        <is>
          <t>https://huggingface.co/datasets/HenryWaltson/TMDB-IMDB-Movies-Dataset</t>
        </is>
      </c>
      <c r="P174" t="inlineStr">
        <is>
          <t>Roman Griffin Davis</t>
        </is>
      </c>
      <c r="Q174" t="inlineStr">
        <is>
          <t>Thomasin McKenzie</t>
        </is>
      </c>
      <c r="R174" t="inlineStr">
        <is>
          <t>Scarlett Johansson</t>
        </is>
      </c>
      <c r="S174" t="inlineStr">
        <is>
          <t>Sam Rockwell</t>
        </is>
      </c>
      <c r="T174" t="inlineStr">
        <is>
          <t>Rebel Wilson</t>
        </is>
      </c>
      <c r="U174" s="71" t="n">
        <v>6</v>
      </c>
      <c r="V174" s="71" t="n">
        <v>1</v>
      </c>
      <c r="W174" t="inlineStr">
        <is>
          <t>Nominated</t>
        </is>
      </c>
      <c r="X174" s="82">
        <f>IFERROR(INDEX(Ratings!$E$5:$E$500,MATCH(A174,Ratings!$A$5:$A$500,0)),"")</f>
        <v/>
      </c>
      <c r="Y174" s="71">
        <f>IFERROR(INDEX(Ratings!$G$5:$G$500,MATCH(A174,Ratings!$A$5:$A$500,0)),"")</f>
        <v/>
      </c>
      <c r="Z174" s="83">
        <f>IFERROR(INDEX(Ratings!$I$5:$I$500,MATCH(A174,Ratings!$A$5:$A$500,0)),"")</f>
        <v/>
      </c>
    </row>
    <row r="175" ht="15.75" customHeight="1" s="95">
      <c r="A175" t="inlineStr">
        <is>
          <t>F0171</t>
        </is>
      </c>
      <c r="B175" t="inlineStr">
        <is>
          <t>Jack Reacher</t>
        </is>
      </c>
      <c r="C175" s="63" t="inlineStr">
        <is>
          <t>2012</t>
        </is>
      </c>
      <c r="D175" t="inlineStr">
        <is>
          <t>Blu-ray</t>
        </is>
      </c>
      <c r="F175" s="64" t="n"/>
      <c r="I175" s="64" t="inlineStr">
        <is>
          <t>One morning in an ordinary town, five people are shot dead in a seemingly random attack. All evidence points to a single suspect: an ex-military sniper who is quickly brought into custody. The interrogation yields one written note: 'Get Jack Reacher!'. Reacher, an enigmatic ex-Army investigator, believes the authorities have the right man but agrees to help the sniper's defense attorney. However, the more Reacher delves into the case, the less clear-cut it appears. So begins an extraordinary chase for the truth, pitting Jack Reacher against an unexpected enemy, with a skill for violence and a secret to keep.</t>
        </is>
      </c>
      <c r="J175" s="64" t="inlineStr">
        <is>
          <t>Christopher McQuarrie</t>
        </is>
      </c>
      <c r="K175" s="64" t="n">
        <v>130</v>
      </c>
      <c r="L175" s="64" t="inlineStr">
        <is>
          <t>Crime, Drama, Thriller, Action</t>
        </is>
      </c>
      <c r="M175" s="64" t="inlineStr">
        <is>
          <t>Skydance, H2L Media "AKA" Mutual Film Company, H2L Media Group</t>
        </is>
      </c>
      <c r="N175" s="64" t="inlineStr">
        <is>
          <t>https://huggingface.co/datasets/HenryWaltson/TMDB-IMDB-Movies-Dataset</t>
        </is>
      </c>
      <c r="O175" s="64" t="inlineStr">
        <is>
          <t>https://huggingface.co/datasets/HenryWaltson/TMDB-IMDB-Movies-Dataset</t>
        </is>
      </c>
      <c r="P175" t="inlineStr">
        <is>
          <t>Tom Cruise</t>
        </is>
      </c>
      <c r="Q175" t="inlineStr">
        <is>
          <t>Rosamund Pike</t>
        </is>
      </c>
      <c r="R175" t="inlineStr">
        <is>
          <t>Richard Jenkins</t>
        </is>
      </c>
      <c r="S175" t="inlineStr">
        <is>
          <t>David Oyelowo</t>
        </is>
      </c>
      <c r="T175" t="inlineStr">
        <is>
          <t>Jai Courtney</t>
        </is>
      </c>
      <c r="U175" s="71" t="n">
        <v>0</v>
      </c>
      <c r="V175" s="71" t="n">
        <v>0</v>
      </c>
      <c r="X175" s="82">
        <f>IFERROR(INDEX(Ratings!$E$5:$E$500,MATCH(A175,Ratings!$A$5:$A$500,0)),"")</f>
        <v/>
      </c>
      <c r="Y175" s="71">
        <f>IFERROR(INDEX(Ratings!$G$5:$G$500,MATCH(A175,Ratings!$A$5:$A$500,0)),"")</f>
        <v/>
      </c>
      <c r="Z175" s="83">
        <f>IFERROR(INDEX(Ratings!$I$5:$I$500,MATCH(A175,Ratings!$A$5:$A$500,0)),"")</f>
        <v/>
      </c>
    </row>
    <row r="176" ht="15.75" customHeight="1" s="95">
      <c r="A176" t="inlineStr">
        <is>
          <t>F0172</t>
        </is>
      </c>
      <c r="B176" t="inlineStr">
        <is>
          <t>Jackass 3D</t>
        </is>
      </c>
      <c r="C176" s="63" t="inlineStr">
        <is>
          <t>2010</t>
        </is>
      </c>
      <c r="D176" t="inlineStr">
        <is>
          <t>Blu-ray</t>
        </is>
      </c>
      <c r="F176" s="64" t="n"/>
      <c r="I176" s="64" t="inlineStr">
        <is>
          <t>Johnny Knoxville, Bam Margera, Steve-O, Wee Man and the rest of their fearless and foolhardy friends take part in another round of outrageous pranks and stunts. In addition to standing in the path of a charging bull, launching themselves into the air and crashing through various objects, the guys perform in segments such as "Sweatsuit Cocktail," "Beehive Tetherball" and "Lamborghini Tooth Pull."</t>
        </is>
      </c>
      <c r="J176" s="64" t="inlineStr">
        <is>
          <t>Jeff Tremaine</t>
        </is>
      </c>
      <c r="K176" s="64" t="n">
        <v>94</v>
      </c>
      <c r="L176" s="64" t="inlineStr">
        <is>
          <t>Comedy, Documentary, Action</t>
        </is>
      </c>
      <c r="M176" s="64" t="inlineStr">
        <is>
          <t>Paramount Pictures, MTV Films, Dickhouse Productions</t>
        </is>
      </c>
      <c r="N176" s="64" t="inlineStr">
        <is>
          <t>https://huggingface.co/datasets/HenryWaltson/TMDB-IMDB-Movies-Dataset</t>
        </is>
      </c>
      <c r="O176" s="64" t="inlineStr">
        <is>
          <t>https://huggingface.co/datasets/HenryWaltson/TMDB-IMDB-Movies-Dataset</t>
        </is>
      </c>
      <c r="P176" t="inlineStr">
        <is>
          <t>Johnny Knoxville</t>
        </is>
      </c>
      <c r="Q176" t="inlineStr">
        <is>
          <t>Bam Margera</t>
        </is>
      </c>
      <c r="R176" t="inlineStr">
        <is>
          <t>Ryan Dunn</t>
        </is>
      </c>
      <c r="S176" t="inlineStr">
        <is>
          <t>Steve-O</t>
        </is>
      </c>
      <c r="T176" t="inlineStr">
        <is>
          <t>Chris Pontius</t>
        </is>
      </c>
      <c r="U176" s="71" t="n">
        <v>0</v>
      </c>
      <c r="V176" s="71" t="n">
        <v>0</v>
      </c>
      <c r="X176" s="82">
        <f>IFERROR(INDEX(Ratings!$E$5:$E$500,MATCH(A176,Ratings!$A$5:$A$500,0)),"")</f>
        <v/>
      </c>
      <c r="Y176" s="71">
        <f>IFERROR(INDEX(Ratings!$G$5:$G$500,MATCH(A176,Ratings!$A$5:$A$500,0)),"")</f>
        <v/>
      </c>
      <c r="Z176" s="83">
        <f>IFERROR(INDEX(Ratings!$I$5:$I$500,MATCH(A176,Ratings!$A$5:$A$500,0)),"")</f>
        <v/>
      </c>
    </row>
    <row r="177" ht="15.75" customHeight="1" s="95">
      <c r="A177" t="inlineStr">
        <is>
          <t>F0173</t>
        </is>
      </c>
      <c r="B177" t="inlineStr">
        <is>
          <t>Jonah Hex</t>
        </is>
      </c>
      <c r="C177" s="63" t="inlineStr">
        <is>
          <t>2010</t>
        </is>
      </c>
      <c r="D177" t="inlineStr">
        <is>
          <t>Blu-ray</t>
        </is>
      </c>
      <c r="F177" s="64" t="n"/>
      <c r="I177" s="64" t="inlineStr">
        <is>
          <t>Gunslinger Jonah Hex is appointed by President Ulysses Grant to track down terrorist Quentin Turnbull, a former Confederate officer determined on unleashing hell on earth. Jonah not only secures freedom by accepting this task, he also gets revenge on the man who slew his wife and child.</t>
        </is>
      </c>
      <c r="J177" s="64" t="inlineStr">
        <is>
          <t>Jimmy Hayward</t>
        </is>
      </c>
      <c r="K177" s="64" t="n">
        <v>81</v>
      </c>
      <c r="L177" s="64" t="inlineStr">
        <is>
          <t>Action, Western, Drama, Fantasy, Thriller</t>
        </is>
      </c>
      <c r="M177" s="64" t="inlineStr">
        <is>
          <t>Warner Bros. Pictures, Legendary Pictures, Weed Road Pictures</t>
        </is>
      </c>
      <c r="N177" s="64" t="inlineStr">
        <is>
          <t>https://huggingface.co/datasets/HenryWaltson/TMDB-IMDB-Movies-Dataset</t>
        </is>
      </c>
      <c r="O177" s="64" t="inlineStr">
        <is>
          <t>https://huggingface.co/datasets/HenryWaltson/TMDB-IMDB-Movies-Dataset</t>
        </is>
      </c>
      <c r="P177" t="inlineStr">
        <is>
          <t>Josh Brolin</t>
        </is>
      </c>
      <c r="Q177" t="inlineStr">
        <is>
          <t>John Malkovich</t>
        </is>
      </c>
      <c r="R177" t="inlineStr">
        <is>
          <t>Megan Fox</t>
        </is>
      </c>
      <c r="S177" t="inlineStr">
        <is>
          <t>Michael Fassbender</t>
        </is>
      </c>
      <c r="T177" t="inlineStr">
        <is>
          <t>Will Arnett</t>
        </is>
      </c>
      <c r="U177" s="71" t="n">
        <v>0</v>
      </c>
      <c r="V177" s="71" t="n">
        <v>0</v>
      </c>
      <c r="X177" s="82">
        <f>IFERROR(INDEX(Ratings!$E$5:$E$500,MATCH(A177,Ratings!$A$5:$A$500,0)),"")</f>
        <v/>
      </c>
      <c r="Y177" s="71">
        <f>IFERROR(INDEX(Ratings!$G$5:$G$500,MATCH(A177,Ratings!$A$5:$A$500,0)),"")</f>
        <v/>
      </c>
      <c r="Z177" s="83">
        <f>IFERROR(INDEX(Ratings!$I$5:$I$500,MATCH(A177,Ratings!$A$5:$A$500,0)),"")</f>
        <v/>
      </c>
    </row>
    <row r="178" ht="15.75" customHeight="1" s="95">
      <c r="A178" t="inlineStr">
        <is>
          <t>F0174</t>
        </is>
      </c>
      <c r="B178" t="inlineStr">
        <is>
          <t>Journey to the Center of the Earth</t>
        </is>
      </c>
      <c r="C178" s="63" t="inlineStr">
        <is>
          <t>2008</t>
        </is>
      </c>
      <c r="D178" t="inlineStr">
        <is>
          <t>Blu-ray</t>
        </is>
      </c>
      <c r="F178" s="64" t="n"/>
      <c r="I178" s="64" t="inlineStr">
        <is>
          <t>On a quest to find out what happened to his missing brother, a scientist, his nephew and their mountain guide discover a fantastic and dangerous lost world in the center of the earth.</t>
        </is>
      </c>
      <c r="J178" s="64" t="inlineStr">
        <is>
          <t>Eric Brevig</t>
        </is>
      </c>
      <c r="K178" s="64" t="n">
        <v>93</v>
      </c>
      <c r="L178" s="64" t="inlineStr">
        <is>
          <t>Action, Science Fiction, Adventure, Comedy, Family</t>
        </is>
      </c>
      <c r="M178" s="64" t="inlineStr">
        <is>
          <t>New Line Cinema, Walden Media</t>
        </is>
      </c>
      <c r="N178" s="64" t="inlineStr">
        <is>
          <t>https://huggingface.co/datasets/HenryWaltson/TMDB-IMDB-Movies-Dataset</t>
        </is>
      </c>
      <c r="O178" s="64" t="inlineStr">
        <is>
          <t>https://huggingface.co/datasets/HenryWaltson/TMDB-IMDB-Movies-Dataset</t>
        </is>
      </c>
      <c r="P178" t="inlineStr">
        <is>
          <t>Brendan Fraser</t>
        </is>
      </c>
      <c r="Q178" t="inlineStr">
        <is>
          <t>Josh Hutcherson</t>
        </is>
      </c>
      <c r="R178" t="inlineStr">
        <is>
          <t>Anita Briem</t>
        </is>
      </c>
      <c r="S178" t="inlineStr">
        <is>
          <t>Seth Meyers</t>
        </is>
      </c>
      <c r="T178" t="inlineStr">
        <is>
          <t>Jean Michel Paré</t>
        </is>
      </c>
      <c r="U178" s="71" t="n">
        <v>0</v>
      </c>
      <c r="V178" s="71" t="n">
        <v>0</v>
      </c>
      <c r="X178" s="82">
        <f>IFERROR(INDEX(Ratings!$E$5:$E$500,MATCH(A178,Ratings!$A$5:$A$500,0)),"")</f>
        <v/>
      </c>
      <c r="Y178" s="71">
        <f>IFERROR(INDEX(Ratings!$G$5:$G$500,MATCH(A178,Ratings!$A$5:$A$500,0)),"")</f>
        <v/>
      </c>
      <c r="Z178" s="83">
        <f>IFERROR(INDEX(Ratings!$I$5:$I$500,MATCH(A178,Ratings!$A$5:$A$500,0)),"")</f>
        <v/>
      </c>
    </row>
    <row r="179" ht="15.75" customHeight="1" s="95">
      <c r="A179" t="inlineStr">
        <is>
          <t>F0175</t>
        </is>
      </c>
      <c r="B179" t="inlineStr">
        <is>
          <t>Jumper</t>
        </is>
      </c>
      <c r="C179" s="63" t="inlineStr">
        <is>
          <t>2008</t>
        </is>
      </c>
      <c r="D179" t="inlineStr">
        <is>
          <t>Blu-ray</t>
        </is>
      </c>
      <c r="F179" s="64" t="n"/>
      <c r="I179" s="64" t="inlineStr">
        <is>
          <t>David Rice is a man who knows no boundaries, a Jumper, born with the uncanny ability to teleport instantly to anywhere on Earth. When he discovers others like himself, David is thrust into a dangerous and bloodthirsty war while being hunted by a sinister and determined group of zealots who have sworn to destroy all Jumpers. Now, David’s extraordinary gift may be his only hope for survival!</t>
        </is>
      </c>
      <c r="J179" s="64" t="inlineStr">
        <is>
          <t>Doug Liman</t>
        </is>
      </c>
      <c r="K179" s="64" t="n">
        <v>88</v>
      </c>
      <c r="L179" s="64" t="inlineStr">
        <is>
          <t>Action, Adventure, Science Fiction</t>
        </is>
      </c>
      <c r="M179" s="64" t="inlineStr">
        <is>
          <t>Dune Entertainment, Hypnotic, New Regency Pictures</t>
        </is>
      </c>
      <c r="N179" s="64" t="inlineStr">
        <is>
          <t>https://huggingface.co/datasets/HenryWaltson/TMDB-IMDB-Movies-Dataset</t>
        </is>
      </c>
      <c r="O179" s="64" t="inlineStr">
        <is>
          <t>https://huggingface.co/datasets/HenryWaltson/TMDB-IMDB-Movies-Dataset</t>
        </is>
      </c>
      <c r="P179" t="inlineStr">
        <is>
          <t>Hayden Christensen</t>
        </is>
      </c>
      <c r="Q179" t="inlineStr">
        <is>
          <t>Jamie Bell</t>
        </is>
      </c>
      <c r="R179" t="inlineStr">
        <is>
          <t>Samuel L. Jackson</t>
        </is>
      </c>
      <c r="S179" t="inlineStr">
        <is>
          <t>Rachel Bilson</t>
        </is>
      </c>
      <c r="T179" t="inlineStr">
        <is>
          <t>Michael Rooker</t>
        </is>
      </c>
      <c r="U179" s="71" t="n">
        <v>0</v>
      </c>
      <c r="V179" s="71" t="n">
        <v>0</v>
      </c>
      <c r="X179" s="82">
        <f>IFERROR(INDEX(Ratings!$E$5:$E$500,MATCH(A179,Ratings!$A$5:$A$500,0)),"")</f>
        <v/>
      </c>
      <c r="Y179" s="71">
        <f>IFERROR(INDEX(Ratings!$G$5:$G$500,MATCH(A179,Ratings!$A$5:$A$500,0)),"")</f>
        <v/>
      </c>
      <c r="Z179" s="83">
        <f>IFERROR(INDEX(Ratings!$I$5:$I$500,MATCH(A179,Ratings!$A$5:$A$500,0)),"")</f>
        <v/>
      </c>
    </row>
    <row r="180" ht="15.75" customHeight="1" s="95">
      <c r="A180" t="inlineStr">
        <is>
          <t>F0176</t>
        </is>
      </c>
      <c r="B180" t="inlineStr">
        <is>
          <t>Jurassic Park</t>
        </is>
      </c>
      <c r="C180" s="63" t="inlineStr">
        <is>
          <t>1993</t>
        </is>
      </c>
      <c r="D180" t="inlineStr">
        <is>
          <t>Blu-ray</t>
        </is>
      </c>
      <c r="E180" t="inlineStr">
        <is>
          <t>Jurassic Park / World</t>
        </is>
      </c>
      <c r="F180" s="64" t="inlineStr">
        <is>
          <t>Jurassic Park / World: 7-Film Collection</t>
        </is>
      </c>
      <c r="I180" s="64" t="inlineStr">
        <is>
          <t>Owned via Jurassic Park / World: 7-Film Collection.</t>
        </is>
      </c>
      <c r="J180" s="64" t="inlineStr">
        <is>
          <t>Steven Spielberg</t>
        </is>
      </c>
      <c r="K180" s="64" t="n">
        <v>127</v>
      </c>
      <c r="L180" s="64" t="inlineStr">
        <is>
          <t>Adventure, Science Fiction, Thriller</t>
        </is>
      </c>
      <c r="M180" s="64" t="inlineStr">
        <is>
          <t>Universal Pictures, Amblin Entertainment</t>
        </is>
      </c>
      <c r="N180" s="64" t="inlineStr">
        <is>
          <t>https://huggingface.co/datasets/HenryWaltson/TMDB-IMDB-Movies-Dataset</t>
        </is>
      </c>
      <c r="O180" s="64" t="inlineStr">
        <is>
          <t>https://huggingface.co/datasets/HenryWaltson/TMDB-IMDB-Movies-Dataset</t>
        </is>
      </c>
      <c r="P180" t="inlineStr">
        <is>
          <t>Sam Neill</t>
        </is>
      </c>
      <c r="Q180" t="inlineStr">
        <is>
          <t>Laura Dern</t>
        </is>
      </c>
      <c r="R180" t="inlineStr">
        <is>
          <t>Jeff Goldblum</t>
        </is>
      </c>
      <c r="S180" t="inlineStr">
        <is>
          <t>Richard Attenborough</t>
        </is>
      </c>
      <c r="T180" t="inlineStr">
        <is>
          <t>Bob Peck</t>
        </is>
      </c>
      <c r="U180" s="71" t="n">
        <v>3</v>
      </c>
      <c r="V180" s="71" t="n">
        <v>3</v>
      </c>
      <c r="X180" s="82">
        <f>IFERROR(INDEX(Ratings!$E$5:$E$500,MATCH(A180,Ratings!$A$5:$A$500,0)),"")</f>
        <v/>
      </c>
      <c r="Y180" s="71">
        <f>IFERROR(INDEX(Ratings!$G$5:$G$500,MATCH(A180,Ratings!$A$5:$A$500,0)),"")</f>
        <v/>
      </c>
      <c r="Z180" s="83">
        <f>IFERROR(INDEX(Ratings!$I$5:$I$500,MATCH(A180,Ratings!$A$5:$A$500,0)),"")</f>
        <v/>
      </c>
    </row>
    <row r="181" ht="15.75" customHeight="1" s="95">
      <c r="A181" t="inlineStr">
        <is>
          <t>F0177</t>
        </is>
      </c>
      <c r="B181" t="inlineStr">
        <is>
          <t>The Lost World: Jurassic Park</t>
        </is>
      </c>
      <c r="C181" s="63" t="inlineStr">
        <is>
          <t>1997</t>
        </is>
      </c>
      <c r="D181" t="inlineStr">
        <is>
          <t>Blu-ray</t>
        </is>
      </c>
      <c r="E181" t="inlineStr">
        <is>
          <t>Jurassic Park / World</t>
        </is>
      </c>
      <c r="F181" s="64" t="inlineStr">
        <is>
          <t>Jurassic Park / World: 7-Film Collection</t>
        </is>
      </c>
      <c r="I181" s="64" t="inlineStr">
        <is>
          <t>Owned via Jurassic Park / World: 7-Film Collection.</t>
        </is>
      </c>
      <c r="J181" s="64" t="inlineStr">
        <is>
          <t>Steven Spielberg</t>
        </is>
      </c>
      <c r="K181" s="64" t="n">
        <v>129</v>
      </c>
      <c r="L181" s="64" t="inlineStr">
        <is>
          <t>Adventure, Science Fiction, Thriller</t>
        </is>
      </c>
      <c r="M181" s="64" t="inlineStr">
        <is>
          <t>Universal Pictures, Amblin Entertainment</t>
        </is>
      </c>
      <c r="N181" s="64" t="inlineStr">
        <is>
          <t>https://huggingface.co/datasets/HenryWaltson/TMDB-IMDB-Movies-Dataset</t>
        </is>
      </c>
      <c r="O181" s="64" t="inlineStr">
        <is>
          <t>https://huggingface.co/datasets/HenryWaltson/TMDB-IMDB-Movies-Dataset</t>
        </is>
      </c>
      <c r="P181" t="inlineStr">
        <is>
          <t>Jeff Goldblum</t>
        </is>
      </c>
      <c r="Q181" t="inlineStr">
        <is>
          <t>Julianne Moore</t>
        </is>
      </c>
      <c r="R181" t="inlineStr">
        <is>
          <t>Pete Postlethwaite</t>
        </is>
      </c>
      <c r="S181" t="inlineStr">
        <is>
          <t>Arliss Howard</t>
        </is>
      </c>
      <c r="T181" t="inlineStr">
        <is>
          <t>Richard Attenborough</t>
        </is>
      </c>
      <c r="U181" s="71" t="n">
        <v>1</v>
      </c>
      <c r="V181" s="71" t="n">
        <v>0</v>
      </c>
      <c r="X181" s="82">
        <f>IFERROR(INDEX(Ratings!$E$5:$E$500,MATCH(A181,Ratings!$A$5:$A$500,0)),"")</f>
        <v/>
      </c>
      <c r="Y181" s="71">
        <f>IFERROR(INDEX(Ratings!$G$5:$G$500,MATCH(A181,Ratings!$A$5:$A$500,0)),"")</f>
        <v/>
      </c>
      <c r="Z181" s="83">
        <f>IFERROR(INDEX(Ratings!$I$5:$I$500,MATCH(A181,Ratings!$A$5:$A$500,0)),"")</f>
        <v/>
      </c>
    </row>
    <row r="182" ht="15.75" customHeight="1" s="95">
      <c r="A182" t="inlineStr">
        <is>
          <t>F0178</t>
        </is>
      </c>
      <c r="B182" t="inlineStr">
        <is>
          <t>Jurassic Park III</t>
        </is>
      </c>
      <c r="C182" s="63" t="inlineStr">
        <is>
          <t>2001</t>
        </is>
      </c>
      <c r="D182" t="inlineStr">
        <is>
          <t>Blu-ray</t>
        </is>
      </c>
      <c r="E182" t="inlineStr">
        <is>
          <t>Jurassic Park / World</t>
        </is>
      </c>
      <c r="F182" s="64" t="inlineStr">
        <is>
          <t>Jurassic Park / World: 7-Film Collection</t>
        </is>
      </c>
      <c r="I182" s="64" t="inlineStr">
        <is>
          <t>Owned via Jurassic Park / World: 7-Film Collection.</t>
        </is>
      </c>
      <c r="J182" s="64" t="inlineStr">
        <is>
          <t>Joe Johnston</t>
        </is>
      </c>
      <c r="K182" s="64" t="n">
        <v>92</v>
      </c>
      <c r="L182" s="64" t="inlineStr">
        <is>
          <t>Adventure, Science Fiction, Thriller</t>
        </is>
      </c>
      <c r="M182" s="64" t="inlineStr">
        <is>
          <t>Universal Pictures, Amblin Entertainment</t>
        </is>
      </c>
      <c r="N182" s="64" t="inlineStr">
        <is>
          <t>https://huggingface.co/datasets/HenryWaltson/TMDB-IMDB-Movies-Dataset</t>
        </is>
      </c>
      <c r="O182" s="64" t="inlineStr">
        <is>
          <t>https://huggingface.co/datasets/HenryWaltson/TMDB-IMDB-Movies-Dataset</t>
        </is>
      </c>
      <c r="P182" t="inlineStr">
        <is>
          <t>Sam Neill</t>
        </is>
      </c>
      <c r="Q182" t="inlineStr">
        <is>
          <t>William H. Macy</t>
        </is>
      </c>
      <c r="R182" t="inlineStr">
        <is>
          <t>Téa Leoni</t>
        </is>
      </c>
      <c r="S182" t="inlineStr">
        <is>
          <t>Alessandro Nivola</t>
        </is>
      </c>
      <c r="T182" t="inlineStr">
        <is>
          <t>Trevor Morgan</t>
        </is>
      </c>
      <c r="U182" s="71" t="n">
        <v>0</v>
      </c>
      <c r="V182" s="71" t="n">
        <v>0</v>
      </c>
      <c r="X182" s="82">
        <f>IFERROR(INDEX(Ratings!$E$5:$E$500,MATCH(A182,Ratings!$A$5:$A$500,0)),"")</f>
        <v/>
      </c>
      <c r="Y182" s="71">
        <f>IFERROR(INDEX(Ratings!$G$5:$G$500,MATCH(A182,Ratings!$A$5:$A$500,0)),"")</f>
        <v/>
      </c>
      <c r="Z182" s="83">
        <f>IFERROR(INDEX(Ratings!$I$5:$I$500,MATCH(A182,Ratings!$A$5:$A$500,0)),"")</f>
        <v/>
      </c>
    </row>
    <row r="183" ht="15.75" customHeight="1" s="95">
      <c r="A183" t="inlineStr">
        <is>
          <t>F0179</t>
        </is>
      </c>
      <c r="B183" t="inlineStr">
        <is>
          <t>Jurassic World</t>
        </is>
      </c>
      <c r="C183" s="63" t="inlineStr">
        <is>
          <t>2015</t>
        </is>
      </c>
      <c r="D183" t="inlineStr">
        <is>
          <t>Blu-ray</t>
        </is>
      </c>
      <c r="E183" t="inlineStr">
        <is>
          <t>Jurassic Park / World</t>
        </is>
      </c>
      <c r="F183" s="64" t="inlineStr">
        <is>
          <t>Jurassic Park / World: 7-Film Collection</t>
        </is>
      </c>
      <c r="I183" s="64" t="inlineStr">
        <is>
          <t>Owned via Jurassic Park / World: 7-Film Collection.</t>
        </is>
      </c>
      <c r="J183" s="64" t="inlineStr">
        <is>
          <t>Colin Trevorrow</t>
        </is>
      </c>
      <c r="K183" s="64" t="n">
        <v>124</v>
      </c>
      <c r="L183" s="64" t="inlineStr">
        <is>
          <t>Action, Adventure, Science Fiction</t>
        </is>
      </c>
      <c r="M183" s="64" t="inlineStr">
        <is>
          <t>Universal Pictures, Amblin Entertainment, Legendary Pictures</t>
        </is>
      </c>
      <c r="N183" s="64" t="inlineStr">
        <is>
          <t>https://huggingface.co/datasets/HenryWaltson/TMDB-IMDB-Movies-Dataset</t>
        </is>
      </c>
      <c r="O183" s="64" t="inlineStr">
        <is>
          <t>https://huggingface.co/datasets/HenryWaltson/TMDB-IMDB-Movies-Dataset</t>
        </is>
      </c>
      <c r="P183" t="inlineStr">
        <is>
          <t>Chris Pratt</t>
        </is>
      </c>
      <c r="Q183" t="inlineStr">
        <is>
          <t>Bryce Dallas Howard</t>
        </is>
      </c>
      <c r="R183" t="inlineStr">
        <is>
          <t>Irrfan Khan</t>
        </is>
      </c>
      <c r="S183" t="inlineStr">
        <is>
          <t>Vincent D'Onofrio</t>
        </is>
      </c>
      <c r="T183" t="inlineStr">
        <is>
          <t>Ty Simpkins</t>
        </is>
      </c>
      <c r="U183" s="71" t="n">
        <v>0</v>
      </c>
      <c r="V183" s="71" t="n">
        <v>0</v>
      </c>
      <c r="X183" s="82">
        <f>IFERROR(INDEX(Ratings!$E$5:$E$500,MATCH(A183,Ratings!$A$5:$A$500,0)),"")</f>
        <v/>
      </c>
      <c r="Y183" s="71">
        <f>IFERROR(INDEX(Ratings!$G$5:$G$500,MATCH(A183,Ratings!$A$5:$A$500,0)),"")</f>
        <v/>
      </c>
      <c r="Z183" s="83">
        <f>IFERROR(INDEX(Ratings!$I$5:$I$500,MATCH(A183,Ratings!$A$5:$A$500,0)),"")</f>
        <v/>
      </c>
    </row>
    <row r="184" ht="15.75" customHeight="1" s="95">
      <c r="A184" t="inlineStr">
        <is>
          <t>F0180</t>
        </is>
      </c>
      <c r="B184" t="inlineStr">
        <is>
          <t>Jurassic World: Fallen Kingdom</t>
        </is>
      </c>
      <c r="C184" s="63" t="inlineStr">
        <is>
          <t>2018</t>
        </is>
      </c>
      <c r="D184" t="inlineStr">
        <is>
          <t>Blu-ray</t>
        </is>
      </c>
      <c r="E184" t="inlineStr">
        <is>
          <t>Jurassic Park / World</t>
        </is>
      </c>
      <c r="F184" s="64" t="inlineStr">
        <is>
          <t>Jurassic Park / World: 7-Film Collection</t>
        </is>
      </c>
      <c r="I184" s="64" t="inlineStr">
        <is>
          <t>Owned via Jurassic Park / World: 7-Film Collection.</t>
        </is>
      </c>
      <c r="J184" s="64" t="inlineStr">
        <is>
          <t>J. A. Bayona</t>
        </is>
      </c>
      <c r="K184" s="64" t="n">
        <v>129</v>
      </c>
      <c r="L184" s="64" t="inlineStr">
        <is>
          <t>Action, Adventure, Science Fiction</t>
        </is>
      </c>
      <c r="M184" s="64" t="inlineStr">
        <is>
          <t>Universal Pictures, Amblin Entertainment, Legendary Pictures</t>
        </is>
      </c>
      <c r="N184" s="64" t="inlineStr">
        <is>
          <t>https://huggingface.co/datasets/HenryWaltson/TMDB-IMDB-Movies-Dataset</t>
        </is>
      </c>
      <c r="O184" s="64" t="inlineStr">
        <is>
          <t>https://huggingface.co/datasets/HenryWaltson/TMDB-IMDB-Movies-Dataset</t>
        </is>
      </c>
      <c r="P184" t="inlineStr">
        <is>
          <t>Chris Pratt</t>
        </is>
      </c>
      <c r="Q184" t="inlineStr">
        <is>
          <t>Bryce Dallas Howard</t>
        </is>
      </c>
      <c r="R184" t="inlineStr">
        <is>
          <t>Rafe Spall</t>
        </is>
      </c>
      <c r="S184" t="inlineStr">
        <is>
          <t>Justice Smith</t>
        </is>
      </c>
      <c r="T184" t="inlineStr">
        <is>
          <t>Daniella Pineda</t>
        </is>
      </c>
      <c r="U184" s="71" t="n">
        <v>0</v>
      </c>
      <c r="V184" s="71" t="n">
        <v>0</v>
      </c>
      <c r="X184" s="82">
        <f>IFERROR(INDEX(Ratings!$E$5:$E$500,MATCH(A184,Ratings!$A$5:$A$500,0)),"")</f>
        <v/>
      </c>
      <c r="Y184" s="71">
        <f>IFERROR(INDEX(Ratings!$G$5:$G$500,MATCH(A184,Ratings!$A$5:$A$500,0)),"")</f>
        <v/>
      </c>
      <c r="Z184" s="83">
        <f>IFERROR(INDEX(Ratings!$I$5:$I$500,MATCH(A184,Ratings!$A$5:$A$500,0)),"")</f>
        <v/>
      </c>
    </row>
    <row r="185" ht="15.75" customHeight="1" s="95">
      <c r="A185" t="inlineStr">
        <is>
          <t>F0181</t>
        </is>
      </c>
      <c r="B185" t="inlineStr">
        <is>
          <t>Jurassic World Dominion</t>
        </is>
      </c>
      <c r="C185" s="63" t="inlineStr">
        <is>
          <t>2022</t>
        </is>
      </c>
      <c r="D185" t="inlineStr">
        <is>
          <t>Blu-ray</t>
        </is>
      </c>
      <c r="E185" t="inlineStr">
        <is>
          <t>Jurassic Park / World</t>
        </is>
      </c>
      <c r="F185" s="64" t="inlineStr">
        <is>
          <t>Jurassic Park / World: 7-Film Collection</t>
        </is>
      </c>
      <c r="I185" s="64" t="inlineStr">
        <is>
          <t>Owned via Jurassic Park / World: 7-Film Collection.</t>
        </is>
      </c>
      <c r="J185" s="64" t="inlineStr">
        <is>
          <t>Colin Trevorrow</t>
        </is>
      </c>
      <c r="K185" s="64" t="n">
        <v>147</v>
      </c>
      <c r="L185" s="64" t="inlineStr">
        <is>
          <t>Action, Adventure, Science Fiction</t>
        </is>
      </c>
      <c r="M185" s="64" t="inlineStr">
        <is>
          <t>Universal Pictures, Amblin Entertainment</t>
        </is>
      </c>
      <c r="N185" s="64" t="inlineStr">
        <is>
          <t>https://huggingface.co/datasets/HenryWaltson/TMDB-IMDB-Movies-Dataset</t>
        </is>
      </c>
      <c r="O185" s="64" t="inlineStr">
        <is>
          <t>https://huggingface.co/datasets/HenryWaltson/TMDB-IMDB-Movies-Dataset</t>
        </is>
      </c>
      <c r="P185" t="inlineStr">
        <is>
          <t>Chris Pratt</t>
        </is>
      </c>
      <c r="Q185" t="inlineStr">
        <is>
          <t>Bryce Dallas Howard</t>
        </is>
      </c>
      <c r="R185" t="inlineStr">
        <is>
          <t>Laura Dern</t>
        </is>
      </c>
      <c r="S185" t="inlineStr">
        <is>
          <t>Sam Neill</t>
        </is>
      </c>
      <c r="T185" t="inlineStr">
        <is>
          <t>Jeff Goldblum</t>
        </is>
      </c>
      <c r="U185" s="71" t="n">
        <v>0</v>
      </c>
      <c r="V185" s="71" t="n">
        <v>0</v>
      </c>
      <c r="X185" s="82">
        <f>IFERROR(INDEX(Ratings!$E$5:$E$500,MATCH(A185,Ratings!$A$5:$A$500,0)),"")</f>
        <v/>
      </c>
      <c r="Y185" s="71">
        <f>IFERROR(INDEX(Ratings!$G$5:$G$500,MATCH(A185,Ratings!$A$5:$A$500,0)),"")</f>
        <v/>
      </c>
      <c r="Z185" s="83">
        <f>IFERROR(INDEX(Ratings!$I$5:$I$500,MATCH(A185,Ratings!$A$5:$A$500,0)),"")</f>
        <v/>
      </c>
    </row>
    <row r="186" ht="15.75" customHeight="1" s="95">
      <c r="A186" t="inlineStr">
        <is>
          <t>F0182</t>
        </is>
      </c>
      <c r="B186" t="inlineStr">
        <is>
          <t>Jurassic World Rebirth</t>
        </is>
      </c>
      <c r="C186" s="63" t="inlineStr">
        <is>
          <t>2025</t>
        </is>
      </c>
      <c r="D186" t="inlineStr">
        <is>
          <t>Blu-ray</t>
        </is>
      </c>
      <c r="E186" t="inlineStr">
        <is>
          <t>Jurassic Park / World</t>
        </is>
      </c>
      <c r="F186" s="64" t="inlineStr">
        <is>
          <t>Jurassic Park / World: 7-Film Collection</t>
        </is>
      </c>
      <c r="I186" s="64" t="inlineStr">
        <is>
          <t>Owned via Jurassic Park / World: 7-Film Collection.</t>
        </is>
      </c>
      <c r="J186" s="64" t="inlineStr">
        <is>
          <t>Gareth Edwards</t>
        </is>
      </c>
      <c r="K186" s="64" t="n">
        <v>134</v>
      </c>
      <c r="L186" s="64" t="inlineStr">
        <is>
          <t>Action, Adventure, Science Fiction</t>
        </is>
      </c>
      <c r="M186" s="64" t="inlineStr">
        <is>
          <t>Universal Pictures, Amblin Entertainment</t>
        </is>
      </c>
      <c r="N186" s="64" t="inlineStr">
        <is>
          <t>https://huggingface.co/datasets/HenryWaltson/TMDB-IMDB-Movies-Dataset</t>
        </is>
      </c>
      <c r="O186" s="64" t="inlineStr">
        <is>
          <t>https://www.youtube.com/watch?v=jan5CFWs9ic</t>
        </is>
      </c>
      <c r="P186" t="inlineStr">
        <is>
          <t>Scarlett Johansson</t>
        </is>
      </c>
      <c r="Q186" t="inlineStr">
        <is>
          <t>Jonathan Bailey</t>
        </is>
      </c>
      <c r="R186" t="inlineStr">
        <is>
          <t>Mahershala Ali</t>
        </is>
      </c>
      <c r="S186" t="inlineStr">
        <is>
          <t>Rupert Friend</t>
        </is>
      </c>
      <c r="T186" t="inlineStr">
        <is>
          <t>Manuel Garcia-Rulfo</t>
        </is>
      </c>
      <c r="U186" s="71" t="n">
        <v>1</v>
      </c>
      <c r="V186" s="71" t="n">
        <v>0</v>
      </c>
      <c r="X186" s="82">
        <f>IFERROR(INDEX(Ratings!$E$5:$E$500,MATCH(A186,Ratings!$A$5:$A$500,0)),"")</f>
        <v/>
      </c>
      <c r="Y186" s="71">
        <f>IFERROR(INDEX(Ratings!$G$5:$G$500,MATCH(A186,Ratings!$A$5:$A$500,0)),"")</f>
        <v/>
      </c>
      <c r="Z186" s="83">
        <f>IFERROR(INDEX(Ratings!$I$5:$I$500,MATCH(A186,Ratings!$A$5:$A$500,0)),"")</f>
        <v/>
      </c>
    </row>
    <row r="187" ht="15.75" customHeight="1" s="95">
      <c r="A187" t="inlineStr">
        <is>
          <t>F0183</t>
        </is>
      </c>
      <c r="B187" t="inlineStr">
        <is>
          <t>Just Go with It</t>
        </is>
      </c>
      <c r="C187" s="63" t="inlineStr">
        <is>
          <t>2011</t>
        </is>
      </c>
      <c r="D187" t="inlineStr">
        <is>
          <t>Blu-ray</t>
        </is>
      </c>
      <c r="F187" s="64" t="n"/>
      <c r="I187" s="64" t="inlineStr">
        <is>
          <t>While romancing Palmer, a much younger schoolteacher, plastic surgeon Danny Maccabee enlists his loyal assistant Katherine to pretend to be his soon to be ex-wife, in order to cover up a careless lie. When more lies backfire, Katherine's kids become involved, and everyone heads off for a weekend in Hawaii that will change all their lives.</t>
        </is>
      </c>
      <c r="J187" s="64" t="inlineStr">
        <is>
          <t>Dennis Dugan</t>
        </is>
      </c>
      <c r="K187" s="64" t="n">
        <v>117</v>
      </c>
      <c r="L187" s="64" t="inlineStr">
        <is>
          <t>Comedy, Romance</t>
        </is>
      </c>
      <c r="M187" s="64" t="inlineStr">
        <is>
          <t>Columbia Pictures, Happy Madison Productions</t>
        </is>
      </c>
      <c r="N187" s="64" t="inlineStr">
        <is>
          <t>https://huggingface.co/datasets/HenryWaltson/TMDB-IMDB-Movies-Dataset</t>
        </is>
      </c>
      <c r="O187" s="64" t="inlineStr">
        <is>
          <t>https://huggingface.co/datasets/HenryWaltson/TMDB-IMDB-Movies-Dataset</t>
        </is>
      </c>
      <c r="P187" t="inlineStr">
        <is>
          <t>Adam Sandler</t>
        </is>
      </c>
      <c r="Q187" t="inlineStr">
        <is>
          <t>Jennifer Aniston</t>
        </is>
      </c>
      <c r="R187" t="inlineStr">
        <is>
          <t>Brooklyn Decker</t>
        </is>
      </c>
      <c r="S187" t="inlineStr">
        <is>
          <t>Nicole Kidman</t>
        </is>
      </c>
      <c r="T187" t="inlineStr">
        <is>
          <t>Nick Swardson</t>
        </is>
      </c>
      <c r="U187" s="71" t="n">
        <v>0</v>
      </c>
      <c r="V187" s="71" t="n">
        <v>0</v>
      </c>
      <c r="X187" s="82">
        <f>IFERROR(INDEX(Ratings!$E$5:$E$500,MATCH(A187,Ratings!$A$5:$A$500,0)),"")</f>
        <v/>
      </c>
      <c r="Y187" s="71">
        <f>IFERROR(INDEX(Ratings!$G$5:$G$500,MATCH(A187,Ratings!$A$5:$A$500,0)),"")</f>
        <v/>
      </c>
      <c r="Z187" s="83">
        <f>IFERROR(INDEX(Ratings!$I$5:$I$500,MATCH(A187,Ratings!$A$5:$A$500,0)),"")</f>
        <v/>
      </c>
    </row>
    <row r="188" ht="15.75" customHeight="1" s="95">
      <c r="A188" t="inlineStr">
        <is>
          <t>F0184</t>
        </is>
      </c>
      <c r="B188" t="inlineStr">
        <is>
          <t>The Karate Kid</t>
        </is>
      </c>
      <c r="C188" s="63" t="inlineStr">
        <is>
          <t>2010</t>
        </is>
      </c>
      <c r="D188" t="inlineStr">
        <is>
          <t>Blu-ray</t>
        </is>
      </c>
      <c r="F188" s="64" t="n"/>
      <c r="I188" s="64" t="inlineStr">
        <is>
          <t>Best guess: 2010 film.</t>
        </is>
      </c>
      <c r="J188" s="64" t="inlineStr">
        <is>
          <t>Harald Zwart</t>
        </is>
      </c>
      <c r="K188" s="64" t="n">
        <v>140</v>
      </c>
      <c r="L188" s="64" t="inlineStr">
        <is>
          <t>Action, Adventure, Drama</t>
        </is>
      </c>
      <c r="M188" s="64" t="inlineStr">
        <is>
          <t>Columbia Pictures, China Film Group, Overbrook Entertainment</t>
        </is>
      </c>
      <c r="N188" s="64" t="inlineStr">
        <is>
          <t>https://huggingface.co/datasets/HenryWaltson/TMDB-IMDB-Movies-Dataset</t>
        </is>
      </c>
      <c r="O188" s="64" t="inlineStr">
        <is>
          <t>https://huggingface.co/datasets/HenryWaltson/TMDB-IMDB-Movies-Dataset</t>
        </is>
      </c>
      <c r="P188" t="inlineStr">
        <is>
          <t>Jaden Smith</t>
        </is>
      </c>
      <c r="Q188" t="inlineStr">
        <is>
          <t>Jackie Chan</t>
        </is>
      </c>
      <c r="R188" t="inlineStr">
        <is>
          <t>Taraji P. Henson</t>
        </is>
      </c>
      <c r="S188" t="inlineStr">
        <is>
          <t>Wenwen Han</t>
        </is>
      </c>
      <c r="T188" t="inlineStr">
        <is>
          <t>Wang ZhenWei</t>
        </is>
      </c>
      <c r="U188" s="71" t="n">
        <v>0</v>
      </c>
      <c r="V188" s="71" t="n">
        <v>0</v>
      </c>
      <c r="X188" s="82">
        <f>IFERROR(INDEX(Ratings!$E$5:$E$500,MATCH(A188,Ratings!$A$5:$A$500,0)),"")</f>
        <v/>
      </c>
      <c r="Y188" s="71">
        <f>IFERROR(INDEX(Ratings!$G$5:$G$500,MATCH(A188,Ratings!$A$5:$A$500,0)),"")</f>
        <v/>
      </c>
      <c r="Z188" s="83">
        <f>IFERROR(INDEX(Ratings!$I$5:$I$500,MATCH(A188,Ratings!$A$5:$A$500,0)),"")</f>
        <v/>
      </c>
    </row>
    <row r="189" ht="15.75" customHeight="1" s="95">
      <c r="A189" t="inlineStr">
        <is>
          <t>F0185</t>
        </is>
      </c>
      <c r="B189" t="inlineStr">
        <is>
          <t>Kick-Ass</t>
        </is>
      </c>
      <c r="C189" s="63" t="inlineStr">
        <is>
          <t>2010</t>
        </is>
      </c>
      <c r="D189" t="inlineStr">
        <is>
          <t>Blu-ray</t>
        </is>
      </c>
      <c r="E189" t="inlineStr">
        <is>
          <t>Kick-Ass</t>
        </is>
      </c>
      <c r="F189" s="64" t="n"/>
      <c r="I189" s="64" t="inlineStr">
        <is>
          <t>Dave Lizewski is an unnoticed high school student and comic book fan who one day decides to become a super-hero, even though he has no powers, training or meaningful reason to do so.</t>
        </is>
      </c>
      <c r="J189" s="64" t="inlineStr">
        <is>
          <t>Matthew Vaughn</t>
        </is>
      </c>
      <c r="K189" s="64" t="n">
        <v>117</v>
      </c>
      <c r="L189" s="64" t="inlineStr">
        <is>
          <t>Action, Crime</t>
        </is>
      </c>
      <c r="M189" s="64" t="inlineStr">
        <is>
          <t>Marv Films, Lionsgate, Plan B Entertainment</t>
        </is>
      </c>
      <c r="N189" s="64" t="inlineStr">
        <is>
          <t>https://huggingface.co/datasets/HenryWaltson/TMDB-IMDB-Movies-Dataset</t>
        </is>
      </c>
      <c r="O189" s="64" t="inlineStr">
        <is>
          <t>https://huggingface.co/datasets/HenryWaltson/TMDB-IMDB-Movies-Dataset</t>
        </is>
      </c>
      <c r="P189" t="inlineStr">
        <is>
          <t>Aaron Taylor-Johnson</t>
        </is>
      </c>
      <c r="Q189" t="inlineStr">
        <is>
          <t>Chloë Grace Moretz</t>
        </is>
      </c>
      <c r="R189" t="inlineStr">
        <is>
          <t>Nicolas Cage</t>
        </is>
      </c>
      <c r="S189" t="inlineStr">
        <is>
          <t>Lyndsy Fonseca</t>
        </is>
      </c>
      <c r="T189" t="inlineStr">
        <is>
          <t>Mark Strong</t>
        </is>
      </c>
      <c r="U189" s="71" t="n">
        <v>0</v>
      </c>
      <c r="V189" s="71" t="n">
        <v>0</v>
      </c>
      <c r="X189" s="82">
        <f>IFERROR(INDEX(Ratings!$E$5:$E$500,MATCH(A189,Ratings!$A$5:$A$500,0)),"")</f>
        <v/>
      </c>
      <c r="Y189" s="71">
        <f>IFERROR(INDEX(Ratings!$G$5:$G$500,MATCH(A189,Ratings!$A$5:$A$500,0)),"")</f>
        <v/>
      </c>
      <c r="Z189" s="83">
        <f>IFERROR(INDEX(Ratings!$I$5:$I$500,MATCH(A189,Ratings!$A$5:$A$500,0)),"")</f>
        <v/>
      </c>
    </row>
    <row r="190" ht="15.75" customHeight="1" s="95">
      <c r="A190" t="inlineStr">
        <is>
          <t>F0186</t>
        </is>
      </c>
      <c r="B190" t="inlineStr">
        <is>
          <t>Kick-Ass 2</t>
        </is>
      </c>
      <c r="C190" s="63" t="inlineStr">
        <is>
          <t>2013</t>
        </is>
      </c>
      <c r="D190" t="inlineStr">
        <is>
          <t>Blu-ray</t>
        </is>
      </c>
      <c r="E190" t="inlineStr">
        <is>
          <t>Kick-Ass</t>
        </is>
      </c>
      <c r="F190" s="64" t="n"/>
      <c r="I190" s="64" t="inlineStr">
        <is>
          <t>After Kick-Ass' insane bravery inspires a new wave of self-made masked crusaders, he joins a patrol led by the Colonel Stars and Stripes. When these amateur superheroes are hunted down by Red Mist — reborn as The Mother Fucker — only the blade-wielding Hit-Girl can prevent their annihilation.</t>
        </is>
      </c>
      <c r="J190" s="64" t="inlineStr">
        <is>
          <t>Jeff Wadlow</t>
        </is>
      </c>
      <c r="K190" s="64" t="n">
        <v>103</v>
      </c>
      <c r="L190" s="64" t="inlineStr">
        <is>
          <t>Action, Adventure, Crime</t>
        </is>
      </c>
      <c r="M190" s="64" t="inlineStr">
        <is>
          <t>Marv Films, Universal Pictures, dentsu</t>
        </is>
      </c>
      <c r="N190" s="64" t="inlineStr">
        <is>
          <t>https://huggingface.co/datasets/HenryWaltson/TMDB-IMDB-Movies-Dataset</t>
        </is>
      </c>
      <c r="O190" s="64" t="inlineStr">
        <is>
          <t>https://huggingface.co/datasets/HenryWaltson/TMDB-IMDB-Movies-Dataset</t>
        </is>
      </c>
      <c r="P190" t="inlineStr">
        <is>
          <t>Aaron Taylor-Johnson</t>
        </is>
      </c>
      <c r="Q190" t="inlineStr">
        <is>
          <t>Chloë Grace Moretz</t>
        </is>
      </c>
      <c r="R190" t="inlineStr">
        <is>
          <t>Christopher Mintz-Plasse</t>
        </is>
      </c>
      <c r="S190" t="inlineStr">
        <is>
          <t>Lyndsy Fonseca</t>
        </is>
      </c>
      <c r="T190" t="inlineStr">
        <is>
          <t>Jim Carrey</t>
        </is>
      </c>
      <c r="U190" s="71" t="n">
        <v>0</v>
      </c>
      <c r="V190" s="71" t="n">
        <v>0</v>
      </c>
      <c r="X190" s="82">
        <f>IFERROR(INDEX(Ratings!$E$5:$E$500,MATCH(A190,Ratings!$A$5:$A$500,0)),"")</f>
        <v/>
      </c>
      <c r="Y190" s="71">
        <f>IFERROR(INDEX(Ratings!$G$5:$G$500,MATCH(A190,Ratings!$A$5:$A$500,0)),"")</f>
        <v/>
      </c>
      <c r="Z190" s="83">
        <f>IFERROR(INDEX(Ratings!$I$5:$I$500,MATCH(A190,Ratings!$A$5:$A$500,0)),"")</f>
        <v/>
      </c>
    </row>
    <row r="191" ht="15.75" customHeight="1" s="95">
      <c r="A191" t="inlineStr">
        <is>
          <t>F0187</t>
        </is>
      </c>
      <c r="B191" t="inlineStr">
        <is>
          <t>Killing Them Softly</t>
        </is>
      </c>
      <c r="C191" s="63" t="inlineStr">
        <is>
          <t>2012</t>
        </is>
      </c>
      <c r="D191" t="inlineStr">
        <is>
          <t>Blu-ray</t>
        </is>
      </c>
      <c r="F191" s="64" t="n"/>
      <c r="I191" s="64" t="inlineStr">
        <is>
          <t>Jackie Cogan is an enforcer hired to restore order after three dumb guys rob a Mob protected card game, causing the local criminal economy to collapse.</t>
        </is>
      </c>
      <c r="J191" s="64" t="inlineStr">
        <is>
          <t>Andrew Dominik</t>
        </is>
      </c>
      <c r="K191" s="64" t="n">
        <v>97</v>
      </c>
      <c r="L191" s="64" t="inlineStr">
        <is>
          <t>Crime, Thriller</t>
        </is>
      </c>
      <c r="M191" s="64" t="inlineStr">
        <is>
          <t>Plan B Entertainment, Chockstone Pictures, 1984 Private Defense Contractors</t>
        </is>
      </c>
      <c r="N191" s="64" t="inlineStr">
        <is>
          <t>https://huggingface.co/datasets/HenryWaltson/TMDB-IMDB-Movies-Dataset</t>
        </is>
      </c>
      <c r="O191" s="64" t="inlineStr">
        <is>
          <t>https://huggingface.co/datasets/HenryWaltson/TMDB-IMDB-Movies-Dataset</t>
        </is>
      </c>
      <c r="P191" t="inlineStr">
        <is>
          <t>Brad Pitt</t>
        </is>
      </c>
      <c r="Q191" t="inlineStr">
        <is>
          <t>Scoot McNairy</t>
        </is>
      </c>
      <c r="R191" t="inlineStr">
        <is>
          <t>Ben Mendelsohn</t>
        </is>
      </c>
      <c r="S191" t="inlineStr">
        <is>
          <t>James Gandolfini</t>
        </is>
      </c>
      <c r="T191" t="inlineStr">
        <is>
          <t>Ray Liotta</t>
        </is>
      </c>
      <c r="U191" s="71" t="n">
        <v>0</v>
      </c>
      <c r="V191" s="71" t="n">
        <v>0</v>
      </c>
      <c r="X191" s="82">
        <f>IFERROR(INDEX(Ratings!$E$5:$E$500,MATCH(A191,Ratings!$A$5:$A$500,0)),"")</f>
        <v/>
      </c>
      <c r="Y191" s="71">
        <f>IFERROR(INDEX(Ratings!$G$5:$G$500,MATCH(A191,Ratings!$A$5:$A$500,0)),"")</f>
        <v/>
      </c>
      <c r="Z191" s="83">
        <f>IFERROR(INDEX(Ratings!$I$5:$I$500,MATCH(A191,Ratings!$A$5:$A$500,0)),"")</f>
        <v/>
      </c>
    </row>
    <row r="192" ht="15.75" customHeight="1" s="95">
      <c r="A192" t="inlineStr">
        <is>
          <t>F0188</t>
        </is>
      </c>
      <c r="B192" t="inlineStr">
        <is>
          <t>King Kong</t>
        </is>
      </c>
      <c r="C192" s="63" t="inlineStr">
        <is>
          <t>2005</t>
        </is>
      </c>
      <c r="D192" t="inlineStr">
        <is>
          <t>Blu-ray</t>
        </is>
      </c>
      <c r="F192" s="64" t="n"/>
      <c r="I192" s="64" t="inlineStr">
        <is>
          <t>Best guess: 2005 Peter Jackson film.</t>
        </is>
      </c>
      <c r="J192" s="64" t="inlineStr">
        <is>
          <t>Peter Jackson</t>
        </is>
      </c>
      <c r="K192" s="64" t="n">
        <v>187</v>
      </c>
      <c r="L192" s="64" t="inlineStr">
        <is>
          <t>Adventure, Drama, Action</t>
        </is>
      </c>
      <c r="M192" s="64" t="inlineStr">
        <is>
          <t>Universal Pictures, WingNut Films, Big Primate Pictures</t>
        </is>
      </c>
      <c r="N192" s="64" t="inlineStr">
        <is>
          <t>https://huggingface.co/datasets/HenryWaltson/TMDB-IMDB-Movies-Dataset</t>
        </is>
      </c>
      <c r="O192" s="64" t="inlineStr">
        <is>
          <t>https://huggingface.co/datasets/HenryWaltson/TMDB-IMDB-Movies-Dataset</t>
        </is>
      </c>
      <c r="P192" t="inlineStr">
        <is>
          <t>Naomi Watts</t>
        </is>
      </c>
      <c r="Q192" t="inlineStr">
        <is>
          <t>Jack Black</t>
        </is>
      </c>
      <c r="R192" t="inlineStr">
        <is>
          <t>Adrien Brody</t>
        </is>
      </c>
      <c r="S192" t="inlineStr">
        <is>
          <t>Andy Serkis</t>
        </is>
      </c>
      <c r="T192" t="inlineStr">
        <is>
          <t>Colin Hanks</t>
        </is>
      </c>
      <c r="U192" s="71" t="n">
        <v>4</v>
      </c>
      <c r="V192" s="71" t="n">
        <v>3</v>
      </c>
      <c r="X192" s="82">
        <f>IFERROR(INDEX(Ratings!$E$5:$E$500,MATCH(A192,Ratings!$A$5:$A$500,0)),"")</f>
        <v/>
      </c>
      <c r="Y192" s="71">
        <f>IFERROR(INDEX(Ratings!$G$5:$G$500,MATCH(A192,Ratings!$A$5:$A$500,0)),"")</f>
        <v/>
      </c>
      <c r="Z192" s="83">
        <f>IFERROR(INDEX(Ratings!$I$5:$I$500,MATCH(A192,Ratings!$A$5:$A$500,0)),"")</f>
        <v/>
      </c>
    </row>
    <row r="193" ht="15.75" customHeight="1" s="95">
      <c r="A193" t="inlineStr">
        <is>
          <t>F0189</t>
        </is>
      </c>
      <c r="B193" t="inlineStr">
        <is>
          <t>The King's Speech</t>
        </is>
      </c>
      <c r="C193" s="63" t="inlineStr">
        <is>
          <t>2010</t>
        </is>
      </c>
      <c r="D193" t="inlineStr">
        <is>
          <t>Blu-ray</t>
        </is>
      </c>
      <c r="F193" s="64" t="n"/>
      <c r="I193" s="64" t="inlineStr">
        <is>
          <t>The King's Speech tells the story of the man who became King George VI, the father of Queen Elizabeth II. After his brother abdicates, George ('Bertie') reluctantly assumes the throne. Plagued by a dreaded stutter and considered unfit to be king, Bertie engages the help of an unorthodox speech therapist named Lionel Logue. Through a set of unexpected techniques, and as a result of an unlikely friendship, Bertie is able to find his voice and boldly lead the country into war.</t>
        </is>
      </c>
      <c r="J193" s="64" t="inlineStr">
        <is>
          <t>Tom Hooper</t>
        </is>
      </c>
      <c r="K193" s="64" t="n">
        <v>118</v>
      </c>
      <c r="L193" s="64" t="inlineStr">
        <is>
          <t>Drama, History</t>
        </is>
      </c>
      <c r="M193" s="64" t="inlineStr">
        <is>
          <t>The Weinstein Company, UK Film Council, Momentum Pictures</t>
        </is>
      </c>
      <c r="N193" s="64" t="inlineStr">
        <is>
          <t>https://huggingface.co/datasets/HenryWaltson/TMDB-IMDB-Movies-Dataset</t>
        </is>
      </c>
      <c r="O193" s="64" t="inlineStr">
        <is>
          <t>https://huggingface.co/datasets/HenryWaltson/TMDB-IMDB-Movies-Dataset</t>
        </is>
      </c>
      <c r="P193" t="inlineStr">
        <is>
          <t>Colin Firth</t>
        </is>
      </c>
      <c r="Q193" t="inlineStr">
        <is>
          <t>Geoffrey Rush</t>
        </is>
      </c>
      <c r="R193" t="inlineStr">
        <is>
          <t>Helena Bonham Carter</t>
        </is>
      </c>
      <c r="S193" t="inlineStr">
        <is>
          <t>Guy Pearce</t>
        </is>
      </c>
      <c r="T193" t="inlineStr">
        <is>
          <t>Timothy Spall</t>
        </is>
      </c>
      <c r="U193" s="71" t="n">
        <v>12</v>
      </c>
      <c r="V193" s="71" t="n">
        <v>4</v>
      </c>
      <c r="W193" t="inlineStr">
        <is>
          <t>Winner</t>
        </is>
      </c>
      <c r="X193" s="82">
        <f>IFERROR(INDEX(Ratings!$E$5:$E$500,MATCH(A193,Ratings!$A$5:$A$500,0)),"")</f>
        <v/>
      </c>
      <c r="Y193" s="71">
        <f>IFERROR(INDEX(Ratings!$G$5:$G$500,MATCH(A193,Ratings!$A$5:$A$500,0)),"")</f>
        <v/>
      </c>
      <c r="Z193" s="83">
        <f>IFERROR(INDEX(Ratings!$I$5:$I$500,MATCH(A193,Ratings!$A$5:$A$500,0)),"")</f>
        <v/>
      </c>
    </row>
    <row r="194" ht="15.75" customHeight="1" s="95">
      <c r="A194" t="inlineStr">
        <is>
          <t>F0190</t>
        </is>
      </c>
      <c r="B194" t="inlineStr">
        <is>
          <t>Kong: Skull Island</t>
        </is>
      </c>
      <c r="C194" s="63" t="inlineStr">
        <is>
          <t>2017</t>
        </is>
      </c>
      <c r="D194" t="inlineStr">
        <is>
          <t>Blu-ray</t>
        </is>
      </c>
      <c r="E194" t="inlineStr">
        <is>
          <t>MonsterVerse</t>
        </is>
      </c>
      <c r="F194" s="64" t="n"/>
      <c r="I194" s="64" t="inlineStr">
        <is>
          <t>Explore the mysterious and dangerous home of the king of the apes as a team of explorers ventures deep inside the treacherous, primordial island.</t>
        </is>
      </c>
      <c r="J194" s="64" t="inlineStr">
        <is>
          <t>Jordan Vogt-Roberts</t>
        </is>
      </c>
      <c r="K194" s="64" t="n">
        <v>118</v>
      </c>
      <c r="L194" s="64" t="inlineStr">
        <is>
          <t>Action, Adventure, Fantasy</t>
        </is>
      </c>
      <c r="M194" s="64" t="inlineStr">
        <is>
          <t>Legendary Pictures, Tencent Pictures</t>
        </is>
      </c>
      <c r="N194" s="64" t="inlineStr">
        <is>
          <t>https://huggingface.co/datasets/HenryWaltson/TMDB-IMDB-Movies-Dataset</t>
        </is>
      </c>
      <c r="O194" s="64" t="inlineStr">
        <is>
          <t>https://huggingface.co/datasets/HenryWaltson/TMDB-IMDB-Movies-Dataset</t>
        </is>
      </c>
      <c r="P194" t="inlineStr">
        <is>
          <t>Tom Hiddleston</t>
        </is>
      </c>
      <c r="Q194" t="inlineStr">
        <is>
          <t>Samuel L. Jackson</t>
        </is>
      </c>
      <c r="R194" t="inlineStr">
        <is>
          <t>John Goodman</t>
        </is>
      </c>
      <c r="S194" t="inlineStr">
        <is>
          <t>Brie Larson</t>
        </is>
      </c>
      <c r="T194" t="inlineStr">
        <is>
          <t>Jing Tian</t>
        </is>
      </c>
      <c r="U194" s="71" t="n">
        <v>1</v>
      </c>
      <c r="V194" s="71" t="n">
        <v>0</v>
      </c>
      <c r="X194" s="82">
        <f>IFERROR(INDEX(Ratings!$E$5:$E$500,MATCH(A194,Ratings!$A$5:$A$500,0)),"")</f>
        <v/>
      </c>
      <c r="Y194" s="71">
        <f>IFERROR(INDEX(Ratings!$G$5:$G$500,MATCH(A194,Ratings!$A$5:$A$500,0)),"")</f>
        <v/>
      </c>
      <c r="Z194" s="83">
        <f>IFERROR(INDEX(Ratings!$I$5:$I$500,MATCH(A194,Ratings!$A$5:$A$500,0)),"")</f>
        <v/>
      </c>
    </row>
    <row r="195" ht="15.75" customHeight="1" s="95">
      <c r="A195" t="inlineStr">
        <is>
          <t>F0191</t>
        </is>
      </c>
      <c r="B195" t="inlineStr">
        <is>
          <t>Law Abiding Citizen</t>
        </is>
      </c>
      <c r="C195" s="63" t="inlineStr">
        <is>
          <t>2009</t>
        </is>
      </c>
      <c r="D195" t="inlineStr">
        <is>
          <t>Blu-ray</t>
        </is>
      </c>
      <c r="F195" s="64" t="n"/>
      <c r="I195" s="64" t="inlineStr">
        <is>
          <t>A frustrated man decides to take justice into his own hands after a plea bargain sets one of his family's killers free. He targets not only the killer but also the district attorney and others involved in the deal.</t>
        </is>
      </c>
      <c r="J195" s="64" t="inlineStr">
        <is>
          <t>F. Gary Gray</t>
        </is>
      </c>
      <c r="K195" s="64" t="n">
        <v>109</v>
      </c>
      <c r="L195" s="64" t="inlineStr">
        <is>
          <t>Drama, Crime, Thriller</t>
        </is>
      </c>
      <c r="M195" s="64" t="inlineStr">
        <is>
          <t>The Film Department, Evil Twins, Warp Films</t>
        </is>
      </c>
      <c r="N195" s="64" t="inlineStr">
        <is>
          <t>https://huggingface.co/datasets/HenryWaltson/TMDB-IMDB-Movies-Dataset</t>
        </is>
      </c>
      <c r="O195" s="64" t="inlineStr">
        <is>
          <t>https://huggingface.co/datasets/HenryWaltson/TMDB-IMDB-Movies-Dataset</t>
        </is>
      </c>
      <c r="P195" t="inlineStr">
        <is>
          <t>Jamie Foxx</t>
        </is>
      </c>
      <c r="Q195" t="inlineStr">
        <is>
          <t>Gerard Butler</t>
        </is>
      </c>
      <c r="R195" t="inlineStr">
        <is>
          <t>Colm Meaney</t>
        </is>
      </c>
      <c r="S195" t="inlineStr">
        <is>
          <t>Bruce McGill</t>
        </is>
      </c>
      <c r="T195" t="inlineStr">
        <is>
          <t>Leslie Bibb</t>
        </is>
      </c>
      <c r="U195" s="71" t="n">
        <v>0</v>
      </c>
      <c r="V195" s="71" t="n">
        <v>0</v>
      </c>
      <c r="X195" s="82">
        <f>IFERROR(INDEX(Ratings!$E$5:$E$500,MATCH(A195,Ratings!$A$5:$A$500,0)),"")</f>
        <v/>
      </c>
      <c r="Y195" s="71">
        <f>IFERROR(INDEX(Ratings!$G$5:$G$500,MATCH(A195,Ratings!$A$5:$A$500,0)),"")</f>
        <v/>
      </c>
      <c r="Z195" s="83">
        <f>IFERROR(INDEX(Ratings!$I$5:$I$500,MATCH(A195,Ratings!$A$5:$A$500,0)),"")</f>
        <v/>
      </c>
    </row>
    <row r="196" ht="15.75" customHeight="1" s="95">
      <c r="A196" t="inlineStr">
        <is>
          <t>F0192</t>
        </is>
      </c>
      <c r="B196" t="inlineStr">
        <is>
          <t>Lawless</t>
        </is>
      </c>
      <c r="C196" s="63" t="inlineStr">
        <is>
          <t>2012</t>
        </is>
      </c>
      <c r="D196" t="inlineStr">
        <is>
          <t>Blu-ray</t>
        </is>
      </c>
      <c r="F196" s="64" t="n"/>
      <c r="I196" s="64" t="inlineStr">
        <is>
          <t>In 1931, the Bondurant brothers of Franklin County, Virginia, run a multipurpose backwoods establishment that hides their true business — bootlegging. Middle brother Forrest is the brain of the operation; older Howard is the brawn, and younger Jack, the lookout. Though the local police have taken bribes and left the brothers alone, a violent war erupts when a sadistic lawman from Chicago arrives and tries to shut down the Bondurants operation.</t>
        </is>
      </c>
      <c r="J196" s="64" t="inlineStr">
        <is>
          <t>John Hillcoat</t>
        </is>
      </c>
      <c r="K196" s="64" t="n">
        <v>115</v>
      </c>
      <c r="L196" s="64" t="inlineStr">
        <is>
          <t>Crime, Drama, Western</t>
        </is>
      </c>
      <c r="M196" s="64" t="inlineStr">
        <is>
          <t>The Weinstein Company, Benaroya Pictures, Yucaipa Films</t>
        </is>
      </c>
      <c r="N196" s="64" t="inlineStr">
        <is>
          <t>https://huggingface.co/datasets/HenryWaltson/TMDB-IMDB-Movies-Dataset</t>
        </is>
      </c>
      <c r="O196" s="64" t="inlineStr">
        <is>
          <t>https://huggingface.co/datasets/HenryWaltson/TMDB-IMDB-Movies-Dataset</t>
        </is>
      </c>
      <c r="P196" t="inlineStr">
        <is>
          <t>Shia LaBeouf</t>
        </is>
      </c>
      <c r="Q196" t="inlineStr">
        <is>
          <t>Tom Hardy</t>
        </is>
      </c>
      <c r="R196" t="inlineStr">
        <is>
          <t>Gary Oldman</t>
        </is>
      </c>
      <c r="S196" t="inlineStr">
        <is>
          <t>Guy Pearce</t>
        </is>
      </c>
      <c r="T196" t="inlineStr">
        <is>
          <t>Jason Clarke</t>
        </is>
      </c>
      <c r="U196" s="71" t="n">
        <v>0</v>
      </c>
      <c r="V196" s="71" t="n">
        <v>0</v>
      </c>
      <c r="X196" s="82">
        <f>IFERROR(INDEX(Ratings!$E$5:$E$500,MATCH(A196,Ratings!$A$5:$A$500,0)),"")</f>
        <v/>
      </c>
      <c r="Y196" s="71">
        <f>IFERROR(INDEX(Ratings!$G$5:$G$500,MATCH(A196,Ratings!$A$5:$A$500,0)),"")</f>
        <v/>
      </c>
      <c r="Z196" s="83">
        <f>IFERROR(INDEX(Ratings!$I$5:$I$500,MATCH(A196,Ratings!$A$5:$A$500,0)),"")</f>
        <v/>
      </c>
    </row>
    <row r="197" ht="15.75" customHeight="1" s="95">
      <c r="A197" t="inlineStr">
        <is>
          <t>F0193</t>
        </is>
      </c>
      <c r="B197" t="inlineStr">
        <is>
          <t>The Lego Batman Movie</t>
        </is>
      </c>
      <c r="C197" s="63" t="inlineStr">
        <is>
          <t>2017</t>
        </is>
      </c>
      <c r="D197" t="inlineStr">
        <is>
          <t>Blu-ray</t>
        </is>
      </c>
      <c r="E197" t="inlineStr">
        <is>
          <t>LEGO</t>
        </is>
      </c>
      <c r="F197" s="64" t="n"/>
      <c r="I197" s="64" t="inlineStr">
        <is>
          <t>A cooler-than-ever Bruce Wayne must deal with the usual suspects as they plan to rule Gotham City, while discovering that he has accidentally adopted a teenage orphan who wishes to become his sidekick.</t>
        </is>
      </c>
      <c r="J197" s="64" t="inlineStr">
        <is>
          <t>Chris McKay</t>
        </is>
      </c>
      <c r="K197" s="64" t="n">
        <v>104</v>
      </c>
      <c r="L197" s="64" t="inlineStr">
        <is>
          <t>Animation, Action, Comedy, Family</t>
        </is>
      </c>
      <c r="M197" s="64" t="inlineStr">
        <is>
          <t>Lin Pictures, Warner Bros. Animation, Animal Logic</t>
        </is>
      </c>
      <c r="N197" s="64" t="inlineStr">
        <is>
          <t>https://huggingface.co/datasets/HenryWaltson/TMDB-IMDB-Movies-Dataset</t>
        </is>
      </c>
      <c r="O197" s="64" t="inlineStr">
        <is>
          <t>https://huggingface.co/datasets/HenryWaltson/TMDB-IMDB-Movies-Dataset</t>
        </is>
      </c>
      <c r="P197" t="inlineStr">
        <is>
          <t>Will Arnett</t>
        </is>
      </c>
      <c r="Q197" t="inlineStr">
        <is>
          <t>Michael Cera</t>
        </is>
      </c>
      <c r="R197" t="inlineStr">
        <is>
          <t>Rosario Dawson</t>
        </is>
      </c>
      <c r="S197" t="inlineStr">
        <is>
          <t>Ralph Fiennes</t>
        </is>
      </c>
      <c r="T197" t="inlineStr">
        <is>
          <t>Zach Galifianakis</t>
        </is>
      </c>
      <c r="U197" s="71" t="n">
        <v>0</v>
      </c>
      <c r="V197" s="71" t="n">
        <v>0</v>
      </c>
      <c r="X197" s="82">
        <f>IFERROR(INDEX(Ratings!$E$5:$E$500,MATCH(A197,Ratings!$A$5:$A$500,0)),"")</f>
        <v/>
      </c>
      <c r="Y197" s="71">
        <f>IFERROR(INDEX(Ratings!$G$5:$G$500,MATCH(A197,Ratings!$A$5:$A$500,0)),"")</f>
        <v/>
      </c>
      <c r="Z197" s="83">
        <f>IFERROR(INDEX(Ratings!$I$5:$I$500,MATCH(A197,Ratings!$A$5:$A$500,0)),"")</f>
        <v/>
      </c>
    </row>
    <row r="198" ht="15.75" customHeight="1" s="95">
      <c r="A198" t="inlineStr">
        <is>
          <t>F0194</t>
        </is>
      </c>
      <c r="B198" t="inlineStr">
        <is>
          <t>Lego Batman: The Movie - DC Super Heroes Unite</t>
        </is>
      </c>
      <c r="C198" s="63" t="inlineStr">
        <is>
          <t>2013</t>
        </is>
      </c>
      <c r="D198" t="inlineStr">
        <is>
          <t>Blu-ray</t>
        </is>
      </c>
      <c r="E198" t="inlineStr">
        <is>
          <t>LEGO</t>
        </is>
      </c>
      <c r="F198" s="64" t="n"/>
      <c r="I198" s="64" t="inlineStr">
        <is>
          <t>Joker teams up with Lex Luthor to destroy the world one brick at a time. It's up to Batman, Superman and the rest of the Justice League to stop them.</t>
        </is>
      </c>
      <c r="J198" s="64" t="inlineStr">
        <is>
          <t>Jon Burton</t>
        </is>
      </c>
      <c r="K198" s="64" t="n">
        <v>71</v>
      </c>
      <c r="L198" s="64" t="inlineStr">
        <is>
          <t>Family, Animation, Adventure, Comedy</t>
        </is>
      </c>
      <c r="M198" s="64" t="inlineStr">
        <is>
          <t>Warner Premiere Digital, DC Comics, LEGO</t>
        </is>
      </c>
      <c r="N198" s="64" t="inlineStr">
        <is>
          <t>https://huggingface.co/datasets/HenryWaltson/TMDB-IMDB-Movies-Dataset</t>
        </is>
      </c>
      <c r="O198" s="64" t="inlineStr">
        <is>
          <t>https://huggingface.co/datasets/HenryWaltson/TMDB-IMDB-Movies-Dataset</t>
        </is>
      </c>
      <c r="P198" t="inlineStr">
        <is>
          <t>Troy Baker</t>
        </is>
      </c>
      <c r="Q198" t="inlineStr">
        <is>
          <t>Charlie Schlatter</t>
        </is>
      </c>
      <c r="R198" t="inlineStr">
        <is>
          <t>Travis Willingham</t>
        </is>
      </c>
      <c r="S198" t="inlineStr">
        <is>
          <t>Clancy Brown</t>
        </is>
      </c>
      <c r="T198" t="inlineStr">
        <is>
          <t>Christopher Corey Smith</t>
        </is>
      </c>
      <c r="U198" s="71" t="n">
        <v>0</v>
      </c>
      <c r="V198" s="71" t="n">
        <v>0</v>
      </c>
      <c r="X198" s="82">
        <f>IFERROR(INDEX(Ratings!$E$5:$E$500,MATCH(A198,Ratings!$A$5:$A$500,0)),"")</f>
        <v/>
      </c>
      <c r="Y198" s="71">
        <f>IFERROR(INDEX(Ratings!$G$5:$G$500,MATCH(A198,Ratings!$A$5:$A$500,0)),"")</f>
        <v/>
      </c>
      <c r="Z198" s="83">
        <f>IFERROR(INDEX(Ratings!$I$5:$I$500,MATCH(A198,Ratings!$A$5:$A$500,0)),"")</f>
        <v/>
      </c>
    </row>
    <row r="199" ht="15.75" customHeight="1" s="95">
      <c r="A199" t="inlineStr">
        <is>
          <t>F0195</t>
        </is>
      </c>
      <c r="B199" t="inlineStr">
        <is>
          <t>The Lego Movie</t>
        </is>
      </c>
      <c r="C199" s="63" t="inlineStr">
        <is>
          <t>2014</t>
        </is>
      </c>
      <c r="D199" t="inlineStr">
        <is>
          <t>Blu-ray</t>
        </is>
      </c>
      <c r="E199" t="inlineStr">
        <is>
          <t>LEGO</t>
        </is>
      </c>
      <c r="F199" s="64" t="n"/>
      <c r="I199" s="64" t="inlineStr">
        <is>
          <t>An ordinary Lego mini-figure, mistakenly thought to be the extraordinary MasterBuilder, is recruited to join a quest to stop an evil Lego tyrant from conquering the universe.</t>
        </is>
      </c>
      <c r="J199" s="64" t="inlineStr">
        <is>
          <t>Phil Lord, Christopher Miller</t>
        </is>
      </c>
      <c r="K199" s="64" t="n">
        <v>100</v>
      </c>
      <c r="L199" s="64" t="inlineStr">
        <is>
          <t>Animation, Family, Adventure, Comedy, Fantasy</t>
        </is>
      </c>
      <c r="M199" s="64" t="inlineStr">
        <is>
          <t>Village Roadshow Pictures, RatPac Entertainment, LEGO</t>
        </is>
      </c>
      <c r="N199" s="64" t="inlineStr">
        <is>
          <t>https://huggingface.co/datasets/HenryWaltson/TMDB-IMDB-Movies-Dataset</t>
        </is>
      </c>
      <c r="O199" s="64" t="inlineStr">
        <is>
          <t>https://huggingface.co/datasets/HenryWaltson/TMDB-IMDB-Movies-Dataset</t>
        </is>
      </c>
      <c r="P199" t="inlineStr">
        <is>
          <t>Chris Pratt</t>
        </is>
      </c>
      <c r="Q199" t="inlineStr">
        <is>
          <t>Elizabeth Banks</t>
        </is>
      </c>
      <c r="R199" t="inlineStr">
        <is>
          <t>Will Ferrell</t>
        </is>
      </c>
      <c r="S199" t="inlineStr">
        <is>
          <t>Morgan Freeman</t>
        </is>
      </c>
      <c r="T199" t="inlineStr">
        <is>
          <t>Will Arnett</t>
        </is>
      </c>
      <c r="U199" s="71" t="n">
        <v>1</v>
      </c>
      <c r="V199" s="71" t="n">
        <v>0</v>
      </c>
      <c r="X199" s="82">
        <f>IFERROR(INDEX(Ratings!$E$5:$E$500,MATCH(A199,Ratings!$A$5:$A$500,0)),"")</f>
        <v/>
      </c>
      <c r="Y199" s="71">
        <f>IFERROR(INDEX(Ratings!$G$5:$G$500,MATCH(A199,Ratings!$A$5:$A$500,0)),"")</f>
        <v/>
      </c>
      <c r="Z199" s="83">
        <f>IFERROR(INDEX(Ratings!$I$5:$I$500,MATCH(A199,Ratings!$A$5:$A$500,0)),"")</f>
        <v/>
      </c>
    </row>
    <row r="200" ht="15.75" customHeight="1" s="95">
      <c r="A200" t="inlineStr">
        <is>
          <t>F0196</t>
        </is>
      </c>
      <c r="B200" t="inlineStr">
        <is>
          <t>The Lego Movie 2: The Second Part</t>
        </is>
      </c>
      <c r="C200" s="63" t="inlineStr">
        <is>
          <t>2019</t>
        </is>
      </c>
      <c r="D200" t="inlineStr">
        <is>
          <t>Blu-ray</t>
        </is>
      </c>
      <c r="E200" t="inlineStr">
        <is>
          <t>LEGO</t>
        </is>
      </c>
      <c r="F200" s="64" t="n"/>
      <c r="I200" s="64" t="inlineStr">
        <is>
          <t>It's been five years since everything was awesome and the citizens are facing a huge new threat: LEGO DUPLO® invaders from outer space, wrecking everything faster than they can rebuild.</t>
        </is>
      </c>
      <c r="J200" s="64" t="inlineStr">
        <is>
          <t>Mike Mitchell</t>
        </is>
      </c>
      <c r="K200" s="64" t="n">
        <v>106</v>
      </c>
      <c r="L200" s="64" t="inlineStr">
        <is>
          <t>Action, Adventure, Animation, Comedy, Family</t>
        </is>
      </c>
      <c r="M200" s="64" t="inlineStr">
        <is>
          <t>Vertigo Entertainment, Animal Logic, Warner Bros. Pictures Animation</t>
        </is>
      </c>
      <c r="N200" s="64" t="inlineStr">
        <is>
          <t>https://huggingface.co/datasets/HenryWaltson/TMDB-IMDB-Movies-Dataset</t>
        </is>
      </c>
      <c r="O200" s="64" t="inlineStr">
        <is>
          <t>https://huggingface.co/datasets/HenryWaltson/TMDB-IMDB-Movies-Dataset</t>
        </is>
      </c>
      <c r="P200" t="inlineStr">
        <is>
          <t>Chris Pratt</t>
        </is>
      </c>
      <c r="Q200" t="inlineStr">
        <is>
          <t>Elizabeth Banks</t>
        </is>
      </c>
      <c r="R200" t="inlineStr">
        <is>
          <t>Will Arnett</t>
        </is>
      </c>
      <c r="S200" t="inlineStr">
        <is>
          <t>Tiffany Haddish</t>
        </is>
      </c>
      <c r="T200" t="inlineStr">
        <is>
          <t>Stephanie Beatriz</t>
        </is>
      </c>
      <c r="U200" s="71" t="n">
        <v>0</v>
      </c>
      <c r="V200" s="71" t="n">
        <v>0</v>
      </c>
      <c r="X200" s="82">
        <f>IFERROR(INDEX(Ratings!$E$5:$E$500,MATCH(A200,Ratings!$A$5:$A$500,0)),"")</f>
        <v/>
      </c>
      <c r="Y200" s="71">
        <f>IFERROR(INDEX(Ratings!$G$5:$G$500,MATCH(A200,Ratings!$A$5:$A$500,0)),"")</f>
        <v/>
      </c>
      <c r="Z200" s="83">
        <f>IFERROR(INDEX(Ratings!$I$5:$I$500,MATCH(A200,Ratings!$A$5:$A$500,0)),"")</f>
        <v/>
      </c>
    </row>
    <row r="201" ht="15.75" customHeight="1" s="95">
      <c r="A201" t="inlineStr">
        <is>
          <t>F0197</t>
        </is>
      </c>
      <c r="B201" t="inlineStr">
        <is>
          <t>Lego DC Comics Super Heroes: Justice League vs. Bizarro League</t>
        </is>
      </c>
      <c r="C201" s="63" t="inlineStr">
        <is>
          <t>2015</t>
        </is>
      </c>
      <c r="D201" t="inlineStr">
        <is>
          <t>Blu-ray</t>
        </is>
      </c>
      <c r="E201" t="inlineStr">
        <is>
          <t>LEGO</t>
        </is>
      </c>
      <c r="F201" s="64" t="n"/>
      <c r="I201" s="64" t="inlineStr">
        <is>
          <t>Superman’s clone, Bizarro, has become an embarrassing problem. Chaos and destruction follow Bizarro everywhere as he always hears the opposite of what is said, says the opposite of what he means and does the opposite of what is right. And when the citizens of Metropolis keep confusing Bizarro with Superman, the Man of Steel decides it’s time to find a new home for him…on another planet! It’s up to the Justice League to come to terms with their backward counterparts and team up with them to stop Darkseid and save the galaxy!</t>
        </is>
      </c>
      <c r="J201" s="64" t="inlineStr">
        <is>
          <t>Brandon Vietti</t>
        </is>
      </c>
      <c r="K201" s="64" t="n">
        <v>48</v>
      </c>
      <c r="L201" s="64" t="inlineStr">
        <is>
          <t>Action, Adventure, Animation, Family, Comedy</t>
        </is>
      </c>
      <c r="M201" s="64" t="inlineStr">
        <is>
          <t>Warner Bros. Animation, LEGO, DC Entertainment</t>
        </is>
      </c>
      <c r="N201" s="64" t="inlineStr">
        <is>
          <t>https://huggingface.co/datasets/HenryWaltson/TMDB-IMDB-Movies-Dataset</t>
        </is>
      </c>
      <c r="O201" s="64" t="inlineStr">
        <is>
          <t>https://huggingface.co/datasets/HenryWaltson/TMDB-IMDB-Movies-Dataset</t>
        </is>
      </c>
      <c r="P201" t="inlineStr">
        <is>
          <t>Nolan North</t>
        </is>
      </c>
      <c r="Q201" t="inlineStr">
        <is>
          <t>Troy Baker</t>
        </is>
      </c>
      <c r="R201" t="inlineStr">
        <is>
          <t>Diedrich Bader</t>
        </is>
      </c>
      <c r="S201" t="inlineStr">
        <is>
          <t>Khary Payton</t>
        </is>
      </c>
      <c r="T201" t="inlineStr">
        <is>
          <t>James Arnold Taylor</t>
        </is>
      </c>
      <c r="U201" s="71" t="n">
        <v>0</v>
      </c>
      <c r="V201" s="71" t="n">
        <v>0</v>
      </c>
      <c r="X201" s="82">
        <f>IFERROR(INDEX(Ratings!$E$5:$E$500,MATCH(A201,Ratings!$A$5:$A$500,0)),"")</f>
        <v/>
      </c>
      <c r="Y201" s="71">
        <f>IFERROR(INDEX(Ratings!$G$5:$G$500,MATCH(A201,Ratings!$A$5:$A$500,0)),"")</f>
        <v/>
      </c>
      <c r="Z201" s="83">
        <f>IFERROR(INDEX(Ratings!$I$5:$I$500,MATCH(A201,Ratings!$A$5:$A$500,0)),"")</f>
        <v/>
      </c>
    </row>
    <row r="202" ht="15.75" customHeight="1" s="95">
      <c r="A202" t="inlineStr">
        <is>
          <t>F0198</t>
        </is>
      </c>
      <c r="B202" t="inlineStr">
        <is>
          <t>Lego DC Comics Super Heroes: Justice League - Gotham City Breakout</t>
        </is>
      </c>
      <c r="C202" s="63" t="inlineStr">
        <is>
          <t>2016</t>
        </is>
      </c>
      <c r="D202" t="inlineStr">
        <is>
          <t>Blu-ray</t>
        </is>
      </c>
      <c r="E202" t="inlineStr">
        <is>
          <t>LEGO</t>
        </is>
      </c>
      <c r="F202" s="64" t="n"/>
      <c r="I202" s="64" t="inlineStr">
        <is>
          <t>Earth, a shiny jewel floating in the blackness of space... and for the robot known as Brainiac, the last piece to capture for his collection of planets. Not if the Justice League has anything to say about it!</t>
        </is>
      </c>
      <c r="J202" s="64" t="inlineStr">
        <is>
          <t>Matt Peters, Melchior Zwyer</t>
        </is>
      </c>
      <c r="K202" s="64" t="n">
        <v>78</v>
      </c>
      <c r="L202" s="64" t="inlineStr">
        <is>
          <t>Animation, Family, Adventure, Action, Comedy</t>
        </is>
      </c>
      <c r="M202" s="64" t="inlineStr">
        <is>
          <t>Warner Bros. Animation, DC Entertainment, DC Comics</t>
        </is>
      </c>
      <c r="N202" s="64" t="inlineStr">
        <is>
          <t>https://huggingface.co/datasets/HenryWaltson/TMDB-IMDB-Movies-Dataset</t>
        </is>
      </c>
      <c r="O202" s="64" t="inlineStr">
        <is>
          <t>https://huggingface.co/datasets/HenryWaltson/TMDB-IMDB-Movies-Dataset</t>
        </is>
      </c>
      <c r="P202" t="inlineStr">
        <is>
          <t>Troy Baker</t>
        </is>
      </c>
      <c r="Q202" t="inlineStr">
        <is>
          <t>Eric Bauza</t>
        </is>
      </c>
      <c r="R202" t="inlineStr">
        <is>
          <t>Greg Cipes</t>
        </is>
      </c>
      <c r="S202" t="inlineStr">
        <is>
          <t>John DiMaggio</t>
        </is>
      </c>
      <c r="T202" t="inlineStr">
        <is>
          <t>Will Friedle</t>
        </is>
      </c>
      <c r="U202" s="71" t="n">
        <v>0</v>
      </c>
      <c r="V202" s="71" t="n">
        <v>0</v>
      </c>
      <c r="X202" s="82">
        <f>IFERROR(INDEX(Ratings!$E$5:$E$500,MATCH(A202,Ratings!$A$5:$A$500,0)),"")</f>
        <v/>
      </c>
      <c r="Y202" s="71">
        <f>IFERROR(INDEX(Ratings!$G$5:$G$500,MATCH(A202,Ratings!$A$5:$A$500,0)),"")</f>
        <v/>
      </c>
      <c r="Z202" s="83">
        <f>IFERROR(INDEX(Ratings!$I$5:$I$500,MATCH(A202,Ratings!$A$5:$A$500,0)),"")</f>
        <v/>
      </c>
    </row>
    <row r="203" ht="15.75" customHeight="1" s="95">
      <c r="A203" t="inlineStr">
        <is>
          <t>F0199</t>
        </is>
      </c>
      <c r="B203" t="inlineStr">
        <is>
          <t>Les Misérables</t>
        </is>
      </c>
      <c r="C203" s="63" t="inlineStr">
        <is>
          <t>2012</t>
        </is>
      </c>
      <c r="D203" t="inlineStr">
        <is>
          <t>Blu-ray</t>
        </is>
      </c>
      <c r="F203" s="64" t="n"/>
      <c r="I203" s="64" t="inlineStr">
        <is>
          <t>An adaptation of the successful stage musical based on Victor Hugo's classic novel set in 19th-century France. Jean Valjean, a man imprisoned for stealing bread, must flee a relentless policeman named Javert. The pursuit consumes both men's lives, and soon Valjean finds himself in the midst of the student revolutions in France.</t>
        </is>
      </c>
      <c r="J203" s="64" t="inlineStr">
        <is>
          <t>Tom Hooper</t>
        </is>
      </c>
      <c r="K203" s="64" t="n">
        <v>158</v>
      </c>
      <c r="L203" s="64" t="inlineStr">
        <is>
          <t>History, Drama</t>
        </is>
      </c>
      <c r="M203" s="64" t="inlineStr">
        <is>
          <t>Universal Pictures, Working Title Films, Cameron Mackintosh Ltd.</t>
        </is>
      </c>
      <c r="N203" s="64" t="inlineStr">
        <is>
          <t>https://huggingface.co/datasets/HenryWaltson/TMDB-IMDB-Movies-Dataset</t>
        </is>
      </c>
      <c r="O203" s="64" t="inlineStr">
        <is>
          <t>https://huggingface.co/datasets/HenryWaltson/TMDB-IMDB-Movies-Dataset</t>
        </is>
      </c>
      <c r="P203" t="inlineStr">
        <is>
          <t>Hugh Jackman</t>
        </is>
      </c>
      <c r="Q203" t="inlineStr">
        <is>
          <t>Russell Crowe</t>
        </is>
      </c>
      <c r="R203" t="inlineStr">
        <is>
          <t>Anne Hathaway</t>
        </is>
      </c>
      <c r="S203" t="inlineStr">
        <is>
          <t>Amanda Seyfried</t>
        </is>
      </c>
      <c r="T203" t="inlineStr">
        <is>
          <t>Sacha Baron Cohen</t>
        </is>
      </c>
      <c r="U203" s="71" t="n">
        <v>8</v>
      </c>
      <c r="V203" s="71" t="n">
        <v>3</v>
      </c>
      <c r="W203" t="inlineStr">
        <is>
          <t>Nominated</t>
        </is>
      </c>
      <c r="X203" s="82">
        <f>IFERROR(INDEX(Ratings!$E$5:$E$500,MATCH(A203,Ratings!$A$5:$A$500,0)),"")</f>
        <v/>
      </c>
      <c r="Y203" s="71">
        <f>IFERROR(INDEX(Ratings!$G$5:$G$500,MATCH(A203,Ratings!$A$5:$A$500,0)),"")</f>
        <v/>
      </c>
      <c r="Z203" s="83">
        <f>IFERROR(INDEX(Ratings!$I$5:$I$500,MATCH(A203,Ratings!$A$5:$A$500,0)),"")</f>
        <v/>
      </c>
    </row>
    <row r="204" ht="15.75" customHeight="1" s="95">
      <c r="A204" t="inlineStr">
        <is>
          <t>F0200</t>
        </is>
      </c>
      <c r="B204" t="inlineStr">
        <is>
          <t>The Lion King</t>
        </is>
      </c>
      <c r="C204" s="63" t="inlineStr">
        <is>
          <t>1994</t>
        </is>
      </c>
      <c r="D204" t="inlineStr">
        <is>
          <t>Blu-ray</t>
        </is>
      </c>
      <c r="F204" s="64" t="n"/>
      <c r="I204" s="64" t="inlineStr">
        <is>
          <t>Best guess: 1994 animated version.</t>
        </is>
      </c>
      <c r="J204" s="64" t="inlineStr">
        <is>
          <t>Roger Allers, Rob Minkoff</t>
        </is>
      </c>
      <c r="K204" s="64" t="n">
        <v>89</v>
      </c>
      <c r="L204" s="64" t="inlineStr">
        <is>
          <t>Family, Animation, Drama</t>
        </is>
      </c>
      <c r="M204" s="64" t="inlineStr">
        <is>
          <t>Walt Disney Pictures, Walt Disney Feature Animation</t>
        </is>
      </c>
      <c r="N204" s="64" t="inlineStr">
        <is>
          <t>https://huggingface.co/datasets/HenryWaltson/TMDB-IMDB-Movies-Dataset</t>
        </is>
      </c>
      <c r="O204" s="64" t="inlineStr">
        <is>
          <t>https://huggingface.co/datasets/HenryWaltson/TMDB-IMDB-Movies-Dataset</t>
        </is>
      </c>
      <c r="P204" t="inlineStr">
        <is>
          <t>Matthew Broderick</t>
        </is>
      </c>
      <c r="Q204" t="inlineStr">
        <is>
          <t>Moira Kelly</t>
        </is>
      </c>
      <c r="R204" t="inlineStr">
        <is>
          <t>Nathan Lane</t>
        </is>
      </c>
      <c r="S204" t="inlineStr">
        <is>
          <t>Ernie Sabella</t>
        </is>
      </c>
      <c r="T204" t="inlineStr">
        <is>
          <t>James Earl Jones</t>
        </is>
      </c>
      <c r="U204" s="71" t="n">
        <v>3</v>
      </c>
      <c r="V204" s="71" t="n">
        <v>2</v>
      </c>
      <c r="X204" s="82">
        <f>IFERROR(INDEX(Ratings!$E$5:$E$500,MATCH(A204,Ratings!$A$5:$A$500,0)),"")</f>
        <v/>
      </c>
      <c r="Y204" s="71">
        <f>IFERROR(INDEX(Ratings!$G$5:$G$500,MATCH(A204,Ratings!$A$5:$A$500,0)),"")</f>
        <v/>
      </c>
      <c r="Z204" s="83">
        <f>IFERROR(INDEX(Ratings!$I$5:$I$500,MATCH(A204,Ratings!$A$5:$A$500,0)),"")</f>
        <v/>
      </c>
    </row>
    <row r="205" ht="15.75" customHeight="1" s="95">
      <c r="A205" t="inlineStr">
        <is>
          <t>F0201</t>
        </is>
      </c>
      <c r="B205" t="inlineStr">
        <is>
          <t>Logan</t>
        </is>
      </c>
      <c r="C205" s="63" t="inlineStr">
        <is>
          <t>2017</t>
        </is>
      </c>
      <c r="D205" t="inlineStr">
        <is>
          <t>Blu-ray</t>
        </is>
      </c>
      <c r="E205" t="inlineStr">
        <is>
          <t>X-Men</t>
        </is>
      </c>
      <c r="F205" s="64" t="n"/>
      <c r="I205" s="64" t="inlineStr">
        <is>
          <t>In the near future, a weary Logan cares for an ailing Professor X in a hideout on the Mexican border. But Logan's attempts to hide from the world and his legacy are upended when a young mutant arrives, pursued by dark forces.</t>
        </is>
      </c>
      <c r="J205" s="64" t="inlineStr">
        <is>
          <t>James Mangold</t>
        </is>
      </c>
      <c r="K205" s="64" t="n">
        <v>137</v>
      </c>
      <c r="L205" s="64" t="inlineStr">
        <is>
          <t>Action, Drama, Science Fiction</t>
        </is>
      </c>
      <c r="M205" s="64" t="inlineStr">
        <is>
          <t>Hutch Parker Entertainment, The Donners' Company, Genre Films</t>
        </is>
      </c>
      <c r="N205" s="64" t="inlineStr">
        <is>
          <t>https://huggingface.co/datasets/HenryWaltson/TMDB-IMDB-Movies-Dataset</t>
        </is>
      </c>
      <c r="O205" s="64" t="inlineStr">
        <is>
          <t>https://huggingface.co/datasets/HenryWaltson/TMDB-IMDB-Movies-Dataset</t>
        </is>
      </c>
      <c r="P205" t="inlineStr">
        <is>
          <t>Hugh Jackman</t>
        </is>
      </c>
      <c r="Q205" t="inlineStr">
        <is>
          <t>Dafne Keen</t>
        </is>
      </c>
      <c r="R205" t="inlineStr">
        <is>
          <t>Patrick Stewart</t>
        </is>
      </c>
      <c r="S205" t="inlineStr">
        <is>
          <t>Elizabeth Rodriguez</t>
        </is>
      </c>
      <c r="T205" t="inlineStr">
        <is>
          <t>Boyd Holbrook</t>
        </is>
      </c>
      <c r="U205" s="71" t="n">
        <v>1</v>
      </c>
      <c r="V205" s="71" t="n">
        <v>0</v>
      </c>
      <c r="X205" s="82">
        <f>IFERROR(INDEX(Ratings!$E$5:$E$500,MATCH(A205,Ratings!$A$5:$A$500,0)),"")</f>
        <v/>
      </c>
      <c r="Y205" s="71">
        <f>IFERROR(INDEX(Ratings!$G$5:$G$500,MATCH(A205,Ratings!$A$5:$A$500,0)),"")</f>
        <v/>
      </c>
      <c r="Z205" s="83">
        <f>IFERROR(INDEX(Ratings!$I$5:$I$500,MATCH(A205,Ratings!$A$5:$A$500,0)),"")</f>
        <v/>
      </c>
    </row>
    <row r="206" ht="15.75" customHeight="1" s="95">
      <c r="A206" t="inlineStr">
        <is>
          <t>F0202</t>
        </is>
      </c>
      <c r="B206" t="inlineStr">
        <is>
          <t>Lone Survivor</t>
        </is>
      </c>
      <c r="C206" s="63" t="inlineStr">
        <is>
          <t>2013</t>
        </is>
      </c>
      <c r="D206" t="inlineStr">
        <is>
          <t>Blu-ray</t>
        </is>
      </c>
      <c r="F206" s="64" t="n"/>
      <c r="I206" s="64" t="inlineStr">
        <is>
          <t>Four Navy SEALs on a covert mission to neutralize a high-level Taliban operative must make an impossible moral decision in the mountains of Afghanistan that leads them into an enemy ambush. As they confront unthinkable odds, the SEALs must find reserves of strength and resilience to fight to the finish.</t>
        </is>
      </c>
      <c r="J206" s="64" t="inlineStr">
        <is>
          <t>Peter Berg</t>
        </is>
      </c>
      <c r="K206" s="64" t="n">
        <v>121</v>
      </c>
      <c r="L206" s="64" t="inlineStr">
        <is>
          <t>War, Action, Drama, History</t>
        </is>
      </c>
      <c r="M206" s="64" t="inlineStr">
        <is>
          <t>EFO Films, Envision Entertainment, Film 44</t>
        </is>
      </c>
      <c r="N206" s="64" t="inlineStr">
        <is>
          <t>https://huggingface.co/datasets/HenryWaltson/TMDB-IMDB-Movies-Dataset</t>
        </is>
      </c>
      <c r="O206" s="64" t="inlineStr">
        <is>
          <t>https://huggingface.co/datasets/HenryWaltson/TMDB-IMDB-Movies-Dataset</t>
        </is>
      </c>
      <c r="P206" t="inlineStr">
        <is>
          <t>Mark Wahlberg</t>
        </is>
      </c>
      <c r="Q206" t="inlineStr">
        <is>
          <t>Taylor Kitsch</t>
        </is>
      </c>
      <c r="R206" t="inlineStr">
        <is>
          <t>Emile Hirsch</t>
        </is>
      </c>
      <c r="S206" t="inlineStr">
        <is>
          <t>Ben Foster</t>
        </is>
      </c>
      <c r="T206" t="inlineStr">
        <is>
          <t>Eric Bana</t>
        </is>
      </c>
      <c r="U206" s="71" t="n">
        <v>2</v>
      </c>
      <c r="V206" s="71" t="n">
        <v>0</v>
      </c>
      <c r="X206" s="82">
        <f>IFERROR(INDEX(Ratings!$E$5:$E$500,MATCH(A206,Ratings!$A$5:$A$500,0)),"")</f>
        <v/>
      </c>
      <c r="Y206" s="71">
        <f>IFERROR(INDEX(Ratings!$G$5:$G$500,MATCH(A206,Ratings!$A$5:$A$500,0)),"")</f>
        <v/>
      </c>
      <c r="Z206" s="83">
        <f>IFERROR(INDEX(Ratings!$I$5:$I$500,MATCH(A206,Ratings!$A$5:$A$500,0)),"")</f>
        <v/>
      </c>
    </row>
    <row r="207" ht="15.75" customHeight="1" s="95">
      <c r="A207" t="inlineStr">
        <is>
          <t>F0203</t>
        </is>
      </c>
      <c r="B207" t="inlineStr">
        <is>
          <t>The Lord of the Rings: The Fellowship of the Ring</t>
        </is>
      </c>
      <c r="C207" s="63" t="inlineStr">
        <is>
          <t>2001</t>
        </is>
      </c>
      <c r="D207" t="inlineStr">
        <is>
          <t>Blu-ray</t>
        </is>
      </c>
      <c r="E207" t="inlineStr">
        <is>
          <t>Lord of the Rings</t>
        </is>
      </c>
      <c r="F207" s="64" t="inlineStr">
        <is>
          <t>The Lord of the Rings Trilogy (Box Set)</t>
        </is>
      </c>
      <c r="I207" s="64" t="inlineStr">
        <is>
          <t>Owned via The Lord of the Rings Trilogy (Box Set). Runtime shown is theatrical; verify if your set is the Extended Edition.</t>
        </is>
      </c>
      <c r="J207" s="64" t="inlineStr">
        <is>
          <t>Peter Jackson</t>
        </is>
      </c>
      <c r="K207" s="64" t="n">
        <v>178</v>
      </c>
      <c r="L207" s="64" t="inlineStr">
        <is>
          <t>Adventure, Fantasy</t>
        </is>
      </c>
      <c r="M207" s="64" t="inlineStr">
        <is>
          <t>New Line Cinema, WingNut Films</t>
        </is>
      </c>
      <c r="N207" s="64" t="inlineStr">
        <is>
          <t>https://huggingface.co/datasets/HenryWaltson/TMDB-IMDB-Movies-Dataset</t>
        </is>
      </c>
      <c r="O207" s="64" t="inlineStr">
        <is>
          <t>https://huggingface.co/datasets/HenryWaltson/TMDB-IMDB-Movies-Dataset</t>
        </is>
      </c>
      <c r="P207" t="inlineStr">
        <is>
          <t>Elijah Wood</t>
        </is>
      </c>
      <c r="Q207" t="inlineStr">
        <is>
          <t>Ian McKellen</t>
        </is>
      </c>
      <c r="R207" t="inlineStr">
        <is>
          <t>Viggo Mortensen</t>
        </is>
      </c>
      <c r="S207" t="inlineStr">
        <is>
          <t>Sean Astin</t>
        </is>
      </c>
      <c r="T207" t="inlineStr">
        <is>
          <t>Ian Holm</t>
        </is>
      </c>
      <c r="U207" s="71" t="n">
        <v>13</v>
      </c>
      <c r="V207" s="71" t="n">
        <v>4</v>
      </c>
      <c r="W207" t="inlineStr">
        <is>
          <t>Nominated</t>
        </is>
      </c>
      <c r="X207" s="82">
        <f>IFERROR(INDEX(Ratings!$E$5:$E$500,MATCH(A207,Ratings!$A$5:$A$500,0)),"")</f>
        <v/>
      </c>
      <c r="Y207" s="71">
        <f>IFERROR(INDEX(Ratings!$G$5:$G$500,MATCH(A207,Ratings!$A$5:$A$500,0)),"")</f>
        <v/>
      </c>
      <c r="Z207" s="83">
        <f>IFERROR(INDEX(Ratings!$I$5:$I$500,MATCH(A207,Ratings!$A$5:$A$500,0)),"")</f>
        <v/>
      </c>
    </row>
    <row r="208" ht="15.75" customHeight="1" s="95">
      <c r="A208" t="inlineStr">
        <is>
          <t>F0204</t>
        </is>
      </c>
      <c r="B208" t="inlineStr">
        <is>
          <t>The Lord of the Rings: The Two Towers</t>
        </is>
      </c>
      <c r="C208" s="63" t="inlineStr">
        <is>
          <t>2002</t>
        </is>
      </c>
      <c r="D208" t="inlineStr">
        <is>
          <t>Blu-ray</t>
        </is>
      </c>
      <c r="E208" t="inlineStr">
        <is>
          <t>Lord of the Rings</t>
        </is>
      </c>
      <c r="F208" s="64" t="inlineStr">
        <is>
          <t>The Lord of the Rings Trilogy (Box Set)</t>
        </is>
      </c>
      <c r="I208" s="64" t="inlineStr">
        <is>
          <t>Owned via The Lord of the Rings Trilogy (Box Set). Runtime shown is theatrical; verify if your set is the Extended Edition.</t>
        </is>
      </c>
      <c r="J208" s="64" t="inlineStr">
        <is>
          <t>Peter Jackson</t>
        </is>
      </c>
      <c r="K208" s="64" t="n">
        <v>179</v>
      </c>
      <c r="L208" s="64" t="inlineStr">
        <is>
          <t>Adventure, Fantasy</t>
        </is>
      </c>
      <c r="M208" s="64" t="inlineStr">
        <is>
          <t>New Line Cinema, WingNut Films</t>
        </is>
      </c>
      <c r="N208" s="64" t="inlineStr">
        <is>
          <t>https://huggingface.co/datasets/HenryWaltson/TMDB-IMDB-Movies-Dataset</t>
        </is>
      </c>
      <c r="O208" s="64" t="inlineStr">
        <is>
          <t>https://huggingface.co/datasets/HenryWaltson/TMDB-IMDB-Movies-Dataset</t>
        </is>
      </c>
      <c r="P208" t="inlineStr">
        <is>
          <t>Elijah Wood</t>
        </is>
      </c>
      <c r="Q208" t="inlineStr">
        <is>
          <t>Ian McKellen</t>
        </is>
      </c>
      <c r="R208" t="inlineStr">
        <is>
          <t>Viggo Mortensen</t>
        </is>
      </c>
      <c r="S208" t="inlineStr">
        <is>
          <t>Sean Astin</t>
        </is>
      </c>
      <c r="T208" t="inlineStr">
        <is>
          <t>Andy Serkis</t>
        </is>
      </c>
      <c r="U208" s="71" t="n">
        <v>6</v>
      </c>
      <c r="V208" s="71" t="n">
        <v>2</v>
      </c>
      <c r="W208" t="inlineStr">
        <is>
          <t>Nominated</t>
        </is>
      </c>
      <c r="X208" s="82">
        <f>IFERROR(INDEX(Ratings!$E$5:$E$500,MATCH(A208,Ratings!$A$5:$A$500,0)),"")</f>
        <v/>
      </c>
      <c r="Y208" s="71">
        <f>IFERROR(INDEX(Ratings!$G$5:$G$500,MATCH(A208,Ratings!$A$5:$A$500,0)),"")</f>
        <v/>
      </c>
      <c r="Z208" s="83">
        <f>IFERROR(INDEX(Ratings!$I$5:$I$500,MATCH(A208,Ratings!$A$5:$A$500,0)),"")</f>
        <v/>
      </c>
    </row>
    <row r="209" ht="15.75" customHeight="1" s="95">
      <c r="A209" t="inlineStr">
        <is>
          <t>F0205</t>
        </is>
      </c>
      <c r="B209" t="inlineStr">
        <is>
          <t>The Lord of the Rings: The Return of the King</t>
        </is>
      </c>
      <c r="C209" s="63" t="inlineStr">
        <is>
          <t>2003</t>
        </is>
      </c>
      <c r="D209" t="inlineStr">
        <is>
          <t>Blu-ray</t>
        </is>
      </c>
      <c r="E209" t="inlineStr">
        <is>
          <t>Lord of the Rings</t>
        </is>
      </c>
      <c r="F209" s="64" t="inlineStr">
        <is>
          <t>The Lord of the Rings Trilogy (Box Set)</t>
        </is>
      </c>
      <c r="I209" s="64" t="inlineStr">
        <is>
          <t>Owned via The Lord of the Rings Trilogy (Box Set). Runtime shown is theatrical; verify if your set is the Extended Edition.</t>
        </is>
      </c>
      <c r="J209" s="64" t="inlineStr">
        <is>
          <t>Peter Jackson</t>
        </is>
      </c>
      <c r="K209" s="64" t="n">
        <v>201</v>
      </c>
      <c r="L209" s="64" t="inlineStr">
        <is>
          <t>Adventure, Fantasy</t>
        </is>
      </c>
      <c r="M209" s="64" t="inlineStr">
        <is>
          <t>New Line Cinema, WingNut Films</t>
        </is>
      </c>
      <c r="N209" s="64" t="inlineStr">
        <is>
          <t>https://huggingface.co/datasets/HenryWaltson/TMDB-IMDB-Movies-Dataset</t>
        </is>
      </c>
      <c r="O209" s="64" t="inlineStr">
        <is>
          <t>https://huggingface.co/datasets/HenryWaltson/TMDB-IMDB-Movies-Dataset</t>
        </is>
      </c>
      <c r="P209" t="inlineStr">
        <is>
          <t>Elijah Wood</t>
        </is>
      </c>
      <c r="Q209" t="inlineStr">
        <is>
          <t>Ian McKellen</t>
        </is>
      </c>
      <c r="R209" t="inlineStr">
        <is>
          <t>Viggo Mortensen</t>
        </is>
      </c>
      <c r="S209" t="inlineStr">
        <is>
          <t>Sean Astin</t>
        </is>
      </c>
      <c r="T209" t="inlineStr">
        <is>
          <t>Andy Serkis</t>
        </is>
      </c>
      <c r="U209" s="71" t="n">
        <v>11</v>
      </c>
      <c r="V209" s="71" t="n">
        <v>11</v>
      </c>
      <c r="W209" t="inlineStr">
        <is>
          <t>Winner</t>
        </is>
      </c>
      <c r="X209" s="82">
        <f>IFERROR(INDEX(Ratings!$E$5:$E$500,MATCH(A209,Ratings!$A$5:$A$500,0)),"")</f>
        <v/>
      </c>
      <c r="Y209" s="71">
        <f>IFERROR(INDEX(Ratings!$G$5:$G$500,MATCH(A209,Ratings!$A$5:$A$500,0)),"")</f>
        <v/>
      </c>
      <c r="Z209" s="83">
        <f>IFERROR(INDEX(Ratings!$I$5:$I$500,MATCH(A209,Ratings!$A$5:$A$500,0)),"")</f>
        <v/>
      </c>
    </row>
    <row r="210" ht="15.75" customHeight="1" s="95">
      <c r="A210" t="inlineStr">
        <is>
          <t>F0206</t>
        </is>
      </c>
      <c r="B210" t="inlineStr">
        <is>
          <t>Magic Mike</t>
        </is>
      </c>
      <c r="C210" s="63" t="inlineStr">
        <is>
          <t>2012</t>
        </is>
      </c>
      <c r="D210" t="inlineStr">
        <is>
          <t>Blu-ray</t>
        </is>
      </c>
      <c r="F210" s="64" t="n"/>
      <c r="I210" s="64" t="inlineStr">
        <is>
          <t>Mike, an experienced stripper, takes a younger performer called The Kid under his wing and schools him in the arts of partying, picking up women, and making easy money.</t>
        </is>
      </c>
      <c r="J210" s="64" t="inlineStr">
        <is>
          <t>Steven Soderbergh</t>
        </is>
      </c>
      <c r="K210" s="64" t="n">
        <v>110</v>
      </c>
      <c r="L210" s="64" t="inlineStr">
        <is>
          <t>Drama, Comedy</t>
        </is>
      </c>
      <c r="M210" s="64" t="inlineStr">
        <is>
          <t>Iron Horse Entertainment, Extension 765</t>
        </is>
      </c>
      <c r="N210" s="64" t="inlineStr">
        <is>
          <t>https://huggingface.co/datasets/HenryWaltson/TMDB-IMDB-Movies-Dataset</t>
        </is>
      </c>
      <c r="O210" s="64" t="inlineStr">
        <is>
          <t>https://huggingface.co/datasets/HenryWaltson/TMDB-IMDB-Movies-Dataset</t>
        </is>
      </c>
      <c r="P210" t="inlineStr">
        <is>
          <t>Channing Tatum</t>
        </is>
      </c>
      <c r="Q210" t="inlineStr">
        <is>
          <t>Matthew McConaughey</t>
        </is>
      </c>
      <c r="R210" t="inlineStr">
        <is>
          <t>Alex Pettyfer</t>
        </is>
      </c>
      <c r="S210" t="inlineStr">
        <is>
          <t>Cody H. Carolin</t>
        </is>
      </c>
      <c r="T210" t="inlineStr">
        <is>
          <t>Olivia Munn</t>
        </is>
      </c>
      <c r="U210" s="71" t="n">
        <v>0</v>
      </c>
      <c r="V210" s="71" t="n">
        <v>0</v>
      </c>
      <c r="X210" s="82">
        <f>IFERROR(INDEX(Ratings!$E$5:$E$500,MATCH(A210,Ratings!$A$5:$A$500,0)),"")</f>
        <v/>
      </c>
      <c r="Y210" s="71">
        <f>IFERROR(INDEX(Ratings!$G$5:$G$500,MATCH(A210,Ratings!$A$5:$A$500,0)),"")</f>
        <v/>
      </c>
      <c r="Z210" s="83">
        <f>IFERROR(INDEX(Ratings!$I$5:$I$500,MATCH(A210,Ratings!$A$5:$A$500,0)),"")</f>
        <v/>
      </c>
    </row>
    <row r="211" ht="15.75" customHeight="1" s="95">
      <c r="A211" t="inlineStr">
        <is>
          <t>F0207</t>
        </is>
      </c>
      <c r="B211" t="inlineStr">
        <is>
          <t>The Magnificent Seven</t>
        </is>
      </c>
      <c r="C211" s="63" t="inlineStr">
        <is>
          <t>2016</t>
        </is>
      </c>
      <c r="D211" t="inlineStr">
        <is>
          <t>Blu-ray</t>
        </is>
      </c>
      <c r="F211" s="64" t="n"/>
      <c r="I211" s="64" t="inlineStr">
        <is>
          <t>Best guess: 2016 remake.</t>
        </is>
      </c>
      <c r="J211" s="64" t="inlineStr">
        <is>
          <t>Antoine Fuqua</t>
        </is>
      </c>
      <c r="K211" s="64" t="n">
        <v>132</v>
      </c>
      <c r="L211" s="64" t="inlineStr">
        <is>
          <t>Adventure, Action, Western</t>
        </is>
      </c>
      <c r="M211" s="64" t="inlineStr">
        <is>
          <t>Escape Artists, Columbia Pictures, Village Roadshow Pictures</t>
        </is>
      </c>
      <c r="N211" s="64" t="inlineStr">
        <is>
          <t>https://huggingface.co/datasets/HenryWaltson/TMDB-IMDB-Movies-Dataset</t>
        </is>
      </c>
      <c r="O211" s="64" t="inlineStr">
        <is>
          <t>https://huggingface.co/datasets/HenryWaltson/TMDB-IMDB-Movies-Dataset</t>
        </is>
      </c>
      <c r="P211" t="inlineStr">
        <is>
          <t>Denzel Washington</t>
        </is>
      </c>
      <c r="Q211" t="inlineStr">
        <is>
          <t>Chris Pratt</t>
        </is>
      </c>
      <c r="R211" t="inlineStr">
        <is>
          <t>Ethan Hawke</t>
        </is>
      </c>
      <c r="S211" t="inlineStr">
        <is>
          <t>Vincent D'Onofrio</t>
        </is>
      </c>
      <c r="T211" t="inlineStr">
        <is>
          <t>Lee Byung-hun</t>
        </is>
      </c>
      <c r="U211" s="71" t="n">
        <v>0</v>
      </c>
      <c r="V211" s="71" t="n">
        <v>0</v>
      </c>
      <c r="X211" s="82">
        <f>IFERROR(INDEX(Ratings!$E$5:$E$500,MATCH(A211,Ratings!$A$5:$A$500,0)),"")</f>
        <v/>
      </c>
      <c r="Y211" s="71">
        <f>IFERROR(INDEX(Ratings!$G$5:$G$500,MATCH(A211,Ratings!$A$5:$A$500,0)),"")</f>
        <v/>
      </c>
      <c r="Z211" s="83">
        <f>IFERROR(INDEX(Ratings!$I$5:$I$500,MATCH(A211,Ratings!$A$5:$A$500,0)),"")</f>
        <v/>
      </c>
    </row>
    <row r="212" ht="15.75" customHeight="1" s="95">
      <c r="A212" t="inlineStr">
        <is>
          <t>F0208</t>
        </is>
      </c>
      <c r="B212" t="inlineStr">
        <is>
          <t>Maleficent</t>
        </is>
      </c>
      <c r="C212" s="63" t="inlineStr">
        <is>
          <t>2014</t>
        </is>
      </c>
      <c r="D212" t="inlineStr">
        <is>
          <t>Blu-ray</t>
        </is>
      </c>
      <c r="F212" s="64" t="n"/>
      <c r="I212" s="64" t="inlineStr">
        <is>
          <t>A beautiful, pure-hearted young woman, Maleficent has an idyllic life growing up in a peaceable forest kingdom, until one day when an invading army threatens the harmony of the land. She rises to be the land's fiercest protector, but she ultimately suffers a ruthless betrayal – an act that begins to turn her heart into stone. Bent on revenge, Maleficent faces an epic battle with the invading King's successor and, as a result, places a curse upon his newborn infant Aurora. As the child grows, Maleficent realizes that Aurora holds the key to peace in the kingdom – and to Maleficent's true happiness as well.</t>
        </is>
      </c>
      <c r="J212" s="64" t="inlineStr">
        <is>
          <t>Robert Stromberg</t>
        </is>
      </c>
      <c r="K212" s="64" t="n">
        <v>97</v>
      </c>
      <c r="L212" s="64" t="inlineStr">
        <is>
          <t>Fantasy, Adventure, Action, Family, Romance</t>
        </is>
      </c>
      <c r="M212" s="64" t="inlineStr">
        <is>
          <t>Walt Disney Pictures, Roth Films</t>
        </is>
      </c>
      <c r="N212" s="64" t="inlineStr">
        <is>
          <t>https://huggingface.co/datasets/HenryWaltson/TMDB-IMDB-Movies-Dataset</t>
        </is>
      </c>
      <c r="O212" s="64" t="inlineStr">
        <is>
          <t>https://huggingface.co/datasets/HenryWaltson/TMDB-IMDB-Movies-Dataset</t>
        </is>
      </c>
      <c r="P212" t="inlineStr">
        <is>
          <t>Angelina Jolie</t>
        </is>
      </c>
      <c r="Q212" t="inlineStr">
        <is>
          <t>Elle Fanning</t>
        </is>
      </c>
      <c r="R212" t="inlineStr">
        <is>
          <t>Imelda Staunton</t>
        </is>
      </c>
      <c r="S212" t="inlineStr">
        <is>
          <t>Sharlto Copley</t>
        </is>
      </c>
      <c r="T212" t="inlineStr">
        <is>
          <t>Lesley Manville</t>
        </is>
      </c>
      <c r="U212" s="71" t="n">
        <v>1</v>
      </c>
      <c r="V212" s="71" t="n">
        <v>0</v>
      </c>
      <c r="X212" s="82">
        <f>IFERROR(INDEX(Ratings!$E$5:$E$500,MATCH(A212,Ratings!$A$5:$A$500,0)),"")</f>
        <v/>
      </c>
      <c r="Y212" s="71">
        <f>IFERROR(INDEX(Ratings!$G$5:$G$500,MATCH(A212,Ratings!$A$5:$A$500,0)),"")</f>
        <v/>
      </c>
      <c r="Z212" s="83">
        <f>IFERROR(INDEX(Ratings!$I$5:$I$500,MATCH(A212,Ratings!$A$5:$A$500,0)),"")</f>
        <v/>
      </c>
    </row>
    <row r="213" ht="15.75" customHeight="1" s="95">
      <c r="A213" t="inlineStr">
        <is>
          <t>F0209</t>
        </is>
      </c>
      <c r="B213" t="inlineStr">
        <is>
          <t>Mamma Mia!</t>
        </is>
      </c>
      <c r="C213" s="63" t="inlineStr">
        <is>
          <t>2008</t>
        </is>
      </c>
      <c r="D213" t="inlineStr">
        <is>
          <t>Blu-ray</t>
        </is>
      </c>
      <c r="F213" s="64" t="n"/>
      <c r="I213" s="64" t="inlineStr">
        <is>
          <t>A spirited young bride-to-be living with her single mother on a small Greek island secretly invites three of her mother's ex-boyfriends in hope of finding her biological father to walk her down the aisle.</t>
        </is>
      </c>
      <c r="J213" s="64" t="inlineStr">
        <is>
          <t>Phyllida Lloyd</t>
        </is>
      </c>
      <c r="K213" s="64" t="n">
        <v>108</v>
      </c>
      <c r="L213" s="64" t="inlineStr">
        <is>
          <t>Comedy, Romance</t>
        </is>
      </c>
      <c r="M213" s="64" t="inlineStr">
        <is>
          <t>Littlestar, Playtone, Internationale Filmproduktion Richter</t>
        </is>
      </c>
      <c r="N213" s="64" t="inlineStr">
        <is>
          <t>https://huggingface.co/datasets/HenryWaltson/TMDB-IMDB-Movies-Dataset</t>
        </is>
      </c>
      <c r="O213" s="64" t="inlineStr">
        <is>
          <t>https://huggingface.co/datasets/HenryWaltson/TMDB-IMDB-Movies-Dataset</t>
        </is>
      </c>
      <c r="P213" t="inlineStr">
        <is>
          <t>Meryl Streep</t>
        </is>
      </c>
      <c r="Q213" t="inlineStr">
        <is>
          <t>Amanda Seyfried</t>
        </is>
      </c>
      <c r="R213" t="inlineStr">
        <is>
          <t>Pierce Brosnan</t>
        </is>
      </c>
      <c r="S213" t="inlineStr">
        <is>
          <t>Colin Firth</t>
        </is>
      </c>
      <c r="T213" t="inlineStr">
        <is>
          <t>Stellan Skarsgård</t>
        </is>
      </c>
      <c r="U213" s="71" t="n">
        <v>0</v>
      </c>
      <c r="V213" s="71" t="n">
        <v>0</v>
      </c>
      <c r="X213" s="82">
        <f>IFERROR(INDEX(Ratings!$E$5:$E$500,MATCH(A213,Ratings!$A$5:$A$500,0)),"")</f>
        <v/>
      </c>
      <c r="Y213" s="71">
        <f>IFERROR(INDEX(Ratings!$G$5:$G$500,MATCH(A213,Ratings!$A$5:$A$500,0)),"")</f>
        <v/>
      </c>
      <c r="Z213" s="83">
        <f>IFERROR(INDEX(Ratings!$I$5:$I$500,MATCH(A213,Ratings!$A$5:$A$500,0)),"")</f>
        <v/>
      </c>
    </row>
    <row r="214" ht="15.75" customHeight="1" s="95">
      <c r="A214" t="inlineStr">
        <is>
          <t>F0210</t>
        </is>
      </c>
      <c r="B214" t="inlineStr">
        <is>
          <t>Man on a Ledge</t>
        </is>
      </c>
      <c r="C214" s="63" t="inlineStr">
        <is>
          <t>2012</t>
        </is>
      </c>
      <c r="D214" t="inlineStr">
        <is>
          <t>Blu-ray</t>
        </is>
      </c>
      <c r="F214" s="64" t="n"/>
      <c r="I214" s="64" t="inlineStr">
        <is>
          <t>An ex-cop turned con threatens to jump to his death from a Manhattan hotel rooftop. The NYPD dispatch a female police psychologist to talk him down. However, unbeknownst to the police on the scene, the suicide attempt is a cover for the biggest diamond heist ever pulled.</t>
        </is>
      </c>
      <c r="J214" s="64" t="inlineStr">
        <is>
          <t>Asger Leth</t>
        </is>
      </c>
      <c r="K214" s="64" t="n">
        <v>102</v>
      </c>
      <c r="L214" s="64" t="inlineStr">
        <is>
          <t>Action, Thriller, Crime</t>
        </is>
      </c>
      <c r="M214" s="64" t="inlineStr">
        <is>
          <t>Summit Entertainment, di Bonaventura Pictures</t>
        </is>
      </c>
      <c r="N214" s="64" t="inlineStr">
        <is>
          <t>https://huggingface.co/datasets/HenryWaltson/TMDB-IMDB-Movies-Dataset</t>
        </is>
      </c>
      <c r="O214" s="64" t="inlineStr">
        <is>
          <t>https://huggingface.co/datasets/HenryWaltson/TMDB-IMDB-Movies-Dataset</t>
        </is>
      </c>
      <c r="P214" t="inlineStr">
        <is>
          <t>Sam Worthington</t>
        </is>
      </c>
      <c r="Q214" t="inlineStr">
        <is>
          <t>Elizabeth Banks</t>
        </is>
      </c>
      <c r="R214" t="inlineStr">
        <is>
          <t>Jamie Bell</t>
        </is>
      </c>
      <c r="S214" t="inlineStr">
        <is>
          <t>Anthony Mackie</t>
        </is>
      </c>
      <c r="T214" t="inlineStr">
        <is>
          <t>Edward Burns</t>
        </is>
      </c>
      <c r="U214" s="71" t="n">
        <v>0</v>
      </c>
      <c r="V214" s="71" t="n">
        <v>0</v>
      </c>
      <c r="X214" s="82">
        <f>IFERROR(INDEX(Ratings!$E$5:$E$500,MATCH(A214,Ratings!$A$5:$A$500,0)),"")</f>
        <v/>
      </c>
      <c r="Y214" s="71">
        <f>IFERROR(INDEX(Ratings!$G$5:$G$500,MATCH(A214,Ratings!$A$5:$A$500,0)),"")</f>
        <v/>
      </c>
      <c r="Z214" s="83">
        <f>IFERROR(INDEX(Ratings!$I$5:$I$500,MATCH(A214,Ratings!$A$5:$A$500,0)),"")</f>
        <v/>
      </c>
    </row>
    <row r="215" ht="15.75" customHeight="1" s="95">
      <c r="A215" t="inlineStr">
        <is>
          <t>F0211</t>
        </is>
      </c>
      <c r="B215" t="inlineStr">
        <is>
          <t>Man of Steel</t>
        </is>
      </c>
      <c r="C215" s="63" t="inlineStr">
        <is>
          <t>2013</t>
        </is>
      </c>
      <c r="D215" t="inlineStr">
        <is>
          <t>Blu-ray</t>
        </is>
      </c>
      <c r="F215" s="64" t="n"/>
      <c r="I215" s="64" t="inlineStr">
        <is>
          <t>A young boy learns that he has extraordinary powers and is not of this earth. As a young man, he journeys to discover where he came from and what he was sent here to do. But the hero in him must emerge if he is to save the world from annihilation and become the symbol of hope for all mankind.</t>
        </is>
      </c>
      <c r="J215" s="64" t="inlineStr">
        <is>
          <t>Zack Snyder</t>
        </is>
      </c>
      <c r="K215" s="64" t="n">
        <v>143</v>
      </c>
      <c r="L215" s="64" t="inlineStr">
        <is>
          <t>Action, Adventure, Science Fiction</t>
        </is>
      </c>
      <c r="M215" s="64" t="inlineStr">
        <is>
          <t>DC Entertainment, Syncopy, Peters Entertainment</t>
        </is>
      </c>
      <c r="N215" s="64" t="inlineStr">
        <is>
          <t>https://huggingface.co/datasets/HenryWaltson/TMDB-IMDB-Movies-Dataset</t>
        </is>
      </c>
      <c r="O215" s="64" t="inlineStr">
        <is>
          <t>https://huggingface.co/datasets/HenryWaltson/TMDB-IMDB-Movies-Dataset</t>
        </is>
      </c>
      <c r="P215" t="inlineStr">
        <is>
          <t>Henry Cavill</t>
        </is>
      </c>
      <c r="Q215" t="inlineStr">
        <is>
          <t>Amy Adams</t>
        </is>
      </c>
      <c r="R215" t="inlineStr">
        <is>
          <t>Michael Shannon</t>
        </is>
      </c>
      <c r="S215" t="inlineStr">
        <is>
          <t>Diane Lane</t>
        </is>
      </c>
      <c r="T215" t="inlineStr">
        <is>
          <t>Russell Crowe</t>
        </is>
      </c>
      <c r="U215" s="71" t="n">
        <v>0</v>
      </c>
      <c r="V215" s="71" t="n">
        <v>0</v>
      </c>
      <c r="X215" s="82">
        <f>IFERROR(INDEX(Ratings!$E$5:$E$500,MATCH(A215,Ratings!$A$5:$A$500,0)),"")</f>
        <v/>
      </c>
      <c r="Y215" s="71">
        <f>IFERROR(INDEX(Ratings!$G$5:$G$500,MATCH(A215,Ratings!$A$5:$A$500,0)),"")</f>
        <v/>
      </c>
      <c r="Z215" s="83">
        <f>IFERROR(INDEX(Ratings!$I$5:$I$500,MATCH(A215,Ratings!$A$5:$A$500,0)),"")</f>
        <v/>
      </c>
    </row>
    <row r="216" ht="15.75" customHeight="1" s="95">
      <c r="A216" t="inlineStr">
        <is>
          <t>F0212</t>
        </is>
      </c>
      <c r="B216" t="inlineStr">
        <is>
          <t>The Super Mario Bros. Movie</t>
        </is>
      </c>
      <c r="C216" s="63" t="inlineStr">
        <is>
          <t>2023</t>
        </is>
      </c>
      <c r="D216" t="inlineStr">
        <is>
          <t>Blu-ray</t>
        </is>
      </c>
      <c r="F216" s="64" t="n"/>
      <c r="I216" s="64" t="inlineStr">
        <is>
          <t>While working underground to fix a water main, Brooklyn plumbers—and brothers—Mario and Luigi are transported down a mysterious pipe and wander into a magical new world. But when the brothers are separated, Mario embarks on an epic quest to find Luigi.</t>
        </is>
      </c>
      <c r="J216" s="64" t="inlineStr">
        <is>
          <t>Aaron Horvath, Michael Jelenic, Pierre Leduc, Fabien Polack</t>
        </is>
      </c>
      <c r="K216" s="64" t="n">
        <v>93</v>
      </c>
      <c r="L216" s="64" t="inlineStr">
        <is>
          <t>Animation, Family, Adventure, Fantasy, Comedy</t>
        </is>
      </c>
      <c r="M216" s="64" t="inlineStr">
        <is>
          <t>Universal Pictures, Illumination, Nintendo</t>
        </is>
      </c>
      <c r="N216" s="64" t="inlineStr">
        <is>
          <t>https://huggingface.co/datasets/HenryWaltson/TMDB-IMDB-Movies-Dataset</t>
        </is>
      </c>
      <c r="O216" s="64" t="inlineStr">
        <is>
          <t>https://huggingface.co/datasets/HenryWaltson/TMDB-IMDB-Movies-Dataset</t>
        </is>
      </c>
      <c r="P216" t="inlineStr">
        <is>
          <t>Chris Pratt</t>
        </is>
      </c>
      <c r="Q216" t="inlineStr">
        <is>
          <t>Anya Taylor-Joy</t>
        </is>
      </c>
      <c r="R216" t="inlineStr">
        <is>
          <t>Charlie Day</t>
        </is>
      </c>
      <c r="S216" t="inlineStr">
        <is>
          <t>Jack Black</t>
        </is>
      </c>
      <c r="T216" t="inlineStr">
        <is>
          <t>Keegan-Michael Key</t>
        </is>
      </c>
      <c r="U216" s="71" t="n">
        <v>0</v>
      </c>
      <c r="V216" s="71" t="n">
        <v>0</v>
      </c>
      <c r="X216" s="82">
        <f>IFERROR(INDEX(Ratings!$E$5:$E$500,MATCH(A216,Ratings!$A$5:$A$500,0)),"")</f>
        <v/>
      </c>
      <c r="Y216" s="71">
        <f>IFERROR(INDEX(Ratings!$G$5:$G$500,MATCH(A216,Ratings!$A$5:$A$500,0)),"")</f>
        <v/>
      </c>
      <c r="Z216" s="83">
        <f>IFERROR(INDEX(Ratings!$I$5:$I$500,MATCH(A216,Ratings!$A$5:$A$500,0)),"")</f>
        <v/>
      </c>
    </row>
    <row r="217" ht="15.75" customHeight="1" s="95">
      <c r="A217" t="inlineStr">
        <is>
          <t>F0213</t>
        </is>
      </c>
      <c r="B217" t="inlineStr">
        <is>
          <t>The Martian</t>
        </is>
      </c>
      <c r="C217" s="63" t="inlineStr">
        <is>
          <t>2015</t>
        </is>
      </c>
      <c r="D217" t="inlineStr">
        <is>
          <t>Blu-ray</t>
        </is>
      </c>
      <c r="F217" s="64" t="n"/>
      <c r="I217" s="64" t="inlineStr">
        <is>
          <t>During a manned mission to Mars, Astronaut Mark Watney is presumed dead after a fierce storm and left behind by his crew. But Watney has survived and finds himself stranded and alone on the hostile planet. With only meager supplies, he must draw upon his ingenuity, wit and spirit to subsist and find a way to signal to Earth that he is alive.</t>
        </is>
      </c>
      <c r="J217" s="64" t="inlineStr">
        <is>
          <t>Ridley Scott</t>
        </is>
      </c>
      <c r="K217" s="64" t="n">
        <v>141</v>
      </c>
      <c r="L217" s="64" t="inlineStr">
        <is>
          <t>Drama, Adventure, Science Fiction</t>
        </is>
      </c>
      <c r="M217" s="64" t="inlineStr">
        <is>
          <t>Scott Free Productions, Genre Films</t>
        </is>
      </c>
      <c r="N217" s="64" t="inlineStr">
        <is>
          <t>https://huggingface.co/datasets/HenryWaltson/TMDB-IMDB-Movies-Dataset</t>
        </is>
      </c>
      <c r="O217" s="64" t="inlineStr">
        <is>
          <t>https://huggingface.co/datasets/HenryWaltson/TMDB-IMDB-Movies-Dataset</t>
        </is>
      </c>
      <c r="P217" t="inlineStr">
        <is>
          <t>Matt Damon</t>
        </is>
      </c>
      <c r="Q217" t="inlineStr">
        <is>
          <t>Jessica Chastain</t>
        </is>
      </c>
      <c r="R217" t="inlineStr">
        <is>
          <t>Kristen Wiig</t>
        </is>
      </c>
      <c r="S217" t="inlineStr">
        <is>
          <t>Jeff Daniels</t>
        </is>
      </c>
      <c r="T217" t="inlineStr">
        <is>
          <t>Michael Peña</t>
        </is>
      </c>
      <c r="U217" s="71" t="n">
        <v>7</v>
      </c>
      <c r="V217" s="71" t="n">
        <v>0</v>
      </c>
      <c r="W217" t="inlineStr">
        <is>
          <t>Nominated</t>
        </is>
      </c>
      <c r="X217" s="82">
        <f>IFERROR(INDEX(Ratings!$E$5:$E$500,MATCH(A217,Ratings!$A$5:$A$500,0)),"")</f>
        <v/>
      </c>
      <c r="Y217" s="71">
        <f>IFERROR(INDEX(Ratings!$G$5:$G$500,MATCH(A217,Ratings!$A$5:$A$500,0)),"")</f>
        <v/>
      </c>
      <c r="Z217" s="83">
        <f>IFERROR(INDEX(Ratings!$I$5:$I$500,MATCH(A217,Ratings!$A$5:$A$500,0)),"")</f>
        <v/>
      </c>
    </row>
    <row r="218" ht="15.75" customHeight="1" s="95">
      <c r="A218" t="inlineStr">
        <is>
          <t>F0214</t>
        </is>
      </c>
      <c r="B218" t="inlineStr">
        <is>
          <t>The Matrix</t>
        </is>
      </c>
      <c r="C218" s="63" t="inlineStr">
        <is>
          <t>1999</t>
        </is>
      </c>
      <c r="D218" t="inlineStr">
        <is>
          <t>Blu-ray</t>
        </is>
      </c>
      <c r="E218" t="inlineStr">
        <is>
          <t>Matrix</t>
        </is>
      </c>
      <c r="F218" s="64" t="n"/>
      <c r="I218" s="64" t="inlineStr">
        <is>
          <t>Set in the 22nd century, The Matrix tells the story of a computer hacker who joins a group of underground insurgents fighting the vast and powerful computers who now rule the earth.</t>
        </is>
      </c>
      <c r="J218" s="64" t="inlineStr">
        <is>
          <t>Lana Wachowski, Lilly Wachowski</t>
        </is>
      </c>
      <c r="K218" s="64" t="n">
        <v>136</v>
      </c>
      <c r="L218" s="64" t="inlineStr">
        <is>
          <t>Action, Science Fiction</t>
        </is>
      </c>
      <c r="M218" s="64" t="inlineStr">
        <is>
          <t>Village Roadshow Pictures, Groucho II Film Partnership, Silver Pictures</t>
        </is>
      </c>
      <c r="N218" s="64" t="inlineStr">
        <is>
          <t>https://huggingface.co/datasets/HenryWaltson/TMDB-IMDB-Movies-Dataset</t>
        </is>
      </c>
      <c r="O218" s="64" t="inlineStr">
        <is>
          <t>https://huggingface.co/datasets/HenryWaltson/TMDB-IMDB-Movies-Dataset</t>
        </is>
      </c>
      <c r="P218" t="inlineStr">
        <is>
          <t>Keanu Reeves</t>
        </is>
      </c>
      <c r="Q218" t="inlineStr">
        <is>
          <t>Laurence Fishburne</t>
        </is>
      </c>
      <c r="R218" t="inlineStr">
        <is>
          <t>Carrie-Anne Moss</t>
        </is>
      </c>
      <c r="S218" t="inlineStr">
        <is>
          <t>Hugo Weaving</t>
        </is>
      </c>
      <c r="T218" t="inlineStr">
        <is>
          <t>Gloria Foster</t>
        </is>
      </c>
      <c r="U218" s="71" t="n">
        <v>4</v>
      </c>
      <c r="V218" s="71" t="n">
        <v>4</v>
      </c>
      <c r="X218" s="82">
        <f>IFERROR(INDEX(Ratings!$E$5:$E$500,MATCH(A218,Ratings!$A$5:$A$500,0)),"")</f>
        <v/>
      </c>
      <c r="Y218" s="71">
        <f>IFERROR(INDEX(Ratings!$G$5:$G$500,MATCH(A218,Ratings!$A$5:$A$500,0)),"")</f>
        <v/>
      </c>
      <c r="Z218" s="83">
        <f>IFERROR(INDEX(Ratings!$I$5:$I$500,MATCH(A218,Ratings!$A$5:$A$500,0)),"")</f>
        <v/>
      </c>
    </row>
    <row r="219" ht="15.75" customHeight="1" s="95">
      <c r="A219" t="inlineStr">
        <is>
          <t>F0215</t>
        </is>
      </c>
      <c r="B219" t="inlineStr">
        <is>
          <t>The Matrix Reloaded</t>
        </is>
      </c>
      <c r="C219" s="63" t="inlineStr">
        <is>
          <t>2003</t>
        </is>
      </c>
      <c r="D219" t="inlineStr">
        <is>
          <t>Blu-ray</t>
        </is>
      </c>
      <c r="E219" t="inlineStr">
        <is>
          <t>Matrix</t>
        </is>
      </c>
      <c r="F219" s="64" t="n"/>
      <c r="I219" s="64" t="inlineStr">
        <is>
          <t>The Resistance builds in numbers as humans are freed from the Matrix and brought to the city of Zion. Neo discovers his superpowers, including the ability to see the code inside the Matrix. With machine sentinels digging to Zion in 72 hours, Neo, Morpheus and Trinity must find the Keymaker to ultimately reach the Source.</t>
        </is>
      </c>
      <c r="J219" s="64" t="inlineStr">
        <is>
          <t>Lana Wachowski, Lilly Wachowski</t>
        </is>
      </c>
      <c r="K219" s="64" t="n">
        <v>138</v>
      </c>
      <c r="L219" s="64" t="inlineStr">
        <is>
          <t>Adventure, Action, Thriller, Science Fiction</t>
        </is>
      </c>
      <c r="M219" s="64" t="inlineStr">
        <is>
          <t>Village Roadshow Pictures, Silver Pictures, NPV Entertainment</t>
        </is>
      </c>
      <c r="N219" s="64" t="inlineStr">
        <is>
          <t>https://huggingface.co/datasets/HenryWaltson/TMDB-IMDB-Movies-Dataset</t>
        </is>
      </c>
      <c r="O219" s="64" t="inlineStr">
        <is>
          <t>https://huggingface.co/datasets/HenryWaltson/TMDB-IMDB-Movies-Dataset</t>
        </is>
      </c>
      <c r="P219" t="inlineStr">
        <is>
          <t>Keanu Reeves</t>
        </is>
      </c>
      <c r="Q219" t="inlineStr">
        <is>
          <t>Laurence Fishburne</t>
        </is>
      </c>
      <c r="R219" t="inlineStr">
        <is>
          <t>Carrie-Anne Moss</t>
        </is>
      </c>
      <c r="S219" t="inlineStr">
        <is>
          <t>Hugo Weaving</t>
        </is>
      </c>
      <c r="T219" t="inlineStr">
        <is>
          <t>Jada Pinkett Smith</t>
        </is>
      </c>
      <c r="U219" s="71" t="n">
        <v>0</v>
      </c>
      <c r="V219" s="71" t="n">
        <v>0</v>
      </c>
      <c r="X219" s="82">
        <f>IFERROR(INDEX(Ratings!$E$5:$E$500,MATCH(A219,Ratings!$A$5:$A$500,0)),"")</f>
        <v/>
      </c>
      <c r="Y219" s="71">
        <f>IFERROR(INDEX(Ratings!$G$5:$G$500,MATCH(A219,Ratings!$A$5:$A$500,0)),"")</f>
        <v/>
      </c>
      <c r="Z219" s="83">
        <f>IFERROR(INDEX(Ratings!$I$5:$I$500,MATCH(A219,Ratings!$A$5:$A$500,0)),"")</f>
        <v/>
      </c>
    </row>
    <row r="220" ht="15.75" customHeight="1" s="95">
      <c r="A220" t="inlineStr">
        <is>
          <t>F0216</t>
        </is>
      </c>
      <c r="B220" t="inlineStr">
        <is>
          <t>The Matrix Revolutions</t>
        </is>
      </c>
      <c r="C220" s="63" t="inlineStr">
        <is>
          <t>2003</t>
        </is>
      </c>
      <c r="D220" t="inlineStr">
        <is>
          <t>Blu-ray</t>
        </is>
      </c>
      <c r="E220" t="inlineStr">
        <is>
          <t>Matrix</t>
        </is>
      </c>
      <c r="F220" s="64" t="n"/>
      <c r="I220" s="64" t="inlineStr">
        <is>
          <t>The human city of Zion defends itself against the massive invasion of the machines as Neo fights to end the war at another front while also opposing the rogue Agent Smith.</t>
        </is>
      </c>
      <c r="J220" s="64" t="inlineStr">
        <is>
          <t>Lana Wachowski, Lilly Wachowski</t>
        </is>
      </c>
      <c r="K220" s="64" t="n">
        <v>129</v>
      </c>
      <c r="L220" s="64" t="inlineStr">
        <is>
          <t>Adventure, Action, Thriller, Science Fiction</t>
        </is>
      </c>
      <c r="M220" s="64" t="inlineStr">
        <is>
          <t>Village Roadshow Pictures, NPV Entertainment, Silver Pictures</t>
        </is>
      </c>
      <c r="N220" s="64" t="inlineStr">
        <is>
          <t>https://huggingface.co/datasets/HenryWaltson/TMDB-IMDB-Movies-Dataset</t>
        </is>
      </c>
      <c r="O220" s="64" t="inlineStr">
        <is>
          <t>https://huggingface.co/datasets/HenryWaltson/TMDB-IMDB-Movies-Dataset</t>
        </is>
      </c>
      <c r="P220" t="inlineStr">
        <is>
          <t>Keanu Reeves</t>
        </is>
      </c>
      <c r="Q220" t="inlineStr">
        <is>
          <t>Laurence Fishburne</t>
        </is>
      </c>
      <c r="R220" t="inlineStr">
        <is>
          <t>Carrie-Anne Moss</t>
        </is>
      </c>
      <c r="S220" t="inlineStr">
        <is>
          <t>Hugo Weaving</t>
        </is>
      </c>
      <c r="T220" t="inlineStr">
        <is>
          <t>Jada Pinkett Smith</t>
        </is>
      </c>
      <c r="U220" s="71" t="n">
        <v>0</v>
      </c>
      <c r="V220" s="71" t="n">
        <v>0</v>
      </c>
      <c r="X220" s="82">
        <f>IFERROR(INDEX(Ratings!$E$5:$E$500,MATCH(A220,Ratings!$A$5:$A$500,0)),"")</f>
        <v/>
      </c>
      <c r="Y220" s="71">
        <f>IFERROR(INDEX(Ratings!$G$5:$G$500,MATCH(A220,Ratings!$A$5:$A$500,0)),"")</f>
        <v/>
      </c>
      <c r="Z220" s="83">
        <f>IFERROR(INDEX(Ratings!$I$5:$I$500,MATCH(A220,Ratings!$A$5:$A$500,0)),"")</f>
        <v/>
      </c>
    </row>
    <row r="221" ht="15.75" customHeight="1" s="95">
      <c r="A221" t="inlineStr">
        <is>
          <t>F0217</t>
        </is>
      </c>
      <c r="B221" t="inlineStr">
        <is>
          <t>The Maze Runner</t>
        </is>
      </c>
      <c r="C221" s="63" t="inlineStr">
        <is>
          <t>2014</t>
        </is>
      </c>
      <c r="D221" t="inlineStr">
        <is>
          <t>Blu-ray</t>
        </is>
      </c>
      <c r="F221" s="64" t="n"/>
      <c r="I221" s="64" t="inlineStr">
        <is>
          <t>A teenager with no memory of his past finds himself among a group of boys living in a walled enclosure surrounded by a massive, ever-changing maze. As he struggles to adapt to their rules and society, he begins to uncover clues that may lead to escape and the truth behind their confinement.</t>
        </is>
      </c>
      <c r="J221" s="64" t="inlineStr">
        <is>
          <t>Wes Ball</t>
        </is>
      </c>
      <c r="K221" s="64" t="n">
        <v>113</v>
      </c>
      <c r="L221" s="64" t="inlineStr">
        <is>
          <t>Action, Mystery, Science Fiction, Thriller</t>
        </is>
      </c>
      <c r="M221" s="64" t="inlineStr">
        <is>
          <t>Ingenious Media, Gotham Group, Dayday Films</t>
        </is>
      </c>
      <c r="N221" s="64" t="inlineStr">
        <is>
          <t>https://huggingface.co/datasets/HenryWaltson/TMDB-IMDB-Movies-Dataset</t>
        </is>
      </c>
      <c r="O221" s="64" t="inlineStr">
        <is>
          <t>https://huggingface.co/datasets/HenryWaltson/TMDB-IMDB-Movies-Dataset</t>
        </is>
      </c>
      <c r="P221" t="inlineStr">
        <is>
          <t>Dylan O'Brien</t>
        </is>
      </c>
      <c r="Q221" t="inlineStr">
        <is>
          <t>Kaya Scodelario</t>
        </is>
      </c>
      <c r="R221" t="inlineStr">
        <is>
          <t>Aml Ameen</t>
        </is>
      </c>
      <c r="S221" t="inlineStr">
        <is>
          <t>Thomas Brodie-Sangster</t>
        </is>
      </c>
      <c r="T221" t="inlineStr">
        <is>
          <t>Ki Hong Lee</t>
        </is>
      </c>
      <c r="U221" s="71" t="n">
        <v>0</v>
      </c>
      <c r="V221" s="71" t="n">
        <v>0</v>
      </c>
      <c r="X221" s="82">
        <f>IFERROR(INDEX(Ratings!$E$5:$E$500,MATCH(A221,Ratings!$A$5:$A$500,0)),"")</f>
        <v/>
      </c>
      <c r="Y221" s="71">
        <f>IFERROR(INDEX(Ratings!$G$5:$G$500,MATCH(A221,Ratings!$A$5:$A$500,0)),"")</f>
        <v/>
      </c>
      <c r="Z221" s="83">
        <f>IFERROR(INDEX(Ratings!$I$5:$I$500,MATCH(A221,Ratings!$A$5:$A$500,0)),"")</f>
        <v/>
      </c>
    </row>
    <row r="222" ht="15.75" customHeight="1" s="95">
      <c r="A222" t="inlineStr">
        <is>
          <t>F0218</t>
        </is>
      </c>
      <c r="B222" t="inlineStr">
        <is>
          <t>Men in Black</t>
        </is>
      </c>
      <c r="C222" s="63" t="inlineStr">
        <is>
          <t>1997</t>
        </is>
      </c>
      <c r="D222" t="inlineStr">
        <is>
          <t>Blu-ray</t>
        </is>
      </c>
      <c r="E222" t="inlineStr">
        <is>
          <t>Men in Black</t>
        </is>
      </c>
      <c r="F222" s="64" t="n"/>
      <c r="I222" s="64" t="inlineStr">
        <is>
          <t>After a police chase with an otherworldly being, a New York City cop is recruited as an agent in a top-secret organization established to monitor and police alien activity on Earth: the Men in Black. Agent K and new recruit Agent J find themselves in the middle of a deadly plot by an intergalactic terrorist who has arrived on Earth to assassinate two ambassadors from opposing galaxies.</t>
        </is>
      </c>
      <c r="J222" s="64" t="inlineStr">
        <is>
          <t>Barry Sonnenfeld</t>
        </is>
      </c>
      <c r="K222" s="64" t="n">
        <v>98</v>
      </c>
      <c r="L222" s="64" t="inlineStr">
        <is>
          <t>Action, Adventure, Comedy, Science Fiction</t>
        </is>
      </c>
      <c r="M222" s="64" t="inlineStr">
        <is>
          <t>Columbia Pictures, Amblin Entertainment, Parkes+MacDonald Image Nation</t>
        </is>
      </c>
      <c r="N222" s="64" t="inlineStr">
        <is>
          <t>https://huggingface.co/datasets/HenryWaltson/TMDB-IMDB-Movies-Dataset</t>
        </is>
      </c>
      <c r="O222" s="64" t="inlineStr">
        <is>
          <t>https://huggingface.co/datasets/HenryWaltson/TMDB-IMDB-Movies-Dataset</t>
        </is>
      </c>
      <c r="P222" t="inlineStr">
        <is>
          <t>Tommy Lee Jones</t>
        </is>
      </c>
      <c r="Q222" t="inlineStr">
        <is>
          <t>Will Smith</t>
        </is>
      </c>
      <c r="R222" t="inlineStr">
        <is>
          <t>Linda Fiorentino</t>
        </is>
      </c>
      <c r="S222" t="inlineStr">
        <is>
          <t>Vincent D'Onofrio</t>
        </is>
      </c>
      <c r="T222" t="inlineStr">
        <is>
          <t>Rip Torn</t>
        </is>
      </c>
      <c r="U222" s="71" t="n">
        <v>3</v>
      </c>
      <c r="V222" s="71" t="n">
        <v>1</v>
      </c>
      <c r="X222" s="82">
        <f>IFERROR(INDEX(Ratings!$E$5:$E$500,MATCH(A222,Ratings!$A$5:$A$500,0)),"")</f>
        <v/>
      </c>
      <c r="Y222" s="71">
        <f>IFERROR(INDEX(Ratings!$G$5:$G$500,MATCH(A222,Ratings!$A$5:$A$500,0)),"")</f>
        <v/>
      </c>
      <c r="Z222" s="83">
        <f>IFERROR(INDEX(Ratings!$I$5:$I$500,MATCH(A222,Ratings!$A$5:$A$500,0)),"")</f>
        <v/>
      </c>
    </row>
    <row r="223" ht="15.75" customHeight="1" s="95">
      <c r="A223" t="inlineStr">
        <is>
          <t>F0219</t>
        </is>
      </c>
      <c r="B223" t="inlineStr">
        <is>
          <t>Men in Black 3</t>
        </is>
      </c>
      <c r="C223" s="63" t="inlineStr">
        <is>
          <t>2012</t>
        </is>
      </c>
      <c r="D223" t="inlineStr">
        <is>
          <t>Blu-ray</t>
        </is>
      </c>
      <c r="E223" t="inlineStr">
        <is>
          <t>Men in Black</t>
        </is>
      </c>
      <c r="F223" s="64" t="n"/>
      <c r="I223" s="64" t="inlineStr">
        <is>
          <t>Agents J and K are back...in time. J has seen some inexplicable things in his 15 years with the Men in Black, but nothing, not even aliens, perplexes him as much as his wry, reticent partner. But when K's life and the fate of the planet are put at stake, Agent J will have to travel back in time to put things right. J discovers that there are secrets to the universe that K never told him - secrets that will reveal themselves as he teams up with the young Agent K to save his partner, the agency, and the future of humankind.</t>
        </is>
      </c>
      <c r="J223" s="64" t="inlineStr">
        <is>
          <t>Barry Sonnenfeld</t>
        </is>
      </c>
      <c r="K223" s="64" t="n">
        <v>106</v>
      </c>
      <c r="L223" s="64" t="inlineStr">
        <is>
          <t>Action, Comedy, Science Fiction</t>
        </is>
      </c>
      <c r="M223" s="64" t="inlineStr">
        <is>
          <t>Columbia Pictures, Hemisphere Media Capital, Amblin Entertainment</t>
        </is>
      </c>
      <c r="N223" s="64" t="inlineStr">
        <is>
          <t>https://huggingface.co/datasets/HenryWaltson/TMDB-IMDB-Movies-Dataset</t>
        </is>
      </c>
      <c r="O223" s="64" t="inlineStr">
        <is>
          <t>https://huggingface.co/datasets/HenryWaltson/TMDB-IMDB-Movies-Dataset</t>
        </is>
      </c>
      <c r="P223" t="inlineStr">
        <is>
          <t>Will Smith</t>
        </is>
      </c>
      <c r="Q223" t="inlineStr">
        <is>
          <t>Tommy Lee Jones</t>
        </is>
      </c>
      <c r="R223" t="inlineStr">
        <is>
          <t>Josh Brolin</t>
        </is>
      </c>
      <c r="S223" t="inlineStr">
        <is>
          <t>Jemaine Clement</t>
        </is>
      </c>
      <c r="T223" t="inlineStr">
        <is>
          <t>Emma Thompson</t>
        </is>
      </c>
      <c r="U223" s="71" t="n">
        <v>0</v>
      </c>
      <c r="V223" s="71" t="n">
        <v>0</v>
      </c>
      <c r="X223" s="82">
        <f>IFERROR(INDEX(Ratings!$E$5:$E$500,MATCH(A223,Ratings!$A$5:$A$500,0)),"")</f>
        <v/>
      </c>
      <c r="Y223" s="71">
        <f>IFERROR(INDEX(Ratings!$G$5:$G$500,MATCH(A223,Ratings!$A$5:$A$500,0)),"")</f>
        <v/>
      </c>
      <c r="Z223" s="83">
        <f>IFERROR(INDEX(Ratings!$I$5:$I$500,MATCH(A223,Ratings!$A$5:$A$500,0)),"")</f>
        <v/>
      </c>
    </row>
    <row r="224" ht="15.75" customHeight="1" s="95">
      <c r="A224" t="inlineStr">
        <is>
          <t>F0220</t>
        </is>
      </c>
      <c r="B224" t="inlineStr">
        <is>
          <t>Minions</t>
        </is>
      </c>
      <c r="C224" s="63" t="inlineStr">
        <is>
          <t>2015</t>
        </is>
      </c>
      <c r="D224" t="inlineStr">
        <is>
          <t>Blu-ray</t>
        </is>
      </c>
      <c r="E224" t="inlineStr">
        <is>
          <t>Despicable Me / Minions</t>
        </is>
      </c>
      <c r="F224" s="64" t="n"/>
      <c r="I224" s="64" t="inlineStr">
        <is>
          <t>Minions Stuart, Kevin and Bob are recruited by Scarlet Overkill, a super-villain who, alongside her inventor husband Herb, hatches a plot to take over the world.</t>
        </is>
      </c>
      <c r="J224" s="64" t="inlineStr">
        <is>
          <t>Kyle Balda, Pierre Coffin</t>
        </is>
      </c>
      <c r="K224" s="64" t="n">
        <v>91</v>
      </c>
      <c r="L224" s="64" t="inlineStr">
        <is>
          <t>Family, Animation, Adventure, Comedy</t>
        </is>
      </c>
      <c r="M224" s="64" t="inlineStr">
        <is>
          <t>Illumination, Universal Pictures</t>
        </is>
      </c>
      <c r="N224" s="64" t="inlineStr">
        <is>
          <t>https://huggingface.co/datasets/HenryWaltson/TMDB-IMDB-Movies-Dataset</t>
        </is>
      </c>
      <c r="O224" s="64" t="inlineStr">
        <is>
          <t>https://huggingface.co/datasets/HenryWaltson/TMDB-IMDB-Movies-Dataset</t>
        </is>
      </c>
      <c r="P224" t="inlineStr">
        <is>
          <t>Sandra Bullock</t>
        </is>
      </c>
      <c r="Q224" t="inlineStr">
        <is>
          <t>Jon Hamm</t>
        </is>
      </c>
      <c r="R224" t="inlineStr">
        <is>
          <t>Michael Keaton</t>
        </is>
      </c>
      <c r="S224" t="inlineStr">
        <is>
          <t>Allison Janney</t>
        </is>
      </c>
      <c r="T224" t="inlineStr">
        <is>
          <t>Steve Coogan</t>
        </is>
      </c>
      <c r="U224" s="71" t="n">
        <v>0</v>
      </c>
      <c r="V224" s="71" t="n">
        <v>0</v>
      </c>
      <c r="X224" s="82">
        <f>IFERROR(INDEX(Ratings!$E$5:$E$500,MATCH(A224,Ratings!$A$5:$A$500,0)),"")</f>
        <v/>
      </c>
      <c r="Y224" s="71">
        <f>IFERROR(INDEX(Ratings!$G$5:$G$500,MATCH(A224,Ratings!$A$5:$A$500,0)),"")</f>
        <v/>
      </c>
      <c r="Z224" s="83">
        <f>IFERROR(INDEX(Ratings!$I$5:$I$500,MATCH(A224,Ratings!$A$5:$A$500,0)),"")</f>
        <v/>
      </c>
    </row>
    <row r="225" ht="15.75" customHeight="1" s="95">
      <c r="A225" t="inlineStr">
        <is>
          <t>F0221</t>
        </is>
      </c>
      <c r="B225" t="inlineStr">
        <is>
          <t>Mission: Impossible</t>
        </is>
      </c>
      <c r="C225" s="63" t="inlineStr">
        <is>
          <t>1996</t>
        </is>
      </c>
      <c r="D225" t="inlineStr">
        <is>
          <t>Blu-ray</t>
        </is>
      </c>
      <c r="E225" t="inlineStr">
        <is>
          <t>Mission: Impossible</t>
        </is>
      </c>
      <c r="F225" s="64" t="n"/>
      <c r="I225" s="64" t="inlineStr">
        <is>
          <t>When Ethan Hunt, the leader of a crack espionage team whose perilous operation has gone awry with no explanation, discovers that a mole has penetrated the CIA, he's surprised to learn that he's the prime suspect. To clear his name, Hunt now must ferret out the real double agent and, in the process, even the score.</t>
        </is>
      </c>
      <c r="J225" s="64" t="inlineStr">
        <is>
          <t>Brian De Palma</t>
        </is>
      </c>
      <c r="K225" s="64" t="n">
        <v>110</v>
      </c>
      <c r="L225" s="64" t="inlineStr">
        <is>
          <t>Adventure, Action, Thriller</t>
        </is>
      </c>
      <c r="M225" s="64" t="inlineStr">
        <is>
          <t>Paramount, Cruise/Wagner Productions</t>
        </is>
      </c>
      <c r="N225" s="64" t="inlineStr">
        <is>
          <t>https://huggingface.co/datasets/HenryWaltson/TMDB-IMDB-Movies-Dataset</t>
        </is>
      </c>
      <c r="O225" s="64" t="inlineStr">
        <is>
          <t>https://huggingface.co/datasets/HenryWaltson/TMDB-IMDB-Movies-Dataset</t>
        </is>
      </c>
      <c r="P225" t="inlineStr">
        <is>
          <t>Tom Cruise</t>
        </is>
      </c>
      <c r="Q225" t="inlineStr">
        <is>
          <t>Jon Voight</t>
        </is>
      </c>
      <c r="R225" t="inlineStr">
        <is>
          <t>Emmanuelle Béart</t>
        </is>
      </c>
      <c r="S225" t="inlineStr">
        <is>
          <t>Henry Czerny</t>
        </is>
      </c>
      <c r="T225" t="inlineStr">
        <is>
          <t>Jean Reno</t>
        </is>
      </c>
      <c r="U225" s="71" t="n">
        <v>0</v>
      </c>
      <c r="V225" s="71" t="n">
        <v>0</v>
      </c>
      <c r="X225" s="82">
        <f>IFERROR(INDEX(Ratings!$E$5:$E$500,MATCH(A225,Ratings!$A$5:$A$500,0)),"")</f>
        <v/>
      </c>
      <c r="Y225" s="71">
        <f>IFERROR(INDEX(Ratings!$G$5:$G$500,MATCH(A225,Ratings!$A$5:$A$500,0)),"")</f>
        <v/>
      </c>
      <c r="Z225" s="83">
        <f>IFERROR(INDEX(Ratings!$I$5:$I$500,MATCH(A225,Ratings!$A$5:$A$500,0)),"")</f>
        <v/>
      </c>
    </row>
    <row r="226" ht="15.75" customHeight="1" s="95">
      <c r="A226" t="inlineStr">
        <is>
          <t>F0222</t>
        </is>
      </c>
      <c r="B226" t="inlineStr">
        <is>
          <t>Mission: Impossible II</t>
        </is>
      </c>
      <c r="C226" s="63" t="inlineStr">
        <is>
          <t>2000</t>
        </is>
      </c>
      <c r="D226" t="inlineStr">
        <is>
          <t>Blu-ray</t>
        </is>
      </c>
      <c r="E226" t="inlineStr">
        <is>
          <t>Mission: Impossible</t>
        </is>
      </c>
      <c r="F226" s="64" t="n"/>
      <c r="I226" s="64" t="inlineStr">
        <is>
          <t>With computer genius Luther Stickell at his side and a beautiful thief on his mind, agent Ethan Hunt races across Australia and Spain to stop a former IMF agent from unleashing a genetically engineered biological weapon called Chimera. This mission, should Hunt choose to accept it, plunges him into the center of an international crisis of terrifying magnitude.</t>
        </is>
      </c>
      <c r="J226" s="64" t="inlineStr">
        <is>
          <t>John Woo</t>
        </is>
      </c>
      <c r="K226" s="64" t="n">
        <v>123</v>
      </c>
      <c r="L226" s="64" t="inlineStr">
        <is>
          <t>Adventure, Action, Thriller</t>
        </is>
      </c>
      <c r="M226" s="64" t="inlineStr">
        <is>
          <t>Paramount, Cruise/Wagner Productions</t>
        </is>
      </c>
      <c r="N226" s="64" t="inlineStr">
        <is>
          <t>https://huggingface.co/datasets/HenryWaltson/TMDB-IMDB-Movies-Dataset</t>
        </is>
      </c>
      <c r="O226" s="64" t="inlineStr">
        <is>
          <t>https://huggingface.co/datasets/HenryWaltson/TMDB-IMDB-Movies-Dataset</t>
        </is>
      </c>
      <c r="P226" t="inlineStr">
        <is>
          <t>Tom Cruise</t>
        </is>
      </c>
      <c r="Q226" t="inlineStr">
        <is>
          <t>Dougray Scott</t>
        </is>
      </c>
      <c r="R226" t="inlineStr">
        <is>
          <t>Thandiwe Newton</t>
        </is>
      </c>
      <c r="S226" t="inlineStr">
        <is>
          <t>Ving Rhames</t>
        </is>
      </c>
      <c r="T226" t="inlineStr">
        <is>
          <t>Richard Roxburgh</t>
        </is>
      </c>
      <c r="U226" s="71" t="n">
        <v>0</v>
      </c>
      <c r="V226" s="71" t="n">
        <v>0</v>
      </c>
      <c r="X226" s="82">
        <f>IFERROR(INDEX(Ratings!$E$5:$E$500,MATCH(A226,Ratings!$A$5:$A$500,0)),"")</f>
        <v/>
      </c>
      <c r="Y226" s="71">
        <f>IFERROR(INDEX(Ratings!$G$5:$G$500,MATCH(A226,Ratings!$A$5:$A$500,0)),"")</f>
        <v/>
      </c>
      <c r="Z226" s="83">
        <f>IFERROR(INDEX(Ratings!$I$5:$I$500,MATCH(A226,Ratings!$A$5:$A$500,0)),"")</f>
        <v/>
      </c>
    </row>
    <row r="227" ht="15.75" customHeight="1" s="95">
      <c r="A227" t="inlineStr">
        <is>
          <t>F0223</t>
        </is>
      </c>
      <c r="B227" t="inlineStr">
        <is>
          <t>Mission: Impossible III</t>
        </is>
      </c>
      <c r="C227" s="63" t="inlineStr">
        <is>
          <t>2006</t>
        </is>
      </c>
      <c r="D227" t="inlineStr">
        <is>
          <t>Blu-ray</t>
        </is>
      </c>
      <c r="E227" t="inlineStr">
        <is>
          <t>Mission: Impossible</t>
        </is>
      </c>
      <c r="F227" s="64" t="n"/>
      <c r="I227" s="64" t="inlineStr">
        <is>
          <t>Retired from active duty, and training recruits for the Impossible Mission Force, agent Ethan Hunt faces the toughest foe of his career: Owen Davian, an international broker of arms and information, who's as cunning as he is ruthless. Davian emerges to threaten Hunt and all that he holds dear – including the woman Hunt loves.</t>
        </is>
      </c>
      <c r="J227" s="64" t="inlineStr">
        <is>
          <t>J.J. Abrams</t>
        </is>
      </c>
      <c r="K227" s="64" t="n">
        <v>126</v>
      </c>
      <c r="L227" s="64" t="inlineStr">
        <is>
          <t>Adventure, Action, Thriller</t>
        </is>
      </c>
      <c r="M227" s="64" t="inlineStr">
        <is>
          <t>Paramount, Cruise/Wagner Productions</t>
        </is>
      </c>
      <c r="N227" s="64" t="inlineStr">
        <is>
          <t>https://huggingface.co/datasets/HenryWaltson/TMDB-IMDB-Movies-Dataset</t>
        </is>
      </c>
      <c r="O227" s="64" t="inlineStr">
        <is>
          <t>https://huggingface.co/datasets/HenryWaltson/TMDB-IMDB-Movies-Dataset</t>
        </is>
      </c>
      <c r="P227" t="inlineStr">
        <is>
          <t>Tom Cruise</t>
        </is>
      </c>
      <c r="Q227" t="inlineStr">
        <is>
          <t>Philip Seymour Hoffman</t>
        </is>
      </c>
      <c r="R227" t="inlineStr">
        <is>
          <t>Ving Rhames</t>
        </is>
      </c>
      <c r="S227" t="inlineStr">
        <is>
          <t>Billy Crudup</t>
        </is>
      </c>
      <c r="T227" t="inlineStr">
        <is>
          <t>Michelle Monaghan</t>
        </is>
      </c>
      <c r="U227" s="71" t="n">
        <v>0</v>
      </c>
      <c r="V227" s="71" t="n">
        <v>0</v>
      </c>
      <c r="X227" s="82">
        <f>IFERROR(INDEX(Ratings!$E$5:$E$500,MATCH(A227,Ratings!$A$5:$A$500,0)),"")</f>
        <v/>
      </c>
      <c r="Y227" s="71">
        <f>IFERROR(INDEX(Ratings!$G$5:$G$500,MATCH(A227,Ratings!$A$5:$A$500,0)),"")</f>
        <v/>
      </c>
      <c r="Z227" s="83">
        <f>IFERROR(INDEX(Ratings!$I$5:$I$500,MATCH(A227,Ratings!$A$5:$A$500,0)),"")</f>
        <v/>
      </c>
    </row>
    <row r="228" ht="15.75" customHeight="1" s="95">
      <c r="A228" t="inlineStr">
        <is>
          <t>F0224</t>
        </is>
      </c>
      <c r="B228" t="inlineStr">
        <is>
          <t>Mission: Impossible - Ghost Protocol</t>
        </is>
      </c>
      <c r="C228" s="63" t="inlineStr">
        <is>
          <t>2011</t>
        </is>
      </c>
      <c r="D228" t="inlineStr">
        <is>
          <t>Blu-ray</t>
        </is>
      </c>
      <c r="E228" t="inlineStr">
        <is>
          <t>Mission: Impossible</t>
        </is>
      </c>
      <c r="F228" s="64" t="n"/>
      <c r="I228" s="64" t="inlineStr">
        <is>
          <t>Ethan Hunt and his team are racing against time to track down a dangerous terrorist named Hendricks, who has gained access to Russian nuclear launch codes and is planning a strike on the United States. An attempt to stop him ends in an explosion causing severe destruction to the Kremlin and the IMF to be implicated in the bombing, forcing the President to disavow them. No longer being aided by the government, Ethan and his team chase Hendricks around the globe, although they might still be too late to stop a disaster.</t>
        </is>
      </c>
      <c r="J228" s="64" t="inlineStr">
        <is>
          <t>Brad Bird</t>
        </is>
      </c>
      <c r="K228" s="64" t="n">
        <v>133</v>
      </c>
      <c r="L228" s="64" t="inlineStr">
        <is>
          <t>Action, Thriller, Adventure</t>
        </is>
      </c>
      <c r="M228" s="64" t="inlineStr">
        <is>
          <t>Paramount, Bad Robot, TC Productions</t>
        </is>
      </c>
      <c r="N228" s="64" t="inlineStr">
        <is>
          <t>https://huggingface.co/datasets/HenryWaltson/TMDB-IMDB-Movies-Dataset</t>
        </is>
      </c>
      <c r="O228" s="64" t="inlineStr">
        <is>
          <t>https://huggingface.co/datasets/HenryWaltson/TMDB-IMDB-Movies-Dataset</t>
        </is>
      </c>
      <c r="P228" t="inlineStr">
        <is>
          <t>Tom Cruise</t>
        </is>
      </c>
      <c r="Q228" t="inlineStr">
        <is>
          <t>Paula Patton</t>
        </is>
      </c>
      <c r="R228" t="inlineStr">
        <is>
          <t>Simon Pegg</t>
        </is>
      </c>
      <c r="S228" t="inlineStr">
        <is>
          <t>Jeremy Renner</t>
        </is>
      </c>
      <c r="T228" t="inlineStr">
        <is>
          <t>Michael Nyqvist</t>
        </is>
      </c>
      <c r="U228" s="71" t="n">
        <v>0</v>
      </c>
      <c r="V228" s="71" t="n">
        <v>0</v>
      </c>
      <c r="X228" s="82">
        <f>IFERROR(INDEX(Ratings!$E$5:$E$500,MATCH(A228,Ratings!$A$5:$A$500,0)),"")</f>
        <v/>
      </c>
      <c r="Y228" s="71">
        <f>IFERROR(INDEX(Ratings!$G$5:$G$500,MATCH(A228,Ratings!$A$5:$A$500,0)),"")</f>
        <v/>
      </c>
      <c r="Z228" s="83">
        <f>IFERROR(INDEX(Ratings!$I$5:$I$500,MATCH(A228,Ratings!$A$5:$A$500,0)),"")</f>
        <v/>
      </c>
    </row>
    <row r="229" ht="15.75" customHeight="1" s="95">
      <c r="A229" t="inlineStr">
        <is>
          <t>F0225</t>
        </is>
      </c>
      <c r="B229" t="inlineStr">
        <is>
          <t>Mission: Impossible - Rogue Nation</t>
        </is>
      </c>
      <c r="C229" s="63" t="inlineStr">
        <is>
          <t>2015</t>
        </is>
      </c>
      <c r="D229" t="inlineStr">
        <is>
          <t>Blu-ray</t>
        </is>
      </c>
      <c r="E229" t="inlineStr">
        <is>
          <t>Mission: Impossible</t>
        </is>
      </c>
      <c r="F229" s="64" t="n"/>
      <c r="I229" s="64" t="inlineStr">
        <is>
          <t>Ethan and team take on their most impossible mission yet—eradicating 'The Syndicate', an International and highly-skilled rogue organization committed to destroying the IMF.</t>
        </is>
      </c>
      <c r="J229" s="64" t="inlineStr">
        <is>
          <t>Christopher McQuarrie</t>
        </is>
      </c>
      <c r="K229" s="64" t="n">
        <v>131</v>
      </c>
      <c r="L229" s="64" t="inlineStr">
        <is>
          <t>Action, Adventure</t>
        </is>
      </c>
      <c r="M229" s="64" t="inlineStr">
        <is>
          <t>Paramount, Bad Robot, Odin</t>
        </is>
      </c>
      <c r="N229" s="64" t="inlineStr">
        <is>
          <t>https://huggingface.co/datasets/HenryWaltson/TMDB-IMDB-Movies-Dataset</t>
        </is>
      </c>
      <c r="O229" s="64" t="inlineStr">
        <is>
          <t>https://huggingface.co/datasets/HenryWaltson/TMDB-IMDB-Movies-Dataset</t>
        </is>
      </c>
      <c r="P229" t="inlineStr">
        <is>
          <t>Tom Cruise</t>
        </is>
      </c>
      <c r="Q229" t="inlineStr">
        <is>
          <t>Jeremy Renner</t>
        </is>
      </c>
      <c r="R229" t="inlineStr">
        <is>
          <t>Simon Pegg</t>
        </is>
      </c>
      <c r="S229" t="inlineStr">
        <is>
          <t>Rebecca Ferguson</t>
        </is>
      </c>
      <c r="T229" t="inlineStr">
        <is>
          <t>Ving Rhames</t>
        </is>
      </c>
      <c r="U229" s="71" t="n">
        <v>0</v>
      </c>
      <c r="V229" s="71" t="n">
        <v>0</v>
      </c>
      <c r="X229" s="82">
        <f>IFERROR(INDEX(Ratings!$E$5:$E$500,MATCH(A229,Ratings!$A$5:$A$500,0)),"")</f>
        <v/>
      </c>
      <c r="Y229" s="71">
        <f>IFERROR(INDEX(Ratings!$G$5:$G$500,MATCH(A229,Ratings!$A$5:$A$500,0)),"")</f>
        <v/>
      </c>
      <c r="Z229" s="83">
        <f>IFERROR(INDEX(Ratings!$I$5:$I$500,MATCH(A229,Ratings!$A$5:$A$500,0)),"")</f>
        <v/>
      </c>
    </row>
    <row r="230" ht="15.75" customHeight="1" s="95">
      <c r="A230" t="inlineStr">
        <is>
          <t>F0226</t>
        </is>
      </c>
      <c r="B230" t="inlineStr">
        <is>
          <t>Mission: Impossible - Fallout</t>
        </is>
      </c>
      <c r="C230" s="63" t="inlineStr">
        <is>
          <t>2018</t>
        </is>
      </c>
      <c r="D230" t="inlineStr">
        <is>
          <t>Blu-ray</t>
        </is>
      </c>
      <c r="E230" t="inlineStr">
        <is>
          <t>Mission: Impossible</t>
        </is>
      </c>
      <c r="F230" s="64" t="n"/>
      <c r="I230" s="64" t="inlineStr">
        <is>
          <t>When an IMF mission ends badly, the world is faced with dire consequences. As Ethan Hunt takes it upon himself to fulfill his original briefing, the CIA begin to question his loyalty and his motives. The IMF team find themselves in a race against time, hunted by assassins while trying to prevent a global catastrophe.</t>
        </is>
      </c>
      <c r="J230" s="64" t="inlineStr">
        <is>
          <t>Christopher McQuarrie</t>
        </is>
      </c>
      <c r="K230" s="64" t="n">
        <v>147</v>
      </c>
      <c r="L230" s="64" t="inlineStr">
        <is>
          <t>Action, Adventure</t>
        </is>
      </c>
      <c r="M230" s="64" t="inlineStr">
        <is>
          <t>Paramount, Bad Robot, Skydance</t>
        </is>
      </c>
      <c r="N230" s="64" t="inlineStr">
        <is>
          <t>https://huggingface.co/datasets/HenryWaltson/TMDB-IMDB-Movies-Dataset</t>
        </is>
      </c>
      <c r="O230" s="64" t="inlineStr">
        <is>
          <t>https://huggingface.co/datasets/HenryWaltson/TMDB-IMDB-Movies-Dataset</t>
        </is>
      </c>
      <c r="P230" t="inlineStr">
        <is>
          <t>Tom Cruise</t>
        </is>
      </c>
      <c r="Q230" t="inlineStr">
        <is>
          <t>Henry Cavill</t>
        </is>
      </c>
      <c r="R230" t="inlineStr">
        <is>
          <t>Ving Rhames</t>
        </is>
      </c>
      <c r="S230" t="inlineStr">
        <is>
          <t>Simon Pegg</t>
        </is>
      </c>
      <c r="T230" t="inlineStr">
        <is>
          <t>Rebecca Ferguson</t>
        </is>
      </c>
      <c r="U230" s="71" t="n">
        <v>0</v>
      </c>
      <c r="V230" s="71" t="n">
        <v>0</v>
      </c>
      <c r="X230" s="82">
        <f>IFERROR(INDEX(Ratings!$E$5:$E$500,MATCH(A230,Ratings!$A$5:$A$500,0)),"")</f>
        <v/>
      </c>
      <c r="Y230" s="71">
        <f>IFERROR(INDEX(Ratings!$G$5:$G$500,MATCH(A230,Ratings!$A$5:$A$500,0)),"")</f>
        <v/>
      </c>
      <c r="Z230" s="83">
        <f>IFERROR(INDEX(Ratings!$I$5:$I$500,MATCH(A230,Ratings!$A$5:$A$500,0)),"")</f>
        <v/>
      </c>
    </row>
    <row r="231" ht="15.75" customHeight="1" s="95">
      <c r="A231" t="inlineStr">
        <is>
          <t>F0227</t>
        </is>
      </c>
      <c r="B231" t="inlineStr">
        <is>
          <t>Mission: Impossible - Dead Reckoning Part One</t>
        </is>
      </c>
      <c r="C231" s="63" t="inlineStr">
        <is>
          <t>2023</t>
        </is>
      </c>
      <c r="D231" t="inlineStr">
        <is>
          <t>Blu-ray</t>
        </is>
      </c>
      <c r="E231" t="inlineStr">
        <is>
          <t>Mission: Impossible</t>
        </is>
      </c>
      <c r="F231" s="64" t="n"/>
      <c r="I231" s="64" t="inlineStr">
        <is>
          <t>Ethan Hunt and his IMF team embark on their most dangerous mission yet: To track down a terrifying new weapon that threatens all of humanity before it falls into the wrong hands. With control of the future and the world's fate at stake and dark forces from Ethan's past closing in, a deadly race around the globe begins. Confronted by a mysterious, all-powerful enemy, Ethan must consider that nothing can matter more than his mission—not even the lives of those he cares about most.</t>
        </is>
      </c>
      <c r="J231" s="64" t="inlineStr">
        <is>
          <t>Christopher McQuarrie</t>
        </is>
      </c>
      <c r="K231" s="64" t="n">
        <v>164</v>
      </c>
      <c r="L231" s="64" t="inlineStr">
        <is>
          <t>Action, Thriller</t>
        </is>
      </c>
      <c r="M231" s="64" t="inlineStr">
        <is>
          <t>Paramount, Skydance, TC Productions</t>
        </is>
      </c>
      <c r="N231" s="64" t="inlineStr">
        <is>
          <t>https://huggingface.co/datasets/HenryWaltson/TMDB-IMDB-Movies-Dataset</t>
        </is>
      </c>
      <c r="O231" s="64" t="inlineStr">
        <is>
          <t>https://huggingface.co/datasets/HenryWaltson/TMDB-IMDB-Movies-Dataset</t>
        </is>
      </c>
      <c r="P231" t="inlineStr">
        <is>
          <t>Tom Cruise</t>
        </is>
      </c>
      <c r="Q231" t="inlineStr">
        <is>
          <t>Hayley Atwell</t>
        </is>
      </c>
      <c r="R231" t="inlineStr">
        <is>
          <t>Ving Rhames</t>
        </is>
      </c>
      <c r="S231" t="inlineStr">
        <is>
          <t>Simon Pegg</t>
        </is>
      </c>
      <c r="T231" t="inlineStr">
        <is>
          <t>Rebecca Ferguson</t>
        </is>
      </c>
      <c r="U231" s="71" t="n">
        <v>2</v>
      </c>
      <c r="V231" s="71" t="n">
        <v>0</v>
      </c>
      <c r="X231" s="82">
        <f>IFERROR(INDEX(Ratings!$E$5:$E$500,MATCH(A231,Ratings!$A$5:$A$500,0)),"")</f>
        <v/>
      </c>
      <c r="Y231" s="71">
        <f>IFERROR(INDEX(Ratings!$G$5:$G$500,MATCH(A231,Ratings!$A$5:$A$500,0)),"")</f>
        <v/>
      </c>
      <c r="Z231" s="83">
        <f>IFERROR(INDEX(Ratings!$I$5:$I$500,MATCH(A231,Ratings!$A$5:$A$500,0)),"")</f>
        <v/>
      </c>
    </row>
    <row r="232" ht="15.75" customHeight="1" s="95">
      <c r="A232" t="inlineStr">
        <is>
          <t>F0228</t>
        </is>
      </c>
      <c r="B232" t="inlineStr">
        <is>
          <t>Mission: Impossible - The Final Reckoning</t>
        </is>
      </c>
      <c r="C232" s="63" t="inlineStr">
        <is>
          <t>2025</t>
        </is>
      </c>
      <c r="D232" t="inlineStr">
        <is>
          <t>Blu-ray</t>
        </is>
      </c>
      <c r="E232" t="inlineStr">
        <is>
          <t>Mission: Impossible</t>
        </is>
      </c>
      <c r="F232" s="64" t="n"/>
      <c r="I232" s="64" t="inlineStr">
        <is>
          <t>Ethan Hunt and team continue their search for the terrifying AI known as the Entity — which has infiltrated intelligence networks all over the globe — with the world's governments and a mysterious ghost from Hunt's past on their trail. Joined by new allies and armed with the means to shut the Entity down for good, Hunt is in a race against time to prevent the world as we know it from changing forever.</t>
        </is>
      </c>
      <c r="J232" s="64" t="inlineStr">
        <is>
          <t>Christopher McQuarrie</t>
        </is>
      </c>
      <c r="K232" s="64" t="n">
        <v>169</v>
      </c>
      <c r="L232" s="64" t="inlineStr">
        <is>
          <t>Action, Adventure, Thriller</t>
        </is>
      </c>
      <c r="M232" s="64" t="inlineStr">
        <is>
          <t>Paramount Pictures, Skydance Media</t>
        </is>
      </c>
      <c r="N232" s="64" t="inlineStr">
        <is>
          <t>https://huggingface.co/datasets/HenryWaltson/TMDB-IMDB-Movies-Dataset</t>
        </is>
      </c>
      <c r="O232" s="64" t="inlineStr">
        <is>
          <t>https://www.imdb.com/title/tt9603208/fullcredits/</t>
        </is>
      </c>
      <c r="P232" t="inlineStr">
        <is>
          <t>Tom Cruise</t>
        </is>
      </c>
      <c r="Q232" t="inlineStr">
        <is>
          <t>Hayley Atwell</t>
        </is>
      </c>
      <c r="R232" t="inlineStr">
        <is>
          <t>Ving Rhames</t>
        </is>
      </c>
      <c r="S232" t="inlineStr">
        <is>
          <t>Simon Pegg</t>
        </is>
      </c>
      <c r="T232" t="inlineStr">
        <is>
          <t>Esai Morales</t>
        </is>
      </c>
      <c r="U232" s="71" t="n">
        <v>0</v>
      </c>
      <c r="V232" s="71" t="n">
        <v>0</v>
      </c>
      <c r="X232" s="82">
        <f>IFERROR(INDEX(Ratings!$E$5:$E$500,MATCH(A232,Ratings!$A$5:$A$500,0)),"")</f>
        <v/>
      </c>
      <c r="Y232" s="71">
        <f>IFERROR(INDEX(Ratings!$G$5:$G$500,MATCH(A232,Ratings!$A$5:$A$500,0)),"")</f>
        <v/>
      </c>
      <c r="Z232" s="83">
        <f>IFERROR(INDEX(Ratings!$I$5:$I$500,MATCH(A232,Ratings!$A$5:$A$500,0)),"")</f>
        <v/>
      </c>
    </row>
    <row r="233" ht="15.75" customHeight="1" s="95">
      <c r="A233" t="inlineStr">
        <is>
          <t>F0229</t>
        </is>
      </c>
      <c r="B233" t="inlineStr">
        <is>
          <t>Monsters, Inc.</t>
        </is>
      </c>
      <c r="C233" s="63" t="inlineStr">
        <is>
          <t>2001</t>
        </is>
      </c>
      <c r="D233" t="inlineStr">
        <is>
          <t>Blu-ray</t>
        </is>
      </c>
      <c r="E233" t="inlineStr">
        <is>
          <t>Monsters, Inc.</t>
        </is>
      </c>
      <c r="F233" s="64" t="n"/>
      <c r="I233" s="64" t="inlineStr">
        <is>
          <t>Lovable Sulley and his wisecracking sidekick Mike Wazowski are the top scare team at Monsters, Inc., the scream-processing factory in Monstropolis. When a little girl named Boo wanders into their world, it's the monsters who are scared silly, and it's up to Sulley and Mike to keep her out of sight and get her back home.</t>
        </is>
      </c>
      <c r="J233" s="64" t="inlineStr">
        <is>
          <t>Pete Docter, David Silverman, Lee Unkrich</t>
        </is>
      </c>
      <c r="K233" s="64" t="n">
        <v>92</v>
      </c>
      <c r="L233" s="64" t="inlineStr">
        <is>
          <t>Animation, Comedy, Family</t>
        </is>
      </c>
      <c r="M233" s="64" t="inlineStr">
        <is>
          <t>Pixar</t>
        </is>
      </c>
      <c r="N233" s="64" t="inlineStr">
        <is>
          <t>https://huggingface.co/datasets/HenryWaltson/TMDB-IMDB-Movies-Dataset</t>
        </is>
      </c>
      <c r="O233" s="64" t="inlineStr">
        <is>
          <t>https://huggingface.co/datasets/HenryWaltson/TMDB-IMDB-Movies-Dataset</t>
        </is>
      </c>
      <c r="P233" t="inlineStr">
        <is>
          <t>John Goodman</t>
        </is>
      </c>
      <c r="Q233" t="inlineStr">
        <is>
          <t>Billy Crystal</t>
        </is>
      </c>
      <c r="R233" t="inlineStr">
        <is>
          <t>Mary Gibbs</t>
        </is>
      </c>
      <c r="S233" t="inlineStr">
        <is>
          <t>Steve Buscemi</t>
        </is>
      </c>
      <c r="T233" t="inlineStr">
        <is>
          <t>James Coburn</t>
        </is>
      </c>
      <c r="U233" s="71" t="n">
        <v>4</v>
      </c>
      <c r="V233" s="71" t="n">
        <v>1</v>
      </c>
      <c r="X233" s="82">
        <f>IFERROR(INDEX(Ratings!$E$5:$E$500,MATCH(A233,Ratings!$A$5:$A$500,0)),"")</f>
        <v/>
      </c>
      <c r="Y233" s="71">
        <f>IFERROR(INDEX(Ratings!$G$5:$G$500,MATCH(A233,Ratings!$A$5:$A$500,0)),"")</f>
        <v/>
      </c>
      <c r="Z233" s="83">
        <f>IFERROR(INDEX(Ratings!$I$5:$I$500,MATCH(A233,Ratings!$A$5:$A$500,0)),"")</f>
        <v/>
      </c>
    </row>
    <row r="234" ht="15.75" customHeight="1" s="95">
      <c r="A234" t="inlineStr">
        <is>
          <t>F0230</t>
        </is>
      </c>
      <c r="B234" t="inlineStr">
        <is>
          <t>Monsters University</t>
        </is>
      </c>
      <c r="C234" s="63" t="inlineStr">
        <is>
          <t>2013</t>
        </is>
      </c>
      <c r="D234" t="inlineStr">
        <is>
          <t>Blu-ray</t>
        </is>
      </c>
      <c r="E234" t="inlineStr">
        <is>
          <t>Monsters, Inc.</t>
        </is>
      </c>
      <c r="F234" s="64" t="n"/>
      <c r="I234" s="64" t="inlineStr">
        <is>
          <t>A look at the relationship between Mike and Sulley during their days at Monsters University — when they weren't necessarily the best of friends.</t>
        </is>
      </c>
      <c r="J234" s="64" t="inlineStr">
        <is>
          <t>Dan Scanlon</t>
        </is>
      </c>
      <c r="K234" s="64" t="n">
        <v>104</v>
      </c>
      <c r="L234" s="64" t="inlineStr">
        <is>
          <t>Animation, Family</t>
        </is>
      </c>
      <c r="M234" s="64" t="inlineStr">
        <is>
          <t>Pixar, Walt Disney Pictures</t>
        </is>
      </c>
      <c r="N234" s="64" t="inlineStr">
        <is>
          <t>https://huggingface.co/datasets/HenryWaltson/TMDB-IMDB-Movies-Dataset</t>
        </is>
      </c>
      <c r="O234" s="64" t="inlineStr">
        <is>
          <t>https://huggingface.co/datasets/HenryWaltson/TMDB-IMDB-Movies-Dataset</t>
        </is>
      </c>
      <c r="P234" t="inlineStr">
        <is>
          <t>Billy Crystal</t>
        </is>
      </c>
      <c r="Q234" t="inlineStr">
        <is>
          <t>John Goodman</t>
        </is>
      </c>
      <c r="R234" t="inlineStr">
        <is>
          <t>Steve Buscemi</t>
        </is>
      </c>
      <c r="S234" t="inlineStr">
        <is>
          <t>Helen Mirren</t>
        </is>
      </c>
      <c r="T234" t="inlineStr">
        <is>
          <t>Peter Sohn</t>
        </is>
      </c>
      <c r="U234" s="71" t="n">
        <v>0</v>
      </c>
      <c r="V234" s="71" t="n">
        <v>0</v>
      </c>
      <c r="X234" s="82">
        <f>IFERROR(INDEX(Ratings!$E$5:$E$500,MATCH(A234,Ratings!$A$5:$A$500,0)),"")</f>
        <v/>
      </c>
      <c r="Y234" s="71">
        <f>IFERROR(INDEX(Ratings!$G$5:$G$500,MATCH(A234,Ratings!$A$5:$A$500,0)),"")</f>
        <v/>
      </c>
      <c r="Z234" s="83">
        <f>IFERROR(INDEX(Ratings!$I$5:$I$500,MATCH(A234,Ratings!$A$5:$A$500,0)),"")</f>
        <v/>
      </c>
    </row>
    <row r="235" ht="15.75" customHeight="1" s="95">
      <c r="A235" t="inlineStr">
        <is>
          <t>F0231</t>
        </is>
      </c>
      <c r="B235" t="inlineStr">
        <is>
          <t>Mr. &amp; Mrs. Smith</t>
        </is>
      </c>
      <c r="C235" s="63" t="inlineStr">
        <is>
          <t>2005</t>
        </is>
      </c>
      <c r="D235" t="inlineStr">
        <is>
          <t>Blu-ray</t>
        </is>
      </c>
      <c r="F235" s="64" t="n"/>
      <c r="I235" s="64" t="inlineStr">
        <is>
          <t>A husband and wife struggle to keep their marriage alive until they realize they are both secretly working as assassins. Now, their respective assignments require them to kill each other.</t>
        </is>
      </c>
      <c r="J235" s="64" t="inlineStr">
        <is>
          <t>Doug Liman</t>
        </is>
      </c>
      <c r="K235" s="64" t="n">
        <v>120</v>
      </c>
      <c r="L235" s="64" t="inlineStr">
        <is>
          <t>Action, Comedy, Drama, Thriller</t>
        </is>
      </c>
      <c r="M235" s="64" t="inlineStr">
        <is>
          <t>Epsilon Motion Pictures, Weed Road Pictures, Regency Enterprises</t>
        </is>
      </c>
      <c r="N235" s="64" t="inlineStr">
        <is>
          <t>https://huggingface.co/datasets/HenryWaltson/TMDB-IMDB-Movies-Dataset</t>
        </is>
      </c>
      <c r="O235" s="64" t="inlineStr">
        <is>
          <t>https://huggingface.co/datasets/HenryWaltson/TMDB-IMDB-Movies-Dataset</t>
        </is>
      </c>
      <c r="P235" t="inlineStr">
        <is>
          <t>Brad Pitt</t>
        </is>
      </c>
      <c r="Q235" t="inlineStr">
        <is>
          <t>Angelina Jolie</t>
        </is>
      </c>
      <c r="R235" t="inlineStr">
        <is>
          <t>Vince Vaughn</t>
        </is>
      </c>
      <c r="S235" t="inlineStr">
        <is>
          <t>Adam Brody</t>
        </is>
      </c>
      <c r="T235" t="inlineStr">
        <is>
          <t>Kerry Washington</t>
        </is>
      </c>
      <c r="U235" s="71" t="n">
        <v>0</v>
      </c>
      <c r="V235" s="71" t="n">
        <v>0</v>
      </c>
      <c r="X235" s="82">
        <f>IFERROR(INDEX(Ratings!$E$5:$E$500,MATCH(A235,Ratings!$A$5:$A$500,0)),"")</f>
        <v/>
      </c>
      <c r="Y235" s="71">
        <f>IFERROR(INDEX(Ratings!$G$5:$G$500,MATCH(A235,Ratings!$A$5:$A$500,0)),"")</f>
        <v/>
      </c>
      <c r="Z235" s="83">
        <f>IFERROR(INDEX(Ratings!$I$5:$I$500,MATCH(A235,Ratings!$A$5:$A$500,0)),"")</f>
        <v/>
      </c>
    </row>
    <row r="236" ht="15.75" customHeight="1" s="95">
      <c r="A236" t="inlineStr">
        <is>
          <t>F0232</t>
        </is>
      </c>
      <c r="B236" t="inlineStr">
        <is>
          <t>Muppets Most Wanted</t>
        </is>
      </c>
      <c r="C236" s="63" t="inlineStr">
        <is>
          <t>2014</t>
        </is>
      </c>
      <c r="D236" t="inlineStr">
        <is>
          <t>Blu-ray</t>
        </is>
      </c>
      <c r="F236" s="64" t="n"/>
      <c r="I236" s="64" t="inlineStr">
        <is>
          <t>After the success of their telethon and renewed fame, the Muppets go on a world tour and find themselves wrapped into an European jewel-heist caper headed by a Kermit the Frog look-alike and his dastardly sidekick.</t>
        </is>
      </c>
      <c r="J236" s="64" t="inlineStr">
        <is>
          <t>James Bobin</t>
        </is>
      </c>
      <c r="K236" s="64" t="n">
        <v>107</v>
      </c>
      <c r="L236" s="64" t="inlineStr">
        <is>
          <t>Comedy, Adventure, Crime</t>
        </is>
      </c>
      <c r="M236" s="64" t="inlineStr">
        <is>
          <t>Walt Disney Pictures, Mandeville Films, The Muppets Studio</t>
        </is>
      </c>
      <c r="N236" s="64" t="inlineStr">
        <is>
          <t>https://huggingface.co/datasets/HenryWaltson/TMDB-IMDB-Movies-Dataset</t>
        </is>
      </c>
      <c r="O236" s="64" t="inlineStr">
        <is>
          <t>https://huggingface.co/datasets/HenryWaltson/TMDB-IMDB-Movies-Dataset</t>
        </is>
      </c>
      <c r="P236" t="inlineStr">
        <is>
          <t>Ricky Gervais</t>
        </is>
      </c>
      <c r="Q236" t="inlineStr">
        <is>
          <t>Ty Burrell</t>
        </is>
      </c>
      <c r="R236" t="inlineStr">
        <is>
          <t>Tina Fey</t>
        </is>
      </c>
      <c r="S236" t="inlineStr">
        <is>
          <t>Steve Whitmire</t>
        </is>
      </c>
      <c r="T236" t="inlineStr">
        <is>
          <t>Eric Jacobson</t>
        </is>
      </c>
      <c r="U236" s="71" t="n">
        <v>0</v>
      </c>
      <c r="V236" s="71" t="n">
        <v>0</v>
      </c>
      <c r="X236" s="82">
        <f>IFERROR(INDEX(Ratings!$E$5:$E$500,MATCH(A236,Ratings!$A$5:$A$500,0)),"")</f>
        <v/>
      </c>
      <c r="Y236" s="71">
        <f>IFERROR(INDEX(Ratings!$G$5:$G$500,MATCH(A236,Ratings!$A$5:$A$500,0)),"")</f>
        <v/>
      </c>
      <c r="Z236" s="83">
        <f>IFERROR(INDEX(Ratings!$I$5:$I$500,MATCH(A236,Ratings!$A$5:$A$500,0)),"")</f>
        <v/>
      </c>
    </row>
    <row r="237" ht="15.75" customHeight="1" s="95">
      <c r="A237" t="inlineStr">
        <is>
          <t>F0233</t>
        </is>
      </c>
      <c r="B237" t="inlineStr">
        <is>
          <t>National Treasure: Book of Secrets</t>
        </is>
      </c>
      <c r="C237" s="63" t="inlineStr">
        <is>
          <t>2007</t>
        </is>
      </c>
      <c r="D237" t="inlineStr">
        <is>
          <t>Blu-ray</t>
        </is>
      </c>
      <c r="F237" s="64" t="n"/>
      <c r="I237" s="64" t="inlineStr">
        <is>
          <t>Benjamin Franklin Gates and Abigail Chase re-team with Riley Poole and, now armed with a stack of long-lost pages from John Wilkes Booth's diary, Ben must follow a clue left there to prove his ancestor's innocence in the assassination of Abraham Lincoln.</t>
        </is>
      </c>
      <c r="J237" s="64" t="inlineStr">
        <is>
          <t>Jon Turteltaub</t>
        </is>
      </c>
      <c r="K237" s="64" t="n">
        <v>124</v>
      </c>
      <c r="L237" s="64" t="inlineStr">
        <is>
          <t>Action, Adventure, Mystery, Thriller</t>
        </is>
      </c>
      <c r="M237" s="64" t="inlineStr">
        <is>
          <t>Walt Disney Pictures, Jerry Bruckheimer Films, Saturn Films</t>
        </is>
      </c>
      <c r="N237" s="64" t="inlineStr">
        <is>
          <t>https://huggingface.co/datasets/HenryWaltson/TMDB-IMDB-Movies-Dataset</t>
        </is>
      </c>
      <c r="O237" s="64" t="inlineStr">
        <is>
          <t>https://huggingface.co/datasets/HenryWaltson/TMDB-IMDB-Movies-Dataset</t>
        </is>
      </c>
      <c r="P237" t="inlineStr">
        <is>
          <t>Nicolas Cage</t>
        </is>
      </c>
      <c r="Q237" t="inlineStr">
        <is>
          <t>Diane Kruger</t>
        </is>
      </c>
      <c r="R237" t="inlineStr">
        <is>
          <t>Justin Bartha</t>
        </is>
      </c>
      <c r="S237" t="inlineStr">
        <is>
          <t>Ed Harris</t>
        </is>
      </c>
      <c r="T237" t="inlineStr">
        <is>
          <t>Jon Voight</t>
        </is>
      </c>
      <c r="U237" s="71" t="n">
        <v>0</v>
      </c>
      <c r="V237" s="71" t="n">
        <v>0</v>
      </c>
      <c r="X237" s="82">
        <f>IFERROR(INDEX(Ratings!$E$5:$E$500,MATCH(A237,Ratings!$A$5:$A$500,0)),"")</f>
        <v/>
      </c>
      <c r="Y237" s="71">
        <f>IFERROR(INDEX(Ratings!$G$5:$G$500,MATCH(A237,Ratings!$A$5:$A$500,0)),"")</f>
        <v/>
      </c>
      <c r="Z237" s="83">
        <f>IFERROR(INDEX(Ratings!$I$5:$I$500,MATCH(A237,Ratings!$A$5:$A$500,0)),"")</f>
        <v/>
      </c>
    </row>
    <row r="238" ht="15.75" customHeight="1" s="95">
      <c r="A238" t="inlineStr">
        <is>
          <t>F0234</t>
        </is>
      </c>
      <c r="B238" t="inlineStr">
        <is>
          <t>Need for Speed</t>
        </is>
      </c>
      <c r="C238" s="63" t="inlineStr">
        <is>
          <t>2014</t>
        </is>
      </c>
      <c r="D238" t="inlineStr">
        <is>
          <t>Blu-ray</t>
        </is>
      </c>
      <c r="F238" s="64" t="n"/>
      <c r="I238" s="64" t="inlineStr">
        <is>
          <t>The film revolves around a local street-racer who partners with a rich and arrogant business associate, only to find himself framed by his colleague and sent to prison. After he gets out, he joins a New York-to-Los Angeles race to get revenge. But when the ex-partner learns of the scheme, he puts a massive bounty on the racer's head, forcing him to run a cross-country gauntlet of illegal racers in all manner of supercharged vehicles.</t>
        </is>
      </c>
      <c r="J238" s="64" t="inlineStr">
        <is>
          <t>Scott Waugh</t>
        </is>
      </c>
      <c r="K238" s="64" t="n">
        <v>132</v>
      </c>
      <c r="L238" s="64" t="inlineStr">
        <is>
          <t>Action, Crime, Drama, Thriller</t>
        </is>
      </c>
      <c r="M238" s="64" t="inlineStr">
        <is>
          <t>Revolution Sun Studios, Reliance Entertainment, Bandito Brothers</t>
        </is>
      </c>
      <c r="N238" s="64" t="inlineStr">
        <is>
          <t>https://huggingface.co/datasets/HenryWaltson/TMDB-IMDB-Movies-Dataset</t>
        </is>
      </c>
      <c r="O238" s="64" t="inlineStr">
        <is>
          <t>https://huggingface.co/datasets/HenryWaltson/TMDB-IMDB-Movies-Dataset</t>
        </is>
      </c>
      <c r="P238" t="inlineStr">
        <is>
          <t>Aaron Paul</t>
        </is>
      </c>
      <c r="Q238" t="inlineStr">
        <is>
          <t>Dominic Cooper</t>
        </is>
      </c>
      <c r="R238" t="inlineStr">
        <is>
          <t>Imogen Poots</t>
        </is>
      </c>
      <c r="S238" t="inlineStr">
        <is>
          <t>Kid Cudi</t>
        </is>
      </c>
      <c r="T238" t="inlineStr">
        <is>
          <t>Rami Malek</t>
        </is>
      </c>
      <c r="U238" s="71" t="n">
        <v>0</v>
      </c>
      <c r="V238" s="71" t="n">
        <v>0</v>
      </c>
      <c r="X238" s="82">
        <f>IFERROR(INDEX(Ratings!$E$5:$E$500,MATCH(A238,Ratings!$A$5:$A$500,0)),"")</f>
        <v/>
      </c>
      <c r="Y238" s="71">
        <f>IFERROR(INDEX(Ratings!$G$5:$G$500,MATCH(A238,Ratings!$A$5:$A$500,0)),"")</f>
        <v/>
      </c>
      <c r="Z238" s="83">
        <f>IFERROR(INDEX(Ratings!$I$5:$I$500,MATCH(A238,Ratings!$A$5:$A$500,0)),"")</f>
        <v/>
      </c>
    </row>
    <row r="239" ht="15.75" customHeight="1" s="95">
      <c r="A239" t="inlineStr">
        <is>
          <t>F0235</t>
        </is>
      </c>
      <c r="B239" t="inlineStr">
        <is>
          <t>The Nice Guys</t>
        </is>
      </c>
      <c r="C239" s="63" t="inlineStr">
        <is>
          <t>2016</t>
        </is>
      </c>
      <c r="D239" t="inlineStr">
        <is>
          <t>Blu-ray</t>
        </is>
      </c>
      <c r="F239" s="64" t="n"/>
      <c r="I239" s="64" t="inlineStr">
        <is>
          <t>A private eye investigates the apparent suicide of a fading porn star in 1970s Los Angeles and uncovers a conspiracy.</t>
        </is>
      </c>
      <c r="J239" s="64" t="inlineStr">
        <is>
          <t>Shane Black</t>
        </is>
      </c>
      <c r="K239" s="64" t="n">
        <v>116</v>
      </c>
      <c r="L239" s="64" t="inlineStr">
        <is>
          <t>Comedy, Crime, Action</t>
        </is>
      </c>
      <c r="M239" s="64" t="inlineStr">
        <is>
          <t>Silver Pictures, Waypoint Entertainment, Bloom</t>
        </is>
      </c>
      <c r="N239" s="64" t="inlineStr">
        <is>
          <t>https://huggingface.co/datasets/HenryWaltson/TMDB-IMDB-Movies-Dataset</t>
        </is>
      </c>
      <c r="O239" s="64" t="inlineStr">
        <is>
          <t>https://huggingface.co/datasets/HenryWaltson/TMDB-IMDB-Movies-Dataset</t>
        </is>
      </c>
      <c r="P239" t="inlineStr">
        <is>
          <t>Russell Crowe</t>
        </is>
      </c>
      <c r="Q239" t="inlineStr">
        <is>
          <t>Ryan Gosling</t>
        </is>
      </c>
      <c r="R239" t="inlineStr">
        <is>
          <t>Angourie Rice</t>
        </is>
      </c>
      <c r="S239" t="inlineStr">
        <is>
          <t>Matt Bomer</t>
        </is>
      </c>
      <c r="T239" t="inlineStr">
        <is>
          <t>Margaret Qualley</t>
        </is>
      </c>
      <c r="U239" s="71" t="n">
        <v>0</v>
      </c>
      <c r="V239" s="71" t="n">
        <v>0</v>
      </c>
      <c r="X239" s="82">
        <f>IFERROR(INDEX(Ratings!$E$5:$E$500,MATCH(A239,Ratings!$A$5:$A$500,0)),"")</f>
        <v/>
      </c>
      <c r="Y239" s="71">
        <f>IFERROR(INDEX(Ratings!$G$5:$G$500,MATCH(A239,Ratings!$A$5:$A$500,0)),"")</f>
        <v/>
      </c>
      <c r="Z239" s="83">
        <f>IFERROR(INDEX(Ratings!$I$5:$I$500,MATCH(A239,Ratings!$A$5:$A$500,0)),"")</f>
        <v/>
      </c>
    </row>
    <row r="240" ht="15.75" customHeight="1" s="95">
      <c r="A240" t="inlineStr">
        <is>
          <t>F0236</t>
        </is>
      </c>
      <c r="B240" t="inlineStr">
        <is>
          <t>Night at the Museum: Battle of the Smithsonian</t>
        </is>
      </c>
      <c r="C240" s="63" t="inlineStr">
        <is>
          <t>2009</t>
        </is>
      </c>
      <c r="D240" t="inlineStr">
        <is>
          <t>Blu-ray</t>
        </is>
      </c>
      <c r="F240" s="64" t="n"/>
      <c r="I240" s="64" t="inlineStr">
        <is>
          <t>Hapless museum night watchman Larry Daley must help his living, breathing exhibit friends out of a pickle now that they've been transferred to the archives at the Smithsonian Institution. Larry's (mis)adventures this time include close encounters with Amelia Earhart, Abe Lincoln and Ivan the Terrible.</t>
        </is>
      </c>
      <c r="J240" s="64" t="inlineStr">
        <is>
          <t>Shawn Levy</t>
        </is>
      </c>
      <c r="K240" s="64" t="n">
        <v>105</v>
      </c>
      <c r="L240" s="64" t="inlineStr">
        <is>
          <t>Adventure, Fantasy, Action, Comedy, Family</t>
        </is>
      </c>
      <c r="M240" s="64" t="inlineStr">
        <is>
          <t>21 Laps Entertainment, 1492 Pictures, Dune Entertainment</t>
        </is>
      </c>
      <c r="N240" s="64" t="inlineStr">
        <is>
          <t>https://huggingface.co/datasets/HenryWaltson/TMDB-IMDB-Movies-Dataset</t>
        </is>
      </c>
      <c r="O240" s="64" t="inlineStr">
        <is>
          <t>https://huggingface.co/datasets/HenryWaltson/TMDB-IMDB-Movies-Dataset</t>
        </is>
      </c>
      <c r="P240" t="inlineStr">
        <is>
          <t>Ben Stiller</t>
        </is>
      </c>
      <c r="Q240" t="inlineStr">
        <is>
          <t>Amy Adams</t>
        </is>
      </c>
      <c r="R240" t="inlineStr">
        <is>
          <t>Owen Wilson</t>
        </is>
      </c>
      <c r="S240" t="inlineStr">
        <is>
          <t>Hank Azaria</t>
        </is>
      </c>
      <c r="T240" t="inlineStr">
        <is>
          <t>Robin Williams</t>
        </is>
      </c>
      <c r="U240" s="71" t="n">
        <v>0</v>
      </c>
      <c r="V240" s="71" t="n">
        <v>0</v>
      </c>
      <c r="X240" s="82">
        <f>IFERROR(INDEX(Ratings!$E$5:$E$500,MATCH(A240,Ratings!$A$5:$A$500,0)),"")</f>
        <v/>
      </c>
      <c r="Y240" s="71">
        <f>IFERROR(INDEX(Ratings!$G$5:$G$500,MATCH(A240,Ratings!$A$5:$A$500,0)),"")</f>
        <v/>
      </c>
      <c r="Z240" s="83">
        <f>IFERROR(INDEX(Ratings!$I$5:$I$500,MATCH(A240,Ratings!$A$5:$A$500,0)),"")</f>
        <v/>
      </c>
    </row>
    <row r="241" ht="15.75" customHeight="1" s="95">
      <c r="A241" t="inlineStr">
        <is>
          <t>F0237</t>
        </is>
      </c>
      <c r="B241" t="inlineStr">
        <is>
          <t>The Notebook</t>
        </is>
      </c>
      <c r="C241" s="63" t="inlineStr">
        <is>
          <t>2004</t>
        </is>
      </c>
      <c r="D241" t="inlineStr">
        <is>
          <t>Blu-ray</t>
        </is>
      </c>
      <c r="F241" s="64" t="n"/>
      <c r="I241" s="64" t="inlineStr">
        <is>
          <t>An epic love story centered around an older man who reads aloud to a woman with Alzheimer's. From a faded notebook, the old man's words bring to life the story about a couple who is separated by World War II, and is then passionately reunited, seven years later, after they have taken different paths.</t>
        </is>
      </c>
      <c r="J241" s="64" t="inlineStr">
        <is>
          <t>Nick Cassavetes</t>
        </is>
      </c>
      <c r="K241" s="64" t="n">
        <v>123</v>
      </c>
      <c r="L241" s="64" t="inlineStr">
        <is>
          <t>Romance, Drama</t>
        </is>
      </c>
      <c r="M241" s="64" t="inlineStr">
        <is>
          <t>New Line Cinema, Avery Pix, Gran Via Productions</t>
        </is>
      </c>
      <c r="N241" s="64" t="inlineStr">
        <is>
          <t>https://huggingface.co/datasets/HenryWaltson/TMDB-IMDB-Movies-Dataset</t>
        </is>
      </c>
      <c r="O241" s="64" t="inlineStr">
        <is>
          <t>https://huggingface.co/datasets/HenryWaltson/TMDB-IMDB-Movies-Dataset</t>
        </is>
      </c>
      <c r="P241" t="inlineStr">
        <is>
          <t>Ryan Gosling</t>
        </is>
      </c>
      <c r="Q241" t="inlineStr">
        <is>
          <t>Rachel McAdams</t>
        </is>
      </c>
      <c r="R241" t="inlineStr">
        <is>
          <t>Gena Rowlands</t>
        </is>
      </c>
      <c r="S241" t="inlineStr">
        <is>
          <t>James Garner</t>
        </is>
      </c>
      <c r="T241" t="inlineStr">
        <is>
          <t>Joan Allen</t>
        </is>
      </c>
      <c r="U241" s="71" t="n">
        <v>0</v>
      </c>
      <c r="V241" s="71" t="n">
        <v>0</v>
      </c>
      <c r="X241" s="82">
        <f>IFERROR(INDEX(Ratings!$E$5:$E$500,MATCH(A241,Ratings!$A$5:$A$500,0)),"")</f>
        <v/>
      </c>
      <c r="Y241" s="71">
        <f>IFERROR(INDEX(Ratings!$G$5:$G$500,MATCH(A241,Ratings!$A$5:$A$500,0)),"")</f>
        <v/>
      </c>
      <c r="Z241" s="83">
        <f>IFERROR(INDEX(Ratings!$I$5:$I$500,MATCH(A241,Ratings!$A$5:$A$500,0)),"")</f>
        <v/>
      </c>
    </row>
    <row r="242" ht="15.75" customHeight="1" s="95">
      <c r="A242" t="inlineStr">
        <is>
          <t>F0238</t>
        </is>
      </c>
      <c r="B242" t="inlineStr">
        <is>
          <t>Noah</t>
        </is>
      </c>
      <c r="C242" s="63" t="inlineStr">
        <is>
          <t>2014</t>
        </is>
      </c>
      <c r="D242" t="inlineStr">
        <is>
          <t>Blu-ray</t>
        </is>
      </c>
      <c r="F242" s="64" t="n"/>
      <c r="I242" s="64" t="inlineStr">
        <is>
          <t>A man who suffers visions of an apocalyptic deluge takes measures to protect his family from the coming flood.</t>
        </is>
      </c>
      <c r="J242" s="64" t="inlineStr">
        <is>
          <t>Darren Aronofsky</t>
        </is>
      </c>
      <c r="K242" s="64" t="n">
        <v>138</v>
      </c>
      <c r="L242" s="64" t="inlineStr">
        <is>
          <t>Drama, Adventure</t>
        </is>
      </c>
      <c r="M242" s="64" t="inlineStr">
        <is>
          <t>Disruption Entertainment, Paramount, Regency Enterprises</t>
        </is>
      </c>
      <c r="N242" s="64" t="inlineStr">
        <is>
          <t>https://huggingface.co/datasets/HenryWaltson/TMDB-IMDB-Movies-Dataset</t>
        </is>
      </c>
      <c r="O242" s="64" t="inlineStr">
        <is>
          <t>https://huggingface.co/datasets/HenryWaltson/TMDB-IMDB-Movies-Dataset</t>
        </is>
      </c>
      <c r="P242" t="inlineStr">
        <is>
          <t>Russell Crowe</t>
        </is>
      </c>
      <c r="Q242" t="inlineStr">
        <is>
          <t>Jennifer Connelly</t>
        </is>
      </c>
      <c r="R242" t="inlineStr">
        <is>
          <t>Ray Winstone</t>
        </is>
      </c>
      <c r="S242" t="inlineStr">
        <is>
          <t>Anthony Hopkins</t>
        </is>
      </c>
      <c r="T242" t="inlineStr">
        <is>
          <t>Emma Watson</t>
        </is>
      </c>
      <c r="U242" s="71" t="n">
        <v>0</v>
      </c>
      <c r="V242" s="71" t="n">
        <v>0</v>
      </c>
      <c r="X242" s="82">
        <f>IFERROR(INDEX(Ratings!$E$5:$E$500,MATCH(A242,Ratings!$A$5:$A$500,0)),"")</f>
        <v/>
      </c>
      <c r="Y242" s="71">
        <f>IFERROR(INDEX(Ratings!$G$5:$G$500,MATCH(A242,Ratings!$A$5:$A$500,0)),"")</f>
        <v/>
      </c>
      <c r="Z242" s="83">
        <f>IFERROR(INDEX(Ratings!$I$5:$I$500,MATCH(A242,Ratings!$A$5:$A$500,0)),"")</f>
        <v/>
      </c>
    </row>
    <row r="243" ht="15.75" customHeight="1" s="95">
      <c r="A243" t="inlineStr">
        <is>
          <t>F0239</t>
        </is>
      </c>
      <c r="B243" t="inlineStr">
        <is>
          <t>Oblivion</t>
        </is>
      </c>
      <c r="C243" s="63" t="inlineStr">
        <is>
          <t>2013</t>
        </is>
      </c>
      <c r="D243" t="inlineStr">
        <is>
          <t>Blu-ray</t>
        </is>
      </c>
      <c r="F243" s="64" t="n"/>
      <c r="I243" s="64" t="inlineStr">
        <is>
          <t>Jack Harper is one of the last few drone repairmen stationed on Earth. Part of a massive operation to extract vital resources after decades of war with a terrifying threat known as the Scavs, Jack’s mission is nearly complete. His existence is brought crashing down when he rescues a beautiful  stranger from a downed spacecraft. Her arrival triggers a chain of events that  forces him to question everything he knows and puts the fate of humanity in his hands.</t>
        </is>
      </c>
      <c r="J243" s="64" t="inlineStr">
        <is>
          <t>Joseph Kosinski</t>
        </is>
      </c>
      <c r="K243" s="64" t="n">
        <v>124</v>
      </c>
      <c r="L243" s="64" t="inlineStr">
        <is>
          <t>Action, Science Fiction, Adventure, Mystery</t>
        </is>
      </c>
      <c r="M243" s="64" t="inlineStr">
        <is>
          <t>Universal Pictures, Relativity Media, Monolith Pictures (III)</t>
        </is>
      </c>
      <c r="N243" s="64" t="inlineStr">
        <is>
          <t>https://huggingface.co/datasets/HenryWaltson/TMDB-IMDB-Movies-Dataset</t>
        </is>
      </c>
      <c r="O243" s="64" t="inlineStr">
        <is>
          <t>https://huggingface.co/datasets/HenryWaltson/TMDB-IMDB-Movies-Dataset</t>
        </is>
      </c>
      <c r="P243" t="inlineStr">
        <is>
          <t>Tom Cruise</t>
        </is>
      </c>
      <c r="Q243" t="inlineStr">
        <is>
          <t>Morgan Freeman</t>
        </is>
      </c>
      <c r="R243" t="inlineStr">
        <is>
          <t>Olga Kurylenko</t>
        </is>
      </c>
      <c r="S243" t="inlineStr">
        <is>
          <t>Andrea Riseborough</t>
        </is>
      </c>
      <c r="T243" t="inlineStr">
        <is>
          <t>Nikolaj Coster-Waldau</t>
        </is>
      </c>
      <c r="U243" s="71" t="n">
        <v>0</v>
      </c>
      <c r="V243" s="71" t="n">
        <v>0</v>
      </c>
      <c r="X243" s="82">
        <f>IFERROR(INDEX(Ratings!$E$5:$E$500,MATCH(A243,Ratings!$A$5:$A$500,0)),"")</f>
        <v/>
      </c>
      <c r="Y243" s="71">
        <f>IFERROR(INDEX(Ratings!$G$5:$G$500,MATCH(A243,Ratings!$A$5:$A$500,0)),"")</f>
        <v/>
      </c>
      <c r="Z243" s="83">
        <f>IFERROR(INDEX(Ratings!$I$5:$I$500,MATCH(A243,Ratings!$A$5:$A$500,0)),"")</f>
        <v/>
      </c>
    </row>
    <row r="244" ht="15.75" customHeight="1" s="95">
      <c r="A244" t="inlineStr">
        <is>
          <t>F0240</t>
        </is>
      </c>
      <c r="B244" t="inlineStr">
        <is>
          <t>Olympus Has Fallen</t>
        </is>
      </c>
      <c r="C244" s="63" t="inlineStr">
        <is>
          <t>2013</t>
        </is>
      </c>
      <c r="D244" t="inlineStr">
        <is>
          <t>Blu-ray</t>
        </is>
      </c>
      <c r="F244" s="64" t="n"/>
      <c r="I244" s="64" t="inlineStr">
        <is>
          <t>When the White House (Secret Service Code: "Olympus") is captured by a terrorist mastermind and the President is kidnapped, disgraced former Presidential guard Mike Banning finds himself trapped within the building. As the national security team scrambles to respond, they are forced to rely on Banning's inside knowledge to help retake the White House, save the President and avert an even bigger disaster.</t>
        </is>
      </c>
      <c r="J244" s="64" t="inlineStr">
        <is>
          <t>Antoine Fuqua</t>
        </is>
      </c>
      <c r="K244" s="64" t="n">
        <v>120</v>
      </c>
      <c r="L244" s="64" t="inlineStr">
        <is>
          <t>Action, Thriller</t>
        </is>
      </c>
      <c r="M244" s="64" t="inlineStr">
        <is>
          <t>Millennium Media, G-BASE, Nu Image</t>
        </is>
      </c>
      <c r="N244" s="64" t="inlineStr">
        <is>
          <t>https://huggingface.co/datasets/HenryWaltson/TMDB-IMDB-Movies-Dataset</t>
        </is>
      </c>
      <c r="O244" s="64" t="inlineStr">
        <is>
          <t>https://huggingface.co/datasets/HenryWaltson/TMDB-IMDB-Movies-Dataset</t>
        </is>
      </c>
      <c r="P244" t="inlineStr">
        <is>
          <t>Gerard Butler</t>
        </is>
      </c>
      <c r="Q244" t="inlineStr">
        <is>
          <t>Aaron Eckhart</t>
        </is>
      </c>
      <c r="R244" t="inlineStr">
        <is>
          <t>Finley Jacobsen</t>
        </is>
      </c>
      <c r="S244" t="inlineStr">
        <is>
          <t>Dylan McDermott</t>
        </is>
      </c>
      <c r="T244" t="inlineStr">
        <is>
          <t>Rick Yune</t>
        </is>
      </c>
      <c r="U244" s="71" t="n">
        <v>0</v>
      </c>
      <c r="V244" s="71" t="n">
        <v>0</v>
      </c>
      <c r="X244" s="82">
        <f>IFERROR(INDEX(Ratings!$E$5:$E$500,MATCH(A244,Ratings!$A$5:$A$500,0)),"")</f>
        <v/>
      </c>
      <c r="Y244" s="71">
        <f>IFERROR(INDEX(Ratings!$G$5:$G$500,MATCH(A244,Ratings!$A$5:$A$500,0)),"")</f>
        <v/>
      </c>
      <c r="Z244" s="83">
        <f>IFERROR(INDEX(Ratings!$I$5:$I$500,MATCH(A244,Ratings!$A$5:$A$500,0)),"")</f>
        <v/>
      </c>
    </row>
    <row r="245" ht="15.75" customHeight="1" s="95">
      <c r="A245" t="inlineStr">
        <is>
          <t>F0241</t>
        </is>
      </c>
      <c r="B245" t="inlineStr">
        <is>
          <t>Once Upon a Time… in Hollywood</t>
        </is>
      </c>
      <c r="C245" s="63" t="inlineStr">
        <is>
          <t>2019</t>
        </is>
      </c>
      <c r="D245" t="inlineStr">
        <is>
          <t>Blu-ray</t>
        </is>
      </c>
      <c r="F245" s="64" t="n"/>
      <c r="I245" s="64" t="inlineStr">
        <is>
          <t>Los Angeles, 1969. TV star Rick Dalton, a struggling actor specializing in westerns, and stuntman Cliff Booth, his best friend, try to survive in a constantly changing movie industry. Dalton is the neighbor of the young and promising actress and model Sharon Tate, who has just married the prestigious Polish director Roman Polanski…</t>
        </is>
      </c>
      <c r="J245" s="64" t="inlineStr">
        <is>
          <t>Quentin Tarantino</t>
        </is>
      </c>
      <c r="K245" s="64" t="n">
        <v>162</v>
      </c>
      <c r="L245" s="64" t="inlineStr">
        <is>
          <t>Comedy, Drama, Thriller</t>
        </is>
      </c>
      <c r="M245" s="64" t="inlineStr">
        <is>
          <t>Heyday Films, Columbia Pictures, Bona Film Group</t>
        </is>
      </c>
      <c r="N245" s="64" t="inlineStr">
        <is>
          <t>https://huggingface.co/datasets/HenryWaltson/TMDB-IMDB-Movies-Dataset</t>
        </is>
      </c>
      <c r="O245" s="64" t="inlineStr">
        <is>
          <t>https://huggingface.co/datasets/HenryWaltson/TMDB-IMDB-Movies-Dataset</t>
        </is>
      </c>
      <c r="P245" t="inlineStr">
        <is>
          <t>Leonardo DiCaprio</t>
        </is>
      </c>
      <c r="Q245" t="inlineStr">
        <is>
          <t>Brad Pitt</t>
        </is>
      </c>
      <c r="R245" t="inlineStr">
        <is>
          <t>Margot Robbie</t>
        </is>
      </c>
      <c r="S245" t="inlineStr">
        <is>
          <t>Emile Hirsch</t>
        </is>
      </c>
      <c r="T245" t="inlineStr">
        <is>
          <t>Margaret Qualley</t>
        </is>
      </c>
      <c r="U245" s="71" t="n">
        <v>10</v>
      </c>
      <c r="V245" s="71" t="n">
        <v>2</v>
      </c>
      <c r="W245" t="inlineStr">
        <is>
          <t>Nominated</t>
        </is>
      </c>
      <c r="X245" s="82">
        <f>IFERROR(INDEX(Ratings!$E$5:$E$500,MATCH(A245,Ratings!$A$5:$A$500,0)),"")</f>
        <v/>
      </c>
      <c r="Y245" s="71">
        <f>IFERROR(INDEX(Ratings!$G$5:$G$500,MATCH(A245,Ratings!$A$5:$A$500,0)),"")</f>
        <v/>
      </c>
      <c r="Z245" s="83">
        <f>IFERROR(INDEX(Ratings!$I$5:$I$500,MATCH(A245,Ratings!$A$5:$A$500,0)),"")</f>
        <v/>
      </c>
    </row>
    <row r="246" ht="15.75" customHeight="1" s="95">
      <c r="A246" t="inlineStr">
        <is>
          <t>F0242</t>
        </is>
      </c>
      <c r="B246" t="inlineStr">
        <is>
          <t>Oppenheimer</t>
        </is>
      </c>
      <c r="C246" s="63" t="inlineStr">
        <is>
          <t>2023</t>
        </is>
      </c>
      <c r="D246" t="inlineStr">
        <is>
          <t>Blu-ray</t>
        </is>
      </c>
      <c r="F246" s="64" t="n"/>
      <c r="I246" s="64" t="inlineStr">
        <is>
          <t>The story of J. Robert Oppenheimer's role in the development of the atomic bomb during World War II.</t>
        </is>
      </c>
      <c r="J246" s="64" t="inlineStr">
        <is>
          <t>Christopher Nolan</t>
        </is>
      </c>
      <c r="K246" s="64" t="n">
        <v>181</v>
      </c>
      <c r="L246" s="64" t="inlineStr">
        <is>
          <t>Drama, History</t>
        </is>
      </c>
      <c r="M246" s="64" t="inlineStr">
        <is>
          <t>Syncopy, Universal Pictures, Atlas Entertainment</t>
        </is>
      </c>
      <c r="N246" s="64" t="inlineStr">
        <is>
          <t>https://huggingface.co/datasets/HenryWaltson/TMDB-IMDB-Movies-Dataset</t>
        </is>
      </c>
      <c r="O246" s="64" t="inlineStr">
        <is>
          <t>https://huggingface.co/datasets/HenryWaltson/TMDB-IMDB-Movies-Dataset</t>
        </is>
      </c>
      <c r="P246" t="inlineStr">
        <is>
          <t>Cillian Murphy</t>
        </is>
      </c>
      <c r="Q246" t="inlineStr">
        <is>
          <t>Emily Blunt</t>
        </is>
      </c>
      <c r="R246" t="inlineStr">
        <is>
          <t>Matt Damon</t>
        </is>
      </c>
      <c r="S246" t="inlineStr">
        <is>
          <t>Robert Downey Jr.</t>
        </is>
      </c>
      <c r="T246" t="inlineStr">
        <is>
          <t>Florence Pugh</t>
        </is>
      </c>
      <c r="U246" s="71" t="n">
        <v>13</v>
      </c>
      <c r="V246" s="71" t="n">
        <v>7</v>
      </c>
      <c r="W246" t="inlineStr">
        <is>
          <t>Winner</t>
        </is>
      </c>
      <c r="X246" s="82">
        <f>IFERROR(INDEX(Ratings!$E$5:$E$500,MATCH(A246,Ratings!$A$5:$A$500,0)),"")</f>
        <v/>
      </c>
      <c r="Y246" s="71">
        <f>IFERROR(INDEX(Ratings!$G$5:$G$500,MATCH(A246,Ratings!$A$5:$A$500,0)),"")</f>
        <v/>
      </c>
      <c r="Z246" s="83">
        <f>IFERROR(INDEX(Ratings!$I$5:$I$500,MATCH(A246,Ratings!$A$5:$A$500,0)),"")</f>
        <v/>
      </c>
    </row>
    <row r="247" ht="15.75" customHeight="1" s="95">
      <c r="A247" t="inlineStr">
        <is>
          <t>F0243</t>
        </is>
      </c>
      <c r="B247" t="inlineStr">
        <is>
          <t>Pacific Rim</t>
        </is>
      </c>
      <c r="C247" s="63" t="inlineStr">
        <is>
          <t>2013</t>
        </is>
      </c>
      <c r="D247" t="inlineStr">
        <is>
          <t>Blu-ray</t>
        </is>
      </c>
      <c r="F247" s="64" t="n"/>
      <c r="I247" s="64" t="inlineStr">
        <is>
          <t>Using massive piloted robots to combat the alien threat, earth's survivors take the fight to the invading alien force lurking in the depths of the Pacific Ocean. Nearly defenseless in the face of the relentless enemy, the forces of mankind have no choice but to turn to two unlikely heroes who now stand as earth's final hope against the mounting apocalypse.</t>
        </is>
      </c>
      <c r="J247" s="64" t="inlineStr">
        <is>
          <t>Guillermo del Toro</t>
        </is>
      </c>
      <c r="K247" s="64" t="n">
        <v>131</v>
      </c>
      <c r="L247" s="64" t="inlineStr">
        <is>
          <t>Action, Science Fiction, Adventure</t>
        </is>
      </c>
      <c r="M247" s="64" t="inlineStr">
        <is>
          <t>Double Dare You Productions, Legendary Pictures</t>
        </is>
      </c>
      <c r="N247" s="64" t="inlineStr">
        <is>
          <t>https://huggingface.co/datasets/HenryWaltson/TMDB-IMDB-Movies-Dataset</t>
        </is>
      </c>
      <c r="O247" s="64" t="inlineStr">
        <is>
          <t>https://huggingface.co/datasets/HenryWaltson/TMDB-IMDB-Movies-Dataset</t>
        </is>
      </c>
      <c r="P247" t="inlineStr">
        <is>
          <t>Charlie Hunnam</t>
        </is>
      </c>
      <c r="Q247" t="inlineStr">
        <is>
          <t>Rinko Kikuchi</t>
        </is>
      </c>
      <c r="R247" t="inlineStr">
        <is>
          <t>Idris Elba</t>
        </is>
      </c>
      <c r="S247" t="inlineStr">
        <is>
          <t>Max Martini</t>
        </is>
      </c>
      <c r="T247" t="inlineStr">
        <is>
          <t>Clifton Collins Jr.</t>
        </is>
      </c>
      <c r="U247" s="71" t="n">
        <v>0</v>
      </c>
      <c r="V247" s="71" t="n">
        <v>0</v>
      </c>
      <c r="X247" s="82">
        <f>IFERROR(INDEX(Ratings!$E$5:$E$500,MATCH(A247,Ratings!$A$5:$A$500,0)),"")</f>
        <v/>
      </c>
      <c r="Y247" s="71">
        <f>IFERROR(INDEX(Ratings!$G$5:$G$500,MATCH(A247,Ratings!$A$5:$A$500,0)),"")</f>
        <v/>
      </c>
      <c r="Z247" s="83">
        <f>IFERROR(INDEX(Ratings!$I$5:$I$500,MATCH(A247,Ratings!$A$5:$A$500,0)),"")</f>
        <v/>
      </c>
    </row>
    <row r="248" ht="15.75" customHeight="1" s="95">
      <c r="A248" t="inlineStr">
        <is>
          <t>F0244</t>
        </is>
      </c>
      <c r="B248" t="inlineStr">
        <is>
          <t>Paddington</t>
        </is>
      </c>
      <c r="C248" s="63" t="inlineStr">
        <is>
          <t>2014</t>
        </is>
      </c>
      <c r="D248" t="inlineStr">
        <is>
          <t>Blu-ray</t>
        </is>
      </c>
      <c r="F248" s="64" t="n"/>
      <c r="I248" s="64" t="inlineStr">
        <is>
          <t>A young Peruvian bear travels to London in search of a home. Finding himself lost and alone at Paddington Station, he meets the kindly Brown family, who offer him a temporary haven.</t>
        </is>
      </c>
      <c r="J248" s="64" t="inlineStr">
        <is>
          <t>Paul King</t>
        </is>
      </c>
      <c r="K248" s="64" t="n">
        <v>96</v>
      </c>
      <c r="L248" s="64" t="inlineStr">
        <is>
          <t>Comedy, Adventure, Family</t>
        </is>
      </c>
      <c r="M248" s="64" t="inlineStr">
        <is>
          <t>Heyday Films, StudioCanal, Anton Capital Entertainment</t>
        </is>
      </c>
      <c r="N248" s="64" t="inlineStr">
        <is>
          <t>https://huggingface.co/datasets/HenryWaltson/TMDB-IMDB-Movies-Dataset</t>
        </is>
      </c>
      <c r="O248" s="64" t="inlineStr">
        <is>
          <t>https://huggingface.co/datasets/HenryWaltson/TMDB-IMDB-Movies-Dataset</t>
        </is>
      </c>
      <c r="P248" t="inlineStr">
        <is>
          <t>Ben Whishaw</t>
        </is>
      </c>
      <c r="Q248" t="inlineStr">
        <is>
          <t>Hugh Bonneville</t>
        </is>
      </c>
      <c r="R248" t="inlineStr">
        <is>
          <t>Sally Hawkins</t>
        </is>
      </c>
      <c r="S248" t="inlineStr">
        <is>
          <t>Madeleine Harris</t>
        </is>
      </c>
      <c r="T248" t="inlineStr">
        <is>
          <t>Samuel Joslin</t>
        </is>
      </c>
      <c r="U248" s="71" t="n">
        <v>0</v>
      </c>
      <c r="V248" s="71" t="n">
        <v>0</v>
      </c>
      <c r="X248" s="82">
        <f>IFERROR(INDEX(Ratings!$E$5:$E$500,MATCH(A248,Ratings!$A$5:$A$500,0)),"")</f>
        <v/>
      </c>
      <c r="Y248" s="71">
        <f>IFERROR(INDEX(Ratings!$G$5:$G$500,MATCH(A248,Ratings!$A$5:$A$500,0)),"")</f>
        <v/>
      </c>
      <c r="Z248" s="83">
        <f>IFERROR(INDEX(Ratings!$I$5:$I$500,MATCH(A248,Ratings!$A$5:$A$500,0)),"")</f>
        <v/>
      </c>
    </row>
    <row r="249" ht="15.75" customHeight="1" s="95">
      <c r="A249" t="inlineStr">
        <is>
          <t>F0245</t>
        </is>
      </c>
      <c r="B249" t="inlineStr">
        <is>
          <t>Paul</t>
        </is>
      </c>
      <c r="C249" s="63" t="inlineStr">
        <is>
          <t>2011</t>
        </is>
      </c>
      <c r="D249" t="inlineStr">
        <is>
          <t>Blu-ray</t>
        </is>
      </c>
      <c r="F249" s="64" t="n"/>
      <c r="I249" s="64" t="inlineStr">
        <is>
          <t>For the past 60 years, a space-traveling smart-ass named Paul has been locked up in a top-secret military base, advising world leaders about his kind. But when he worries he’s outlived his usefulness and the dissection table is drawing uncomfortably close, Paul escapes on the first RV that passes by his compound in Area 51. Fortunately, it contains the two earthlings who are most likely to rescue and harbor an alien on the run.</t>
        </is>
      </c>
      <c r="J249" s="64" t="inlineStr">
        <is>
          <t>Greg Mottola</t>
        </is>
      </c>
      <c r="K249" s="64" t="n">
        <v>104</v>
      </c>
      <c r="L249" s="64" t="inlineStr">
        <is>
          <t>Adventure, Comedy, Science Fiction</t>
        </is>
      </c>
      <c r="M249" s="64" t="inlineStr">
        <is>
          <t>Universal Pictures, Relativity Media, Working Title Films</t>
        </is>
      </c>
      <c r="N249" s="64" t="inlineStr">
        <is>
          <t>https://huggingface.co/datasets/HenryWaltson/TMDB-IMDB-Movies-Dataset</t>
        </is>
      </c>
      <c r="O249" s="64" t="inlineStr">
        <is>
          <t>https://huggingface.co/datasets/HenryWaltson/TMDB-IMDB-Movies-Dataset</t>
        </is>
      </c>
      <c r="P249" t="inlineStr">
        <is>
          <t>Simon Pegg</t>
        </is>
      </c>
      <c r="Q249" t="inlineStr">
        <is>
          <t>Nick Frost</t>
        </is>
      </c>
      <c r="R249" t="inlineStr">
        <is>
          <t>Seth Rogen</t>
        </is>
      </c>
      <c r="S249" t="inlineStr">
        <is>
          <t>Jason Bateman</t>
        </is>
      </c>
      <c r="T249" t="inlineStr">
        <is>
          <t>Kristen Wiig</t>
        </is>
      </c>
      <c r="U249" s="71" t="n">
        <v>0</v>
      </c>
      <c r="V249" s="71" t="n">
        <v>0</v>
      </c>
      <c r="X249" s="82">
        <f>IFERROR(INDEX(Ratings!$E$5:$E$500,MATCH(A249,Ratings!$A$5:$A$500,0)),"")</f>
        <v/>
      </c>
      <c r="Y249" s="71">
        <f>IFERROR(INDEX(Ratings!$G$5:$G$500,MATCH(A249,Ratings!$A$5:$A$500,0)),"")</f>
        <v/>
      </c>
      <c r="Z249" s="83">
        <f>IFERROR(INDEX(Ratings!$I$5:$I$500,MATCH(A249,Ratings!$A$5:$A$500,0)),"")</f>
        <v/>
      </c>
    </row>
    <row r="250" ht="15.75" customHeight="1" s="95">
      <c r="A250" t="inlineStr">
        <is>
          <t>F0246</t>
        </is>
      </c>
      <c r="B250" t="inlineStr">
        <is>
          <t>Pearl Harbor</t>
        </is>
      </c>
      <c r="C250" s="63" t="inlineStr">
        <is>
          <t>2001</t>
        </is>
      </c>
      <c r="D250" t="inlineStr">
        <is>
          <t>Blu-ray</t>
        </is>
      </c>
      <c r="F250" s="64" t="n"/>
      <c r="I250" s="64" t="inlineStr">
        <is>
          <t>The lifelong friendship between Rafe McCawley and Danny Walker is put to the ultimate test when the two ace fighter pilots become entangled in a love triangle with beautiful Naval nurse Evelyn Johnson. But the rivalry between the friends-turned-foes is immediately put on hold when they find themselves at the center of Japan's devastating attack on Pearl Harbor on Dec. 7, 1941.</t>
        </is>
      </c>
      <c r="J250" s="64" t="inlineStr">
        <is>
          <t>Michael Bay</t>
        </is>
      </c>
      <c r="K250" s="64" t="n">
        <v>183</v>
      </c>
      <c r="L250" s="64" t="inlineStr">
        <is>
          <t>War, History, Romance, Drama</t>
        </is>
      </c>
      <c r="M250" s="64" t="inlineStr">
        <is>
          <t>Jerry Bruckheimer Films, Touchstone Pictures</t>
        </is>
      </c>
      <c r="N250" s="64" t="inlineStr">
        <is>
          <t>https://huggingface.co/datasets/HenryWaltson/TMDB-IMDB-Movies-Dataset</t>
        </is>
      </c>
      <c r="O250" s="64" t="inlineStr">
        <is>
          <t>https://huggingface.co/datasets/HenryWaltson/TMDB-IMDB-Movies-Dataset</t>
        </is>
      </c>
      <c r="P250" t="inlineStr">
        <is>
          <t>Ben Affleck</t>
        </is>
      </c>
      <c r="Q250" t="inlineStr">
        <is>
          <t>Kate Beckinsale</t>
        </is>
      </c>
      <c r="R250" t="inlineStr">
        <is>
          <t>Josh Hartnett</t>
        </is>
      </c>
      <c r="S250" t="inlineStr">
        <is>
          <t>Cuba Gooding Jr.</t>
        </is>
      </c>
      <c r="T250" t="inlineStr">
        <is>
          <t>Jon Voight</t>
        </is>
      </c>
      <c r="U250" s="71" t="n">
        <v>4</v>
      </c>
      <c r="V250" s="71" t="n">
        <v>1</v>
      </c>
      <c r="X250" s="82">
        <f>IFERROR(INDEX(Ratings!$E$5:$E$500,MATCH(A250,Ratings!$A$5:$A$500,0)),"")</f>
        <v/>
      </c>
      <c r="Y250" s="71">
        <f>IFERROR(INDEX(Ratings!$G$5:$G$500,MATCH(A250,Ratings!$A$5:$A$500,0)),"")</f>
        <v/>
      </c>
      <c r="Z250" s="83">
        <f>IFERROR(INDEX(Ratings!$I$5:$I$500,MATCH(A250,Ratings!$A$5:$A$500,0)),"")</f>
        <v/>
      </c>
    </row>
    <row r="251" ht="15.75" customHeight="1" s="95">
      <c r="A251" t="inlineStr">
        <is>
          <t>F0247</t>
        </is>
      </c>
      <c r="B251" t="inlineStr">
        <is>
          <t>Pineapple Express</t>
        </is>
      </c>
      <c r="C251" s="63" t="inlineStr">
        <is>
          <t>2008</t>
        </is>
      </c>
      <c r="D251" t="inlineStr">
        <is>
          <t>Blu-ray</t>
        </is>
      </c>
      <c r="F251" s="64" t="n"/>
      <c r="I251" s="64" t="inlineStr">
        <is>
          <t>A stoner and his dealer are forced to go on the run from the police after the pothead witnesses a cop commit a murder.</t>
        </is>
      </c>
      <c r="J251" s="64" t="inlineStr">
        <is>
          <t>David Gordon Green</t>
        </is>
      </c>
      <c r="K251" s="64" t="n">
        <v>111</v>
      </c>
      <c r="L251" s="64" t="inlineStr">
        <is>
          <t>Action, Comedy, Crime</t>
        </is>
      </c>
      <c r="M251" s="64" t="inlineStr">
        <is>
          <t>Columbia Pictures, Apatow Productions, Relativity Media</t>
        </is>
      </c>
      <c r="N251" s="64" t="inlineStr">
        <is>
          <t>https://huggingface.co/datasets/HenryWaltson/TMDB-IMDB-Movies-Dataset</t>
        </is>
      </c>
      <c r="O251" s="64" t="inlineStr">
        <is>
          <t>https://huggingface.co/datasets/HenryWaltson/TMDB-IMDB-Movies-Dataset</t>
        </is>
      </c>
      <c r="P251" t="inlineStr">
        <is>
          <t>Seth Rogen</t>
        </is>
      </c>
      <c r="Q251" t="inlineStr">
        <is>
          <t>James Franco</t>
        </is>
      </c>
      <c r="R251" t="inlineStr">
        <is>
          <t>Gary Cole</t>
        </is>
      </c>
      <c r="S251" t="inlineStr">
        <is>
          <t>Danny McBride</t>
        </is>
      </c>
      <c r="T251" t="inlineStr">
        <is>
          <t>Rosie Perez</t>
        </is>
      </c>
      <c r="U251" s="71" t="n">
        <v>0</v>
      </c>
      <c r="V251" s="71" t="n">
        <v>0</v>
      </c>
      <c r="X251" s="82">
        <f>IFERROR(INDEX(Ratings!$E$5:$E$500,MATCH(A251,Ratings!$A$5:$A$500,0)),"")</f>
        <v/>
      </c>
      <c r="Y251" s="71">
        <f>IFERROR(INDEX(Ratings!$G$5:$G$500,MATCH(A251,Ratings!$A$5:$A$500,0)),"")</f>
        <v/>
      </c>
      <c r="Z251" s="83">
        <f>IFERROR(INDEX(Ratings!$I$5:$I$500,MATCH(A251,Ratings!$A$5:$A$500,0)),"")</f>
        <v/>
      </c>
    </row>
    <row r="252" ht="15.75" customHeight="1" s="95">
      <c r="A252" t="inlineStr">
        <is>
          <t>F0248</t>
        </is>
      </c>
      <c r="B252" t="inlineStr">
        <is>
          <t>Pinocchio</t>
        </is>
      </c>
      <c r="C252" s="63" t="inlineStr">
        <is>
          <t>1940</t>
        </is>
      </c>
      <c r="D252" t="inlineStr">
        <is>
          <t>Blu-ray</t>
        </is>
      </c>
      <c r="F252" s="64" t="n"/>
      <c r="I252" s="64" t="inlineStr">
        <is>
          <t>Best guess: 1940 Disney animated version.</t>
        </is>
      </c>
      <c r="J252" s="64" t="inlineStr">
        <is>
          <t>Norman Ferguson, T. Hee, Wilfred Jackson, Jack Kinney, Hamilton Luske, Bill Roberts, Ben Sharpsteen</t>
        </is>
      </c>
      <c r="K252" s="64" t="n">
        <v>88</v>
      </c>
      <c r="L252" s="64" t="inlineStr">
        <is>
          <t>Animation, Family</t>
        </is>
      </c>
      <c r="M252" s="64" t="inlineStr">
        <is>
          <t>Walt Disney Productions</t>
        </is>
      </c>
      <c r="N252" s="64" t="inlineStr">
        <is>
          <t>https://huggingface.co/datasets/HenryWaltson/TMDB-IMDB-Movies-Dataset</t>
        </is>
      </c>
      <c r="O252" s="64" t="inlineStr">
        <is>
          <t>https://huggingface.co/datasets/HenryWaltson/TMDB-IMDB-Movies-Dataset</t>
        </is>
      </c>
      <c r="P252" t="inlineStr">
        <is>
          <t>Dickie Jones</t>
        </is>
      </c>
      <c r="Q252" t="inlineStr">
        <is>
          <t>Cliff Edwards</t>
        </is>
      </c>
      <c r="R252" t="inlineStr">
        <is>
          <t>Christian Rub</t>
        </is>
      </c>
      <c r="S252" t="inlineStr">
        <is>
          <t>Evelyn Venable</t>
        </is>
      </c>
      <c r="T252" t="inlineStr">
        <is>
          <t>Walter Catlett</t>
        </is>
      </c>
      <c r="U252" s="71" t="n">
        <v>2</v>
      </c>
      <c r="V252" s="71" t="n">
        <v>2</v>
      </c>
      <c r="X252" s="82">
        <f>IFERROR(INDEX(Ratings!$E$5:$E$500,MATCH(A252,Ratings!$A$5:$A$500,0)),"")</f>
        <v/>
      </c>
      <c r="Y252" s="71">
        <f>IFERROR(INDEX(Ratings!$G$5:$G$500,MATCH(A252,Ratings!$A$5:$A$500,0)),"")</f>
        <v/>
      </c>
      <c r="Z252" s="83">
        <f>IFERROR(INDEX(Ratings!$I$5:$I$500,MATCH(A252,Ratings!$A$5:$A$500,0)),"")</f>
        <v/>
      </c>
    </row>
    <row r="253" ht="15.75" customHeight="1" s="95">
      <c r="A253" t="inlineStr">
        <is>
          <t>F0249</t>
        </is>
      </c>
      <c r="B253" t="inlineStr">
        <is>
          <t>Pirates of the Caribbean: On Stranger Tides</t>
        </is>
      </c>
      <c r="C253" s="63" t="inlineStr">
        <is>
          <t>2011</t>
        </is>
      </c>
      <c r="D253" t="inlineStr">
        <is>
          <t>Blu-ray</t>
        </is>
      </c>
      <c r="F253" s="64" t="n"/>
      <c r="I253" s="64" t="inlineStr">
        <is>
          <t>When Jack crosses paths with a woman from his past, he's not sure if it's love...or if she's a ruthless con artist using him to find the fabled Fountain of Youth.</t>
        </is>
      </c>
      <c r="J253" s="64" t="inlineStr">
        <is>
          <t>Rob Marshall</t>
        </is>
      </c>
      <c r="K253" s="64" t="n">
        <v>137</v>
      </c>
      <c r="L253" s="64" t="inlineStr">
        <is>
          <t>Adventure, Action, Fantasy</t>
        </is>
      </c>
      <c r="M253" s="64" t="inlineStr">
        <is>
          <t>Walt Disney Pictures, Jerry Bruckheimer Films, Moving Picture Company</t>
        </is>
      </c>
      <c r="N253" s="64" t="inlineStr">
        <is>
          <t>https://huggingface.co/datasets/HenryWaltson/TMDB-IMDB-Movies-Dataset</t>
        </is>
      </c>
      <c r="O253" s="64" t="inlineStr">
        <is>
          <t>https://huggingface.co/datasets/HenryWaltson/TMDB-IMDB-Movies-Dataset</t>
        </is>
      </c>
      <c r="P253" t="inlineStr">
        <is>
          <t>Johnny Depp</t>
        </is>
      </c>
      <c r="Q253" t="inlineStr">
        <is>
          <t>Penélope Cruz</t>
        </is>
      </c>
      <c r="R253" t="inlineStr">
        <is>
          <t>Geoffrey Rush</t>
        </is>
      </c>
      <c r="S253" t="inlineStr">
        <is>
          <t>Ian McShane</t>
        </is>
      </c>
      <c r="T253" t="inlineStr">
        <is>
          <t>Kevin McNally</t>
        </is>
      </c>
      <c r="U253" s="71" t="n">
        <v>0</v>
      </c>
      <c r="V253" s="71" t="n">
        <v>0</v>
      </c>
      <c r="X253" s="82">
        <f>IFERROR(INDEX(Ratings!$E$5:$E$500,MATCH(A253,Ratings!$A$5:$A$500,0)),"")</f>
        <v/>
      </c>
      <c r="Y253" s="71">
        <f>IFERROR(INDEX(Ratings!$G$5:$G$500,MATCH(A253,Ratings!$A$5:$A$500,0)),"")</f>
        <v/>
      </c>
      <c r="Z253" s="83">
        <f>IFERROR(INDEX(Ratings!$I$5:$I$500,MATCH(A253,Ratings!$A$5:$A$500,0)),"")</f>
        <v/>
      </c>
    </row>
    <row r="254" ht="15.75" customHeight="1" s="95">
      <c r="A254" t="inlineStr">
        <is>
          <t>F0250</t>
        </is>
      </c>
      <c r="B254" t="inlineStr">
        <is>
          <t>Pitch Perfect</t>
        </is>
      </c>
      <c r="C254" s="63" t="inlineStr">
        <is>
          <t>2012</t>
        </is>
      </c>
      <c r="D254" t="inlineStr">
        <is>
          <t>Blu-ray</t>
        </is>
      </c>
      <c r="E254" t="inlineStr">
        <is>
          <t>Pitch Perfect</t>
        </is>
      </c>
      <c r="F254" s="64" t="n"/>
      <c r="I254" s="64" t="inlineStr">
        <is>
          <t>College student Beca knows she does not want to be part of a clique, but that's exactly where she finds herself after arriving at her new school. Thrust in among mean gals, nice gals and just plain weird gals, Beca finds that the only thing they have in common is how well they sing together. She takes the women of the group out of their comfort zone of traditional arrangements and into a world of amazing harmonic combinations in a fight to the top of college music competitions.</t>
        </is>
      </c>
      <c r="J254" s="64" t="inlineStr">
        <is>
          <t>Jason Moore</t>
        </is>
      </c>
      <c r="K254" s="64" t="n">
        <v>112</v>
      </c>
      <c r="L254" s="64" t="inlineStr">
        <is>
          <t>Comedy, Music, Romance</t>
        </is>
      </c>
      <c r="M254" s="64" t="inlineStr">
        <is>
          <t>Brownstone Productions, Gold Circle Films, Universal Pictures</t>
        </is>
      </c>
      <c r="N254" s="64" t="inlineStr">
        <is>
          <t>https://huggingface.co/datasets/HenryWaltson/TMDB-IMDB-Movies-Dataset</t>
        </is>
      </c>
      <c r="O254" s="64" t="inlineStr">
        <is>
          <t>https://huggingface.co/datasets/HenryWaltson/TMDB-IMDB-Movies-Dataset</t>
        </is>
      </c>
      <c r="P254" t="inlineStr">
        <is>
          <t>Anna Kendrick</t>
        </is>
      </c>
      <c r="Q254" t="inlineStr">
        <is>
          <t>Brittany Snow</t>
        </is>
      </c>
      <c r="R254" t="inlineStr">
        <is>
          <t>Anna Camp</t>
        </is>
      </c>
      <c r="S254" t="inlineStr">
        <is>
          <t>Rebel Wilson</t>
        </is>
      </c>
      <c r="T254" t="inlineStr">
        <is>
          <t>Ester Dean</t>
        </is>
      </c>
      <c r="U254" s="71" t="n">
        <v>0</v>
      </c>
      <c r="V254" s="71" t="n">
        <v>0</v>
      </c>
      <c r="X254" s="82">
        <f>IFERROR(INDEX(Ratings!$E$5:$E$500,MATCH(A254,Ratings!$A$5:$A$500,0)),"")</f>
        <v/>
      </c>
      <c r="Y254" s="71">
        <f>IFERROR(INDEX(Ratings!$G$5:$G$500,MATCH(A254,Ratings!$A$5:$A$500,0)),"")</f>
        <v/>
      </c>
      <c r="Z254" s="83">
        <f>IFERROR(INDEX(Ratings!$I$5:$I$500,MATCH(A254,Ratings!$A$5:$A$500,0)),"")</f>
        <v/>
      </c>
    </row>
    <row r="255" ht="15.75" customHeight="1" s="95">
      <c r="A255" t="inlineStr">
        <is>
          <t>F0251</t>
        </is>
      </c>
      <c r="B255" t="inlineStr">
        <is>
          <t>Pitch Perfect 2</t>
        </is>
      </c>
      <c r="C255" s="63" t="inlineStr">
        <is>
          <t>2015</t>
        </is>
      </c>
      <c r="D255" t="inlineStr">
        <is>
          <t>Blu-ray</t>
        </is>
      </c>
      <c r="E255" t="inlineStr">
        <is>
          <t>Pitch Perfect</t>
        </is>
      </c>
      <c r="F255" s="64" t="n"/>
      <c r="I255" s="64" t="inlineStr">
        <is>
          <t>The Bellas are back, and they are better than ever. After being humiliated in front of none other than the President of the United States of America, the Bellas are taken out of the Aca-Circuit. In order to clear their name, and regain their status, the Bellas take on a seemingly impossible task: winning an international competition no American team has ever won. In order to accomplish this monumental task, they need to strengthen the bonds of friendship and sisterhood and blow away the competition with their amazing aca-magic! With all new friends and old rivals tagging along for the trip, the Bellas can hopefully accomplish their dreams.</t>
        </is>
      </c>
      <c r="J255" s="64" t="inlineStr">
        <is>
          <t>Elizabeth Banks</t>
        </is>
      </c>
      <c r="K255" s="64" t="n">
        <v>115</v>
      </c>
      <c r="L255" s="64" t="inlineStr">
        <is>
          <t>Comedy, Music</t>
        </is>
      </c>
      <c r="M255" s="64" t="inlineStr">
        <is>
          <t>Brownstone Productions, Gold Circle Films, Universal Pictures</t>
        </is>
      </c>
      <c r="N255" s="64" t="inlineStr">
        <is>
          <t>https://huggingface.co/datasets/HenryWaltson/TMDB-IMDB-Movies-Dataset</t>
        </is>
      </c>
      <c r="O255" s="64" t="inlineStr">
        <is>
          <t>https://huggingface.co/datasets/HenryWaltson/TMDB-IMDB-Movies-Dataset</t>
        </is>
      </c>
      <c r="P255" t="inlineStr">
        <is>
          <t>Anna Kendrick</t>
        </is>
      </c>
      <c r="Q255" t="inlineStr">
        <is>
          <t>Brittany Snow</t>
        </is>
      </c>
      <c r="R255" t="inlineStr">
        <is>
          <t>Hailee Steinfeld</t>
        </is>
      </c>
      <c r="S255" t="inlineStr">
        <is>
          <t>Rebel Wilson</t>
        </is>
      </c>
      <c r="T255" t="inlineStr">
        <is>
          <t>Ester Dean</t>
        </is>
      </c>
      <c r="U255" s="71" t="n">
        <v>0</v>
      </c>
      <c r="V255" s="71" t="n">
        <v>0</v>
      </c>
      <c r="X255" s="82">
        <f>IFERROR(INDEX(Ratings!$E$5:$E$500,MATCH(A255,Ratings!$A$5:$A$500,0)),"")</f>
        <v/>
      </c>
      <c r="Y255" s="71">
        <f>IFERROR(INDEX(Ratings!$G$5:$G$500,MATCH(A255,Ratings!$A$5:$A$500,0)),"")</f>
        <v/>
      </c>
      <c r="Z255" s="83">
        <f>IFERROR(INDEX(Ratings!$I$5:$I$500,MATCH(A255,Ratings!$A$5:$A$500,0)),"")</f>
        <v/>
      </c>
    </row>
    <row r="256" ht="15.75" customHeight="1" s="95">
      <c r="A256" t="inlineStr">
        <is>
          <t>F0252</t>
        </is>
      </c>
      <c r="B256" t="inlineStr">
        <is>
          <t>Pitch Perfect 3</t>
        </is>
      </c>
      <c r="C256" s="63" t="inlineStr">
        <is>
          <t>2017</t>
        </is>
      </c>
      <c r="D256" t="inlineStr">
        <is>
          <t>Blu-ray</t>
        </is>
      </c>
      <c r="E256" t="inlineStr">
        <is>
          <t>Pitch Perfect</t>
        </is>
      </c>
      <c r="F256" s="64" t="n"/>
      <c r="I256" s="64" t="inlineStr">
        <is>
          <t>After the highs of winning the world championships, the Bellas find themselves split apart and discovering there aren't job prospects for making music with your mouth. But when they get the chance to reunite for an overseas USO tour, this group of awesome nerds will come together to make some music, and some questionable decisions, one last time.</t>
        </is>
      </c>
      <c r="J256" s="64" t="inlineStr">
        <is>
          <t>Trish Sie</t>
        </is>
      </c>
      <c r="K256" s="64" t="n">
        <v>93</v>
      </c>
      <c r="L256" s="64" t="inlineStr">
        <is>
          <t>Comedy, Music</t>
        </is>
      </c>
      <c r="M256" s="64" t="inlineStr">
        <is>
          <t>Gold Circle Films, Perfect World Pictures, Universal Pictures</t>
        </is>
      </c>
      <c r="N256" s="64" t="inlineStr">
        <is>
          <t>https://huggingface.co/datasets/HenryWaltson/TMDB-IMDB-Movies-Dataset</t>
        </is>
      </c>
      <c r="O256" s="64" t="inlineStr">
        <is>
          <t>https://huggingface.co/datasets/HenryWaltson/TMDB-IMDB-Movies-Dataset</t>
        </is>
      </c>
      <c r="P256" t="inlineStr">
        <is>
          <t>Anna Kendrick</t>
        </is>
      </c>
      <c r="Q256" t="inlineStr">
        <is>
          <t>Rebel Wilson</t>
        </is>
      </c>
      <c r="R256" t="inlineStr">
        <is>
          <t>Brittany Snow</t>
        </is>
      </c>
      <c r="S256" t="inlineStr">
        <is>
          <t>Hailee Steinfeld</t>
        </is>
      </c>
      <c r="T256" t="inlineStr">
        <is>
          <t>Elizabeth Banks</t>
        </is>
      </c>
      <c r="U256" s="71" t="n">
        <v>0</v>
      </c>
      <c r="V256" s="71" t="n">
        <v>0</v>
      </c>
      <c r="X256" s="82">
        <f>IFERROR(INDEX(Ratings!$E$5:$E$500,MATCH(A256,Ratings!$A$5:$A$500,0)),"")</f>
        <v/>
      </c>
      <c r="Y256" s="71">
        <f>IFERROR(INDEX(Ratings!$G$5:$G$500,MATCH(A256,Ratings!$A$5:$A$500,0)),"")</f>
        <v/>
      </c>
      <c r="Z256" s="83">
        <f>IFERROR(INDEX(Ratings!$I$5:$I$500,MATCH(A256,Ratings!$A$5:$A$500,0)),"")</f>
        <v/>
      </c>
    </row>
    <row r="257" ht="15.75" customHeight="1" s="95">
      <c r="A257" t="inlineStr">
        <is>
          <t>F0253</t>
        </is>
      </c>
      <c r="B257" t="inlineStr">
        <is>
          <t>Rise of the Planet of the Apes</t>
        </is>
      </c>
      <c r="C257" s="63" t="inlineStr">
        <is>
          <t>2011</t>
        </is>
      </c>
      <c r="D257" t="inlineStr">
        <is>
          <t>Blu-ray</t>
        </is>
      </c>
      <c r="E257" t="inlineStr">
        <is>
          <t>Planet of the Apes (reboot)</t>
        </is>
      </c>
      <c r="F257" s="64" t="n"/>
      <c r="I257" s="64" t="inlineStr">
        <is>
          <t>A highly intelligent chimpanzee named Caesar has been living a peaceful suburban life ever since he was born. But when he gets taken to a cruel primate facility, Caesar decides to revolt against those who have harmed him.</t>
        </is>
      </c>
      <c r="J257" s="64" t="inlineStr">
        <is>
          <t>Rupert Wyatt</t>
        </is>
      </c>
      <c r="K257" s="64" t="n">
        <v>105</v>
      </c>
      <c r="L257" s="64" t="inlineStr">
        <is>
          <t>Thriller, Action, Drama, Science Fiction</t>
        </is>
      </c>
      <c r="M257" s="64" t="inlineStr">
        <is>
          <t>Dune Entertainment III, Dune Entertainment, Chernin Entertainment</t>
        </is>
      </c>
      <c r="N257" s="64" t="inlineStr">
        <is>
          <t>https://huggingface.co/datasets/HenryWaltson/TMDB-IMDB-Movies-Dataset</t>
        </is>
      </c>
      <c r="O257" s="64" t="inlineStr">
        <is>
          <t>https://huggingface.co/datasets/HenryWaltson/TMDB-IMDB-Movies-Dataset</t>
        </is>
      </c>
      <c r="P257" t="inlineStr">
        <is>
          <t>Andy Serkis</t>
        </is>
      </c>
      <c r="Q257" t="inlineStr">
        <is>
          <t>James Franco</t>
        </is>
      </c>
      <c r="R257" t="inlineStr">
        <is>
          <t>Freida Pinto</t>
        </is>
      </c>
      <c r="S257" t="inlineStr">
        <is>
          <t>John Lithgow</t>
        </is>
      </c>
      <c r="T257" t="inlineStr">
        <is>
          <t>Brian Cox</t>
        </is>
      </c>
      <c r="U257" s="71" t="n">
        <v>1</v>
      </c>
      <c r="V257" s="71" t="n">
        <v>0</v>
      </c>
      <c r="X257" s="82">
        <f>IFERROR(INDEX(Ratings!$E$5:$E$500,MATCH(A257,Ratings!$A$5:$A$500,0)),"")</f>
        <v/>
      </c>
      <c r="Y257" s="71">
        <f>IFERROR(INDEX(Ratings!$G$5:$G$500,MATCH(A257,Ratings!$A$5:$A$500,0)),"")</f>
        <v/>
      </c>
      <c r="Z257" s="83">
        <f>IFERROR(INDEX(Ratings!$I$5:$I$500,MATCH(A257,Ratings!$A$5:$A$500,0)),"")</f>
        <v/>
      </c>
    </row>
    <row r="258" ht="15.75" customHeight="1" s="95">
      <c r="A258" t="inlineStr">
        <is>
          <t>F0254</t>
        </is>
      </c>
      <c r="B258" t="inlineStr">
        <is>
          <t>Dawn of the Planet of the Apes</t>
        </is>
      </c>
      <c r="C258" s="63" t="inlineStr">
        <is>
          <t>2014</t>
        </is>
      </c>
      <c r="D258" t="inlineStr">
        <is>
          <t>Blu-ray</t>
        </is>
      </c>
      <c r="E258" t="inlineStr">
        <is>
          <t>Planet of the Apes (reboot)</t>
        </is>
      </c>
      <c r="F258" s="64" t="n"/>
      <c r="I258" s="64" t="inlineStr">
        <is>
          <t>A group of scientists in San Francisco struggle to stay alive in the aftermath of a plague that is wiping out humanity, while Caesar tries to maintain dominance over his community of intelligent apes.</t>
        </is>
      </c>
      <c r="J258" s="64" t="inlineStr">
        <is>
          <t>Matt Reeves</t>
        </is>
      </c>
      <c r="K258" s="64" t="n">
        <v>130</v>
      </c>
      <c r="L258" s="64" t="inlineStr">
        <is>
          <t>Science Fiction, Action, Drama, Thriller</t>
        </is>
      </c>
      <c r="M258" s="64" t="inlineStr">
        <is>
          <t>TSG Entertainment, Chernin Entertainment, Ingenious Media</t>
        </is>
      </c>
      <c r="N258" s="64" t="inlineStr">
        <is>
          <t>https://huggingface.co/datasets/HenryWaltson/TMDB-IMDB-Movies-Dataset</t>
        </is>
      </c>
      <c r="O258" s="64" t="inlineStr">
        <is>
          <t>https://huggingface.co/datasets/HenryWaltson/TMDB-IMDB-Movies-Dataset</t>
        </is>
      </c>
      <c r="P258" t="inlineStr">
        <is>
          <t>Andy Serkis</t>
        </is>
      </c>
      <c r="Q258" t="inlineStr">
        <is>
          <t>Jason Clarke</t>
        </is>
      </c>
      <c r="R258" t="inlineStr">
        <is>
          <t>Toby Kebbell</t>
        </is>
      </c>
      <c r="S258" t="inlineStr">
        <is>
          <t>Gary Oldman</t>
        </is>
      </c>
      <c r="T258" t="inlineStr">
        <is>
          <t>Keri Russell</t>
        </is>
      </c>
      <c r="U258" s="71" t="n">
        <v>1</v>
      </c>
      <c r="V258" s="71" t="n">
        <v>0</v>
      </c>
      <c r="X258" s="82">
        <f>IFERROR(INDEX(Ratings!$E$5:$E$500,MATCH(A258,Ratings!$A$5:$A$500,0)),"")</f>
        <v/>
      </c>
      <c r="Y258" s="71">
        <f>IFERROR(INDEX(Ratings!$G$5:$G$500,MATCH(A258,Ratings!$A$5:$A$500,0)),"")</f>
        <v/>
      </c>
      <c r="Z258" s="83">
        <f>IFERROR(INDEX(Ratings!$I$5:$I$500,MATCH(A258,Ratings!$A$5:$A$500,0)),"")</f>
        <v/>
      </c>
    </row>
    <row r="259" ht="15.75" customHeight="1" s="95">
      <c r="A259" t="inlineStr">
        <is>
          <t>F0255</t>
        </is>
      </c>
      <c r="B259" t="inlineStr">
        <is>
          <t>War for the Planet of the Apes</t>
        </is>
      </c>
      <c r="C259" s="63" t="inlineStr">
        <is>
          <t>2017</t>
        </is>
      </c>
      <c r="D259" t="inlineStr">
        <is>
          <t>Blu-ray</t>
        </is>
      </c>
      <c r="E259" t="inlineStr">
        <is>
          <t>Planet of the Apes (reboot)</t>
        </is>
      </c>
      <c r="F259" s="64" t="n"/>
      <c r="I259" s="64" t="inlineStr">
        <is>
          <t>Caesar and his apes are forced into a deadly conflict with an army of humans led by a ruthless Colonel. After the apes suffer unimaginable losses, Caesar wrestles with his darker instincts and begins his own mythic quest to avenge his kind. As the journey finally brings them face to face, Caesar and the Colonel are pitted against each other in an epic battle that will determine the fate of both their species and the future of the planet.</t>
        </is>
      </c>
      <c r="J259" s="64" t="inlineStr">
        <is>
          <t>Matt Reeves</t>
        </is>
      </c>
      <c r="K259" s="64" t="n">
        <v>140</v>
      </c>
      <c r="L259" s="64" t="inlineStr">
        <is>
          <t>Drama, Science Fiction, War</t>
        </is>
      </c>
      <c r="M259" s="64" t="inlineStr">
        <is>
          <t>20th Century Fox, TSG Entertainment, Chernin Entertainment</t>
        </is>
      </c>
      <c r="N259" s="64" t="inlineStr">
        <is>
          <t>https://huggingface.co/datasets/HenryWaltson/TMDB-IMDB-Movies-Dataset</t>
        </is>
      </c>
      <c r="O259" s="64" t="inlineStr">
        <is>
          <t>https://huggingface.co/datasets/HenryWaltson/TMDB-IMDB-Movies-Dataset</t>
        </is>
      </c>
      <c r="P259" t="inlineStr">
        <is>
          <t>Andy Serkis</t>
        </is>
      </c>
      <c r="Q259" t="inlineStr">
        <is>
          <t>Woody Harrelson</t>
        </is>
      </c>
      <c r="R259" t="inlineStr">
        <is>
          <t>Karin Konoval</t>
        </is>
      </c>
      <c r="S259" t="inlineStr">
        <is>
          <t>Terry Notary</t>
        </is>
      </c>
      <c r="T259" t="inlineStr">
        <is>
          <t>Steve Zahn</t>
        </is>
      </c>
      <c r="U259" s="71" t="n">
        <v>1</v>
      </c>
      <c r="V259" s="71" t="n">
        <v>0</v>
      </c>
      <c r="X259" s="82">
        <f>IFERROR(INDEX(Ratings!$E$5:$E$500,MATCH(A259,Ratings!$A$5:$A$500,0)),"")</f>
        <v/>
      </c>
      <c r="Y259" s="71">
        <f>IFERROR(INDEX(Ratings!$G$5:$G$500,MATCH(A259,Ratings!$A$5:$A$500,0)),"")</f>
        <v/>
      </c>
      <c r="Z259" s="83">
        <f>IFERROR(INDEX(Ratings!$I$5:$I$500,MATCH(A259,Ratings!$A$5:$A$500,0)),"")</f>
        <v/>
      </c>
    </row>
    <row r="260" ht="15.75" customHeight="1" s="95">
      <c r="A260" t="inlineStr">
        <is>
          <t>F0256</t>
        </is>
      </c>
      <c r="B260" t="inlineStr">
        <is>
          <t>Kingdom of the Planet of the Apes</t>
        </is>
      </c>
      <c r="C260" s="63" t="inlineStr">
        <is>
          <t>2024</t>
        </is>
      </c>
      <c r="D260" t="inlineStr">
        <is>
          <t>Blu-ray</t>
        </is>
      </c>
      <c r="E260" t="inlineStr">
        <is>
          <t>Planet of the Apes (reboot)</t>
        </is>
      </c>
      <c r="F260" s="64" t="n"/>
      <c r="I260" s="64" t="inlineStr">
        <is>
          <t>Several generations following Caesar's reign, apes – now the dominant species – live harmoniously while humans have been reduced to living in the shadows. As a new tyrannical ape leader builds his empire, one young ape undertakes a harrowing journey that will cause him to question all he's known about the past and to make choices that will define a future for apes and humans alike.</t>
        </is>
      </c>
      <c r="J260" s="64" t="inlineStr">
        <is>
          <t>Wes Ball</t>
        </is>
      </c>
      <c r="K260" s="64" t="n">
        <v>145</v>
      </c>
      <c r="L260" s="64" t="inlineStr">
        <is>
          <t>Action, Science Fiction</t>
        </is>
      </c>
      <c r="M260" s="64" t="inlineStr">
        <is>
          <t>20th Century Studios, Chernin Entertainment</t>
        </is>
      </c>
      <c r="N260" s="64" t="inlineStr">
        <is>
          <t>https://huggingface.co/datasets/HenryWaltson/TMDB-IMDB-Movies-Dataset</t>
        </is>
      </c>
      <c r="O260" s="64" t="inlineStr">
        <is>
          <t>https://huggingface.co/datasets/HenryWaltson/TMDB-IMDB-Movies-Dataset</t>
        </is>
      </c>
      <c r="P260" t="inlineStr">
        <is>
          <t>Owen Teague</t>
        </is>
      </c>
      <c r="Q260" t="inlineStr">
        <is>
          <t>Freya Allan</t>
        </is>
      </c>
      <c r="R260" t="inlineStr">
        <is>
          <t>Kevin Durand</t>
        </is>
      </c>
      <c r="S260" t="inlineStr">
        <is>
          <t>Peter Macon</t>
        </is>
      </c>
      <c r="T260" t="inlineStr">
        <is>
          <t>William H. Macy</t>
        </is>
      </c>
      <c r="U260" s="71" t="n">
        <v>1</v>
      </c>
      <c r="V260" s="71" t="n">
        <v>0</v>
      </c>
      <c r="X260" s="82">
        <f>IFERROR(INDEX(Ratings!$E$5:$E$500,MATCH(A260,Ratings!$A$5:$A$500,0)),"")</f>
        <v/>
      </c>
      <c r="Y260" s="71">
        <f>IFERROR(INDEX(Ratings!$G$5:$G$500,MATCH(A260,Ratings!$A$5:$A$500,0)),"")</f>
        <v/>
      </c>
      <c r="Z260" s="83">
        <f>IFERROR(INDEX(Ratings!$I$5:$I$500,MATCH(A260,Ratings!$A$5:$A$500,0)),"")</f>
        <v/>
      </c>
    </row>
    <row r="261" ht="15.75" customHeight="1" s="95">
      <c r="A261" t="inlineStr">
        <is>
          <t>F0257</t>
        </is>
      </c>
      <c r="B261" t="inlineStr">
        <is>
          <t>The Prestige</t>
        </is>
      </c>
      <c r="C261" s="63" t="inlineStr">
        <is>
          <t>2006</t>
        </is>
      </c>
      <c r="D261" t="inlineStr">
        <is>
          <t>Blu-ray</t>
        </is>
      </c>
      <c r="F261" s="64" t="n"/>
      <c r="I261" s="64" t="inlineStr">
        <is>
          <t>A mysterious story of two magicians whose intense rivalry leads them on a life-long battle for supremacy -- full of obsession, deceit and jealousy with dangerous and deadly consequences.</t>
        </is>
      </c>
      <c r="J261" s="64" t="inlineStr">
        <is>
          <t>Christopher Nolan</t>
        </is>
      </c>
      <c r="K261" s="64" t="n">
        <v>130</v>
      </c>
      <c r="L261" s="64" t="inlineStr">
        <is>
          <t>Drama, Mystery, Science Fiction</t>
        </is>
      </c>
      <c r="M261" s="64" t="inlineStr">
        <is>
          <t>Warner Bros. Pictures, Touchstone Pictures, Newmarket Films</t>
        </is>
      </c>
      <c r="N261" s="64" t="inlineStr">
        <is>
          <t>https://huggingface.co/datasets/HenryWaltson/TMDB-IMDB-Movies-Dataset</t>
        </is>
      </c>
      <c r="O261" s="64" t="inlineStr">
        <is>
          <t>https://huggingface.co/datasets/HenryWaltson/TMDB-IMDB-Movies-Dataset</t>
        </is>
      </c>
      <c r="P261" t="inlineStr">
        <is>
          <t>Hugh Jackman</t>
        </is>
      </c>
      <c r="Q261" t="inlineStr">
        <is>
          <t>Christian Bale</t>
        </is>
      </c>
      <c r="R261" t="inlineStr">
        <is>
          <t>Michael Caine</t>
        </is>
      </c>
      <c r="S261" t="inlineStr">
        <is>
          <t>Piper Perabo</t>
        </is>
      </c>
      <c r="T261" t="inlineStr">
        <is>
          <t>Rebecca Hall</t>
        </is>
      </c>
      <c r="U261" s="71" t="n">
        <v>2</v>
      </c>
      <c r="V261" s="71" t="n">
        <v>0</v>
      </c>
      <c r="X261" s="82">
        <f>IFERROR(INDEX(Ratings!$E$5:$E$500,MATCH(A261,Ratings!$A$5:$A$500,0)),"")</f>
        <v/>
      </c>
      <c r="Y261" s="71">
        <f>IFERROR(INDEX(Ratings!$G$5:$G$500,MATCH(A261,Ratings!$A$5:$A$500,0)),"")</f>
        <v/>
      </c>
      <c r="Z261" s="83">
        <f>IFERROR(INDEX(Ratings!$I$5:$I$500,MATCH(A261,Ratings!$A$5:$A$500,0)),"")</f>
        <v/>
      </c>
    </row>
    <row r="262" ht="15.75" customHeight="1" s="95">
      <c r="A262" t="inlineStr">
        <is>
          <t>F0258</t>
        </is>
      </c>
      <c r="B262" t="inlineStr">
        <is>
          <t>Prisoners</t>
        </is>
      </c>
      <c r="C262" s="63" t="inlineStr">
        <is>
          <t>2013</t>
        </is>
      </c>
      <c r="D262" t="inlineStr">
        <is>
          <t>Blu-ray</t>
        </is>
      </c>
      <c r="F262" s="64" t="n"/>
      <c r="I262" s="64" t="inlineStr">
        <is>
          <t>After his six-year-old daughter is abducted, a desperate father takes justice into his own hands when he loses faith in the detective leading the investigation, setting both men on a collision course as the search descends into obsession and moral compromise.</t>
        </is>
      </c>
      <c r="J262" s="64" t="inlineStr">
        <is>
          <t>Denis Villeneuve</t>
        </is>
      </c>
      <c r="K262" s="64" t="n">
        <v>153</v>
      </c>
      <c r="L262" s="64" t="inlineStr">
        <is>
          <t>Drama, Thriller, Crime</t>
        </is>
      </c>
      <c r="M262" s="64" t="inlineStr">
        <is>
          <t>Madhouse Entertainment, Alcon Entertainment, 8:38 Productions</t>
        </is>
      </c>
      <c r="N262" s="64" t="inlineStr">
        <is>
          <t>https://huggingface.co/datasets/HenryWaltson/TMDB-IMDB-Movies-Dataset</t>
        </is>
      </c>
      <c r="O262" s="64" t="inlineStr">
        <is>
          <t>https://huggingface.co/datasets/HenryWaltson/TMDB-IMDB-Movies-Dataset</t>
        </is>
      </c>
      <c r="P262" t="inlineStr">
        <is>
          <t>Hugh Jackman</t>
        </is>
      </c>
      <c r="Q262" t="inlineStr">
        <is>
          <t>Jake Gyllenhaal</t>
        </is>
      </c>
      <c r="R262" t="inlineStr">
        <is>
          <t>Viola Davis</t>
        </is>
      </c>
      <c r="S262" t="inlineStr">
        <is>
          <t>Maria Bello</t>
        </is>
      </c>
      <c r="T262" t="inlineStr">
        <is>
          <t>Terrence Howard</t>
        </is>
      </c>
      <c r="U262" s="71" t="n">
        <v>1</v>
      </c>
      <c r="V262" s="71" t="n">
        <v>0</v>
      </c>
      <c r="X262" s="82">
        <f>IFERROR(INDEX(Ratings!$E$5:$E$500,MATCH(A262,Ratings!$A$5:$A$500,0)),"")</f>
        <v/>
      </c>
      <c r="Y262" s="71">
        <f>IFERROR(INDEX(Ratings!$G$5:$G$500,MATCH(A262,Ratings!$A$5:$A$500,0)),"")</f>
        <v/>
      </c>
      <c r="Z262" s="83">
        <f>IFERROR(INDEX(Ratings!$I$5:$I$500,MATCH(A262,Ratings!$A$5:$A$500,0)),"")</f>
        <v/>
      </c>
    </row>
    <row r="263" ht="15.75" customHeight="1" s="95">
      <c r="A263" t="inlineStr">
        <is>
          <t>F0259</t>
        </is>
      </c>
      <c r="B263" t="inlineStr">
        <is>
          <t>Prometheus</t>
        </is>
      </c>
      <c r="C263" s="63" t="inlineStr">
        <is>
          <t>2012</t>
        </is>
      </c>
      <c r="D263" t="inlineStr">
        <is>
          <t>Blu-ray</t>
        </is>
      </c>
      <c r="E263" t="inlineStr">
        <is>
          <t>Alien</t>
        </is>
      </c>
      <c r="F263" s="64" t="n"/>
      <c r="I263" s="64" t="inlineStr">
        <is>
          <t>A team of explorers discover a clue to the origins of mankind on Earth, leading them on a journey to the darkest corners of the universe. There, they must fight a terrifying battle to save the future of the human race.</t>
        </is>
      </c>
      <c r="J263" s="64" t="inlineStr">
        <is>
          <t>Ridley Scott</t>
        </is>
      </c>
      <c r="K263" s="64" t="n">
        <v>124</v>
      </c>
      <c r="L263" s="64" t="inlineStr">
        <is>
          <t>Science Fiction, Adventure, Mystery</t>
        </is>
      </c>
      <c r="M263" s="64" t="inlineStr">
        <is>
          <t>Dune Entertainment, Scott Free Productions, Brandywine Productions</t>
        </is>
      </c>
      <c r="N263" s="64" t="inlineStr">
        <is>
          <t>https://huggingface.co/datasets/HenryWaltson/TMDB-IMDB-Movies-Dataset</t>
        </is>
      </c>
      <c r="O263" s="64" t="inlineStr">
        <is>
          <t>https://huggingface.co/datasets/HenryWaltson/TMDB-IMDB-Movies-Dataset</t>
        </is>
      </c>
      <c r="P263" t="inlineStr">
        <is>
          <t>Noomi Rapace</t>
        </is>
      </c>
      <c r="Q263" t="inlineStr">
        <is>
          <t>Michael Fassbender</t>
        </is>
      </c>
      <c r="R263" t="inlineStr">
        <is>
          <t>Charlize Theron</t>
        </is>
      </c>
      <c r="S263" t="inlineStr">
        <is>
          <t>Idris Elba</t>
        </is>
      </c>
      <c r="T263" t="inlineStr">
        <is>
          <t>Guy Pearce</t>
        </is>
      </c>
      <c r="U263" s="71" t="n">
        <v>1</v>
      </c>
      <c r="V263" s="71" t="n">
        <v>0</v>
      </c>
      <c r="X263" s="82">
        <f>IFERROR(INDEX(Ratings!$E$5:$E$500,MATCH(A263,Ratings!$A$5:$A$500,0)),"")</f>
        <v/>
      </c>
      <c r="Y263" s="71">
        <f>IFERROR(INDEX(Ratings!$G$5:$G$500,MATCH(A263,Ratings!$A$5:$A$500,0)),"")</f>
        <v/>
      </c>
      <c r="Z263" s="83">
        <f>IFERROR(INDEX(Ratings!$I$5:$I$500,MATCH(A263,Ratings!$A$5:$A$500,0)),"")</f>
        <v/>
      </c>
    </row>
    <row r="264" ht="15.75" customHeight="1" s="95">
      <c r="A264" t="inlineStr">
        <is>
          <t>F0260</t>
        </is>
      </c>
      <c r="B264" t="inlineStr">
        <is>
          <t>The Pursuit of Happyness</t>
        </is>
      </c>
      <c r="C264" s="63" t="inlineStr">
        <is>
          <t>2006</t>
        </is>
      </c>
      <c r="D264" t="inlineStr">
        <is>
          <t>Blu-ray</t>
        </is>
      </c>
      <c r="F264" s="64" t="n"/>
      <c r="I264" s="64" t="inlineStr">
        <is>
          <t>A struggling salesman takes custody of his son as he's poised to begin a life-changing professional career.</t>
        </is>
      </c>
      <c r="J264" s="64" t="inlineStr">
        <is>
          <t>Gabriele Muccino</t>
        </is>
      </c>
      <c r="K264" s="64" t="n">
        <v>117</v>
      </c>
      <c r="L264" s="64" t="inlineStr">
        <is>
          <t>Drama</t>
        </is>
      </c>
      <c r="M264" s="64" t="inlineStr">
        <is>
          <t>Escape Artists, Relativity Media, Columbia Pictures</t>
        </is>
      </c>
      <c r="N264" s="64" t="inlineStr">
        <is>
          <t>https://huggingface.co/datasets/HenryWaltson/TMDB-IMDB-Movies-Dataset</t>
        </is>
      </c>
      <c r="O264" s="64" t="inlineStr">
        <is>
          <t>https://huggingface.co/datasets/HenryWaltson/TMDB-IMDB-Movies-Dataset</t>
        </is>
      </c>
      <c r="P264" t="inlineStr">
        <is>
          <t>Will Smith</t>
        </is>
      </c>
      <c r="Q264" t="inlineStr">
        <is>
          <t>Jaden Smith</t>
        </is>
      </c>
      <c r="R264" t="inlineStr">
        <is>
          <t>Thandiwe Newton</t>
        </is>
      </c>
      <c r="S264" t="inlineStr">
        <is>
          <t>Brian Howe</t>
        </is>
      </c>
      <c r="T264" t="inlineStr">
        <is>
          <t>James Karen</t>
        </is>
      </c>
      <c r="U264" s="71" t="n">
        <v>1</v>
      </c>
      <c r="V264" s="71" t="n">
        <v>0</v>
      </c>
      <c r="X264" s="82">
        <f>IFERROR(INDEX(Ratings!$E$5:$E$500,MATCH(A264,Ratings!$A$5:$A$500,0)),"")</f>
        <v/>
      </c>
      <c r="Y264" s="71">
        <f>IFERROR(INDEX(Ratings!$G$5:$G$500,MATCH(A264,Ratings!$A$5:$A$500,0)),"")</f>
        <v/>
      </c>
      <c r="Z264" s="83">
        <f>IFERROR(INDEX(Ratings!$I$5:$I$500,MATCH(A264,Ratings!$A$5:$A$500,0)),"")</f>
        <v/>
      </c>
    </row>
    <row r="265" ht="15.75" customHeight="1" s="95">
      <c r="A265" t="inlineStr">
        <is>
          <t>F0261</t>
        </is>
      </c>
      <c r="B265" t="inlineStr">
        <is>
          <t>Rambo</t>
        </is>
      </c>
      <c r="C265" s="63" t="inlineStr">
        <is>
          <t>2008</t>
        </is>
      </c>
      <c r="D265" t="inlineStr">
        <is>
          <t>Blu-ray</t>
        </is>
      </c>
      <c r="F265" s="64" t="n"/>
      <c r="I265" s="64" t="inlineStr">
        <is>
          <t>Combat has taken its toll on Rambo, but he's finally begun to find inner peace in a monastery. When Rambo's friend and mentor Col. Trautman asks for his help on a top secret mission to Afghanistan, Rambo declines but must reconsider when Trautman is captured.</t>
        </is>
      </c>
      <c r="J265" s="64" t="inlineStr">
        <is>
          <t>Sylvester Stallone</t>
        </is>
      </c>
      <c r="K265" s="64" t="n">
        <v>92</v>
      </c>
      <c r="L265" s="64" t="inlineStr">
        <is>
          <t>Action, Thriller, War</t>
        </is>
      </c>
      <c r="M265" s="64" t="inlineStr">
        <is>
          <t>Nu Image, Lionsgate, EFO Films</t>
        </is>
      </c>
      <c r="N265" s="64" t="inlineStr">
        <is>
          <t>https://huggingface.co/datasets/HenryWaltson/TMDB-IMDB-Movies-Dataset</t>
        </is>
      </c>
      <c r="O265" s="64" t="inlineStr">
        <is>
          <t>https://huggingface.co/datasets/HenryWaltson/TMDB-IMDB-Movies-Dataset</t>
        </is>
      </c>
      <c r="P265" t="inlineStr">
        <is>
          <t>Sylvester Stallone</t>
        </is>
      </c>
      <c r="Q265" t="inlineStr">
        <is>
          <t>Julie Benz</t>
        </is>
      </c>
      <c r="R265" t="inlineStr">
        <is>
          <t>Matthew Marsden</t>
        </is>
      </c>
      <c r="S265" t="inlineStr">
        <is>
          <t>Graham McTavish</t>
        </is>
      </c>
      <c r="T265" t="inlineStr">
        <is>
          <t>Reynaldo Gallegos</t>
        </is>
      </c>
      <c r="U265" s="71" t="n">
        <v>0</v>
      </c>
      <c r="V265" s="71" t="n">
        <v>0</v>
      </c>
      <c r="X265" s="82">
        <f>IFERROR(INDEX(Ratings!$E$5:$E$500,MATCH(A265,Ratings!$A$5:$A$500,0)),"")</f>
        <v/>
      </c>
      <c r="Y265" s="71">
        <f>IFERROR(INDEX(Ratings!$G$5:$G$500,MATCH(A265,Ratings!$A$5:$A$500,0)),"")</f>
        <v/>
      </c>
      <c r="Z265" s="83">
        <f>IFERROR(INDEX(Ratings!$I$5:$I$500,MATCH(A265,Ratings!$A$5:$A$500,0)),"")</f>
        <v/>
      </c>
    </row>
    <row r="266" ht="15.75" customHeight="1" s="95">
      <c r="A266" t="inlineStr">
        <is>
          <t>F0262</t>
        </is>
      </c>
      <c r="B266" t="inlineStr">
        <is>
          <t>RED</t>
        </is>
      </c>
      <c r="C266" s="63" t="inlineStr">
        <is>
          <t>2010</t>
        </is>
      </c>
      <c r="D266" t="inlineStr">
        <is>
          <t>Blu-ray</t>
        </is>
      </c>
      <c r="F266" s="64" t="n"/>
      <c r="I266" s="64" t="inlineStr">
        <is>
          <t>After surviving an assault from a squad of hit men, retired CIA black ops agent Frank Moses reassembles his old team for an all-out war. Frank reunites with old Joe, crazy Marvin and wily Victoria to uncover a massive conspiracy that threatens their lives. Only their expert training will allow them to survive a near-impossible mission -- breaking into CIA headquarters.</t>
        </is>
      </c>
      <c r="J266" s="64" t="inlineStr">
        <is>
          <t>Robert Schwentke</t>
        </is>
      </c>
      <c r="K266" s="64" t="n">
        <v>111</v>
      </c>
      <c r="L266" s="64" t="inlineStr">
        <is>
          <t>Action, Adventure, Comedy, Crime, Thriller</t>
        </is>
      </c>
      <c r="M266" s="64" t="inlineStr">
        <is>
          <t>di Bonaventura Pictures, DC Comics, Summit Entertainment</t>
        </is>
      </c>
      <c r="N266" s="64" t="inlineStr">
        <is>
          <t>https://huggingface.co/datasets/HenryWaltson/TMDB-IMDB-Movies-Dataset</t>
        </is>
      </c>
      <c r="O266" s="64" t="inlineStr">
        <is>
          <t>https://huggingface.co/datasets/HenryWaltson/TMDB-IMDB-Movies-Dataset</t>
        </is>
      </c>
      <c r="P266" t="inlineStr">
        <is>
          <t>Bruce Willis</t>
        </is>
      </c>
      <c r="Q266" t="inlineStr">
        <is>
          <t>John Malkovich</t>
        </is>
      </c>
      <c r="R266" t="inlineStr">
        <is>
          <t>Morgan Freeman</t>
        </is>
      </c>
      <c r="S266" t="inlineStr">
        <is>
          <t>Helen Mirren</t>
        </is>
      </c>
      <c r="T266" t="inlineStr">
        <is>
          <t>Mary-Louise Parker</t>
        </is>
      </c>
      <c r="U266" s="71" t="n">
        <v>0</v>
      </c>
      <c r="V266" s="71" t="n">
        <v>0</v>
      </c>
      <c r="X266" s="82">
        <f>IFERROR(INDEX(Ratings!$E$5:$E$500,MATCH(A266,Ratings!$A$5:$A$500,0)),"")</f>
        <v/>
      </c>
      <c r="Y266" s="71">
        <f>IFERROR(INDEX(Ratings!$G$5:$G$500,MATCH(A266,Ratings!$A$5:$A$500,0)),"")</f>
        <v/>
      </c>
      <c r="Z266" s="83">
        <f>IFERROR(INDEX(Ratings!$I$5:$I$500,MATCH(A266,Ratings!$A$5:$A$500,0)),"")</f>
        <v/>
      </c>
    </row>
    <row r="267" ht="15.75" customHeight="1" s="95">
      <c r="A267" t="inlineStr">
        <is>
          <t>F0263</t>
        </is>
      </c>
      <c r="B267" t="inlineStr">
        <is>
          <t>Reign of Fire</t>
        </is>
      </c>
      <c r="C267" s="63" t="inlineStr">
        <is>
          <t>2002</t>
        </is>
      </c>
      <c r="D267" t="inlineStr">
        <is>
          <t>Blu-ray</t>
        </is>
      </c>
      <c r="F267" s="64" t="n"/>
      <c r="I267" s="64" t="inlineStr">
        <is>
          <t>In post-apocalyptic England, an American volunteer and a British survivor team up to fight off a brood of fire-breathing dragons seeking to return to global dominance after centuries of rest underground. The Brit -- leading a clan of survivors to hunt down the King of the Dragons -- has much at stake: His mother was killed by a dragon, but his love is still alive.</t>
        </is>
      </c>
      <c r="J267" s="64" t="inlineStr">
        <is>
          <t>Rob Bowman</t>
        </is>
      </c>
      <c r="K267" s="64" t="n">
        <v>101</v>
      </c>
      <c r="L267" s="64" t="inlineStr">
        <is>
          <t>Adventure, Action, Fantasy</t>
        </is>
      </c>
      <c r="M267" s="64" t="inlineStr">
        <is>
          <t>The Zanuck Company, Spyglass Entertainment, World 2000 Entertainment</t>
        </is>
      </c>
      <c r="N267" s="64" t="inlineStr">
        <is>
          <t>https://huggingface.co/datasets/HenryWaltson/TMDB-IMDB-Movies-Dataset</t>
        </is>
      </c>
      <c r="O267" s="64" t="inlineStr">
        <is>
          <t>https://huggingface.co/datasets/HenryWaltson/TMDB-IMDB-Movies-Dataset</t>
        </is>
      </c>
      <c r="P267" t="inlineStr">
        <is>
          <t>Christian Bale</t>
        </is>
      </c>
      <c r="Q267" t="inlineStr">
        <is>
          <t>Matthew McConaughey</t>
        </is>
      </c>
      <c r="R267" t="inlineStr">
        <is>
          <t>Izabella Scorupco</t>
        </is>
      </c>
      <c r="S267" t="inlineStr">
        <is>
          <t>Gerard Butler</t>
        </is>
      </c>
      <c r="T267" t="inlineStr">
        <is>
          <t>Alexander Siddig</t>
        </is>
      </c>
      <c r="U267" s="71" t="n">
        <v>0</v>
      </c>
      <c r="V267" s="71" t="n">
        <v>0</v>
      </c>
      <c r="X267" s="82">
        <f>IFERROR(INDEX(Ratings!$E$5:$E$500,MATCH(A267,Ratings!$A$5:$A$500,0)),"")</f>
        <v/>
      </c>
      <c r="Y267" s="71">
        <f>IFERROR(INDEX(Ratings!$G$5:$G$500,MATCH(A267,Ratings!$A$5:$A$500,0)),"")</f>
        <v/>
      </c>
      <c r="Z267" s="83">
        <f>IFERROR(INDEX(Ratings!$I$5:$I$500,MATCH(A267,Ratings!$A$5:$A$500,0)),"")</f>
        <v/>
      </c>
    </row>
    <row r="268" ht="15.75" customHeight="1" s="95">
      <c r="A268" t="inlineStr">
        <is>
          <t>F0264</t>
        </is>
      </c>
      <c r="B268" t="inlineStr">
        <is>
          <t>Riddick</t>
        </is>
      </c>
      <c r="C268" s="63" t="inlineStr">
        <is>
          <t>2013</t>
        </is>
      </c>
      <c r="D268" t="inlineStr">
        <is>
          <t>Blu-ray</t>
        </is>
      </c>
      <c r="F268" s="64" t="n"/>
      <c r="I268" s="64" t="inlineStr">
        <is>
          <t>Betrayed by his own kind and left for dead on a desolate planet, Riddick fights for survival against alien predators and becomes more powerful and dangerous than ever before. Soon bounty hunters from throughout the galaxy descend on Riddick only to find themselves pawns in his greater scheme for revenge. With his enemies right where he wants them, Riddick unleashes a vicious attack of vengeance before returning to his home planet of Furya to save it from destruction.</t>
        </is>
      </c>
      <c r="J268" s="64" t="inlineStr">
        <is>
          <t>David Twohy</t>
        </is>
      </c>
      <c r="K268" s="64" t="n">
        <v>119</v>
      </c>
      <c r="L268" s="64" t="inlineStr">
        <is>
          <t>Science Fiction, Action, Thriller</t>
        </is>
      </c>
      <c r="M268" s="64" t="inlineStr">
        <is>
          <t>One Race, Riddick Canada Productions, Radar Pictures</t>
        </is>
      </c>
      <c r="N268" s="64" t="inlineStr">
        <is>
          <t>https://huggingface.co/datasets/HenryWaltson/TMDB-IMDB-Movies-Dataset</t>
        </is>
      </c>
      <c r="O268" s="64" t="inlineStr">
        <is>
          <t>https://huggingface.co/datasets/HenryWaltson/TMDB-IMDB-Movies-Dataset</t>
        </is>
      </c>
      <c r="P268" t="inlineStr">
        <is>
          <t>Vin Diesel</t>
        </is>
      </c>
      <c r="Q268" t="inlineStr">
        <is>
          <t>Matt Nable</t>
        </is>
      </c>
      <c r="R268" t="inlineStr">
        <is>
          <t>Katee Sackhoff</t>
        </is>
      </c>
      <c r="S268" t="inlineStr">
        <is>
          <t>Jordi Mollà</t>
        </is>
      </c>
      <c r="T268" t="inlineStr">
        <is>
          <t>Dave Bautista</t>
        </is>
      </c>
      <c r="U268" s="71" t="n">
        <v>0</v>
      </c>
      <c r="V268" s="71" t="n">
        <v>0</v>
      </c>
      <c r="X268" s="82">
        <f>IFERROR(INDEX(Ratings!$E$5:$E$500,MATCH(A268,Ratings!$A$5:$A$500,0)),"")</f>
        <v/>
      </c>
      <c r="Y268" s="71">
        <f>IFERROR(INDEX(Ratings!$G$5:$G$500,MATCH(A268,Ratings!$A$5:$A$500,0)),"")</f>
        <v/>
      </c>
      <c r="Z268" s="83">
        <f>IFERROR(INDEX(Ratings!$I$5:$I$500,MATCH(A268,Ratings!$A$5:$A$500,0)),"")</f>
        <v/>
      </c>
    </row>
    <row r="269" ht="15.75" customHeight="1" s="95">
      <c r="A269" t="inlineStr">
        <is>
          <t>F0265</t>
        </is>
      </c>
      <c r="B269" t="inlineStr">
        <is>
          <t>Rio</t>
        </is>
      </c>
      <c r="C269" s="63" t="inlineStr">
        <is>
          <t>2011</t>
        </is>
      </c>
      <c r="D269" t="inlineStr">
        <is>
          <t>Blu-ray</t>
        </is>
      </c>
      <c r="E269" t="inlineStr">
        <is>
          <t>Rio</t>
        </is>
      </c>
      <c r="F269" s="64" t="n"/>
      <c r="I269" s="64" t="inlineStr">
        <is>
          <t>Captured by smugglers when he was just a hatchling, a macaw named Blu never learned to fly and lives a happily domesticated life in Minnesota with his human friend, Linda. Blu is thought to be the last of his kind, but when word comes that Jewel, a lone female, lives in Rio de Janeiro, Blu and Linda go to meet her. Animal smugglers kidnap Blu and Jewel, but the pair soon escape and begin a perilous adventure back to freedom -- and Linda.</t>
        </is>
      </c>
      <c r="J269" s="64" t="inlineStr">
        <is>
          <t>Carlos Saldanha</t>
        </is>
      </c>
      <c r="K269" s="64" t="n">
        <v>96</v>
      </c>
      <c r="L269" s="64" t="inlineStr">
        <is>
          <t>Animation, Adventure, Comedy, Family</t>
        </is>
      </c>
      <c r="M269" s="64" t="inlineStr">
        <is>
          <t>Blue Sky Studios, 20th Century Fox Animation, 20th Century Fox</t>
        </is>
      </c>
      <c r="N269" s="64" t="inlineStr">
        <is>
          <t>https://huggingface.co/datasets/HenryWaltson/TMDB-IMDB-Movies-Dataset</t>
        </is>
      </c>
      <c r="O269" s="64" t="inlineStr">
        <is>
          <t>https://huggingface.co/datasets/HenryWaltson/TMDB-IMDB-Movies-Dataset</t>
        </is>
      </c>
      <c r="P269" t="inlineStr">
        <is>
          <t>Jesse Eisenberg</t>
        </is>
      </c>
      <c r="Q269" t="inlineStr">
        <is>
          <t>Anne Hathaway</t>
        </is>
      </c>
      <c r="R269" t="inlineStr">
        <is>
          <t>Leslie Mann</t>
        </is>
      </c>
      <c r="S269" t="inlineStr">
        <is>
          <t>Jane Lynch</t>
        </is>
      </c>
      <c r="T269" t="inlineStr">
        <is>
          <t>will.i.am</t>
        </is>
      </c>
      <c r="U269" s="71" t="n">
        <v>1</v>
      </c>
      <c r="V269" s="71" t="n">
        <v>0</v>
      </c>
      <c r="X269" s="82">
        <f>IFERROR(INDEX(Ratings!$E$5:$E$500,MATCH(A269,Ratings!$A$5:$A$500,0)),"")</f>
        <v/>
      </c>
      <c r="Y269" s="71">
        <f>IFERROR(INDEX(Ratings!$G$5:$G$500,MATCH(A269,Ratings!$A$5:$A$500,0)),"")</f>
        <v/>
      </c>
      <c r="Z269" s="83">
        <f>IFERROR(INDEX(Ratings!$I$5:$I$500,MATCH(A269,Ratings!$A$5:$A$500,0)),"")</f>
        <v/>
      </c>
    </row>
    <row r="270" ht="15.75" customHeight="1" s="95">
      <c r="A270" t="inlineStr">
        <is>
          <t>F0266</t>
        </is>
      </c>
      <c r="B270" t="inlineStr">
        <is>
          <t>Rio 2</t>
        </is>
      </c>
      <c r="C270" s="63" t="inlineStr">
        <is>
          <t>2014</t>
        </is>
      </c>
      <c r="D270" t="inlineStr">
        <is>
          <t>Blu-ray</t>
        </is>
      </c>
      <c r="E270" t="inlineStr">
        <is>
          <t>Rio</t>
        </is>
      </c>
      <c r="F270" s="64" t="n"/>
      <c r="I270" s="64" t="inlineStr">
        <is>
          <t>It's a jungle out there for Blu, Jewel and their three kids after they're hurtled from Rio de Janeiro to the wilds of the Amazon. As Blu tries to fit in, he goes beak-to-beak with the vengeful Nigel, and meets the most fearsome adversary of all: his father-in-law.</t>
        </is>
      </c>
      <c r="J270" s="64" t="inlineStr">
        <is>
          <t>Carlos Saldanha</t>
        </is>
      </c>
      <c r="K270" s="64" t="n">
        <v>101</v>
      </c>
      <c r="L270" s="64" t="inlineStr">
        <is>
          <t>Animation, Adventure, Comedy, Family</t>
        </is>
      </c>
      <c r="M270" s="64" t="inlineStr">
        <is>
          <t>Blue Sky Studios, 20th Century Fox Animation, 20th Century Fox</t>
        </is>
      </c>
      <c r="N270" s="64" t="inlineStr">
        <is>
          <t>https://huggingface.co/datasets/HenryWaltson/TMDB-IMDB-Movies-Dataset</t>
        </is>
      </c>
      <c r="O270" s="64" t="inlineStr">
        <is>
          <t>https://huggingface.co/datasets/HenryWaltson/TMDB-IMDB-Movies-Dataset</t>
        </is>
      </c>
      <c r="P270" t="inlineStr">
        <is>
          <t>Jesse Eisenberg</t>
        </is>
      </c>
      <c r="Q270" t="inlineStr">
        <is>
          <t>Anne Hathaway</t>
        </is>
      </c>
      <c r="R270" t="inlineStr">
        <is>
          <t>will.i.am</t>
        </is>
      </c>
      <c r="S270" t="inlineStr">
        <is>
          <t>Jamie Foxx</t>
        </is>
      </c>
      <c r="T270" t="inlineStr">
        <is>
          <t>Leslie Mann</t>
        </is>
      </c>
      <c r="U270" s="71" t="n">
        <v>0</v>
      </c>
      <c r="V270" s="71" t="n">
        <v>0</v>
      </c>
      <c r="X270" s="82">
        <f>IFERROR(INDEX(Ratings!$E$5:$E$500,MATCH(A270,Ratings!$A$5:$A$500,0)),"")</f>
        <v/>
      </c>
      <c r="Y270" s="71">
        <f>IFERROR(INDEX(Ratings!$G$5:$G$500,MATCH(A270,Ratings!$A$5:$A$500,0)),"")</f>
        <v/>
      </c>
      <c r="Z270" s="83">
        <f>IFERROR(INDEX(Ratings!$I$5:$I$500,MATCH(A270,Ratings!$A$5:$A$500,0)),"")</f>
        <v/>
      </c>
    </row>
    <row r="271" ht="15.75" customHeight="1" s="95">
      <c r="A271" t="inlineStr">
        <is>
          <t>F0267</t>
        </is>
      </c>
      <c r="B271" t="inlineStr">
        <is>
          <t>Robin Hood</t>
        </is>
      </c>
      <c r="C271" s="63" t="inlineStr">
        <is>
          <t>2010</t>
        </is>
      </c>
      <c r="D271" t="inlineStr">
        <is>
          <t>Blu-ray</t>
        </is>
      </c>
      <c r="F271" s="64" t="n"/>
      <c r="I271" s="64" t="inlineStr">
        <is>
          <t>Best guess: 2010 Ridley Scott version.</t>
        </is>
      </c>
      <c r="J271" s="64" t="inlineStr">
        <is>
          <t>Ridley Scott</t>
        </is>
      </c>
      <c r="K271" s="64" t="n">
        <v>140</v>
      </c>
      <c r="L271" s="64" t="inlineStr">
        <is>
          <t>Action, Adventure, Drama</t>
        </is>
      </c>
      <c r="M271" s="64" t="inlineStr">
        <is>
          <t>Scott Free Productions, Imagine Entertainment, Relativity Media</t>
        </is>
      </c>
      <c r="N271" s="64" t="inlineStr">
        <is>
          <t>https://huggingface.co/datasets/HenryWaltson/TMDB-IMDB-Movies-Dataset</t>
        </is>
      </c>
      <c r="O271" s="64" t="inlineStr">
        <is>
          <t>https://huggingface.co/datasets/HenryWaltson/TMDB-IMDB-Movies-Dataset</t>
        </is>
      </c>
      <c r="P271" t="inlineStr">
        <is>
          <t>Russell Crowe</t>
        </is>
      </c>
      <c r="Q271" t="inlineStr">
        <is>
          <t>Cate Blanchett</t>
        </is>
      </c>
      <c r="R271" t="inlineStr">
        <is>
          <t>Max von Sydow</t>
        </is>
      </c>
      <c r="S271" t="inlineStr">
        <is>
          <t>William Hurt</t>
        </is>
      </c>
      <c r="T271" t="inlineStr">
        <is>
          <t>Mark Strong</t>
        </is>
      </c>
      <c r="U271" s="71" t="n">
        <v>0</v>
      </c>
      <c r="V271" s="71" t="n">
        <v>0</v>
      </c>
      <c r="X271" s="82">
        <f>IFERROR(INDEX(Ratings!$E$5:$E$500,MATCH(A271,Ratings!$A$5:$A$500,0)),"")</f>
        <v/>
      </c>
      <c r="Y271" s="71">
        <f>IFERROR(INDEX(Ratings!$G$5:$G$500,MATCH(A271,Ratings!$A$5:$A$500,0)),"")</f>
        <v/>
      </c>
      <c r="Z271" s="83">
        <f>IFERROR(INDEX(Ratings!$I$5:$I$500,MATCH(A271,Ratings!$A$5:$A$500,0)),"")</f>
        <v/>
      </c>
    </row>
    <row r="272" ht="15.75" customHeight="1" s="95">
      <c r="A272" t="inlineStr">
        <is>
          <t>F0268</t>
        </is>
      </c>
      <c r="B272" t="inlineStr">
        <is>
          <t>RoboCop</t>
        </is>
      </c>
      <c r="C272" s="63" t="n"/>
      <c r="D272" t="inlineStr">
        <is>
          <t>Blu-ray</t>
        </is>
      </c>
      <c r="F272" s="64" t="n"/>
      <c r="I272" s="64" t="inlineStr">
        <is>
          <t>Best guess: 1987 original.</t>
        </is>
      </c>
      <c r="J272" s="64" t="inlineStr">
        <is>
          <t>Paul Verhoeven</t>
        </is>
      </c>
      <c r="K272" s="64" t="n">
        <v>102</v>
      </c>
      <c r="L272" s="64" t="inlineStr">
        <is>
          <t>Action, Thriller, Science Fiction</t>
        </is>
      </c>
      <c r="M272" s="64" t="inlineStr">
        <is>
          <t>Orion Pictures</t>
        </is>
      </c>
      <c r="N272" s="64" t="inlineStr">
        <is>
          <t>https://huggingface.co/datasets/HenryWaltson/TMDB-IMDB-Movies-Dataset</t>
        </is>
      </c>
      <c r="O272" s="64" t="inlineStr">
        <is>
          <t>https://huggingface.co/datasets/HenryWaltson/TMDB-IMDB-Movies-Dataset</t>
        </is>
      </c>
      <c r="P272" t="inlineStr">
        <is>
          <t>Peter Weller</t>
        </is>
      </c>
      <c r="Q272" t="inlineStr">
        <is>
          <t>Nancy Allen</t>
        </is>
      </c>
      <c r="R272" t="inlineStr">
        <is>
          <t>Dan O'Herlihy</t>
        </is>
      </c>
      <c r="S272" t="inlineStr">
        <is>
          <t>Ronny Cox</t>
        </is>
      </c>
      <c r="T272" t="inlineStr">
        <is>
          <t>Kurtwood Smith</t>
        </is>
      </c>
      <c r="U272" s="71" t="n">
        <v>0</v>
      </c>
      <c r="V272" s="71" t="n">
        <v>0</v>
      </c>
      <c r="X272" s="82">
        <f>IFERROR(INDEX(Ratings!$E$5:$E$500,MATCH(A272,Ratings!$A$5:$A$500,0)),"")</f>
        <v/>
      </c>
      <c r="Y272" s="71">
        <f>IFERROR(INDEX(Ratings!$G$5:$G$500,MATCH(A272,Ratings!$A$5:$A$500,0)),"")</f>
        <v/>
      </c>
      <c r="Z272" s="83">
        <f>IFERROR(INDEX(Ratings!$I$5:$I$500,MATCH(A272,Ratings!$A$5:$A$500,0)),"")</f>
        <v/>
      </c>
    </row>
    <row r="273" ht="15.75" customHeight="1" s="95">
      <c r="A273" t="inlineStr">
        <is>
          <t>F0269</t>
        </is>
      </c>
      <c r="B273" t="inlineStr">
        <is>
          <t>Rocketman</t>
        </is>
      </c>
      <c r="C273" s="63" t="inlineStr">
        <is>
          <t>2019</t>
        </is>
      </c>
      <c r="D273" t="inlineStr">
        <is>
          <t>Blu-ray</t>
        </is>
      </c>
      <c r="F273" s="64" t="n"/>
      <c r="I273" s="64" t="inlineStr">
        <is>
          <t>The story of Elton John's life, from his years as a prodigy at the Royal Academy of Music through his influential and enduring musical partnership with Bernie Taupin.</t>
        </is>
      </c>
      <c r="J273" s="64" t="inlineStr">
        <is>
          <t>Dexter Fletcher</t>
        </is>
      </c>
      <c r="K273" s="64" t="n">
        <v>121</v>
      </c>
      <c r="L273" s="64" t="inlineStr">
        <is>
          <t>Music, Drama, History</t>
        </is>
      </c>
      <c r="M273" s="64" t="inlineStr">
        <is>
          <t>Paramount, New Republic Pictures, Marv Films</t>
        </is>
      </c>
      <c r="N273" s="64" t="inlineStr">
        <is>
          <t>https://huggingface.co/datasets/HenryWaltson/TMDB-IMDB-Movies-Dataset</t>
        </is>
      </c>
      <c r="O273" s="64" t="inlineStr">
        <is>
          <t>https://huggingface.co/datasets/HenryWaltson/TMDB-IMDB-Movies-Dataset</t>
        </is>
      </c>
      <c r="P273" t="inlineStr">
        <is>
          <t>Taron Egerton</t>
        </is>
      </c>
      <c r="Q273" t="inlineStr">
        <is>
          <t>Jamie Bell</t>
        </is>
      </c>
      <c r="R273" t="inlineStr">
        <is>
          <t>Richard Madden</t>
        </is>
      </c>
      <c r="S273" t="inlineStr">
        <is>
          <t>Bryce Dallas Howard</t>
        </is>
      </c>
      <c r="T273" t="inlineStr">
        <is>
          <t>Gemma Jones</t>
        </is>
      </c>
      <c r="U273" s="71" t="n">
        <v>1</v>
      </c>
      <c r="V273" s="71" t="n">
        <v>1</v>
      </c>
      <c r="X273" s="82">
        <f>IFERROR(INDEX(Ratings!$E$5:$E$500,MATCH(A273,Ratings!$A$5:$A$500,0)),"")</f>
        <v/>
      </c>
      <c r="Y273" s="71">
        <f>IFERROR(INDEX(Ratings!$G$5:$G$500,MATCH(A273,Ratings!$A$5:$A$500,0)),"")</f>
        <v/>
      </c>
      <c r="Z273" s="83">
        <f>IFERROR(INDEX(Ratings!$I$5:$I$500,MATCH(A273,Ratings!$A$5:$A$500,0)),"")</f>
        <v/>
      </c>
    </row>
    <row r="274" ht="15.75" customHeight="1" s="95">
      <c r="A274" t="inlineStr">
        <is>
          <t>F0270</t>
        </is>
      </c>
      <c r="B274" t="inlineStr">
        <is>
          <t>Rush</t>
        </is>
      </c>
      <c r="C274" s="63" t="inlineStr">
        <is>
          <t>2013</t>
        </is>
      </c>
      <c r="D274" t="inlineStr">
        <is>
          <t>Blu-ray</t>
        </is>
      </c>
      <c r="F274" s="64" t="n"/>
      <c r="I274" s="64" t="inlineStr">
        <is>
          <t>In the 1970s, a rivalry propels race car drivers Niki Lauda and James Hunt to fame and glory — until a horrible accident threatens to end it all.</t>
        </is>
      </c>
      <c r="J274" s="64" t="inlineStr">
        <is>
          <t>Ron Howard</t>
        </is>
      </c>
      <c r="K274" s="64" t="n">
        <v>123</v>
      </c>
      <c r="L274" s="64" t="inlineStr">
        <is>
          <t>Drama, Action</t>
        </is>
      </c>
      <c r="M274" s="64" t="inlineStr">
        <is>
          <t>Revolution Films, Working Title Films, Imagine Entertainment</t>
        </is>
      </c>
      <c r="N274" s="64" t="inlineStr">
        <is>
          <t>https://huggingface.co/datasets/HenryWaltson/TMDB-IMDB-Movies-Dataset</t>
        </is>
      </c>
      <c r="O274" s="64" t="inlineStr">
        <is>
          <t>https://huggingface.co/datasets/HenryWaltson/TMDB-IMDB-Movies-Dataset</t>
        </is>
      </c>
      <c r="P274" t="inlineStr">
        <is>
          <t>Chris Hemsworth</t>
        </is>
      </c>
      <c r="Q274" t="inlineStr">
        <is>
          <t>Daniel Brühl</t>
        </is>
      </c>
      <c r="R274" t="inlineStr">
        <is>
          <t>Olivia Wilde</t>
        </is>
      </c>
      <c r="S274" t="inlineStr">
        <is>
          <t>Alexandra Maria Lara</t>
        </is>
      </c>
      <c r="T274" t="inlineStr">
        <is>
          <t>Pierfrancesco Favino</t>
        </is>
      </c>
      <c r="U274" s="71" t="n">
        <v>0</v>
      </c>
      <c r="V274" s="71" t="n">
        <v>0</v>
      </c>
      <c r="X274" s="82">
        <f>IFERROR(INDEX(Ratings!$E$5:$E$500,MATCH(A274,Ratings!$A$5:$A$500,0)),"")</f>
        <v/>
      </c>
      <c r="Y274" s="71">
        <f>IFERROR(INDEX(Ratings!$G$5:$G$500,MATCH(A274,Ratings!$A$5:$A$500,0)),"")</f>
        <v/>
      </c>
      <c r="Z274" s="83">
        <f>IFERROR(INDEX(Ratings!$I$5:$I$500,MATCH(A274,Ratings!$A$5:$A$500,0)),"")</f>
        <v/>
      </c>
    </row>
    <row r="275" ht="15.75" customHeight="1" s="95">
      <c r="A275" t="inlineStr">
        <is>
          <t>F0271</t>
        </is>
      </c>
      <c r="B275" t="inlineStr">
        <is>
          <t>Rush Hour 3</t>
        </is>
      </c>
      <c r="C275" s="63" t="inlineStr">
        <is>
          <t>2007</t>
        </is>
      </c>
      <c r="D275" t="inlineStr">
        <is>
          <t>Blu-ray</t>
        </is>
      </c>
      <c r="F275" s="64" t="n"/>
      <c r="I275" s="64" t="inlineStr">
        <is>
          <t>After a botched assassination attempt, the mismatched duo finds themselves in Paris, struggling to retrieve a precious list of names, as the murderous crime syndicate's henchmen try their best to stop them. Once more, Lee and Carter must fight their way through dangerous gangsters; however, this time, the past has come back to haunt Lee. Will the boys get the job done once and for all?</t>
        </is>
      </c>
      <c r="J275" s="64" t="inlineStr">
        <is>
          <t>Brett Ratner</t>
        </is>
      </c>
      <c r="K275" s="64" t="n">
        <v>91</v>
      </c>
      <c r="L275" s="64" t="inlineStr">
        <is>
          <t>Action, Comedy, Crime</t>
        </is>
      </c>
      <c r="M275" s="64" t="inlineStr">
        <is>
          <t>New Line Cinema, Roger Birnbaum Productions, Arthur Sarkissian Productions</t>
        </is>
      </c>
      <c r="N275" s="64" t="inlineStr">
        <is>
          <t>https://huggingface.co/datasets/HenryWaltson/TMDB-IMDB-Movies-Dataset</t>
        </is>
      </c>
      <c r="O275" s="64" t="inlineStr">
        <is>
          <t>https://huggingface.co/datasets/HenryWaltson/TMDB-IMDB-Movies-Dataset</t>
        </is>
      </c>
      <c r="P275" t="inlineStr">
        <is>
          <t>Jackie Chan</t>
        </is>
      </c>
      <c r="Q275" t="inlineStr">
        <is>
          <t>Chris Tucker</t>
        </is>
      </c>
      <c r="R275" t="inlineStr">
        <is>
          <t>Hiroyuki Sanada</t>
        </is>
      </c>
      <c r="S275" t="inlineStr">
        <is>
          <t>Max von Sydow</t>
        </is>
      </c>
      <c r="T275" t="inlineStr">
        <is>
          <t>Yvan Attal</t>
        </is>
      </c>
      <c r="U275" s="71" t="n">
        <v>0</v>
      </c>
      <c r="V275" s="71" t="n">
        <v>0</v>
      </c>
      <c r="X275" s="82">
        <f>IFERROR(INDEX(Ratings!$E$5:$E$500,MATCH(A275,Ratings!$A$5:$A$500,0)),"")</f>
        <v/>
      </c>
      <c r="Y275" s="71">
        <f>IFERROR(INDEX(Ratings!$G$5:$G$500,MATCH(A275,Ratings!$A$5:$A$500,0)),"")</f>
        <v/>
      </c>
      <c r="Z275" s="83">
        <f>IFERROR(INDEX(Ratings!$I$5:$I$500,MATCH(A275,Ratings!$A$5:$A$500,0)),"")</f>
        <v/>
      </c>
    </row>
    <row r="276" ht="15.75" customHeight="1" s="95">
      <c r="A276" t="inlineStr">
        <is>
          <t>F0272</t>
        </is>
      </c>
      <c r="B276" t="inlineStr">
        <is>
          <t>Safe House</t>
        </is>
      </c>
      <c r="C276" s="63" t="inlineStr">
        <is>
          <t>2012</t>
        </is>
      </c>
      <c r="D276" t="inlineStr">
        <is>
          <t>Blu-ray</t>
        </is>
      </c>
      <c r="F276" s="64" t="n"/>
      <c r="I276" s="64" t="inlineStr">
        <is>
          <t>A dangerous CIA renegade resurfaces after a decade on the run. When the safe house he's remanded to is attacked by mercenaries, a rookie operative escapes with him. Now, the unlikely allies must stay alive long enough to uncover who wants them dead.</t>
        </is>
      </c>
      <c r="J276" s="64" t="inlineStr">
        <is>
          <t>Daniel Espinosa</t>
        </is>
      </c>
      <c r="K276" s="64" t="n">
        <v>115</v>
      </c>
      <c r="L276" s="64" t="inlineStr">
        <is>
          <t>Action, Thriller</t>
        </is>
      </c>
      <c r="M276" s="64" t="inlineStr">
        <is>
          <t>Universal Pictures, Relativity Media, Bluegrass Films</t>
        </is>
      </c>
      <c r="N276" s="64" t="inlineStr">
        <is>
          <t>https://huggingface.co/datasets/HenryWaltson/TMDB-IMDB-Movies-Dataset</t>
        </is>
      </c>
      <c r="O276" s="64" t="inlineStr">
        <is>
          <t>https://huggingface.co/datasets/HenryWaltson/TMDB-IMDB-Movies-Dataset</t>
        </is>
      </c>
      <c r="P276" t="inlineStr">
        <is>
          <t>Denzel Washington</t>
        </is>
      </c>
      <c r="Q276" t="inlineStr">
        <is>
          <t>Ryan Reynolds</t>
        </is>
      </c>
      <c r="R276" t="inlineStr">
        <is>
          <t>Vera Farmiga</t>
        </is>
      </c>
      <c r="S276" t="inlineStr">
        <is>
          <t>Brendan Gleeson</t>
        </is>
      </c>
      <c r="T276" t="inlineStr">
        <is>
          <t>Sam Shepard</t>
        </is>
      </c>
      <c r="U276" s="71" t="n">
        <v>0</v>
      </c>
      <c r="V276" s="71" t="n">
        <v>0</v>
      </c>
      <c r="X276" s="82">
        <f>IFERROR(INDEX(Ratings!$E$5:$E$500,MATCH(A276,Ratings!$A$5:$A$500,0)),"")</f>
        <v/>
      </c>
      <c r="Y276" s="71">
        <f>IFERROR(INDEX(Ratings!$G$5:$G$500,MATCH(A276,Ratings!$A$5:$A$500,0)),"")</f>
        <v/>
      </c>
      <c r="Z276" s="83">
        <f>IFERROR(INDEX(Ratings!$I$5:$I$500,MATCH(A276,Ratings!$A$5:$A$500,0)),"")</f>
        <v/>
      </c>
    </row>
    <row r="277" ht="15.75" customHeight="1" s="95">
      <c r="A277" t="inlineStr">
        <is>
          <t>F0273</t>
        </is>
      </c>
      <c r="B277" t="inlineStr">
        <is>
          <t>Salt</t>
        </is>
      </c>
      <c r="C277" s="63" t="inlineStr">
        <is>
          <t>2010</t>
        </is>
      </c>
      <c r="D277" t="inlineStr">
        <is>
          <t>Blu-ray</t>
        </is>
      </c>
      <c r="F277" s="64" t="n"/>
      <c r="I277" s="64" t="inlineStr">
        <is>
          <t>As a CIA officer, Evelyn Salt swore an oath to duty, honor, and country. Her loyalty will be tested when a Russian defector accuses her of being a Russian sleeper spy. She goes on the run, using all her skills and years of experience as a covert operative to elude capture, protect her husband, and stay one step ahead of her colleagues at the CIA. Her efforts to prove her innocence only serve to cast doubt on her motives, as the hunt to uncover the truth behind her identity continues and the question remains: "Who is Salt?"</t>
        </is>
      </c>
      <c r="J277" s="64" t="inlineStr">
        <is>
          <t>Phillip Noyce</t>
        </is>
      </c>
      <c r="K277" s="64" t="n">
        <v>100</v>
      </c>
      <c r="L277" s="64" t="inlineStr">
        <is>
          <t>Action, Mystery, Thriller</t>
        </is>
      </c>
      <c r="M277" s="64" t="inlineStr">
        <is>
          <t>Wintergreen Productions, Columbia Pictures, Relativity Media</t>
        </is>
      </c>
      <c r="N277" s="64" t="inlineStr">
        <is>
          <t>https://huggingface.co/datasets/HenryWaltson/TMDB-IMDB-Movies-Dataset</t>
        </is>
      </c>
      <c r="O277" s="64" t="inlineStr">
        <is>
          <t>https://huggingface.co/datasets/HenryWaltson/TMDB-IMDB-Movies-Dataset</t>
        </is>
      </c>
      <c r="P277" t="inlineStr">
        <is>
          <t>Angelina Jolie</t>
        </is>
      </c>
      <c r="Q277" t="inlineStr">
        <is>
          <t>Liev Schreiber</t>
        </is>
      </c>
      <c r="R277" t="inlineStr">
        <is>
          <t>Chiwetel Ejiofor</t>
        </is>
      </c>
      <c r="S277" t="inlineStr">
        <is>
          <t>Daniel Olbrychski</t>
        </is>
      </c>
      <c r="T277" t="inlineStr">
        <is>
          <t>August Diehl</t>
        </is>
      </c>
      <c r="U277" s="71" t="n">
        <v>1</v>
      </c>
      <c r="V277" s="71" t="n">
        <v>0</v>
      </c>
      <c r="X277" s="82">
        <f>IFERROR(INDEX(Ratings!$E$5:$E$500,MATCH(A277,Ratings!$A$5:$A$500,0)),"")</f>
        <v/>
      </c>
      <c r="Y277" s="71">
        <f>IFERROR(INDEX(Ratings!$G$5:$G$500,MATCH(A277,Ratings!$A$5:$A$500,0)),"")</f>
        <v/>
      </c>
      <c r="Z277" s="83">
        <f>IFERROR(INDEX(Ratings!$I$5:$I$500,MATCH(A277,Ratings!$A$5:$A$500,0)),"")</f>
        <v/>
      </c>
    </row>
    <row r="278" ht="15.75" customHeight="1" s="95">
      <c r="A278" t="inlineStr">
        <is>
          <t>F0274</t>
        </is>
      </c>
      <c r="B278" t="inlineStr">
        <is>
          <t>The Secret Life of Pets</t>
        </is>
      </c>
      <c r="C278" s="63" t="inlineStr">
        <is>
          <t>2016</t>
        </is>
      </c>
      <c r="D278" t="inlineStr">
        <is>
          <t>Blu-ray</t>
        </is>
      </c>
      <c r="F278" s="64" t="n"/>
      <c r="I278" s="64" t="inlineStr">
        <is>
          <t>The quiet life of a terrier named Max is upended when his owner takes in Duke, a stray whom Max instantly dislikes.</t>
        </is>
      </c>
      <c r="J278" s="64" t="inlineStr">
        <is>
          <t>Chris Renaud</t>
        </is>
      </c>
      <c r="K278" s="64" t="n">
        <v>86</v>
      </c>
      <c r="L278" s="64" t="inlineStr">
        <is>
          <t>Adventure, Comedy, Animation, Family</t>
        </is>
      </c>
      <c r="M278" s="64" t="inlineStr">
        <is>
          <t>Illumination, Universal Pictures</t>
        </is>
      </c>
      <c r="N278" s="64" t="inlineStr">
        <is>
          <t>https://huggingface.co/datasets/HenryWaltson/TMDB-IMDB-Movies-Dataset</t>
        </is>
      </c>
      <c r="O278" s="64" t="inlineStr">
        <is>
          <t>https://huggingface.co/datasets/HenryWaltson/TMDB-IMDB-Movies-Dataset</t>
        </is>
      </c>
      <c r="P278" t="inlineStr">
        <is>
          <t>Louis C.K.</t>
        </is>
      </c>
      <c r="Q278" t="inlineStr">
        <is>
          <t>Eric Stonestreet</t>
        </is>
      </c>
      <c r="R278" t="inlineStr">
        <is>
          <t>Kevin Hart</t>
        </is>
      </c>
      <c r="S278" t="inlineStr">
        <is>
          <t>Jenny Slate</t>
        </is>
      </c>
      <c r="T278" t="inlineStr">
        <is>
          <t>Ellie Kemper</t>
        </is>
      </c>
      <c r="U278" s="71" t="n">
        <v>0</v>
      </c>
      <c r="V278" s="71" t="n">
        <v>0</v>
      </c>
      <c r="X278" s="82">
        <f>IFERROR(INDEX(Ratings!$E$5:$E$500,MATCH(A278,Ratings!$A$5:$A$500,0)),"")</f>
        <v/>
      </c>
      <c r="Y278" s="71">
        <f>IFERROR(INDEX(Ratings!$G$5:$G$500,MATCH(A278,Ratings!$A$5:$A$500,0)),"")</f>
        <v/>
      </c>
      <c r="Z278" s="83">
        <f>IFERROR(INDEX(Ratings!$I$5:$I$500,MATCH(A278,Ratings!$A$5:$A$500,0)),"")</f>
        <v/>
      </c>
    </row>
    <row r="279" ht="15.75" customHeight="1" s="95">
      <c r="A279" t="inlineStr">
        <is>
          <t>F0275</t>
        </is>
      </c>
      <c r="B279" t="inlineStr">
        <is>
          <t>Senna</t>
        </is>
      </c>
      <c r="C279" s="63" t="inlineStr">
        <is>
          <t>2010</t>
        </is>
      </c>
      <c r="D279" t="inlineStr">
        <is>
          <t>Blu-ray</t>
        </is>
      </c>
      <c r="F279" s="64" t="n"/>
      <c r="I279" s="64" t="inlineStr">
        <is>
          <t>The remarkable story of Brazilian racing driver Ayrton Senna, charting his physical and spiritual achievements on the track and off, his quest for perfection, and the mythical status he has since attained, is the subject of Senna, a documentary feature that spans the racing legend's years as an F1 driver, from his opening season in 1984 to his untimely death a decade later.</t>
        </is>
      </c>
      <c r="J279" s="64" t="inlineStr">
        <is>
          <t>Asif Kapadia</t>
        </is>
      </c>
      <c r="K279" s="64" t="n">
        <v>106</v>
      </c>
      <c r="L279" s="64" t="inlineStr">
        <is>
          <t>Documentary, History</t>
        </is>
      </c>
      <c r="M279" s="64" t="inlineStr">
        <is>
          <t>Universal Pictures, StudioCanal, Working Title Films</t>
        </is>
      </c>
      <c r="N279" s="64" t="inlineStr">
        <is>
          <t>https://huggingface.co/datasets/HenryWaltson/TMDB-IMDB-Movies-Dataset</t>
        </is>
      </c>
      <c r="O279" s="64" t="inlineStr">
        <is>
          <t>https://huggingface.co/datasets/HenryWaltson/TMDB-IMDB-Movies-Dataset</t>
        </is>
      </c>
      <c r="P279" t="inlineStr">
        <is>
          <t>Ayrton Senna</t>
        </is>
      </c>
      <c r="Q279" t="inlineStr">
        <is>
          <t>Alain Prost</t>
        </is>
      </c>
      <c r="R279" t="inlineStr">
        <is>
          <t>Frank Williams</t>
        </is>
      </c>
      <c r="S279" t="inlineStr">
        <is>
          <t>Ron Dennis</t>
        </is>
      </c>
      <c r="T279" t="inlineStr">
        <is>
          <t>Viviane Senna</t>
        </is>
      </c>
      <c r="U279" s="71" t="n">
        <v>0</v>
      </c>
      <c r="V279" s="71" t="n">
        <v>0</v>
      </c>
      <c r="X279" s="82">
        <f>IFERROR(INDEX(Ratings!$E$5:$E$500,MATCH(A279,Ratings!$A$5:$A$500,0)),"")</f>
        <v/>
      </c>
      <c r="Y279" s="71">
        <f>IFERROR(INDEX(Ratings!$G$5:$G$500,MATCH(A279,Ratings!$A$5:$A$500,0)),"")</f>
        <v/>
      </c>
      <c r="Z279" s="83">
        <f>IFERROR(INDEX(Ratings!$I$5:$I$500,MATCH(A279,Ratings!$A$5:$A$500,0)),"")</f>
        <v/>
      </c>
    </row>
    <row r="280" ht="15.75" customHeight="1" s="95">
      <c r="A280" t="inlineStr">
        <is>
          <t>F0276</t>
        </is>
      </c>
      <c r="B280" t="inlineStr">
        <is>
          <t>Se7en</t>
        </is>
      </c>
      <c r="C280" s="63" t="inlineStr">
        <is>
          <t>1995</t>
        </is>
      </c>
      <c r="D280" t="inlineStr">
        <is>
          <t>Blu-ray</t>
        </is>
      </c>
      <c r="F280" s="64" t="n"/>
      <c r="I280" s="64" t="inlineStr">
        <is>
          <t>Two homicide detectives are on a desperate hunt for a serial killer whose crimes are based on the "seven deadly sins" in this dark and haunting film that takes viewers from the tortured remains of one victim to the next. The seasoned Det. Somerset researches each sin in an effort to get inside the killer's mind, while his novice partner, Mills, scoffs at his efforts to unravel the case.</t>
        </is>
      </c>
      <c r="J280" s="64" t="inlineStr">
        <is>
          <t>David Fincher</t>
        </is>
      </c>
      <c r="K280" s="64" t="n">
        <v>127</v>
      </c>
      <c r="L280" s="64" t="inlineStr">
        <is>
          <t>Crime, Mystery, Thriller</t>
        </is>
      </c>
      <c r="M280" s="64" t="inlineStr">
        <is>
          <t>New Line Cinema, Juno Pix, Cecchi Gori Pictures</t>
        </is>
      </c>
      <c r="N280" s="64" t="inlineStr">
        <is>
          <t>https://huggingface.co/datasets/HenryWaltson/TMDB-IMDB-Movies-Dataset</t>
        </is>
      </c>
      <c r="O280" s="64" t="inlineStr">
        <is>
          <t>https://huggingface.co/datasets/HenryWaltson/TMDB-IMDB-Movies-Dataset</t>
        </is>
      </c>
      <c r="P280" t="inlineStr">
        <is>
          <t>Morgan Freeman</t>
        </is>
      </c>
      <c r="Q280" t="inlineStr">
        <is>
          <t>Brad Pitt</t>
        </is>
      </c>
      <c r="R280" t="inlineStr">
        <is>
          <t>Gwyneth Paltrow</t>
        </is>
      </c>
      <c r="S280" t="inlineStr">
        <is>
          <t>John Cassini</t>
        </is>
      </c>
      <c r="T280" t="inlineStr">
        <is>
          <t>Peter Crombie</t>
        </is>
      </c>
      <c r="U280" s="71" t="n">
        <v>1</v>
      </c>
      <c r="V280" s="71" t="n">
        <v>0</v>
      </c>
      <c r="X280" s="82">
        <f>IFERROR(INDEX(Ratings!$E$5:$E$500,MATCH(A280,Ratings!$A$5:$A$500,0)),"")</f>
        <v/>
      </c>
      <c r="Y280" s="71">
        <f>IFERROR(INDEX(Ratings!$G$5:$G$500,MATCH(A280,Ratings!$A$5:$A$500,0)),"")</f>
        <v/>
      </c>
      <c r="Z280" s="83">
        <f>IFERROR(INDEX(Ratings!$I$5:$I$500,MATCH(A280,Ratings!$A$5:$A$500,0)),"")</f>
        <v/>
      </c>
    </row>
    <row r="281" ht="15.75" customHeight="1" s="95">
      <c r="A281" t="inlineStr">
        <is>
          <t>F0277</t>
        </is>
      </c>
      <c r="B281" t="inlineStr">
        <is>
          <t>Sex &amp; Drugs &amp; Rock &amp; Roll</t>
        </is>
      </c>
      <c r="C281" s="63" t="inlineStr">
        <is>
          <t>2010</t>
        </is>
      </c>
      <c r="D281" t="inlineStr">
        <is>
          <t>Blu-ray</t>
        </is>
      </c>
      <c r="F281" s="64" t="n"/>
      <c r="I281" s="64" t="inlineStr">
        <is>
          <t>A biography of Ian Dury, who was stricken with polio at a young age and defied expectations by becoming one of the founders of the punk-rock scene in Britain in the 1970s.</t>
        </is>
      </c>
      <c r="J281" s="64" t="inlineStr">
        <is>
          <t>Mat Whitecross</t>
        </is>
      </c>
      <c r="K281" s="64" t="n">
        <v>115</v>
      </c>
      <c r="L281" s="64" t="inlineStr">
        <is>
          <t>Drama, Music</t>
        </is>
      </c>
      <c r="M281" s="64" t="inlineStr">
        <is>
          <t>Prescience Film Fund, UK Film Council</t>
        </is>
      </c>
      <c r="N281" s="64" t="inlineStr">
        <is>
          <t>https://huggingface.co/datasets/HenryWaltson/TMDB-IMDB-Movies-Dataset</t>
        </is>
      </c>
      <c r="O281" s="64" t="inlineStr">
        <is>
          <t>https://huggingface.co/datasets/HenryWaltson/TMDB-IMDB-Movies-Dataset</t>
        </is>
      </c>
      <c r="P281" t="inlineStr">
        <is>
          <t>Andy Serkis</t>
        </is>
      </c>
      <c r="Q281" t="inlineStr">
        <is>
          <t>Tom Hughes</t>
        </is>
      </c>
      <c r="R281" t="inlineStr">
        <is>
          <t>Olivia Williams</t>
        </is>
      </c>
      <c r="S281" t="inlineStr">
        <is>
          <t>Naomie Harris</t>
        </is>
      </c>
      <c r="T281" t="inlineStr">
        <is>
          <t>Bill Milner</t>
        </is>
      </c>
      <c r="U281" s="71" t="n">
        <v>0</v>
      </c>
      <c r="V281" s="71" t="n">
        <v>0</v>
      </c>
      <c r="X281" s="82">
        <f>IFERROR(INDEX(Ratings!$E$5:$E$500,MATCH(A281,Ratings!$A$5:$A$500,0)),"")</f>
        <v/>
      </c>
      <c r="Y281" s="71">
        <f>IFERROR(INDEX(Ratings!$G$5:$G$500,MATCH(A281,Ratings!$A$5:$A$500,0)),"")</f>
        <v/>
      </c>
      <c r="Z281" s="83">
        <f>IFERROR(INDEX(Ratings!$I$5:$I$500,MATCH(A281,Ratings!$A$5:$A$500,0)),"")</f>
        <v/>
      </c>
    </row>
    <row r="282" ht="15.75" customHeight="1" s="95">
      <c r="A282" t="inlineStr">
        <is>
          <t>F0278</t>
        </is>
      </c>
      <c r="B282" t="inlineStr">
        <is>
          <t>Sherlock Holmes</t>
        </is>
      </c>
      <c r="C282" s="63" t="inlineStr">
        <is>
          <t>2009</t>
        </is>
      </c>
      <c r="D282" t="inlineStr">
        <is>
          <t>Blu-ray</t>
        </is>
      </c>
      <c r="E282" t="inlineStr">
        <is>
          <t>Sherlock Holmes</t>
        </is>
      </c>
      <c r="F282" s="64" t="n"/>
      <c r="I282" s="64" t="inlineStr">
        <is>
          <t>Eccentric consulting detective Sherlock Holmes and Doctor John Watson battle to bring down a new nemesis and unravel a deadly plot that could destroy England.</t>
        </is>
      </c>
      <c r="J282" s="64" t="inlineStr">
        <is>
          <t>Guy Ritchie</t>
        </is>
      </c>
      <c r="K282" s="64" t="n">
        <v>129</v>
      </c>
      <c r="L282" s="64" t="inlineStr">
        <is>
          <t>Action, Adventure, Crime, Mystery</t>
        </is>
      </c>
      <c r="M282" s="64" t="inlineStr">
        <is>
          <t>Warner Bros. Pictures, Village Roadshow Pictures, Silver Pictures</t>
        </is>
      </c>
      <c r="N282" s="64" t="inlineStr">
        <is>
          <t>https://huggingface.co/datasets/HenryWaltson/TMDB-IMDB-Movies-Dataset</t>
        </is>
      </c>
      <c r="O282" s="64" t="inlineStr">
        <is>
          <t>https://huggingface.co/datasets/HenryWaltson/TMDB-IMDB-Movies-Dataset</t>
        </is>
      </c>
      <c r="P282" t="inlineStr">
        <is>
          <t>Robert Downey Jr.</t>
        </is>
      </c>
      <c r="Q282" t="inlineStr">
        <is>
          <t>Jude Law</t>
        </is>
      </c>
      <c r="R282" t="inlineStr">
        <is>
          <t>Rachel McAdams</t>
        </is>
      </c>
      <c r="S282" t="inlineStr">
        <is>
          <t>Mark Strong</t>
        </is>
      </c>
      <c r="T282" t="inlineStr">
        <is>
          <t>Eddie Marsan</t>
        </is>
      </c>
      <c r="U282" s="71" t="n">
        <v>2</v>
      </c>
      <c r="V282" s="71" t="n">
        <v>0</v>
      </c>
      <c r="X282" s="82">
        <f>IFERROR(INDEX(Ratings!$E$5:$E$500,MATCH(A282,Ratings!$A$5:$A$500,0)),"")</f>
        <v/>
      </c>
      <c r="Y282" s="71">
        <f>IFERROR(INDEX(Ratings!$G$5:$G$500,MATCH(A282,Ratings!$A$5:$A$500,0)),"")</f>
        <v/>
      </c>
      <c r="Z282" s="83">
        <f>IFERROR(INDEX(Ratings!$I$5:$I$500,MATCH(A282,Ratings!$A$5:$A$500,0)),"")</f>
        <v/>
      </c>
    </row>
    <row r="283" ht="15.75" customHeight="1" s="95">
      <c r="A283" t="inlineStr">
        <is>
          <t>F0279</t>
        </is>
      </c>
      <c r="B283" t="inlineStr">
        <is>
          <t>Sherlock Holmes: A Game of Shadows</t>
        </is>
      </c>
      <c r="C283" s="63" t="inlineStr">
        <is>
          <t>2011</t>
        </is>
      </c>
      <c r="D283" t="inlineStr">
        <is>
          <t>Blu-ray</t>
        </is>
      </c>
      <c r="E283" t="inlineStr">
        <is>
          <t>Sherlock Holmes</t>
        </is>
      </c>
      <c r="F283" s="64" t="n"/>
      <c r="I283" s="64" t="inlineStr">
        <is>
          <t>There is a new criminal mastermind at large (Professor Moriarty) and not only is he Holmes’ intellectual equal, but his capacity for evil and lack of conscience may give him an advantage over the detective.</t>
        </is>
      </c>
      <c r="J283" s="64" t="inlineStr">
        <is>
          <t>Guy Ritchie</t>
        </is>
      </c>
      <c r="K283" s="64" t="n">
        <v>129</v>
      </c>
      <c r="L283" s="64" t="inlineStr">
        <is>
          <t>Adventure, Action, Crime</t>
        </is>
      </c>
      <c r="M283" s="64" t="inlineStr">
        <is>
          <t>Warner Bros. Pictures, Village Roadshow Pictures, Silver Pictures</t>
        </is>
      </c>
      <c r="N283" s="64" t="inlineStr">
        <is>
          <t>https://huggingface.co/datasets/HenryWaltson/TMDB-IMDB-Movies-Dataset</t>
        </is>
      </c>
      <c r="O283" s="64" t="inlineStr">
        <is>
          <t>https://huggingface.co/datasets/HenryWaltson/TMDB-IMDB-Movies-Dataset</t>
        </is>
      </c>
      <c r="P283" t="inlineStr">
        <is>
          <t>Robert Downey Jr.</t>
        </is>
      </c>
      <c r="Q283" t="inlineStr">
        <is>
          <t>Jude Law</t>
        </is>
      </c>
      <c r="R283" t="inlineStr">
        <is>
          <t>Noomi Rapace</t>
        </is>
      </c>
      <c r="S283" t="inlineStr">
        <is>
          <t>Jared Harris</t>
        </is>
      </c>
      <c r="T283" t="inlineStr">
        <is>
          <t>Rachel McAdams</t>
        </is>
      </c>
      <c r="U283" s="71" t="n">
        <v>0</v>
      </c>
      <c r="V283" s="71" t="n">
        <v>0</v>
      </c>
      <c r="X283" s="82">
        <f>IFERROR(INDEX(Ratings!$E$5:$E$500,MATCH(A283,Ratings!$A$5:$A$500,0)),"")</f>
        <v/>
      </c>
      <c r="Y283" s="71">
        <f>IFERROR(INDEX(Ratings!$G$5:$G$500,MATCH(A283,Ratings!$A$5:$A$500,0)),"")</f>
        <v/>
      </c>
      <c r="Z283" s="83">
        <f>IFERROR(INDEX(Ratings!$I$5:$I$500,MATCH(A283,Ratings!$A$5:$A$500,0)),"")</f>
        <v/>
      </c>
    </row>
    <row r="284" ht="15.75" customHeight="1" s="95">
      <c r="A284" t="inlineStr">
        <is>
          <t>F0280</t>
        </is>
      </c>
      <c r="B284" t="inlineStr">
        <is>
          <t>Sing</t>
        </is>
      </c>
      <c r="C284" s="63" t="inlineStr">
        <is>
          <t>2016</t>
        </is>
      </c>
      <c r="D284" t="inlineStr">
        <is>
          <t>Blu-ray</t>
        </is>
      </c>
      <c r="F284" s="64" t="n"/>
      <c r="I284" s="64" t="inlineStr">
        <is>
          <t>A koala named Buster recruits his best friend to help him drum up business for his theater by hosting a singing competition.</t>
        </is>
      </c>
      <c r="J284" s="64" t="inlineStr">
        <is>
          <t>Garth Jennings, Christophe Lourdelet</t>
        </is>
      </c>
      <c r="K284" s="64" t="n">
        <v>108</v>
      </c>
      <c r="L284" s="64" t="inlineStr">
        <is>
          <t>Animation, Comedy, Family, Music</t>
        </is>
      </c>
      <c r="M284" s="64" t="inlineStr">
        <is>
          <t>Illumination, Universal Pictures, Fuji Television Network</t>
        </is>
      </c>
      <c r="N284" s="64" t="inlineStr">
        <is>
          <t>https://huggingface.co/datasets/HenryWaltson/TMDB-IMDB-Movies-Dataset</t>
        </is>
      </c>
      <c r="O284" s="64" t="inlineStr">
        <is>
          <t>https://huggingface.co/datasets/HenryWaltson/TMDB-IMDB-Movies-Dataset</t>
        </is>
      </c>
      <c r="P284" t="inlineStr">
        <is>
          <t>Matthew McConaughey</t>
        </is>
      </c>
      <c r="Q284" t="inlineStr">
        <is>
          <t>Reese Witherspoon</t>
        </is>
      </c>
      <c r="R284" t="inlineStr">
        <is>
          <t>Seth MacFarlane</t>
        </is>
      </c>
      <c r="S284" t="inlineStr">
        <is>
          <t>Scarlett Johansson</t>
        </is>
      </c>
      <c r="T284" t="inlineStr">
        <is>
          <t>John C. Reilly</t>
        </is>
      </c>
      <c r="U284" s="71" t="n">
        <v>1</v>
      </c>
      <c r="V284" s="71" t="n">
        <v>1</v>
      </c>
      <c r="X284" s="82">
        <f>IFERROR(INDEX(Ratings!$E$5:$E$500,MATCH(A284,Ratings!$A$5:$A$500,0)),"")</f>
        <v/>
      </c>
      <c r="Y284" s="71">
        <f>IFERROR(INDEX(Ratings!$G$5:$G$500,MATCH(A284,Ratings!$A$5:$A$500,0)),"")</f>
        <v/>
      </c>
      <c r="Z284" s="83">
        <f>IFERROR(INDEX(Ratings!$I$5:$I$500,MATCH(A284,Ratings!$A$5:$A$500,0)),"")</f>
        <v/>
      </c>
    </row>
    <row r="285" ht="15.75" customHeight="1" s="95">
      <c r="A285" t="inlineStr">
        <is>
          <t>F0281</t>
        </is>
      </c>
      <c r="B285" t="inlineStr">
        <is>
          <t>Slumdog Millionaire</t>
        </is>
      </c>
      <c r="C285" s="63" t="inlineStr">
        <is>
          <t>2008</t>
        </is>
      </c>
      <c r="D285" t="inlineStr">
        <is>
          <t>Blu-ray</t>
        </is>
      </c>
      <c r="F285" s="64" t="n"/>
      <c r="I285" s="64" t="inlineStr">
        <is>
          <t>A teenager reflects on his life after being accused of cheating on the Indian version of "Who Wants to be a Millionaire?".</t>
        </is>
      </c>
      <c r="J285" s="64" t="inlineStr">
        <is>
          <t>Danny Boyle, Loveleen Tandan</t>
        </is>
      </c>
      <c r="K285" s="64" t="n">
        <v>120</v>
      </c>
      <c r="L285" s="64" t="inlineStr">
        <is>
          <t>Drama, Romance</t>
        </is>
      </c>
      <c r="M285" s="64" t="inlineStr">
        <is>
          <t>Celador Films, Film4 Productions</t>
        </is>
      </c>
      <c r="N285" s="64" t="inlineStr">
        <is>
          <t>https://huggingface.co/datasets/HenryWaltson/TMDB-IMDB-Movies-Dataset</t>
        </is>
      </c>
      <c r="O285" s="64" t="inlineStr">
        <is>
          <t>https://huggingface.co/datasets/HenryWaltson/TMDB-IMDB-Movies-Dataset</t>
        </is>
      </c>
      <c r="P285" t="inlineStr">
        <is>
          <t>Dev Patel</t>
        </is>
      </c>
      <c r="Q285" t="inlineStr">
        <is>
          <t>Freida Pinto</t>
        </is>
      </c>
      <c r="R285" t="inlineStr">
        <is>
          <t>Madhur Mittal</t>
        </is>
      </c>
      <c r="S285" t="inlineStr">
        <is>
          <t>Anil Kapoor</t>
        </is>
      </c>
      <c r="T285" t="inlineStr">
        <is>
          <t>Mahesh Manjrekar</t>
        </is>
      </c>
      <c r="U285" s="71" t="n">
        <v>10</v>
      </c>
      <c r="V285" s="71" t="n">
        <v>8</v>
      </c>
      <c r="W285" t="inlineStr">
        <is>
          <t>Winner</t>
        </is>
      </c>
      <c r="X285" s="82">
        <f>IFERROR(INDEX(Ratings!$E$5:$E$500,MATCH(A285,Ratings!$A$5:$A$500,0)),"")</f>
        <v/>
      </c>
      <c r="Y285" s="71">
        <f>IFERROR(INDEX(Ratings!$G$5:$G$500,MATCH(A285,Ratings!$A$5:$A$500,0)),"")</f>
        <v/>
      </c>
      <c r="Z285" s="83">
        <f>IFERROR(INDEX(Ratings!$I$5:$I$500,MATCH(A285,Ratings!$A$5:$A$500,0)),"")</f>
        <v/>
      </c>
    </row>
    <row r="286" ht="15.75" customHeight="1" s="95">
      <c r="A286" t="inlineStr">
        <is>
          <t>F0282</t>
        </is>
      </c>
      <c r="B286" t="inlineStr">
        <is>
          <t>The Smurfs 2</t>
        </is>
      </c>
      <c r="C286" s="63" t="inlineStr">
        <is>
          <t>2013</t>
        </is>
      </c>
      <c r="D286" t="inlineStr">
        <is>
          <t>Blu-ray</t>
        </is>
      </c>
      <c r="F286" s="64" t="n"/>
      <c r="I286" s="64" t="inlineStr">
        <is>
          <t>The evil wizard Gargamel creates a couple of mischievous Smurf-like creatures called the Naughties that he hopes will let him harness the all-powerful, magical Smurf-essence. But when he discovers that only a real Smurf can give him what he wants, and only a secret spell that Smurfette knows can turn the Naughties into real Smurfs, Gargamel kidnaps Smurfette and brings her to Paris, where he has been winning the adoration of millions as the world¹s greatest sorcerer. It's up to Papa, Clumsy, Grouchy, and Vanity to return to our world, reunite with their human friends Patrick and Grace Winslow, and rescue her! Will Smurfette, who has always felt different from the other Smurfs, find a new connection with the Naughties Vexy and Hackus or will the Smurfs convince her that their love for her is True Blue?</t>
        </is>
      </c>
      <c r="J286" s="64" t="inlineStr">
        <is>
          <t>Raja Gosnell</t>
        </is>
      </c>
      <c r="K286" s="64" t="n">
        <v>105</v>
      </c>
      <c r="L286" s="64" t="inlineStr">
        <is>
          <t>Fantasy, Family, Comedy, Animation</t>
        </is>
      </c>
      <c r="M286" s="64" t="inlineStr">
        <is>
          <t>NeoReel, Columbia Pictures, Sony Pictures Animation</t>
        </is>
      </c>
      <c r="N286" s="64" t="inlineStr">
        <is>
          <t>https://huggingface.co/datasets/HenryWaltson/TMDB-IMDB-Movies-Dataset</t>
        </is>
      </c>
      <c r="O286" s="64" t="inlineStr">
        <is>
          <t>https://huggingface.co/datasets/HenryWaltson/TMDB-IMDB-Movies-Dataset</t>
        </is>
      </c>
      <c r="P286" t="inlineStr">
        <is>
          <t>Hank Azaria</t>
        </is>
      </c>
      <c r="Q286" t="inlineStr">
        <is>
          <t>Neil Patrick Harris</t>
        </is>
      </c>
      <c r="R286" t="inlineStr">
        <is>
          <t>Jayma Mays</t>
        </is>
      </c>
      <c r="S286" t="inlineStr">
        <is>
          <t>Brendan Gleeson</t>
        </is>
      </c>
      <c r="T286" t="inlineStr">
        <is>
          <t>Katy Perry</t>
        </is>
      </c>
      <c r="U286" s="71" t="n">
        <v>0</v>
      </c>
      <c r="V286" s="71" t="n">
        <v>0</v>
      </c>
      <c r="X286" s="82">
        <f>IFERROR(INDEX(Ratings!$E$5:$E$500,MATCH(A286,Ratings!$A$5:$A$500,0)),"")</f>
        <v/>
      </c>
      <c r="Y286" s="71">
        <f>IFERROR(INDEX(Ratings!$G$5:$G$500,MATCH(A286,Ratings!$A$5:$A$500,0)),"")</f>
        <v/>
      </c>
      <c r="Z286" s="83">
        <f>IFERROR(INDEX(Ratings!$I$5:$I$500,MATCH(A286,Ratings!$A$5:$A$500,0)),"")</f>
        <v/>
      </c>
    </row>
    <row r="287" ht="15.75" customHeight="1" s="95">
      <c r="A287" t="inlineStr">
        <is>
          <t>F0283</t>
        </is>
      </c>
      <c r="B287" t="inlineStr">
        <is>
          <t>Snowpiercer</t>
        </is>
      </c>
      <c r="C287" s="63" t="inlineStr">
        <is>
          <t>2013</t>
        </is>
      </c>
      <c r="D287" t="inlineStr">
        <is>
          <t>Blu-ray</t>
        </is>
      </c>
      <c r="F287" s="64" t="n"/>
      <c r="I287" s="64" t="inlineStr">
        <is>
          <t>In a future where a failed global-warming experiment kills off most life on the planet, a class system evolves aboard the Snowpiercer; a train that travels around the globe via a perpetual-motion engine.</t>
        </is>
      </c>
      <c r="J287" s="64" t="inlineStr">
        <is>
          <t>Bong Joon Ho</t>
        </is>
      </c>
      <c r="K287" s="64" t="n">
        <v>127</v>
      </c>
      <c r="L287" s="64" t="inlineStr">
        <is>
          <t>Action, Science Fiction, Drama</t>
        </is>
      </c>
      <c r="M287" s="64" t="inlineStr">
        <is>
          <t>CJ Entertainment, Opus Pictures, Stillking Films</t>
        </is>
      </c>
      <c r="N287" s="64" t="inlineStr">
        <is>
          <t>https://huggingface.co/datasets/HenryWaltson/TMDB-IMDB-Movies-Dataset</t>
        </is>
      </c>
      <c r="O287" s="64" t="inlineStr">
        <is>
          <t>https://huggingface.co/datasets/HenryWaltson/TMDB-IMDB-Movies-Dataset</t>
        </is>
      </c>
      <c r="P287" t="inlineStr">
        <is>
          <t>Chris Evans</t>
        </is>
      </c>
      <c r="Q287" t="inlineStr">
        <is>
          <t>Song Kang-ho</t>
        </is>
      </c>
      <c r="R287" t="inlineStr">
        <is>
          <t>John Hurt</t>
        </is>
      </c>
      <c r="S287" t="inlineStr">
        <is>
          <t>Tilda Swinton</t>
        </is>
      </c>
      <c r="T287" t="inlineStr">
        <is>
          <t>Jamie Bell</t>
        </is>
      </c>
      <c r="U287" s="71" t="n">
        <v>0</v>
      </c>
      <c r="V287" s="71" t="n">
        <v>0</v>
      </c>
      <c r="X287" s="82">
        <f>IFERROR(INDEX(Ratings!$E$5:$E$500,MATCH(A287,Ratings!$A$5:$A$500,0)),"")</f>
        <v/>
      </c>
      <c r="Y287" s="71">
        <f>IFERROR(INDEX(Ratings!$G$5:$G$500,MATCH(A287,Ratings!$A$5:$A$500,0)),"")</f>
        <v/>
      </c>
      <c r="Z287" s="83">
        <f>IFERROR(INDEX(Ratings!$I$5:$I$500,MATCH(A287,Ratings!$A$5:$A$500,0)),"")</f>
        <v/>
      </c>
    </row>
    <row r="288" ht="15.75" customHeight="1" s="95">
      <c r="A288" t="inlineStr">
        <is>
          <t>F0284</t>
        </is>
      </c>
      <c r="B288" t="inlineStr">
        <is>
          <t>Snow White and the Huntsman</t>
        </is>
      </c>
      <c r="C288" s="63" t="inlineStr">
        <is>
          <t>2012</t>
        </is>
      </c>
      <c r="D288" t="inlineStr">
        <is>
          <t>Blu-ray</t>
        </is>
      </c>
      <c r="F288" s="64" t="n"/>
      <c r="I288" s="64" t="inlineStr">
        <is>
          <t>After the Evil Queen marries the King, she performs a violent coup in which the King is murdered and his daughter, Snow White, is taken captive. Almost a decade later, a grown Snow White is still in the clutches of the Queen. In order to obtain immortality, The Evil Queen needs the heart of Snow White. After Snow escapes the castle, the Queen sends the Huntsman to find her in the Dark Forest.</t>
        </is>
      </c>
      <c r="J288" s="64" t="inlineStr">
        <is>
          <t>Rupert Sanders</t>
        </is>
      </c>
      <c r="K288" s="64" t="n">
        <v>127</v>
      </c>
      <c r="L288" s="64" t="inlineStr">
        <is>
          <t>Adventure, Fantasy, Drama</t>
        </is>
      </c>
      <c r="M288" s="64" t="inlineStr">
        <is>
          <t>Universal Pictures, Roth Films</t>
        </is>
      </c>
      <c r="N288" s="64" t="inlineStr">
        <is>
          <t>https://huggingface.co/datasets/HenryWaltson/TMDB-IMDB-Movies-Dataset</t>
        </is>
      </c>
      <c r="O288" s="64" t="inlineStr">
        <is>
          <t>https://huggingface.co/datasets/HenryWaltson/TMDB-IMDB-Movies-Dataset</t>
        </is>
      </c>
      <c r="P288" t="inlineStr">
        <is>
          <t>Kristen Stewart</t>
        </is>
      </c>
      <c r="Q288" t="inlineStr">
        <is>
          <t>Chris Hemsworth</t>
        </is>
      </c>
      <c r="R288" t="inlineStr">
        <is>
          <t>Charlize Theron</t>
        </is>
      </c>
      <c r="S288" t="inlineStr">
        <is>
          <t>Sam Claflin</t>
        </is>
      </c>
      <c r="T288" t="inlineStr">
        <is>
          <t>Ian McShane</t>
        </is>
      </c>
      <c r="U288" s="71" t="n">
        <v>2</v>
      </c>
      <c r="V288" s="71" t="n">
        <v>0</v>
      </c>
      <c r="X288" s="82">
        <f>IFERROR(INDEX(Ratings!$E$5:$E$500,MATCH(A288,Ratings!$A$5:$A$500,0)),"")</f>
        <v/>
      </c>
      <c r="Y288" s="71">
        <f>IFERROR(INDEX(Ratings!$G$5:$G$500,MATCH(A288,Ratings!$A$5:$A$500,0)),"")</f>
        <v/>
      </c>
      <c r="Z288" s="83">
        <f>IFERROR(INDEX(Ratings!$I$5:$I$500,MATCH(A288,Ratings!$A$5:$A$500,0)),"")</f>
        <v/>
      </c>
    </row>
    <row r="289" ht="15.75" customHeight="1" s="95">
      <c r="A289" t="inlineStr">
        <is>
          <t>F0285</t>
        </is>
      </c>
      <c r="B289" t="inlineStr">
        <is>
          <t>Source Code</t>
        </is>
      </c>
      <c r="C289" s="63" t="inlineStr">
        <is>
          <t>2011</t>
        </is>
      </c>
      <c r="D289" t="inlineStr">
        <is>
          <t>Blu-ray</t>
        </is>
      </c>
      <c r="F289" s="64" t="n"/>
      <c r="I289" s="64" t="inlineStr">
        <is>
          <t>When decorated soldier Captain Colter Stevens wakes up in the body of an unknown man, he discovers he's part of a mission to find the bomber of a Chicago commuter train.</t>
        </is>
      </c>
      <c r="J289" s="64" t="inlineStr">
        <is>
          <t>Duncan Jones</t>
        </is>
      </c>
      <c r="K289" s="64" t="n">
        <v>94</v>
      </c>
      <c r="L289" s="64" t="inlineStr">
        <is>
          <t>Thriller, Science Fiction, Mystery</t>
        </is>
      </c>
      <c r="M289" s="64" t="inlineStr">
        <is>
          <t>The Mark Gordon Company, Vendôme Pictures, Summit Entertainment</t>
        </is>
      </c>
      <c r="N289" s="64" t="inlineStr">
        <is>
          <t>https://huggingface.co/datasets/HenryWaltson/TMDB-IMDB-Movies-Dataset</t>
        </is>
      </c>
      <c r="O289" s="64" t="inlineStr">
        <is>
          <t>https://huggingface.co/datasets/HenryWaltson/TMDB-IMDB-Movies-Dataset</t>
        </is>
      </c>
      <c r="P289" t="inlineStr">
        <is>
          <t>Jake Gyllenhaal</t>
        </is>
      </c>
      <c r="Q289" t="inlineStr">
        <is>
          <t>Michelle Monaghan</t>
        </is>
      </c>
      <c r="R289" t="inlineStr">
        <is>
          <t>Vera Farmiga</t>
        </is>
      </c>
      <c r="S289" t="inlineStr">
        <is>
          <t>Jeffrey Wright</t>
        </is>
      </c>
      <c r="T289" t="inlineStr">
        <is>
          <t>Michael Arden</t>
        </is>
      </c>
      <c r="U289" s="71" t="n">
        <v>0</v>
      </c>
      <c r="V289" s="71" t="n">
        <v>0</v>
      </c>
      <c r="X289" s="82">
        <f>IFERROR(INDEX(Ratings!$E$5:$E$500,MATCH(A289,Ratings!$A$5:$A$500,0)),"")</f>
        <v/>
      </c>
      <c r="Y289" s="71">
        <f>IFERROR(INDEX(Ratings!$G$5:$G$500,MATCH(A289,Ratings!$A$5:$A$500,0)),"")</f>
        <v/>
      </c>
      <c r="Z289" s="83">
        <f>IFERROR(INDEX(Ratings!$I$5:$I$500,MATCH(A289,Ratings!$A$5:$A$500,0)),"")</f>
        <v/>
      </c>
    </row>
    <row r="290" ht="15.75" customHeight="1" s="95">
      <c r="A290" t="inlineStr">
        <is>
          <t>F0286</t>
        </is>
      </c>
      <c r="B290" t="inlineStr">
        <is>
          <t>Southpaw</t>
        </is>
      </c>
      <c r="C290" s="63" t="inlineStr">
        <is>
          <t>2015</t>
        </is>
      </c>
      <c r="D290" t="inlineStr">
        <is>
          <t>Blu-ray</t>
        </is>
      </c>
      <c r="F290" s="64" t="n"/>
      <c r="I290" s="64" t="inlineStr">
        <is>
          <t>Billy "The Great" Hope, the reigning junior middleweight boxing champion, has an impressive career, a loving wife and daughter, and a lavish lifestyle. However, when tragedy strikes, Billy hits rock bottom, losing his family, his house and his manager. He soon finds an unlikely savior in Tick Willis, a former fighter who trains the city's toughest amateur boxers. With his future on the line, Hope fights to reclaim the trust of those he loves the most.</t>
        </is>
      </c>
      <c r="J290" s="64" t="inlineStr">
        <is>
          <t>Antoine Fuqua</t>
        </is>
      </c>
      <c r="K290" s="64" t="n">
        <v>123</v>
      </c>
      <c r="L290" s="64" t="inlineStr">
        <is>
          <t>Action, Drama</t>
        </is>
      </c>
      <c r="M290" s="64" t="inlineStr">
        <is>
          <t>Fuqua Films, Escape Artists, Riche-Ludwig Productions</t>
        </is>
      </c>
      <c r="N290" s="64" t="inlineStr">
        <is>
          <t>https://huggingface.co/datasets/HenryWaltson/TMDB-IMDB-Movies-Dataset</t>
        </is>
      </c>
      <c r="O290" s="64" t="inlineStr">
        <is>
          <t>https://huggingface.co/datasets/HenryWaltson/TMDB-IMDB-Movies-Dataset</t>
        </is>
      </c>
      <c r="P290" t="inlineStr">
        <is>
          <t>Jake Gyllenhaal</t>
        </is>
      </c>
      <c r="Q290" t="inlineStr">
        <is>
          <t>Rachel McAdams</t>
        </is>
      </c>
      <c r="R290" t="inlineStr">
        <is>
          <t>Forest Whitaker</t>
        </is>
      </c>
      <c r="S290" t="inlineStr">
        <is>
          <t>Oona Laurence</t>
        </is>
      </c>
      <c r="T290" t="inlineStr">
        <is>
          <t>50 Cent</t>
        </is>
      </c>
      <c r="U290" s="71" t="n">
        <v>0</v>
      </c>
      <c r="V290" s="71" t="n">
        <v>0</v>
      </c>
      <c r="X290" s="82">
        <f>IFERROR(INDEX(Ratings!$E$5:$E$500,MATCH(A290,Ratings!$A$5:$A$500,0)),"")</f>
        <v/>
      </c>
      <c r="Y290" s="71">
        <f>IFERROR(INDEX(Ratings!$G$5:$G$500,MATCH(A290,Ratings!$A$5:$A$500,0)),"")</f>
        <v/>
      </c>
      <c r="Z290" s="83">
        <f>IFERROR(INDEX(Ratings!$I$5:$I$500,MATCH(A290,Ratings!$A$5:$A$500,0)),"")</f>
        <v/>
      </c>
    </row>
    <row r="291" ht="15.75" customHeight="1" s="95">
      <c r="A291" t="inlineStr">
        <is>
          <t>F0287</t>
        </is>
      </c>
      <c r="B291" t="inlineStr">
        <is>
          <t>Spider-Man</t>
        </is>
      </c>
      <c r="C291" s="63" t="inlineStr">
        <is>
          <t>2002</t>
        </is>
      </c>
      <c r="D291" t="inlineStr">
        <is>
          <t>Blu-ray</t>
        </is>
      </c>
      <c r="E291" t="inlineStr">
        <is>
          <t>Spider-Man</t>
        </is>
      </c>
      <c r="F291" s="64" t="n"/>
      <c r="I291" s="64" t="inlineStr">
        <is>
          <t>After being bitten by a genetically altered spider at Oscorp, nerdy but endearing high school student Peter Parker is endowed with amazing powers to become the superhero known as Spider-Man.</t>
        </is>
      </c>
      <c r="J291" s="64" t="inlineStr">
        <is>
          <t>Sam Raimi</t>
        </is>
      </c>
      <c r="K291" s="64" t="n">
        <v>121</v>
      </c>
      <c r="L291" s="64" t="inlineStr">
        <is>
          <t>Fantasy, Action</t>
        </is>
      </c>
      <c r="M291" s="64" t="inlineStr">
        <is>
          <t>Marvel Enterprises, Laura Ziskin Productions, Columbia Pictures</t>
        </is>
      </c>
      <c r="N291" s="64" t="inlineStr">
        <is>
          <t>https://huggingface.co/datasets/HenryWaltson/TMDB-IMDB-Movies-Dataset</t>
        </is>
      </c>
      <c r="O291" s="64" t="inlineStr">
        <is>
          <t>https://huggingface.co/datasets/HenryWaltson/TMDB-IMDB-Movies-Dataset</t>
        </is>
      </c>
      <c r="P291" t="inlineStr">
        <is>
          <t>Tobey Maguire</t>
        </is>
      </c>
      <c r="Q291" t="inlineStr">
        <is>
          <t>Willem Dafoe</t>
        </is>
      </c>
      <c r="R291" t="inlineStr">
        <is>
          <t>Kirsten Dunst</t>
        </is>
      </c>
      <c r="S291" t="inlineStr">
        <is>
          <t>James Franco</t>
        </is>
      </c>
      <c r="T291" t="inlineStr">
        <is>
          <t>Cliff Robertson</t>
        </is>
      </c>
      <c r="U291" s="71" t="n">
        <v>2</v>
      </c>
      <c r="V291" s="71" t="n">
        <v>0</v>
      </c>
      <c r="X291" s="82">
        <f>IFERROR(INDEX(Ratings!$E$5:$E$500,MATCH(A291,Ratings!$A$5:$A$500,0)),"")</f>
        <v/>
      </c>
      <c r="Y291" s="71">
        <f>IFERROR(INDEX(Ratings!$G$5:$G$500,MATCH(A291,Ratings!$A$5:$A$500,0)),"")</f>
        <v/>
      </c>
      <c r="Z291" s="83">
        <f>IFERROR(INDEX(Ratings!$I$5:$I$500,MATCH(A291,Ratings!$A$5:$A$500,0)),"")</f>
        <v/>
      </c>
    </row>
    <row r="292" ht="15.75" customHeight="1" s="95">
      <c r="A292" t="inlineStr">
        <is>
          <t>F0288</t>
        </is>
      </c>
      <c r="B292" t="inlineStr">
        <is>
          <t>Spider-Man 2</t>
        </is>
      </c>
      <c r="C292" s="63" t="inlineStr">
        <is>
          <t>2004</t>
        </is>
      </c>
      <c r="D292" t="inlineStr">
        <is>
          <t>Blu-ray</t>
        </is>
      </c>
      <c r="E292" t="inlineStr">
        <is>
          <t>Spider-Man</t>
        </is>
      </c>
      <c r="F292" s="64" t="n"/>
      <c r="I292" s="64" t="inlineStr">
        <is>
          <t>Peter Parker is going through a major identity crisis. Burned out from being Spider-Man, he decides to shelve his superhero alter ego, which leaves the city suffering in the wake of carnage left by the evil Doc Ock. In the meantime, Parker still can't act on his feelings for Mary Jane Watson, a girl he's loved since childhood. A certain anger begins to brew in his best friend Harry Osborn as well...</t>
        </is>
      </c>
      <c r="J292" s="64" t="inlineStr">
        <is>
          <t>Sam Raimi</t>
        </is>
      </c>
      <c r="K292" s="64" t="n">
        <v>127</v>
      </c>
      <c r="L292" s="64" t="inlineStr">
        <is>
          <t>Action, Adventure, Fantasy</t>
        </is>
      </c>
      <c r="M292" s="64" t="inlineStr">
        <is>
          <t>Marvel Enterprises, Laura Ziskin Productions, Columbia Pictures</t>
        </is>
      </c>
      <c r="N292" s="64" t="inlineStr">
        <is>
          <t>https://huggingface.co/datasets/HenryWaltson/TMDB-IMDB-Movies-Dataset</t>
        </is>
      </c>
      <c r="O292" s="64" t="inlineStr">
        <is>
          <t>https://huggingface.co/datasets/HenryWaltson/TMDB-IMDB-Movies-Dataset</t>
        </is>
      </c>
      <c r="P292" t="inlineStr">
        <is>
          <t>Tobey Maguire</t>
        </is>
      </c>
      <c r="Q292" t="inlineStr">
        <is>
          <t>Kirsten Dunst</t>
        </is>
      </c>
      <c r="R292" t="inlineStr">
        <is>
          <t>James Franco</t>
        </is>
      </c>
      <c r="S292" t="inlineStr">
        <is>
          <t>Alfred Molina</t>
        </is>
      </c>
      <c r="T292" t="inlineStr">
        <is>
          <t>Rosemary Harris</t>
        </is>
      </c>
      <c r="U292" s="71" t="n">
        <v>3</v>
      </c>
      <c r="V292" s="71" t="n">
        <v>1</v>
      </c>
      <c r="X292" s="82">
        <f>IFERROR(INDEX(Ratings!$E$5:$E$500,MATCH(A292,Ratings!$A$5:$A$500,0)),"")</f>
        <v/>
      </c>
      <c r="Y292" s="71">
        <f>IFERROR(INDEX(Ratings!$G$5:$G$500,MATCH(A292,Ratings!$A$5:$A$500,0)),"")</f>
        <v/>
      </c>
      <c r="Z292" s="83">
        <f>IFERROR(INDEX(Ratings!$I$5:$I$500,MATCH(A292,Ratings!$A$5:$A$500,0)),"")</f>
        <v/>
      </c>
    </row>
    <row r="293" ht="15.75" customHeight="1" s="95">
      <c r="A293" t="inlineStr">
        <is>
          <t>F0289</t>
        </is>
      </c>
      <c r="B293" t="inlineStr">
        <is>
          <t>Spider-Man 3</t>
        </is>
      </c>
      <c r="C293" s="63" t="inlineStr">
        <is>
          <t>2007</t>
        </is>
      </c>
      <c r="D293" t="inlineStr">
        <is>
          <t>Blu-ray</t>
        </is>
      </c>
      <c r="E293" t="inlineStr">
        <is>
          <t>Spider-Man</t>
        </is>
      </c>
      <c r="F293" s="64" t="n"/>
      <c r="I293" s="64" t="inlineStr">
        <is>
          <t>The seemingly invincible Spider-Man goes up against an all-new crop of villains—including the shape-shifting Sandman. While Spider-Man’s superpowers are altered by an alien organism, his alter ego, Peter Parker, deals with nemesis Eddie Brock and also gets caught up in a love triangle.</t>
        </is>
      </c>
      <c r="J293" s="64" t="inlineStr">
        <is>
          <t>Sam Raimi</t>
        </is>
      </c>
      <c r="K293" s="64" t="n">
        <v>139</v>
      </c>
      <c r="L293" s="64" t="inlineStr">
        <is>
          <t>Fantasy, Action, Adventure</t>
        </is>
      </c>
      <c r="M293" s="64" t="inlineStr">
        <is>
          <t>Laura Ziskin Productions, Marvel Studios, Columbia Pictures</t>
        </is>
      </c>
      <c r="N293" s="64" t="inlineStr">
        <is>
          <t>https://huggingface.co/datasets/HenryWaltson/TMDB-IMDB-Movies-Dataset</t>
        </is>
      </c>
      <c r="O293" s="64" t="inlineStr">
        <is>
          <t>https://huggingface.co/datasets/HenryWaltson/TMDB-IMDB-Movies-Dataset</t>
        </is>
      </c>
      <c r="P293" t="inlineStr">
        <is>
          <t>Tobey Maguire</t>
        </is>
      </c>
      <c r="Q293" t="inlineStr">
        <is>
          <t>Kirsten Dunst</t>
        </is>
      </c>
      <c r="R293" t="inlineStr">
        <is>
          <t>James Franco</t>
        </is>
      </c>
      <c r="S293" t="inlineStr">
        <is>
          <t>Thomas Haden Church</t>
        </is>
      </c>
      <c r="T293" t="inlineStr">
        <is>
          <t>Topher Grace</t>
        </is>
      </c>
      <c r="U293" s="71" t="n">
        <v>0</v>
      </c>
      <c r="V293" s="71" t="n">
        <v>0</v>
      </c>
      <c r="X293" s="82">
        <f>IFERROR(INDEX(Ratings!$E$5:$E$500,MATCH(A293,Ratings!$A$5:$A$500,0)),"")</f>
        <v/>
      </c>
      <c r="Y293" s="71">
        <f>IFERROR(INDEX(Ratings!$G$5:$G$500,MATCH(A293,Ratings!$A$5:$A$500,0)),"")</f>
        <v/>
      </c>
      <c r="Z293" s="83">
        <f>IFERROR(INDEX(Ratings!$I$5:$I$500,MATCH(A293,Ratings!$A$5:$A$500,0)),"")</f>
        <v/>
      </c>
    </row>
    <row r="294" ht="15.75" customHeight="1" s="95">
      <c r="A294" t="inlineStr">
        <is>
          <t>F0290</t>
        </is>
      </c>
      <c r="B294" t="inlineStr">
        <is>
          <t>Spy</t>
        </is>
      </c>
      <c r="C294" s="63" t="inlineStr">
        <is>
          <t>2015</t>
        </is>
      </c>
      <c r="D294" t="inlineStr">
        <is>
          <t>Blu-ray</t>
        </is>
      </c>
      <c r="F294" s="64" t="n"/>
      <c r="I294" s="64" t="inlineStr">
        <is>
          <t>A desk-bound CIA analyst volunteers to go undercover to infiltrate the world of a deadly arms dealer, and prevent diabolical global disaster.</t>
        </is>
      </c>
      <c r="J294" s="64" t="inlineStr">
        <is>
          <t>Paul Feig</t>
        </is>
      </c>
      <c r="K294" s="64" t="n">
        <v>120</v>
      </c>
      <c r="L294" s="64" t="inlineStr">
        <is>
          <t>Action, Comedy, Crime</t>
        </is>
      </c>
      <c r="M294" s="64" t="inlineStr">
        <is>
          <t>Chernin Entertainment, Feigco Entertainment, TSG Entertainment</t>
        </is>
      </c>
      <c r="N294" s="64" t="inlineStr">
        <is>
          <t>https://huggingface.co/datasets/HenryWaltson/TMDB-IMDB-Movies-Dataset</t>
        </is>
      </c>
      <c r="O294" s="64" t="inlineStr">
        <is>
          <t>https://huggingface.co/datasets/HenryWaltson/TMDB-IMDB-Movies-Dataset</t>
        </is>
      </c>
      <c r="P294" t="inlineStr">
        <is>
          <t>Melissa McCarthy</t>
        </is>
      </c>
      <c r="Q294" t="inlineStr">
        <is>
          <t>Rose Byrne</t>
        </is>
      </c>
      <c r="R294" t="inlineStr">
        <is>
          <t>Jason Statham</t>
        </is>
      </c>
      <c r="S294" t="inlineStr">
        <is>
          <t>Jude Law</t>
        </is>
      </c>
      <c r="T294" t="inlineStr">
        <is>
          <t>Miranda Hart</t>
        </is>
      </c>
      <c r="U294" s="71" t="n">
        <v>0</v>
      </c>
      <c r="V294" s="71" t="n">
        <v>0</v>
      </c>
      <c r="X294" s="82">
        <f>IFERROR(INDEX(Ratings!$E$5:$E$500,MATCH(A294,Ratings!$A$5:$A$500,0)),"")</f>
        <v/>
      </c>
      <c r="Y294" s="71">
        <f>IFERROR(INDEX(Ratings!$G$5:$G$500,MATCH(A294,Ratings!$A$5:$A$500,0)),"")</f>
        <v/>
      </c>
      <c r="Z294" s="83">
        <f>IFERROR(INDEX(Ratings!$I$5:$I$500,MATCH(A294,Ratings!$A$5:$A$500,0)),"")</f>
        <v/>
      </c>
    </row>
    <row r="295" ht="15.75" customHeight="1" s="95">
      <c r="A295" t="inlineStr">
        <is>
          <t>F0291</t>
        </is>
      </c>
      <c r="B295" t="inlineStr">
        <is>
          <t>Star Trek</t>
        </is>
      </c>
      <c r="C295" s="63" t="inlineStr">
        <is>
          <t>2009</t>
        </is>
      </c>
      <c r="D295" t="inlineStr">
        <is>
          <t>Blu-ray</t>
        </is>
      </c>
      <c r="E295" t="inlineStr">
        <is>
          <t>Star Trek</t>
        </is>
      </c>
      <c r="F295" s="64" t="n"/>
      <c r="I295" s="64" t="inlineStr">
        <is>
          <t>The fate of the galaxy rests in the hands of bitter rivals. One, James Kirk, is a delinquent, thrill-seeking Iowa farm boy. The other, Spock, a Vulcan, was raised in a logic-based society that rejects all emotion. As fiery instinct clashes with calm reason, their unlikely but powerful partnership is the only thing capable of leading their crew through unimaginable danger, boldly going where no one has gone before. The human adventure has begun again.</t>
        </is>
      </c>
      <c r="J295" s="64" t="inlineStr">
        <is>
          <t>J.J. Abrams</t>
        </is>
      </c>
      <c r="K295" s="64" t="n">
        <v>127</v>
      </c>
      <c r="L295" s="64" t="inlineStr">
        <is>
          <t>Science Fiction, Action, Adventure</t>
        </is>
      </c>
      <c r="M295" s="64" t="inlineStr">
        <is>
          <t>Paramount, Spyglass Entertainment, Bad Robot</t>
        </is>
      </c>
      <c r="N295" s="64" t="inlineStr">
        <is>
          <t>https://huggingface.co/datasets/HenryWaltson/TMDB-IMDB-Movies-Dataset</t>
        </is>
      </c>
      <c r="O295" s="64" t="inlineStr">
        <is>
          <t>https://huggingface.co/datasets/HenryWaltson/TMDB-IMDB-Movies-Dataset</t>
        </is>
      </c>
      <c r="P295" t="inlineStr">
        <is>
          <t>Chris Pine</t>
        </is>
      </c>
      <c r="Q295" t="inlineStr">
        <is>
          <t>Zachary Quinto</t>
        </is>
      </c>
      <c r="R295" t="inlineStr">
        <is>
          <t>Leonard Nimoy</t>
        </is>
      </c>
      <c r="S295" t="inlineStr">
        <is>
          <t>Eric Bana</t>
        </is>
      </c>
      <c r="T295" t="inlineStr">
        <is>
          <t>Bruce Greenwood</t>
        </is>
      </c>
      <c r="U295" s="71" t="n">
        <v>4</v>
      </c>
      <c r="V295" s="71" t="n">
        <v>1</v>
      </c>
      <c r="X295" s="82">
        <f>IFERROR(INDEX(Ratings!$E$5:$E$500,MATCH(A295,Ratings!$A$5:$A$500,0)),"")</f>
        <v/>
      </c>
      <c r="Y295" s="71">
        <f>IFERROR(INDEX(Ratings!$G$5:$G$500,MATCH(A295,Ratings!$A$5:$A$500,0)),"")</f>
        <v/>
      </c>
      <c r="Z295" s="83">
        <f>IFERROR(INDEX(Ratings!$I$5:$I$500,MATCH(A295,Ratings!$A$5:$A$500,0)),"")</f>
        <v/>
      </c>
    </row>
    <row r="296" ht="15.75" customHeight="1" s="95">
      <c r="A296" t="inlineStr">
        <is>
          <t>F0292</t>
        </is>
      </c>
      <c r="B296" t="inlineStr">
        <is>
          <t>Star Wars: Episode I – The Phantom Menace</t>
        </is>
      </c>
      <c r="C296" s="63" t="inlineStr">
        <is>
          <t>1999</t>
        </is>
      </c>
      <c r="D296" t="inlineStr">
        <is>
          <t>Blu-ray</t>
        </is>
      </c>
      <c r="E296" t="inlineStr">
        <is>
          <t>Star Wars</t>
        </is>
      </c>
      <c r="F296" s="64" t="inlineStr">
        <is>
          <t>Star Wars Episodes I–VI (Box Set)</t>
        </is>
      </c>
      <c r="I296" s="64" t="inlineStr">
        <is>
          <t>Owned via Star Wars Episodes I–VI (Box Set).</t>
        </is>
      </c>
      <c r="J296" s="64" t="inlineStr">
        <is>
          <t>George Lucas</t>
        </is>
      </c>
      <c r="K296" s="64" t="n">
        <v>136</v>
      </c>
      <c r="L296" s="64" t="inlineStr">
        <is>
          <t>Action, Adventure, Fantasy, Science Fiction</t>
        </is>
      </c>
      <c r="M296" s="64" t="inlineStr">
        <is>
          <t>Lucasfilm</t>
        </is>
      </c>
      <c r="N296" s="64" t="inlineStr">
        <is>
          <t>https://huggingface.co/datasets/HenryWaltson/TMDB-IMDB-Movies-Dataset</t>
        </is>
      </c>
      <c r="O296" s="64" t="inlineStr">
        <is>
          <t>https://huggingface.co/datasets/HenryWaltson/TMDB-IMDB-Movies-Dataset</t>
        </is>
      </c>
      <c r="P296" t="inlineStr">
        <is>
          <t>Liam Neeson</t>
        </is>
      </c>
      <c r="Q296" t="inlineStr">
        <is>
          <t>Ewan McGregor</t>
        </is>
      </c>
      <c r="R296" t="inlineStr">
        <is>
          <t>Natalie Portman</t>
        </is>
      </c>
      <c r="S296" t="inlineStr">
        <is>
          <t>Jake Lloyd</t>
        </is>
      </c>
      <c r="T296" t="inlineStr">
        <is>
          <t>Ian McDiarmid</t>
        </is>
      </c>
      <c r="U296" s="71" t="n">
        <v>3</v>
      </c>
      <c r="V296" s="71" t="n">
        <v>0</v>
      </c>
      <c r="X296" s="82">
        <f>IFERROR(INDEX(Ratings!$E$5:$E$500,MATCH(A296,Ratings!$A$5:$A$500,0)),"")</f>
        <v/>
      </c>
      <c r="Y296" s="71">
        <f>IFERROR(INDEX(Ratings!$G$5:$G$500,MATCH(A296,Ratings!$A$5:$A$500,0)),"")</f>
        <v/>
      </c>
      <c r="Z296" s="83">
        <f>IFERROR(INDEX(Ratings!$I$5:$I$500,MATCH(A296,Ratings!$A$5:$A$500,0)),"")</f>
        <v/>
      </c>
    </row>
    <row r="297" ht="15.75" customHeight="1" s="95">
      <c r="A297" t="inlineStr">
        <is>
          <t>F0293</t>
        </is>
      </c>
      <c r="B297" t="inlineStr">
        <is>
          <t>Star Wars: Episode II – Attack of the Clones</t>
        </is>
      </c>
      <c r="C297" s="63" t="inlineStr">
        <is>
          <t>2002</t>
        </is>
      </c>
      <c r="D297" t="inlineStr">
        <is>
          <t>Blu-ray</t>
        </is>
      </c>
      <c r="E297" t="inlineStr">
        <is>
          <t>Star Wars</t>
        </is>
      </c>
      <c r="F297" s="64" t="inlineStr">
        <is>
          <t>Star Wars Episodes I–VI (Box Set)</t>
        </is>
      </c>
      <c r="I297" s="64" t="inlineStr">
        <is>
          <t>Owned via Star Wars Episodes I–VI (Box Set).</t>
        </is>
      </c>
      <c r="J297" s="64" t="inlineStr">
        <is>
          <t>George Lucas</t>
        </is>
      </c>
      <c r="K297" s="64" t="n">
        <v>142</v>
      </c>
      <c r="L297" s="64" t="inlineStr">
        <is>
          <t>Action, Adventure, Fantasy, Science Fiction</t>
        </is>
      </c>
      <c r="M297" s="64" t="inlineStr">
        <is>
          <t>Lucasfilm</t>
        </is>
      </c>
      <c r="N297" s="64" t="inlineStr">
        <is>
          <t>https://huggingface.co/datasets/HenryWaltson/TMDB-IMDB-Movies-Dataset</t>
        </is>
      </c>
      <c r="O297" s="64" t="inlineStr">
        <is>
          <t>https://huggingface.co/datasets/HenryWaltson/TMDB-IMDB-Movies-Dataset</t>
        </is>
      </c>
      <c r="P297" t="inlineStr">
        <is>
          <t>Hayden Christensen</t>
        </is>
      </c>
      <c r="Q297" t="inlineStr">
        <is>
          <t>Ewan McGregor</t>
        </is>
      </c>
      <c r="R297" t="inlineStr">
        <is>
          <t>Natalie Portman</t>
        </is>
      </c>
      <c r="S297" t="inlineStr">
        <is>
          <t>Christopher Lee</t>
        </is>
      </c>
      <c r="T297" t="inlineStr">
        <is>
          <t>Samuel L. Jackson</t>
        </is>
      </c>
      <c r="U297" s="71" t="n">
        <v>1</v>
      </c>
      <c r="V297" s="71" t="n">
        <v>0</v>
      </c>
      <c r="X297" s="82">
        <f>IFERROR(INDEX(Ratings!$E$5:$E$500,MATCH(A297,Ratings!$A$5:$A$500,0)),"")</f>
        <v/>
      </c>
      <c r="Y297" s="71">
        <f>IFERROR(INDEX(Ratings!$G$5:$G$500,MATCH(A297,Ratings!$A$5:$A$500,0)),"")</f>
        <v/>
      </c>
      <c r="Z297" s="83">
        <f>IFERROR(INDEX(Ratings!$I$5:$I$500,MATCH(A297,Ratings!$A$5:$A$500,0)),"")</f>
        <v/>
      </c>
    </row>
    <row r="298" ht="15.75" customHeight="1" s="95">
      <c r="A298" t="inlineStr">
        <is>
          <t>F0294</t>
        </is>
      </c>
      <c r="B298" t="inlineStr">
        <is>
          <t>Star Wars: Episode III – Revenge of the Sith</t>
        </is>
      </c>
      <c r="C298" s="63" t="inlineStr">
        <is>
          <t>2005</t>
        </is>
      </c>
      <c r="D298" t="inlineStr">
        <is>
          <t>Blu-ray</t>
        </is>
      </c>
      <c r="E298" t="inlineStr">
        <is>
          <t>Star Wars</t>
        </is>
      </c>
      <c r="F298" s="64" t="inlineStr">
        <is>
          <t>Star Wars Episodes I–VI (Box Set)</t>
        </is>
      </c>
      <c r="I298" s="64" t="inlineStr">
        <is>
          <t>Owned via Star Wars Episodes I–VI (Box Set).</t>
        </is>
      </c>
      <c r="J298" s="64" t="inlineStr">
        <is>
          <t>George Lucas</t>
        </is>
      </c>
      <c r="K298" s="64" t="n">
        <v>140</v>
      </c>
      <c r="L298" s="64" t="inlineStr">
        <is>
          <t>Action, Adventure, Fantasy, Science Fiction</t>
        </is>
      </c>
      <c r="M298" s="64" t="inlineStr">
        <is>
          <t>Lucasfilm</t>
        </is>
      </c>
      <c r="N298" s="64" t="inlineStr">
        <is>
          <t>https://huggingface.co/datasets/HenryWaltson/TMDB-IMDB-Movies-Dataset</t>
        </is>
      </c>
      <c r="O298" s="64" t="inlineStr">
        <is>
          <t>https://huggingface.co/datasets/HenryWaltson/TMDB-IMDB-Movies-Dataset</t>
        </is>
      </c>
      <c r="P298" t="inlineStr">
        <is>
          <t>Hayden Christensen</t>
        </is>
      </c>
      <c r="Q298" t="inlineStr">
        <is>
          <t>Ewan McGregor</t>
        </is>
      </c>
      <c r="R298" t="inlineStr">
        <is>
          <t>Natalie Portman</t>
        </is>
      </c>
      <c r="S298" t="inlineStr">
        <is>
          <t>Ian McDiarmid</t>
        </is>
      </c>
      <c r="T298" t="inlineStr">
        <is>
          <t>Samuel L. Jackson</t>
        </is>
      </c>
      <c r="U298" s="71" t="n">
        <v>1</v>
      </c>
      <c r="V298" s="71" t="n">
        <v>0</v>
      </c>
      <c r="X298" s="82">
        <f>IFERROR(INDEX(Ratings!$E$5:$E$500,MATCH(A298,Ratings!$A$5:$A$500,0)),"")</f>
        <v/>
      </c>
      <c r="Y298" s="71">
        <f>IFERROR(INDEX(Ratings!$G$5:$G$500,MATCH(A298,Ratings!$A$5:$A$500,0)),"")</f>
        <v/>
      </c>
      <c r="Z298" s="83">
        <f>IFERROR(INDEX(Ratings!$I$5:$I$500,MATCH(A298,Ratings!$A$5:$A$500,0)),"")</f>
        <v/>
      </c>
    </row>
    <row r="299" ht="15.75" customHeight="1" s="95">
      <c r="A299" t="inlineStr">
        <is>
          <t>F0295</t>
        </is>
      </c>
      <c r="B299" t="inlineStr">
        <is>
          <t>Star Wars: Episode IV – A New Hope</t>
        </is>
      </c>
      <c r="C299" s="63" t="inlineStr">
        <is>
          <t>1977</t>
        </is>
      </c>
      <c r="D299" t="inlineStr">
        <is>
          <t>Blu-ray</t>
        </is>
      </c>
      <c r="E299" t="inlineStr">
        <is>
          <t>Star Wars</t>
        </is>
      </c>
      <c r="F299" s="64" t="inlineStr">
        <is>
          <t>Star Wars Episodes I–VI (Box Set)</t>
        </is>
      </c>
      <c r="I299" s="64" t="inlineStr">
        <is>
          <t>Owned via Star Wars Episodes I–VI (Box Set).</t>
        </is>
      </c>
      <c r="J299" s="64" t="inlineStr">
        <is>
          <t>George Lucas</t>
        </is>
      </c>
      <c r="K299" s="64" t="n">
        <v>121</v>
      </c>
      <c r="L299" s="64" t="inlineStr">
        <is>
          <t>Action, Adventure, Fantasy, Science Fiction</t>
        </is>
      </c>
      <c r="M299" s="64" t="inlineStr">
        <is>
          <t>Lucasfilm, 20th Century Fox</t>
        </is>
      </c>
      <c r="N299" s="64" t="inlineStr">
        <is>
          <t>https://huggingface.co/datasets/HenryWaltson/TMDB-IMDB-Movies-Dataset</t>
        </is>
      </c>
      <c r="O299" s="64" t="inlineStr">
        <is>
          <t>https://huggingface.co/datasets/HenryWaltson/TMDB-IMDB-Movies-Dataset</t>
        </is>
      </c>
      <c r="P299" t="inlineStr">
        <is>
          <t>Mark Hamill</t>
        </is>
      </c>
      <c r="Q299" t="inlineStr">
        <is>
          <t>Harrison Ford</t>
        </is>
      </c>
      <c r="R299" t="inlineStr">
        <is>
          <t>Carrie Fisher</t>
        </is>
      </c>
      <c r="S299" t="inlineStr">
        <is>
          <t>Peter Cushing</t>
        </is>
      </c>
      <c r="T299" t="inlineStr">
        <is>
          <t>Alec Guinness</t>
        </is>
      </c>
      <c r="U299" s="71" t="n">
        <v>11</v>
      </c>
      <c r="V299" s="71" t="n">
        <v>7</v>
      </c>
      <c r="W299" t="inlineStr">
        <is>
          <t>Nominated</t>
        </is>
      </c>
      <c r="X299" s="82">
        <f>IFERROR(INDEX(Ratings!$E$5:$E$500,MATCH(A299,Ratings!$A$5:$A$500,0)),"")</f>
        <v/>
      </c>
      <c r="Y299" s="71">
        <f>IFERROR(INDEX(Ratings!$G$5:$G$500,MATCH(A299,Ratings!$A$5:$A$500,0)),"")</f>
        <v/>
      </c>
      <c r="Z299" s="83">
        <f>IFERROR(INDEX(Ratings!$I$5:$I$500,MATCH(A299,Ratings!$A$5:$A$500,0)),"")</f>
        <v/>
      </c>
    </row>
    <row r="300" ht="15.75" customHeight="1" s="95">
      <c r="A300" t="inlineStr">
        <is>
          <t>F0296</t>
        </is>
      </c>
      <c r="B300" t="inlineStr">
        <is>
          <t>Star Wars: Episode V – The Empire Strikes Back</t>
        </is>
      </c>
      <c r="C300" s="63" t="inlineStr">
        <is>
          <t>1980</t>
        </is>
      </c>
      <c r="D300" t="inlineStr">
        <is>
          <t>Blu-ray</t>
        </is>
      </c>
      <c r="E300" t="inlineStr">
        <is>
          <t>Star Wars</t>
        </is>
      </c>
      <c r="F300" s="64" t="inlineStr">
        <is>
          <t>Star Wars Episodes I–VI (Box Set)</t>
        </is>
      </c>
      <c r="I300" s="64" t="inlineStr">
        <is>
          <t>Owned via Star Wars Episodes I–VI (Box Set).</t>
        </is>
      </c>
      <c r="J300" s="64" t="inlineStr">
        <is>
          <t>Irvin Kershner</t>
        </is>
      </c>
      <c r="K300" s="64" t="n">
        <v>124</v>
      </c>
      <c r="L300" s="64" t="inlineStr">
        <is>
          <t>Action, Adventure, Fantasy, Science Fiction</t>
        </is>
      </c>
      <c r="M300" s="64" t="inlineStr">
        <is>
          <t>Lucasfilm, 20th Century Fox</t>
        </is>
      </c>
      <c r="N300" s="64" t="inlineStr">
        <is>
          <t>https://huggingface.co/datasets/HenryWaltson/TMDB-IMDB-Movies-Dataset</t>
        </is>
      </c>
      <c r="O300" s="64" t="inlineStr">
        <is>
          <t>https://huggingface.co/datasets/HenryWaltson/TMDB-IMDB-Movies-Dataset</t>
        </is>
      </c>
      <c r="P300" t="inlineStr">
        <is>
          <t>Mark Hamill</t>
        </is>
      </c>
      <c r="Q300" t="inlineStr">
        <is>
          <t>Harrison Ford</t>
        </is>
      </c>
      <c r="R300" t="inlineStr">
        <is>
          <t>Carrie Fisher</t>
        </is>
      </c>
      <c r="S300" t="inlineStr">
        <is>
          <t>Billy Dee Williams</t>
        </is>
      </c>
      <c r="T300" t="inlineStr">
        <is>
          <t>Anthony Daniels</t>
        </is>
      </c>
      <c r="U300" s="71" t="n">
        <v>0</v>
      </c>
      <c r="V300" s="71" t="n">
        <v>0</v>
      </c>
      <c r="X300" s="82">
        <f>IFERROR(INDEX(Ratings!$E$5:$E$500,MATCH(A300,Ratings!$A$5:$A$500,0)),"")</f>
        <v/>
      </c>
      <c r="Y300" s="71">
        <f>IFERROR(INDEX(Ratings!$G$5:$G$500,MATCH(A300,Ratings!$A$5:$A$500,0)),"")</f>
        <v/>
      </c>
      <c r="Z300" s="83">
        <f>IFERROR(INDEX(Ratings!$I$5:$I$500,MATCH(A300,Ratings!$A$5:$A$500,0)),"")</f>
        <v/>
      </c>
    </row>
    <row r="301" ht="15.75" customHeight="1" s="95">
      <c r="A301" t="inlineStr">
        <is>
          <t>F0297</t>
        </is>
      </c>
      <c r="B301" t="inlineStr">
        <is>
          <t>Star Wars: Episode VI – Return of the Jedi</t>
        </is>
      </c>
      <c r="C301" s="63" t="inlineStr">
        <is>
          <t>1983</t>
        </is>
      </c>
      <c r="D301" t="inlineStr">
        <is>
          <t>Blu-ray</t>
        </is>
      </c>
      <c r="E301" t="inlineStr">
        <is>
          <t>Star Wars</t>
        </is>
      </c>
      <c r="F301" s="64" t="inlineStr">
        <is>
          <t>Star Wars Episodes I–VI (Box Set)</t>
        </is>
      </c>
      <c r="I301" s="64" t="inlineStr">
        <is>
          <t>Owned via Star Wars Episodes I–VI (Box Set).</t>
        </is>
      </c>
      <c r="J301" s="64" t="inlineStr">
        <is>
          <t>Richard Marquand</t>
        </is>
      </c>
      <c r="K301" s="64" t="n">
        <v>131</v>
      </c>
      <c r="L301" s="64" t="inlineStr">
        <is>
          <t>Action, Adventure, Fantasy, Science Fiction</t>
        </is>
      </c>
      <c r="M301" s="64" t="inlineStr">
        <is>
          <t>Lucasfilm, 20th Century Fox</t>
        </is>
      </c>
      <c r="N301" s="64" t="inlineStr">
        <is>
          <t>https://huggingface.co/datasets/HenryWaltson/TMDB-IMDB-Movies-Dataset</t>
        </is>
      </c>
      <c r="O301" s="64" t="inlineStr">
        <is>
          <t>https://huggingface.co/datasets/HenryWaltson/TMDB-IMDB-Movies-Dataset</t>
        </is>
      </c>
      <c r="P301" t="inlineStr">
        <is>
          <t>Mark Hamill</t>
        </is>
      </c>
      <c r="Q301" t="inlineStr">
        <is>
          <t>Harrison Ford</t>
        </is>
      </c>
      <c r="R301" t="inlineStr">
        <is>
          <t>Carrie Fisher</t>
        </is>
      </c>
      <c r="S301" t="inlineStr">
        <is>
          <t>Billy Dee Williams</t>
        </is>
      </c>
      <c r="T301" t="inlineStr">
        <is>
          <t>Anthony Daniels</t>
        </is>
      </c>
      <c r="U301" s="71" t="n">
        <v>0</v>
      </c>
      <c r="V301" s="71" t="n">
        <v>0</v>
      </c>
      <c r="X301" s="82">
        <f>IFERROR(INDEX(Ratings!$E$5:$E$500,MATCH(A301,Ratings!$A$5:$A$500,0)),"")</f>
        <v/>
      </c>
      <c r="Y301" s="71">
        <f>IFERROR(INDEX(Ratings!$G$5:$G$500,MATCH(A301,Ratings!$A$5:$A$500,0)),"")</f>
        <v/>
      </c>
      <c r="Z301" s="83">
        <f>IFERROR(INDEX(Ratings!$I$5:$I$500,MATCH(A301,Ratings!$A$5:$A$500,0)),"")</f>
        <v/>
      </c>
    </row>
    <row r="302" ht="15.75" customHeight="1" s="95">
      <c r="A302" t="inlineStr">
        <is>
          <t>F0298</t>
        </is>
      </c>
      <c r="B302" t="inlineStr">
        <is>
          <t>Star Wars: The Force Awakens</t>
        </is>
      </c>
      <c r="C302" s="63" t="inlineStr">
        <is>
          <t>2015</t>
        </is>
      </c>
      <c r="D302" t="inlineStr">
        <is>
          <t>Blu-ray</t>
        </is>
      </c>
      <c r="E302" t="inlineStr">
        <is>
          <t>Star Wars</t>
        </is>
      </c>
      <c r="F302" s="64" t="n"/>
      <c r="I302" s="64" t="inlineStr">
        <is>
          <t>Thirty years after defeating the Galactic Empire, Han Solo and his allies face a new threat from the evil Kylo Ren and his army of Stormtroopers.</t>
        </is>
      </c>
      <c r="J302" s="64" t="inlineStr">
        <is>
          <t>J.J. Abrams</t>
        </is>
      </c>
      <c r="K302" s="64" t="n">
        <v>136</v>
      </c>
      <c r="L302" s="64" t="inlineStr">
        <is>
          <t>Adventure, Action, Science Fiction</t>
        </is>
      </c>
      <c r="M302" s="64" t="inlineStr">
        <is>
          <t>Lucasfilm Ltd., Bad Robot</t>
        </is>
      </c>
      <c r="N302" s="64" t="inlineStr">
        <is>
          <t>https://huggingface.co/datasets/HenryWaltson/TMDB-IMDB-Movies-Dataset</t>
        </is>
      </c>
      <c r="O302" s="64" t="inlineStr">
        <is>
          <t>https://huggingface.co/datasets/HenryWaltson/TMDB-IMDB-Movies-Dataset</t>
        </is>
      </c>
      <c r="P302" t="inlineStr">
        <is>
          <t>Harrison Ford</t>
        </is>
      </c>
      <c r="Q302" t="inlineStr">
        <is>
          <t>Mark Hamill</t>
        </is>
      </c>
      <c r="R302" t="inlineStr">
        <is>
          <t>Carrie Fisher</t>
        </is>
      </c>
      <c r="S302" t="inlineStr">
        <is>
          <t>Adam Driver</t>
        </is>
      </c>
      <c r="T302" t="inlineStr">
        <is>
          <t>Daisy Ridley</t>
        </is>
      </c>
      <c r="U302" s="71" t="n">
        <v>5</v>
      </c>
      <c r="V302" s="71" t="n">
        <v>0</v>
      </c>
      <c r="X302" s="82">
        <f>IFERROR(INDEX(Ratings!$E$5:$E$500,MATCH(A302,Ratings!$A$5:$A$500,0)),"")</f>
        <v/>
      </c>
      <c r="Y302" s="71">
        <f>IFERROR(INDEX(Ratings!$G$5:$G$500,MATCH(A302,Ratings!$A$5:$A$500,0)),"")</f>
        <v/>
      </c>
      <c r="Z302" s="83">
        <f>IFERROR(INDEX(Ratings!$I$5:$I$500,MATCH(A302,Ratings!$A$5:$A$500,0)),"")</f>
        <v/>
      </c>
    </row>
    <row r="303" ht="15.75" customHeight="1" s="95">
      <c r="A303" t="inlineStr">
        <is>
          <t>F0299</t>
        </is>
      </c>
      <c r="B303" t="inlineStr">
        <is>
          <t>Star Wars: The Last Jedi</t>
        </is>
      </c>
      <c r="C303" s="63" t="inlineStr">
        <is>
          <t>2017</t>
        </is>
      </c>
      <c r="D303" t="inlineStr">
        <is>
          <t>Blu-ray</t>
        </is>
      </c>
      <c r="E303" t="inlineStr">
        <is>
          <t>Star Wars</t>
        </is>
      </c>
      <c r="F303" s="64" t="n"/>
      <c r="I303" s="64" t="inlineStr">
        <is>
          <t>Rey develops her newly discovered abilities with the guidance of Luke Skywalker, who is unsettled by the strength of her powers. Meanwhile, the Resistance prepares to do battle with the First Order.</t>
        </is>
      </c>
      <c r="J303" s="64" t="inlineStr">
        <is>
          <t>Rian Johnson</t>
        </is>
      </c>
      <c r="K303" s="64" t="n">
        <v>152</v>
      </c>
      <c r="L303" s="64" t="inlineStr">
        <is>
          <t>Adventure, Action, Science Fiction</t>
        </is>
      </c>
      <c r="M303" s="64" t="inlineStr">
        <is>
          <t>Lucasfilm Ltd.</t>
        </is>
      </c>
      <c r="N303" s="64" t="inlineStr">
        <is>
          <t>https://huggingface.co/datasets/HenryWaltson/TMDB-IMDB-Movies-Dataset</t>
        </is>
      </c>
      <c r="O303" s="64" t="inlineStr">
        <is>
          <t>https://huggingface.co/datasets/HenryWaltson/TMDB-IMDB-Movies-Dataset</t>
        </is>
      </c>
      <c r="P303" t="inlineStr">
        <is>
          <t>Mark Hamill</t>
        </is>
      </c>
      <c r="Q303" t="inlineStr">
        <is>
          <t>Carrie Fisher</t>
        </is>
      </c>
      <c r="R303" t="inlineStr">
        <is>
          <t>Adam Driver</t>
        </is>
      </c>
      <c r="S303" t="inlineStr">
        <is>
          <t>Daisy Ridley</t>
        </is>
      </c>
      <c r="T303" t="inlineStr">
        <is>
          <t>John Boyega</t>
        </is>
      </c>
      <c r="U303" s="71" t="n">
        <v>4</v>
      </c>
      <c r="V303" s="71" t="n">
        <v>0</v>
      </c>
      <c r="X303" s="82">
        <f>IFERROR(INDEX(Ratings!$E$5:$E$500,MATCH(A303,Ratings!$A$5:$A$500,0)),"")</f>
        <v/>
      </c>
      <c r="Y303" s="71">
        <f>IFERROR(INDEX(Ratings!$G$5:$G$500,MATCH(A303,Ratings!$A$5:$A$500,0)),"")</f>
        <v/>
      </c>
      <c r="Z303" s="83">
        <f>IFERROR(INDEX(Ratings!$I$5:$I$500,MATCH(A303,Ratings!$A$5:$A$500,0)),"")</f>
        <v/>
      </c>
    </row>
    <row r="304" ht="15.75" customHeight="1" s="95">
      <c r="A304" t="inlineStr">
        <is>
          <t>F0300</t>
        </is>
      </c>
      <c r="B304" t="inlineStr">
        <is>
          <t>Star Wars: The Rise of Skywalker</t>
        </is>
      </c>
      <c r="C304" s="63" t="inlineStr">
        <is>
          <t>2019</t>
        </is>
      </c>
      <c r="D304" t="inlineStr">
        <is>
          <t>Blu-ray</t>
        </is>
      </c>
      <c r="E304" t="inlineStr">
        <is>
          <t>Star Wars</t>
        </is>
      </c>
      <c r="F304" s="64" t="n"/>
      <c r="I304" s="64" t="inlineStr">
        <is>
          <t>The surviving Resistance faces the First Order once again as the journey of Rey, Finn and Poe Dameron continues. With the power and knowledge of generations behind them, the final battle begins.</t>
        </is>
      </c>
      <c r="J304" s="64" t="inlineStr">
        <is>
          <t>J.J. Abrams</t>
        </is>
      </c>
      <c r="K304" s="64" t="n">
        <v>142</v>
      </c>
      <c r="L304" s="64" t="inlineStr">
        <is>
          <t>Adventure, Action, Science Fiction</t>
        </is>
      </c>
      <c r="M304" s="64" t="inlineStr">
        <is>
          <t>Lucasfilm Ltd., Bad Robot</t>
        </is>
      </c>
      <c r="N304" s="64" t="inlineStr">
        <is>
          <t>https://huggingface.co/datasets/HenryWaltson/TMDB-IMDB-Movies-Dataset</t>
        </is>
      </c>
      <c r="O304" s="64" t="inlineStr">
        <is>
          <t>https://huggingface.co/datasets/HenryWaltson/TMDB-IMDB-Movies-Dataset</t>
        </is>
      </c>
      <c r="P304" t="inlineStr">
        <is>
          <t>Carrie Fisher</t>
        </is>
      </c>
      <c r="Q304" t="inlineStr">
        <is>
          <t>Mark Hamill</t>
        </is>
      </c>
      <c r="R304" t="inlineStr">
        <is>
          <t>Daisy Ridley</t>
        </is>
      </c>
      <c r="S304" t="inlineStr">
        <is>
          <t>Adam Driver</t>
        </is>
      </c>
      <c r="T304" t="inlineStr">
        <is>
          <t>John Boyega</t>
        </is>
      </c>
      <c r="U304" s="71" t="n">
        <v>3</v>
      </c>
      <c r="V304" s="71" t="n">
        <v>0</v>
      </c>
      <c r="X304" s="82">
        <f>IFERROR(INDEX(Ratings!$E$5:$E$500,MATCH(A304,Ratings!$A$5:$A$500,0)),"")</f>
        <v/>
      </c>
      <c r="Y304" s="71">
        <f>IFERROR(INDEX(Ratings!$G$5:$G$500,MATCH(A304,Ratings!$A$5:$A$500,0)),"")</f>
        <v/>
      </c>
      <c r="Z304" s="83">
        <f>IFERROR(INDEX(Ratings!$I$5:$I$500,MATCH(A304,Ratings!$A$5:$A$500,0)),"")</f>
        <v/>
      </c>
    </row>
    <row r="305" ht="15.75" customHeight="1" s="95">
      <c r="A305" t="inlineStr">
        <is>
          <t>F0301</t>
        </is>
      </c>
      <c r="B305" t="inlineStr">
        <is>
          <t>Straight Outta Compton</t>
        </is>
      </c>
      <c r="C305" s="63" t="inlineStr">
        <is>
          <t>2015</t>
        </is>
      </c>
      <c r="D305" t="inlineStr">
        <is>
          <t>Blu-ray</t>
        </is>
      </c>
      <c r="F305" s="64" t="n"/>
      <c r="I305" s="64" t="inlineStr">
        <is>
          <t>In 1987, five young men, using brutally honest rhymes and hardcore beats, put their frustration and anger about life in the most dangerous place in America into the most powerful weapon they had: their music.  Taking us back to where it all began, Straight Outta Compton tells the true story of how these cultural rebels—armed only with their lyrics, swagger, bravado and raw talent—stood up to the authorities that meant to keep them down and formed the world’s most dangerous group, N.W.A.  And as they spoke the truth that no one had before and exposed life in the hood, their voice ignited a social revolution that is still reverberating today.</t>
        </is>
      </c>
      <c r="J305" s="64" t="inlineStr">
        <is>
          <t>F. Gary Gray</t>
        </is>
      </c>
      <c r="K305" s="64" t="n">
        <v>147</v>
      </c>
      <c r="L305" s="64" t="inlineStr">
        <is>
          <t>Drama, Music, History</t>
        </is>
      </c>
      <c r="M305" s="64" t="inlineStr">
        <is>
          <t>Broken Chair Flickz, Universal Pictures, Legendary Pictures</t>
        </is>
      </c>
      <c r="N305" s="64" t="inlineStr">
        <is>
          <t>https://huggingface.co/datasets/HenryWaltson/TMDB-IMDB-Movies-Dataset</t>
        </is>
      </c>
      <c r="O305" s="64" t="inlineStr">
        <is>
          <t>https://huggingface.co/datasets/HenryWaltson/TMDB-IMDB-Movies-Dataset</t>
        </is>
      </c>
      <c r="P305" t="inlineStr">
        <is>
          <t>O'Shea Jackson Jr.</t>
        </is>
      </c>
      <c r="Q305" t="inlineStr">
        <is>
          <t>Corey Hawkins</t>
        </is>
      </c>
      <c r="R305" t="inlineStr">
        <is>
          <t>Jason Mitchell</t>
        </is>
      </c>
      <c r="S305" t="inlineStr">
        <is>
          <t>Neil Brown Jr.</t>
        </is>
      </c>
      <c r="T305" t="inlineStr">
        <is>
          <t>Aldis Hodge</t>
        </is>
      </c>
      <c r="U305" s="71" t="n">
        <v>1</v>
      </c>
      <c r="V305" s="71" t="n">
        <v>0</v>
      </c>
      <c r="X305" s="82">
        <f>IFERROR(INDEX(Ratings!$E$5:$E$500,MATCH(A305,Ratings!$A$5:$A$500,0)),"")</f>
        <v/>
      </c>
      <c r="Y305" s="71">
        <f>IFERROR(INDEX(Ratings!$G$5:$G$500,MATCH(A305,Ratings!$A$5:$A$500,0)),"")</f>
        <v/>
      </c>
      <c r="Z305" s="83">
        <f>IFERROR(INDEX(Ratings!$I$5:$I$500,MATCH(A305,Ratings!$A$5:$A$500,0)),"")</f>
        <v/>
      </c>
    </row>
    <row r="306" ht="15.75" customHeight="1" s="95">
      <c r="A306" t="inlineStr">
        <is>
          <t>F0302</t>
        </is>
      </c>
      <c r="B306" t="inlineStr">
        <is>
          <t>Super 8</t>
        </is>
      </c>
      <c r="C306" s="63" t="inlineStr">
        <is>
          <t>2011</t>
        </is>
      </c>
      <c r="D306" t="inlineStr">
        <is>
          <t>Blu-ray</t>
        </is>
      </c>
      <c r="F306" s="64" t="n"/>
      <c r="I306" s="64" t="inlineStr">
        <is>
          <t>In late 1970s Ohio, a group of friends filming a homemade zombie movie witness a devastating train derailment. Soon after, their quiet town is gripped by unexplained disappearances, strange phenomena, and a growing sense of fear, as they uncover that something terrifying has been set loose.</t>
        </is>
      </c>
      <c r="J306" s="64" t="inlineStr">
        <is>
          <t>J.J. Abrams</t>
        </is>
      </c>
      <c r="K306" s="64" t="n">
        <v>112</v>
      </c>
      <c r="L306" s="64" t="inlineStr">
        <is>
          <t>Thriller, Science Fiction, Mystery</t>
        </is>
      </c>
      <c r="M306" s="64" t="inlineStr">
        <is>
          <t>Bad Robot, Amblin Entertainment, Paramount</t>
        </is>
      </c>
      <c r="N306" s="64" t="inlineStr">
        <is>
          <t>https://huggingface.co/datasets/HenryWaltson/TMDB-IMDB-Movies-Dataset</t>
        </is>
      </c>
      <c r="O306" s="64" t="inlineStr">
        <is>
          <t>https://huggingface.co/datasets/HenryWaltson/TMDB-IMDB-Movies-Dataset</t>
        </is>
      </c>
      <c r="P306" t="inlineStr">
        <is>
          <t>Joel Courtney</t>
        </is>
      </c>
      <c r="Q306" t="inlineStr">
        <is>
          <t>Elle Fanning</t>
        </is>
      </c>
      <c r="R306" t="inlineStr">
        <is>
          <t>Riley Griffiths</t>
        </is>
      </c>
      <c r="S306" t="inlineStr">
        <is>
          <t>Kyle Chandler</t>
        </is>
      </c>
      <c r="T306" t="inlineStr">
        <is>
          <t>Noah Emmerich</t>
        </is>
      </c>
      <c r="U306" s="71" t="n">
        <v>0</v>
      </c>
      <c r="V306" s="71" t="n">
        <v>0</v>
      </c>
      <c r="X306" s="82">
        <f>IFERROR(INDEX(Ratings!$E$5:$E$500,MATCH(A306,Ratings!$A$5:$A$500,0)),"")</f>
        <v/>
      </c>
      <c r="Y306" s="71">
        <f>IFERROR(INDEX(Ratings!$G$5:$G$500,MATCH(A306,Ratings!$A$5:$A$500,0)),"")</f>
        <v/>
      </c>
      <c r="Z306" s="83">
        <f>IFERROR(INDEX(Ratings!$I$5:$I$500,MATCH(A306,Ratings!$A$5:$A$500,0)),"")</f>
        <v/>
      </c>
    </row>
    <row r="307" ht="15.75" customHeight="1" s="95">
      <c r="A307" t="inlineStr">
        <is>
          <t>F0303</t>
        </is>
      </c>
      <c r="B307" t="inlineStr">
        <is>
          <t>Superbad</t>
        </is>
      </c>
      <c r="C307" s="63" t="inlineStr">
        <is>
          <t>2007</t>
        </is>
      </c>
      <c r="D307" t="inlineStr">
        <is>
          <t>Blu-ray</t>
        </is>
      </c>
      <c r="F307" s="64" t="n"/>
      <c r="I307" s="64" t="inlineStr">
        <is>
          <t>Two co-dependent high school seniors are forced to deal with separation anxiety after their plan to stage a booze-soaked party goes awry.</t>
        </is>
      </c>
      <c r="J307" s="64" t="inlineStr">
        <is>
          <t>Greg Mottola</t>
        </is>
      </c>
      <c r="K307" s="64" t="n">
        <v>113</v>
      </c>
      <c r="L307" s="64" t="inlineStr">
        <is>
          <t>Comedy</t>
        </is>
      </c>
      <c r="M307" s="64" t="inlineStr">
        <is>
          <t>Columbia Pictures, Apatow Productions</t>
        </is>
      </c>
      <c r="N307" s="64" t="inlineStr">
        <is>
          <t>https://huggingface.co/datasets/HenryWaltson/TMDB-IMDB-Movies-Dataset</t>
        </is>
      </c>
      <c r="O307" s="64" t="inlineStr">
        <is>
          <t>https://huggingface.co/datasets/HenryWaltson/TMDB-IMDB-Movies-Dataset</t>
        </is>
      </c>
      <c r="P307" t="inlineStr">
        <is>
          <t>Jonah Hill</t>
        </is>
      </c>
      <c r="Q307" t="inlineStr">
        <is>
          <t>Michael Cera</t>
        </is>
      </c>
      <c r="R307" t="inlineStr">
        <is>
          <t>Christopher Mintz-Plasse</t>
        </is>
      </c>
      <c r="S307" t="inlineStr">
        <is>
          <t>Bill Hader</t>
        </is>
      </c>
      <c r="T307" t="inlineStr">
        <is>
          <t>Seth Rogen</t>
        </is>
      </c>
      <c r="U307" s="71" t="n">
        <v>0</v>
      </c>
      <c r="V307" s="71" t="n">
        <v>0</v>
      </c>
      <c r="X307" s="82">
        <f>IFERROR(INDEX(Ratings!$E$5:$E$500,MATCH(A307,Ratings!$A$5:$A$500,0)),"")</f>
        <v/>
      </c>
      <c r="Y307" s="71">
        <f>IFERROR(INDEX(Ratings!$G$5:$G$500,MATCH(A307,Ratings!$A$5:$A$500,0)),"")</f>
        <v/>
      </c>
      <c r="Z307" s="83">
        <f>IFERROR(INDEX(Ratings!$I$5:$I$500,MATCH(A307,Ratings!$A$5:$A$500,0)),"")</f>
        <v/>
      </c>
    </row>
    <row r="308" ht="15.75" customHeight="1" s="95">
      <c r="A308" t="inlineStr">
        <is>
          <t>F0304</t>
        </is>
      </c>
      <c r="B308" t="inlineStr">
        <is>
          <t>Superman</t>
        </is>
      </c>
      <c r="C308" s="63" t="inlineStr">
        <is>
          <t>2025</t>
        </is>
      </c>
      <c r="D308" t="inlineStr">
        <is>
          <t>Blu-ray</t>
        </is>
      </c>
      <c r="F308" s="64" t="n"/>
      <c r="I308" s="64" t="inlineStr">
        <is>
          <t>Best guess: 1978 Christopher Reeve film.</t>
        </is>
      </c>
      <c r="J308" s="64" t="inlineStr">
        <is>
          <t>Richard Donner</t>
        </is>
      </c>
      <c r="K308" s="64" t="n">
        <v>143</v>
      </c>
      <c r="L308" s="64" t="inlineStr">
        <is>
          <t>Science Fiction, Action, Adventure</t>
        </is>
      </c>
      <c r="M308" s="64" t="inlineStr">
        <is>
          <t>Dovemead Films, Film Export A.G., Warner Bros. Pictures</t>
        </is>
      </c>
      <c r="N308" s="64" t="inlineStr">
        <is>
          <t>https://huggingface.co/datasets/HenryWaltson/TMDB-IMDB-Movies-Dataset</t>
        </is>
      </c>
      <c r="O308" s="64" t="inlineStr">
        <is>
          <t>https://www.superman.com/</t>
        </is>
      </c>
      <c r="P308" t="inlineStr">
        <is>
          <t>David Corenswet</t>
        </is>
      </c>
      <c r="Q308" t="inlineStr">
        <is>
          <t>Rachel Brosnahan</t>
        </is>
      </c>
      <c r="R308" t="inlineStr">
        <is>
          <t>Nicholas Hoult</t>
        </is>
      </c>
      <c r="S308" t="inlineStr">
        <is>
          <t>Edi Gathegi</t>
        </is>
      </c>
      <c r="T308" t="inlineStr">
        <is>
          <t>Anthony Carrigan</t>
        </is>
      </c>
      <c r="U308" s="71" t="n">
        <v>0</v>
      </c>
      <c r="V308" s="71" t="n">
        <v>0</v>
      </c>
      <c r="X308" s="82">
        <f>IFERROR(INDEX(Ratings!$E$5:$E$500,MATCH(A308,Ratings!$A$5:$A$500,0)),"")</f>
        <v/>
      </c>
      <c r="Y308" s="71">
        <f>IFERROR(INDEX(Ratings!$G$5:$G$500,MATCH(A308,Ratings!$A$5:$A$500,0)),"")</f>
        <v/>
      </c>
      <c r="Z308" s="83">
        <f>IFERROR(INDEX(Ratings!$I$5:$I$500,MATCH(A308,Ratings!$A$5:$A$500,0)),"")</f>
        <v/>
      </c>
    </row>
    <row r="309" ht="15.75" customHeight="1" s="95">
      <c r="A309" t="inlineStr">
        <is>
          <t>F0305</t>
        </is>
      </c>
      <c r="B309" t="inlineStr">
        <is>
          <t>The Sweeney</t>
        </is>
      </c>
      <c r="C309" s="63" t="inlineStr">
        <is>
          <t>2012</t>
        </is>
      </c>
      <c r="D309" t="inlineStr">
        <is>
          <t>Blu-ray</t>
        </is>
      </c>
      <c r="F309" s="64" t="n"/>
      <c r="I309" s="64" t="inlineStr">
        <is>
          <t>Jack Regan, a hardened cop who doesn’t play by the rules, is confronted with a criminal from his past. With sidekick George Carter they are put on the case of a jewellery store heist that ends in a killing. But is that killing really an execution in disguise? With pressure from his boss and the fact that Regan is having an affair with that boss’s wife, it’s not going to be easy for him to stay out of trouble.</t>
        </is>
      </c>
      <c r="J309" s="64" t="inlineStr">
        <is>
          <t>Nick Love</t>
        </is>
      </c>
      <c r="K309" s="64" t="n">
        <v>112</v>
      </c>
      <c r="L309" s="64" t="inlineStr">
        <is>
          <t>Action, Crime</t>
        </is>
      </c>
      <c r="M309" s="64" t="inlineStr">
        <is>
          <t>Vertigo Films, Embargo Films, Exponential Films</t>
        </is>
      </c>
      <c r="N309" s="64" t="inlineStr">
        <is>
          <t>https://huggingface.co/datasets/HenryWaltson/TMDB-IMDB-Movies-Dataset</t>
        </is>
      </c>
      <c r="O309" s="64" t="inlineStr">
        <is>
          <t>https://huggingface.co/datasets/HenryWaltson/TMDB-IMDB-Movies-Dataset</t>
        </is>
      </c>
      <c r="P309" t="inlineStr">
        <is>
          <t>Ray Winstone</t>
        </is>
      </c>
      <c r="Q309" t="inlineStr">
        <is>
          <t>Plan B</t>
        </is>
      </c>
      <c r="R309" t="inlineStr">
        <is>
          <t>Hayley Atwell</t>
        </is>
      </c>
      <c r="S309" t="inlineStr">
        <is>
          <t>Damian Lewis</t>
        </is>
      </c>
      <c r="T309" t="inlineStr">
        <is>
          <t>Alan Ford</t>
        </is>
      </c>
      <c r="U309" s="71" t="n">
        <v>0</v>
      </c>
      <c r="V309" s="71" t="n">
        <v>0</v>
      </c>
      <c r="X309" s="82">
        <f>IFERROR(INDEX(Ratings!$E$5:$E$500,MATCH(A309,Ratings!$A$5:$A$500,0)),"")</f>
        <v/>
      </c>
      <c r="Y309" s="71">
        <f>IFERROR(INDEX(Ratings!$G$5:$G$500,MATCH(A309,Ratings!$A$5:$A$500,0)),"")</f>
        <v/>
      </c>
      <c r="Z309" s="83">
        <f>IFERROR(INDEX(Ratings!$I$5:$I$500,MATCH(A309,Ratings!$A$5:$A$500,0)),"")</f>
        <v/>
      </c>
    </row>
    <row r="310" ht="15.75" customHeight="1" s="95">
      <c r="A310" t="inlineStr">
        <is>
          <t>F0306</t>
        </is>
      </c>
      <c r="B310" t="inlineStr">
        <is>
          <t>Taken</t>
        </is>
      </c>
      <c r="C310" s="63" t="inlineStr">
        <is>
          <t>2008</t>
        </is>
      </c>
      <c r="D310" t="inlineStr">
        <is>
          <t>Blu-ray</t>
        </is>
      </c>
      <c r="E310" t="inlineStr">
        <is>
          <t>Taken</t>
        </is>
      </c>
      <c r="F310" s="64" t="n"/>
      <c r="I310" s="64" t="inlineStr">
        <is>
          <t>Bryan Mills, a former government operative, is trying to reconnect with his teenage daughter Kim. After reluctantly agreeing with his ex-wife to let Kim go to Paris on vacation with a friend, his worst nightmare comes true. While on the phone with his daughter shortly after she arrives in Paris, she and her friend are abducted by a gang of human traffickers. Working against the clock, Bryan relies on his extensive training and skills to track down the ruthless gang that abducted her and launch a one-man war to rescue his daughter.</t>
        </is>
      </c>
      <c r="J310" s="64" t="inlineStr">
        <is>
          <t>Pierre Morel</t>
        </is>
      </c>
      <c r="K310" s="64" t="n">
        <v>94</v>
      </c>
      <c r="L310" s="64" t="inlineStr">
        <is>
          <t>Action, Thriller</t>
        </is>
      </c>
      <c r="M310" s="64" t="inlineStr">
        <is>
          <t>Wintergreen Productions, EuropaCorp, M6 Films</t>
        </is>
      </c>
      <c r="N310" s="64" t="inlineStr">
        <is>
          <t>https://huggingface.co/datasets/HenryWaltson/TMDB-IMDB-Movies-Dataset</t>
        </is>
      </c>
      <c r="O310" s="64" t="inlineStr">
        <is>
          <t>https://huggingface.co/datasets/HenryWaltson/TMDB-IMDB-Movies-Dataset</t>
        </is>
      </c>
      <c r="P310" t="inlineStr">
        <is>
          <t>Liam Neeson</t>
        </is>
      </c>
      <c r="Q310" t="inlineStr">
        <is>
          <t>Maggie Grace</t>
        </is>
      </c>
      <c r="R310" t="inlineStr">
        <is>
          <t>Leland Orser</t>
        </is>
      </c>
      <c r="S310" t="inlineStr">
        <is>
          <t>Famke Janssen</t>
        </is>
      </c>
      <c r="T310" t="inlineStr">
        <is>
          <t>Jon Gries</t>
        </is>
      </c>
      <c r="U310" s="71" t="n">
        <v>0</v>
      </c>
      <c r="V310" s="71" t="n">
        <v>0</v>
      </c>
      <c r="X310" s="82">
        <f>IFERROR(INDEX(Ratings!$E$5:$E$500,MATCH(A310,Ratings!$A$5:$A$500,0)),"")</f>
        <v/>
      </c>
      <c r="Y310" s="71">
        <f>IFERROR(INDEX(Ratings!$G$5:$G$500,MATCH(A310,Ratings!$A$5:$A$500,0)),"")</f>
        <v/>
      </c>
      <c r="Z310" s="83">
        <f>IFERROR(INDEX(Ratings!$I$5:$I$500,MATCH(A310,Ratings!$A$5:$A$500,0)),"")</f>
        <v/>
      </c>
    </row>
    <row r="311" ht="15.75" customHeight="1" s="95">
      <c r="A311" t="inlineStr">
        <is>
          <t>F0307</t>
        </is>
      </c>
      <c r="B311" t="inlineStr">
        <is>
          <t>Taken 2</t>
        </is>
      </c>
      <c r="C311" s="63" t="inlineStr">
        <is>
          <t>2012</t>
        </is>
      </c>
      <c r="D311" t="inlineStr">
        <is>
          <t>Blu-ray</t>
        </is>
      </c>
      <c r="E311" t="inlineStr">
        <is>
          <t>Taken</t>
        </is>
      </c>
      <c r="F311" s="64" t="n"/>
      <c r="I311" s="64" t="inlineStr">
        <is>
          <t>In Istanbul, retired CIA operative Bryan Mills and his wife are taken hostage by the father of a kidnapper Mills killed while rescuing his daughter.</t>
        </is>
      </c>
      <c r="J311" s="64" t="inlineStr">
        <is>
          <t>Olivier Megaton</t>
        </is>
      </c>
      <c r="K311" s="64" t="n">
        <v>91</v>
      </c>
      <c r="L311" s="64" t="inlineStr">
        <is>
          <t>Action, Crime, Thriller</t>
        </is>
      </c>
      <c r="M311" s="64" t="inlineStr">
        <is>
          <t>EuropaCorp, Grive Productions, M6 Films</t>
        </is>
      </c>
      <c r="N311" s="64" t="inlineStr">
        <is>
          <t>https://huggingface.co/datasets/HenryWaltson/TMDB-IMDB-Movies-Dataset</t>
        </is>
      </c>
      <c r="O311" s="64" t="inlineStr">
        <is>
          <t>https://huggingface.co/datasets/HenryWaltson/TMDB-IMDB-Movies-Dataset</t>
        </is>
      </c>
      <c r="P311" t="inlineStr">
        <is>
          <t>Liam Neeson</t>
        </is>
      </c>
      <c r="Q311" t="inlineStr">
        <is>
          <t>Maggie Grace</t>
        </is>
      </c>
      <c r="R311" t="inlineStr">
        <is>
          <t>Famke Janssen</t>
        </is>
      </c>
      <c r="S311" t="inlineStr">
        <is>
          <t>Leland Orser</t>
        </is>
      </c>
      <c r="T311" t="inlineStr">
        <is>
          <t>D.B. Sweeney</t>
        </is>
      </c>
      <c r="U311" s="71" t="n">
        <v>0</v>
      </c>
      <c r="V311" s="71" t="n">
        <v>0</v>
      </c>
      <c r="X311" s="82">
        <f>IFERROR(INDEX(Ratings!$E$5:$E$500,MATCH(A311,Ratings!$A$5:$A$500,0)),"")</f>
        <v/>
      </c>
      <c r="Y311" s="71">
        <f>IFERROR(INDEX(Ratings!$G$5:$G$500,MATCH(A311,Ratings!$A$5:$A$500,0)),"")</f>
        <v/>
      </c>
      <c r="Z311" s="83">
        <f>IFERROR(INDEX(Ratings!$I$5:$I$500,MATCH(A311,Ratings!$A$5:$A$500,0)),"")</f>
        <v/>
      </c>
    </row>
    <row r="312" ht="15.75" customHeight="1" s="95">
      <c r="A312" t="inlineStr">
        <is>
          <t>F0308</t>
        </is>
      </c>
      <c r="B312" t="inlineStr">
        <is>
          <t>Ted</t>
        </is>
      </c>
      <c r="C312" s="63" t="inlineStr">
        <is>
          <t>2012</t>
        </is>
      </c>
      <c r="D312" t="inlineStr">
        <is>
          <t>Blu-ray</t>
        </is>
      </c>
      <c r="F312" s="64" t="n"/>
      <c r="I312" s="64" t="inlineStr">
        <is>
          <t>John Bennett, a man whose childhood wish of bringing his teddy bear to life came true, now must decide between keeping the relationship with the bear or his girlfriend, Lori.</t>
        </is>
      </c>
      <c r="J312" s="64" t="inlineStr">
        <is>
          <t>Seth MacFarlane</t>
        </is>
      </c>
      <c r="K312" s="64" t="n">
        <v>107</v>
      </c>
      <c r="L312" s="64" t="inlineStr">
        <is>
          <t>Comedy, Fantasy</t>
        </is>
      </c>
      <c r="M312" s="64" t="inlineStr">
        <is>
          <t>Universal Pictures, MRC, Fuzzy Door Productions</t>
        </is>
      </c>
      <c r="N312" s="64" t="inlineStr">
        <is>
          <t>https://huggingface.co/datasets/HenryWaltson/TMDB-IMDB-Movies-Dataset</t>
        </is>
      </c>
      <c r="O312" s="64" t="inlineStr">
        <is>
          <t>https://huggingface.co/datasets/HenryWaltson/TMDB-IMDB-Movies-Dataset</t>
        </is>
      </c>
      <c r="P312" t="inlineStr">
        <is>
          <t>Mark Wahlberg</t>
        </is>
      </c>
      <c r="Q312" t="inlineStr">
        <is>
          <t>Mila Kunis</t>
        </is>
      </c>
      <c r="R312" t="inlineStr">
        <is>
          <t>Seth MacFarlane</t>
        </is>
      </c>
      <c r="S312" t="inlineStr">
        <is>
          <t>Joel McHale</t>
        </is>
      </c>
      <c r="T312" t="inlineStr">
        <is>
          <t>Giovanni Ribisi</t>
        </is>
      </c>
      <c r="U312" s="71" t="n">
        <v>1</v>
      </c>
      <c r="V312" s="71" t="n">
        <v>0</v>
      </c>
      <c r="X312" s="82">
        <f>IFERROR(INDEX(Ratings!$E$5:$E$500,MATCH(A312,Ratings!$A$5:$A$500,0)),"")</f>
        <v/>
      </c>
      <c r="Y312" s="71">
        <f>IFERROR(INDEX(Ratings!$G$5:$G$500,MATCH(A312,Ratings!$A$5:$A$500,0)),"")</f>
        <v/>
      </c>
      <c r="Z312" s="83">
        <f>IFERROR(INDEX(Ratings!$I$5:$I$500,MATCH(A312,Ratings!$A$5:$A$500,0)),"")</f>
        <v/>
      </c>
    </row>
    <row r="313" ht="15.75" customHeight="1" s="95">
      <c r="A313" t="inlineStr">
        <is>
          <t>F0309</t>
        </is>
      </c>
      <c r="B313" t="inlineStr">
        <is>
          <t>Teenage Mutant Ninja Turtles</t>
        </is>
      </c>
      <c r="C313" s="63" t="inlineStr">
        <is>
          <t>2014</t>
        </is>
      </c>
      <c r="D313" t="inlineStr">
        <is>
          <t>Blu-ray</t>
        </is>
      </c>
      <c r="F313" s="64" t="n"/>
      <c r="I313" s="64" t="inlineStr">
        <is>
          <t>Best guess: 2014 film.</t>
        </is>
      </c>
      <c r="J313" s="64" t="inlineStr">
        <is>
          <t>Jonathan Liebesman</t>
        </is>
      </c>
      <c r="K313" s="64" t="n">
        <v>101</v>
      </c>
      <c r="L313" s="64" t="inlineStr">
        <is>
          <t>Science Fiction, Action, Adventure, Comedy</t>
        </is>
      </c>
      <c r="M313" s="64" t="inlineStr">
        <is>
          <t>Nickelodeon Movies, Paramount, Platinum Dunes</t>
        </is>
      </c>
      <c r="N313" s="64" t="inlineStr">
        <is>
          <t>https://huggingface.co/datasets/HenryWaltson/TMDB-IMDB-Movies-Dataset</t>
        </is>
      </c>
      <c r="O313" s="64" t="inlineStr">
        <is>
          <t>https://huggingface.co/datasets/HenryWaltson/TMDB-IMDB-Movies-Dataset</t>
        </is>
      </c>
      <c r="P313" t="inlineStr">
        <is>
          <t>Pete Ploszek</t>
        </is>
      </c>
      <c r="Q313" t="inlineStr">
        <is>
          <t>Alan Ritchson</t>
        </is>
      </c>
      <c r="R313" t="inlineStr">
        <is>
          <t>Jeremy Howard</t>
        </is>
      </c>
      <c r="S313" t="inlineStr">
        <is>
          <t>Noel Fisher</t>
        </is>
      </c>
      <c r="T313" t="inlineStr">
        <is>
          <t>Megan Fox</t>
        </is>
      </c>
      <c r="U313" s="71" t="n">
        <v>0</v>
      </c>
      <c r="V313" s="71" t="n">
        <v>0</v>
      </c>
      <c r="X313" s="82">
        <f>IFERROR(INDEX(Ratings!$E$5:$E$500,MATCH(A313,Ratings!$A$5:$A$500,0)),"")</f>
        <v/>
      </c>
      <c r="Y313" s="71">
        <f>IFERROR(INDEX(Ratings!$G$5:$G$500,MATCH(A313,Ratings!$A$5:$A$500,0)),"")</f>
        <v/>
      </c>
      <c r="Z313" s="83">
        <f>IFERROR(INDEX(Ratings!$I$5:$I$500,MATCH(A313,Ratings!$A$5:$A$500,0)),"")</f>
        <v/>
      </c>
    </row>
    <row r="314" ht="15.75" customHeight="1" s="95">
      <c r="A314" t="inlineStr">
        <is>
          <t>F0310</t>
        </is>
      </c>
      <c r="B314" t="inlineStr">
        <is>
          <t>Terminator Salvation</t>
        </is>
      </c>
      <c r="C314" s="63" t="inlineStr">
        <is>
          <t>2009</t>
        </is>
      </c>
      <c r="D314" t="inlineStr">
        <is>
          <t>Blu-ray</t>
        </is>
      </c>
      <c r="F314" s="64" t="n"/>
      <c r="I314" s="64" t="inlineStr">
        <is>
          <t>All grown up in post-apocalyptic 2018, John Connor must lead the resistance of humans against the increasingly dominating militaristic robots. But when Marcus Wright appears, his existence confuses the mission as Connor tries to determine whether Wright has come from the future or the past -- and whether he's friend or foe.</t>
        </is>
      </c>
      <c r="J314" s="64" t="inlineStr">
        <is>
          <t>McG</t>
        </is>
      </c>
      <c r="K314" s="64" t="n">
        <v>115</v>
      </c>
      <c r="L314" s="64" t="inlineStr">
        <is>
          <t>Action, Science Fiction, Thriller</t>
        </is>
      </c>
      <c r="M314" s="64" t="inlineStr">
        <is>
          <t>Columbia Pictures, The Halcyon Company, Wonderland Sound and Vision</t>
        </is>
      </c>
      <c r="N314" s="64" t="inlineStr">
        <is>
          <t>https://huggingface.co/datasets/HenryWaltson/TMDB-IMDB-Movies-Dataset</t>
        </is>
      </c>
      <c r="O314" s="64" t="inlineStr">
        <is>
          <t>https://huggingface.co/datasets/HenryWaltson/TMDB-IMDB-Movies-Dataset</t>
        </is>
      </c>
      <c r="P314" t="inlineStr">
        <is>
          <t>Christian Bale</t>
        </is>
      </c>
      <c r="Q314" t="inlineStr">
        <is>
          <t>Sam Worthington</t>
        </is>
      </c>
      <c r="R314" t="inlineStr">
        <is>
          <t>Moon Bloodgood</t>
        </is>
      </c>
      <c r="S314" t="inlineStr">
        <is>
          <t>Helena Bonham Carter</t>
        </is>
      </c>
      <c r="T314" t="inlineStr">
        <is>
          <t>Anton Yelchin</t>
        </is>
      </c>
      <c r="U314" s="71" t="n">
        <v>0</v>
      </c>
      <c r="V314" s="71" t="n">
        <v>0</v>
      </c>
      <c r="X314" s="82">
        <f>IFERROR(INDEX(Ratings!$E$5:$E$500,MATCH(A314,Ratings!$A$5:$A$500,0)),"")</f>
        <v/>
      </c>
      <c r="Y314" s="71">
        <f>IFERROR(INDEX(Ratings!$G$5:$G$500,MATCH(A314,Ratings!$A$5:$A$500,0)),"")</f>
        <v/>
      </c>
      <c r="Z314" s="83">
        <f>IFERROR(INDEX(Ratings!$I$5:$I$500,MATCH(A314,Ratings!$A$5:$A$500,0)),"")</f>
        <v/>
      </c>
    </row>
    <row r="315" ht="15.75" customHeight="1" s="95">
      <c r="A315" t="inlineStr">
        <is>
          <t>F0311</t>
        </is>
      </c>
      <c r="B315" t="inlineStr">
        <is>
          <t>The Theory of Everything</t>
        </is>
      </c>
      <c r="C315" s="63" t="inlineStr">
        <is>
          <t>2014</t>
        </is>
      </c>
      <c r="D315" t="inlineStr">
        <is>
          <t>Blu-ray</t>
        </is>
      </c>
      <c r="F315" s="64" t="n"/>
      <c r="I315" s="64" t="inlineStr">
        <is>
          <t>Once a healthy, active young man, Hawking received an earth-shattering diagnosis at 21 years of age. With Jane fighting tirelessly by his side, Stephen embarks on his most ambitious scientific work, studying the very thing he now has precious little of – time.</t>
        </is>
      </c>
      <c r="J315" s="64" t="inlineStr">
        <is>
          <t>James Marsh</t>
        </is>
      </c>
      <c r="K315" s="64" t="n">
        <v>123</v>
      </c>
      <c r="L315" s="64" t="inlineStr">
        <is>
          <t>Drama, Romance</t>
        </is>
      </c>
      <c r="M315" s="64" t="inlineStr">
        <is>
          <t>Working Title Films</t>
        </is>
      </c>
      <c r="N315" s="64" t="inlineStr">
        <is>
          <t>https://huggingface.co/datasets/HenryWaltson/TMDB-IMDB-Movies-Dataset</t>
        </is>
      </c>
      <c r="O315" s="64" t="inlineStr">
        <is>
          <t>https://huggingface.co/datasets/HenryWaltson/TMDB-IMDB-Movies-Dataset</t>
        </is>
      </c>
      <c r="P315" t="inlineStr">
        <is>
          <t>Eddie Redmayne</t>
        </is>
      </c>
      <c r="Q315" t="inlineStr">
        <is>
          <t>Felicity Jones</t>
        </is>
      </c>
      <c r="R315" t="inlineStr">
        <is>
          <t>Charlie Cox</t>
        </is>
      </c>
      <c r="S315" t="inlineStr">
        <is>
          <t>Emily Watson</t>
        </is>
      </c>
      <c r="T315" t="inlineStr">
        <is>
          <t>Simon McBurney</t>
        </is>
      </c>
      <c r="U315" s="71" t="n">
        <v>5</v>
      </c>
      <c r="V315" s="71" t="n">
        <v>1</v>
      </c>
      <c r="W315" t="inlineStr">
        <is>
          <t>Nominated</t>
        </is>
      </c>
      <c r="X315" s="82">
        <f>IFERROR(INDEX(Ratings!$E$5:$E$500,MATCH(A315,Ratings!$A$5:$A$500,0)),"")</f>
        <v/>
      </c>
      <c r="Y315" s="71">
        <f>IFERROR(INDEX(Ratings!$G$5:$G$500,MATCH(A315,Ratings!$A$5:$A$500,0)),"")</f>
        <v/>
      </c>
      <c r="Z315" s="83">
        <f>IFERROR(INDEX(Ratings!$I$5:$I$500,MATCH(A315,Ratings!$A$5:$A$500,0)),"")</f>
        <v/>
      </c>
    </row>
    <row r="316" ht="15.75" customHeight="1" s="95">
      <c r="A316" t="inlineStr">
        <is>
          <t>F0312</t>
        </is>
      </c>
      <c r="B316" t="inlineStr">
        <is>
          <t>Toy Story</t>
        </is>
      </c>
      <c r="C316" s="63" t="inlineStr">
        <is>
          <t>1995</t>
        </is>
      </c>
      <c r="D316" t="inlineStr">
        <is>
          <t>Blu-ray</t>
        </is>
      </c>
      <c r="E316" t="inlineStr">
        <is>
          <t>Toy Story</t>
        </is>
      </c>
      <c r="F316" s="64" t="n"/>
      <c r="I316" s="64" t="inlineStr">
        <is>
          <t>Led by Woody, Andy's toys live happily in his room until Andy's birthday brings Buzz Lightyear onto the scene. Afraid of losing his place in Andy's heart, Woody plots against Buzz. But when circumstances separate Buzz and Woody from their owner, the duo eventually learns to put aside their differences.</t>
        </is>
      </c>
      <c r="J316" s="64" t="inlineStr">
        <is>
          <t>John Lasseter</t>
        </is>
      </c>
      <c r="K316" s="64" t="n">
        <v>81</v>
      </c>
      <c r="L316" s="64" t="inlineStr">
        <is>
          <t>Animation, Adventure, Family, Comedy</t>
        </is>
      </c>
      <c r="M316" s="64" t="inlineStr">
        <is>
          <t>Pixar</t>
        </is>
      </c>
      <c r="N316" s="64" t="inlineStr">
        <is>
          <t>https://huggingface.co/datasets/HenryWaltson/TMDB-IMDB-Movies-Dataset</t>
        </is>
      </c>
      <c r="O316" s="64" t="inlineStr">
        <is>
          <t>https://huggingface.co/datasets/HenryWaltson/TMDB-IMDB-Movies-Dataset</t>
        </is>
      </c>
      <c r="P316" t="inlineStr">
        <is>
          <t>Tom Hanks</t>
        </is>
      </c>
      <c r="Q316" t="inlineStr">
        <is>
          <t>Tim Allen</t>
        </is>
      </c>
      <c r="R316" t="inlineStr">
        <is>
          <t>Don Rickles</t>
        </is>
      </c>
      <c r="S316" t="inlineStr">
        <is>
          <t>Jim Varney</t>
        </is>
      </c>
      <c r="T316" t="inlineStr">
        <is>
          <t>Wallace Shawn</t>
        </is>
      </c>
      <c r="U316" s="71" t="n">
        <v>4</v>
      </c>
      <c r="V316" s="71" t="n">
        <v>1</v>
      </c>
      <c r="X316" s="82">
        <f>IFERROR(INDEX(Ratings!$E$5:$E$500,MATCH(A316,Ratings!$A$5:$A$500,0)),"")</f>
        <v/>
      </c>
      <c r="Y316" s="71">
        <f>IFERROR(INDEX(Ratings!$G$5:$G$500,MATCH(A316,Ratings!$A$5:$A$500,0)),"")</f>
        <v/>
      </c>
      <c r="Z316" s="83">
        <f>IFERROR(INDEX(Ratings!$I$5:$I$500,MATCH(A316,Ratings!$A$5:$A$500,0)),"")</f>
        <v/>
      </c>
    </row>
    <row r="317" ht="15.75" customHeight="1" s="95">
      <c r="A317" t="inlineStr">
        <is>
          <t>F0313</t>
        </is>
      </c>
      <c r="B317" t="inlineStr">
        <is>
          <t>Toy Story 2</t>
        </is>
      </c>
      <c r="C317" s="63" t="inlineStr">
        <is>
          <t>1999</t>
        </is>
      </c>
      <c r="D317" t="inlineStr">
        <is>
          <t>Blu-ray</t>
        </is>
      </c>
      <c r="E317" t="inlineStr">
        <is>
          <t>Toy Story</t>
        </is>
      </c>
      <c r="F317" s="64" t="n"/>
      <c r="I317" s="64" t="inlineStr">
        <is>
          <t>Andy heads off to Cowboy Camp, leaving his toys to their own devices. Things shift into high gear when an obsessive toy collector named Al McWhiggen, owner of Al's Toy Barn kidnaps Woody. Andy's toys mount a daring rescue mission, Buzz Lightyear meets his match and Woody has to decide where he and his heart truly belong.</t>
        </is>
      </c>
      <c r="J317" s="64" t="inlineStr">
        <is>
          <t>John Lasseter, Ash Brannon, Lee Unkrich</t>
        </is>
      </c>
      <c r="K317" s="64" t="n">
        <v>92</v>
      </c>
      <c r="L317" s="64" t="inlineStr">
        <is>
          <t>Animation, Comedy, Family</t>
        </is>
      </c>
      <c r="M317" s="64" t="inlineStr">
        <is>
          <t>Pixar</t>
        </is>
      </c>
      <c r="N317" s="64" t="inlineStr">
        <is>
          <t>https://huggingface.co/datasets/HenryWaltson/TMDB-IMDB-Movies-Dataset</t>
        </is>
      </c>
      <c r="O317" s="64" t="inlineStr">
        <is>
          <t>https://huggingface.co/datasets/HenryWaltson/TMDB-IMDB-Movies-Dataset</t>
        </is>
      </c>
      <c r="P317" t="inlineStr">
        <is>
          <t>Tom Hanks</t>
        </is>
      </c>
      <c r="Q317" t="inlineStr">
        <is>
          <t>Tim Allen</t>
        </is>
      </c>
      <c r="R317" t="inlineStr">
        <is>
          <t>Joan Cusack</t>
        </is>
      </c>
      <c r="S317" t="inlineStr">
        <is>
          <t>Kelsey Grammer</t>
        </is>
      </c>
      <c r="T317" t="inlineStr">
        <is>
          <t>Don Rickles</t>
        </is>
      </c>
      <c r="U317" s="71" t="n">
        <v>1</v>
      </c>
      <c r="V317" s="71" t="n">
        <v>0</v>
      </c>
      <c r="X317" s="82">
        <f>IFERROR(INDEX(Ratings!$E$5:$E$500,MATCH(A317,Ratings!$A$5:$A$500,0)),"")</f>
        <v/>
      </c>
      <c r="Y317" s="71">
        <f>IFERROR(INDEX(Ratings!$G$5:$G$500,MATCH(A317,Ratings!$A$5:$A$500,0)),"")</f>
        <v/>
      </c>
      <c r="Z317" s="83">
        <f>IFERROR(INDEX(Ratings!$I$5:$I$500,MATCH(A317,Ratings!$A$5:$A$500,0)),"")</f>
        <v/>
      </c>
    </row>
    <row r="318" ht="15.75" customHeight="1" s="95">
      <c r="A318" t="inlineStr">
        <is>
          <t>F0314</t>
        </is>
      </c>
      <c r="B318" t="inlineStr">
        <is>
          <t>Toy Story 3</t>
        </is>
      </c>
      <c r="C318" s="63" t="inlineStr">
        <is>
          <t>2010</t>
        </is>
      </c>
      <c r="D318" t="inlineStr">
        <is>
          <t>Blu-ray</t>
        </is>
      </c>
      <c r="E318" t="inlineStr">
        <is>
          <t>Toy Story</t>
        </is>
      </c>
      <c r="F318" s="64" t="n"/>
      <c r="I318" s="64" t="inlineStr">
        <is>
          <t>Woody, Buzz, and the rest of Andy's toys haven't been played with in years. With Andy about to go to college, the gang find themselves accidentally left at a nefarious day care center. The toys must band together to escape and return home to Andy.</t>
        </is>
      </c>
      <c r="J318" s="64" t="inlineStr">
        <is>
          <t>Lee Unkrich</t>
        </is>
      </c>
      <c r="K318" s="64" t="n">
        <v>103</v>
      </c>
      <c r="L318" s="64" t="inlineStr">
        <is>
          <t>Animation, Family, Comedy</t>
        </is>
      </c>
      <c r="M318" s="64" t="inlineStr">
        <is>
          <t>Pixar, Walt Disney Pictures</t>
        </is>
      </c>
      <c r="N318" s="64" t="inlineStr">
        <is>
          <t>https://huggingface.co/datasets/HenryWaltson/TMDB-IMDB-Movies-Dataset</t>
        </is>
      </c>
      <c r="O318" s="64" t="inlineStr">
        <is>
          <t>https://huggingface.co/datasets/HenryWaltson/TMDB-IMDB-Movies-Dataset</t>
        </is>
      </c>
      <c r="P318" t="inlineStr">
        <is>
          <t>Tom Hanks</t>
        </is>
      </c>
      <c r="Q318" t="inlineStr">
        <is>
          <t>Tim Allen</t>
        </is>
      </c>
      <c r="R318" t="inlineStr">
        <is>
          <t>Joan Cusack</t>
        </is>
      </c>
      <c r="S318" t="inlineStr">
        <is>
          <t>Don Rickles</t>
        </is>
      </c>
      <c r="T318" t="inlineStr">
        <is>
          <t>Wallace Shawn</t>
        </is>
      </c>
      <c r="U318" s="71" t="n">
        <v>5</v>
      </c>
      <c r="V318" s="71" t="n">
        <v>2</v>
      </c>
      <c r="W318" t="inlineStr">
        <is>
          <t>Nominated</t>
        </is>
      </c>
      <c r="X318" s="82">
        <f>IFERROR(INDEX(Ratings!$E$5:$E$500,MATCH(A318,Ratings!$A$5:$A$500,0)),"")</f>
        <v/>
      </c>
      <c r="Y318" s="71">
        <f>IFERROR(INDEX(Ratings!$G$5:$G$500,MATCH(A318,Ratings!$A$5:$A$500,0)),"")</f>
        <v/>
      </c>
      <c r="Z318" s="83">
        <f>IFERROR(INDEX(Ratings!$I$5:$I$500,MATCH(A318,Ratings!$A$5:$A$500,0)),"")</f>
        <v/>
      </c>
    </row>
    <row r="319" ht="15.75" customHeight="1" s="95">
      <c r="A319" t="inlineStr">
        <is>
          <t>F0315</t>
        </is>
      </c>
      <c r="B319" t="inlineStr">
        <is>
          <t>Toy Story 4</t>
        </is>
      </c>
      <c r="C319" s="63" t="inlineStr">
        <is>
          <t>2019</t>
        </is>
      </c>
      <c r="D319" t="inlineStr">
        <is>
          <t>Blu-ray</t>
        </is>
      </c>
      <c r="E319" t="inlineStr">
        <is>
          <t>Toy Story</t>
        </is>
      </c>
      <c r="F319" s="64" t="n"/>
      <c r="I319" s="64" t="inlineStr">
        <is>
          <t>Woody has always been confident about his place in the world, devoted to taking care of his kid—whether that's Andy or Bonnie. But after Bonnie creates a reluctant new toy called "Forky", a road trip adventure alongside old and new friends challenges everything Woody believes about loyalty, purpose, and what it truly means to be a toy.</t>
        </is>
      </c>
      <c r="J319" s="64" t="inlineStr">
        <is>
          <t>Josh Cooley</t>
        </is>
      </c>
      <c r="K319" s="64" t="n">
        <v>100</v>
      </c>
      <c r="L319" s="64" t="inlineStr">
        <is>
          <t>Family, Adventure, Animation, Comedy, Fantasy</t>
        </is>
      </c>
      <c r="M319" s="64" t="inlineStr">
        <is>
          <t>Walt Disney Pictures, Pixar</t>
        </is>
      </c>
      <c r="N319" s="64" t="inlineStr">
        <is>
          <t>https://huggingface.co/datasets/HenryWaltson/TMDB-IMDB-Movies-Dataset</t>
        </is>
      </c>
      <c r="O319" s="64" t="inlineStr">
        <is>
          <t>https://huggingface.co/datasets/HenryWaltson/TMDB-IMDB-Movies-Dataset</t>
        </is>
      </c>
      <c r="P319" t="inlineStr">
        <is>
          <t>Tom Hanks</t>
        </is>
      </c>
      <c r="Q319" t="inlineStr">
        <is>
          <t>Tim Allen</t>
        </is>
      </c>
      <c r="R319" t="inlineStr">
        <is>
          <t>Annie Potts</t>
        </is>
      </c>
      <c r="S319" t="inlineStr">
        <is>
          <t>Tony Hale</t>
        </is>
      </c>
      <c r="T319" t="inlineStr">
        <is>
          <t>Keegan-Michael Key</t>
        </is>
      </c>
      <c r="U319" s="71" t="n">
        <v>2</v>
      </c>
      <c r="V319" s="71" t="n">
        <v>1</v>
      </c>
      <c r="X319" s="82">
        <f>IFERROR(INDEX(Ratings!$E$5:$E$500,MATCH(A319,Ratings!$A$5:$A$500,0)),"")</f>
        <v/>
      </c>
      <c r="Y319" s="71">
        <f>IFERROR(INDEX(Ratings!$G$5:$G$500,MATCH(A319,Ratings!$A$5:$A$500,0)),"")</f>
        <v/>
      </c>
      <c r="Z319" s="83">
        <f>IFERROR(INDEX(Ratings!$I$5:$I$500,MATCH(A319,Ratings!$A$5:$A$500,0)),"")</f>
        <v/>
      </c>
    </row>
    <row r="320" ht="15.75" customHeight="1" s="95">
      <c r="A320" t="inlineStr">
        <is>
          <t>F0316</t>
        </is>
      </c>
      <c r="B320" t="inlineStr">
        <is>
          <t>Transformers</t>
        </is>
      </c>
      <c r="C320" s="63" t="inlineStr">
        <is>
          <t>2007</t>
        </is>
      </c>
      <c r="D320" t="inlineStr">
        <is>
          <t>Blu-ray</t>
        </is>
      </c>
      <c r="E320" t="inlineStr">
        <is>
          <t>Transformers</t>
        </is>
      </c>
      <c r="F320" s="64" t="n"/>
      <c r="I320" s="64" t="inlineStr">
        <is>
          <t>Young teenager Sam Witwicky becomes involved in the ancient struggle between two extraterrestrial factions of transforming robots – the heroic Autobots and the evil Decepticons. Sam holds the clue to unimaginable power and the Decepticons will stop at nothing to retrieve it.</t>
        </is>
      </c>
      <c r="J320" s="64" t="inlineStr">
        <is>
          <t>Michael Bay</t>
        </is>
      </c>
      <c r="K320" s="64" t="n">
        <v>143</v>
      </c>
      <c r="L320" s="64" t="inlineStr">
        <is>
          <t>Adventure, Science Fiction, Action</t>
        </is>
      </c>
      <c r="M320" s="64" t="inlineStr">
        <is>
          <t>DreamWorks Pictures, di Bonaventura Pictures, Tom DeSanto/Don Murphy Production</t>
        </is>
      </c>
      <c r="N320" s="64" t="inlineStr">
        <is>
          <t>https://huggingface.co/datasets/HenryWaltson/TMDB-IMDB-Movies-Dataset</t>
        </is>
      </c>
      <c r="O320" s="64" t="inlineStr">
        <is>
          <t>https://huggingface.co/datasets/HenryWaltson/TMDB-IMDB-Movies-Dataset</t>
        </is>
      </c>
      <c r="P320" t="inlineStr">
        <is>
          <t>Shia LaBeouf</t>
        </is>
      </c>
      <c r="Q320" t="inlineStr">
        <is>
          <t>Megan Fox</t>
        </is>
      </c>
      <c r="R320" t="inlineStr">
        <is>
          <t>Mark Ryan</t>
        </is>
      </c>
      <c r="S320" t="inlineStr">
        <is>
          <t>Peter Cullen</t>
        </is>
      </c>
      <c r="T320" t="inlineStr">
        <is>
          <t>Hugo Weaving</t>
        </is>
      </c>
      <c r="U320" s="71" t="n">
        <v>3</v>
      </c>
      <c r="V320" s="71" t="n">
        <v>0</v>
      </c>
      <c r="X320" s="82">
        <f>IFERROR(INDEX(Ratings!$E$5:$E$500,MATCH(A320,Ratings!$A$5:$A$500,0)),"")</f>
        <v/>
      </c>
      <c r="Y320" s="71">
        <f>IFERROR(INDEX(Ratings!$G$5:$G$500,MATCH(A320,Ratings!$A$5:$A$500,0)),"")</f>
        <v/>
      </c>
      <c r="Z320" s="83">
        <f>IFERROR(INDEX(Ratings!$I$5:$I$500,MATCH(A320,Ratings!$A$5:$A$500,0)),"")</f>
        <v/>
      </c>
    </row>
    <row r="321" ht="15.75" customHeight="1" s="95">
      <c r="A321" t="inlineStr">
        <is>
          <t>F0317</t>
        </is>
      </c>
      <c r="B321" t="inlineStr">
        <is>
          <t>Transformers: Revenge of the Fallen</t>
        </is>
      </c>
      <c r="C321" s="63" t="inlineStr">
        <is>
          <t>2009</t>
        </is>
      </c>
      <c r="D321" t="inlineStr">
        <is>
          <t>Blu-ray</t>
        </is>
      </c>
      <c r="E321" t="inlineStr">
        <is>
          <t>Transformers</t>
        </is>
      </c>
      <c r="F321" s="64" t="n"/>
      <c r="I321" s="64" t="inlineStr">
        <is>
          <t>Sam Witwicky leaves the Autobots behind for a normal life. But when his mind is filled with cryptic symbols, the Decepticons target him and he is dragged back into the Transformers' war.</t>
        </is>
      </c>
      <c r="J321" s="64" t="inlineStr">
        <is>
          <t>Michael Bay</t>
        </is>
      </c>
      <c r="K321" s="64" t="n">
        <v>149</v>
      </c>
      <c r="L321" s="64" t="inlineStr">
        <is>
          <t>Science Fiction, Action, Adventure</t>
        </is>
      </c>
      <c r="M321" s="64" t="inlineStr">
        <is>
          <t>DreamWorks Pictures, Paramount, di Bonaventura Pictures</t>
        </is>
      </c>
      <c r="N321" s="64" t="inlineStr">
        <is>
          <t>https://huggingface.co/datasets/HenryWaltson/TMDB-IMDB-Movies-Dataset</t>
        </is>
      </c>
      <c r="O321" s="64" t="inlineStr">
        <is>
          <t>https://huggingface.co/datasets/HenryWaltson/TMDB-IMDB-Movies-Dataset</t>
        </is>
      </c>
      <c r="P321" t="inlineStr">
        <is>
          <t>Shia LaBeouf</t>
        </is>
      </c>
      <c r="Q321" t="inlineStr">
        <is>
          <t>Megan Fox</t>
        </is>
      </c>
      <c r="R321" t="inlineStr">
        <is>
          <t>Peter Cullen</t>
        </is>
      </c>
      <c r="S321" t="inlineStr">
        <is>
          <t>Hugo Weaving</t>
        </is>
      </c>
      <c r="T321" t="inlineStr">
        <is>
          <t>Tony Todd</t>
        </is>
      </c>
      <c r="U321" s="71" t="n">
        <v>1</v>
      </c>
      <c r="V321" s="71" t="n">
        <v>0</v>
      </c>
      <c r="X321" s="82">
        <f>IFERROR(INDEX(Ratings!$E$5:$E$500,MATCH(A321,Ratings!$A$5:$A$500,0)),"")</f>
        <v/>
      </c>
      <c r="Y321" s="71">
        <f>IFERROR(INDEX(Ratings!$G$5:$G$500,MATCH(A321,Ratings!$A$5:$A$500,0)),"")</f>
        <v/>
      </c>
      <c r="Z321" s="83">
        <f>IFERROR(INDEX(Ratings!$I$5:$I$500,MATCH(A321,Ratings!$A$5:$A$500,0)),"")</f>
        <v/>
      </c>
    </row>
    <row r="322" ht="15.75" customHeight="1" s="95">
      <c r="A322" t="inlineStr">
        <is>
          <t>F0318</t>
        </is>
      </c>
      <c r="B322" t="inlineStr">
        <is>
          <t>Transformers: Dark of the Moon</t>
        </is>
      </c>
      <c r="C322" s="63" t="inlineStr">
        <is>
          <t>2011</t>
        </is>
      </c>
      <c r="D322" t="inlineStr">
        <is>
          <t>Blu-ray</t>
        </is>
      </c>
      <c r="E322" t="inlineStr">
        <is>
          <t>Transformers</t>
        </is>
      </c>
      <c r="F322" s="64" t="n"/>
      <c r="I322" s="64" t="inlineStr">
        <is>
          <t>The Autobots continue to work for NEST, now no longer in secret. But after discovering a strange artifact during a mission in Chernobyl, it becomes apparent to Optimus Prime that the United States government has been less than forthright with them.</t>
        </is>
      </c>
      <c r="J322" s="64" t="inlineStr">
        <is>
          <t>Michael Bay</t>
        </is>
      </c>
      <c r="K322" s="64" t="n">
        <v>154</v>
      </c>
      <c r="L322" s="64" t="inlineStr">
        <is>
          <t>Action, Science Fiction, Adventure</t>
        </is>
      </c>
      <c r="M322" s="64" t="inlineStr">
        <is>
          <t>Paramount, di Bonaventura Pictures, Tom DeSanto/Don Murphy Production</t>
        </is>
      </c>
      <c r="N322" s="64" t="inlineStr">
        <is>
          <t>https://huggingface.co/datasets/HenryWaltson/TMDB-IMDB-Movies-Dataset</t>
        </is>
      </c>
      <c r="O322" s="64" t="inlineStr">
        <is>
          <t>https://huggingface.co/datasets/HenryWaltson/TMDB-IMDB-Movies-Dataset</t>
        </is>
      </c>
      <c r="P322" t="inlineStr">
        <is>
          <t>Shia LaBeouf</t>
        </is>
      </c>
      <c r="Q322" t="inlineStr">
        <is>
          <t>Rosie Huntington-Whiteley</t>
        </is>
      </c>
      <c r="R322" t="inlineStr">
        <is>
          <t>Peter Cullen</t>
        </is>
      </c>
      <c r="S322" t="inlineStr">
        <is>
          <t>Leonard Nimoy</t>
        </is>
      </c>
      <c r="T322" t="inlineStr">
        <is>
          <t>John Turturro</t>
        </is>
      </c>
      <c r="U322" s="71" t="n">
        <v>3</v>
      </c>
      <c r="V322" s="71" t="n">
        <v>0</v>
      </c>
      <c r="X322" s="82">
        <f>IFERROR(INDEX(Ratings!$E$5:$E$500,MATCH(A322,Ratings!$A$5:$A$500,0)),"")</f>
        <v/>
      </c>
      <c r="Y322" s="71">
        <f>IFERROR(INDEX(Ratings!$G$5:$G$500,MATCH(A322,Ratings!$A$5:$A$500,0)),"")</f>
        <v/>
      </c>
      <c r="Z322" s="83">
        <f>IFERROR(INDEX(Ratings!$I$5:$I$500,MATCH(A322,Ratings!$A$5:$A$500,0)),"")</f>
        <v/>
      </c>
    </row>
    <row r="323" ht="15.75" customHeight="1" s="95">
      <c r="A323" t="inlineStr">
        <is>
          <t>F0319</t>
        </is>
      </c>
      <c r="B323" t="inlineStr">
        <is>
          <t>Transformers: Age of Extinction</t>
        </is>
      </c>
      <c r="C323" s="63" t="inlineStr">
        <is>
          <t>2014</t>
        </is>
      </c>
      <c r="D323" t="inlineStr">
        <is>
          <t>Blu-ray</t>
        </is>
      </c>
      <c r="E323" t="inlineStr">
        <is>
          <t>Transformers</t>
        </is>
      </c>
      <c r="F323" s="64" t="n"/>
      <c r="I323" s="64" t="inlineStr">
        <is>
          <t>As humanity picks up the pieces after the battle of Chicago, a shadowy group reveals itself in an attempt to control the direction of history…while an ancient, powerful new menace sets Earth in its crosshairs. With help from Cade Yeager, Optimus Prime and the Autobots rise to meet their most fearsome challenge yet.</t>
        </is>
      </c>
      <c r="J323" s="64" t="inlineStr">
        <is>
          <t>Michael Bay</t>
        </is>
      </c>
      <c r="K323" s="64" t="n">
        <v>165</v>
      </c>
      <c r="L323" s="64" t="inlineStr">
        <is>
          <t>Science Fiction, Action, Adventure</t>
        </is>
      </c>
      <c r="M323" s="64" t="inlineStr">
        <is>
          <t>di Bonaventura Pictures, Tom DeSanto/Don Murphy Production, Ian Bryce Productions</t>
        </is>
      </c>
      <c r="N323" s="64" t="inlineStr">
        <is>
          <t>https://huggingface.co/datasets/HenryWaltson/TMDB-IMDB-Movies-Dataset</t>
        </is>
      </c>
      <c r="O323" s="64" t="inlineStr">
        <is>
          <t>https://huggingface.co/datasets/HenryWaltson/TMDB-IMDB-Movies-Dataset</t>
        </is>
      </c>
      <c r="P323" t="inlineStr">
        <is>
          <t>Mark Wahlberg</t>
        </is>
      </c>
      <c r="Q323" t="inlineStr">
        <is>
          <t>Peter Cullen</t>
        </is>
      </c>
      <c r="R323" t="inlineStr">
        <is>
          <t>Stanley Tucci</t>
        </is>
      </c>
      <c r="S323" t="inlineStr">
        <is>
          <t>Kelsey Grammer</t>
        </is>
      </c>
      <c r="T323" t="inlineStr">
        <is>
          <t>Nicola Peltz Beckham</t>
        </is>
      </c>
      <c r="U323" s="71" t="n">
        <v>0</v>
      </c>
      <c r="V323" s="71" t="n">
        <v>0</v>
      </c>
      <c r="X323" s="82">
        <f>IFERROR(INDEX(Ratings!$E$5:$E$500,MATCH(A323,Ratings!$A$5:$A$500,0)),"")</f>
        <v/>
      </c>
      <c r="Y323" s="71">
        <f>IFERROR(INDEX(Ratings!$G$5:$G$500,MATCH(A323,Ratings!$A$5:$A$500,0)),"")</f>
        <v/>
      </c>
      <c r="Z323" s="83">
        <f>IFERROR(INDEX(Ratings!$I$5:$I$500,MATCH(A323,Ratings!$A$5:$A$500,0)),"")</f>
        <v/>
      </c>
    </row>
    <row r="324" ht="15.75" customHeight="1" s="95">
      <c r="A324" t="inlineStr">
        <is>
          <t>F0320</t>
        </is>
      </c>
      <c r="B324" t="inlineStr">
        <is>
          <t>Transformers: The Last Knight</t>
        </is>
      </c>
      <c r="C324" s="63" t="inlineStr">
        <is>
          <t>2017</t>
        </is>
      </c>
      <c r="D324" t="inlineStr">
        <is>
          <t>Blu-ray</t>
        </is>
      </c>
      <c r="E324" t="inlineStr">
        <is>
          <t>Transformers</t>
        </is>
      </c>
      <c r="F324" s="64" t="n"/>
      <c r="I324" s="64" t="inlineStr">
        <is>
          <t>Humans and Transformers are at war. Optimus Prime is gone. The key to saving our future lies buried in the secrets of the past, in the hidden history of Transformers on Earth. Saving our world falls upon the shoulders of an unlikely alliance: Cade Yeager; Bumblebee; an English Lord; and an Oxford Professor.</t>
        </is>
      </c>
      <c r="J324" s="64" t="inlineStr">
        <is>
          <t>Michael Bay</t>
        </is>
      </c>
      <c r="K324" s="64" t="n">
        <v>154</v>
      </c>
      <c r="L324" s="64" t="inlineStr">
        <is>
          <t>Action, Adventure, Science Fiction</t>
        </is>
      </c>
      <c r="M324" s="64" t="inlineStr">
        <is>
          <t>Paramount, di Bonaventura Pictures, Ian Bryce Productions</t>
        </is>
      </c>
      <c r="N324" s="64" t="inlineStr">
        <is>
          <t>https://huggingface.co/datasets/HenryWaltson/TMDB-IMDB-Movies-Dataset</t>
        </is>
      </c>
      <c r="O324" s="64" t="inlineStr">
        <is>
          <t>https://huggingface.co/datasets/HenryWaltson/TMDB-IMDB-Movies-Dataset</t>
        </is>
      </c>
      <c r="P324" t="inlineStr">
        <is>
          <t>Mark Wahlberg</t>
        </is>
      </c>
      <c r="Q324" t="inlineStr">
        <is>
          <t>Laura Haddock</t>
        </is>
      </c>
      <c r="R324" t="inlineStr">
        <is>
          <t>Peter Cullen</t>
        </is>
      </c>
      <c r="S324" t="inlineStr">
        <is>
          <t>Anthony Hopkins</t>
        </is>
      </c>
      <c r="T324" t="inlineStr">
        <is>
          <t>Josh Duhamel</t>
        </is>
      </c>
      <c r="U324" s="71" t="n">
        <v>0</v>
      </c>
      <c r="V324" s="71" t="n">
        <v>0</v>
      </c>
      <c r="X324" s="82">
        <f>IFERROR(INDEX(Ratings!$E$5:$E$500,MATCH(A324,Ratings!$A$5:$A$500,0)),"")</f>
        <v/>
      </c>
      <c r="Y324" s="71">
        <f>IFERROR(INDEX(Ratings!$G$5:$G$500,MATCH(A324,Ratings!$A$5:$A$500,0)),"")</f>
        <v/>
      </c>
      <c r="Z324" s="83">
        <f>IFERROR(INDEX(Ratings!$I$5:$I$500,MATCH(A324,Ratings!$A$5:$A$500,0)),"")</f>
        <v/>
      </c>
    </row>
    <row r="325" ht="15.75" customHeight="1" s="95">
      <c r="A325" t="inlineStr">
        <is>
          <t>F0321</t>
        </is>
      </c>
      <c r="B325" t="inlineStr">
        <is>
          <t>Transformers: Rise of the Beasts</t>
        </is>
      </c>
      <c r="C325" s="63" t="inlineStr">
        <is>
          <t>2023</t>
        </is>
      </c>
      <c r="D325" t="inlineStr">
        <is>
          <t>Blu-ray</t>
        </is>
      </c>
      <c r="E325" t="inlineStr">
        <is>
          <t>Transformers</t>
        </is>
      </c>
      <c r="F325" s="64" t="n"/>
      <c r="I325" s="64" t="inlineStr">
        <is>
          <t>When a new threat capable of destroying the entire planet emerges, Optimus Prime and the Autobots must team up with a powerful faction known as the Maximals. With the fate of humanity hanging in the balance, humans Noah and Elena will do whatever it takes to help the Transformers as they engage in the ultimate battle to save Earth.</t>
        </is>
      </c>
      <c r="J325" s="64" t="inlineStr">
        <is>
          <t>Steven Caple Jr.</t>
        </is>
      </c>
      <c r="K325" s="64" t="n">
        <v>127</v>
      </c>
      <c r="L325" s="64" t="inlineStr">
        <is>
          <t>Action, Adventure, Science Fiction</t>
        </is>
      </c>
      <c r="M325" s="64" t="inlineStr">
        <is>
          <t>Skydance, Paramount, di Bonaventura Pictures</t>
        </is>
      </c>
      <c r="N325" s="64" t="inlineStr">
        <is>
          <t>https://huggingface.co/datasets/HenryWaltson/TMDB-IMDB-Movies-Dataset</t>
        </is>
      </c>
      <c r="O325" s="64" t="inlineStr">
        <is>
          <t>https://huggingface.co/datasets/HenryWaltson/TMDB-IMDB-Movies-Dataset</t>
        </is>
      </c>
      <c r="P325" t="inlineStr">
        <is>
          <t>Anthony Ramos</t>
        </is>
      </c>
      <c r="Q325" t="inlineStr">
        <is>
          <t>Dominique Fishback</t>
        </is>
      </c>
      <c r="R325" t="inlineStr">
        <is>
          <t>Peter Cullen</t>
        </is>
      </c>
      <c r="S325" t="inlineStr">
        <is>
          <t>Ron Perlman</t>
        </is>
      </c>
      <c r="T325" t="inlineStr">
        <is>
          <t>Peter Dinklage</t>
        </is>
      </c>
      <c r="U325" s="71" t="n">
        <v>0</v>
      </c>
      <c r="V325" s="71" t="n">
        <v>0</v>
      </c>
      <c r="X325" s="82">
        <f>IFERROR(INDEX(Ratings!$E$5:$E$500,MATCH(A325,Ratings!$A$5:$A$500,0)),"")</f>
        <v/>
      </c>
      <c r="Y325" s="71">
        <f>IFERROR(INDEX(Ratings!$G$5:$G$500,MATCH(A325,Ratings!$A$5:$A$500,0)),"")</f>
        <v/>
      </c>
      <c r="Z325" s="83">
        <f>IFERROR(INDEX(Ratings!$I$5:$I$500,MATCH(A325,Ratings!$A$5:$A$500,0)),"")</f>
        <v/>
      </c>
    </row>
    <row r="326" ht="15.75" customHeight="1" s="95">
      <c r="A326" t="inlineStr">
        <is>
          <t>F0322</t>
        </is>
      </c>
      <c r="B326" t="inlineStr">
        <is>
          <t>The Transformers: The Movie</t>
        </is>
      </c>
      <c r="C326" s="63" t="inlineStr">
        <is>
          <t>1986</t>
        </is>
      </c>
      <c r="D326" t="inlineStr">
        <is>
          <t>Blu-ray</t>
        </is>
      </c>
      <c r="E326" t="inlineStr">
        <is>
          <t>Transformers</t>
        </is>
      </c>
      <c r="F326" s="64" t="n"/>
      <c r="I326" s="64" t="inlineStr">
        <is>
          <t>The Autobots must stop a colossal planet-consuming robot who goes after the Autobot Matrix of Leadership. At the same time, they must defend themselves against an all-out attack from the Decepticons.</t>
        </is>
      </c>
      <c r="J326" s="64" t="inlineStr">
        <is>
          <t>Nelson Shin</t>
        </is>
      </c>
      <c r="K326" s="64" t="n">
        <v>84</v>
      </c>
      <c r="L326" s="64" t="inlineStr">
        <is>
          <t>Animation, Science Fiction, Action, Adventure, Family</t>
        </is>
      </c>
      <c r="M326" s="64" t="inlineStr">
        <is>
          <t>Hasbro, Marvel Productions, Sunbow Productions</t>
        </is>
      </c>
      <c r="N326" s="64" t="inlineStr">
        <is>
          <t>https://huggingface.co/datasets/HenryWaltson/TMDB-IMDB-Movies-Dataset</t>
        </is>
      </c>
      <c r="O326" s="64" t="inlineStr">
        <is>
          <t>https://huggingface.co/datasets/HenryWaltson/TMDB-IMDB-Movies-Dataset</t>
        </is>
      </c>
      <c r="P326" t="inlineStr">
        <is>
          <t>Judd Nelson</t>
        </is>
      </c>
      <c r="Q326" t="inlineStr">
        <is>
          <t>Peter Cullen</t>
        </is>
      </c>
      <c r="R326" t="inlineStr">
        <is>
          <t>Frank Welker</t>
        </is>
      </c>
      <c r="S326" t="inlineStr">
        <is>
          <t>Leonard Nimoy</t>
        </is>
      </c>
      <c r="T326" t="inlineStr">
        <is>
          <t>Casey Kasem</t>
        </is>
      </c>
      <c r="U326" s="71" t="n">
        <v>0</v>
      </c>
      <c r="V326" s="71" t="n">
        <v>0</v>
      </c>
      <c r="X326" s="82">
        <f>IFERROR(INDEX(Ratings!$E$5:$E$500,MATCH(A326,Ratings!$A$5:$A$500,0)),"")</f>
        <v/>
      </c>
      <c r="Y326" s="71">
        <f>IFERROR(INDEX(Ratings!$G$5:$G$500,MATCH(A326,Ratings!$A$5:$A$500,0)),"")</f>
        <v/>
      </c>
      <c r="Z326" s="83">
        <f>IFERROR(INDEX(Ratings!$I$5:$I$500,MATCH(A326,Ratings!$A$5:$A$500,0)),"")</f>
        <v/>
      </c>
    </row>
    <row r="327" ht="15.75" customHeight="1" s="95">
      <c r="A327" t="inlineStr">
        <is>
          <t>F0323</t>
        </is>
      </c>
      <c r="B327" t="inlineStr">
        <is>
          <t>The Transporter Refueled</t>
        </is>
      </c>
      <c r="C327" s="63" t="inlineStr">
        <is>
          <t>2015</t>
        </is>
      </c>
      <c r="D327" t="inlineStr">
        <is>
          <t>Blu-ray</t>
        </is>
      </c>
      <c r="F327" s="64" t="n"/>
      <c r="I327" s="64" t="inlineStr">
        <is>
          <t>The fast-paced action movie is again set in the criminal underworld in France, where Frank Martin is known as The Transporter, because he is the best driver and mercenary money can buy. In this installment, he meets Anna and they attempt to take down a group of ruthless Russian human traffickers who also have kidnapped Frank’s father.</t>
        </is>
      </c>
      <c r="J327" s="64" t="inlineStr">
        <is>
          <t>Camille Delamarre</t>
        </is>
      </c>
      <c r="K327" s="64" t="n">
        <v>95</v>
      </c>
      <c r="L327" s="64" t="inlineStr">
        <is>
          <t>Action, Thriller, Crime</t>
        </is>
      </c>
      <c r="M327" s="64" t="inlineStr">
        <is>
          <t>EuropaCorp, TF1 Films Production, Fundamental Films</t>
        </is>
      </c>
      <c r="N327" s="64" t="inlineStr">
        <is>
          <t>https://huggingface.co/datasets/HenryWaltson/TMDB-IMDB-Movies-Dataset</t>
        </is>
      </c>
      <c r="O327" s="64" t="inlineStr">
        <is>
          <t>https://huggingface.co/datasets/HenryWaltson/TMDB-IMDB-Movies-Dataset</t>
        </is>
      </c>
      <c r="P327" t="inlineStr">
        <is>
          <t>Ed Skrein</t>
        </is>
      </c>
      <c r="Q327" t="inlineStr">
        <is>
          <t>Ray Stevenson</t>
        </is>
      </c>
      <c r="R327" t="inlineStr">
        <is>
          <t>Loan Chabanol</t>
        </is>
      </c>
      <c r="S327" t="inlineStr">
        <is>
          <t>Gabriella Wright</t>
        </is>
      </c>
      <c r="T327" t="inlineStr">
        <is>
          <t>Tatiana Pajković</t>
        </is>
      </c>
      <c r="U327" s="71" t="n">
        <v>0</v>
      </c>
      <c r="V327" s="71" t="n">
        <v>0</v>
      </c>
      <c r="X327" s="82">
        <f>IFERROR(INDEX(Ratings!$E$5:$E$500,MATCH(A327,Ratings!$A$5:$A$500,0)),"")</f>
        <v/>
      </c>
      <c r="Y327" s="71">
        <f>IFERROR(INDEX(Ratings!$G$5:$G$500,MATCH(A327,Ratings!$A$5:$A$500,0)),"")</f>
        <v/>
      </c>
      <c r="Z327" s="83">
        <f>IFERROR(INDEX(Ratings!$I$5:$I$500,MATCH(A327,Ratings!$A$5:$A$500,0)),"")</f>
        <v/>
      </c>
    </row>
    <row r="328" ht="15.75" customHeight="1" s="95">
      <c r="A328" t="inlineStr">
        <is>
          <t>F0324</t>
        </is>
      </c>
      <c r="B328" t="inlineStr">
        <is>
          <t>Tropic Thunder</t>
        </is>
      </c>
      <c r="C328" s="63" t="inlineStr">
        <is>
          <t>2008</t>
        </is>
      </c>
      <c r="D328" t="inlineStr">
        <is>
          <t>Blu-ray</t>
        </is>
      </c>
      <c r="F328" s="64" t="n"/>
      <c r="I328" s="64" t="inlineStr">
        <is>
          <t>A group of self-absorbed actors set out to make the most expensive war film ever. After ballooning costs force the studio to cancel the movie, the frustrated director refuses to stop shooting, leading his cast into the jungles of Southeast Asia, where they encounter real bad guys.</t>
        </is>
      </c>
      <c r="J328" s="64" t="inlineStr">
        <is>
          <t>Ben Stiller</t>
        </is>
      </c>
      <c r="K328" s="64" t="n">
        <v>107</v>
      </c>
      <c r="L328" s="64" t="inlineStr">
        <is>
          <t>Action, Comedy, Adventure, War</t>
        </is>
      </c>
      <c r="M328" s="64" t="inlineStr">
        <is>
          <t>Internationale Filmproduktion Stella-del-Sud Second, DreamWorks Pictures, Red Hour</t>
        </is>
      </c>
      <c r="N328" s="64" t="inlineStr">
        <is>
          <t>https://huggingface.co/datasets/HenryWaltson/TMDB-IMDB-Movies-Dataset</t>
        </is>
      </c>
      <c r="O328" s="64" t="inlineStr">
        <is>
          <t>https://huggingface.co/datasets/HenryWaltson/TMDB-IMDB-Movies-Dataset</t>
        </is>
      </c>
      <c r="P328" t="inlineStr">
        <is>
          <t>Ben Stiller</t>
        </is>
      </c>
      <c r="Q328" t="inlineStr">
        <is>
          <t>Robert Downey Jr.</t>
        </is>
      </c>
      <c r="R328" t="inlineStr">
        <is>
          <t>Jack Black</t>
        </is>
      </c>
      <c r="S328" t="inlineStr">
        <is>
          <t>Jay Baruchel</t>
        </is>
      </c>
      <c r="T328" t="inlineStr">
        <is>
          <t>Brandon T. Jackson</t>
        </is>
      </c>
      <c r="U328" s="71" t="n">
        <v>1</v>
      </c>
      <c r="V328" s="71" t="n">
        <v>0</v>
      </c>
      <c r="X328" s="82">
        <f>IFERROR(INDEX(Ratings!$E$5:$E$500,MATCH(A328,Ratings!$A$5:$A$500,0)),"")</f>
        <v/>
      </c>
      <c r="Y328" s="71">
        <f>IFERROR(INDEX(Ratings!$G$5:$G$500,MATCH(A328,Ratings!$A$5:$A$500,0)),"")</f>
        <v/>
      </c>
      <c r="Z328" s="83">
        <f>IFERROR(INDEX(Ratings!$I$5:$I$500,MATCH(A328,Ratings!$A$5:$A$500,0)),"")</f>
        <v/>
      </c>
    </row>
    <row r="329" ht="15.75" customHeight="1" s="95">
      <c r="A329" t="inlineStr">
        <is>
          <t>F0325</t>
        </is>
      </c>
      <c r="B329" t="inlineStr">
        <is>
          <t>True Grit</t>
        </is>
      </c>
      <c r="C329" s="63" t="inlineStr">
        <is>
          <t>2010</t>
        </is>
      </c>
      <c r="D329" t="inlineStr">
        <is>
          <t>Blu-ray</t>
        </is>
      </c>
      <c r="F329" s="64" t="n"/>
      <c r="I329" s="64" t="inlineStr">
        <is>
          <t>Following the murder of her father by a hired hand, a 14-year-old farm girl sets out to capture the killer. To aid her, she hires the toughest U.S. Marshal she can find—a man with 'true grit'—Reuben J. 'Rooster' Cogburn.</t>
        </is>
      </c>
      <c r="J329" s="64" t="inlineStr">
        <is>
          <t>Ethan Coen, Joel Coen</t>
        </is>
      </c>
      <c r="K329" s="64" t="n">
        <v>110</v>
      </c>
      <c r="L329" s="64" t="inlineStr">
        <is>
          <t>Drama, Adventure, Western</t>
        </is>
      </c>
      <c r="M329" s="64" t="inlineStr">
        <is>
          <t>Paramount, Scott Rudin Productions, Mike Zoss Productions</t>
        </is>
      </c>
      <c r="N329" s="64" t="inlineStr">
        <is>
          <t>https://huggingface.co/datasets/HenryWaltson/TMDB-IMDB-Movies-Dataset</t>
        </is>
      </c>
      <c r="O329" s="64" t="inlineStr">
        <is>
          <t>https://huggingface.co/datasets/HenryWaltson/TMDB-IMDB-Movies-Dataset</t>
        </is>
      </c>
      <c r="P329" t="inlineStr">
        <is>
          <t>Jeff Bridges</t>
        </is>
      </c>
      <c r="Q329" t="inlineStr">
        <is>
          <t>Hailee Steinfeld</t>
        </is>
      </c>
      <c r="R329" t="inlineStr">
        <is>
          <t>Matt Damon</t>
        </is>
      </c>
      <c r="S329" t="inlineStr">
        <is>
          <t>Josh Brolin</t>
        </is>
      </c>
      <c r="T329" t="inlineStr">
        <is>
          <t>Barry Pepper</t>
        </is>
      </c>
      <c r="U329" s="71" t="n">
        <v>10</v>
      </c>
      <c r="V329" s="71" t="n">
        <v>0</v>
      </c>
      <c r="W329" t="inlineStr">
        <is>
          <t>Nominated</t>
        </is>
      </c>
      <c r="X329" s="82">
        <f>IFERROR(INDEX(Ratings!$E$5:$E$500,MATCH(A329,Ratings!$A$5:$A$500,0)),"")</f>
        <v/>
      </c>
      <c r="Y329" s="71">
        <f>IFERROR(INDEX(Ratings!$G$5:$G$500,MATCH(A329,Ratings!$A$5:$A$500,0)),"")</f>
        <v/>
      </c>
      <c r="Z329" s="83">
        <f>IFERROR(INDEX(Ratings!$I$5:$I$500,MATCH(A329,Ratings!$A$5:$A$500,0)),"")</f>
        <v/>
      </c>
    </row>
    <row r="330" ht="15.75" customHeight="1" s="95">
      <c r="A330" t="inlineStr">
        <is>
          <t>F0326</t>
        </is>
      </c>
      <c r="B330" t="inlineStr">
        <is>
          <t>Underworld: Evolution</t>
        </is>
      </c>
      <c r="C330" s="63" t="inlineStr">
        <is>
          <t>2006</t>
        </is>
      </c>
      <c r="D330" t="inlineStr">
        <is>
          <t>Blu-ray</t>
        </is>
      </c>
      <c r="E330" t="inlineStr">
        <is>
          <t>Underworld</t>
        </is>
      </c>
      <c r="F330" s="64" t="n"/>
      <c r="I330" s="64" t="inlineStr">
        <is>
          <t>As the war between the vampires and the Lycans rages on, Selene, a former member of the Death Dealers (an elite vampire special forces unit that hunts werewolves), and Michael, the werewolf hybrid, work together in an effort to unlock the secrets of their respective bloodlines.</t>
        </is>
      </c>
      <c r="J330" s="64" t="inlineStr">
        <is>
          <t>Len Wiseman</t>
        </is>
      </c>
      <c r="K330" s="64" t="n">
        <v>106</v>
      </c>
      <c r="L330" s="64" t="inlineStr">
        <is>
          <t>Fantasy, Action, Thriller</t>
        </is>
      </c>
      <c r="M330" s="64" t="inlineStr">
        <is>
          <t>Screen Gems, Lakeshore Entertainment</t>
        </is>
      </c>
      <c r="N330" s="64" t="inlineStr">
        <is>
          <t>https://huggingface.co/datasets/HenryWaltson/TMDB-IMDB-Movies-Dataset</t>
        </is>
      </c>
      <c r="O330" s="64" t="inlineStr">
        <is>
          <t>https://huggingface.co/datasets/HenryWaltson/TMDB-IMDB-Movies-Dataset</t>
        </is>
      </c>
      <c r="P330" t="inlineStr">
        <is>
          <t>Kate Beckinsale</t>
        </is>
      </c>
      <c r="Q330" t="inlineStr">
        <is>
          <t>Scott Speedman</t>
        </is>
      </c>
      <c r="R330" t="inlineStr">
        <is>
          <t>Tony Curran</t>
        </is>
      </c>
      <c r="S330" t="inlineStr">
        <is>
          <t>Shane Brolly</t>
        </is>
      </c>
      <c r="T330" t="inlineStr">
        <is>
          <t>Derek Jacobi</t>
        </is>
      </c>
      <c r="U330" s="71" t="n">
        <v>0</v>
      </c>
      <c r="V330" s="71" t="n">
        <v>0</v>
      </c>
      <c r="X330" s="82">
        <f>IFERROR(INDEX(Ratings!$E$5:$E$500,MATCH(A330,Ratings!$A$5:$A$500,0)),"")</f>
        <v/>
      </c>
      <c r="Y330" s="71">
        <f>IFERROR(INDEX(Ratings!$G$5:$G$500,MATCH(A330,Ratings!$A$5:$A$500,0)),"")</f>
        <v/>
      </c>
      <c r="Z330" s="83">
        <f>IFERROR(INDEX(Ratings!$I$5:$I$500,MATCH(A330,Ratings!$A$5:$A$500,0)),"")</f>
        <v/>
      </c>
    </row>
    <row r="331" ht="15.75" customHeight="1" s="95">
      <c r="A331" t="inlineStr">
        <is>
          <t>F0327</t>
        </is>
      </c>
      <c r="B331" t="inlineStr">
        <is>
          <t>Underworld: Rise of the Lycans</t>
        </is>
      </c>
      <c r="C331" s="63" t="inlineStr">
        <is>
          <t>2009</t>
        </is>
      </c>
      <c r="D331" t="inlineStr">
        <is>
          <t>Blu-ray</t>
        </is>
      </c>
      <c r="E331" t="inlineStr">
        <is>
          <t>Underworld</t>
        </is>
      </c>
      <c r="F331" s="64" t="n"/>
      <c r="I331" s="64" t="inlineStr">
        <is>
          <t>A prequel to the first two Underworld films, this fantasy explains the origins of the feud between the Vampires and the Lycans. Aided by his secret love, Sonja, courageous Lucian leads the Lycans in battle against brutal Vampire king Viktor. Determined to break the king's enslavement of his people, Lucian faces off against the Death Dealer army in a bid for Lycan independence.</t>
        </is>
      </c>
      <c r="J331" s="64" t="inlineStr">
        <is>
          <t>Patrick Tatopoulos</t>
        </is>
      </c>
      <c r="K331" s="64" t="n">
        <v>92</v>
      </c>
      <c r="L331" s="64" t="inlineStr">
        <is>
          <t>Fantasy, Action, Thriller</t>
        </is>
      </c>
      <c r="M331" s="64" t="inlineStr">
        <is>
          <t>Screen Gems, Lakeshore Entertainment, Sketch Films</t>
        </is>
      </c>
      <c r="N331" s="64" t="inlineStr">
        <is>
          <t>https://huggingface.co/datasets/HenryWaltson/TMDB-IMDB-Movies-Dataset</t>
        </is>
      </c>
      <c r="O331" s="64" t="inlineStr">
        <is>
          <t>https://huggingface.co/datasets/HenryWaltson/TMDB-IMDB-Movies-Dataset</t>
        </is>
      </c>
      <c r="P331" t="inlineStr">
        <is>
          <t>Rhona Mitra</t>
        </is>
      </c>
      <c r="Q331" t="inlineStr">
        <is>
          <t>Bill Nighy</t>
        </is>
      </c>
      <c r="R331" t="inlineStr">
        <is>
          <t>Michael Sheen</t>
        </is>
      </c>
      <c r="S331" t="inlineStr">
        <is>
          <t>Shane Brolly</t>
        </is>
      </c>
      <c r="T331" t="inlineStr">
        <is>
          <t>Steven Mackintosh</t>
        </is>
      </c>
      <c r="U331" s="71" t="n">
        <v>0</v>
      </c>
      <c r="V331" s="71" t="n">
        <v>0</v>
      </c>
      <c r="X331" s="82">
        <f>IFERROR(INDEX(Ratings!$E$5:$E$500,MATCH(A331,Ratings!$A$5:$A$500,0)),"")</f>
        <v/>
      </c>
      <c r="Y331" s="71">
        <f>IFERROR(INDEX(Ratings!$G$5:$G$500,MATCH(A331,Ratings!$A$5:$A$500,0)),"")</f>
        <v/>
      </c>
      <c r="Z331" s="83">
        <f>IFERROR(INDEX(Ratings!$I$5:$I$500,MATCH(A331,Ratings!$A$5:$A$500,0)),"")</f>
        <v/>
      </c>
    </row>
    <row r="332" ht="15.75" customHeight="1" s="95">
      <c r="A332" t="inlineStr">
        <is>
          <t>F0328</t>
        </is>
      </c>
      <c r="B332" t="inlineStr">
        <is>
          <t>Underworld: Awakening</t>
        </is>
      </c>
      <c r="C332" s="63" t="inlineStr">
        <is>
          <t>2012</t>
        </is>
      </c>
      <c r="D332" t="inlineStr">
        <is>
          <t>Blu-ray</t>
        </is>
      </c>
      <c r="E332" t="inlineStr">
        <is>
          <t>Underworld</t>
        </is>
      </c>
      <c r="F332" s="64" t="n"/>
      <c r="I332" s="64" t="inlineStr">
        <is>
          <t>Having escaped years of imprisonment, vampire warrioress Selene finds herself in a changed world where humans have discovered the existence of both Vampire and Lycan clans and are conducting an all-out war to eradicate both immortal species. Now Selene must battle the humans and a frightening new breed of super Lycans to ensure the death dealers' survival.</t>
        </is>
      </c>
      <c r="J332" s="64" t="inlineStr">
        <is>
          <t>Måns Mårlind, Björn Stein</t>
        </is>
      </c>
      <c r="K332" s="64" t="n">
        <v>88</v>
      </c>
      <c r="L332" s="64" t="inlineStr">
        <is>
          <t>Fantasy, Action, Horror</t>
        </is>
      </c>
      <c r="M332" s="64" t="inlineStr">
        <is>
          <t>Screen Gems, Lakeshore Entertainment, Sketch Films</t>
        </is>
      </c>
      <c r="N332" s="64" t="inlineStr">
        <is>
          <t>https://huggingface.co/datasets/HenryWaltson/TMDB-IMDB-Movies-Dataset</t>
        </is>
      </c>
      <c r="O332" s="64" t="inlineStr">
        <is>
          <t>https://huggingface.co/datasets/HenryWaltson/TMDB-IMDB-Movies-Dataset</t>
        </is>
      </c>
      <c r="P332" t="inlineStr">
        <is>
          <t>Kate Beckinsale</t>
        </is>
      </c>
      <c r="Q332" t="inlineStr">
        <is>
          <t>Stephen Rea</t>
        </is>
      </c>
      <c r="R332" t="inlineStr">
        <is>
          <t>Michael Ealy</t>
        </is>
      </c>
      <c r="S332" t="inlineStr">
        <is>
          <t>Theo James</t>
        </is>
      </c>
      <c r="T332" t="inlineStr">
        <is>
          <t>India Eisley</t>
        </is>
      </c>
      <c r="U332" s="71" t="n">
        <v>0</v>
      </c>
      <c r="V332" s="71" t="n">
        <v>0</v>
      </c>
      <c r="X332" s="82">
        <f>IFERROR(INDEX(Ratings!$E$5:$E$500,MATCH(A332,Ratings!$A$5:$A$500,0)),"")</f>
        <v/>
      </c>
      <c r="Y332" s="71">
        <f>IFERROR(INDEX(Ratings!$G$5:$G$500,MATCH(A332,Ratings!$A$5:$A$500,0)),"")</f>
        <v/>
      </c>
      <c r="Z332" s="83">
        <f>IFERROR(INDEX(Ratings!$I$5:$I$500,MATCH(A332,Ratings!$A$5:$A$500,0)),"")</f>
        <v/>
      </c>
    </row>
    <row r="333" ht="15.75" customHeight="1" s="95">
      <c r="A333" t="inlineStr">
        <is>
          <t>F0329</t>
        </is>
      </c>
      <c r="B333" t="inlineStr">
        <is>
          <t>Unknown</t>
        </is>
      </c>
      <c r="C333" s="63" t="inlineStr">
        <is>
          <t>2011</t>
        </is>
      </c>
      <c r="D333" t="inlineStr">
        <is>
          <t>Blu-ray</t>
        </is>
      </c>
      <c r="F333" s="64" t="n"/>
      <c r="I333" s="64" t="inlineStr">
        <is>
          <t>A man awakens from a coma, only to discover that someone has taken on his identity and that no one, (not even his wife), believes him. With the help of a young woman, he sets out to prove who he is.</t>
        </is>
      </c>
      <c r="J333" s="64" t="inlineStr">
        <is>
          <t>Jaume Collet-Serra</t>
        </is>
      </c>
      <c r="K333" s="64" t="n">
        <v>113</v>
      </c>
      <c r="L333" s="64" t="inlineStr">
        <is>
          <t>Action, Mystery, Thriller</t>
        </is>
      </c>
      <c r="M333" s="64" t="inlineStr">
        <is>
          <t>Studio Babelsberg, StudioCanal, Dark Castle Entertainment</t>
        </is>
      </c>
      <c r="N333" s="64" t="inlineStr">
        <is>
          <t>https://huggingface.co/datasets/HenryWaltson/TMDB-IMDB-Movies-Dataset</t>
        </is>
      </c>
      <c r="O333" s="64" t="inlineStr">
        <is>
          <t>https://huggingface.co/datasets/HenryWaltson/TMDB-IMDB-Movies-Dataset</t>
        </is>
      </c>
      <c r="P333" t="inlineStr">
        <is>
          <t>Liam Neeson</t>
        </is>
      </c>
      <c r="Q333" t="inlineStr">
        <is>
          <t>Diane Kruger</t>
        </is>
      </c>
      <c r="R333" t="inlineStr">
        <is>
          <t>January Jones</t>
        </is>
      </c>
      <c r="S333" t="inlineStr">
        <is>
          <t>Aidan Quinn</t>
        </is>
      </c>
      <c r="T333" t="inlineStr">
        <is>
          <t>Bruno Ganz</t>
        </is>
      </c>
      <c r="U333" s="71" t="n">
        <v>0</v>
      </c>
      <c r="V333" s="71" t="n">
        <v>0</v>
      </c>
      <c r="X333" s="82">
        <f>IFERROR(INDEX(Ratings!$E$5:$E$500,MATCH(A333,Ratings!$A$5:$A$500,0)),"")</f>
        <v/>
      </c>
      <c r="Y333" s="71">
        <f>IFERROR(INDEX(Ratings!$G$5:$G$500,MATCH(A333,Ratings!$A$5:$A$500,0)),"")</f>
        <v/>
      </c>
      <c r="Z333" s="83">
        <f>IFERROR(INDEX(Ratings!$I$5:$I$500,MATCH(A333,Ratings!$A$5:$A$500,0)),"")</f>
        <v/>
      </c>
    </row>
    <row r="334" ht="15.75" customHeight="1" s="95">
      <c r="A334" t="inlineStr">
        <is>
          <t>F0330</t>
        </is>
      </c>
      <c r="B334" t="inlineStr">
        <is>
          <t>Up</t>
        </is>
      </c>
      <c r="C334" s="63" t="inlineStr">
        <is>
          <t>2009</t>
        </is>
      </c>
      <c r="D334" t="inlineStr">
        <is>
          <t>Blu-ray</t>
        </is>
      </c>
      <c r="F334" s="64" t="n"/>
      <c r="I334" s="64" t="inlineStr">
        <is>
          <t>Carl Fredricksen spent his entire life dreaming of exploring the globe and experiencing life to its fullest. But at age 78, life seems to have passed him by, until a twist of fate (and a persistent 8-year old Wilderness Explorer named Russell) gives him a new lease on life.</t>
        </is>
      </c>
      <c r="J334" s="64" t="inlineStr">
        <is>
          <t>Pete Docter, Bob Peterson</t>
        </is>
      </c>
      <c r="K334" s="64" t="n">
        <v>96</v>
      </c>
      <c r="L334" s="64" t="inlineStr">
        <is>
          <t>Animation, Comedy, Family, Adventure</t>
        </is>
      </c>
      <c r="M334" s="64" t="inlineStr">
        <is>
          <t>Pixar</t>
        </is>
      </c>
      <c r="N334" s="64" t="inlineStr">
        <is>
          <t>https://huggingface.co/datasets/HenryWaltson/TMDB-IMDB-Movies-Dataset</t>
        </is>
      </c>
      <c r="O334" s="64" t="inlineStr">
        <is>
          <t>https://huggingface.co/datasets/HenryWaltson/TMDB-IMDB-Movies-Dataset</t>
        </is>
      </c>
      <c r="P334" t="inlineStr">
        <is>
          <t>Ed Asner</t>
        </is>
      </c>
      <c r="Q334" t="inlineStr">
        <is>
          <t>Christopher Plummer</t>
        </is>
      </c>
      <c r="R334" t="inlineStr">
        <is>
          <t>Jordan Nagai</t>
        </is>
      </c>
      <c r="S334" t="inlineStr">
        <is>
          <t>Bob Peterson</t>
        </is>
      </c>
      <c r="T334" t="inlineStr">
        <is>
          <t>Delroy Lindo</t>
        </is>
      </c>
      <c r="U334" s="71" t="n">
        <v>5</v>
      </c>
      <c r="V334" s="71" t="n">
        <v>2</v>
      </c>
      <c r="W334" t="inlineStr">
        <is>
          <t>Nominated</t>
        </is>
      </c>
      <c r="X334" s="82">
        <f>IFERROR(INDEX(Ratings!$E$5:$E$500,MATCH(A334,Ratings!$A$5:$A$500,0)),"")</f>
        <v/>
      </c>
      <c r="Y334" s="71">
        <f>IFERROR(INDEX(Ratings!$G$5:$G$500,MATCH(A334,Ratings!$A$5:$A$500,0)),"")</f>
        <v/>
      </c>
      <c r="Z334" s="83">
        <f>IFERROR(INDEX(Ratings!$I$5:$I$500,MATCH(A334,Ratings!$A$5:$A$500,0)),"")</f>
        <v/>
      </c>
    </row>
    <row r="335" ht="15.75" customHeight="1" s="95">
      <c r="A335" t="inlineStr">
        <is>
          <t>F0331</t>
        </is>
      </c>
      <c r="B335" t="inlineStr">
        <is>
          <t>WALL·E</t>
        </is>
      </c>
      <c r="C335" s="63" t="inlineStr">
        <is>
          <t>2008</t>
        </is>
      </c>
      <c r="D335" t="inlineStr">
        <is>
          <t>Blu-ray</t>
        </is>
      </c>
      <c r="F335" s="64" t="n"/>
      <c r="I335" s="64" t="inlineStr">
        <is>
          <t>After hundreds of years doing what he was built for, WALL•E— a robot designed to clean up the earth—discovers a new purpose in life when he meets a sleek search robot named EVE. EVE comes to realize that WALL•E has inadvertently stumbled upon the key to the planet's future, and races back to space to report to the humans. Meanwhile, WALL•E chases EVE across the galaxy and sets into motion one of the most imaginative adventures ever brought to the big screen.</t>
        </is>
      </c>
      <c r="J335" s="64" t="inlineStr">
        <is>
          <t>Andrew Stanton</t>
        </is>
      </c>
      <c r="K335" s="64" t="n">
        <v>98</v>
      </c>
      <c r="L335" s="64" t="inlineStr">
        <is>
          <t>Animation, Family, Science Fiction</t>
        </is>
      </c>
      <c r="M335" s="64" t="inlineStr">
        <is>
          <t>Pixar, Walt Disney Pictures</t>
        </is>
      </c>
      <c r="N335" s="64" t="inlineStr">
        <is>
          <t>https://huggingface.co/datasets/HenryWaltson/TMDB-IMDB-Movies-Dataset</t>
        </is>
      </c>
      <c r="O335" s="64" t="inlineStr">
        <is>
          <t>https://huggingface.co/datasets/HenryWaltson/TMDB-IMDB-Movies-Dataset</t>
        </is>
      </c>
      <c r="P335" t="inlineStr">
        <is>
          <t>Elissa Knight</t>
        </is>
      </c>
      <c r="Q335" t="inlineStr">
        <is>
          <t>Jeff Garlin</t>
        </is>
      </c>
      <c r="R335" t="inlineStr">
        <is>
          <t>Fred Willard</t>
        </is>
      </c>
      <c r="S335" t="inlineStr">
        <is>
          <t>John Ratzenberger</t>
        </is>
      </c>
      <c r="T335" t="inlineStr">
        <is>
          <t>Kathy Najimy</t>
        </is>
      </c>
      <c r="U335" s="71" t="n">
        <v>6</v>
      </c>
      <c r="V335" s="71" t="n">
        <v>1</v>
      </c>
      <c r="X335" s="82">
        <f>IFERROR(INDEX(Ratings!$E$5:$E$500,MATCH(A335,Ratings!$A$5:$A$500,0)),"")</f>
        <v/>
      </c>
      <c r="Y335" s="71">
        <f>IFERROR(INDEX(Ratings!$G$5:$G$500,MATCH(A335,Ratings!$A$5:$A$500,0)),"")</f>
        <v/>
      </c>
      <c r="Z335" s="83">
        <f>IFERROR(INDEX(Ratings!$I$5:$I$500,MATCH(A335,Ratings!$A$5:$A$500,0)),"")</f>
        <v/>
      </c>
    </row>
    <row r="336" ht="15.75" customHeight="1" s="95">
      <c r="A336" t="inlineStr">
        <is>
          <t>F0332</t>
        </is>
      </c>
      <c r="B336" t="inlineStr">
        <is>
          <t>War of the Worlds</t>
        </is>
      </c>
      <c r="C336" s="63" t="inlineStr">
        <is>
          <t>2005</t>
        </is>
      </c>
      <c r="D336" t="inlineStr">
        <is>
          <t>Blu-ray</t>
        </is>
      </c>
      <c r="F336" s="64" t="n"/>
      <c r="I336" s="64" t="inlineStr">
        <is>
          <t>Ray Ferrier is a divorced dockworker and less-than-perfect father. Soon after his ex-wife and her new husband drop off his teenage son and young daughter for a rare weekend visit, a strange and powerful lightning storm touches down.</t>
        </is>
      </c>
      <c r="J336" s="64" t="inlineStr">
        <is>
          <t>Steven Spielberg</t>
        </is>
      </c>
      <c r="K336" s="64" t="n">
        <v>117</v>
      </c>
      <c r="L336" s="64" t="inlineStr">
        <is>
          <t>Adventure, Thriller, Science Fiction</t>
        </is>
      </c>
      <c r="M336" s="64" t="inlineStr">
        <is>
          <t>Paramount, Amblin Entertainment, Cruise/Wagner Productions</t>
        </is>
      </c>
      <c r="N336" s="64" t="inlineStr">
        <is>
          <t>https://huggingface.co/datasets/HenryWaltson/TMDB-IMDB-Movies-Dataset</t>
        </is>
      </c>
      <c r="O336" s="64" t="inlineStr">
        <is>
          <t>https://huggingface.co/datasets/HenryWaltson/TMDB-IMDB-Movies-Dataset</t>
        </is>
      </c>
      <c r="P336" t="inlineStr">
        <is>
          <t>Tom Cruise</t>
        </is>
      </c>
      <c r="Q336" t="inlineStr">
        <is>
          <t>Dakota Fanning</t>
        </is>
      </c>
      <c r="R336" t="inlineStr">
        <is>
          <t>Justin Chatwin</t>
        </is>
      </c>
      <c r="S336" t="inlineStr">
        <is>
          <t>Miranda Otto</t>
        </is>
      </c>
      <c r="T336" t="inlineStr">
        <is>
          <t>Tim Robbins</t>
        </is>
      </c>
      <c r="U336" s="71" t="n">
        <v>3</v>
      </c>
      <c r="V336" s="71" t="n">
        <v>0</v>
      </c>
      <c r="X336" s="82">
        <f>IFERROR(INDEX(Ratings!$E$5:$E$500,MATCH(A336,Ratings!$A$5:$A$500,0)),"")</f>
        <v/>
      </c>
      <c r="Y336" s="71">
        <f>IFERROR(INDEX(Ratings!$G$5:$G$500,MATCH(A336,Ratings!$A$5:$A$500,0)),"")</f>
        <v/>
      </c>
      <c r="Z336" s="83">
        <f>IFERROR(INDEX(Ratings!$I$5:$I$500,MATCH(A336,Ratings!$A$5:$A$500,0)),"")</f>
        <v/>
      </c>
    </row>
    <row r="337" ht="15.75" customHeight="1" s="95">
      <c r="A337" t="inlineStr">
        <is>
          <t>F0333</t>
        </is>
      </c>
      <c r="B337" t="inlineStr">
        <is>
          <t>Warrior</t>
        </is>
      </c>
      <c r="C337" s="63" t="inlineStr">
        <is>
          <t>2011</t>
        </is>
      </c>
      <c r="D337" t="inlineStr">
        <is>
          <t>Blu-ray</t>
        </is>
      </c>
      <c r="F337" s="64" t="n"/>
      <c r="I337" s="64" t="inlineStr">
        <is>
          <t>The youngest son of an alcoholic former boxer returns home, where he's trained by his father for competition in a mixed martial arts tournament – a path that puts the fighter on a collision course with his estranged, older brother.</t>
        </is>
      </c>
      <c r="J337" s="64" t="inlineStr">
        <is>
          <t>Gavin O'Connor</t>
        </is>
      </c>
      <c r="K337" s="64" t="n">
        <v>140</v>
      </c>
      <c r="L337" s="64" t="inlineStr">
        <is>
          <t>Drama, Action</t>
        </is>
      </c>
      <c r="M337" s="64" t="inlineStr">
        <is>
          <t>Lionsgate, Mimran Schur Pictures, Solaris Film</t>
        </is>
      </c>
      <c r="N337" s="64" t="inlineStr">
        <is>
          <t>https://huggingface.co/datasets/HenryWaltson/TMDB-IMDB-Movies-Dataset</t>
        </is>
      </c>
      <c r="O337" s="64" t="inlineStr">
        <is>
          <t>https://huggingface.co/datasets/HenryWaltson/TMDB-IMDB-Movies-Dataset</t>
        </is>
      </c>
      <c r="P337" t="inlineStr">
        <is>
          <t>Joel Edgerton</t>
        </is>
      </c>
      <c r="Q337" t="inlineStr">
        <is>
          <t>Tom Hardy</t>
        </is>
      </c>
      <c r="R337" t="inlineStr">
        <is>
          <t>Nick Nolte</t>
        </is>
      </c>
      <c r="S337" t="inlineStr">
        <is>
          <t>Jennifer Morrison</t>
        </is>
      </c>
      <c r="T337" t="inlineStr">
        <is>
          <t>Frank Grillo</t>
        </is>
      </c>
      <c r="U337" s="71" t="n">
        <v>1</v>
      </c>
      <c r="V337" s="71" t="n">
        <v>0</v>
      </c>
      <c r="X337" s="82">
        <f>IFERROR(INDEX(Ratings!$E$5:$E$500,MATCH(A337,Ratings!$A$5:$A$500,0)),"")</f>
        <v/>
      </c>
      <c r="Y337" s="71">
        <f>IFERROR(INDEX(Ratings!$G$5:$G$500,MATCH(A337,Ratings!$A$5:$A$500,0)),"")</f>
        <v/>
      </c>
      <c r="Z337" s="83">
        <f>IFERROR(INDEX(Ratings!$I$5:$I$500,MATCH(A337,Ratings!$A$5:$A$500,0)),"")</f>
        <v/>
      </c>
    </row>
    <row r="338" ht="15.75" customHeight="1" s="95">
      <c r="A338" t="inlineStr">
        <is>
          <t>F0334</t>
        </is>
      </c>
      <c r="B338" t="inlineStr">
        <is>
          <t>The Warriors</t>
        </is>
      </c>
      <c r="C338" s="63" t="inlineStr">
        <is>
          <t>1979</t>
        </is>
      </c>
      <c r="D338" t="inlineStr">
        <is>
          <t>Blu-ray</t>
        </is>
      </c>
      <c r="F338" s="64" t="n"/>
      <c r="I338" s="64" t="inlineStr">
        <is>
          <t>Prominent gang leader Cyrus calls a meeting of New York's gangs to set aside their turf wars and take over the city. At the meeting, a rival leader kills Cyrus, but a Coney Island gang called the Warriors is wrongly blamed for Cyrus' death. Before you know it, the cops and every gangbanger in town is hot on the Warriors' trail.</t>
        </is>
      </c>
      <c r="J338" s="64" t="inlineStr">
        <is>
          <t>Walter Hill</t>
        </is>
      </c>
      <c r="K338" s="64" t="n">
        <v>94</v>
      </c>
      <c r="L338" s="64" t="inlineStr">
        <is>
          <t>Action, Thriller</t>
        </is>
      </c>
      <c r="M338" s="64" t="inlineStr">
        <is>
          <t>Paramount</t>
        </is>
      </c>
      <c r="N338" s="64" t="inlineStr">
        <is>
          <t>https://huggingface.co/datasets/HenryWaltson/TMDB-IMDB-Movies-Dataset</t>
        </is>
      </c>
      <c r="O338" s="64" t="inlineStr">
        <is>
          <t>https://huggingface.co/datasets/HenryWaltson/TMDB-IMDB-Movies-Dataset</t>
        </is>
      </c>
      <c r="P338" t="inlineStr">
        <is>
          <t>Michael Beck</t>
        </is>
      </c>
      <c r="Q338" t="inlineStr">
        <is>
          <t>James Remar</t>
        </is>
      </c>
      <c r="R338" t="inlineStr">
        <is>
          <t>David Patrick Kelly</t>
        </is>
      </c>
      <c r="S338" t="inlineStr">
        <is>
          <t>Dorsey Wright</t>
        </is>
      </c>
      <c r="T338" t="inlineStr">
        <is>
          <t>David Harris</t>
        </is>
      </c>
      <c r="U338" s="71" t="n">
        <v>0</v>
      </c>
      <c r="V338" s="71" t="n">
        <v>0</v>
      </c>
      <c r="X338" s="82">
        <f>IFERROR(INDEX(Ratings!$E$5:$E$500,MATCH(A338,Ratings!$A$5:$A$500,0)),"")</f>
        <v/>
      </c>
      <c r="Y338" s="71">
        <f>IFERROR(INDEX(Ratings!$G$5:$G$500,MATCH(A338,Ratings!$A$5:$A$500,0)),"")</f>
        <v/>
      </c>
      <c r="Z338" s="83">
        <f>IFERROR(INDEX(Ratings!$I$5:$I$500,MATCH(A338,Ratings!$A$5:$A$500,0)),"")</f>
        <v/>
      </c>
    </row>
    <row r="339" ht="15.75" customHeight="1" s="95">
      <c r="A339" t="inlineStr">
        <is>
          <t>F0335</t>
        </is>
      </c>
      <c r="B339" t="inlineStr">
        <is>
          <t>White House Down</t>
        </is>
      </c>
      <c r="C339" s="63" t="inlineStr">
        <is>
          <t>2013</t>
        </is>
      </c>
      <c r="D339" t="inlineStr">
        <is>
          <t>Blu-ray</t>
        </is>
      </c>
      <c r="F339" s="64" t="n"/>
      <c r="I339" s="64" t="inlineStr">
        <is>
          <t>Capitol Policeman John Cale has just been denied his dream job with the Secret Service protecting President James Sawyer. Not wanting to let down his little girl with the news, he takes her on a tour of the White House, when the complex is overtaken by a heavily armed paramilitary group. Now, with the nation's government falling into chaos and time running out, it's up to Cale to save the president, his daughter, and the country.</t>
        </is>
      </c>
      <c r="J339" s="64" t="inlineStr">
        <is>
          <t>Roland Emmerich</t>
        </is>
      </c>
      <c r="K339" s="64" t="n">
        <v>131</v>
      </c>
      <c r="L339" s="64" t="inlineStr">
        <is>
          <t>Action, Drama, Thriller</t>
        </is>
      </c>
      <c r="M339" s="64" t="inlineStr">
        <is>
          <t>Iron Horse Entertainment, Columbia Pictures, Mythology Entertainment</t>
        </is>
      </c>
      <c r="N339" s="64" t="inlineStr">
        <is>
          <t>https://huggingface.co/datasets/HenryWaltson/TMDB-IMDB-Movies-Dataset</t>
        </is>
      </c>
      <c r="O339" s="64" t="inlineStr">
        <is>
          <t>https://huggingface.co/datasets/HenryWaltson/TMDB-IMDB-Movies-Dataset</t>
        </is>
      </c>
      <c r="P339" t="inlineStr">
        <is>
          <t>Channing Tatum</t>
        </is>
      </c>
      <c r="Q339" t="inlineStr">
        <is>
          <t>Jamie Foxx</t>
        </is>
      </c>
      <c r="R339" t="inlineStr">
        <is>
          <t>Joey King</t>
        </is>
      </c>
      <c r="S339" t="inlineStr">
        <is>
          <t>Maggie Gyllenhaal</t>
        </is>
      </c>
      <c r="T339" t="inlineStr">
        <is>
          <t>Richard Jenkins</t>
        </is>
      </c>
      <c r="U339" s="71" t="n">
        <v>0</v>
      </c>
      <c r="V339" s="71" t="n">
        <v>0</v>
      </c>
      <c r="X339" s="82">
        <f>IFERROR(INDEX(Ratings!$E$5:$E$500,MATCH(A339,Ratings!$A$5:$A$500,0)),"")</f>
        <v/>
      </c>
      <c r="Y339" s="71">
        <f>IFERROR(INDEX(Ratings!$G$5:$G$500,MATCH(A339,Ratings!$A$5:$A$500,0)),"")</f>
        <v/>
      </c>
      <c r="Z339" s="83">
        <f>IFERROR(INDEX(Ratings!$I$5:$I$500,MATCH(A339,Ratings!$A$5:$A$500,0)),"")</f>
        <v/>
      </c>
    </row>
    <row r="340" ht="15.75" customHeight="1" s="95">
      <c r="A340" t="inlineStr">
        <is>
          <t>F0336</t>
        </is>
      </c>
      <c r="B340" t="inlineStr">
        <is>
          <t>Wreck-It Ralph</t>
        </is>
      </c>
      <c r="C340" s="63" t="inlineStr">
        <is>
          <t>2012</t>
        </is>
      </c>
      <c r="D340" t="inlineStr">
        <is>
          <t>Blu-ray</t>
        </is>
      </c>
      <c r="E340" t="inlineStr">
        <is>
          <t>Wreck-It Ralph</t>
        </is>
      </c>
      <c r="F340" s="64" t="n"/>
      <c r="I340" s="64" t="inlineStr">
        <is>
          <t>Wreck-It Ralph is the 9-foot-tall, 643-pound villain of an arcade video game named Fix-It Felix Jr., in which the game's titular hero fixes buildings that Ralph destroys. Wanting to prove he can be a good guy and not just a villain, Ralph escapes his game and lands in Hero's Duty, a first-person shooter where he helps the game's hero battle against alien invaders. He later enters Sugar Rush, a kart racing game set on tracks made of candies, cookies and other sweets. There, Ralph meets Vanellope von Schweetz who has learned that her game is faced with a dire threat that could affect the entire arcade, and one that Ralph may have inadvertently started.</t>
        </is>
      </c>
      <c r="J340" s="64" t="inlineStr">
        <is>
          <t>Rich Moore</t>
        </is>
      </c>
      <c r="K340" s="64" t="n">
        <v>101</v>
      </c>
      <c r="L340" s="64" t="inlineStr">
        <is>
          <t>Family, Animation, Comedy, Adventure</t>
        </is>
      </c>
      <c r="M340" s="64" t="inlineStr">
        <is>
          <t>Walt Disney Animation Studios, Walt Disney Pictures</t>
        </is>
      </c>
      <c r="N340" s="64" t="inlineStr">
        <is>
          <t>https://huggingface.co/datasets/HenryWaltson/TMDB-IMDB-Movies-Dataset</t>
        </is>
      </c>
      <c r="O340" s="64" t="inlineStr">
        <is>
          <t>https://huggingface.co/datasets/HenryWaltson/TMDB-IMDB-Movies-Dataset</t>
        </is>
      </c>
      <c r="P340" t="inlineStr">
        <is>
          <t>John C. Reilly</t>
        </is>
      </c>
      <c r="Q340" t="inlineStr">
        <is>
          <t>Sarah Silverman</t>
        </is>
      </c>
      <c r="R340" t="inlineStr">
        <is>
          <t>Jack McBrayer</t>
        </is>
      </c>
      <c r="S340" t="inlineStr">
        <is>
          <t>Alan Tudyk</t>
        </is>
      </c>
      <c r="T340" t="inlineStr">
        <is>
          <t>Jane Lynch</t>
        </is>
      </c>
      <c r="U340" s="71" t="n">
        <v>1</v>
      </c>
      <c r="V340" s="71" t="n">
        <v>0</v>
      </c>
      <c r="X340" s="82">
        <f>IFERROR(INDEX(Ratings!$E$5:$E$500,MATCH(A340,Ratings!$A$5:$A$500,0)),"")</f>
        <v/>
      </c>
      <c r="Y340" s="71">
        <f>IFERROR(INDEX(Ratings!$G$5:$G$500,MATCH(A340,Ratings!$A$5:$A$500,0)),"")</f>
        <v/>
      </c>
      <c r="Z340" s="83">
        <f>IFERROR(INDEX(Ratings!$I$5:$I$500,MATCH(A340,Ratings!$A$5:$A$500,0)),"")</f>
        <v/>
      </c>
    </row>
    <row r="341" ht="15.75" customHeight="1" s="95">
      <c r="A341" t="inlineStr">
        <is>
          <t>F0337</t>
        </is>
      </c>
      <c r="B341" t="inlineStr">
        <is>
          <t>Ralph Breaks the Internet</t>
        </is>
      </c>
      <c r="C341" s="63" t="inlineStr">
        <is>
          <t>2018</t>
        </is>
      </c>
      <c r="D341" t="inlineStr">
        <is>
          <t>Blu-ray</t>
        </is>
      </c>
      <c r="E341" t="inlineStr">
        <is>
          <t>Wreck-It Ralph</t>
        </is>
      </c>
      <c r="F341" s="64" t="n"/>
      <c r="I341" s="64" t="inlineStr">
        <is>
          <t>Video game bad guy Ralph and fellow misfit Vanellope von Schweetz must risk it all by traveling to the World Wide Web in search of a replacement part to save Vanellope's video game, Sugar Rush. In way over their heads, Ralph and Vanellope rely on the citizens of the internet — the netizens — to help navigate their way, including an entrepreneur named Yesss, who is the head algorithm and the heart and soul of trend-making site BuzzzTube.</t>
        </is>
      </c>
      <c r="J341" s="64" t="inlineStr">
        <is>
          <t>Phil Johnston, Rich Moore</t>
        </is>
      </c>
      <c r="K341" s="64" t="n">
        <v>112</v>
      </c>
      <c r="L341" s="64" t="inlineStr">
        <is>
          <t>Family, Animation, Comedy, Adventure</t>
        </is>
      </c>
      <c r="M341" s="64" t="inlineStr">
        <is>
          <t>Walt Disney Pictures, Walt Disney Animation Studios</t>
        </is>
      </c>
      <c r="N341" s="64" t="inlineStr">
        <is>
          <t>https://huggingface.co/datasets/HenryWaltson/TMDB-IMDB-Movies-Dataset</t>
        </is>
      </c>
      <c r="O341" s="64" t="inlineStr">
        <is>
          <t>https://huggingface.co/datasets/HenryWaltson/TMDB-IMDB-Movies-Dataset</t>
        </is>
      </c>
      <c r="P341" t="inlineStr">
        <is>
          <t>John C. Reilly</t>
        </is>
      </c>
      <c r="Q341" t="inlineStr">
        <is>
          <t>Sarah Silverman</t>
        </is>
      </c>
      <c r="R341" t="inlineStr">
        <is>
          <t>Gal Gadot</t>
        </is>
      </c>
      <c r="S341" t="inlineStr">
        <is>
          <t>Taraji P. Henson</t>
        </is>
      </c>
      <c r="T341" t="inlineStr">
        <is>
          <t>Bill Hader</t>
        </is>
      </c>
      <c r="U341" s="71" t="n">
        <v>1</v>
      </c>
      <c r="V341" s="71" t="n">
        <v>0</v>
      </c>
      <c r="X341" s="82">
        <f>IFERROR(INDEX(Ratings!$E$5:$E$500,MATCH(A341,Ratings!$A$5:$A$500,0)),"")</f>
        <v/>
      </c>
      <c r="Y341" s="71">
        <f>IFERROR(INDEX(Ratings!$G$5:$G$500,MATCH(A341,Ratings!$A$5:$A$500,0)),"")</f>
        <v/>
      </c>
      <c r="Z341" s="83">
        <f>IFERROR(INDEX(Ratings!$I$5:$I$500,MATCH(A341,Ratings!$A$5:$A$500,0)),"")</f>
        <v/>
      </c>
    </row>
    <row r="342" ht="15.75" customHeight="1" s="95">
      <c r="A342" t="inlineStr">
        <is>
          <t>F0338</t>
        </is>
      </c>
      <c r="B342" t="inlineStr">
        <is>
          <t>Wonka</t>
        </is>
      </c>
      <c r="C342" s="63" t="inlineStr">
        <is>
          <t>2023</t>
        </is>
      </c>
      <c r="D342" t="inlineStr">
        <is>
          <t>Blu-ray</t>
        </is>
      </c>
      <c r="F342" s="64" t="n"/>
      <c r="G342" t="inlineStr">
        <is>
          <t>Yes</t>
        </is>
      </c>
      <c r="H342" t="inlineStr">
        <is>
          <t>⭐⭐⭐⭐⭐</t>
        </is>
      </c>
      <c r="I342" s="64" t="inlineStr">
        <is>
          <t>Willy Wonka – chock-full of ideas and determined to change the world one delectable bite at a time – is proof that the best things in life begin with a dream, and if you’re lucky enough to meet Willy Wonka, anything is possible.</t>
        </is>
      </c>
      <c r="J342" s="64" t="inlineStr">
        <is>
          <t>Paul King</t>
        </is>
      </c>
      <c r="K342" s="64" t="n">
        <v>117</v>
      </c>
      <c r="L342" s="64" t="inlineStr">
        <is>
          <t>Adventure, Comedy, Family, Fantasy</t>
        </is>
      </c>
      <c r="M342" s="64" t="inlineStr">
        <is>
          <t>Warner Bros. Pictures, Heyday Films, Village Roadshow Pictures</t>
        </is>
      </c>
      <c r="N342" s="64" t="inlineStr">
        <is>
          <t>https://huggingface.co/datasets/HenryWaltson/TMDB-IMDB-Movies-Dataset</t>
        </is>
      </c>
      <c r="O342" s="64" t="inlineStr">
        <is>
          <t>https://huggingface.co/datasets/HenryWaltson/TMDB-IMDB-Movies-Dataset</t>
        </is>
      </c>
      <c r="P342" t="inlineStr">
        <is>
          <t>Timothée Chalamet</t>
        </is>
      </c>
      <c r="Q342" t="inlineStr">
        <is>
          <t>Calah Lane</t>
        </is>
      </c>
      <c r="R342" t="inlineStr">
        <is>
          <t>Keegan-Michael Key</t>
        </is>
      </c>
      <c r="S342" t="inlineStr">
        <is>
          <t>Hugh Grant</t>
        </is>
      </c>
      <c r="T342" t="inlineStr">
        <is>
          <t>Paterson Joseph</t>
        </is>
      </c>
      <c r="U342" s="71" t="n">
        <v>0</v>
      </c>
      <c r="V342" s="71" t="n">
        <v>0</v>
      </c>
      <c r="X342" s="82">
        <f>IFERROR(INDEX(Ratings!$E$5:$E$500,MATCH(A342,Ratings!$A$5:$A$500,0)),"")</f>
        <v/>
      </c>
      <c r="Y342" s="71">
        <f>IFERROR(INDEX(Ratings!$G$5:$G$500,MATCH(A342,Ratings!$A$5:$A$500,0)),"")</f>
        <v/>
      </c>
      <c r="Z342" s="83">
        <f>IFERROR(INDEX(Ratings!$I$5:$I$500,MATCH(A342,Ratings!$A$5:$A$500,0)),"")</f>
        <v/>
      </c>
    </row>
    <row r="343" ht="15.75" customHeight="1" s="95">
      <c r="A343" t="inlineStr">
        <is>
          <t>F0339</t>
        </is>
      </c>
      <c r="B343" t="inlineStr">
        <is>
          <t>Willy Wonka &amp; the Chocolate Factory</t>
        </is>
      </c>
      <c r="C343" s="63" t="inlineStr">
        <is>
          <t>1971</t>
        </is>
      </c>
      <c r="D343" t="inlineStr">
        <is>
          <t>Blu-ray</t>
        </is>
      </c>
      <c r="F343" s="64" t="n"/>
      <c r="I343" s="64" t="inlineStr">
        <is>
          <t>When eccentric candy man Willy Wonka promises a lifetime supply of sweets and a tour of his chocolate factory to five lucky kids, penniless Charlie Bucket seeks the golden ticket that will make him a winner.</t>
        </is>
      </c>
      <c r="J343" s="64" t="inlineStr">
        <is>
          <t>Mel Stuart</t>
        </is>
      </c>
      <c r="K343" s="64" t="n">
        <v>99</v>
      </c>
      <c r="L343" s="64" t="inlineStr">
        <is>
          <t>Family, Fantasy, Comedy</t>
        </is>
      </c>
      <c r="M343" s="64" t="inlineStr">
        <is>
          <t>David L. Wolper Productions</t>
        </is>
      </c>
      <c r="N343" s="64" t="inlineStr">
        <is>
          <t>https://huggingface.co/datasets/HenryWaltson/TMDB-IMDB-Movies-Dataset</t>
        </is>
      </c>
      <c r="O343" s="64" t="inlineStr">
        <is>
          <t>https://huggingface.co/datasets/HenryWaltson/TMDB-IMDB-Movies-Dataset</t>
        </is>
      </c>
      <c r="P343" t="inlineStr">
        <is>
          <t>Gene Wilder</t>
        </is>
      </c>
      <c r="Q343" t="inlineStr">
        <is>
          <t>Peter Ostrum</t>
        </is>
      </c>
      <c r="R343" t="inlineStr">
        <is>
          <t>Jack Albertson</t>
        </is>
      </c>
      <c r="S343" t="inlineStr">
        <is>
          <t>Paris Themmen</t>
        </is>
      </c>
      <c r="T343" t="inlineStr">
        <is>
          <t>Nora Denney</t>
        </is>
      </c>
      <c r="U343" s="71" t="n">
        <v>1</v>
      </c>
      <c r="V343" s="71" t="n">
        <v>0</v>
      </c>
      <c r="X343" s="82">
        <f>IFERROR(INDEX(Ratings!$E$5:$E$500,MATCH(A343,Ratings!$A$5:$A$500,0)),"")</f>
        <v/>
      </c>
      <c r="Y343" s="71">
        <f>IFERROR(INDEX(Ratings!$G$5:$G$500,MATCH(A343,Ratings!$A$5:$A$500,0)),"")</f>
        <v/>
      </c>
      <c r="Z343" s="83">
        <f>IFERROR(INDEX(Ratings!$I$5:$I$500,MATCH(A343,Ratings!$A$5:$A$500,0)),"")</f>
        <v/>
      </c>
    </row>
    <row r="344" ht="15.75" customHeight="1" s="95">
      <c r="A344" t="inlineStr">
        <is>
          <t>F0340</t>
        </is>
      </c>
      <c r="B344" t="inlineStr">
        <is>
          <t>X-Men: First Class</t>
        </is>
      </c>
      <c r="C344" s="63" t="inlineStr">
        <is>
          <t>2011</t>
        </is>
      </c>
      <c r="D344" t="inlineStr">
        <is>
          <t>Blu-ray</t>
        </is>
      </c>
      <c r="E344" t="inlineStr">
        <is>
          <t>X-Men</t>
        </is>
      </c>
      <c r="F344" s="64" t="n"/>
      <c r="I344" s="64" t="inlineStr">
        <is>
          <t>Before Charles Xavier and Erik Lensherr took the names Professor X and Magneto, they were two young men discovering their powers for the first time. Before they were arch-enemies, they were closest of friends, working together with other mutants (some familiar, some new), to stop the greatest threat the world has ever known.</t>
        </is>
      </c>
      <c r="J344" s="64" t="inlineStr">
        <is>
          <t>Matthew Vaughn</t>
        </is>
      </c>
      <c r="K344" s="64" t="n">
        <v>132</v>
      </c>
      <c r="L344" s="64" t="inlineStr">
        <is>
          <t>Action, Science Fiction, Adventure</t>
        </is>
      </c>
      <c r="M344" s="64" t="inlineStr">
        <is>
          <t>The Donners' Company, Bad Hat Harry Productions, 20th Century Fox</t>
        </is>
      </c>
      <c r="N344" s="64" t="inlineStr">
        <is>
          <t>https://huggingface.co/datasets/HenryWaltson/TMDB-IMDB-Movies-Dataset</t>
        </is>
      </c>
      <c r="O344" s="64" t="inlineStr">
        <is>
          <t>https://huggingface.co/datasets/HenryWaltson/TMDB-IMDB-Movies-Dataset</t>
        </is>
      </c>
      <c r="P344" t="inlineStr">
        <is>
          <t>James McAvoy</t>
        </is>
      </c>
      <c r="Q344" t="inlineStr">
        <is>
          <t>Michael Fassbender</t>
        </is>
      </c>
      <c r="R344" t="inlineStr">
        <is>
          <t>Jennifer Lawrence</t>
        </is>
      </c>
      <c r="S344" t="inlineStr">
        <is>
          <t>Rose Byrne</t>
        </is>
      </c>
      <c r="T344" t="inlineStr">
        <is>
          <t>Kevin Bacon</t>
        </is>
      </c>
      <c r="U344" s="71" t="n">
        <v>0</v>
      </c>
      <c r="V344" s="71" t="n">
        <v>0</v>
      </c>
      <c r="X344" s="82">
        <f>IFERROR(INDEX(Ratings!$E$5:$E$500,MATCH(A344,Ratings!$A$5:$A$500,0)),"")</f>
        <v/>
      </c>
      <c r="Y344" s="71">
        <f>IFERROR(INDEX(Ratings!$G$5:$G$500,MATCH(A344,Ratings!$A$5:$A$500,0)),"")</f>
        <v/>
      </c>
      <c r="Z344" s="83">
        <f>IFERROR(INDEX(Ratings!$I$5:$I$500,MATCH(A344,Ratings!$A$5:$A$500,0)),"")</f>
        <v/>
      </c>
    </row>
    <row r="345" ht="15.75" customHeight="1" s="95">
      <c r="A345" t="inlineStr">
        <is>
          <t>F0341</t>
        </is>
      </c>
      <c r="B345" t="inlineStr">
        <is>
          <t>X-Men: Days of Future Past</t>
        </is>
      </c>
      <c r="C345" s="63" t="inlineStr">
        <is>
          <t>2014</t>
        </is>
      </c>
      <c r="D345" t="inlineStr">
        <is>
          <t>Blu-ray</t>
        </is>
      </c>
      <c r="E345" t="inlineStr">
        <is>
          <t>X-Men</t>
        </is>
      </c>
      <c r="F345" s="64" t="n"/>
      <c r="I345" s="64" t="inlineStr">
        <is>
          <t>The ultimate X-Men ensemble fights a war for the survival of the species across two time periods as they join forces with their younger selves in an epic battle that must change the past – to save our future.</t>
        </is>
      </c>
      <c r="J345" s="64" t="inlineStr">
        <is>
          <t>Bryan Singer</t>
        </is>
      </c>
      <c r="K345" s="64" t="n">
        <v>132</v>
      </c>
      <c r="L345" s="64" t="inlineStr">
        <is>
          <t>Action, Adventure, Science Fiction</t>
        </is>
      </c>
      <c r="M345" s="64" t="inlineStr">
        <is>
          <t>Bad Hat Harry Productions, The Donners' Company, Simon Kinberg Productions</t>
        </is>
      </c>
      <c r="N345" s="64" t="inlineStr">
        <is>
          <t>https://huggingface.co/datasets/HenryWaltson/TMDB-IMDB-Movies-Dataset</t>
        </is>
      </c>
      <c r="O345" s="64" t="inlineStr">
        <is>
          <t>https://huggingface.co/datasets/HenryWaltson/TMDB-IMDB-Movies-Dataset</t>
        </is>
      </c>
      <c r="P345" t="inlineStr">
        <is>
          <t>Hugh Jackman</t>
        </is>
      </c>
      <c r="Q345" t="inlineStr">
        <is>
          <t>James McAvoy</t>
        </is>
      </c>
      <c r="R345" t="inlineStr">
        <is>
          <t>Michael Fassbender</t>
        </is>
      </c>
      <c r="S345" t="inlineStr">
        <is>
          <t>Patrick Stewart</t>
        </is>
      </c>
      <c r="T345" t="inlineStr">
        <is>
          <t>Ian McKellen</t>
        </is>
      </c>
      <c r="U345" s="71" t="n">
        <v>1</v>
      </c>
      <c r="V345" s="71" t="n">
        <v>0</v>
      </c>
      <c r="X345" s="82">
        <f>IFERROR(INDEX(Ratings!$E$5:$E$500,MATCH(A345,Ratings!$A$5:$A$500,0)),"")</f>
        <v/>
      </c>
      <c r="Y345" s="71">
        <f>IFERROR(INDEX(Ratings!$G$5:$G$500,MATCH(A345,Ratings!$A$5:$A$500,0)),"")</f>
        <v/>
      </c>
      <c r="Z345" s="83">
        <f>IFERROR(INDEX(Ratings!$I$5:$I$500,MATCH(A345,Ratings!$A$5:$A$500,0)),"")</f>
        <v/>
      </c>
    </row>
    <row r="346" ht="15.75" customHeight="1" s="95">
      <c r="A346" t="inlineStr">
        <is>
          <t>F0342</t>
        </is>
      </c>
      <c r="B346" t="inlineStr">
        <is>
          <t>X-Men: Apocalypse</t>
        </is>
      </c>
      <c r="C346" s="63" t="inlineStr">
        <is>
          <t>2016</t>
        </is>
      </c>
      <c r="D346" t="inlineStr">
        <is>
          <t>Blu-ray</t>
        </is>
      </c>
      <c r="E346" t="inlineStr">
        <is>
          <t>X-Men</t>
        </is>
      </c>
      <c r="F346" s="64" t="n"/>
      <c r="I346" s="64" t="inlineStr">
        <is>
          <t>After the re-emergence of the world's first mutant, world-destroyer Apocalypse, the X-Men must unite to defeat his extinction level plan.</t>
        </is>
      </c>
      <c r="J346" s="64" t="inlineStr">
        <is>
          <t>Bryan Singer</t>
        </is>
      </c>
      <c r="K346" s="64" t="n">
        <v>144</v>
      </c>
      <c r="L346" s="64" t="inlineStr">
        <is>
          <t>Action, Adventure, Science Fiction, Fantasy</t>
        </is>
      </c>
      <c r="M346" s="64" t="inlineStr">
        <is>
          <t>The Donners' Company, Bad Hat Harry Productions, Genre Films</t>
        </is>
      </c>
      <c r="N346" s="64" t="inlineStr">
        <is>
          <t>https://huggingface.co/datasets/HenryWaltson/TMDB-IMDB-Movies-Dataset</t>
        </is>
      </c>
      <c r="O346" s="64" t="inlineStr">
        <is>
          <t>https://huggingface.co/datasets/HenryWaltson/TMDB-IMDB-Movies-Dataset</t>
        </is>
      </c>
      <c r="P346" t="inlineStr">
        <is>
          <t>James McAvoy</t>
        </is>
      </c>
      <c r="Q346" t="inlineStr">
        <is>
          <t>Michael Fassbender</t>
        </is>
      </c>
      <c r="R346" t="inlineStr">
        <is>
          <t>Jennifer Lawrence</t>
        </is>
      </c>
      <c r="S346" t="inlineStr">
        <is>
          <t>Nicholas Hoult</t>
        </is>
      </c>
      <c r="T346" t="inlineStr">
        <is>
          <t>Oscar Isaac</t>
        </is>
      </c>
      <c r="U346" s="71" t="n">
        <v>0</v>
      </c>
      <c r="V346" s="71" t="n">
        <v>0</v>
      </c>
      <c r="X346" s="82">
        <f>IFERROR(INDEX(Ratings!$E$5:$E$500,MATCH(A346,Ratings!$A$5:$A$500,0)),"")</f>
        <v/>
      </c>
      <c r="Y346" s="71">
        <f>IFERROR(INDEX(Ratings!$G$5:$G$500,MATCH(A346,Ratings!$A$5:$A$500,0)),"")</f>
        <v/>
      </c>
      <c r="Z346" s="83">
        <f>IFERROR(INDEX(Ratings!$I$5:$I$500,MATCH(A346,Ratings!$A$5:$A$500,0)),"")</f>
        <v/>
      </c>
    </row>
    <row r="347" ht="15.75" customHeight="1" s="95">
      <c r="A347" t="inlineStr">
        <is>
          <t>F0343</t>
        </is>
      </c>
      <c r="B347" t="inlineStr">
        <is>
          <t>X-Men Origins: Wolverine</t>
        </is>
      </c>
      <c r="C347" s="63" t="inlineStr">
        <is>
          <t>2009</t>
        </is>
      </c>
      <c r="D347" t="inlineStr">
        <is>
          <t>Blu-ray</t>
        </is>
      </c>
      <c r="E347" t="inlineStr">
        <is>
          <t>X-Men</t>
        </is>
      </c>
      <c r="F347" s="64" t="n"/>
      <c r="I347" s="64" t="inlineStr">
        <is>
          <t>After seeking to live a normal life after 200 years, Logan sets out to avenge a death by undergoing the mutant Weapon X program and becoming Wolverine.</t>
        </is>
      </c>
      <c r="J347" s="64" t="inlineStr">
        <is>
          <t>Gavin Hood</t>
        </is>
      </c>
      <c r="K347" s="64" t="n">
        <v>107</v>
      </c>
      <c r="L347" s="64" t="inlineStr">
        <is>
          <t>Adventure, Action, Thriller, Science Fiction</t>
        </is>
      </c>
      <c r="M347" s="64" t="inlineStr">
        <is>
          <t>The Donners' Company, Seed Productions, 20th Century Fox</t>
        </is>
      </c>
      <c r="N347" s="64" t="inlineStr">
        <is>
          <t>https://huggingface.co/datasets/HenryWaltson/TMDB-IMDB-Movies-Dataset</t>
        </is>
      </c>
      <c r="O347" s="64" t="inlineStr">
        <is>
          <t>https://huggingface.co/datasets/HenryWaltson/TMDB-IMDB-Movies-Dataset</t>
        </is>
      </c>
      <c r="P347" t="inlineStr">
        <is>
          <t>Hugh Jackman</t>
        </is>
      </c>
      <c r="Q347" t="inlineStr">
        <is>
          <t>Liev Schreiber</t>
        </is>
      </c>
      <c r="R347" t="inlineStr">
        <is>
          <t>Danny Huston</t>
        </is>
      </c>
      <c r="S347" t="inlineStr">
        <is>
          <t>Lynn Collins</t>
        </is>
      </c>
      <c r="T347" t="inlineStr">
        <is>
          <t>Kevin Durand</t>
        </is>
      </c>
      <c r="U347" s="71" t="n">
        <v>0</v>
      </c>
      <c r="V347" s="71" t="n">
        <v>0</v>
      </c>
      <c r="X347" s="82">
        <f>IFERROR(INDEX(Ratings!$E$5:$E$500,MATCH(A347,Ratings!$A$5:$A$500,0)),"")</f>
        <v/>
      </c>
      <c r="Y347" s="71">
        <f>IFERROR(INDEX(Ratings!$G$5:$G$500,MATCH(A347,Ratings!$A$5:$A$500,0)),"")</f>
        <v/>
      </c>
      <c r="Z347" s="83">
        <f>IFERROR(INDEX(Ratings!$I$5:$I$500,MATCH(A347,Ratings!$A$5:$A$500,0)),"")</f>
        <v/>
      </c>
    </row>
    <row r="348" ht="15.75" customHeight="1" s="95">
      <c r="A348" t="inlineStr">
        <is>
          <t>F0344</t>
        </is>
      </c>
      <c r="B348" t="inlineStr">
        <is>
          <t>X-Men</t>
        </is>
      </c>
      <c r="C348" s="63" t="inlineStr">
        <is>
          <t>2000</t>
        </is>
      </c>
      <c r="D348" t="inlineStr">
        <is>
          <t>Blu-ray</t>
        </is>
      </c>
      <c r="E348" t="inlineStr">
        <is>
          <t>X-Men</t>
        </is>
      </c>
      <c r="F348" s="64" t="inlineStr">
        <is>
          <t>X-Men Trilogy (Box Set)</t>
        </is>
      </c>
      <c r="I348" s="64" t="inlineStr">
        <is>
          <t>Owned via X-Men Trilogy (Box Set).</t>
        </is>
      </c>
      <c r="J348" s="64" t="inlineStr">
        <is>
          <t>Bryan Singer</t>
        </is>
      </c>
      <c r="K348" s="64" t="n">
        <v>104</v>
      </c>
      <c r="L348" s="64" t="inlineStr">
        <is>
          <t>Action, Science Fiction</t>
        </is>
      </c>
      <c r="M348" s="64" t="inlineStr">
        <is>
          <t>20th Century Fox, Marvel Entertainment</t>
        </is>
      </c>
      <c r="N348" s="64" t="inlineStr">
        <is>
          <t>https://huggingface.co/datasets/HenryWaltson/TMDB-IMDB-Movies-Dataset</t>
        </is>
      </c>
      <c r="O348" s="64" t="inlineStr">
        <is>
          <t>https://huggingface.co/datasets/HenryWaltson/TMDB-IMDB-Movies-Dataset</t>
        </is>
      </c>
      <c r="P348" t="inlineStr">
        <is>
          <t>Hugh Jackman</t>
        </is>
      </c>
      <c r="Q348" t="inlineStr">
        <is>
          <t>Patrick Stewart</t>
        </is>
      </c>
      <c r="R348" t="inlineStr">
        <is>
          <t>Ian McKellen</t>
        </is>
      </c>
      <c r="S348" t="inlineStr">
        <is>
          <t>Famke Janssen</t>
        </is>
      </c>
      <c r="T348" t="inlineStr">
        <is>
          <t>James Marsden</t>
        </is>
      </c>
      <c r="U348" s="71" t="n">
        <v>0</v>
      </c>
      <c r="V348" s="71" t="n">
        <v>0</v>
      </c>
      <c r="X348" s="82">
        <f>IFERROR(INDEX(Ratings!$E$5:$E$500,MATCH(A348,Ratings!$A$5:$A$500,0)),"")</f>
        <v/>
      </c>
      <c r="Y348" s="71">
        <f>IFERROR(INDEX(Ratings!$G$5:$G$500,MATCH(A348,Ratings!$A$5:$A$500,0)),"")</f>
        <v/>
      </c>
      <c r="Z348" s="83">
        <f>IFERROR(INDEX(Ratings!$I$5:$I$500,MATCH(A348,Ratings!$A$5:$A$500,0)),"")</f>
        <v/>
      </c>
    </row>
    <row r="349" ht="15.75" customHeight="1" s="95">
      <c r="A349" t="inlineStr">
        <is>
          <t>F0345</t>
        </is>
      </c>
      <c r="B349" t="inlineStr">
        <is>
          <t>X2: X-Men United</t>
        </is>
      </c>
      <c r="C349" s="63" t="inlineStr">
        <is>
          <t>2003</t>
        </is>
      </c>
      <c r="D349" t="inlineStr">
        <is>
          <t>Blu-ray</t>
        </is>
      </c>
      <c r="E349" t="inlineStr">
        <is>
          <t>X-Men</t>
        </is>
      </c>
      <c r="F349" s="64" t="inlineStr">
        <is>
          <t>X-Men Trilogy (Box Set)</t>
        </is>
      </c>
      <c r="I349" s="64" t="inlineStr">
        <is>
          <t>Owned via X-Men Trilogy (Box Set).</t>
        </is>
      </c>
      <c r="J349" s="64" t="inlineStr">
        <is>
          <t>Bryan Singer</t>
        </is>
      </c>
      <c r="K349" s="64" t="n">
        <v>133</v>
      </c>
      <c r="L349" s="64" t="inlineStr">
        <is>
          <t>Action, Science Fiction, Thriller</t>
        </is>
      </c>
      <c r="M349" s="64" t="inlineStr">
        <is>
          <t>20th Century Fox, Marvel Entertainment</t>
        </is>
      </c>
      <c r="N349" s="64" t="inlineStr">
        <is>
          <t>https://huggingface.co/datasets/HenryWaltson/TMDB-IMDB-Movies-Dataset</t>
        </is>
      </c>
      <c r="O349" s="64" t="inlineStr">
        <is>
          <t>https://huggingface.co/datasets/HenryWaltson/TMDB-IMDB-Movies-Dataset</t>
        </is>
      </c>
      <c r="P349" t="inlineStr">
        <is>
          <t>Patrick Stewart</t>
        </is>
      </c>
      <c r="Q349" t="inlineStr">
        <is>
          <t>Hugh Jackman</t>
        </is>
      </c>
      <c r="R349" t="inlineStr">
        <is>
          <t>Ian McKellen</t>
        </is>
      </c>
      <c r="S349" t="inlineStr">
        <is>
          <t>Halle Berry</t>
        </is>
      </c>
      <c r="T349" t="inlineStr">
        <is>
          <t>Famke Janssen</t>
        </is>
      </c>
      <c r="U349" s="71" t="n">
        <v>0</v>
      </c>
      <c r="V349" s="71" t="n">
        <v>0</v>
      </c>
      <c r="X349" s="82">
        <f>IFERROR(INDEX(Ratings!$E$5:$E$500,MATCH(A349,Ratings!$A$5:$A$500,0)),"")</f>
        <v/>
      </c>
      <c r="Y349" s="71">
        <f>IFERROR(INDEX(Ratings!$G$5:$G$500,MATCH(A349,Ratings!$A$5:$A$500,0)),"")</f>
        <v/>
      </c>
      <c r="Z349" s="83">
        <f>IFERROR(INDEX(Ratings!$I$5:$I$500,MATCH(A349,Ratings!$A$5:$A$500,0)),"")</f>
        <v/>
      </c>
    </row>
    <row r="350" ht="15.75" customHeight="1" s="95">
      <c r="A350" t="inlineStr">
        <is>
          <t>F0346</t>
        </is>
      </c>
      <c r="B350" t="inlineStr">
        <is>
          <t>X-Men: The Last Stand</t>
        </is>
      </c>
      <c r="C350" s="63" t="inlineStr">
        <is>
          <t>2006</t>
        </is>
      </c>
      <c r="D350" t="inlineStr">
        <is>
          <t>Blu-ray</t>
        </is>
      </c>
      <c r="E350" t="inlineStr">
        <is>
          <t>X-Men</t>
        </is>
      </c>
      <c r="F350" s="64" t="inlineStr">
        <is>
          <t>X-Men Trilogy (Box Set)</t>
        </is>
      </c>
      <c r="I350" s="64" t="inlineStr">
        <is>
          <t>Owned via X-Men Trilogy (Box Set).</t>
        </is>
      </c>
      <c r="J350" s="64" t="inlineStr">
        <is>
          <t>Brett Ratner</t>
        </is>
      </c>
      <c r="K350" s="64" t="n">
        <v>104</v>
      </c>
      <c r="L350" s="64" t="inlineStr">
        <is>
          <t>Action, Science Fiction, Thriller</t>
        </is>
      </c>
      <c r="M350" s="64" t="inlineStr">
        <is>
          <t>20th Century Fox, Marvel Entertainment</t>
        </is>
      </c>
      <c r="N350" s="64" t="inlineStr">
        <is>
          <t>https://huggingface.co/datasets/HenryWaltson/TMDB-IMDB-Movies-Dataset</t>
        </is>
      </c>
      <c r="O350" s="64" t="inlineStr">
        <is>
          <t>https://huggingface.co/datasets/HenryWaltson/TMDB-IMDB-Movies-Dataset</t>
        </is>
      </c>
      <c r="P350" t="inlineStr">
        <is>
          <t>Hugh Jackman</t>
        </is>
      </c>
      <c r="Q350" t="inlineStr">
        <is>
          <t>Halle Berry</t>
        </is>
      </c>
      <c r="R350" t="inlineStr">
        <is>
          <t>Ian McKellen</t>
        </is>
      </c>
      <c r="S350" t="inlineStr">
        <is>
          <t>Patrick Stewart</t>
        </is>
      </c>
      <c r="T350" t="inlineStr">
        <is>
          <t>Famke Janssen</t>
        </is>
      </c>
      <c r="U350" s="71" t="n">
        <v>0</v>
      </c>
      <c r="V350" s="71" t="n">
        <v>0</v>
      </c>
      <c r="X350" s="82">
        <f>IFERROR(INDEX(Ratings!$E$5:$E$500,MATCH(A350,Ratings!$A$5:$A$500,0)),"")</f>
        <v/>
      </c>
      <c r="Y350" s="71">
        <f>IFERROR(INDEX(Ratings!$G$5:$G$500,MATCH(A350,Ratings!$A$5:$A$500,0)),"")</f>
        <v/>
      </c>
      <c r="Z350" s="83">
        <f>IFERROR(INDEX(Ratings!$I$5:$I$500,MATCH(A350,Ratings!$A$5:$A$500,0)),"")</f>
        <v/>
      </c>
    </row>
    <row r="351" ht="15.75" customHeight="1" s="95">
      <c r="A351" t="inlineStr">
        <is>
          <t>F0347</t>
        </is>
      </c>
      <c r="B351" t="inlineStr">
        <is>
          <t>The Wolverine</t>
        </is>
      </c>
      <c r="C351" s="63" t="inlineStr">
        <is>
          <t>2013</t>
        </is>
      </c>
      <c r="D351" t="inlineStr">
        <is>
          <t>Blu-ray</t>
        </is>
      </c>
      <c r="E351" t="inlineStr">
        <is>
          <t>X-Men</t>
        </is>
      </c>
      <c r="F351" s="64" t="n"/>
      <c r="I351" s="64" t="inlineStr">
        <is>
          <t>Wolverine faces his ultimate nemesis - and tests of his physical, emotional, and mortal limits - in a life-changing voyage to modern-day Japan.</t>
        </is>
      </c>
      <c r="J351" s="64" t="inlineStr">
        <is>
          <t>James Mangold</t>
        </is>
      </c>
      <c r="K351" s="64" t="n">
        <v>126</v>
      </c>
      <c r="L351" s="64" t="inlineStr">
        <is>
          <t>Action, Science Fiction, Adventure, Fantasy</t>
        </is>
      </c>
      <c r="M351" s="64" t="inlineStr">
        <is>
          <t>The Donners' Company, 20th Century Fox</t>
        </is>
      </c>
      <c r="N351" s="64" t="inlineStr">
        <is>
          <t>https://huggingface.co/datasets/HenryWaltson/TMDB-IMDB-Movies-Dataset</t>
        </is>
      </c>
      <c r="O351" s="64" t="inlineStr">
        <is>
          <t>https://huggingface.co/datasets/HenryWaltson/TMDB-IMDB-Movies-Dataset</t>
        </is>
      </c>
      <c r="P351" t="inlineStr">
        <is>
          <t>Hugh Jackman</t>
        </is>
      </c>
      <c r="Q351" t="inlineStr">
        <is>
          <t>Hiroyuki Sanada</t>
        </is>
      </c>
      <c r="R351" t="inlineStr">
        <is>
          <t>Tao Okamoto</t>
        </is>
      </c>
      <c r="S351" t="inlineStr">
        <is>
          <t>Rila Fukushima</t>
        </is>
      </c>
      <c r="T351" t="inlineStr">
        <is>
          <t>Famke Janssen</t>
        </is>
      </c>
      <c r="U351" s="71" t="n">
        <v>0</v>
      </c>
      <c r="V351" s="71" t="n">
        <v>0</v>
      </c>
      <c r="X351" s="82">
        <f>IFERROR(INDEX(Ratings!$E$5:$E$500,MATCH(A351,Ratings!$A$5:$A$500,0)),"")</f>
        <v/>
      </c>
      <c r="Y351" s="71">
        <f>IFERROR(INDEX(Ratings!$G$5:$G$500,MATCH(A351,Ratings!$A$5:$A$500,0)),"")</f>
        <v/>
      </c>
      <c r="Z351" s="83">
        <f>IFERROR(INDEX(Ratings!$I$5:$I$500,MATCH(A351,Ratings!$A$5:$A$500,0)),"")</f>
        <v/>
      </c>
    </row>
    <row r="352" ht="15.75" customHeight="1" s="95">
      <c r="A352" t="inlineStr">
        <is>
          <t>F0348</t>
        </is>
      </c>
      <c r="B352" t="inlineStr">
        <is>
          <t>Yogi Bear</t>
        </is>
      </c>
      <c r="C352" s="63" t="inlineStr">
        <is>
          <t>2010</t>
        </is>
      </c>
      <c r="D352" t="inlineStr">
        <is>
          <t>Blu-ray</t>
        </is>
      </c>
      <c r="F352" s="64" t="n"/>
      <c r="I352" s="64" t="inlineStr">
        <is>
          <t>A documentary filmmaker travels to Jellystone Park to shoot a project and soon crosses paths with Yogi Bear, his sidekick Boo-Boo, and Ranger Smith.</t>
        </is>
      </c>
      <c r="J352" s="64" t="inlineStr">
        <is>
          <t>Eric Brevig</t>
        </is>
      </c>
      <c r="K352" s="64" t="n">
        <v>80</v>
      </c>
      <c r="L352" s="64" t="inlineStr">
        <is>
          <t>Comedy, Family, Animation, Adventure</t>
        </is>
      </c>
      <c r="M352" s="64" t="inlineStr">
        <is>
          <t>Sunswept Entertainment, De Line Pictures, Rhythm and Hues</t>
        </is>
      </c>
      <c r="N352" s="64" t="inlineStr">
        <is>
          <t>https://huggingface.co/datasets/HenryWaltson/TMDB-IMDB-Movies-Dataset</t>
        </is>
      </c>
      <c r="O352" s="64" t="inlineStr">
        <is>
          <t>https://huggingface.co/datasets/HenryWaltson/TMDB-IMDB-Movies-Dataset</t>
        </is>
      </c>
      <c r="P352" t="inlineStr">
        <is>
          <t>Dan Aykroyd</t>
        </is>
      </c>
      <c r="Q352" t="inlineStr">
        <is>
          <t>Justin Timberlake</t>
        </is>
      </c>
      <c r="R352" t="inlineStr">
        <is>
          <t>Anna Faris</t>
        </is>
      </c>
      <c r="S352" t="inlineStr">
        <is>
          <t>Tom Cavanagh</t>
        </is>
      </c>
      <c r="T352" t="inlineStr">
        <is>
          <t>T.J. Miller</t>
        </is>
      </c>
      <c r="U352" s="71" t="n">
        <v>0</v>
      </c>
      <c r="V352" s="71" t="n">
        <v>0</v>
      </c>
      <c r="X352" s="82">
        <f>IFERROR(INDEX(Ratings!$E$5:$E$500,MATCH(A352,Ratings!$A$5:$A$500,0)),"")</f>
        <v/>
      </c>
      <c r="Y352" s="71">
        <f>IFERROR(INDEX(Ratings!$G$5:$G$500,MATCH(A352,Ratings!$A$5:$A$500,0)),"")</f>
        <v/>
      </c>
      <c r="Z352" s="83">
        <f>IFERROR(INDEX(Ratings!$I$5:$I$500,MATCH(A352,Ratings!$A$5:$A$500,0)),"")</f>
        <v/>
      </c>
    </row>
    <row r="353" ht="15.75" customHeight="1" s="95">
      <c r="A353" t="inlineStr">
        <is>
          <t>F0349</t>
        </is>
      </c>
      <c r="B353" t="inlineStr">
        <is>
          <t>Zero Dark Thirty</t>
        </is>
      </c>
      <c r="C353" s="63" t="inlineStr">
        <is>
          <t>2012</t>
        </is>
      </c>
      <c r="D353" t="inlineStr">
        <is>
          <t>Blu-ray</t>
        </is>
      </c>
      <c r="F353" s="64" t="n"/>
      <c r="I353" s="64" t="inlineStr">
        <is>
          <t>A chronicle of the decade-long hunt for al-Qaeda terrorist leader Osama bin Laden after the September 2001 attacks, and his death at the hands of the Navy S.E.A.L. Team 6 in May, 2011.</t>
        </is>
      </c>
      <c r="J353" s="64" t="inlineStr">
        <is>
          <t>Kathryn Bigelow</t>
        </is>
      </c>
      <c r="K353" s="64" t="n">
        <v>157</v>
      </c>
      <c r="L353" s="64" t="inlineStr">
        <is>
          <t>Thriller, Drama, History</t>
        </is>
      </c>
      <c r="M353" s="64" t="inlineStr">
        <is>
          <t>Columbia Pictures, Annapurna Pictures, First Light</t>
        </is>
      </c>
      <c r="N353" s="64" t="inlineStr">
        <is>
          <t>https://huggingface.co/datasets/HenryWaltson/TMDB-IMDB-Movies-Dataset</t>
        </is>
      </c>
      <c r="O353" s="64" t="inlineStr">
        <is>
          <t>https://huggingface.co/datasets/HenryWaltson/TMDB-IMDB-Movies-Dataset</t>
        </is>
      </c>
      <c r="P353" t="inlineStr">
        <is>
          <t>Jessica Chastain</t>
        </is>
      </c>
      <c r="Q353" t="inlineStr">
        <is>
          <t>Jason Clarke</t>
        </is>
      </c>
      <c r="R353" t="inlineStr">
        <is>
          <t>Kyle Chandler</t>
        </is>
      </c>
      <c r="S353" t="inlineStr">
        <is>
          <t>Jennifer Ehle</t>
        </is>
      </c>
      <c r="T353" t="inlineStr">
        <is>
          <t>Mark Strong</t>
        </is>
      </c>
      <c r="U353" s="71" t="n">
        <v>5</v>
      </c>
      <c r="V353" s="71" t="n">
        <v>1</v>
      </c>
      <c r="W353" t="inlineStr">
        <is>
          <t>Nominated</t>
        </is>
      </c>
      <c r="X353" s="82">
        <f>IFERROR(INDEX(Ratings!$E$5:$E$500,MATCH(A353,Ratings!$A$5:$A$500,0)),"")</f>
        <v/>
      </c>
      <c r="Y353" s="71">
        <f>IFERROR(INDEX(Ratings!$G$5:$G$500,MATCH(A353,Ratings!$A$5:$A$500,0)),"")</f>
        <v/>
      </c>
      <c r="Z353" s="83">
        <f>IFERROR(INDEX(Ratings!$I$5:$I$500,MATCH(A353,Ratings!$A$5:$A$500,0)),"")</f>
        <v/>
      </c>
    </row>
    <row r="354" ht="15.75" customHeight="1" s="95">
      <c r="A354" s="65" t="inlineStr">
        <is>
          <t>F0350</t>
        </is>
      </c>
      <c r="B354" s="65" t="inlineStr">
        <is>
          <t>Zodiac</t>
        </is>
      </c>
      <c r="C354" s="69" t="inlineStr">
        <is>
          <t>2007</t>
        </is>
      </c>
      <c r="D354" s="65" t="inlineStr">
        <is>
          <t>Blu-ray</t>
        </is>
      </c>
      <c r="E354" s="65" t="n"/>
      <c r="F354" s="68" t="n"/>
      <c r="G354" s="65" t="n"/>
      <c r="H354" s="65" t="n"/>
      <c r="I354" s="68" t="inlineStr">
        <is>
          <t>Over the course of a decade, editors of the San Francisco Chronicle entice themselves in the murders of the Zodiac Killer. However, as time runs its course, interest in the case dwindles in the eyes of the professionals. The Killer stops interacting with the public. However, believing he has the answers, an amateur cartoonist from the initial sightings races against time to prevent what he believes is another murder.</t>
        </is>
      </c>
      <c r="J354" s="68" t="inlineStr">
        <is>
          <t>David Fincher</t>
        </is>
      </c>
      <c r="K354" s="68" t="n">
        <v>157</v>
      </c>
      <c r="L354" s="68" t="inlineStr">
        <is>
          <t>Crime, Drama, Mystery, Thriller</t>
        </is>
      </c>
      <c r="M354" s="68" t="inlineStr">
        <is>
          <t>Paramount, Phoenix Pictures, Warner Bros. Pictures</t>
        </is>
      </c>
      <c r="N354" s="68" t="inlineStr">
        <is>
          <t>https://huggingface.co/datasets/HenryWaltson/TMDB-IMDB-Movies-Dataset</t>
        </is>
      </c>
      <c r="O354" s="68" t="inlineStr">
        <is>
          <t>https://huggingface.co/datasets/HenryWaltson/TMDB-IMDB-Movies-Dataset</t>
        </is>
      </c>
      <c r="P354" s="65" t="inlineStr">
        <is>
          <t>Jake Gyllenhaal</t>
        </is>
      </c>
      <c r="Q354" s="65" t="inlineStr">
        <is>
          <t>Mark Ruffalo</t>
        </is>
      </c>
      <c r="R354" s="65" t="inlineStr">
        <is>
          <t>Anthony Edwards</t>
        </is>
      </c>
      <c r="S354" s="65" t="inlineStr">
        <is>
          <t>Robert Downey Jr.</t>
        </is>
      </c>
      <c r="T354" s="65" t="inlineStr">
        <is>
          <t>Chloë Sevigny</t>
        </is>
      </c>
      <c r="U354" s="72" t="n">
        <v>0</v>
      </c>
      <c r="V354" s="72" t="n">
        <v>0</v>
      </c>
      <c r="W354" s="65" t="n"/>
      <c r="X354" s="82">
        <f>IFERROR(INDEX(Ratings!$E$5:$E$500,MATCH(A354,Ratings!$A$5:$A$500,0)),"")</f>
        <v/>
      </c>
      <c r="Y354" s="71">
        <f>IFERROR(INDEX(Ratings!$G$5:$G$500,MATCH(A354,Ratings!$A$5:$A$500,0)),"")</f>
        <v/>
      </c>
      <c r="Z354" s="83">
        <f>IFERROR(INDEX(Ratings!$I$5:$I$500,MATCH(A354,Ratings!$A$5:$A$500,0)),"")</f>
        <v/>
      </c>
    </row>
    <row r="355" ht="15.75" customHeight="1" s="95">
      <c r="C355" s="3" t="n"/>
      <c r="D355" s="56" t="n"/>
      <c r="E355" s="56" t="n"/>
      <c r="F355" s="56" t="n"/>
      <c r="G355" s="56" t="n"/>
      <c r="H355" s="56" t="n"/>
    </row>
    <row r="356" ht="15.75" customHeight="1" s="95">
      <c r="C356" s="3" t="n"/>
      <c r="D356" s="56" t="n"/>
      <c r="E356" s="56" t="n"/>
      <c r="F356" s="56" t="n"/>
      <c r="G356" s="56" t="n"/>
      <c r="H356" s="56" t="n"/>
    </row>
    <row r="357" ht="15.75" customHeight="1" s="95">
      <c r="C357" s="3" t="n"/>
      <c r="D357" s="56" t="n"/>
      <c r="E357" s="56" t="n"/>
      <c r="F357" s="56" t="n"/>
      <c r="G357" s="56" t="n"/>
      <c r="H357" s="56" t="n"/>
    </row>
    <row r="358" ht="15.75" customHeight="1" s="95">
      <c r="C358" s="3" t="n"/>
      <c r="D358" s="56" t="n"/>
      <c r="E358" s="56" t="n"/>
      <c r="F358" s="56" t="n"/>
      <c r="G358" s="56" t="n"/>
      <c r="H358" s="56" t="n"/>
    </row>
    <row r="359" ht="15.75" customHeight="1" s="95">
      <c r="C359" s="3" t="n"/>
      <c r="D359" s="56" t="n"/>
      <c r="E359" s="56" t="n"/>
      <c r="F359" s="56" t="n"/>
      <c r="G359" s="56" t="n"/>
      <c r="H359" s="56" t="n"/>
    </row>
    <row r="360" ht="15.75" customHeight="1" s="95">
      <c r="C360" s="3" t="n"/>
      <c r="D360" s="56" t="n"/>
      <c r="E360" s="56" t="n"/>
      <c r="F360" s="56" t="n"/>
      <c r="G360" s="56" t="n"/>
      <c r="H360" s="56" t="n"/>
    </row>
    <row r="361" ht="15.75" customHeight="1" s="95">
      <c r="C361" s="3" t="n"/>
      <c r="D361" s="56" t="n"/>
      <c r="E361" s="56" t="n"/>
      <c r="F361" s="56" t="n"/>
      <c r="G361" s="56" t="n"/>
      <c r="H361" s="56" t="n"/>
    </row>
    <row r="362" ht="15.75" customHeight="1" s="95">
      <c r="C362" s="3" t="n"/>
      <c r="D362" s="56" t="n"/>
      <c r="E362" s="56" t="n"/>
      <c r="F362" s="56" t="n"/>
      <c r="G362" s="56" t="n"/>
      <c r="H362" s="56" t="n"/>
    </row>
    <row r="363" ht="15.75" customHeight="1" s="95">
      <c r="C363" s="3" t="n"/>
      <c r="D363" s="56" t="n"/>
      <c r="E363" s="56" t="n"/>
      <c r="F363" s="56" t="n"/>
      <c r="G363" s="56" t="n"/>
      <c r="H363" s="56" t="n"/>
    </row>
    <row r="364" ht="15.75" customHeight="1" s="95">
      <c r="C364" s="3" t="n"/>
      <c r="D364" s="56" t="n"/>
      <c r="E364" s="56" t="n"/>
      <c r="F364" s="56" t="n"/>
      <c r="G364" s="56" t="n"/>
      <c r="H364" s="56" t="n"/>
    </row>
    <row r="365" ht="15.75" customHeight="1" s="95">
      <c r="C365" s="3" t="n"/>
      <c r="D365" s="56" t="n"/>
      <c r="E365" s="56" t="n"/>
      <c r="F365" s="56" t="n"/>
      <c r="G365" s="56" t="n"/>
      <c r="H365" s="56" t="n"/>
    </row>
    <row r="366" ht="15.75" customHeight="1" s="95">
      <c r="C366" s="3" t="n"/>
      <c r="D366" s="56" t="n"/>
      <c r="E366" s="56" t="n"/>
      <c r="F366" s="56" t="n"/>
      <c r="G366" s="56" t="n"/>
      <c r="H366" s="56" t="n"/>
    </row>
    <row r="367" ht="15.75" customHeight="1" s="95">
      <c r="C367" s="3" t="n"/>
      <c r="D367" s="56" t="n"/>
      <c r="E367" s="56" t="n"/>
      <c r="F367" s="56" t="n"/>
      <c r="G367" s="56" t="n"/>
      <c r="H367" s="56" t="n"/>
    </row>
    <row r="368" ht="15.75" customHeight="1" s="95">
      <c r="C368" s="3" t="n"/>
      <c r="D368" s="56" t="n"/>
      <c r="E368" s="56" t="n"/>
      <c r="F368" s="56" t="n"/>
      <c r="G368" s="56" t="n"/>
      <c r="H368" s="56" t="n"/>
    </row>
    <row r="369" ht="15.75" customHeight="1" s="95">
      <c r="C369" s="3" t="n"/>
      <c r="D369" s="56" t="n"/>
      <c r="E369" s="56" t="n"/>
      <c r="F369" s="56" t="n"/>
      <c r="G369" s="56" t="n"/>
      <c r="H369" s="56" t="n"/>
    </row>
    <row r="370" ht="15.75" customHeight="1" s="95">
      <c r="C370" s="3" t="n"/>
      <c r="D370" s="56" t="n"/>
      <c r="E370" s="56" t="n"/>
      <c r="F370" s="56" t="n"/>
      <c r="G370" s="56" t="n"/>
      <c r="H370" s="56" t="n"/>
    </row>
    <row r="371" ht="15.75" customHeight="1" s="95">
      <c r="C371" s="3" t="n"/>
      <c r="D371" s="56" t="n"/>
      <c r="E371" s="56" t="n"/>
      <c r="F371" s="56" t="n"/>
      <c r="G371" s="56" t="n"/>
      <c r="H371" s="56" t="n"/>
    </row>
    <row r="372" ht="15.75" customHeight="1" s="95">
      <c r="C372" s="3" t="n"/>
      <c r="D372" s="56" t="n"/>
      <c r="E372" s="56" t="n"/>
      <c r="F372" s="56" t="n"/>
      <c r="G372" s="56" t="n"/>
      <c r="H372" s="56" t="n"/>
    </row>
    <row r="373" ht="15.75" customHeight="1" s="95">
      <c r="C373" s="3" t="n"/>
      <c r="D373" s="56" t="n"/>
      <c r="E373" s="56" t="n"/>
      <c r="F373" s="56" t="n"/>
      <c r="G373" s="56" t="n"/>
      <c r="H373" s="56" t="n"/>
    </row>
    <row r="374" ht="15.75" customHeight="1" s="95">
      <c r="C374" s="3" t="n"/>
      <c r="D374" s="56" t="n"/>
      <c r="E374" s="56" t="n"/>
      <c r="F374" s="56" t="n"/>
      <c r="G374" s="56" t="n"/>
      <c r="H374" s="56" t="n"/>
    </row>
    <row r="375" ht="15.75" customHeight="1" s="95">
      <c r="C375" s="3" t="n"/>
      <c r="D375" s="56" t="n"/>
      <c r="E375" s="56" t="n"/>
      <c r="F375" s="56" t="n"/>
      <c r="G375" s="56" t="n"/>
      <c r="H375" s="56" t="n"/>
    </row>
    <row r="376" ht="15.75" customHeight="1" s="95">
      <c r="C376" s="3" t="n"/>
      <c r="D376" s="56" t="n"/>
      <c r="E376" s="56" t="n"/>
      <c r="F376" s="56" t="n"/>
      <c r="G376" s="56" t="n"/>
      <c r="H376" s="56" t="n"/>
    </row>
    <row r="377" ht="15.75" customHeight="1" s="95">
      <c r="C377" s="3" t="n"/>
      <c r="D377" s="56" t="n"/>
      <c r="E377" s="56" t="n"/>
      <c r="F377" s="56" t="n"/>
      <c r="G377" s="56" t="n"/>
      <c r="H377" s="56" t="n"/>
    </row>
    <row r="378" ht="15.75" customHeight="1" s="95">
      <c r="C378" s="3" t="n"/>
      <c r="D378" s="56" t="n"/>
      <c r="E378" s="56" t="n"/>
      <c r="F378" s="56" t="n"/>
      <c r="G378" s="56" t="n"/>
      <c r="H378" s="56" t="n"/>
    </row>
    <row r="379" ht="15.75" customHeight="1" s="95">
      <c r="C379" s="3" t="n"/>
      <c r="D379" s="56" t="n"/>
      <c r="E379" s="56" t="n"/>
      <c r="F379" s="56" t="n"/>
      <c r="G379" s="56" t="n"/>
      <c r="H379" s="56" t="n"/>
    </row>
    <row r="380" ht="15.75" customHeight="1" s="95">
      <c r="C380" s="3" t="n"/>
      <c r="D380" s="56" t="n"/>
      <c r="E380" s="56" t="n"/>
      <c r="F380" s="56" t="n"/>
      <c r="G380" s="56" t="n"/>
      <c r="H380" s="56" t="n"/>
    </row>
    <row r="381" ht="15.75" customHeight="1" s="95">
      <c r="C381" s="3" t="n"/>
      <c r="D381" s="56" t="n"/>
      <c r="E381" s="56" t="n"/>
      <c r="F381" s="56" t="n"/>
      <c r="G381" s="56" t="n"/>
      <c r="H381" s="56" t="n"/>
    </row>
    <row r="382" ht="15.75" customHeight="1" s="95">
      <c r="C382" s="3" t="n"/>
      <c r="D382" s="56" t="n"/>
      <c r="E382" s="56" t="n"/>
      <c r="F382" s="56" t="n"/>
      <c r="G382" s="56" t="n"/>
      <c r="H382" s="56" t="n"/>
    </row>
    <row r="383" ht="15.75" customHeight="1" s="95">
      <c r="C383" s="3" t="n"/>
      <c r="D383" s="56" t="n"/>
      <c r="E383" s="56" t="n"/>
      <c r="F383" s="56" t="n"/>
      <c r="G383" s="56" t="n"/>
      <c r="H383" s="56" t="n"/>
    </row>
    <row r="384" ht="15.75" customHeight="1" s="95">
      <c r="C384" s="3" t="n"/>
      <c r="D384" s="56" t="n"/>
      <c r="E384" s="56" t="n"/>
      <c r="F384" s="56" t="n"/>
      <c r="G384" s="56" t="n"/>
      <c r="H384" s="56" t="n"/>
    </row>
    <row r="385" ht="15.75" customHeight="1" s="95">
      <c r="C385" s="3" t="n"/>
      <c r="D385" s="56" t="n"/>
      <c r="E385" s="56" t="n"/>
      <c r="F385" s="56" t="n"/>
      <c r="G385" s="56" t="n"/>
      <c r="H385" s="56" t="n"/>
    </row>
    <row r="386" ht="15.75" customHeight="1" s="95">
      <c r="C386" s="3" t="n"/>
      <c r="D386" s="56" t="n"/>
      <c r="E386" s="56" t="n"/>
      <c r="F386" s="56" t="n"/>
      <c r="G386" s="56" t="n"/>
      <c r="H386" s="56" t="n"/>
    </row>
    <row r="387" ht="15.75" customHeight="1" s="95">
      <c r="C387" s="3" t="n"/>
      <c r="D387" s="56" t="n"/>
      <c r="E387" s="56" t="n"/>
      <c r="F387" s="56" t="n"/>
      <c r="G387" s="56" t="n"/>
      <c r="H387" s="56" t="n"/>
    </row>
    <row r="388" ht="15.75" customHeight="1" s="95">
      <c r="C388" s="3" t="n"/>
      <c r="D388" s="56" t="n"/>
      <c r="E388" s="56" t="n"/>
      <c r="F388" s="56" t="n"/>
      <c r="G388" s="56" t="n"/>
      <c r="H388" s="56" t="n"/>
    </row>
    <row r="389" ht="15.75" customHeight="1" s="95">
      <c r="C389" s="3" t="n"/>
      <c r="D389" s="56" t="n"/>
      <c r="E389" s="56" t="n"/>
      <c r="F389" s="56" t="n"/>
      <c r="G389" s="56" t="n"/>
      <c r="H389" s="56" t="n"/>
    </row>
    <row r="390" ht="15.75" customHeight="1" s="95">
      <c r="C390" s="3" t="n"/>
      <c r="D390" s="56" t="n"/>
      <c r="E390" s="56" t="n"/>
      <c r="F390" s="56" t="n"/>
      <c r="G390" s="56" t="n"/>
      <c r="H390" s="56" t="n"/>
    </row>
    <row r="391" ht="15.75" customHeight="1" s="95">
      <c r="C391" s="3" t="n"/>
      <c r="D391" s="56" t="n"/>
      <c r="E391" s="56" t="n"/>
      <c r="F391" s="56" t="n"/>
      <c r="G391" s="56" t="n"/>
      <c r="H391" s="56" t="n"/>
    </row>
    <row r="392" ht="15.75" customHeight="1" s="95">
      <c r="C392" s="3" t="n"/>
      <c r="D392" s="56" t="n"/>
      <c r="E392" s="56" t="n"/>
      <c r="F392" s="56" t="n"/>
      <c r="G392" s="56" t="n"/>
      <c r="H392" s="56" t="n"/>
    </row>
    <row r="393" ht="15.75" customHeight="1" s="95">
      <c r="C393" s="3" t="n"/>
      <c r="D393" s="56" t="n"/>
      <c r="E393" s="56" t="n"/>
      <c r="F393" s="56" t="n"/>
      <c r="G393" s="56" t="n"/>
      <c r="H393" s="56" t="n"/>
    </row>
    <row r="394" ht="15.75" customHeight="1" s="95">
      <c r="C394" s="3" t="n"/>
      <c r="D394" s="56" t="n"/>
      <c r="E394" s="56" t="n"/>
      <c r="F394" s="56" t="n"/>
      <c r="G394" s="56" t="n"/>
      <c r="H394" s="56" t="n"/>
    </row>
    <row r="395" ht="15.75" customHeight="1" s="95">
      <c r="C395" s="3" t="n"/>
      <c r="D395" s="56" t="n"/>
      <c r="E395" s="56" t="n"/>
      <c r="F395" s="56" t="n"/>
      <c r="G395" s="56" t="n"/>
      <c r="H395" s="56" t="n"/>
    </row>
    <row r="396" ht="15.75" customHeight="1" s="95">
      <c r="C396" s="3" t="n"/>
      <c r="D396" s="56" t="n"/>
      <c r="E396" s="56" t="n"/>
      <c r="F396" s="56" t="n"/>
      <c r="G396" s="56" t="n"/>
      <c r="H396" s="56" t="n"/>
    </row>
    <row r="397" ht="15.75" customHeight="1" s="95">
      <c r="C397" s="3" t="n"/>
      <c r="D397" s="56" t="n"/>
      <c r="E397" s="56" t="n"/>
      <c r="F397" s="56" t="n"/>
      <c r="G397" s="56" t="n"/>
      <c r="H397" s="56" t="n"/>
    </row>
    <row r="398" ht="15.75" customHeight="1" s="95">
      <c r="C398" s="3" t="n"/>
      <c r="D398" s="56" t="n"/>
      <c r="E398" s="56" t="n"/>
      <c r="F398" s="56" t="n"/>
      <c r="G398" s="56" t="n"/>
      <c r="H398" s="56" t="n"/>
    </row>
    <row r="399" ht="15.75" customHeight="1" s="95">
      <c r="C399" s="3" t="n"/>
      <c r="D399" s="56" t="n"/>
      <c r="E399" s="56" t="n"/>
      <c r="F399" s="56" t="n"/>
      <c r="G399" s="56" t="n"/>
      <c r="H399" s="56" t="n"/>
    </row>
    <row r="400" ht="15.75" customHeight="1" s="95">
      <c r="C400" s="3" t="n"/>
      <c r="D400" s="56" t="n"/>
      <c r="E400" s="56" t="n"/>
      <c r="F400" s="56" t="n"/>
      <c r="G400" s="56" t="n"/>
      <c r="H400" s="56" t="n"/>
    </row>
    <row r="401" ht="15.75" customHeight="1" s="95">
      <c r="C401" s="3" t="n"/>
      <c r="D401" s="56" t="n"/>
      <c r="E401" s="56" t="n"/>
      <c r="F401" s="56" t="n"/>
      <c r="G401" s="56" t="n"/>
      <c r="H401" s="56" t="n"/>
    </row>
    <row r="402" ht="15.75" customHeight="1" s="95">
      <c r="C402" s="3" t="n"/>
      <c r="D402" s="56" t="n"/>
      <c r="E402" s="56" t="n"/>
      <c r="F402" s="56" t="n"/>
      <c r="G402" s="56" t="n"/>
      <c r="H402" s="56" t="n"/>
    </row>
    <row r="403" ht="15.75" customHeight="1" s="95">
      <c r="C403" s="3" t="n"/>
      <c r="D403" s="56" t="n"/>
      <c r="E403" s="56" t="n"/>
      <c r="F403" s="56" t="n"/>
      <c r="G403" s="56" t="n"/>
      <c r="H403" s="56" t="n"/>
    </row>
    <row r="404" ht="15.75" customHeight="1" s="95">
      <c r="C404" s="3" t="n"/>
      <c r="D404" s="56" t="n"/>
      <c r="E404" s="56" t="n"/>
      <c r="F404" s="56" t="n"/>
      <c r="G404" s="56" t="n"/>
      <c r="H404" s="56" t="n"/>
    </row>
    <row r="405" ht="15.75" customHeight="1" s="95">
      <c r="C405" s="3" t="n"/>
      <c r="D405" s="56" t="n"/>
      <c r="E405" s="56" t="n"/>
      <c r="F405" s="56" t="n"/>
      <c r="G405" s="56" t="n"/>
      <c r="H405" s="56" t="n"/>
    </row>
    <row r="406" ht="15.75" customHeight="1" s="95">
      <c r="C406" s="3" t="n"/>
      <c r="D406" s="56" t="n"/>
      <c r="E406" s="56" t="n"/>
      <c r="F406" s="56" t="n"/>
      <c r="G406" s="56" t="n"/>
      <c r="H406" s="56" t="n"/>
    </row>
    <row r="407" ht="15.75" customHeight="1" s="95">
      <c r="C407" s="3" t="n"/>
      <c r="D407" s="56" t="n"/>
      <c r="E407" s="56" t="n"/>
      <c r="F407" s="56" t="n"/>
      <c r="G407" s="56" t="n"/>
      <c r="H407" s="56" t="n"/>
    </row>
    <row r="408" ht="15.75" customHeight="1" s="95">
      <c r="C408" s="3" t="n"/>
      <c r="D408" s="56" t="n"/>
      <c r="E408" s="56" t="n"/>
      <c r="F408" s="56" t="n"/>
      <c r="G408" s="56" t="n"/>
      <c r="H408" s="56" t="n"/>
    </row>
    <row r="409" ht="15.75" customHeight="1" s="95">
      <c r="C409" s="3" t="n"/>
      <c r="D409" s="56" t="n"/>
      <c r="E409" s="56" t="n"/>
      <c r="F409" s="56" t="n"/>
      <c r="G409" s="56" t="n"/>
      <c r="H409" s="56" t="n"/>
    </row>
    <row r="410" ht="15.75" customHeight="1" s="95">
      <c r="C410" s="3" t="n"/>
      <c r="D410" s="56" t="n"/>
      <c r="E410" s="56" t="n"/>
      <c r="F410" s="56" t="n"/>
      <c r="G410" s="56" t="n"/>
      <c r="H410" s="56" t="n"/>
    </row>
    <row r="411" ht="15.75" customHeight="1" s="95">
      <c r="C411" s="3" t="n"/>
      <c r="D411" s="56" t="n"/>
      <c r="E411" s="56" t="n"/>
      <c r="F411" s="56" t="n"/>
      <c r="G411" s="56" t="n"/>
      <c r="H411" s="56" t="n"/>
    </row>
    <row r="412" ht="15.75" customHeight="1" s="95">
      <c r="C412" s="3" t="n"/>
      <c r="D412" s="56" t="n"/>
      <c r="E412" s="56" t="n"/>
      <c r="F412" s="56" t="n"/>
      <c r="G412" s="56" t="n"/>
      <c r="H412" s="56" t="n"/>
    </row>
    <row r="413" ht="15.75" customHeight="1" s="95">
      <c r="C413" s="3" t="n"/>
      <c r="D413" s="56" t="n"/>
      <c r="E413" s="56" t="n"/>
      <c r="F413" s="56" t="n"/>
      <c r="G413" s="56" t="n"/>
      <c r="H413" s="56" t="n"/>
    </row>
    <row r="414" ht="15.75" customHeight="1" s="95">
      <c r="C414" s="3" t="n"/>
      <c r="D414" s="56" t="n"/>
      <c r="E414" s="56" t="n"/>
      <c r="F414" s="56" t="n"/>
      <c r="G414" s="56" t="n"/>
      <c r="H414" s="56" t="n"/>
    </row>
    <row r="415" ht="15.75" customHeight="1" s="95">
      <c r="C415" s="3" t="n"/>
      <c r="D415" s="56" t="n"/>
      <c r="E415" s="56" t="n"/>
      <c r="F415" s="56" t="n"/>
      <c r="G415" s="56" t="n"/>
      <c r="H415" s="56" t="n"/>
    </row>
    <row r="416" ht="15.75" customHeight="1" s="95">
      <c r="C416" s="3" t="n"/>
      <c r="D416" s="56" t="n"/>
      <c r="E416" s="56" t="n"/>
      <c r="F416" s="56" t="n"/>
      <c r="G416" s="56" t="n"/>
      <c r="H416" s="56" t="n"/>
    </row>
    <row r="417" ht="15.75" customHeight="1" s="95">
      <c r="C417" s="3" t="n"/>
      <c r="D417" s="56" t="n"/>
      <c r="E417" s="56" t="n"/>
      <c r="F417" s="56" t="n"/>
      <c r="G417" s="56" t="n"/>
      <c r="H417" s="56" t="n"/>
    </row>
    <row r="418" ht="15.75" customHeight="1" s="95">
      <c r="C418" s="3" t="n"/>
      <c r="D418" s="56" t="n"/>
      <c r="E418" s="56" t="n"/>
      <c r="F418" s="56" t="n"/>
      <c r="G418" s="56" t="n"/>
      <c r="H418" s="56" t="n"/>
    </row>
    <row r="419" ht="15.75" customHeight="1" s="95">
      <c r="C419" s="3" t="n"/>
      <c r="D419" s="56" t="n"/>
      <c r="E419" s="56" t="n"/>
      <c r="F419" s="56" t="n"/>
      <c r="G419" s="56" t="n"/>
      <c r="H419" s="56" t="n"/>
    </row>
    <row r="420" ht="15.75" customHeight="1" s="95">
      <c r="C420" s="3" t="n"/>
      <c r="D420" s="56" t="n"/>
      <c r="E420" s="56" t="n"/>
      <c r="F420" s="56" t="n"/>
      <c r="G420" s="56" t="n"/>
      <c r="H420" s="56" t="n"/>
    </row>
    <row r="421" ht="15.75" customHeight="1" s="95">
      <c r="C421" s="3" t="n"/>
      <c r="D421" s="56" t="n"/>
      <c r="E421" s="56" t="n"/>
      <c r="F421" s="56" t="n"/>
      <c r="G421" s="56" t="n"/>
      <c r="H421" s="56" t="n"/>
    </row>
    <row r="422" ht="15.75" customHeight="1" s="95">
      <c r="C422" s="3" t="n"/>
      <c r="D422" s="56" t="n"/>
      <c r="E422" s="56" t="n"/>
      <c r="F422" s="56" t="n"/>
      <c r="G422" s="56" t="n"/>
      <c r="H422" s="56" t="n"/>
    </row>
    <row r="423" ht="15.75" customHeight="1" s="95">
      <c r="C423" s="3" t="n"/>
      <c r="D423" s="56" t="n"/>
      <c r="E423" s="56" t="n"/>
      <c r="F423" s="56" t="n"/>
      <c r="G423" s="56" t="n"/>
      <c r="H423" s="56" t="n"/>
    </row>
    <row r="424" ht="15.75" customHeight="1" s="95">
      <c r="C424" s="3" t="n"/>
      <c r="D424" s="56" t="n"/>
      <c r="E424" s="56" t="n"/>
      <c r="F424" s="56" t="n"/>
      <c r="G424" s="56" t="n"/>
      <c r="H424" s="56" t="n"/>
    </row>
    <row r="425" ht="15.75" customHeight="1" s="95">
      <c r="C425" s="3" t="n"/>
      <c r="D425" s="56" t="n"/>
      <c r="E425" s="56" t="n"/>
      <c r="F425" s="56" t="n"/>
      <c r="G425" s="56" t="n"/>
      <c r="H425" s="56" t="n"/>
    </row>
    <row r="426" ht="15.75" customHeight="1" s="95">
      <c r="C426" s="3" t="n"/>
      <c r="D426" s="56" t="n"/>
      <c r="E426" s="56" t="n"/>
      <c r="F426" s="56" t="n"/>
      <c r="G426" s="56" t="n"/>
      <c r="H426" s="56" t="n"/>
    </row>
    <row r="427" ht="15.75" customHeight="1" s="95">
      <c r="C427" s="3" t="n"/>
      <c r="D427" s="56" t="n"/>
      <c r="E427" s="56" t="n"/>
      <c r="F427" s="56" t="n"/>
      <c r="G427" s="56" t="n"/>
      <c r="H427" s="56" t="n"/>
    </row>
    <row r="428" ht="15.75" customHeight="1" s="95">
      <c r="C428" s="3" t="n"/>
      <c r="D428" s="56" t="n"/>
      <c r="E428" s="56" t="n"/>
      <c r="F428" s="56" t="n"/>
      <c r="G428" s="56" t="n"/>
      <c r="H428" s="56" t="n"/>
    </row>
    <row r="429" ht="15.75" customHeight="1" s="95">
      <c r="C429" s="3" t="n"/>
      <c r="D429" s="56" t="n"/>
      <c r="E429" s="56" t="n"/>
      <c r="F429" s="56" t="n"/>
      <c r="G429" s="56" t="n"/>
      <c r="H429" s="56" t="n"/>
    </row>
    <row r="430" ht="15.75" customHeight="1" s="95">
      <c r="C430" s="3" t="n"/>
      <c r="D430" s="56" t="n"/>
      <c r="E430" s="56" t="n"/>
      <c r="F430" s="56" t="n"/>
      <c r="G430" s="56" t="n"/>
      <c r="H430" s="56" t="n"/>
    </row>
    <row r="431" ht="15.75" customHeight="1" s="95">
      <c r="C431" s="3" t="n"/>
      <c r="D431" s="56" t="n"/>
      <c r="E431" s="56" t="n"/>
      <c r="F431" s="56" t="n"/>
      <c r="G431" s="56" t="n"/>
      <c r="H431" s="56" t="n"/>
    </row>
    <row r="432" ht="15.75" customHeight="1" s="95">
      <c r="C432" s="3" t="n"/>
      <c r="D432" s="56" t="n"/>
      <c r="E432" s="56" t="n"/>
      <c r="F432" s="56" t="n"/>
      <c r="G432" s="56" t="n"/>
      <c r="H432" s="56" t="n"/>
    </row>
    <row r="433" ht="15.75" customHeight="1" s="95">
      <c r="C433" s="3" t="n"/>
      <c r="D433" s="56" t="n"/>
      <c r="E433" s="56" t="n"/>
      <c r="F433" s="56" t="n"/>
      <c r="G433" s="56" t="n"/>
      <c r="H433" s="56" t="n"/>
    </row>
    <row r="434" ht="15.75" customHeight="1" s="95">
      <c r="C434" s="3" t="n"/>
      <c r="D434" s="56" t="n"/>
      <c r="E434" s="56" t="n"/>
      <c r="F434" s="56" t="n"/>
      <c r="G434" s="56" t="n"/>
      <c r="H434" s="56" t="n"/>
    </row>
    <row r="435" ht="15.75" customHeight="1" s="95">
      <c r="C435" s="3" t="n"/>
      <c r="D435" s="56" t="n"/>
      <c r="E435" s="56" t="n"/>
      <c r="F435" s="56" t="n"/>
      <c r="G435" s="56" t="n"/>
      <c r="H435" s="56" t="n"/>
    </row>
    <row r="436" ht="15.75" customHeight="1" s="95">
      <c r="C436" s="3" t="n"/>
      <c r="D436" s="56" t="n"/>
      <c r="E436" s="56" t="n"/>
      <c r="F436" s="56" t="n"/>
      <c r="G436" s="56" t="n"/>
      <c r="H436" s="56" t="n"/>
    </row>
    <row r="437" ht="15.75" customHeight="1" s="95">
      <c r="C437" s="3" t="n"/>
      <c r="D437" s="56" t="n"/>
      <c r="E437" s="56" t="n"/>
      <c r="F437" s="56" t="n"/>
      <c r="G437" s="56" t="n"/>
      <c r="H437" s="56" t="n"/>
    </row>
    <row r="438" ht="15.75" customHeight="1" s="95">
      <c r="C438" s="3" t="n"/>
      <c r="D438" s="56" t="n"/>
      <c r="E438" s="56" t="n"/>
      <c r="F438" s="56" t="n"/>
      <c r="G438" s="56" t="n"/>
      <c r="H438" s="56" t="n"/>
    </row>
    <row r="439" ht="15.75" customHeight="1" s="95">
      <c r="C439" s="3" t="n"/>
      <c r="D439" s="56" t="n"/>
      <c r="E439" s="56" t="n"/>
      <c r="F439" s="56" t="n"/>
      <c r="G439" s="56" t="n"/>
      <c r="H439" s="56" t="n"/>
    </row>
    <row r="440" ht="15.75" customHeight="1" s="95">
      <c r="C440" s="3" t="n"/>
      <c r="D440" s="56" t="n"/>
      <c r="E440" s="56" t="n"/>
      <c r="F440" s="56" t="n"/>
      <c r="G440" s="56" t="n"/>
      <c r="H440" s="56" t="n"/>
    </row>
    <row r="441" ht="15.75" customHeight="1" s="95">
      <c r="C441" s="3" t="n"/>
      <c r="D441" s="56" t="n"/>
      <c r="E441" s="56" t="n"/>
      <c r="F441" s="56" t="n"/>
      <c r="G441" s="56" t="n"/>
      <c r="H441" s="56" t="n"/>
    </row>
    <row r="442" ht="15.75" customHeight="1" s="95">
      <c r="C442" s="3" t="n"/>
      <c r="D442" s="56" t="n"/>
      <c r="E442" s="56" t="n"/>
      <c r="F442" s="56" t="n"/>
      <c r="G442" s="56" t="n"/>
      <c r="H442" s="56" t="n"/>
    </row>
    <row r="443" ht="15.75" customHeight="1" s="95">
      <c r="C443" s="3" t="n"/>
      <c r="D443" s="56" t="n"/>
      <c r="E443" s="56" t="n"/>
      <c r="F443" s="56" t="n"/>
      <c r="G443" s="56" t="n"/>
      <c r="H443" s="56" t="n"/>
    </row>
    <row r="444" ht="15.75" customHeight="1" s="95">
      <c r="C444" s="3" t="n"/>
      <c r="D444" s="56" t="n"/>
      <c r="E444" s="56" t="n"/>
      <c r="F444" s="56" t="n"/>
      <c r="G444" s="56" t="n"/>
      <c r="H444" s="56" t="n"/>
    </row>
    <row r="445" ht="15.75" customHeight="1" s="95">
      <c r="C445" s="3" t="n"/>
      <c r="D445" s="56" t="n"/>
      <c r="E445" s="56" t="n"/>
      <c r="F445" s="56" t="n"/>
      <c r="G445" s="56" t="n"/>
      <c r="H445" s="56" t="n"/>
    </row>
    <row r="446" ht="15.75" customHeight="1" s="95">
      <c r="C446" s="3" t="n"/>
      <c r="D446" s="56" t="n"/>
      <c r="E446" s="56" t="n"/>
      <c r="F446" s="56" t="n"/>
      <c r="G446" s="56" t="n"/>
      <c r="H446" s="56" t="n"/>
    </row>
    <row r="447" ht="15.75" customHeight="1" s="95">
      <c r="C447" s="3" t="n"/>
      <c r="D447" s="56" t="n"/>
      <c r="E447" s="56" t="n"/>
      <c r="F447" s="56" t="n"/>
      <c r="G447" s="56" t="n"/>
      <c r="H447" s="56" t="n"/>
    </row>
    <row r="448" ht="15.75" customHeight="1" s="95">
      <c r="C448" s="3" t="n"/>
      <c r="D448" s="56" t="n"/>
      <c r="E448" s="56" t="n"/>
      <c r="F448" s="56" t="n"/>
      <c r="G448" s="56" t="n"/>
      <c r="H448" s="56" t="n"/>
    </row>
    <row r="449" ht="15.75" customHeight="1" s="95">
      <c r="C449" s="3" t="n"/>
      <c r="D449" s="56" t="n"/>
      <c r="E449" s="56" t="n"/>
      <c r="F449" s="56" t="n"/>
      <c r="G449" s="56" t="n"/>
      <c r="H449" s="56" t="n"/>
    </row>
    <row r="450" ht="15.75" customHeight="1" s="95">
      <c r="C450" s="3" t="n"/>
      <c r="D450" s="56" t="n"/>
      <c r="E450" s="56" t="n"/>
      <c r="F450" s="56" t="n"/>
      <c r="G450" s="56" t="n"/>
      <c r="H450" s="56" t="n"/>
    </row>
    <row r="451" ht="15.75" customHeight="1" s="95">
      <c r="C451" s="3" t="n"/>
      <c r="D451" s="56" t="n"/>
      <c r="E451" s="56" t="n"/>
      <c r="F451" s="56" t="n"/>
      <c r="G451" s="56" t="n"/>
      <c r="H451" s="56" t="n"/>
    </row>
    <row r="452" ht="15.75" customHeight="1" s="95">
      <c r="C452" s="3" t="n"/>
      <c r="D452" s="56" t="n"/>
      <c r="E452" s="56" t="n"/>
      <c r="F452" s="56" t="n"/>
      <c r="G452" s="56" t="n"/>
      <c r="H452" s="56" t="n"/>
    </row>
    <row r="453" ht="15.75" customHeight="1" s="95">
      <c r="C453" s="3" t="n"/>
      <c r="D453" s="56" t="n"/>
      <c r="E453" s="56" t="n"/>
      <c r="F453" s="56" t="n"/>
      <c r="G453" s="56" t="n"/>
      <c r="H453" s="56" t="n"/>
    </row>
    <row r="454" ht="15.75" customHeight="1" s="95">
      <c r="C454" s="3" t="n"/>
      <c r="D454" s="56" t="n"/>
      <c r="E454" s="56" t="n"/>
      <c r="F454" s="56" t="n"/>
      <c r="G454" s="56" t="n"/>
      <c r="H454" s="56" t="n"/>
    </row>
    <row r="455" ht="15.75" customHeight="1" s="95">
      <c r="C455" s="3" t="n"/>
      <c r="D455" s="56" t="n"/>
      <c r="E455" s="56" t="n"/>
      <c r="F455" s="56" t="n"/>
      <c r="G455" s="56" t="n"/>
      <c r="H455" s="56" t="n"/>
    </row>
    <row r="456" ht="15.75" customHeight="1" s="95">
      <c r="C456" s="3" t="n"/>
      <c r="D456" s="56" t="n"/>
      <c r="E456" s="56" t="n"/>
      <c r="F456" s="56" t="n"/>
      <c r="G456" s="56" t="n"/>
      <c r="H456" s="56" t="n"/>
    </row>
    <row r="457" ht="15.75" customHeight="1" s="95">
      <c r="C457" s="3" t="n"/>
      <c r="D457" s="56" t="n"/>
      <c r="E457" s="56" t="n"/>
      <c r="F457" s="56" t="n"/>
      <c r="G457" s="56" t="n"/>
      <c r="H457" s="56" t="n"/>
    </row>
    <row r="458" ht="15.75" customHeight="1" s="95">
      <c r="C458" s="3" t="n"/>
      <c r="D458" s="56" t="n"/>
      <c r="E458" s="56" t="n"/>
      <c r="F458" s="56" t="n"/>
      <c r="G458" s="56" t="n"/>
      <c r="H458" s="56" t="n"/>
    </row>
    <row r="459" ht="15.75" customHeight="1" s="95">
      <c r="C459" s="3" t="n"/>
      <c r="D459" s="56" t="n"/>
      <c r="E459" s="56" t="n"/>
      <c r="F459" s="56" t="n"/>
      <c r="G459" s="56" t="n"/>
      <c r="H459" s="56" t="n"/>
    </row>
    <row r="460" ht="15.75" customHeight="1" s="95">
      <c r="C460" s="3" t="n"/>
      <c r="D460" s="56" t="n"/>
      <c r="E460" s="56" t="n"/>
      <c r="F460" s="56" t="n"/>
      <c r="G460" s="56" t="n"/>
      <c r="H460" s="56" t="n"/>
    </row>
    <row r="461" ht="15.75" customHeight="1" s="95">
      <c r="C461" s="3" t="n"/>
      <c r="D461" s="56" t="n"/>
      <c r="E461" s="56" t="n"/>
      <c r="F461" s="56" t="n"/>
      <c r="G461" s="56" t="n"/>
      <c r="H461" s="56" t="n"/>
    </row>
    <row r="462" ht="15.75" customHeight="1" s="95">
      <c r="C462" s="3" t="n"/>
      <c r="D462" s="56" t="n"/>
      <c r="E462" s="56" t="n"/>
      <c r="F462" s="56" t="n"/>
      <c r="G462" s="56" t="n"/>
      <c r="H462" s="56" t="n"/>
    </row>
    <row r="463" ht="15.75" customHeight="1" s="95">
      <c r="C463" s="3" t="n"/>
      <c r="D463" s="56" t="n"/>
      <c r="E463" s="56" t="n"/>
      <c r="F463" s="56" t="n"/>
      <c r="G463" s="56" t="n"/>
      <c r="H463" s="56" t="n"/>
    </row>
    <row r="464" ht="15.75" customHeight="1" s="95">
      <c r="C464" s="3" t="n"/>
      <c r="D464" s="56" t="n"/>
      <c r="E464" s="56" t="n"/>
      <c r="F464" s="56" t="n"/>
      <c r="G464" s="56" t="n"/>
      <c r="H464" s="56" t="n"/>
    </row>
    <row r="465" ht="15.75" customHeight="1" s="95">
      <c r="C465" s="3" t="n"/>
      <c r="D465" s="56" t="n"/>
      <c r="E465" s="56" t="n"/>
      <c r="F465" s="56" t="n"/>
      <c r="G465" s="56" t="n"/>
      <c r="H465" s="56" t="n"/>
    </row>
    <row r="466" ht="15.75" customHeight="1" s="95">
      <c r="C466" s="3" t="n"/>
      <c r="D466" s="56" t="n"/>
      <c r="E466" s="56" t="n"/>
      <c r="F466" s="56" t="n"/>
      <c r="G466" s="56" t="n"/>
      <c r="H466" s="56" t="n"/>
    </row>
    <row r="467" ht="15.75" customHeight="1" s="95">
      <c r="C467" s="3" t="n"/>
      <c r="D467" s="56" t="n"/>
      <c r="E467" s="56" t="n"/>
      <c r="F467" s="56" t="n"/>
      <c r="G467" s="56" t="n"/>
      <c r="H467" s="56" t="n"/>
    </row>
    <row r="468" ht="15.75" customHeight="1" s="95">
      <c r="C468" s="3" t="n"/>
      <c r="D468" s="56" t="n"/>
      <c r="E468" s="56" t="n"/>
      <c r="F468" s="56" t="n"/>
      <c r="G468" s="56" t="n"/>
      <c r="H468" s="56" t="n"/>
    </row>
    <row r="469" ht="15.75" customHeight="1" s="95">
      <c r="C469" s="3" t="n"/>
      <c r="D469" s="56" t="n"/>
      <c r="E469" s="56" t="n"/>
      <c r="F469" s="56" t="n"/>
      <c r="G469" s="56" t="n"/>
      <c r="H469" s="56" t="n"/>
    </row>
    <row r="470" ht="15.75" customHeight="1" s="95">
      <c r="C470" s="3" t="n"/>
      <c r="D470" s="56" t="n"/>
      <c r="E470" s="56" t="n"/>
      <c r="F470" s="56" t="n"/>
      <c r="G470" s="56" t="n"/>
      <c r="H470" s="56" t="n"/>
    </row>
    <row r="471" ht="15.75" customHeight="1" s="95">
      <c r="C471" s="3" t="n"/>
      <c r="D471" s="56" t="n"/>
      <c r="E471" s="56" t="n"/>
      <c r="F471" s="56" t="n"/>
      <c r="G471" s="56" t="n"/>
      <c r="H471" s="56" t="n"/>
    </row>
    <row r="472" ht="15.75" customHeight="1" s="95">
      <c r="C472" s="3" t="n"/>
      <c r="D472" s="56" t="n"/>
      <c r="E472" s="56" t="n"/>
      <c r="F472" s="56" t="n"/>
      <c r="G472" s="56" t="n"/>
      <c r="H472" s="56" t="n"/>
    </row>
    <row r="473" ht="15.75" customHeight="1" s="95">
      <c r="C473" s="3" t="n"/>
      <c r="D473" s="56" t="n"/>
      <c r="E473" s="56" t="n"/>
      <c r="F473" s="56" t="n"/>
      <c r="G473" s="56" t="n"/>
      <c r="H473" s="56" t="n"/>
    </row>
    <row r="474" ht="15.75" customHeight="1" s="95">
      <c r="C474" s="3" t="n"/>
      <c r="D474" s="56" t="n"/>
      <c r="E474" s="56" t="n"/>
      <c r="F474" s="56" t="n"/>
      <c r="G474" s="56" t="n"/>
      <c r="H474" s="56" t="n"/>
    </row>
    <row r="475" ht="15.75" customHeight="1" s="95">
      <c r="C475" s="3" t="n"/>
      <c r="D475" s="56" t="n"/>
      <c r="E475" s="56" t="n"/>
      <c r="F475" s="56" t="n"/>
      <c r="G475" s="56" t="n"/>
      <c r="H475" s="56" t="n"/>
    </row>
    <row r="476" ht="15.75" customHeight="1" s="95">
      <c r="C476" s="3" t="n"/>
      <c r="D476" s="56" t="n"/>
      <c r="E476" s="56" t="n"/>
      <c r="F476" s="56" t="n"/>
      <c r="G476" s="56" t="n"/>
      <c r="H476" s="56" t="n"/>
    </row>
    <row r="477" ht="15.75" customHeight="1" s="95">
      <c r="C477" s="3" t="n"/>
      <c r="D477" s="56" t="n"/>
      <c r="E477" s="56" t="n"/>
      <c r="F477" s="56" t="n"/>
      <c r="G477" s="56" t="n"/>
      <c r="H477" s="56" t="n"/>
    </row>
    <row r="478" ht="15.75" customHeight="1" s="95">
      <c r="C478" s="3" t="n"/>
      <c r="D478" s="56" t="n"/>
      <c r="E478" s="56" t="n"/>
      <c r="F478" s="56" t="n"/>
      <c r="G478" s="56" t="n"/>
      <c r="H478" s="56" t="n"/>
    </row>
    <row r="479" ht="15.75" customHeight="1" s="95">
      <c r="C479" s="3" t="n"/>
      <c r="D479" s="56" t="n"/>
      <c r="E479" s="56" t="n"/>
      <c r="F479" s="56" t="n"/>
      <c r="G479" s="56" t="n"/>
      <c r="H479" s="56" t="n"/>
    </row>
    <row r="480" ht="15.75" customHeight="1" s="95">
      <c r="C480" s="3" t="n"/>
      <c r="D480" s="56" t="n"/>
      <c r="E480" s="56" t="n"/>
      <c r="F480" s="56" t="n"/>
      <c r="G480" s="56" t="n"/>
      <c r="H480" s="56" t="n"/>
    </row>
    <row r="481" ht="15.75" customHeight="1" s="95">
      <c r="C481" s="3" t="n"/>
      <c r="D481" s="56" t="n"/>
      <c r="E481" s="56" t="n"/>
      <c r="F481" s="56" t="n"/>
      <c r="G481" s="56" t="n"/>
      <c r="H481" s="56" t="n"/>
    </row>
    <row r="482" ht="15.75" customHeight="1" s="95">
      <c r="C482" s="3" t="n"/>
      <c r="D482" s="56" t="n"/>
      <c r="E482" s="56" t="n"/>
      <c r="F482" s="56" t="n"/>
      <c r="G482" s="56" t="n"/>
      <c r="H482" s="56" t="n"/>
    </row>
    <row r="483" ht="15.75" customHeight="1" s="95">
      <c r="C483" s="3" t="n"/>
      <c r="D483" s="56" t="n"/>
      <c r="E483" s="56" t="n"/>
      <c r="F483" s="56" t="n"/>
      <c r="G483" s="56" t="n"/>
      <c r="H483" s="56" t="n"/>
    </row>
    <row r="484" ht="15.75" customHeight="1" s="95">
      <c r="C484" s="3" t="n"/>
      <c r="D484" s="56" t="n"/>
      <c r="E484" s="56" t="n"/>
      <c r="F484" s="56" t="n"/>
      <c r="G484" s="56" t="n"/>
      <c r="H484" s="56" t="n"/>
    </row>
    <row r="485" ht="15.75" customHeight="1" s="95">
      <c r="C485" s="3" t="n"/>
      <c r="D485" s="56" t="n"/>
      <c r="E485" s="56" t="n"/>
      <c r="F485" s="56" t="n"/>
      <c r="G485" s="56" t="n"/>
      <c r="H485" s="56" t="n"/>
    </row>
    <row r="486" ht="15.75" customHeight="1" s="95">
      <c r="C486" s="3" t="n"/>
      <c r="D486" s="56" t="n"/>
      <c r="E486" s="56" t="n"/>
      <c r="F486" s="56" t="n"/>
      <c r="G486" s="56" t="n"/>
      <c r="H486" s="56" t="n"/>
    </row>
    <row r="487" ht="15.75" customHeight="1" s="95">
      <c r="C487" s="3" t="n"/>
      <c r="D487" s="56" t="n"/>
      <c r="E487" s="56" t="n"/>
      <c r="F487" s="56" t="n"/>
      <c r="G487" s="56" t="n"/>
      <c r="H487" s="56" t="n"/>
    </row>
    <row r="488" ht="15.75" customHeight="1" s="95">
      <c r="C488" s="3" t="n"/>
      <c r="D488" s="56" t="n"/>
      <c r="E488" s="56" t="n"/>
      <c r="F488" s="56" t="n"/>
      <c r="G488" s="56" t="n"/>
      <c r="H488" s="56" t="n"/>
    </row>
    <row r="489" ht="15.75" customHeight="1" s="95">
      <c r="C489" s="3" t="n"/>
      <c r="D489" s="56" t="n"/>
      <c r="E489" s="56" t="n"/>
      <c r="F489" s="56" t="n"/>
      <c r="G489" s="56" t="n"/>
      <c r="H489" s="56" t="n"/>
    </row>
    <row r="490" ht="15.75" customHeight="1" s="95">
      <c r="C490" s="3" t="n"/>
      <c r="D490" s="56" t="n"/>
      <c r="E490" s="56" t="n"/>
      <c r="F490" s="56" t="n"/>
      <c r="G490" s="56" t="n"/>
      <c r="H490" s="56" t="n"/>
    </row>
    <row r="491" ht="15.75" customHeight="1" s="95">
      <c r="C491" s="3" t="n"/>
      <c r="D491" s="56" t="n"/>
      <c r="E491" s="56" t="n"/>
      <c r="F491" s="56" t="n"/>
      <c r="G491" s="56" t="n"/>
      <c r="H491" s="56" t="n"/>
    </row>
    <row r="492" ht="15.75" customHeight="1" s="95">
      <c r="C492" s="3" t="n"/>
      <c r="D492" s="56" t="n"/>
      <c r="E492" s="56" t="n"/>
      <c r="F492" s="56" t="n"/>
      <c r="G492" s="56" t="n"/>
      <c r="H492" s="56" t="n"/>
    </row>
    <row r="493" ht="15.75" customHeight="1" s="95">
      <c r="C493" s="3" t="n"/>
      <c r="D493" s="56" t="n"/>
      <c r="E493" s="56" t="n"/>
      <c r="F493" s="56" t="n"/>
      <c r="G493" s="56" t="n"/>
      <c r="H493" s="56" t="n"/>
    </row>
    <row r="494" ht="15.75" customHeight="1" s="95">
      <c r="C494" s="3" t="n"/>
      <c r="D494" s="56" t="n"/>
      <c r="E494" s="56" t="n"/>
      <c r="F494" s="56" t="n"/>
      <c r="G494" s="56" t="n"/>
      <c r="H494" s="56" t="n"/>
    </row>
    <row r="495" ht="15.75" customHeight="1" s="95">
      <c r="C495" s="3" t="n"/>
      <c r="D495" s="56" t="n"/>
      <c r="E495" s="56" t="n"/>
      <c r="F495" s="56" t="n"/>
      <c r="G495" s="56" t="n"/>
      <c r="H495" s="56" t="n"/>
    </row>
    <row r="496" ht="15.75" customHeight="1" s="95">
      <c r="C496" s="3" t="n"/>
      <c r="D496" s="56" t="n"/>
      <c r="E496" s="56" t="n"/>
      <c r="F496" s="56" t="n"/>
      <c r="G496" s="56" t="n"/>
      <c r="H496" s="56" t="n"/>
    </row>
    <row r="497" ht="15.75" customHeight="1" s="95">
      <c r="C497" s="3" t="n"/>
      <c r="D497" s="56" t="n"/>
      <c r="E497" s="56" t="n"/>
      <c r="F497" s="56" t="n"/>
      <c r="G497" s="56" t="n"/>
      <c r="H497" s="56" t="n"/>
    </row>
    <row r="498" ht="15.75" customHeight="1" s="95">
      <c r="C498" s="3" t="n"/>
      <c r="D498" s="56" t="n"/>
      <c r="E498" s="56" t="n"/>
      <c r="F498" s="56" t="n"/>
      <c r="G498" s="56" t="n"/>
      <c r="H498" s="56" t="n"/>
    </row>
    <row r="499" ht="15.75" customHeight="1" s="95">
      <c r="C499" s="3" t="n"/>
      <c r="D499" s="56" t="n"/>
      <c r="E499" s="56" t="n"/>
      <c r="F499" s="56" t="n"/>
      <c r="G499" s="56" t="n"/>
      <c r="H499" s="56" t="n"/>
    </row>
    <row r="500" ht="15.75" customHeight="1" s="95">
      <c r="C500" s="3" t="n"/>
      <c r="D500" s="56" t="n"/>
      <c r="E500" s="56" t="n"/>
      <c r="F500" s="56" t="n"/>
      <c r="G500" s="56" t="n"/>
      <c r="H500" s="56" t="n"/>
    </row>
    <row r="501" ht="15.75" customHeight="1" s="95">
      <c r="A501" s="57" t="n"/>
      <c r="B501" s="58" t="n"/>
      <c r="C501" s="58" t="n"/>
      <c r="D501" s="58" t="n"/>
      <c r="E501" s="58" t="n"/>
      <c r="F501" s="58" t="n"/>
      <c r="G501" s="58" t="n"/>
      <c r="H501" s="59" t="n"/>
    </row>
    <row r="502" ht="15.75" customHeight="1" s="95">
      <c r="A502" s="57" t="n"/>
      <c r="B502" s="58" t="n"/>
      <c r="C502" s="58" t="n"/>
      <c r="D502" s="58" t="n"/>
      <c r="E502" s="58" t="n"/>
      <c r="F502" s="58" t="n"/>
      <c r="G502" s="58" t="n"/>
      <c r="H502" s="59" t="n"/>
    </row>
    <row r="503" ht="15.75" customHeight="1" s="95">
      <c r="A503" s="57" t="n"/>
      <c r="B503" s="58" t="n"/>
      <c r="C503" s="58" t="n"/>
      <c r="D503" s="58" t="n"/>
      <c r="E503" s="58" t="n"/>
      <c r="F503" s="58" t="n"/>
      <c r="G503" s="58" t="n"/>
      <c r="H503" s="59" t="n"/>
    </row>
    <row r="504" ht="15.75" customHeight="1" s="95">
      <c r="A504" s="60" t="n"/>
      <c r="B504" s="61" t="n"/>
      <c r="C504" s="61" t="n"/>
      <c r="D504" s="61" t="n"/>
      <c r="E504" s="61" t="n"/>
      <c r="F504" s="61" t="n"/>
      <c r="G504" s="61" t="n"/>
      <c r="H504" s="62" t="n"/>
    </row>
    <row r="505" ht="15.75" customHeight="1" s="95">
      <c r="A505" t="inlineStr">
        <is>
          <t>F0351</t>
        </is>
      </c>
      <c r="B505" t="inlineStr">
        <is>
          <t>Dogma</t>
        </is>
      </c>
      <c r="C505" t="n">
        <v>1999</v>
      </c>
      <c r="D505" t="inlineStr">
        <is>
          <t>Blu-ray</t>
        </is>
      </c>
      <c r="G505" t="inlineStr">
        <is>
          <t>No</t>
        </is>
      </c>
      <c r="I505" t="inlineStr">
        <is>
          <t>An abortion clinic worker with a special heritage is called upon to save the existence of humanity from being negated by two renegade angels trying to exploit a loophole and reenter Heaven.</t>
        </is>
      </c>
      <c r="J505" t="inlineStr">
        <is>
          <t>Kevin Smith</t>
        </is>
      </c>
      <c r="K505" t="n">
        <v>130</v>
      </c>
      <c r="L505" t="inlineStr">
        <is>
          <t>Fantasy, Comedy, Adventure</t>
        </is>
      </c>
      <c r="P505" t="inlineStr">
        <is>
          <t>Ben Affleck</t>
        </is>
      </c>
      <c r="Q505" t="inlineStr">
        <is>
          <t>Matt Damon</t>
        </is>
      </c>
      <c r="R505" t="inlineStr">
        <is>
          <t>Linda Fiorentino</t>
        </is>
      </c>
      <c r="S505" t="inlineStr">
        <is>
          <t>Salma Hayek Pinault</t>
        </is>
      </c>
      <c r="T505" t="inlineStr">
        <is>
          <t>Jason Lee</t>
        </is>
      </c>
    </row>
    <row r="506" ht="15.75" customHeight="1" s="95">
      <c r="A506" t="inlineStr">
        <is>
          <t>F0352</t>
        </is>
      </c>
      <c r="B506" t="inlineStr">
        <is>
          <t>The Irishman</t>
        </is>
      </c>
      <c r="G506" t="inlineStr">
        <is>
          <t>No</t>
        </is>
      </c>
    </row>
    <row r="507" ht="15.75" customHeight="1" s="95"/>
    <row r="508" ht="15.75" customHeight="1" s="95"/>
    <row r="509" ht="15.75" customHeight="1" s="95"/>
    <row r="510" ht="15.75" customHeight="1" s="95"/>
    <row r="511" ht="15.75" customHeight="1" s="95"/>
    <row r="512" ht="15.75" customHeight="1" s="95"/>
    <row r="513" ht="15.75" customHeight="1" s="95"/>
    <row r="514" ht="15.75" customHeight="1" s="95"/>
    <row r="515" ht="15.75" customHeight="1" s="95"/>
    <row r="516" ht="15.75" customHeight="1" s="95"/>
    <row r="517" ht="15.75" customHeight="1" s="95"/>
    <row r="518" ht="15.75" customHeight="1" s="95"/>
    <row r="519" ht="15.75" customHeight="1" s="95"/>
    <row r="520" ht="15.75" customHeight="1" s="95"/>
    <row r="521" ht="15.75" customHeight="1" s="95"/>
    <row r="522" ht="15.75" customHeight="1" s="95"/>
    <row r="523" ht="15.75" customHeight="1" s="95"/>
    <row r="524" ht="15.75" customHeight="1" s="95"/>
    <row r="525" ht="15.75" customHeight="1" s="95"/>
    <row r="526" ht="15.75" customHeight="1" s="95"/>
    <row r="527" ht="15.75" customHeight="1" s="95"/>
    <row r="528" ht="15.75" customHeight="1" s="95"/>
    <row r="529" ht="15.75" customHeight="1" s="95"/>
    <row r="530" ht="15.75" customHeight="1" s="95"/>
    <row r="531" ht="15.75" customHeight="1" s="95"/>
    <row r="532" ht="15.75" customHeight="1" s="95"/>
    <row r="533" ht="15.75" customHeight="1" s="95"/>
    <row r="534" ht="15.75" customHeight="1" s="95"/>
    <row r="535" ht="15.75" customHeight="1" s="95"/>
    <row r="536" ht="15.75" customHeight="1" s="95"/>
    <row r="537" ht="15.75" customHeight="1" s="95"/>
    <row r="538" ht="15.75" customHeight="1" s="95"/>
    <row r="539" ht="15.75" customHeight="1" s="95"/>
    <row r="540" ht="15.75" customHeight="1" s="95"/>
    <row r="541" ht="15.75" customHeight="1" s="95"/>
    <row r="542" ht="15.75" customHeight="1" s="95"/>
    <row r="543" ht="15.75" customHeight="1" s="95"/>
    <row r="544" ht="15.75" customHeight="1" s="95"/>
    <row r="545" ht="15.75" customHeight="1" s="95"/>
    <row r="546" ht="15.75" customHeight="1" s="95"/>
    <row r="547" ht="15.75" customHeight="1" s="95"/>
    <row r="548" ht="15.75" customHeight="1" s="95"/>
    <row r="549" ht="15.75" customHeight="1" s="95"/>
    <row r="550" ht="15.75" customHeight="1" s="95"/>
    <row r="551" ht="15.75" customHeight="1" s="95"/>
    <row r="552" ht="15.75" customHeight="1" s="95"/>
    <row r="553" ht="15.75" customHeight="1" s="95"/>
    <row r="554" ht="15.75" customHeight="1" s="95"/>
    <row r="555" ht="15.75" customHeight="1" s="95"/>
    <row r="556" ht="15.75" customHeight="1" s="95"/>
    <row r="557" ht="15.75" customHeight="1" s="95"/>
    <row r="558" ht="15.75" customHeight="1" s="95"/>
    <row r="559" ht="15.75" customHeight="1" s="95"/>
    <row r="560" ht="15.75" customHeight="1" s="95"/>
    <row r="561" ht="15.75" customHeight="1" s="95"/>
    <row r="562" ht="15.75" customHeight="1" s="95"/>
    <row r="563" ht="15.75" customHeight="1" s="95"/>
    <row r="564" ht="15.75" customHeight="1" s="95"/>
    <row r="565" ht="15.75" customHeight="1" s="95"/>
    <row r="566" ht="15.75" customHeight="1" s="95"/>
    <row r="567" ht="15.75" customHeight="1" s="95"/>
    <row r="568" ht="15.75" customHeight="1" s="95"/>
    <row r="569" ht="15.75" customHeight="1" s="95"/>
    <row r="570" ht="15.75" customHeight="1" s="95"/>
    <row r="571" ht="15.75" customHeight="1" s="95"/>
    <row r="572" ht="15.75" customHeight="1" s="95"/>
    <row r="573" ht="15.75" customHeight="1" s="95"/>
    <row r="574" ht="15.75" customHeight="1" s="95"/>
    <row r="575" ht="15.75" customHeight="1" s="95"/>
    <row r="576" ht="15.75" customHeight="1" s="95"/>
    <row r="577" ht="15.75" customHeight="1" s="95"/>
    <row r="578" ht="15.75" customHeight="1" s="95"/>
    <row r="579" ht="15.75" customHeight="1" s="95"/>
    <row r="580" ht="15.75" customHeight="1" s="95"/>
    <row r="581" ht="15.75" customHeight="1" s="95"/>
    <row r="582" ht="15.75" customHeight="1" s="95"/>
    <row r="583" ht="15.75" customHeight="1" s="95"/>
    <row r="584" ht="15.75" customHeight="1" s="95"/>
    <row r="585" ht="15.75" customHeight="1" s="95"/>
    <row r="586" ht="15.75" customHeight="1" s="95"/>
    <row r="587" ht="15.75" customHeight="1" s="95"/>
    <row r="588" ht="15.75" customHeight="1" s="95"/>
    <row r="589" ht="15.75" customHeight="1" s="95"/>
    <row r="590" ht="15.75" customHeight="1" s="95"/>
    <row r="591" ht="15.75" customHeight="1" s="95"/>
    <row r="592" ht="15.75" customHeight="1" s="95"/>
    <row r="593" ht="15.75" customHeight="1" s="95"/>
    <row r="594" ht="15.75" customHeight="1" s="95"/>
    <row r="595" ht="15.75" customHeight="1" s="95"/>
    <row r="596" ht="15.75" customHeight="1" s="95"/>
    <row r="597" ht="15.75" customHeight="1" s="95"/>
    <row r="598" ht="15.75" customHeight="1" s="95"/>
    <row r="599" ht="15.75" customHeight="1" s="95"/>
    <row r="600" ht="15.75" customHeight="1" s="95"/>
    <row r="601" ht="15.75" customHeight="1" s="95"/>
    <row r="602" ht="15.75" customHeight="1" s="95"/>
    <row r="603" ht="15.75" customHeight="1" s="95"/>
    <row r="604" ht="15.75" customHeight="1" s="95"/>
    <row r="605" ht="15.75" customHeight="1" s="95"/>
    <row r="606" ht="15.75" customHeight="1" s="95"/>
    <row r="607" ht="15.75" customHeight="1" s="95"/>
    <row r="608" ht="15.75" customHeight="1" s="95"/>
    <row r="609" ht="15.75" customHeight="1" s="95"/>
    <row r="610" ht="15.75" customHeight="1" s="95"/>
    <row r="611" ht="15.75" customHeight="1" s="95"/>
    <row r="612" ht="15.75" customHeight="1" s="95"/>
    <row r="613" ht="15.75" customHeight="1" s="95"/>
    <row r="614" ht="15.75" customHeight="1" s="95"/>
    <row r="615" ht="15.75" customHeight="1" s="95"/>
    <row r="616" ht="15.75" customHeight="1" s="95"/>
    <row r="617" ht="15.75" customHeight="1" s="95"/>
    <row r="618" ht="15.75" customHeight="1" s="95"/>
    <row r="619" ht="15.75" customHeight="1" s="95"/>
    <row r="620" ht="15.75" customHeight="1" s="95"/>
    <row r="621" ht="15.75" customHeight="1" s="95"/>
    <row r="622" ht="15.75" customHeight="1" s="95"/>
    <row r="623" ht="15.75" customHeight="1" s="95"/>
    <row r="624" ht="15.75" customHeight="1" s="95"/>
    <row r="625" ht="15.75" customHeight="1" s="95"/>
    <row r="626" ht="15.75" customHeight="1" s="95"/>
    <row r="627" ht="15.75" customHeight="1" s="95"/>
    <row r="628" ht="15.75" customHeight="1" s="95"/>
    <row r="629" ht="15.75" customHeight="1" s="95"/>
    <row r="630" ht="15.75" customHeight="1" s="95"/>
    <row r="631" ht="15.75" customHeight="1" s="95"/>
    <row r="632" ht="15.75" customHeight="1" s="95"/>
    <row r="633" ht="15.75" customHeight="1" s="95"/>
    <row r="634" ht="15.75" customHeight="1" s="95"/>
    <row r="635" ht="15.75" customHeight="1" s="95"/>
    <row r="636" ht="15.75" customHeight="1" s="95"/>
    <row r="637" ht="15.75" customHeight="1" s="95"/>
    <row r="638" ht="15.75" customHeight="1" s="95"/>
    <row r="639" ht="15.75" customHeight="1" s="95"/>
    <row r="640" ht="15.75" customHeight="1" s="95"/>
    <row r="641" ht="15.75" customHeight="1" s="95"/>
    <row r="642" ht="15.75" customHeight="1" s="95"/>
    <row r="643" ht="15.75" customHeight="1" s="95"/>
    <row r="644" ht="15.75" customHeight="1" s="95"/>
    <row r="645" ht="15.75" customHeight="1" s="95"/>
    <row r="646" ht="15.75" customHeight="1" s="95"/>
    <row r="647" ht="15.75" customHeight="1" s="95"/>
    <row r="648" ht="15.75" customHeight="1" s="95"/>
    <row r="649" ht="15.75" customHeight="1" s="95"/>
    <row r="650" ht="15.75" customHeight="1" s="95"/>
    <row r="651" ht="15.75" customHeight="1" s="95"/>
    <row r="652" ht="15.75" customHeight="1" s="95"/>
    <row r="653" ht="15.75" customHeight="1" s="95"/>
    <row r="654" ht="15.75" customHeight="1" s="95"/>
    <row r="655" ht="15.75" customHeight="1" s="95"/>
    <row r="656" ht="15.75" customHeight="1" s="95"/>
    <row r="657" ht="15.75" customHeight="1" s="95"/>
    <row r="658" ht="15.75" customHeight="1" s="95"/>
    <row r="659" ht="15.75" customHeight="1" s="95"/>
    <row r="660" ht="15.75" customHeight="1" s="95"/>
    <row r="661" ht="15.75" customHeight="1" s="95"/>
    <row r="662" ht="15.75" customHeight="1" s="95"/>
    <row r="663" ht="15.75" customHeight="1" s="95"/>
    <row r="664" ht="15.75" customHeight="1" s="95"/>
    <row r="665" ht="15.75" customHeight="1" s="95"/>
    <row r="666" ht="15.75" customHeight="1" s="95"/>
    <row r="667" ht="15.75" customHeight="1" s="95"/>
    <row r="668" ht="15.75" customHeight="1" s="95"/>
    <row r="669" ht="15.75" customHeight="1" s="95"/>
    <row r="670" ht="15.75" customHeight="1" s="95"/>
    <row r="671" ht="15.75" customHeight="1" s="95"/>
    <row r="672" ht="15.75" customHeight="1" s="95"/>
    <row r="673" ht="15.75" customHeight="1" s="95"/>
    <row r="674" ht="15.75" customHeight="1" s="95"/>
    <row r="675" ht="15.75" customHeight="1" s="95"/>
    <row r="676" ht="15.75" customHeight="1" s="95"/>
    <row r="677" ht="15.75" customHeight="1" s="95"/>
    <row r="678" ht="15.75" customHeight="1" s="95"/>
    <row r="679" ht="15.75" customHeight="1" s="95"/>
    <row r="680" ht="15.75" customHeight="1" s="95"/>
    <row r="681" ht="15.75" customHeight="1" s="95"/>
    <row r="682" ht="15.75" customHeight="1" s="95"/>
    <row r="683" ht="15.75" customHeight="1" s="95"/>
    <row r="684" ht="15.75" customHeight="1" s="95"/>
    <row r="685" ht="15.75" customHeight="1" s="95"/>
    <row r="686" ht="15.75" customHeight="1" s="95"/>
    <row r="687" ht="15.75" customHeight="1" s="95"/>
    <row r="688" ht="15.75" customHeight="1" s="95"/>
    <row r="689" ht="15.75" customHeight="1" s="95"/>
    <row r="690" ht="15.75" customHeight="1" s="95"/>
    <row r="691" ht="15.75" customHeight="1" s="95"/>
    <row r="692" ht="15.75" customHeight="1" s="95"/>
    <row r="693" ht="15.75" customHeight="1" s="95"/>
    <row r="694" ht="15.75" customHeight="1" s="95"/>
    <row r="695" ht="15.75" customHeight="1" s="95"/>
    <row r="696" ht="15.75" customHeight="1" s="95"/>
    <row r="697" ht="15.75" customHeight="1" s="95"/>
    <row r="698" ht="15.75" customHeight="1" s="95"/>
    <row r="699" ht="15.75" customHeight="1" s="95"/>
    <row r="700" ht="15.75" customHeight="1" s="95"/>
    <row r="701" ht="15.75" customHeight="1" s="95"/>
    <row r="702" ht="15.75" customHeight="1" s="95"/>
    <row r="703" ht="15.75" customHeight="1" s="95"/>
    <row r="704" ht="15.75" customHeight="1" s="95"/>
    <row r="705" ht="15.75" customHeight="1" s="95"/>
    <row r="706" ht="15.75" customHeight="1" s="95"/>
    <row r="707" ht="15.75" customHeight="1" s="95"/>
    <row r="708" ht="15.75" customHeight="1" s="95"/>
    <row r="709" ht="15.75" customHeight="1" s="95"/>
    <row r="710" ht="15.75" customHeight="1" s="95"/>
    <row r="711" ht="15.75" customHeight="1" s="95"/>
    <row r="712" ht="15.75" customHeight="1" s="95"/>
    <row r="713" ht="15.75" customHeight="1" s="95"/>
    <row r="714" ht="15.75" customHeight="1" s="95"/>
    <row r="715" ht="15.75" customHeight="1" s="95"/>
    <row r="716" ht="15.75" customHeight="1" s="95"/>
    <row r="717" ht="15.75" customHeight="1" s="95"/>
    <row r="718" ht="15.75" customHeight="1" s="95"/>
    <row r="719" ht="15.75" customHeight="1" s="95"/>
    <row r="720" ht="15.75" customHeight="1" s="95"/>
    <row r="721" ht="15.75" customHeight="1" s="95"/>
    <row r="722" ht="15.75" customHeight="1" s="95"/>
    <row r="723" ht="15.75" customHeight="1" s="95"/>
    <row r="724" ht="15.75" customHeight="1" s="95"/>
    <row r="725" ht="15.75" customHeight="1" s="95"/>
    <row r="726" ht="15.75" customHeight="1" s="95"/>
    <row r="727" ht="15.75" customHeight="1" s="95"/>
    <row r="728" ht="15.75" customHeight="1" s="95"/>
    <row r="729" ht="15.75" customHeight="1" s="95"/>
    <row r="730" ht="15.75" customHeight="1" s="95"/>
    <row r="731" ht="15.75" customHeight="1" s="95"/>
    <row r="732" ht="15.75" customHeight="1" s="95"/>
    <row r="733" ht="15.75" customHeight="1" s="95"/>
    <row r="734" ht="15.75" customHeight="1" s="95"/>
    <row r="735" ht="15.75" customHeight="1" s="95"/>
    <row r="736" ht="15.75" customHeight="1" s="95"/>
    <row r="737" ht="15.75" customHeight="1" s="95"/>
    <row r="738" ht="15.75" customHeight="1" s="95"/>
    <row r="739" ht="15.75" customHeight="1" s="95"/>
    <row r="740" ht="15.75" customHeight="1" s="95"/>
    <row r="741" ht="15.75" customHeight="1" s="95"/>
    <row r="742" ht="15.75" customHeight="1" s="95"/>
    <row r="743" ht="15.75" customHeight="1" s="95"/>
    <row r="744" ht="15.75" customHeight="1" s="95"/>
    <row r="745" ht="15.75" customHeight="1" s="95"/>
    <row r="746" ht="15.75" customHeight="1" s="95"/>
    <row r="747" ht="15.75" customHeight="1" s="95"/>
    <row r="748" ht="15.75" customHeight="1" s="95"/>
    <row r="749" ht="15.75" customHeight="1" s="95"/>
    <row r="750" ht="15.75" customHeight="1" s="95"/>
    <row r="751" ht="15.75" customHeight="1" s="95"/>
    <row r="752" ht="15.75" customHeight="1" s="95"/>
    <row r="753" ht="15.75" customHeight="1" s="95"/>
    <row r="754" ht="15.75" customHeight="1" s="95"/>
    <row r="755" ht="15.75" customHeight="1" s="95"/>
    <row r="756" ht="15.75" customHeight="1" s="95"/>
    <row r="757" ht="15.75" customHeight="1" s="95"/>
    <row r="758" ht="15.75" customHeight="1" s="95"/>
    <row r="759" ht="15.75" customHeight="1" s="95"/>
    <row r="760" ht="15.75" customHeight="1" s="95"/>
    <row r="761" ht="15.75" customHeight="1" s="95"/>
    <row r="762" ht="15.75" customHeight="1" s="95"/>
    <row r="763" ht="15.75" customHeight="1" s="95"/>
    <row r="764" ht="15.75" customHeight="1" s="95"/>
    <row r="765" ht="15.75" customHeight="1" s="95"/>
    <row r="766" ht="15.75" customHeight="1" s="95"/>
    <row r="767" ht="15.75" customHeight="1" s="95"/>
    <row r="768" ht="15.75" customHeight="1" s="95"/>
    <row r="769" ht="15.75" customHeight="1" s="95"/>
    <row r="770" ht="15.75" customHeight="1" s="95"/>
    <row r="771" ht="15.75" customHeight="1" s="95"/>
    <row r="772" ht="15.75" customHeight="1" s="95"/>
    <row r="773" ht="15.75" customHeight="1" s="95"/>
    <row r="774" ht="15.75" customHeight="1" s="95"/>
    <row r="775" ht="15.75" customHeight="1" s="95"/>
    <row r="776" ht="15.75" customHeight="1" s="95"/>
    <row r="777" ht="15.75" customHeight="1" s="95"/>
    <row r="778" ht="15.75" customHeight="1" s="95"/>
    <row r="779" ht="15.75" customHeight="1" s="95"/>
    <row r="780" ht="15.75" customHeight="1" s="95"/>
    <row r="781" ht="15.75" customHeight="1" s="95"/>
    <row r="782" ht="15.75" customHeight="1" s="95"/>
    <row r="783" ht="15.75" customHeight="1" s="95"/>
    <row r="784" ht="15.75" customHeight="1" s="95"/>
    <row r="785" ht="15.75" customHeight="1" s="95"/>
    <row r="786" ht="15.75" customHeight="1" s="95"/>
    <row r="787" ht="15.75" customHeight="1" s="95"/>
    <row r="788" ht="15.75" customHeight="1" s="95"/>
    <row r="789" ht="15.75" customHeight="1" s="95"/>
    <row r="790" ht="15.75" customHeight="1" s="95"/>
    <row r="791" ht="15.75" customHeight="1" s="95"/>
    <row r="792" ht="15.75" customHeight="1" s="95"/>
    <row r="793" ht="15.75" customHeight="1" s="95"/>
    <row r="794" ht="15.75" customHeight="1" s="95"/>
    <row r="795" ht="15.75" customHeight="1" s="95"/>
    <row r="796" ht="15.75" customHeight="1" s="95"/>
    <row r="797" ht="15.75" customHeight="1" s="95"/>
    <row r="798" ht="15.75" customHeight="1" s="95"/>
    <row r="799" ht="15.75" customHeight="1" s="95"/>
    <row r="800" ht="15.75" customHeight="1" s="95"/>
    <row r="801" ht="15.75" customHeight="1" s="95"/>
    <row r="802" ht="15.75" customHeight="1" s="95"/>
    <row r="803" ht="15.75" customHeight="1" s="95"/>
    <row r="804" ht="15.75" customHeight="1" s="95"/>
    <row r="805" ht="15.75" customHeight="1" s="95"/>
    <row r="806" ht="15.75" customHeight="1" s="95"/>
    <row r="807" ht="15.75" customHeight="1" s="95"/>
    <row r="808" ht="15.75" customHeight="1" s="95"/>
    <row r="809" ht="15.75" customHeight="1" s="95"/>
    <row r="810" ht="15.75" customHeight="1" s="95"/>
    <row r="811" ht="15.75" customHeight="1" s="95"/>
    <row r="812" ht="15.75" customHeight="1" s="95"/>
    <row r="813" ht="15.75" customHeight="1" s="95"/>
    <row r="814" ht="15.75" customHeight="1" s="95"/>
    <row r="815" ht="15.75" customHeight="1" s="95"/>
    <row r="816" ht="15.75" customHeight="1" s="95"/>
    <row r="817" ht="15.75" customHeight="1" s="95"/>
    <row r="818" ht="15.75" customHeight="1" s="95"/>
    <row r="819" ht="15.75" customHeight="1" s="95"/>
    <row r="820" ht="15.75" customHeight="1" s="95"/>
    <row r="821" ht="15.75" customHeight="1" s="95"/>
    <row r="822" ht="15.75" customHeight="1" s="95"/>
    <row r="823" ht="15.75" customHeight="1" s="95"/>
    <row r="824" ht="15.75" customHeight="1" s="95"/>
    <row r="825" ht="15.75" customHeight="1" s="95"/>
    <row r="826" ht="15.75" customHeight="1" s="95"/>
    <row r="827" ht="15.75" customHeight="1" s="95"/>
    <row r="828" ht="15.75" customHeight="1" s="95"/>
    <row r="829" ht="15.75" customHeight="1" s="95"/>
    <row r="830" ht="15.75" customHeight="1" s="95"/>
    <row r="831" ht="15.75" customHeight="1" s="95"/>
    <row r="832" ht="15.75" customHeight="1" s="95"/>
    <row r="833" ht="15.75" customHeight="1" s="95"/>
    <row r="834" ht="15.75" customHeight="1" s="95"/>
    <row r="835" ht="15.75" customHeight="1" s="95"/>
    <row r="836" ht="15.75" customHeight="1" s="95"/>
    <row r="837" ht="15.75" customHeight="1" s="95"/>
    <row r="838" ht="15.75" customHeight="1" s="95"/>
    <row r="839" ht="15.75" customHeight="1" s="95"/>
    <row r="840" ht="15.75" customHeight="1" s="95"/>
    <row r="841" ht="15.75" customHeight="1" s="95"/>
    <row r="842" ht="15.75" customHeight="1" s="95"/>
    <row r="843" ht="15.75" customHeight="1" s="95"/>
    <row r="844" ht="15.75" customHeight="1" s="95"/>
    <row r="845" ht="15.75" customHeight="1" s="95"/>
    <row r="846" ht="15.75" customHeight="1" s="95"/>
    <row r="847" ht="15.75" customHeight="1" s="95"/>
    <row r="848" ht="15.75" customHeight="1" s="95"/>
    <row r="849" ht="15.75" customHeight="1" s="95"/>
    <row r="850" ht="15.75" customHeight="1" s="95"/>
    <row r="851" ht="15.75" customHeight="1" s="95"/>
    <row r="852" ht="15.75" customHeight="1" s="95"/>
    <row r="853" ht="15.75" customHeight="1" s="95"/>
    <row r="854" ht="15.75" customHeight="1" s="95"/>
    <row r="855" ht="15.75" customHeight="1" s="95"/>
    <row r="856" ht="15.75" customHeight="1" s="95"/>
    <row r="857" ht="15.75" customHeight="1" s="95"/>
    <row r="858" ht="15.75" customHeight="1" s="95"/>
    <row r="859" ht="15.75" customHeight="1" s="95"/>
    <row r="860" ht="15.75" customHeight="1" s="95"/>
    <row r="861" ht="15.75" customHeight="1" s="95"/>
    <row r="862" ht="15.75" customHeight="1" s="95"/>
    <row r="863" ht="15.75" customHeight="1" s="95"/>
    <row r="864" ht="15.75" customHeight="1" s="95"/>
    <row r="865" ht="15.75" customHeight="1" s="95"/>
    <row r="866" ht="15.75" customHeight="1" s="95"/>
    <row r="867" ht="15.75" customHeight="1" s="95"/>
    <row r="868" ht="15.75" customHeight="1" s="95"/>
    <row r="869" ht="15.75" customHeight="1" s="95"/>
    <row r="870" ht="15.75" customHeight="1" s="95"/>
    <row r="871" ht="15.75" customHeight="1" s="95"/>
    <row r="872" ht="15.75" customHeight="1" s="95"/>
    <row r="873" ht="15.75" customHeight="1" s="95"/>
    <row r="874" ht="15.75" customHeight="1" s="95"/>
    <row r="875" ht="15.75" customHeight="1" s="95"/>
    <row r="876" ht="15.75" customHeight="1" s="95"/>
    <row r="877" ht="15.75" customHeight="1" s="95"/>
    <row r="878" ht="15.75" customHeight="1" s="95"/>
    <row r="879" ht="15.75" customHeight="1" s="95"/>
    <row r="880" ht="15.75" customHeight="1" s="95"/>
    <row r="881" ht="15.75" customHeight="1" s="95"/>
    <row r="882" ht="15.75" customHeight="1" s="95"/>
    <row r="883" ht="15.75" customHeight="1" s="95"/>
    <row r="884" ht="15.75" customHeight="1" s="95"/>
    <row r="885" ht="15.75" customHeight="1" s="95"/>
    <row r="886" ht="15.75" customHeight="1" s="95"/>
    <row r="887" ht="15.75" customHeight="1" s="95"/>
    <row r="888" ht="15.75" customHeight="1" s="95"/>
    <row r="889" ht="15.75" customHeight="1" s="95"/>
    <row r="890" ht="15.75" customHeight="1" s="95"/>
    <row r="891" ht="15.75" customHeight="1" s="95"/>
    <row r="892" ht="15.75" customHeight="1" s="95"/>
    <row r="893" ht="15.75" customHeight="1" s="95"/>
    <row r="894" ht="15.75" customHeight="1" s="95"/>
    <row r="895" ht="15.75" customHeight="1" s="95"/>
    <row r="896" ht="15.75" customHeight="1" s="95"/>
    <row r="897" ht="15.75" customHeight="1" s="95"/>
    <row r="898" ht="15.75" customHeight="1" s="95"/>
    <row r="899" ht="15.75" customHeight="1" s="95"/>
    <row r="900" ht="15.75" customHeight="1" s="95"/>
    <row r="901" ht="15.75" customHeight="1" s="95"/>
    <row r="902" ht="15.75" customHeight="1" s="95"/>
    <row r="903" ht="15.75" customHeight="1" s="95"/>
    <row r="904" ht="15.75" customHeight="1" s="95"/>
    <row r="905" ht="15.75" customHeight="1" s="95"/>
    <row r="906" ht="15.75" customHeight="1" s="95"/>
    <row r="907" ht="15.75" customHeight="1" s="95"/>
    <row r="908" ht="15.75" customHeight="1" s="95"/>
    <row r="909" ht="15.75" customHeight="1" s="95"/>
    <row r="910" ht="15.75" customHeight="1" s="95"/>
    <row r="911" ht="15.75" customHeight="1" s="95"/>
    <row r="912" ht="15.75" customHeight="1" s="95"/>
    <row r="913" ht="15.75" customHeight="1" s="95"/>
    <row r="914" ht="15.75" customHeight="1" s="95"/>
    <row r="915" ht="15.75" customHeight="1" s="95"/>
    <row r="916" ht="15.75" customHeight="1" s="95"/>
    <row r="917" ht="15.75" customHeight="1" s="95"/>
    <row r="918" ht="15.75" customHeight="1" s="95"/>
    <row r="919" ht="15.75" customHeight="1" s="95"/>
    <row r="920" ht="15.75" customHeight="1" s="95"/>
    <row r="921" ht="15.75" customHeight="1" s="95"/>
    <row r="922" ht="15.75" customHeight="1" s="95"/>
    <row r="923" ht="15.75" customHeight="1" s="95"/>
    <row r="924" ht="15.75" customHeight="1" s="95"/>
    <row r="925" ht="15.75" customHeight="1" s="95"/>
    <row r="926" ht="15.75" customHeight="1" s="95"/>
    <row r="927" ht="15.75" customHeight="1" s="95"/>
    <row r="928" ht="15.75" customHeight="1" s="95"/>
    <row r="929" ht="15.75" customHeight="1" s="95"/>
    <row r="930" ht="15.75" customHeight="1" s="95"/>
    <row r="931" ht="15.75" customHeight="1" s="95"/>
    <row r="932" ht="15.75" customHeight="1" s="95"/>
    <row r="933" ht="15.75" customHeight="1" s="95"/>
    <row r="934" ht="15.75" customHeight="1" s="95"/>
    <row r="935" ht="15.75" customHeight="1" s="95"/>
    <row r="936" ht="15.75" customHeight="1" s="95"/>
    <row r="937" ht="15.75" customHeight="1" s="95"/>
    <row r="938" ht="15.75" customHeight="1" s="95"/>
    <row r="939" ht="15.75" customHeight="1" s="95"/>
    <row r="940" ht="15.75" customHeight="1" s="95"/>
    <row r="941" ht="15.75" customHeight="1" s="95"/>
    <row r="942" ht="15.75" customHeight="1" s="95"/>
    <row r="943" ht="15.75" customHeight="1" s="95"/>
    <row r="944" ht="15.75" customHeight="1" s="95"/>
    <row r="945" ht="15.75" customHeight="1" s="95"/>
    <row r="946" ht="15.75" customHeight="1" s="95"/>
    <row r="947" ht="15.75" customHeight="1" s="95"/>
    <row r="948" ht="15.75" customHeight="1" s="95"/>
    <row r="949" ht="15.75" customHeight="1" s="95"/>
    <row r="950" ht="15.75" customHeight="1" s="95"/>
    <row r="951" ht="15.75" customHeight="1" s="95"/>
    <row r="952" ht="15.75" customHeight="1" s="95"/>
    <row r="953" ht="15.75" customHeight="1" s="95"/>
    <row r="954" ht="15.75" customHeight="1" s="95"/>
    <row r="955" ht="15.75" customHeight="1" s="95"/>
    <row r="956" ht="15.75" customHeight="1" s="95"/>
    <row r="957" ht="15.75" customHeight="1" s="95"/>
    <row r="958" ht="15.75" customHeight="1" s="95"/>
    <row r="959" ht="15.75" customHeight="1" s="95"/>
    <row r="960" ht="15.75" customHeight="1" s="95"/>
    <row r="961" ht="15.75" customHeight="1" s="95"/>
    <row r="962" ht="15.75" customHeight="1" s="95"/>
    <row r="963" ht="15.75" customHeight="1" s="95"/>
    <row r="964" ht="15.75" customHeight="1" s="95"/>
    <row r="965" ht="15.75" customHeight="1" s="95"/>
    <row r="966" ht="15.75" customHeight="1" s="95"/>
    <row r="967" ht="15.75" customHeight="1" s="95"/>
    <row r="968" ht="15.75" customHeight="1" s="95"/>
    <row r="969" ht="15.75" customHeight="1" s="95"/>
    <row r="970" ht="15.75" customHeight="1" s="95"/>
    <row r="971" ht="15.75" customHeight="1" s="95"/>
    <row r="972" ht="15.75" customHeight="1" s="95"/>
    <row r="973" ht="15.75" customHeight="1" s="95"/>
    <row r="974" ht="15.75" customHeight="1" s="95"/>
    <row r="975" ht="15.75" customHeight="1" s="95"/>
    <row r="976" ht="15.75" customHeight="1" s="95"/>
    <row r="977" ht="15.75" customHeight="1" s="95"/>
    <row r="978" ht="15.75" customHeight="1" s="95"/>
    <row r="979" ht="15.75" customHeight="1" s="95"/>
    <row r="980" ht="15.75" customHeight="1" s="95"/>
    <row r="981" ht="15.75" customHeight="1" s="95"/>
    <row r="982" ht="15.75" customHeight="1" s="95"/>
    <row r="983" ht="15.75" customHeight="1" s="95"/>
    <row r="984" ht="15.75" customHeight="1" s="95"/>
    <row r="985" ht="15.75" customHeight="1" s="95"/>
    <row r="986" ht="15.75" customHeight="1" s="95"/>
    <row r="987" ht="15.75" customHeight="1" s="95"/>
    <row r="988" ht="15.75" customHeight="1" s="95"/>
    <row r="989" ht="15.75" customHeight="1" s="95"/>
    <row r="990" ht="15.75" customHeight="1" s="95"/>
    <row r="991" ht="15.75" customHeight="1" s="95"/>
    <row r="992" ht="15.75" customHeight="1" s="95"/>
    <row r="993" ht="15.75" customHeight="1" s="95"/>
    <row r="994" ht="15.75" customHeight="1" s="95"/>
    <row r="995" ht="15.75" customHeight="1" s="95"/>
    <row r="996" ht="15.75" customHeight="1" s="95"/>
    <row r="997" ht="15.75" customHeight="1" s="95"/>
    <row r="998" ht="15.75" customHeight="1" s="95"/>
    <row r="999" ht="15.75" customHeight="1" s="95"/>
    <row r="1000" ht="15.75" customHeight="1" s="95"/>
  </sheetData>
  <mergeCells count="2">
    <mergeCell ref="A1:Z1"/>
    <mergeCell ref="A2:Z2"/>
  </mergeCells>
  <conditionalFormatting sqref="E5:E504">
    <cfRule type="expression" priority="1" dxfId="13">
      <formula>E5="Yes"</formula>
    </cfRule>
  </conditionalFormatting>
  <conditionalFormatting sqref="F5:F354">
    <cfRule type="expression" priority="5" dxfId="15">
      <formula>F5&lt;&gt;""</formula>
    </cfRule>
  </conditionalFormatting>
  <conditionalFormatting sqref="F5:F504">
    <cfRule type="colorScale" priority="2">
      <colorScale>
        <cfvo type="min"/>
        <cfvo type="percentile" val="50"/>
        <cfvo type="max"/>
        <color rgb="FFFCE8E6"/>
        <color rgb="FFFFF1B8"/>
        <color rgb="FFD9EAD3"/>
      </colorScale>
    </cfRule>
  </conditionalFormatting>
  <conditionalFormatting sqref="G5:G500">
    <cfRule type="expression" priority="3" dxfId="12">
      <formula>ISNUMBER(SEARCH("Best guess",G5))</formula>
    </cfRule>
    <cfRule type="expression" priority="4" dxfId="13">
      <formula>G5="Yes"</formula>
    </cfRule>
  </conditionalFormatting>
  <conditionalFormatting sqref="H5:H500">
    <cfRule type="colorScale" priority="7">
      <colorScale>
        <cfvo type="min"/>
        <cfvo type="percentile" val="50"/>
        <cfvo type="max"/>
        <color rgb="FFFCE8E6"/>
        <color rgb="FFFFF1B8"/>
        <color rgb="FFD9EAD3"/>
      </colorScale>
    </cfRule>
  </conditionalFormatting>
  <conditionalFormatting sqref="I5:I354">
    <cfRule type="expression" priority="6" dxfId="12">
      <formula>ISNUMBER(SEARCH("verify",I5))</formula>
    </cfRule>
  </conditionalFormatting>
  <conditionalFormatting sqref="V5:V354">
    <cfRule type="dataBar" priority="8">
      <dataBar>
        <cfvo type="min"/>
        <cfvo type="max"/>
        <color rgb="FFD7B56D"/>
      </dataBar>
    </cfRule>
  </conditionalFormatting>
  <conditionalFormatting sqref="W5:W354">
    <cfRule type="expression" priority="9" dxfId="4">
      <formula>W5="Winner"</formula>
    </cfRule>
    <cfRule type="expression" priority="10" dxfId="5">
      <formula>W5="Nominated"</formula>
    </cfRule>
  </conditionalFormatting>
  <conditionalFormatting sqref="X5:X354">
    <cfRule type="colorScale" priority="11">
      <colorScale>
        <cfvo type="min"/>
        <cfvo type="percentile" val="50"/>
        <cfvo type="max"/>
        <color rgb="FFFCE8E6"/>
        <color rgb="FFFFF1B8"/>
        <color rgb="FFD9EAD3"/>
      </colorScale>
    </cfRule>
  </conditionalFormatting>
  <conditionalFormatting sqref="Y5:Y354">
    <cfRule type="colorScale" priority="12">
      <colorScale>
        <cfvo type="min"/>
        <cfvo type="percentile" val="50"/>
        <cfvo type="max"/>
        <color rgb="FFFCE8E6"/>
        <color rgb="FFFFF1B8"/>
        <color rgb="FFD9EAD3"/>
      </colorScale>
    </cfRule>
  </conditionalFormatting>
  <conditionalFormatting sqref="Z5:Z354">
    <cfRule type="colorScale" priority="13">
      <colorScale>
        <cfvo type="min"/>
        <cfvo type="percentile" val="50"/>
        <cfvo type="max"/>
        <color rgb="FFFCE8E6"/>
        <color rgb="FFFFF1B8"/>
        <color rgb="FFD9EAD3"/>
      </colorScale>
    </cfRule>
  </conditionalFormatting>
  <dataValidations count="3">
    <dataValidation sqref="C5:D500 C501:C504" showDropDown="0" showInputMessage="0" showErrorMessage="0" allowBlank="1" type="list">
      <formula1>"Blu-ray,4K UHD,Steelbook,Blu-ray + DVD"</formula1>
    </dataValidation>
    <dataValidation sqref="F5:F504 H5:H500" showDropDown="0" showInputMessage="0" showErrorMessage="0" allowBlank="1" type="decimal">
      <formula1>1</formula1>
      <formula2>5</formula2>
    </dataValidation>
    <dataValidation sqref="E5:E504 G5:G500" showDropDown="0" showInputMessage="0" showErrorMessage="0" allowBlank="1" type="list">
      <formula1>"Yes,No"</formula1>
    </dataValidation>
  </dataValidations>
  <pageMargins left="0.7" right="0.7" top="0.75" bottom="0.75" header="0.3" footer="0.3"/>
</worksheet>
</file>

<file path=xl/worksheets/sheet3.xml><?xml version="1.0" encoding="utf-8"?>
<worksheet xmlns="http://schemas.openxmlformats.org/spreadsheetml/2006/main">
  <sheetPr>
    <outlinePr summaryBelow="1" summaryRight="1"/>
    <pageSetUpPr/>
  </sheetPr>
  <dimension ref="A1:I104"/>
  <sheetViews>
    <sheetView tabSelected="1" topLeftCell="A23" workbookViewId="0">
      <selection activeCell="L107" sqref="L107"/>
    </sheetView>
  </sheetViews>
  <sheetFormatPr baseColWidth="8" defaultColWidth="14.42578125" defaultRowHeight="15"/>
  <cols>
    <col width="42" customWidth="1" style="95" min="1" max="1"/>
    <col width="14" customWidth="1" style="95" min="2" max="3"/>
    <col width="15" customWidth="1" style="95" min="4" max="4"/>
    <col width="14" customWidth="1" style="95" min="5" max="7"/>
    <col width="8.7109375" customWidth="1" style="95" min="8" max="8"/>
    <col width="94" bestFit="1" customWidth="1" style="95" min="9" max="9"/>
  </cols>
  <sheetData>
    <row r="1" ht="23.25" customHeight="1" s="95">
      <c r="A1" s="101" t="inlineStr">
        <is>
          <t>🛒 WISHLIST &amp; NEXT BUYS</t>
        </is>
      </c>
    </row>
    <row r="2">
      <c r="A2" s="97" t="inlineStr">
        <is>
          <t>Your original wanted films plus recommendations based on the collection. Prices can be filled in as we hunt for bargains.</t>
        </is>
      </c>
    </row>
    <row r="4" ht="30" customHeight="1" s="95">
      <c r="A4" s="2" t="inlineStr">
        <is>
          <t>Title</t>
        </is>
      </c>
      <c r="B4" s="2" t="inlineStr">
        <is>
          <t>Type</t>
        </is>
      </c>
      <c r="C4" s="2" t="inlineStr">
        <is>
          <t>Priority (1-5)</t>
        </is>
      </c>
      <c r="D4" s="2" t="inlineStr">
        <is>
          <t>Target Price (£)</t>
        </is>
      </c>
      <c r="E4" s="2" t="inlineStr">
        <is>
          <t>Cheapest Found (£)</t>
        </is>
      </c>
      <c r="F4" s="2" t="inlineStr">
        <is>
          <t>Where</t>
        </is>
      </c>
      <c r="G4" s="2" t="inlineStr">
        <is>
          <t>Date Checked</t>
        </is>
      </c>
      <c r="H4" s="6" t="inlineStr">
        <is>
          <t>Already Owned?</t>
        </is>
      </c>
      <c r="I4" s="6" t="inlineStr">
        <is>
          <t>Notes</t>
        </is>
      </c>
    </row>
    <row r="5" ht="60" customHeight="1" s="95">
      <c r="A5" s="7" t="inlineStr">
        <is>
          <t>One Battle After Another</t>
        </is>
      </c>
      <c r="B5" s="7" t="inlineStr">
        <is>
          <t>Your list</t>
        </is>
      </c>
      <c r="C5" s="7" t="n">
        <v>4</v>
      </c>
      <c r="D5" s="8" t="n"/>
      <c r="E5" s="8" t="n"/>
      <c r="F5" s="7" t="n"/>
      <c r="G5" s="9" t="n"/>
      <c r="H5" s="1">
        <f>IF(A5="","",IF(COUNTIF(Collection!$B$5:$B$500,A5)&gt;0,"Yes","No"))</f>
        <v/>
      </c>
      <c r="I5" s="4" t="inlineStr">
        <is>
          <t>From your original wishlist</t>
        </is>
      </c>
    </row>
    <row r="6" ht="60" customHeight="1" s="95">
      <c r="A6" s="11" t="inlineStr">
        <is>
          <t>Everything Everywhere All at Once</t>
        </is>
      </c>
      <c r="B6" s="11" t="inlineStr">
        <is>
          <t>Your list</t>
        </is>
      </c>
      <c r="C6" s="11" t="n">
        <v>3</v>
      </c>
      <c r="D6" s="12" t="n"/>
      <c r="E6" s="12" t="n"/>
      <c r="F6" s="11" t="n"/>
      <c r="G6" s="14" t="n"/>
      <c r="H6" s="1">
        <f>IF(A6="","",IF(COUNTIF(Collection!$B$5:$B$500,A6)&gt;0,"Yes","No"))</f>
        <v/>
      </c>
      <c r="I6" s="4" t="inlineStr">
        <is>
          <t>From your original wishlist</t>
        </is>
      </c>
    </row>
    <row r="7" ht="60" customHeight="1" s="95">
      <c r="A7" s="11" t="inlineStr">
        <is>
          <t>CODA</t>
        </is>
      </c>
      <c r="B7" s="11" t="inlineStr">
        <is>
          <t>Your list</t>
        </is>
      </c>
      <c r="C7" s="11" t="n">
        <v>2</v>
      </c>
      <c r="D7" s="12" t="n"/>
      <c r="E7" s="12" t="n"/>
      <c r="F7" s="11" t="n"/>
      <c r="G7" s="14" t="n"/>
      <c r="H7" s="1">
        <f>IF(A7="","",IF(COUNTIF(Collection!$B$5:$B$500,A7)&gt;0,"Yes","No"))</f>
        <v/>
      </c>
      <c r="I7" s="4" t="inlineStr">
        <is>
          <t>From your original wishlist</t>
        </is>
      </c>
    </row>
    <row r="8" ht="60" customHeight="1" s="95">
      <c r="A8" s="11" t="inlineStr">
        <is>
          <t>Parasite</t>
        </is>
      </c>
      <c r="B8" s="11" t="inlineStr">
        <is>
          <t>Your list</t>
        </is>
      </c>
      <c r="C8" s="11" t="n">
        <v>3</v>
      </c>
      <c r="D8" s="12" t="n"/>
      <c r="E8" s="12" t="n"/>
      <c r="F8" s="11" t="n"/>
      <c r="G8" s="14" t="n"/>
      <c r="H8" s="1">
        <f>IF(A8="","",IF(COUNTIF(Collection!$B$5:$B$500,A8)&gt;0,"Yes","No"))</f>
        <v/>
      </c>
      <c r="I8" s="4" t="inlineStr">
        <is>
          <t>From your original wishlist</t>
        </is>
      </c>
    </row>
    <row r="9" ht="60" customHeight="1" s="95">
      <c r="A9" s="11" t="inlineStr">
        <is>
          <t>Green Book</t>
        </is>
      </c>
      <c r="B9" s="11" t="inlineStr">
        <is>
          <t>Your list</t>
        </is>
      </c>
      <c r="C9" s="11" t="n">
        <v>4</v>
      </c>
      <c r="D9" s="12" t="n"/>
      <c r="E9" s="12" t="n"/>
      <c r="F9" s="11" t="n"/>
      <c r="G9" s="14" t="n"/>
      <c r="H9" s="1">
        <f>IF(A9="","",IF(COUNTIF(Collection!$B$5:$B$500,A9)&gt;0,"Yes","No"))</f>
        <v/>
      </c>
      <c r="I9" s="4" t="inlineStr">
        <is>
          <t>From your original wishlist</t>
        </is>
      </c>
    </row>
    <row r="10" ht="60" customHeight="1" s="95">
      <c r="A10" s="11" t="inlineStr">
        <is>
          <t>The Shape of Water</t>
        </is>
      </c>
      <c r="B10" s="11" t="inlineStr">
        <is>
          <t>Your list</t>
        </is>
      </c>
      <c r="C10" s="11" t="n">
        <v>3</v>
      </c>
      <c r="D10" s="12" t="n"/>
      <c r="E10" s="12" t="n"/>
      <c r="F10" s="11" t="n"/>
      <c r="G10" s="14" t="n"/>
      <c r="H10" s="1">
        <f>IF(A10="","",IF(COUNTIF(Collection!$B$5:$B$500,A10)&gt;0,"Yes","No"))</f>
        <v/>
      </c>
      <c r="I10" s="4" t="inlineStr">
        <is>
          <t>From your original wishlist</t>
        </is>
      </c>
    </row>
    <row r="11" ht="60" customHeight="1" s="95">
      <c r="A11" s="11" t="inlineStr">
        <is>
          <t>Moonlight</t>
        </is>
      </c>
      <c r="B11" s="11" t="inlineStr">
        <is>
          <t>Your list</t>
        </is>
      </c>
      <c r="C11" s="11" t="n">
        <v>5</v>
      </c>
      <c r="D11" s="12" t="n"/>
      <c r="E11" s="12" t="n"/>
      <c r="F11" s="11" t="n"/>
      <c r="G11" s="14" t="n"/>
      <c r="H11" s="1">
        <f>IF(A11="","",IF(COUNTIF(Collection!$B$5:$B$500,A11)&gt;0,"Yes","No"))</f>
        <v/>
      </c>
      <c r="I11" s="4" t="inlineStr">
        <is>
          <t>From your original wishlist</t>
        </is>
      </c>
    </row>
    <row r="12" ht="60" customHeight="1" s="95">
      <c r="A12" s="11" t="inlineStr">
        <is>
          <t>Spotlight</t>
        </is>
      </c>
      <c r="B12" s="11" t="inlineStr">
        <is>
          <t>Your list</t>
        </is>
      </c>
      <c r="C12" s="11" t="n">
        <v>3</v>
      </c>
      <c r="D12" s="12" t="n"/>
      <c r="E12" s="12" t="n"/>
      <c r="F12" s="11" t="n"/>
      <c r="G12" s="14" t="n"/>
      <c r="H12" s="1">
        <f>IF(A12="","",IF(COUNTIF(Collection!$B$5:$B$500,A12)&gt;0,"Yes","No"))</f>
        <v/>
      </c>
      <c r="I12" s="4" t="inlineStr">
        <is>
          <t>From your original wishlist</t>
        </is>
      </c>
    </row>
    <row r="13" ht="60" customHeight="1" s="95">
      <c r="A13" s="11" t="inlineStr">
        <is>
          <t>Birdman or (The Unexpected Virtue of Ignorance)</t>
        </is>
      </c>
      <c r="B13" s="11" t="inlineStr">
        <is>
          <t>Your list</t>
        </is>
      </c>
      <c r="C13" s="11" t="n">
        <v>4</v>
      </c>
      <c r="D13" s="12" t="n"/>
      <c r="E13" s="12" t="n"/>
      <c r="F13" s="11" t="n"/>
      <c r="G13" s="14" t="n"/>
      <c r="H13" s="1">
        <f>IF(A13="","",IF(COUNTIF(Collection!$B$5:$B$500,A13)&gt;0,"Yes","No"))</f>
        <v/>
      </c>
      <c r="I13" s="4" t="inlineStr">
        <is>
          <t>From your original wishlist</t>
        </is>
      </c>
    </row>
    <row r="14" ht="60" customHeight="1" s="95">
      <c r="A14" s="11" t="inlineStr">
        <is>
          <t>12 Years a Slave</t>
        </is>
      </c>
      <c r="B14" s="11" t="inlineStr">
        <is>
          <t>Your list</t>
        </is>
      </c>
      <c r="C14" s="11" t="n">
        <v>2</v>
      </c>
      <c r="D14" s="12" t="n"/>
      <c r="E14" s="12" t="n"/>
      <c r="F14" s="11" t="n"/>
      <c r="G14" s="14" t="n"/>
      <c r="H14" s="1">
        <f>IF(A14="","",IF(COUNTIF(Collection!$B$5:$B$500,A14)&gt;0,"Yes","No"))</f>
        <v/>
      </c>
      <c r="I14" s="4" t="inlineStr">
        <is>
          <t>From your original wishlist</t>
        </is>
      </c>
    </row>
    <row r="15" ht="60" customHeight="1" s="95">
      <c r="A15" s="11" t="inlineStr">
        <is>
          <t>The Artist</t>
        </is>
      </c>
      <c r="B15" s="11" t="inlineStr">
        <is>
          <t>Your list</t>
        </is>
      </c>
      <c r="C15" s="11" t="n">
        <v>5</v>
      </c>
      <c r="D15" s="12" t="n"/>
      <c r="E15" s="12" t="n"/>
      <c r="F15" s="11" t="n"/>
      <c r="G15" s="14" t="n"/>
      <c r="H15" s="1">
        <f>IF(A15="","",IF(COUNTIF(Collection!$B$5:$B$500,A15)&gt;0,"Yes","No"))</f>
        <v/>
      </c>
      <c r="I15" s="4" t="inlineStr">
        <is>
          <t>From your original wishlist</t>
        </is>
      </c>
    </row>
    <row r="16" ht="60" customHeight="1" s="95">
      <c r="A16" s="11" t="inlineStr">
        <is>
          <t>The Hurt Locker</t>
        </is>
      </c>
      <c r="B16" s="11" t="inlineStr">
        <is>
          <t>Your list</t>
        </is>
      </c>
      <c r="C16" s="11" t="n">
        <v>2</v>
      </c>
      <c r="D16" s="12" t="n"/>
      <c r="E16" s="12" t="n"/>
      <c r="F16" s="11" t="n"/>
      <c r="G16" s="14" t="n"/>
      <c r="H16" s="1">
        <f>IF(A16="","",IF(COUNTIF(Collection!$B$5:$B$500,A16)&gt;0,"Yes","No"))</f>
        <v/>
      </c>
      <c r="I16" s="4" t="inlineStr">
        <is>
          <t>From your original wishlist</t>
        </is>
      </c>
    </row>
    <row r="17" ht="60" customHeight="1" s="95">
      <c r="A17" s="11" t="inlineStr">
        <is>
          <t>No Country for Old Men</t>
        </is>
      </c>
      <c r="B17" s="11" t="inlineStr">
        <is>
          <t>Your list</t>
        </is>
      </c>
      <c r="C17" s="11" t="n">
        <v>3</v>
      </c>
      <c r="D17" s="12" t="n"/>
      <c r="E17" s="12" t="n"/>
      <c r="F17" s="11" t="n"/>
      <c r="G17" s="14" t="n"/>
      <c r="H17" s="1">
        <f>IF(A17="","",IF(COUNTIF(Collection!$B$5:$B$500,A17)&gt;0,"Yes","No"))</f>
        <v/>
      </c>
      <c r="I17" s="4" t="inlineStr">
        <is>
          <t>From your original wishlist</t>
        </is>
      </c>
    </row>
    <row r="18" ht="60" customHeight="1" s="95">
      <c r="A18" s="11" t="inlineStr">
        <is>
          <t>Gladiator</t>
        </is>
      </c>
      <c r="B18" s="11" t="inlineStr">
        <is>
          <t>Your list</t>
        </is>
      </c>
      <c r="C18" s="11" t="n">
        <v>3</v>
      </c>
      <c r="D18" s="12" t="n"/>
      <c r="E18" s="12" t="n"/>
      <c r="F18" s="11" t="n"/>
      <c r="G18" s="14" t="n"/>
      <c r="H18" s="1">
        <f>IF(A18="","",IF(COUNTIF(Collection!$B$5:$B$500,A18)&gt;0,"Yes","No"))</f>
        <v/>
      </c>
      <c r="I18" s="4" t="inlineStr">
        <is>
          <t>From your original wishlist</t>
        </is>
      </c>
    </row>
    <row r="19" ht="60" customHeight="1" s="95">
      <c r="A19" s="11" t="inlineStr">
        <is>
          <t>A Beautiful Mind</t>
        </is>
      </c>
      <c r="B19" s="11" t="inlineStr">
        <is>
          <t>Your list</t>
        </is>
      </c>
      <c r="C19" s="11" t="n">
        <v>5</v>
      </c>
      <c r="D19" s="12" t="n"/>
      <c r="E19" s="12" t="n"/>
      <c r="F19" s="11" t="n"/>
      <c r="G19" s="14" t="n"/>
      <c r="H19" s="1">
        <f>IF(A19="","",IF(COUNTIF(Collection!$B$5:$B$500,A19)&gt;0,"Yes","No"))</f>
        <v/>
      </c>
      <c r="I19" s="4" t="inlineStr">
        <is>
          <t>From your original wishlist</t>
        </is>
      </c>
    </row>
    <row r="20" ht="60" customHeight="1" s="95">
      <c r="A20" s="11" t="inlineStr">
        <is>
          <t>Braveheart</t>
        </is>
      </c>
      <c r="B20" s="11" t="inlineStr">
        <is>
          <t>Your list</t>
        </is>
      </c>
      <c r="C20" s="11" t="n">
        <v>5</v>
      </c>
      <c r="D20" s="12" t="n"/>
      <c r="E20" s="12" t="n"/>
      <c r="F20" s="11" t="n"/>
      <c r="G20" s="14" t="n"/>
      <c r="H20" s="1">
        <f>IF(A20="","",IF(COUNTIF(Collection!$B$5:$B$500,A20)&gt;0,"Yes","No"))</f>
        <v/>
      </c>
      <c r="I20" s="4" t="inlineStr">
        <is>
          <t>From your original wishlist</t>
        </is>
      </c>
    </row>
    <row r="21" ht="15.75" customHeight="1" s="95">
      <c r="A21" s="11" t="inlineStr">
        <is>
          <t>The Silence of the Lambs</t>
        </is>
      </c>
      <c r="B21" s="11" t="inlineStr">
        <is>
          <t>Your list</t>
        </is>
      </c>
      <c r="C21" s="11" t="n">
        <v>5</v>
      </c>
      <c r="D21" s="12" t="n"/>
      <c r="E21" s="12" t="n"/>
      <c r="F21" s="11" t="n"/>
      <c r="G21" s="14" t="n"/>
      <c r="H21" s="1">
        <f>IF(A21="","",IF(COUNTIF(Collection!$B$5:$B$500,A21)&gt;0,"Yes","No"))</f>
        <v/>
      </c>
      <c r="I21" s="4" t="inlineStr">
        <is>
          <t>From your original wishlist</t>
        </is>
      </c>
    </row>
    <row r="22" ht="15.75" customHeight="1" s="95">
      <c r="A22" s="11" t="inlineStr">
        <is>
          <t>Le Mans '66 (Ford v Ferrari)</t>
        </is>
      </c>
      <c r="B22" s="11" t="inlineStr">
        <is>
          <t>Your list</t>
        </is>
      </c>
      <c r="C22" s="11" t="n">
        <v>5</v>
      </c>
      <c r="D22" s="12" t="n"/>
      <c r="E22" s="12" t="n"/>
      <c r="F22" s="11" t="n"/>
      <c r="G22" s="14" t="n"/>
      <c r="H22" s="1">
        <f>IF(A22="","",IF(COUNTIF(Collection!$B$5:$B$500,A22)&gt;0,"Yes","No"))</f>
        <v/>
      </c>
      <c r="I22" s="4" t="inlineStr">
        <is>
          <t>From your original wishlist</t>
        </is>
      </c>
    </row>
    <row r="23" ht="15.75" customHeight="1" s="95">
      <c r="A23" s="11" t="inlineStr">
        <is>
          <t>Million Dollar Baby</t>
        </is>
      </c>
      <c r="B23" s="11" t="inlineStr">
        <is>
          <t>Your list</t>
        </is>
      </c>
      <c r="C23" s="11" t="n">
        <v>5</v>
      </c>
      <c r="D23" s="12" t="n"/>
      <c r="E23" s="12" t="n"/>
      <c r="F23" s="11" t="n"/>
      <c r="G23" s="14" t="n"/>
      <c r="H23" s="1">
        <f>IF(A23="","",IF(COUNTIF(Collection!$B$5:$B$500,A23)&gt;0,"Yes","No"))</f>
        <v/>
      </c>
      <c r="I23" s="4" t="inlineStr">
        <is>
          <t>From your original wishlist</t>
        </is>
      </c>
    </row>
    <row r="24" ht="15.75" customHeight="1" s="95">
      <c r="A24" s="11" t="inlineStr">
        <is>
          <t>American Beauty</t>
        </is>
      </c>
      <c r="B24" s="11" t="inlineStr">
        <is>
          <t>Your list</t>
        </is>
      </c>
      <c r="C24" s="11" t="n">
        <v>5</v>
      </c>
      <c r="D24" s="12" t="n"/>
      <c r="E24" s="12" t="n"/>
      <c r="F24" s="11" t="n"/>
      <c r="G24" s="14" t="n"/>
      <c r="H24" s="1">
        <f>IF(A24="","",IF(COUNTIF(Collection!$B$5:$B$500,A24)&gt;0,"Yes","No"))</f>
        <v/>
      </c>
      <c r="I24" s="4" t="inlineStr">
        <is>
          <t>From your original wishlist</t>
        </is>
      </c>
    </row>
    <row r="25" ht="15.75" customHeight="1" s="95">
      <c r="A25" s="11" t="inlineStr">
        <is>
          <t>Rocky</t>
        </is>
      </c>
      <c r="B25" s="11" t="inlineStr">
        <is>
          <t>Your list</t>
        </is>
      </c>
      <c r="C25" s="11" t="n">
        <v>5</v>
      </c>
      <c r="D25" s="12" t="n"/>
      <c r="E25" s="12" t="n"/>
      <c r="F25" s="11" t="n"/>
      <c r="G25" s="14" t="n"/>
      <c r="H25" s="1">
        <f>IF(A25="","",IF(COUNTIF(Collection!$B$5:$B$500,A25)&gt;0,"Yes","No"))</f>
        <v/>
      </c>
      <c r="I25" s="4" t="inlineStr">
        <is>
          <t>From your original wishlist</t>
        </is>
      </c>
    </row>
    <row r="26" ht="15.75" customHeight="1" s="95">
      <c r="A26" s="11" t="inlineStr">
        <is>
          <t>One Flew Over the Cuckoo's Nest</t>
        </is>
      </c>
      <c r="B26" s="11" t="inlineStr">
        <is>
          <t>Your list</t>
        </is>
      </c>
      <c r="C26" s="11" t="n">
        <v>5</v>
      </c>
      <c r="D26" s="12" t="n"/>
      <c r="E26" s="12" t="n"/>
      <c r="F26" s="11" t="n"/>
      <c r="G26" s="14" t="n"/>
      <c r="H26" s="1">
        <f>IF(A26="","",IF(COUNTIF(Collection!$B$5:$B$500,A26)&gt;0,"Yes","No"))</f>
        <v/>
      </c>
      <c r="I26" s="4" t="inlineStr">
        <is>
          <t>From your original wishlist</t>
        </is>
      </c>
    </row>
    <row r="27" ht="15.75" customHeight="1" s="95">
      <c r="A27" s="11" t="inlineStr">
        <is>
          <t>Sinners</t>
        </is>
      </c>
      <c r="B27" s="11" t="inlineStr">
        <is>
          <t>Your list</t>
        </is>
      </c>
      <c r="C27" s="11" t="n">
        <v>5</v>
      </c>
      <c r="D27" s="12" t="n"/>
      <c r="E27" s="12" t="n"/>
      <c r="F27" s="11" t="n"/>
      <c r="G27" s="14" t="n"/>
      <c r="H27" s="1">
        <f>IF(A27="","",IF(COUNTIF(Collection!$B$5:$B$500,A27)&gt;0,"Yes","No"))</f>
        <v/>
      </c>
      <c r="I27" s="4" t="inlineStr">
        <is>
          <t>From your original wishlist</t>
        </is>
      </c>
    </row>
    <row r="28" ht="15.75" customHeight="1" s="95">
      <c r="A28" s="11" t="inlineStr">
        <is>
          <t>Marty Supreme</t>
        </is>
      </c>
      <c r="B28" s="11" t="inlineStr">
        <is>
          <t>Your list</t>
        </is>
      </c>
      <c r="C28" s="11" t="n">
        <v>5</v>
      </c>
      <c r="D28" s="12" t="n"/>
      <c r="E28" s="12" t="n"/>
      <c r="F28" s="11" t="n"/>
      <c r="G28" s="14" t="n"/>
      <c r="H28" s="1">
        <f>IF(A28="","",IF(COUNTIF(Collection!$B$5:$B$500,A28)&gt;0,"Yes","No"))</f>
        <v/>
      </c>
      <c r="I28" s="4" t="inlineStr">
        <is>
          <t>From your original wishlist</t>
        </is>
      </c>
    </row>
    <row r="29" ht="15.75" customHeight="1" s="95">
      <c r="A29" s="11" t="inlineStr">
        <is>
          <t>Whiplash</t>
        </is>
      </c>
      <c r="B29" s="11" t="inlineStr">
        <is>
          <t>Recommended</t>
        </is>
      </c>
      <c r="C29" s="11" t="n">
        <v>5</v>
      </c>
      <c r="D29" s="12" t="n"/>
      <c r="E29" s="12" t="n"/>
      <c r="F29" s="11" t="n"/>
      <c r="G29" s="14" t="n"/>
      <c r="H29" s="1">
        <f>IF(A29="","",IF(COUNTIF(Collection!$B$5:$B$500,A29)&gt;0,"Yes","No"))</f>
        <v/>
      </c>
      <c r="I29" s="4" t="inlineStr">
        <is>
          <t>Strong fit with your taste for intense, acclaimed dramas.</t>
        </is>
      </c>
    </row>
    <row r="30" ht="15.75" customHeight="1" s="95">
      <c r="A30" s="11" t="inlineStr">
        <is>
          <t>The Social Network</t>
        </is>
      </c>
      <c r="B30" s="11" t="inlineStr">
        <is>
          <t>Recommended</t>
        </is>
      </c>
      <c r="C30" s="11" t="n">
        <v>5</v>
      </c>
      <c r="D30" s="12" t="n"/>
      <c r="E30" s="12" t="n"/>
      <c r="F30" s="11" t="n"/>
      <c r="G30" s="14" t="n"/>
      <c r="H30" s="1">
        <f>IF(A30="","",IF(COUNTIF(Collection!$B$5:$B$500,A30)&gt;0,"Yes","No"))</f>
        <v/>
      </c>
      <c r="I30" s="4" t="inlineStr">
        <is>
          <t>Sharp modern classic; fits alongside Fincher, prestige drama and biopics in your collection.</t>
        </is>
      </c>
    </row>
    <row r="31" ht="15.75" customHeight="1" s="95">
      <c r="A31" s="11" t="inlineStr">
        <is>
          <t>Arrival</t>
        </is>
      </c>
      <c r="B31" s="11" t="inlineStr">
        <is>
          <t>Recommended</t>
        </is>
      </c>
      <c r="C31" s="11" t="n">
        <v>5</v>
      </c>
      <c r="D31" s="12" t="n"/>
      <c r="E31" s="12" t="n"/>
      <c r="F31" s="11" t="n"/>
      <c r="G31" s="14" t="n"/>
      <c r="H31" s="1">
        <f>IF(A31="","",IF(COUNTIF(Collection!$B$5:$B$500,A31)&gt;0,"Yes","No"))</f>
        <v/>
      </c>
      <c r="I31" s="4" t="inlineStr">
        <is>
          <t>Smart sci-fi that should land well if you like Interstellar, Inception and District 9.</t>
        </is>
      </c>
    </row>
    <row r="32" ht="15.75" customHeight="1" s="95">
      <c r="A32" s="11" t="inlineStr">
        <is>
          <t>Blade Runner 2049</t>
        </is>
      </c>
      <c r="B32" s="11" t="inlineStr">
        <is>
          <t>Recommended</t>
        </is>
      </c>
      <c r="C32" s="11" t="n">
        <v>5</v>
      </c>
      <c r="D32" s="12" t="n"/>
      <c r="E32" s="12" t="n"/>
      <c r="F32" s="11" t="n"/>
      <c r="G32" s="14" t="n"/>
      <c r="H32" s="1">
        <f>IF(A32="","",IF(COUNTIF(Collection!$B$5:$B$500,A32)&gt;0,"Yes","No"))</f>
        <v/>
      </c>
      <c r="I32" s="4" t="inlineStr">
        <is>
          <t>A natural pick from your sci-fi shelf; visually superb on Blu-ray/4K.</t>
        </is>
      </c>
    </row>
    <row r="33" ht="15.75" customHeight="1" s="95">
      <c r="A33" s="11" t="inlineStr">
        <is>
          <t>Mad Max: Fury Road</t>
        </is>
      </c>
      <c r="B33" s="11" t="inlineStr">
        <is>
          <t>Recommended</t>
        </is>
      </c>
      <c r="C33" s="11" t="n">
        <v>5</v>
      </c>
      <c r="D33" s="12" t="n"/>
      <c r="E33" s="12" t="n"/>
      <c r="F33" s="11" t="n"/>
      <c r="G33" s="14" t="n"/>
      <c r="H33" s="1">
        <f>IF(A33="","",IF(COUNTIF(Collection!$B$5:$B$500,A33)&gt;0,"Yes","No"))</f>
        <v/>
      </c>
      <c r="I33" s="4" t="inlineStr">
        <is>
          <t>High-energy action with the craft/scale of films like Fury, Rush and Mission: Impossible.</t>
        </is>
      </c>
    </row>
    <row r="34" ht="15.75" customHeight="1" s="95">
      <c r="A34" s="11" t="inlineStr">
        <is>
          <t>Dune</t>
        </is>
      </c>
      <c r="B34" s="11" t="inlineStr">
        <is>
          <t>Recommended</t>
        </is>
      </c>
      <c r="C34" s="11" t="n">
        <v>5</v>
      </c>
      <c r="D34" s="12" t="n"/>
      <c r="E34" s="12" t="n"/>
      <c r="F34" s="11" t="n"/>
      <c r="G34" s="14" t="n"/>
      <c r="H34" s="1">
        <f>IF(A34="","",IF(COUNTIF(Collection!$B$5:$B$500,A34)&gt;0,"Yes","No"))</f>
        <v/>
      </c>
      <c r="I34" s="4" t="inlineStr">
        <is>
          <t>Big-scale modern sci-fi; an obvious gap beside your Nolan and blockbuster titles.</t>
        </is>
      </c>
    </row>
    <row r="35" ht="15.75" customHeight="1" s="95">
      <c r="A35" s="11" t="inlineStr">
        <is>
          <t>Dune: Part Two</t>
        </is>
      </c>
      <c r="B35" s="11" t="inlineStr">
        <is>
          <t>Recommended</t>
        </is>
      </c>
      <c r="C35" s="11" t="n">
        <v>5</v>
      </c>
      <c r="D35" s="12" t="n"/>
      <c r="E35" s="12" t="n"/>
      <c r="F35" s="11" t="n"/>
      <c r="G35" s="14" t="n"/>
      <c r="H35" s="1">
        <f>IF(A35="","",IF(COUNTIF(Collection!$B$5:$B$500,A35)&gt;0,"Yes","No"))</f>
        <v/>
      </c>
      <c r="I35" s="4" t="inlineStr">
        <is>
          <t>Worth pairing with Dune as a mini-collection.</t>
        </is>
      </c>
    </row>
    <row r="36" ht="15.75" customHeight="1" s="95">
      <c r="A36" s="1" t="inlineStr">
        <is>
          <t>Sicario</t>
        </is>
      </c>
      <c r="B36" s="1" t="inlineStr">
        <is>
          <t>Recommended</t>
        </is>
      </c>
      <c r="C36" s="1" t="n">
        <v>4</v>
      </c>
      <c r="D36" s="50" t="n"/>
      <c r="E36" s="50" t="n"/>
      <c r="F36" s="1" t="n"/>
      <c r="G36" s="51" t="n"/>
      <c r="H36" s="1">
        <f>IF(A36="","",IF(COUNTIF(Collection!$B$5:$B$500,A36)&gt;0,"Yes","No"))</f>
        <v/>
      </c>
      <c r="I36" s="4" t="inlineStr">
        <is>
          <t>Tense crime thriller from Denis Villeneuve; fits Prisoners and your darker thrillers.</t>
        </is>
      </c>
    </row>
    <row r="37" ht="15.75" customHeight="1" s="95">
      <c r="A37" s="1" t="inlineStr">
        <is>
          <t>The Nice Guys</t>
        </is>
      </c>
      <c r="B37" s="1" t="inlineStr">
        <is>
          <t>Recommended</t>
        </is>
      </c>
      <c r="C37" s="1" t="n">
        <v>4</v>
      </c>
      <c r="D37" s="50" t="n"/>
      <c r="E37" s="50" t="n"/>
      <c r="F37" s="1" t="n"/>
      <c r="G37" s="51" t="n"/>
      <c r="H37" s="1">
        <f>IF(A37="","",IF(COUNTIF(Collection!$B$5:$B$500,A37)&gt;0,"Yes","No"))</f>
        <v/>
      </c>
      <c r="I37" s="4" t="inlineStr">
        <is>
          <t>Crime/comedy with a very rewatchable tone; should fit your comedy/action mix.</t>
        </is>
      </c>
    </row>
    <row r="38" ht="15.75" customHeight="1" s="95">
      <c r="A38" s="1" t="inlineStr">
        <is>
          <t>Nightcrawler</t>
        </is>
      </c>
      <c r="B38" s="1" t="inlineStr">
        <is>
          <t>Recommended</t>
        </is>
      </c>
      <c r="C38" s="1" t="n">
        <v>4</v>
      </c>
      <c r="D38" s="50" t="n"/>
      <c r="E38" s="50" t="n"/>
      <c r="F38" s="1" t="n"/>
      <c r="G38" s="51" t="n"/>
      <c r="H38" s="1">
        <f>IF(A38="","",IF(COUNTIF(Collection!$B$5:$B$500,A38)&gt;0,"Yes","No"))</f>
        <v/>
      </c>
      <c r="I38" s="4" t="inlineStr">
        <is>
          <t>Dark, slick thriller that pairs nicely with Zodiac, Se7en and Prisoners.</t>
        </is>
      </c>
    </row>
    <row r="39" ht="15.75" customHeight="1" s="95">
      <c r="A39" s="1" t="inlineStr">
        <is>
          <t>The Grand Budapest Hotel</t>
        </is>
      </c>
      <c r="B39" s="1" t="inlineStr">
        <is>
          <t>Recommended</t>
        </is>
      </c>
      <c r="C39" s="1" t="n">
        <v>4</v>
      </c>
      <c r="D39" s="50" t="n"/>
      <c r="E39" s="50" t="n"/>
      <c r="F39" s="1" t="n"/>
      <c r="G39" s="51" t="n"/>
      <c r="H39" s="1">
        <f>IF(A39="","",IF(COUNTIF(Collection!$B$5:$B$500,A39)&gt;0,"Yes","No"))</f>
        <v/>
      </c>
      <c r="I39" s="4" t="inlineStr">
        <is>
          <t>Acclaimed, distinctive and very rewatchable; broadens the prestige side of the shelf.</t>
        </is>
      </c>
    </row>
    <row r="40" ht="15.75" customHeight="1" s="95">
      <c r="A40" s="1" t="inlineStr">
        <is>
          <t>The Revenant</t>
        </is>
      </c>
      <c r="B40" s="1" t="inlineStr">
        <is>
          <t>Recommended</t>
        </is>
      </c>
      <c r="C40" s="1" t="n">
        <v>4</v>
      </c>
      <c r="D40" s="50" t="n"/>
      <c r="E40" s="50" t="n"/>
      <c r="F40" s="1" t="n"/>
      <c r="G40" s="51" t="n"/>
      <c r="H40" s="1">
        <f>IF(A40="","",IF(COUNTIF(Collection!$B$5:$B$500,A40)&gt;0,"Yes","No"))</f>
        <v/>
      </c>
      <c r="I40" s="4" t="inlineStr">
        <is>
          <t>Large-scale survival drama with strong cinematography and awards pedigree.</t>
        </is>
      </c>
    </row>
    <row r="41" ht="15.75" customHeight="1" s="95">
      <c r="A41" s="1" t="inlineStr">
        <is>
          <t>There Will Be Blood</t>
        </is>
      </c>
      <c r="B41" s="1" t="inlineStr">
        <is>
          <t>Recommended</t>
        </is>
      </c>
      <c r="C41" s="1" t="n">
        <v>4</v>
      </c>
      <c r="D41" s="50" t="n"/>
      <c r="E41" s="50" t="n"/>
      <c r="F41" s="1" t="n"/>
      <c r="G41" s="51" t="n"/>
      <c r="H41" s="1">
        <f>IF(A41="","",IF(COUNTIF(Collection!$B$5:$B$500,A41)&gt;0,"Yes","No"))</f>
        <v/>
      </c>
      <c r="I41" s="4" t="inlineStr">
        <is>
          <t>Modern classic and a strong Best Picture-era addition.</t>
        </is>
      </c>
    </row>
    <row r="42" ht="15.75" customHeight="1" s="95">
      <c r="A42" s="1" t="inlineStr">
        <is>
          <t>The Banshees of Inisherin</t>
        </is>
      </c>
      <c r="B42" s="1" t="inlineStr">
        <is>
          <t>Recommended</t>
        </is>
      </c>
      <c r="C42" s="1" t="n">
        <v>4</v>
      </c>
      <c r="D42" s="50" t="n"/>
      <c r="E42" s="50" t="n"/>
      <c r="F42" s="1" t="n"/>
      <c r="G42" s="51" t="n"/>
      <c r="H42" s="1">
        <f>IF(A42="","",IF(COUNTIF(Collection!$B$5:$B$500,A42)&gt;0,"Yes","No"))</f>
        <v/>
      </c>
      <c r="I42" s="4" t="inlineStr">
        <is>
          <t>Excellent recent awards film with dark humour.</t>
        </is>
      </c>
    </row>
    <row r="43" ht="15.75" customHeight="1" s="95">
      <c r="A43" s="1" t="inlineStr">
        <is>
          <t>The Holdovers</t>
        </is>
      </c>
      <c r="B43" s="1" t="inlineStr">
        <is>
          <t>Recommended</t>
        </is>
      </c>
      <c r="C43" s="1" t="n">
        <v>4</v>
      </c>
      <c r="D43" s="50" t="n"/>
      <c r="E43" s="50" t="n"/>
      <c r="F43" s="1" t="n"/>
      <c r="G43" s="51" t="n"/>
      <c r="H43" s="1">
        <f>IF(A43="","",IF(COUNTIF(Collection!$B$5:$B$500,A43)&gt;0,"Yes","No"))</f>
        <v/>
      </c>
      <c r="I43" s="4" t="inlineStr">
        <is>
          <t>Warm, funny modern drama with a classic feel.</t>
        </is>
      </c>
    </row>
    <row r="44" ht="15.75" customHeight="1" s="95">
      <c r="A44" s="1" t="inlineStr">
        <is>
          <t>1917</t>
        </is>
      </c>
      <c r="B44" s="1" t="inlineStr">
        <is>
          <t>Recommended</t>
        </is>
      </c>
      <c r="C44" s="1" t="n">
        <v>4</v>
      </c>
      <c r="D44" s="50" t="n"/>
      <c r="E44" s="50" t="n"/>
      <c r="F44" s="1" t="n"/>
      <c r="G44" s="51" t="n"/>
      <c r="H44" s="1">
        <f>IF(A44="","",IF(COUNTIF(Collection!$B$5:$B$500,A44)&gt;0,"Yes","No"))</f>
        <v/>
      </c>
      <c r="I44" s="4" t="inlineStr">
        <is>
          <t>Technically impressive war film that fits alongside Dunkirk, Hacksaw Ridge and Saving Private Ryan.</t>
        </is>
      </c>
    </row>
    <row r="45" ht="15.75" customHeight="1" s="95">
      <c r="A45" s="47" t="inlineStr">
        <is>
          <t>The Wolf of Wall Street</t>
        </is>
      </c>
      <c r="B45" s="47" t="inlineStr">
        <is>
          <t>Recommended</t>
        </is>
      </c>
      <c r="C45" s="47" t="n">
        <v>3</v>
      </c>
      <c r="D45" s="52" t="n"/>
      <c r="E45" s="52" t="n"/>
      <c r="F45" s="47" t="n"/>
      <c r="G45" s="53" t="n"/>
      <c r="H45" s="47">
        <f>IF(A46="","",IF(COUNTIF(Collection!$B$5:$B$500,A46)&gt;0,"Yes","No"))</f>
        <v/>
      </c>
      <c r="I45" s="54" t="inlineStr">
        <is>
          <t>If your existing copy turns out not to be in the catalogue, this is worth confirming rather than rebuying.</t>
        </is>
      </c>
    </row>
    <row r="46" ht="15.75" customHeight="1" s="95">
      <c r="H46" s="55">
        <f>IF(A47="","",IF(COUNTIF(Collection!$B$5:$B$500,A47)&gt;0,"Yes","No"))</f>
        <v/>
      </c>
    </row>
    <row r="47" ht="15.75" customHeight="1" s="95">
      <c r="H47" s="55">
        <f>IF(A48="","",IF(COUNTIF(Collection!$B$5:$B$500,A48)&gt;0,"Yes","No"))</f>
        <v/>
      </c>
    </row>
    <row r="48" ht="15.75" customHeight="1" s="95">
      <c r="H48" s="55">
        <f>IF(A49="","",IF(COUNTIF(Collection!$B$5:$B$500,A49)&gt;0,"Yes","No"))</f>
        <v/>
      </c>
    </row>
    <row r="49" ht="15.75" customHeight="1" s="95">
      <c r="H49" s="55">
        <f>IF(A50="","",IF(COUNTIF(Collection!$B$5:$B$500,A50)&gt;0,"Yes","No"))</f>
        <v/>
      </c>
    </row>
    <row r="50" ht="15.75" customHeight="1" s="95">
      <c r="H50" s="55">
        <f>IF(A51="","",IF(COUNTIF(Collection!$B$5:$B$500,A51)&gt;0,"Yes","No"))</f>
        <v/>
      </c>
    </row>
    <row r="51" ht="15.75" customHeight="1" s="95">
      <c r="H51" s="55">
        <f>IF(A52="","",IF(COUNTIF(Collection!$B$5:$B$500,A52)&gt;0,"Yes","No"))</f>
        <v/>
      </c>
    </row>
    <row r="52" ht="15.75" customHeight="1" s="95">
      <c r="H52" s="55">
        <f>IF(A53="","",IF(COUNTIF(Collection!$B$5:$B$500,A53)&gt;0,"Yes","No"))</f>
        <v/>
      </c>
    </row>
    <row r="53" ht="15.75" customHeight="1" s="95">
      <c r="H53" s="55">
        <f>IF(A54="","",IF(COUNTIF(Collection!$B$5:$B$500,A54)&gt;0,"Yes","No"))</f>
        <v/>
      </c>
    </row>
    <row r="54" ht="15.75" customHeight="1" s="95">
      <c r="H54" s="55">
        <f>IF(A55="","",IF(COUNTIF(Collection!$B$5:$B$500,A55)&gt;0,"Yes","No"))</f>
        <v/>
      </c>
    </row>
    <row r="55" ht="15.75" customHeight="1" s="95">
      <c r="H55" s="55">
        <f>IF(A56="","",IF(COUNTIF(Collection!$B$5:$B$500,A56)&gt;0,"Yes","No"))</f>
        <v/>
      </c>
    </row>
    <row r="56" ht="15.75" customHeight="1" s="95">
      <c r="H56" s="55">
        <f>IF(A57="","",IF(COUNTIF(Collection!$B$5:$B$500,A57)&gt;0,"Yes","No"))</f>
        <v/>
      </c>
    </row>
    <row r="57" ht="15.75" customHeight="1" s="95">
      <c r="H57" s="55">
        <f>IF(A58="","",IF(COUNTIF(Collection!$B$5:$B$500,A58)&gt;0,"Yes","No"))</f>
        <v/>
      </c>
    </row>
    <row r="58" ht="15.75" customHeight="1" s="95">
      <c r="H58" s="55">
        <f>IF(A59="","",IF(COUNTIF(Collection!$B$5:$B$500,A59)&gt;0,"Yes","No"))</f>
        <v/>
      </c>
    </row>
    <row r="59" ht="15.75" customHeight="1" s="95">
      <c r="H59" s="55">
        <f>IF(A60="","",IF(COUNTIF(Collection!$B$5:$B$500,A60)&gt;0,"Yes","No"))</f>
        <v/>
      </c>
    </row>
    <row r="60" ht="15.75" customHeight="1" s="95">
      <c r="H60" s="55">
        <f>IF(A61="","",IF(COUNTIF(Collection!$B$5:$B$500,A61)&gt;0,"Yes","No"))</f>
        <v/>
      </c>
    </row>
    <row r="61" ht="15.75" customHeight="1" s="95">
      <c r="H61" s="55">
        <f>IF(A62="","",IF(COUNTIF(Collection!$B$5:$B$500,A62)&gt;0,"Yes","No"))</f>
        <v/>
      </c>
    </row>
    <row r="62" ht="15.75" customHeight="1" s="95">
      <c r="H62" s="55">
        <f>IF(A63="","",IF(COUNTIF(Collection!$B$5:$B$500,A63)&gt;0,"Yes","No"))</f>
        <v/>
      </c>
    </row>
    <row r="63" ht="15.75" customHeight="1" s="95">
      <c r="H63" s="55">
        <f>IF(A64="","",IF(COUNTIF(Collection!$B$5:$B$500,A64)&gt;0,"Yes","No"))</f>
        <v/>
      </c>
    </row>
    <row r="64" ht="15.75" customHeight="1" s="95">
      <c r="H64" s="55">
        <f>IF(A65="","",IF(COUNTIF(Collection!$B$5:$B$500,A65)&gt;0,"Yes","No"))</f>
        <v/>
      </c>
    </row>
    <row r="65" ht="15.75" customHeight="1" s="95">
      <c r="H65" s="55">
        <f>IF(A66="","",IF(COUNTIF(Collection!$B$5:$B$500,A66)&gt;0,"Yes","No"))</f>
        <v/>
      </c>
    </row>
    <row r="66" ht="15.75" customHeight="1" s="95">
      <c r="H66" s="55">
        <f>IF(A67="","",IF(COUNTIF(Collection!$B$5:$B$500,A67)&gt;0,"Yes","No"))</f>
        <v/>
      </c>
    </row>
    <row r="67" ht="15.75" customHeight="1" s="95">
      <c r="H67" s="55">
        <f>IF(A68="","",IF(COUNTIF(Collection!$B$5:$B$500,A68)&gt;0,"Yes","No"))</f>
        <v/>
      </c>
    </row>
    <row r="68" ht="15.75" customHeight="1" s="95">
      <c r="H68" s="55">
        <f>IF(A69="","",IF(COUNTIF(Collection!$B$5:$B$500,A69)&gt;0,"Yes","No"))</f>
        <v/>
      </c>
    </row>
    <row r="69" ht="15.75" customHeight="1" s="95">
      <c r="H69" s="55">
        <f>IF(A70="","",IF(COUNTIF(Collection!$B$5:$B$500,A70)&gt;0,"Yes","No"))</f>
        <v/>
      </c>
    </row>
    <row r="70" ht="15.75" customHeight="1" s="95">
      <c r="H70" s="55">
        <f>IF(A71="","",IF(COUNTIF(Collection!$B$5:$B$500,A71)&gt;0,"Yes","No"))</f>
        <v/>
      </c>
    </row>
    <row r="71" ht="15.75" customHeight="1" s="95">
      <c r="H71" s="55">
        <f>IF(A72="","",IF(COUNTIF(Collection!$B$5:$B$500,A72)&gt;0,"Yes","No"))</f>
        <v/>
      </c>
    </row>
    <row r="72" ht="15.75" customHeight="1" s="95">
      <c r="H72" s="55">
        <f>IF(A73="","",IF(COUNTIF(Collection!$B$5:$B$500,A73)&gt;0,"Yes","No"))</f>
        <v/>
      </c>
    </row>
    <row r="73" ht="15.75" customHeight="1" s="95">
      <c r="H73" s="55">
        <f>IF(A74="","",IF(COUNTIF(Collection!$B$5:$B$500,A74)&gt;0,"Yes","No"))</f>
        <v/>
      </c>
    </row>
    <row r="74" ht="15.75" customHeight="1" s="95">
      <c r="H74" s="55">
        <f>IF(A75="","",IF(COUNTIF(Collection!$B$5:$B$500,A75)&gt;0,"Yes","No"))</f>
        <v/>
      </c>
    </row>
    <row r="75" ht="15.75" customHeight="1" s="95">
      <c r="H75" s="55">
        <f>IF(A76="","",IF(COUNTIF(Collection!$B$5:$B$500,A76)&gt;0,"Yes","No"))</f>
        <v/>
      </c>
    </row>
    <row r="76" ht="15.75" customHeight="1" s="95">
      <c r="H76" s="55">
        <f>IF(A77="","",IF(COUNTIF(Collection!$B$5:$B$500,A77)&gt;0,"Yes","No"))</f>
        <v/>
      </c>
    </row>
    <row r="77" ht="15.75" customHeight="1" s="95">
      <c r="H77" s="55">
        <f>IF(A78="","",IF(COUNTIF(Collection!$B$5:$B$500,A78)&gt;0,"Yes","No"))</f>
        <v/>
      </c>
    </row>
    <row r="78" ht="15.75" customHeight="1" s="95">
      <c r="H78" s="55">
        <f>IF(A79="","",IF(COUNTIF(Collection!$B$5:$B$500,A79)&gt;0,"Yes","No"))</f>
        <v/>
      </c>
    </row>
    <row r="79" ht="15.75" customHeight="1" s="95">
      <c r="H79" s="55">
        <f>IF(A80="","",IF(COUNTIF(Collection!$B$5:$B$500,A80)&gt;0,"Yes","No"))</f>
        <v/>
      </c>
    </row>
    <row r="80" ht="15.75" customHeight="1" s="95">
      <c r="H80" s="55">
        <f>IF(A81="","",IF(COUNTIF(Collection!$B$5:$B$500,A81)&gt;0,"Yes","No"))</f>
        <v/>
      </c>
    </row>
    <row r="81" ht="15.75" customHeight="1" s="95">
      <c r="H81" s="55">
        <f>IF(A82="","",IF(COUNTIF(Collection!$B$5:$B$500,A82)&gt;0,"Yes","No"))</f>
        <v/>
      </c>
    </row>
    <row r="82" ht="15.75" customHeight="1" s="95">
      <c r="H82" s="55">
        <f>IF(A83="","",IF(COUNTIF(Collection!$B$5:$B$500,A83)&gt;0,"Yes","No"))</f>
        <v/>
      </c>
    </row>
    <row r="83" ht="15.75" customHeight="1" s="95">
      <c r="H83" s="55">
        <f>IF(A84="","",IF(COUNTIF(Collection!$B$5:$B$500,A84)&gt;0,"Yes","No"))</f>
        <v/>
      </c>
    </row>
    <row r="84" ht="15.75" customHeight="1" s="95">
      <c r="H84" s="55">
        <f>IF(A85="","",IF(COUNTIF(Collection!$B$5:$B$500,A85)&gt;0,"Yes","No"))</f>
        <v/>
      </c>
    </row>
    <row r="85" ht="15.75" customHeight="1" s="95">
      <c r="H85" s="55">
        <f>IF(A86="","",IF(COUNTIF(Collection!$B$5:$B$500,A86)&gt;0,"Yes","No"))</f>
        <v/>
      </c>
    </row>
    <row r="86" ht="15.75" customHeight="1" s="95">
      <c r="H86" s="55">
        <f>IF(A87="","",IF(COUNTIF(Collection!$B$5:$B$500,A87)&gt;0,"Yes","No"))</f>
        <v/>
      </c>
    </row>
    <row r="87" ht="15.75" customHeight="1" s="95">
      <c r="H87" s="55">
        <f>IF(A88="","",IF(COUNTIF(Collection!$B$5:$B$500,A88)&gt;0,"Yes","No"))</f>
        <v/>
      </c>
    </row>
    <row r="88" ht="15.75" customHeight="1" s="95">
      <c r="H88" s="55">
        <f>IF(A89="","",IF(COUNTIF(Collection!$B$5:$B$500,A89)&gt;0,"Yes","No"))</f>
        <v/>
      </c>
    </row>
    <row r="89" ht="15.75" customHeight="1" s="95">
      <c r="H89" s="55">
        <f>IF(A90="","",IF(COUNTIF(Collection!$B$5:$B$500,A90)&gt;0,"Yes","No"))</f>
        <v/>
      </c>
    </row>
    <row r="90" ht="15.75" customHeight="1" s="95">
      <c r="H90" s="55">
        <f>IF(A91="","",IF(COUNTIF(Collection!$B$5:$B$500,A91)&gt;0,"Yes","No"))</f>
        <v/>
      </c>
    </row>
    <row r="91" ht="15.75" customHeight="1" s="95">
      <c r="H91" s="55">
        <f>IF(A92="","",IF(COUNTIF(Collection!$B$5:$B$500,A92)&gt;0,"Yes","No"))</f>
        <v/>
      </c>
    </row>
    <row r="92" ht="15.75" customHeight="1" s="95">
      <c r="H92" s="55">
        <f>IF(A93="","",IF(COUNTIF(Collection!$B$5:$B$500,A93)&gt;0,"Yes","No"))</f>
        <v/>
      </c>
    </row>
    <row r="93" ht="15.75" customHeight="1" s="95">
      <c r="H93" s="55">
        <f>IF(A94="","",IF(COUNTIF(Collection!$B$5:$B$500,A94)&gt;0,"Yes","No"))</f>
        <v/>
      </c>
    </row>
    <row r="94" ht="15.75" customHeight="1" s="95">
      <c r="H94" s="55">
        <f>IF(A95="","",IF(COUNTIF(Collection!$B$5:$B$500,A95)&gt;0,"Yes","No"))</f>
        <v/>
      </c>
    </row>
    <row r="95" ht="15.75" customHeight="1" s="95">
      <c r="H95" s="55">
        <f>IF(A96="","",IF(COUNTIF(Collection!$B$5:$B$500,A96)&gt;0,"Yes","No"))</f>
        <v/>
      </c>
    </row>
    <row r="96" ht="15.75" customHeight="1" s="95">
      <c r="H96" s="55">
        <f>IF(A97="","",IF(COUNTIF(Collection!$B$5:$B$500,A97)&gt;0,"Yes","No"))</f>
        <v/>
      </c>
    </row>
    <row r="97" ht="15.75" customHeight="1" s="95">
      <c r="H97" s="55" t="n"/>
    </row>
    <row r="98" ht="15.75" customHeight="1" s="95">
      <c r="H98" s="55" t="n"/>
    </row>
    <row r="99" ht="15.75" customHeight="1" s="95">
      <c r="H99" s="55" t="n"/>
    </row>
    <row r="100" ht="15.75" customHeight="1" s="95">
      <c r="A100" t="inlineStr">
        <is>
          <t>Pulp Fiction</t>
        </is>
      </c>
      <c r="C100" t="n">
        <v>2</v>
      </c>
      <c r="D100" t="n">
        <v>8</v>
      </c>
      <c r="H100" t="inlineStr">
        <is>
          <t>No</t>
        </is>
      </c>
    </row>
    <row r="101" ht="15.75" customHeight="1" s="95">
      <c r="A101" t="inlineStr">
        <is>
          <t>Jumanji</t>
        </is>
      </c>
      <c r="C101" t="n">
        <v>3</v>
      </c>
      <c r="H101" t="inlineStr">
        <is>
          <t>No</t>
        </is>
      </c>
    </row>
    <row r="102" ht="15.75" customHeight="1" s="95">
      <c r="A102" t="inlineStr">
        <is>
          <t>Pirates of the Caribbean: Dead Men Tell No Tales</t>
        </is>
      </c>
      <c r="C102" t="n">
        <v>3</v>
      </c>
      <c r="H102" t="inlineStr">
        <is>
          <t>No</t>
        </is>
      </c>
    </row>
    <row r="103" ht="15.75" customHeight="1" s="95">
      <c r="A103" t="inlineStr">
        <is>
          <t>Pirates of the Caribbean: Dead Man's Chest</t>
        </is>
      </c>
      <c r="C103" t="n">
        <v>3</v>
      </c>
      <c r="H103" t="inlineStr">
        <is>
          <t>No</t>
        </is>
      </c>
    </row>
    <row r="104" ht="15.75" customHeight="1" s="95">
      <c r="A104" t="inlineStr">
        <is>
          <t>Napoleon Dynamite</t>
        </is>
      </c>
      <c r="C104" t="n">
        <v>3</v>
      </c>
      <c r="H104" t="inlineStr">
        <is>
          <t>No</t>
        </is>
      </c>
    </row>
    <row r="105" ht="15.75" customHeight="1" s="95"/>
    <row r="106" ht="15.75" customHeight="1" s="95"/>
    <row r="107" ht="15.75" customHeight="1" s="95"/>
    <row r="108" ht="15.75" customHeight="1" s="95"/>
    <row r="109" ht="15.75" customHeight="1" s="95"/>
    <row r="110" ht="15.75" customHeight="1" s="95"/>
    <row r="111" ht="15.75" customHeight="1" s="95"/>
    <row r="112" ht="15.75" customHeight="1" s="95"/>
    <row r="113" ht="15.75" customHeight="1" s="95"/>
    <row r="114" ht="15.75" customHeight="1" s="95"/>
    <row r="115" ht="15.75" customHeight="1" s="95"/>
    <row r="116" ht="15.75" customHeight="1" s="95"/>
    <row r="117" ht="15.75" customHeight="1" s="95"/>
    <row r="118" ht="15.75" customHeight="1" s="95"/>
    <row r="119" ht="15.75" customHeight="1" s="95"/>
    <row r="120" ht="15.75" customHeight="1" s="95"/>
    <row r="121" ht="15.75" customHeight="1" s="95"/>
    <row r="122" ht="15.75" customHeight="1" s="95"/>
    <row r="123" ht="15.75" customHeight="1" s="95"/>
    <row r="124" ht="15.75" customHeight="1" s="95"/>
    <row r="125" ht="15.75" customHeight="1" s="95"/>
    <row r="126" ht="15.75" customHeight="1" s="95"/>
    <row r="127" ht="15.75" customHeight="1" s="95"/>
    <row r="128" ht="15.75" customHeight="1" s="95"/>
    <row r="129" ht="15.75" customHeight="1" s="95"/>
    <row r="130" ht="15.75" customHeight="1" s="95"/>
    <row r="131" ht="15.75" customHeight="1" s="95"/>
    <row r="132" ht="15.75" customHeight="1" s="95"/>
    <row r="133" ht="15.75" customHeight="1" s="95"/>
    <row r="134" ht="15.75" customHeight="1" s="95"/>
    <row r="135" ht="15.75" customHeight="1" s="95"/>
    <row r="136" ht="15.75" customHeight="1" s="95"/>
    <row r="137" ht="15.75" customHeight="1" s="95"/>
    <row r="138" ht="15.75" customHeight="1" s="95"/>
    <row r="139" ht="15.75" customHeight="1" s="95"/>
    <row r="140" ht="15.75" customHeight="1" s="95"/>
    <row r="141" ht="15.75" customHeight="1" s="95"/>
    <row r="142" ht="15.75" customHeight="1" s="95"/>
    <row r="143" ht="15.75" customHeight="1" s="95"/>
    <row r="144" ht="15.75" customHeight="1" s="95"/>
    <row r="145" ht="15.75" customHeight="1" s="95"/>
    <row r="146" ht="15.75" customHeight="1" s="95"/>
    <row r="147" ht="15.75" customHeight="1" s="95"/>
    <row r="148" ht="15.75" customHeight="1" s="95"/>
    <row r="149" ht="15.75" customHeight="1" s="95"/>
    <row r="150" ht="15.75" customHeight="1" s="95"/>
    <row r="151" ht="15.75" customHeight="1" s="95"/>
    <row r="152" ht="15.75" customHeight="1" s="95"/>
    <row r="153" ht="15.75" customHeight="1" s="95"/>
    <row r="154" ht="15.75" customHeight="1" s="95"/>
    <row r="155" ht="15.75" customHeight="1" s="95"/>
    <row r="156" ht="15.75" customHeight="1" s="95"/>
    <row r="157" ht="15.75" customHeight="1" s="95"/>
    <row r="158" ht="15.75" customHeight="1" s="95"/>
    <row r="159" ht="15.75" customHeight="1" s="95"/>
    <row r="160" ht="15.75" customHeight="1" s="95"/>
    <row r="161" ht="15.75" customHeight="1" s="95"/>
    <row r="162" ht="15.75" customHeight="1" s="95"/>
    <row r="163" ht="15.75" customHeight="1" s="95"/>
    <row r="164" ht="15.75" customHeight="1" s="95"/>
    <row r="165" ht="15.75" customHeight="1" s="95"/>
    <row r="166" ht="15.75" customHeight="1" s="95"/>
    <row r="167" ht="15.75" customHeight="1" s="95"/>
    <row r="168" ht="15.75" customHeight="1" s="95"/>
    <row r="169" ht="15.75" customHeight="1" s="95"/>
    <row r="170" ht="15.75" customHeight="1" s="95"/>
    <row r="171" ht="15.75" customHeight="1" s="95"/>
    <row r="172" ht="15.75" customHeight="1" s="95"/>
    <row r="173" ht="15.75" customHeight="1" s="95"/>
    <row r="174" ht="15.75" customHeight="1" s="95"/>
    <row r="175" ht="15.75" customHeight="1" s="95"/>
    <row r="176" ht="15.75" customHeight="1" s="95"/>
    <row r="177" ht="15.75" customHeight="1" s="95"/>
    <row r="178" ht="15.75" customHeight="1" s="95"/>
    <row r="179" ht="15.75" customHeight="1" s="95"/>
    <row r="180" ht="15.75" customHeight="1" s="95"/>
    <row r="181" ht="15.75" customHeight="1" s="95"/>
    <row r="182" ht="15.75" customHeight="1" s="95"/>
    <row r="183" ht="15.75" customHeight="1" s="95"/>
    <row r="184" ht="15.75" customHeight="1" s="95"/>
    <row r="185" ht="15.75" customHeight="1" s="95"/>
    <row r="186" ht="15.75" customHeight="1" s="95"/>
    <row r="187" ht="15.75" customHeight="1" s="95"/>
    <row r="188" ht="15.75" customHeight="1" s="95"/>
    <row r="189" ht="15.75" customHeight="1" s="95"/>
    <row r="190" ht="15.75" customHeight="1" s="95"/>
    <row r="191" ht="15.75" customHeight="1" s="95"/>
    <row r="192" ht="15.75" customHeight="1" s="95"/>
    <row r="193" ht="15.75" customHeight="1" s="95"/>
    <row r="194" ht="15.75" customHeight="1" s="95"/>
    <row r="195" ht="15.75" customHeight="1" s="95"/>
    <row r="196" ht="15.75" customHeight="1" s="95"/>
    <row r="197" ht="15.75" customHeight="1" s="95"/>
    <row r="198" ht="15.75" customHeight="1" s="95"/>
    <row r="199" ht="15.75" customHeight="1" s="95"/>
    <row r="200" ht="15.75" customHeight="1" s="95"/>
    <row r="201" ht="15.75" customHeight="1" s="95"/>
    <row r="202" ht="15.75" customHeight="1" s="95"/>
    <row r="203" ht="15.75" customHeight="1" s="95"/>
    <row r="204" ht="15.75" customHeight="1" s="95"/>
    <row r="205" ht="15.75" customHeight="1" s="95"/>
    <row r="206" ht="15.75" customHeight="1" s="95"/>
    <row r="207" ht="15.75" customHeight="1" s="95"/>
    <row r="208" ht="15.75" customHeight="1" s="95"/>
    <row r="209" ht="15.75" customHeight="1" s="95"/>
    <row r="210" ht="15.75" customHeight="1" s="95"/>
    <row r="211" ht="15.75" customHeight="1" s="95"/>
    <row r="212" ht="15.75" customHeight="1" s="95"/>
    <row r="213" ht="15.75" customHeight="1" s="95"/>
    <row r="214" ht="15.75" customHeight="1" s="95"/>
    <row r="215" ht="15.75" customHeight="1" s="95"/>
    <row r="216" ht="15.75" customHeight="1" s="95"/>
    <row r="217" ht="15.75" customHeight="1" s="95"/>
    <row r="218" ht="15.75" customHeight="1" s="95"/>
    <row r="219" ht="15.75" customHeight="1" s="95"/>
    <row r="220" ht="15.75" customHeight="1" s="95"/>
    <row r="221" ht="15.75" customHeight="1" s="95"/>
    <row r="222" ht="15.75" customHeight="1" s="95"/>
    <row r="223" ht="15.75" customHeight="1" s="95"/>
    <row r="224" ht="15.75" customHeight="1" s="95"/>
    <row r="225" ht="15.75" customHeight="1" s="95"/>
    <row r="226" ht="15.75" customHeight="1" s="95"/>
    <row r="227" ht="15.75" customHeight="1" s="95"/>
    <row r="228" ht="15.75" customHeight="1" s="95"/>
    <row r="229" ht="15.75" customHeight="1" s="95"/>
    <row r="230" ht="15.75" customHeight="1" s="95"/>
    <row r="231" ht="15.75" customHeight="1" s="95"/>
    <row r="232" ht="15.75" customHeight="1" s="95"/>
    <row r="233" ht="15.75" customHeight="1" s="95"/>
    <row r="234" ht="15.75" customHeight="1" s="95"/>
    <row r="235" ht="15.75" customHeight="1" s="95"/>
    <row r="236" ht="15.75" customHeight="1" s="95"/>
    <row r="237" ht="15.75" customHeight="1" s="95"/>
    <row r="238" ht="15.75" customHeight="1" s="95"/>
    <row r="239" ht="15.75" customHeight="1" s="95"/>
    <row r="240" ht="15.75" customHeight="1" s="95"/>
    <row r="241" ht="15.75" customHeight="1" s="95"/>
    <row r="242" ht="15.75" customHeight="1" s="95"/>
    <row r="243" ht="15.75" customHeight="1" s="95"/>
    <row r="244" ht="15.75" customHeight="1" s="95"/>
    <row r="245" ht="15.75" customHeight="1" s="95"/>
    <row r="246" ht="15.75" customHeight="1" s="95"/>
    <row r="247" ht="15.75" customHeight="1" s="95"/>
    <row r="248" ht="15.75" customHeight="1" s="95"/>
    <row r="249" ht="15.75" customHeight="1" s="95"/>
    <row r="250" ht="15.75" customHeight="1" s="95"/>
    <row r="251" ht="15.75" customHeight="1" s="95"/>
    <row r="252" ht="15.75" customHeight="1" s="95"/>
    <row r="253" ht="15.75" customHeight="1" s="95"/>
    <row r="254" ht="15.75" customHeight="1" s="95"/>
    <row r="255" ht="15.75" customHeight="1" s="95"/>
    <row r="256" ht="15.75" customHeight="1" s="95"/>
    <row r="257" ht="15.75" customHeight="1" s="95"/>
    <row r="258" ht="15.75" customHeight="1" s="95"/>
    <row r="259" ht="15.75" customHeight="1" s="95"/>
    <row r="260" ht="15.75" customHeight="1" s="95"/>
    <row r="261" ht="15.75" customHeight="1" s="95"/>
    <row r="262" ht="15.75" customHeight="1" s="95"/>
    <row r="263" ht="15.75" customHeight="1" s="95"/>
    <row r="264" ht="15.75" customHeight="1" s="95"/>
    <row r="265" ht="15.75" customHeight="1" s="95"/>
    <row r="266" ht="15.75" customHeight="1" s="95"/>
    <row r="267" ht="15.75" customHeight="1" s="95"/>
    <row r="268" ht="15.75" customHeight="1" s="95"/>
    <row r="269" ht="15.75" customHeight="1" s="95"/>
    <row r="270" ht="15.75" customHeight="1" s="95"/>
    <row r="271" ht="15.75" customHeight="1" s="95"/>
    <row r="272" ht="15.75" customHeight="1" s="95"/>
    <row r="273" ht="15.75" customHeight="1" s="95"/>
    <row r="274" ht="15.75" customHeight="1" s="95"/>
    <row r="275" ht="15.75" customHeight="1" s="95"/>
    <row r="276" ht="15.75" customHeight="1" s="95"/>
    <row r="277" ht="15.75" customHeight="1" s="95"/>
    <row r="278" ht="15.75" customHeight="1" s="95"/>
    <row r="279" ht="15.75" customHeight="1" s="95"/>
    <row r="280" ht="15.75" customHeight="1" s="95"/>
    <row r="281" ht="15.75" customHeight="1" s="95"/>
    <row r="282" ht="15.75" customHeight="1" s="95"/>
    <row r="283" ht="15.75" customHeight="1" s="95"/>
    <row r="284" ht="15.75" customHeight="1" s="95"/>
    <row r="285" ht="15.75" customHeight="1" s="95"/>
    <row r="286" ht="15.75" customHeight="1" s="95"/>
    <row r="287" ht="15.75" customHeight="1" s="95"/>
    <row r="288" ht="15.75" customHeight="1" s="95"/>
    <row r="289" ht="15.75" customHeight="1" s="95"/>
    <row r="290" ht="15.75" customHeight="1" s="95"/>
    <row r="291" ht="15.75" customHeight="1" s="95"/>
    <row r="292" ht="15.75" customHeight="1" s="95"/>
    <row r="293" ht="15.75" customHeight="1" s="95"/>
    <row r="294" ht="15.75" customHeight="1" s="95"/>
    <row r="295" ht="15.75" customHeight="1" s="95"/>
    <row r="296" ht="15.75" customHeight="1" s="95"/>
    <row r="297" ht="15.75" customHeight="1" s="95"/>
    <row r="298" ht="15.75" customHeight="1" s="95"/>
    <row r="299" ht="15.75" customHeight="1" s="95"/>
    <row r="300" ht="15.75" customHeight="1" s="95"/>
    <row r="301" ht="15.75" customHeight="1" s="95"/>
    <row r="302" ht="15.75" customHeight="1" s="95"/>
    <row r="303" ht="15.75" customHeight="1" s="95"/>
    <row r="304" ht="15.75" customHeight="1" s="95"/>
    <row r="305" ht="15.75" customHeight="1" s="95"/>
    <row r="306" ht="15.75" customHeight="1" s="95"/>
    <row r="307" ht="15.75" customHeight="1" s="95"/>
    <row r="308" ht="15.75" customHeight="1" s="95"/>
    <row r="309" ht="15.75" customHeight="1" s="95"/>
    <row r="310" ht="15.75" customHeight="1" s="95"/>
    <row r="311" ht="15.75" customHeight="1" s="95"/>
    <row r="312" ht="15.75" customHeight="1" s="95"/>
    <row r="313" ht="15.75" customHeight="1" s="95"/>
    <row r="314" ht="15.75" customHeight="1" s="95"/>
    <row r="315" ht="15.75" customHeight="1" s="95"/>
    <row r="316" ht="15.75" customHeight="1" s="95"/>
    <row r="317" ht="15.75" customHeight="1" s="95"/>
    <row r="318" ht="15.75" customHeight="1" s="95"/>
    <row r="319" ht="15.75" customHeight="1" s="95"/>
    <row r="320" ht="15.75" customHeight="1" s="95"/>
    <row r="321" ht="15.75" customHeight="1" s="95"/>
    <row r="322" ht="15.75" customHeight="1" s="95"/>
    <row r="323" ht="15.75" customHeight="1" s="95"/>
    <row r="324" ht="15.75" customHeight="1" s="95"/>
    <row r="325" ht="15.75" customHeight="1" s="95"/>
    <row r="326" ht="15.75" customHeight="1" s="95"/>
    <row r="327" ht="15.75" customHeight="1" s="95"/>
    <row r="328" ht="15.75" customHeight="1" s="95"/>
    <row r="329" ht="15.75" customHeight="1" s="95"/>
    <row r="330" ht="15.75" customHeight="1" s="95"/>
    <row r="331" ht="15.75" customHeight="1" s="95"/>
    <row r="332" ht="15.75" customHeight="1" s="95"/>
    <row r="333" ht="15.75" customHeight="1" s="95"/>
    <row r="334" ht="15.75" customHeight="1" s="95"/>
    <row r="335" ht="15.75" customHeight="1" s="95"/>
    <row r="336" ht="15.75" customHeight="1" s="95"/>
    <row r="337" ht="15.75" customHeight="1" s="95"/>
    <row r="338" ht="15.75" customHeight="1" s="95"/>
    <row r="339" ht="15.75" customHeight="1" s="95"/>
    <row r="340" ht="15.75" customHeight="1" s="95"/>
    <row r="341" ht="15.75" customHeight="1" s="95"/>
    <row r="342" ht="15.75" customHeight="1" s="95"/>
    <row r="343" ht="15.75" customHeight="1" s="95"/>
    <row r="344" ht="15.75" customHeight="1" s="95"/>
    <row r="345" ht="15.75" customHeight="1" s="95"/>
    <row r="346" ht="15.75" customHeight="1" s="95"/>
    <row r="347" ht="15.75" customHeight="1" s="95"/>
    <row r="348" ht="15.75" customHeight="1" s="95"/>
    <row r="349" ht="15.75" customHeight="1" s="95"/>
    <row r="350" ht="15.75" customHeight="1" s="95"/>
    <row r="351" ht="15.75" customHeight="1" s="95"/>
    <row r="352" ht="15.75" customHeight="1" s="95"/>
    <row r="353" ht="15.75" customHeight="1" s="95"/>
    <row r="354" ht="15.75" customHeight="1" s="95"/>
    <row r="355" ht="15.75" customHeight="1" s="95"/>
    <row r="356" ht="15.75" customHeight="1" s="95"/>
    <row r="357" ht="15.75" customHeight="1" s="95"/>
    <row r="358" ht="15.75" customHeight="1" s="95"/>
    <row r="359" ht="15.75" customHeight="1" s="95"/>
    <row r="360" ht="15.75" customHeight="1" s="95"/>
    <row r="361" ht="15.75" customHeight="1" s="95"/>
    <row r="362" ht="15.75" customHeight="1" s="95"/>
    <row r="363" ht="15.75" customHeight="1" s="95"/>
    <row r="364" ht="15.75" customHeight="1" s="95"/>
    <row r="365" ht="15.75" customHeight="1" s="95"/>
    <row r="366" ht="15.75" customHeight="1" s="95"/>
    <row r="367" ht="15.75" customHeight="1" s="95"/>
    <row r="368" ht="15.75" customHeight="1" s="95"/>
    <row r="369" ht="15.75" customHeight="1" s="95"/>
    <row r="370" ht="15.75" customHeight="1" s="95"/>
    <row r="371" ht="15.75" customHeight="1" s="95"/>
    <row r="372" ht="15.75" customHeight="1" s="95"/>
    <row r="373" ht="15.75" customHeight="1" s="95"/>
    <row r="374" ht="15.75" customHeight="1" s="95"/>
    <row r="375" ht="15.75" customHeight="1" s="95"/>
    <row r="376" ht="15.75" customHeight="1" s="95"/>
    <row r="377" ht="15.75" customHeight="1" s="95"/>
    <row r="378" ht="15.75" customHeight="1" s="95"/>
    <row r="379" ht="15.75" customHeight="1" s="95"/>
    <row r="380" ht="15.75" customHeight="1" s="95"/>
    <row r="381" ht="15.75" customHeight="1" s="95"/>
    <row r="382" ht="15.75" customHeight="1" s="95"/>
    <row r="383" ht="15.75" customHeight="1" s="95"/>
    <row r="384" ht="15.75" customHeight="1" s="95"/>
    <row r="385" ht="15.75" customHeight="1" s="95"/>
    <row r="386" ht="15.75" customHeight="1" s="95"/>
    <row r="387" ht="15.75" customHeight="1" s="95"/>
    <row r="388" ht="15.75" customHeight="1" s="95"/>
    <row r="389" ht="15.75" customHeight="1" s="95"/>
    <row r="390" ht="15.75" customHeight="1" s="95"/>
    <row r="391" ht="15.75" customHeight="1" s="95"/>
    <row r="392" ht="15.75" customHeight="1" s="95"/>
    <row r="393" ht="15.75" customHeight="1" s="95"/>
    <row r="394" ht="15.75" customHeight="1" s="95"/>
    <row r="395" ht="15.75" customHeight="1" s="95"/>
    <row r="396" ht="15.75" customHeight="1" s="95"/>
    <row r="397" ht="15.75" customHeight="1" s="95"/>
    <row r="398" ht="15.75" customHeight="1" s="95"/>
    <row r="399" ht="15.75" customHeight="1" s="95"/>
    <row r="400" ht="15.75" customHeight="1" s="95"/>
    <row r="401" ht="15.75" customHeight="1" s="95"/>
    <row r="402" ht="15.75" customHeight="1" s="95"/>
    <row r="403" ht="15.75" customHeight="1" s="95"/>
    <row r="404" ht="15.75" customHeight="1" s="95"/>
    <row r="405" ht="15.75" customHeight="1" s="95"/>
    <row r="406" ht="15.75" customHeight="1" s="95"/>
    <row r="407" ht="15.75" customHeight="1" s="95"/>
    <row r="408" ht="15.75" customHeight="1" s="95"/>
    <row r="409" ht="15.75" customHeight="1" s="95"/>
    <row r="410" ht="15.75" customHeight="1" s="95"/>
    <row r="411" ht="15.75" customHeight="1" s="95"/>
    <row r="412" ht="15.75" customHeight="1" s="95"/>
    <row r="413" ht="15.75" customHeight="1" s="95"/>
    <row r="414" ht="15.75" customHeight="1" s="95"/>
    <row r="415" ht="15.75" customHeight="1" s="95"/>
    <row r="416" ht="15.75" customHeight="1" s="95"/>
    <row r="417" ht="15.75" customHeight="1" s="95"/>
    <row r="418" ht="15.75" customHeight="1" s="95"/>
    <row r="419" ht="15.75" customHeight="1" s="95"/>
    <row r="420" ht="15.75" customHeight="1" s="95"/>
    <row r="421" ht="15.75" customHeight="1" s="95"/>
    <row r="422" ht="15.75" customHeight="1" s="95"/>
    <row r="423" ht="15.75" customHeight="1" s="95"/>
    <row r="424" ht="15.75" customHeight="1" s="95"/>
    <row r="425" ht="15.75" customHeight="1" s="95"/>
    <row r="426" ht="15.75" customHeight="1" s="95"/>
    <row r="427" ht="15.75" customHeight="1" s="95"/>
    <row r="428" ht="15.75" customHeight="1" s="95"/>
    <row r="429" ht="15.75" customHeight="1" s="95"/>
    <row r="430" ht="15.75" customHeight="1" s="95"/>
    <row r="431" ht="15.75" customHeight="1" s="95"/>
    <row r="432" ht="15.75" customHeight="1" s="95"/>
    <row r="433" ht="15.75" customHeight="1" s="95"/>
    <row r="434" ht="15.75" customHeight="1" s="95"/>
    <row r="435" ht="15.75" customHeight="1" s="95"/>
    <row r="436" ht="15.75" customHeight="1" s="95"/>
    <row r="437" ht="15.75" customHeight="1" s="95"/>
    <row r="438" ht="15.75" customHeight="1" s="95"/>
    <row r="439" ht="15.75" customHeight="1" s="95"/>
    <row r="440" ht="15.75" customHeight="1" s="95"/>
    <row r="441" ht="15.75" customHeight="1" s="95"/>
    <row r="442" ht="15.75" customHeight="1" s="95"/>
    <row r="443" ht="15.75" customHeight="1" s="95"/>
    <row r="444" ht="15.75" customHeight="1" s="95"/>
    <row r="445" ht="15.75" customHeight="1" s="95"/>
    <row r="446" ht="15.75" customHeight="1" s="95"/>
    <row r="447" ht="15.75" customHeight="1" s="95"/>
    <row r="448" ht="15.75" customHeight="1" s="95"/>
    <row r="449" ht="15.75" customHeight="1" s="95"/>
    <row r="450" ht="15.75" customHeight="1" s="95"/>
    <row r="451" ht="15.75" customHeight="1" s="95"/>
    <row r="452" ht="15.75" customHeight="1" s="95"/>
    <row r="453" ht="15.75" customHeight="1" s="95"/>
    <row r="454" ht="15.75" customHeight="1" s="95"/>
    <row r="455" ht="15.75" customHeight="1" s="95"/>
    <row r="456" ht="15.75" customHeight="1" s="95"/>
    <row r="457" ht="15.75" customHeight="1" s="95"/>
    <row r="458" ht="15.75" customHeight="1" s="95"/>
    <row r="459" ht="15.75" customHeight="1" s="95"/>
    <row r="460" ht="15.75" customHeight="1" s="95"/>
    <row r="461" ht="15.75" customHeight="1" s="95"/>
    <row r="462" ht="15.75" customHeight="1" s="95"/>
    <row r="463" ht="15.75" customHeight="1" s="95"/>
    <row r="464" ht="15.75" customHeight="1" s="95"/>
    <row r="465" ht="15.75" customHeight="1" s="95"/>
    <row r="466" ht="15.75" customHeight="1" s="95"/>
    <row r="467" ht="15.75" customHeight="1" s="95"/>
    <row r="468" ht="15.75" customHeight="1" s="95"/>
    <row r="469" ht="15.75" customHeight="1" s="95"/>
    <row r="470" ht="15.75" customHeight="1" s="95"/>
    <row r="471" ht="15.75" customHeight="1" s="95"/>
    <row r="472" ht="15.75" customHeight="1" s="95"/>
    <row r="473" ht="15.75" customHeight="1" s="95"/>
    <row r="474" ht="15.75" customHeight="1" s="95"/>
    <row r="475" ht="15.75" customHeight="1" s="95"/>
    <row r="476" ht="15.75" customHeight="1" s="95"/>
    <row r="477" ht="15.75" customHeight="1" s="95"/>
    <row r="478" ht="15.75" customHeight="1" s="95"/>
    <row r="479" ht="15.75" customHeight="1" s="95"/>
    <row r="480" ht="15.75" customHeight="1" s="95"/>
    <row r="481" ht="15.75" customHeight="1" s="95"/>
    <row r="482" ht="15.75" customHeight="1" s="95"/>
    <row r="483" ht="15.75" customHeight="1" s="95"/>
    <row r="484" ht="15.75" customHeight="1" s="95"/>
    <row r="485" ht="15.75" customHeight="1" s="95"/>
    <row r="486" ht="15.75" customHeight="1" s="95"/>
    <row r="487" ht="15.75" customHeight="1" s="95"/>
    <row r="488" ht="15.75" customHeight="1" s="95"/>
    <row r="489" ht="15.75" customHeight="1" s="95"/>
    <row r="490" ht="15.75" customHeight="1" s="95"/>
    <row r="491" ht="15.75" customHeight="1" s="95"/>
    <row r="492" ht="15.75" customHeight="1" s="95"/>
    <row r="493" ht="15.75" customHeight="1" s="95"/>
    <row r="494" ht="15.75" customHeight="1" s="95"/>
    <row r="495" ht="15.75" customHeight="1" s="95"/>
    <row r="496" ht="15.75" customHeight="1" s="95"/>
    <row r="497" ht="15.75" customHeight="1" s="95"/>
    <row r="498" ht="15.75" customHeight="1" s="95"/>
    <row r="499" ht="15.75" customHeight="1" s="95"/>
    <row r="500" ht="15.75" customHeight="1" s="95"/>
    <row r="501" ht="15.75" customHeight="1" s="95"/>
    <row r="502" ht="15.75" customHeight="1" s="95"/>
    <row r="503" ht="15.75" customHeight="1" s="95"/>
    <row r="504" ht="15.75" customHeight="1" s="95"/>
    <row r="505" ht="15.75" customHeight="1" s="95"/>
    <row r="506" ht="15.75" customHeight="1" s="95"/>
    <row r="507" ht="15.75" customHeight="1" s="95"/>
    <row r="508" ht="15.75" customHeight="1" s="95"/>
    <row r="509" ht="15.75" customHeight="1" s="95"/>
    <row r="510" ht="15.75" customHeight="1" s="95"/>
    <row r="511" ht="15.75" customHeight="1" s="95"/>
    <row r="512" ht="15.75" customHeight="1" s="95"/>
    <row r="513" ht="15.75" customHeight="1" s="95"/>
    <row r="514" ht="15.75" customHeight="1" s="95"/>
    <row r="515" ht="15.75" customHeight="1" s="95"/>
    <row r="516" ht="15.75" customHeight="1" s="95"/>
    <row r="517" ht="15.75" customHeight="1" s="95"/>
    <row r="518" ht="15.75" customHeight="1" s="95"/>
    <row r="519" ht="15.75" customHeight="1" s="95"/>
    <row r="520" ht="15.75" customHeight="1" s="95"/>
    <row r="521" ht="15.75" customHeight="1" s="95"/>
    <row r="522" ht="15.75" customHeight="1" s="95"/>
    <row r="523" ht="15.75" customHeight="1" s="95"/>
    <row r="524" ht="15.75" customHeight="1" s="95"/>
    <row r="525" ht="15.75" customHeight="1" s="95"/>
    <row r="526" ht="15.75" customHeight="1" s="95"/>
    <row r="527" ht="15.75" customHeight="1" s="95"/>
    <row r="528" ht="15.75" customHeight="1" s="95"/>
    <row r="529" ht="15.75" customHeight="1" s="95"/>
    <row r="530" ht="15.75" customHeight="1" s="95"/>
    <row r="531" ht="15.75" customHeight="1" s="95"/>
    <row r="532" ht="15.75" customHeight="1" s="95"/>
    <row r="533" ht="15.75" customHeight="1" s="95"/>
    <row r="534" ht="15.75" customHeight="1" s="95"/>
    <row r="535" ht="15.75" customHeight="1" s="95"/>
    <row r="536" ht="15.75" customHeight="1" s="95"/>
    <row r="537" ht="15.75" customHeight="1" s="95"/>
    <row r="538" ht="15.75" customHeight="1" s="95"/>
    <row r="539" ht="15.75" customHeight="1" s="95"/>
    <row r="540" ht="15.75" customHeight="1" s="95"/>
    <row r="541" ht="15.75" customHeight="1" s="95"/>
    <row r="542" ht="15.75" customHeight="1" s="95"/>
    <row r="543" ht="15.75" customHeight="1" s="95"/>
    <row r="544" ht="15.75" customHeight="1" s="95"/>
    <row r="545" ht="15.75" customHeight="1" s="95"/>
    <row r="546" ht="15.75" customHeight="1" s="95"/>
    <row r="547" ht="15.75" customHeight="1" s="95"/>
    <row r="548" ht="15.75" customHeight="1" s="95"/>
    <row r="549" ht="15.75" customHeight="1" s="95"/>
    <row r="550" ht="15.75" customHeight="1" s="95"/>
    <row r="551" ht="15.75" customHeight="1" s="95"/>
    <row r="552" ht="15.75" customHeight="1" s="95"/>
    <row r="553" ht="15.75" customHeight="1" s="95"/>
    <row r="554" ht="15.75" customHeight="1" s="95"/>
    <row r="555" ht="15.75" customHeight="1" s="95"/>
    <row r="556" ht="15.75" customHeight="1" s="95"/>
    <row r="557" ht="15.75" customHeight="1" s="95"/>
    <row r="558" ht="15.75" customHeight="1" s="95"/>
    <row r="559" ht="15.75" customHeight="1" s="95"/>
    <row r="560" ht="15.75" customHeight="1" s="95"/>
    <row r="561" ht="15.75" customHeight="1" s="95"/>
    <row r="562" ht="15.75" customHeight="1" s="95"/>
    <row r="563" ht="15.75" customHeight="1" s="95"/>
    <row r="564" ht="15.75" customHeight="1" s="95"/>
    <row r="565" ht="15.75" customHeight="1" s="95"/>
    <row r="566" ht="15.75" customHeight="1" s="95"/>
    <row r="567" ht="15.75" customHeight="1" s="95"/>
    <row r="568" ht="15.75" customHeight="1" s="95"/>
    <row r="569" ht="15.75" customHeight="1" s="95"/>
    <row r="570" ht="15.75" customHeight="1" s="95"/>
    <row r="571" ht="15.75" customHeight="1" s="95"/>
    <row r="572" ht="15.75" customHeight="1" s="95"/>
    <row r="573" ht="15.75" customHeight="1" s="95"/>
    <row r="574" ht="15.75" customHeight="1" s="95"/>
    <row r="575" ht="15.75" customHeight="1" s="95"/>
    <row r="576" ht="15.75" customHeight="1" s="95"/>
    <row r="577" ht="15.75" customHeight="1" s="95"/>
    <row r="578" ht="15.75" customHeight="1" s="95"/>
    <row r="579" ht="15.75" customHeight="1" s="95"/>
    <row r="580" ht="15.75" customHeight="1" s="95"/>
    <row r="581" ht="15.75" customHeight="1" s="95"/>
    <row r="582" ht="15.75" customHeight="1" s="95"/>
    <row r="583" ht="15.75" customHeight="1" s="95"/>
    <row r="584" ht="15.75" customHeight="1" s="95"/>
    <row r="585" ht="15.75" customHeight="1" s="95"/>
    <row r="586" ht="15.75" customHeight="1" s="95"/>
    <row r="587" ht="15.75" customHeight="1" s="95"/>
    <row r="588" ht="15.75" customHeight="1" s="95"/>
    <row r="589" ht="15.75" customHeight="1" s="95"/>
    <row r="590" ht="15.75" customHeight="1" s="95"/>
    <row r="591" ht="15.75" customHeight="1" s="95"/>
    <row r="592" ht="15.75" customHeight="1" s="95"/>
    <row r="593" ht="15.75" customHeight="1" s="95"/>
    <row r="594" ht="15.75" customHeight="1" s="95"/>
    <row r="595" ht="15.75" customHeight="1" s="95"/>
    <row r="596" ht="15.75" customHeight="1" s="95"/>
    <row r="597" ht="15.75" customHeight="1" s="95"/>
    <row r="598" ht="15.75" customHeight="1" s="95"/>
    <row r="599" ht="15.75" customHeight="1" s="95"/>
    <row r="600" ht="15.75" customHeight="1" s="95"/>
    <row r="601" ht="15.75" customHeight="1" s="95"/>
    <row r="602" ht="15.75" customHeight="1" s="95"/>
    <row r="603" ht="15.75" customHeight="1" s="95"/>
    <row r="604" ht="15.75" customHeight="1" s="95"/>
    <row r="605" ht="15.75" customHeight="1" s="95"/>
    <row r="606" ht="15.75" customHeight="1" s="95"/>
    <row r="607" ht="15.75" customHeight="1" s="95"/>
    <row r="608" ht="15.75" customHeight="1" s="95"/>
    <row r="609" ht="15.75" customHeight="1" s="95"/>
    <row r="610" ht="15.75" customHeight="1" s="95"/>
    <row r="611" ht="15.75" customHeight="1" s="95"/>
    <row r="612" ht="15.75" customHeight="1" s="95"/>
    <row r="613" ht="15.75" customHeight="1" s="95"/>
    <row r="614" ht="15.75" customHeight="1" s="95"/>
    <row r="615" ht="15.75" customHeight="1" s="95"/>
    <row r="616" ht="15.75" customHeight="1" s="95"/>
    <row r="617" ht="15.75" customHeight="1" s="95"/>
    <row r="618" ht="15.75" customHeight="1" s="95"/>
    <row r="619" ht="15.75" customHeight="1" s="95"/>
    <row r="620" ht="15.75" customHeight="1" s="95"/>
    <row r="621" ht="15.75" customHeight="1" s="95"/>
    <row r="622" ht="15.75" customHeight="1" s="95"/>
    <row r="623" ht="15.75" customHeight="1" s="95"/>
    <row r="624" ht="15.75" customHeight="1" s="95"/>
    <row r="625" ht="15.75" customHeight="1" s="95"/>
    <row r="626" ht="15.75" customHeight="1" s="95"/>
    <row r="627" ht="15.75" customHeight="1" s="95"/>
    <row r="628" ht="15.75" customHeight="1" s="95"/>
    <row r="629" ht="15.75" customHeight="1" s="95"/>
    <row r="630" ht="15.75" customHeight="1" s="95"/>
    <row r="631" ht="15.75" customHeight="1" s="95"/>
    <row r="632" ht="15.75" customHeight="1" s="95"/>
    <row r="633" ht="15.75" customHeight="1" s="95"/>
    <row r="634" ht="15.75" customHeight="1" s="95"/>
    <row r="635" ht="15.75" customHeight="1" s="95"/>
    <row r="636" ht="15.75" customHeight="1" s="95"/>
    <row r="637" ht="15.75" customHeight="1" s="95"/>
    <row r="638" ht="15.75" customHeight="1" s="95"/>
    <row r="639" ht="15.75" customHeight="1" s="95"/>
    <row r="640" ht="15.75" customHeight="1" s="95"/>
    <row r="641" ht="15.75" customHeight="1" s="95"/>
    <row r="642" ht="15.75" customHeight="1" s="95"/>
    <row r="643" ht="15.75" customHeight="1" s="95"/>
    <row r="644" ht="15.75" customHeight="1" s="95"/>
    <row r="645" ht="15.75" customHeight="1" s="95"/>
    <row r="646" ht="15.75" customHeight="1" s="95"/>
    <row r="647" ht="15.75" customHeight="1" s="95"/>
    <row r="648" ht="15.75" customHeight="1" s="95"/>
    <row r="649" ht="15.75" customHeight="1" s="95"/>
    <row r="650" ht="15.75" customHeight="1" s="95"/>
    <row r="651" ht="15.75" customHeight="1" s="95"/>
    <row r="652" ht="15.75" customHeight="1" s="95"/>
    <row r="653" ht="15.75" customHeight="1" s="95"/>
    <row r="654" ht="15.75" customHeight="1" s="95"/>
    <row r="655" ht="15.75" customHeight="1" s="95"/>
    <row r="656" ht="15.75" customHeight="1" s="95"/>
    <row r="657" ht="15.75" customHeight="1" s="95"/>
    <row r="658" ht="15.75" customHeight="1" s="95"/>
    <row r="659" ht="15.75" customHeight="1" s="95"/>
    <row r="660" ht="15.75" customHeight="1" s="95"/>
    <row r="661" ht="15.75" customHeight="1" s="95"/>
    <row r="662" ht="15.75" customHeight="1" s="95"/>
    <row r="663" ht="15.75" customHeight="1" s="95"/>
    <row r="664" ht="15.75" customHeight="1" s="95"/>
    <row r="665" ht="15.75" customHeight="1" s="95"/>
    <row r="666" ht="15.75" customHeight="1" s="95"/>
    <row r="667" ht="15.75" customHeight="1" s="95"/>
    <row r="668" ht="15.75" customHeight="1" s="95"/>
    <row r="669" ht="15.75" customHeight="1" s="95"/>
    <row r="670" ht="15.75" customHeight="1" s="95"/>
    <row r="671" ht="15.75" customHeight="1" s="95"/>
    <row r="672" ht="15.75" customHeight="1" s="95"/>
    <row r="673" ht="15.75" customHeight="1" s="95"/>
    <row r="674" ht="15.75" customHeight="1" s="95"/>
    <row r="675" ht="15.75" customHeight="1" s="95"/>
    <row r="676" ht="15.75" customHeight="1" s="95"/>
    <row r="677" ht="15.75" customHeight="1" s="95"/>
    <row r="678" ht="15.75" customHeight="1" s="95"/>
    <row r="679" ht="15.75" customHeight="1" s="95"/>
    <row r="680" ht="15.75" customHeight="1" s="95"/>
    <row r="681" ht="15.75" customHeight="1" s="95"/>
    <row r="682" ht="15.75" customHeight="1" s="95"/>
    <row r="683" ht="15.75" customHeight="1" s="95"/>
    <row r="684" ht="15.75" customHeight="1" s="95"/>
    <row r="685" ht="15.75" customHeight="1" s="95"/>
    <row r="686" ht="15.75" customHeight="1" s="95"/>
    <row r="687" ht="15.75" customHeight="1" s="95"/>
    <row r="688" ht="15.75" customHeight="1" s="95"/>
    <row r="689" ht="15.75" customHeight="1" s="95"/>
    <row r="690" ht="15.75" customHeight="1" s="95"/>
    <row r="691" ht="15.75" customHeight="1" s="95"/>
    <row r="692" ht="15.75" customHeight="1" s="95"/>
    <row r="693" ht="15.75" customHeight="1" s="95"/>
    <row r="694" ht="15.75" customHeight="1" s="95"/>
    <row r="695" ht="15.75" customHeight="1" s="95"/>
    <row r="696" ht="15.75" customHeight="1" s="95"/>
    <row r="697" ht="15.75" customHeight="1" s="95"/>
    <row r="698" ht="15.75" customHeight="1" s="95"/>
    <row r="699" ht="15.75" customHeight="1" s="95"/>
    <row r="700" ht="15.75" customHeight="1" s="95"/>
    <row r="701" ht="15.75" customHeight="1" s="95"/>
    <row r="702" ht="15.75" customHeight="1" s="95"/>
    <row r="703" ht="15.75" customHeight="1" s="95"/>
    <row r="704" ht="15.75" customHeight="1" s="95"/>
    <row r="705" ht="15.75" customHeight="1" s="95"/>
    <row r="706" ht="15.75" customHeight="1" s="95"/>
    <row r="707" ht="15.75" customHeight="1" s="95"/>
    <row r="708" ht="15.75" customHeight="1" s="95"/>
    <row r="709" ht="15.75" customHeight="1" s="95"/>
    <row r="710" ht="15.75" customHeight="1" s="95"/>
    <row r="711" ht="15.75" customHeight="1" s="95"/>
    <row r="712" ht="15.75" customHeight="1" s="95"/>
    <row r="713" ht="15.75" customHeight="1" s="95"/>
    <row r="714" ht="15.75" customHeight="1" s="95"/>
    <row r="715" ht="15.75" customHeight="1" s="95"/>
    <row r="716" ht="15.75" customHeight="1" s="95"/>
    <row r="717" ht="15.75" customHeight="1" s="95"/>
    <row r="718" ht="15.75" customHeight="1" s="95"/>
    <row r="719" ht="15.75" customHeight="1" s="95"/>
    <row r="720" ht="15.75" customHeight="1" s="95"/>
    <row r="721" ht="15.75" customHeight="1" s="95"/>
    <row r="722" ht="15.75" customHeight="1" s="95"/>
    <row r="723" ht="15.75" customHeight="1" s="95"/>
    <row r="724" ht="15.75" customHeight="1" s="95"/>
    <row r="725" ht="15.75" customHeight="1" s="95"/>
    <row r="726" ht="15.75" customHeight="1" s="95"/>
    <row r="727" ht="15.75" customHeight="1" s="95"/>
    <row r="728" ht="15.75" customHeight="1" s="95"/>
    <row r="729" ht="15.75" customHeight="1" s="95"/>
    <row r="730" ht="15.75" customHeight="1" s="95"/>
    <row r="731" ht="15.75" customHeight="1" s="95"/>
    <row r="732" ht="15.75" customHeight="1" s="95"/>
    <row r="733" ht="15.75" customHeight="1" s="95"/>
    <row r="734" ht="15.75" customHeight="1" s="95"/>
    <row r="735" ht="15.75" customHeight="1" s="95"/>
    <row r="736" ht="15.75" customHeight="1" s="95"/>
    <row r="737" ht="15.75" customHeight="1" s="95"/>
    <row r="738" ht="15.75" customHeight="1" s="95"/>
    <row r="739" ht="15.75" customHeight="1" s="95"/>
    <row r="740" ht="15.75" customHeight="1" s="95"/>
    <row r="741" ht="15.75" customHeight="1" s="95"/>
    <row r="742" ht="15.75" customHeight="1" s="95"/>
    <row r="743" ht="15.75" customHeight="1" s="95"/>
    <row r="744" ht="15.75" customHeight="1" s="95"/>
    <row r="745" ht="15.75" customHeight="1" s="95"/>
    <row r="746" ht="15.75" customHeight="1" s="95"/>
    <row r="747" ht="15.75" customHeight="1" s="95"/>
    <row r="748" ht="15.75" customHeight="1" s="95"/>
    <row r="749" ht="15.75" customHeight="1" s="95"/>
    <row r="750" ht="15.75" customHeight="1" s="95"/>
    <row r="751" ht="15.75" customHeight="1" s="95"/>
    <row r="752" ht="15.75" customHeight="1" s="95"/>
    <row r="753" ht="15.75" customHeight="1" s="95"/>
    <row r="754" ht="15.75" customHeight="1" s="95"/>
    <row r="755" ht="15.75" customHeight="1" s="95"/>
    <row r="756" ht="15.75" customHeight="1" s="95"/>
    <row r="757" ht="15.75" customHeight="1" s="95"/>
    <row r="758" ht="15.75" customHeight="1" s="95"/>
    <row r="759" ht="15.75" customHeight="1" s="95"/>
    <row r="760" ht="15.75" customHeight="1" s="95"/>
    <row r="761" ht="15.75" customHeight="1" s="95"/>
    <row r="762" ht="15.75" customHeight="1" s="95"/>
    <row r="763" ht="15.75" customHeight="1" s="95"/>
    <row r="764" ht="15.75" customHeight="1" s="95"/>
    <row r="765" ht="15.75" customHeight="1" s="95"/>
    <row r="766" ht="15.75" customHeight="1" s="95"/>
    <row r="767" ht="15.75" customHeight="1" s="95"/>
    <row r="768" ht="15.75" customHeight="1" s="95"/>
    <row r="769" ht="15.75" customHeight="1" s="95"/>
    <row r="770" ht="15.75" customHeight="1" s="95"/>
    <row r="771" ht="15.75" customHeight="1" s="95"/>
    <row r="772" ht="15.75" customHeight="1" s="95"/>
    <row r="773" ht="15.75" customHeight="1" s="95"/>
    <row r="774" ht="15.75" customHeight="1" s="95"/>
    <row r="775" ht="15.75" customHeight="1" s="95"/>
    <row r="776" ht="15.75" customHeight="1" s="95"/>
    <row r="777" ht="15.75" customHeight="1" s="95"/>
    <row r="778" ht="15.75" customHeight="1" s="95"/>
    <row r="779" ht="15.75" customHeight="1" s="95"/>
    <row r="780" ht="15.75" customHeight="1" s="95"/>
    <row r="781" ht="15.75" customHeight="1" s="95"/>
    <row r="782" ht="15.75" customHeight="1" s="95"/>
    <row r="783" ht="15.75" customHeight="1" s="95"/>
    <row r="784" ht="15.75" customHeight="1" s="95"/>
    <row r="785" ht="15.75" customHeight="1" s="95"/>
    <row r="786" ht="15.75" customHeight="1" s="95"/>
    <row r="787" ht="15.75" customHeight="1" s="95"/>
    <row r="788" ht="15.75" customHeight="1" s="95"/>
    <row r="789" ht="15.75" customHeight="1" s="95"/>
    <row r="790" ht="15.75" customHeight="1" s="95"/>
    <row r="791" ht="15.75" customHeight="1" s="95"/>
    <row r="792" ht="15.75" customHeight="1" s="95"/>
    <row r="793" ht="15.75" customHeight="1" s="95"/>
    <row r="794" ht="15.75" customHeight="1" s="95"/>
    <row r="795" ht="15.75" customHeight="1" s="95"/>
    <row r="796" ht="15.75" customHeight="1" s="95"/>
    <row r="797" ht="15.75" customHeight="1" s="95"/>
    <row r="798" ht="15.75" customHeight="1" s="95"/>
    <row r="799" ht="15.75" customHeight="1" s="95"/>
    <row r="800" ht="15.75" customHeight="1" s="95"/>
    <row r="801" ht="15.75" customHeight="1" s="95"/>
    <row r="802" ht="15.75" customHeight="1" s="95"/>
    <row r="803" ht="15.75" customHeight="1" s="95"/>
    <row r="804" ht="15.75" customHeight="1" s="95"/>
    <row r="805" ht="15.75" customHeight="1" s="95"/>
    <row r="806" ht="15.75" customHeight="1" s="95"/>
    <row r="807" ht="15.75" customHeight="1" s="95"/>
    <row r="808" ht="15.75" customHeight="1" s="95"/>
    <row r="809" ht="15.75" customHeight="1" s="95"/>
    <row r="810" ht="15.75" customHeight="1" s="95"/>
    <row r="811" ht="15.75" customHeight="1" s="95"/>
    <row r="812" ht="15.75" customHeight="1" s="95"/>
    <row r="813" ht="15.75" customHeight="1" s="95"/>
    <row r="814" ht="15.75" customHeight="1" s="95"/>
    <row r="815" ht="15.75" customHeight="1" s="95"/>
    <row r="816" ht="15.75" customHeight="1" s="95"/>
    <row r="817" ht="15.75" customHeight="1" s="95"/>
    <row r="818" ht="15.75" customHeight="1" s="95"/>
    <row r="819" ht="15.75" customHeight="1" s="95"/>
    <row r="820" ht="15.75" customHeight="1" s="95"/>
    <row r="821" ht="15.75" customHeight="1" s="95"/>
    <row r="822" ht="15.75" customHeight="1" s="95"/>
    <row r="823" ht="15.75" customHeight="1" s="95"/>
    <row r="824" ht="15.75" customHeight="1" s="95"/>
    <row r="825" ht="15.75" customHeight="1" s="95"/>
    <row r="826" ht="15.75" customHeight="1" s="95"/>
    <row r="827" ht="15.75" customHeight="1" s="95"/>
    <row r="828" ht="15.75" customHeight="1" s="95"/>
    <row r="829" ht="15.75" customHeight="1" s="95"/>
    <row r="830" ht="15.75" customHeight="1" s="95"/>
    <row r="831" ht="15.75" customHeight="1" s="95"/>
    <row r="832" ht="15.75" customHeight="1" s="95"/>
    <row r="833" ht="15.75" customHeight="1" s="95"/>
    <row r="834" ht="15.75" customHeight="1" s="95"/>
    <row r="835" ht="15.75" customHeight="1" s="95"/>
    <row r="836" ht="15.75" customHeight="1" s="95"/>
    <row r="837" ht="15.75" customHeight="1" s="95"/>
    <row r="838" ht="15.75" customHeight="1" s="95"/>
    <row r="839" ht="15.75" customHeight="1" s="95"/>
    <row r="840" ht="15.75" customHeight="1" s="95"/>
    <row r="841" ht="15.75" customHeight="1" s="95"/>
    <row r="842" ht="15.75" customHeight="1" s="95"/>
    <row r="843" ht="15.75" customHeight="1" s="95"/>
    <row r="844" ht="15.75" customHeight="1" s="95"/>
    <row r="845" ht="15.75" customHeight="1" s="95"/>
    <row r="846" ht="15.75" customHeight="1" s="95"/>
    <row r="847" ht="15.75" customHeight="1" s="95"/>
    <row r="848" ht="15.75" customHeight="1" s="95"/>
    <row r="849" ht="15.75" customHeight="1" s="95"/>
    <row r="850" ht="15.75" customHeight="1" s="95"/>
    <row r="851" ht="15.75" customHeight="1" s="95"/>
    <row r="852" ht="15.75" customHeight="1" s="95"/>
    <row r="853" ht="15.75" customHeight="1" s="95"/>
    <row r="854" ht="15.75" customHeight="1" s="95"/>
    <row r="855" ht="15.75" customHeight="1" s="95"/>
    <row r="856" ht="15.75" customHeight="1" s="95"/>
    <row r="857" ht="15.75" customHeight="1" s="95"/>
    <row r="858" ht="15.75" customHeight="1" s="95"/>
    <row r="859" ht="15.75" customHeight="1" s="95"/>
    <row r="860" ht="15.75" customHeight="1" s="95"/>
    <row r="861" ht="15.75" customHeight="1" s="95"/>
    <row r="862" ht="15.75" customHeight="1" s="95"/>
    <row r="863" ht="15.75" customHeight="1" s="95"/>
    <row r="864" ht="15.75" customHeight="1" s="95"/>
    <row r="865" ht="15.75" customHeight="1" s="95"/>
    <row r="866" ht="15.75" customHeight="1" s="95"/>
    <row r="867" ht="15.75" customHeight="1" s="95"/>
    <row r="868" ht="15.75" customHeight="1" s="95"/>
    <row r="869" ht="15.75" customHeight="1" s="95"/>
    <row r="870" ht="15.75" customHeight="1" s="95"/>
    <row r="871" ht="15.75" customHeight="1" s="95"/>
    <row r="872" ht="15.75" customHeight="1" s="95"/>
    <row r="873" ht="15.75" customHeight="1" s="95"/>
    <row r="874" ht="15.75" customHeight="1" s="95"/>
    <row r="875" ht="15.75" customHeight="1" s="95"/>
    <row r="876" ht="15.75" customHeight="1" s="95"/>
    <row r="877" ht="15.75" customHeight="1" s="95"/>
    <row r="878" ht="15.75" customHeight="1" s="95"/>
    <row r="879" ht="15.75" customHeight="1" s="95"/>
    <row r="880" ht="15.75" customHeight="1" s="95"/>
    <row r="881" ht="15.75" customHeight="1" s="95"/>
    <row r="882" ht="15.75" customHeight="1" s="95"/>
    <row r="883" ht="15.75" customHeight="1" s="95"/>
    <row r="884" ht="15.75" customHeight="1" s="95"/>
    <row r="885" ht="15.75" customHeight="1" s="95"/>
    <row r="886" ht="15.75" customHeight="1" s="95"/>
    <row r="887" ht="15.75" customHeight="1" s="95"/>
    <row r="888" ht="15.75" customHeight="1" s="95"/>
    <row r="889" ht="15.75" customHeight="1" s="95"/>
    <row r="890" ht="15.75" customHeight="1" s="95"/>
    <row r="891" ht="15.75" customHeight="1" s="95"/>
    <row r="892" ht="15.75" customHeight="1" s="95"/>
    <row r="893" ht="15.75" customHeight="1" s="95"/>
    <row r="894" ht="15.75" customHeight="1" s="95"/>
    <row r="895" ht="15.75" customHeight="1" s="95"/>
    <row r="896" ht="15.75" customHeight="1" s="95"/>
    <row r="897" ht="15.75" customHeight="1" s="95"/>
    <row r="898" ht="15.75" customHeight="1" s="95"/>
    <row r="899" ht="15.75" customHeight="1" s="95"/>
    <row r="900" ht="15.75" customHeight="1" s="95"/>
    <row r="901" ht="15.75" customHeight="1" s="95"/>
    <row r="902" ht="15.75" customHeight="1" s="95"/>
    <row r="903" ht="15.75" customHeight="1" s="95"/>
    <row r="904" ht="15.75" customHeight="1" s="95"/>
    <row r="905" ht="15.75" customHeight="1" s="95"/>
    <row r="906" ht="15.75" customHeight="1" s="95"/>
    <row r="907" ht="15.75" customHeight="1" s="95"/>
    <row r="908" ht="15.75" customHeight="1" s="95"/>
    <row r="909" ht="15.75" customHeight="1" s="95"/>
    <row r="910" ht="15.75" customHeight="1" s="95"/>
    <row r="911" ht="15.75" customHeight="1" s="95"/>
    <row r="912" ht="15.75" customHeight="1" s="95"/>
    <row r="913" ht="15.75" customHeight="1" s="95"/>
    <row r="914" ht="15.75" customHeight="1" s="95"/>
    <row r="915" ht="15.75" customHeight="1" s="95"/>
    <row r="916" ht="15.75" customHeight="1" s="95"/>
    <row r="917" ht="15.75" customHeight="1" s="95"/>
    <row r="918" ht="15.75" customHeight="1" s="95"/>
    <row r="919" ht="15.75" customHeight="1" s="95"/>
    <row r="920" ht="15.75" customHeight="1" s="95"/>
    <row r="921" ht="15.75" customHeight="1" s="95"/>
    <row r="922" ht="15.75" customHeight="1" s="95"/>
    <row r="923" ht="15.75" customHeight="1" s="95"/>
    <row r="924" ht="15.75" customHeight="1" s="95"/>
    <row r="925" ht="15.75" customHeight="1" s="95"/>
    <row r="926" ht="15.75" customHeight="1" s="95"/>
    <row r="927" ht="15.75" customHeight="1" s="95"/>
    <row r="928" ht="15.75" customHeight="1" s="95"/>
    <row r="929" ht="15.75" customHeight="1" s="95"/>
    <row r="930" ht="15.75" customHeight="1" s="95"/>
    <row r="931" ht="15.75" customHeight="1" s="95"/>
    <row r="932" ht="15.75" customHeight="1" s="95"/>
    <row r="933" ht="15.75" customHeight="1" s="95"/>
    <row r="934" ht="15.75" customHeight="1" s="95"/>
    <row r="935" ht="15.75" customHeight="1" s="95"/>
    <row r="936" ht="15.75" customHeight="1" s="95"/>
    <row r="937" ht="15.75" customHeight="1" s="95"/>
    <row r="938" ht="15.75" customHeight="1" s="95"/>
    <row r="939" ht="15.75" customHeight="1" s="95"/>
    <row r="940" ht="15.75" customHeight="1" s="95"/>
    <row r="941" ht="15.75" customHeight="1" s="95"/>
    <row r="942" ht="15.75" customHeight="1" s="95"/>
    <row r="943" ht="15.75" customHeight="1" s="95"/>
    <row r="944" ht="15.75" customHeight="1" s="95"/>
    <row r="945" ht="15.75" customHeight="1" s="95"/>
    <row r="946" ht="15.75" customHeight="1" s="95"/>
    <row r="947" ht="15.75" customHeight="1" s="95"/>
    <row r="948" ht="15.75" customHeight="1" s="95"/>
    <row r="949" ht="15.75" customHeight="1" s="95"/>
    <row r="950" ht="15.75" customHeight="1" s="95"/>
    <row r="951" ht="15.75" customHeight="1" s="95"/>
    <row r="952" ht="15.75" customHeight="1" s="95"/>
    <row r="953" ht="15.75" customHeight="1" s="95"/>
    <row r="954" ht="15.75" customHeight="1" s="95"/>
    <row r="955" ht="15.75" customHeight="1" s="95"/>
    <row r="956" ht="15.75" customHeight="1" s="95"/>
    <row r="957" ht="15.75" customHeight="1" s="95"/>
    <row r="958" ht="15.75" customHeight="1" s="95"/>
    <row r="959" ht="15.75" customHeight="1" s="95"/>
    <row r="960" ht="15.75" customHeight="1" s="95"/>
    <row r="961" ht="15.75" customHeight="1" s="95"/>
    <row r="962" ht="15.75" customHeight="1" s="95"/>
    <row r="963" ht="15.75" customHeight="1" s="95"/>
    <row r="964" ht="15.75" customHeight="1" s="95"/>
    <row r="965" ht="15.75" customHeight="1" s="95"/>
    <row r="966" ht="15.75" customHeight="1" s="95"/>
    <row r="967" ht="15.75" customHeight="1" s="95"/>
    <row r="968" ht="15.75" customHeight="1" s="95"/>
    <row r="969" ht="15.75" customHeight="1" s="95"/>
    <row r="970" ht="15.75" customHeight="1" s="95"/>
    <row r="971" ht="15.75" customHeight="1" s="95"/>
    <row r="972" ht="15.75" customHeight="1" s="95"/>
    <row r="973" ht="15.75" customHeight="1" s="95"/>
    <row r="974" ht="15.75" customHeight="1" s="95"/>
    <row r="975" ht="15.75" customHeight="1" s="95"/>
    <row r="976" ht="15.75" customHeight="1" s="95"/>
    <row r="977" ht="15.75" customHeight="1" s="95"/>
    <row r="978" ht="15.75" customHeight="1" s="95"/>
    <row r="979" ht="15.75" customHeight="1" s="95"/>
    <row r="980" ht="15.75" customHeight="1" s="95"/>
    <row r="981" ht="15.75" customHeight="1" s="95"/>
    <row r="982" ht="15.75" customHeight="1" s="95"/>
    <row r="983" ht="15.75" customHeight="1" s="95"/>
    <row r="984" ht="15.75" customHeight="1" s="95"/>
    <row r="985" ht="15.75" customHeight="1" s="95"/>
    <row r="986" ht="15.75" customHeight="1" s="95"/>
    <row r="987" ht="15.75" customHeight="1" s="95"/>
    <row r="988" ht="15.75" customHeight="1" s="95"/>
    <row r="989" ht="15.75" customHeight="1" s="95"/>
    <row r="990" ht="15.75" customHeight="1" s="95"/>
    <row r="991" ht="15.75" customHeight="1" s="95"/>
    <row r="992" ht="15.75" customHeight="1" s="95"/>
    <row r="993" ht="15.75" customHeight="1" s="95"/>
    <row r="994" ht="15.75" customHeight="1" s="95"/>
    <row r="995" ht="15.75" customHeight="1" s="95"/>
    <row r="996" ht="15.75" customHeight="1" s="95"/>
    <row r="997" ht="15.75" customHeight="1" s="95"/>
    <row r="998" ht="15.75" customHeight="1" s="95"/>
    <row r="999" ht="15.75" customHeight="1" s="95"/>
    <row r="1000" ht="15.75" customHeight="1" s="95"/>
  </sheetData>
  <mergeCells count="2">
    <mergeCell ref="A1:I1"/>
    <mergeCell ref="A2:I2"/>
  </mergeCells>
  <conditionalFormatting sqref="B5:B46">
    <cfRule type="expression" priority="1" dxfId="9">
      <formula>B5="Your list"</formula>
    </cfRule>
    <cfRule type="expression" priority="2" dxfId="8">
      <formula>B5="Recommended"</formula>
    </cfRule>
  </conditionalFormatting>
  <conditionalFormatting sqref="H5:H46">
    <cfRule type="expression" priority="3" dxfId="4">
      <formula>H5="Yes"</formula>
    </cfRule>
  </conditionalFormatting>
  <pageMargins left="0.7" right="0.7" top="0.75" bottom="0.75" header="0.3" footer="0.3"/>
</worksheet>
</file>

<file path=xl/worksheets/sheet4.xml><?xml version="1.0" encoding="utf-8"?>
<worksheet xmlns="http://schemas.openxmlformats.org/spreadsheetml/2006/main">
  <sheetPr>
    <outlinePr summaryBelow="1" summaryRight="1"/>
    <pageSetUpPr/>
  </sheetPr>
  <dimension ref="A1:E47"/>
  <sheetViews>
    <sheetView workbookViewId="0">
      <selection activeCell="A1" sqref="A1"/>
    </sheetView>
  </sheetViews>
  <sheetFormatPr baseColWidth="8" defaultColWidth="14.42578125" defaultRowHeight="15"/>
  <cols>
    <col width="26" customWidth="1" style="95" min="1" max="2"/>
    <col width="14" customWidth="1" style="95" min="3" max="3"/>
    <col width="12" customWidth="1" style="95" min="4" max="5"/>
    <col width="8.7109375" customWidth="1" style="95" min="6" max="6"/>
  </cols>
  <sheetData>
    <row r="1" ht="23.25" customHeight="1" s="95">
      <c r="A1" s="101" t="inlineStr">
        <is>
          <t>🏆 COLLECTION / FRANCHISE TRACKER</t>
        </is>
      </c>
    </row>
    <row r="2">
      <c r="A2" s="102" t="inlineStr">
        <is>
          <t>Owned counts are calculated from the Collection tab. Target totals are editable so you can define exactly what 'complete' means to you.</t>
        </is>
      </c>
    </row>
    <row r="4" ht="30" customHeight="1" s="95">
      <c r="A4" s="2" t="inlineStr">
        <is>
          <t>Collection</t>
        </is>
      </c>
      <c r="B4" s="2" t="inlineStr">
        <is>
          <t>Owned Films</t>
        </is>
      </c>
      <c r="C4" s="2" t="inlineStr">
        <is>
          <t>Target Films</t>
        </is>
      </c>
      <c r="D4" s="2" t="inlineStr">
        <is>
          <t>Missing</t>
        </is>
      </c>
      <c r="E4" s="2" t="inlineStr">
        <is>
          <t>% Complete</t>
        </is>
      </c>
    </row>
    <row r="5">
      <c r="A5" s="5" t="inlineStr">
        <is>
          <t>James Bond</t>
        </is>
      </c>
      <c r="B5" s="5">
        <f>COUNTIF(Collection!$E$5:$E$500,A5)</f>
        <v/>
      </c>
      <c r="C5" s="10" t="n">
        <v>5</v>
      </c>
      <c r="D5" s="5">
        <f>IF(C5="","",MAX(C5-B5,0))</f>
        <v/>
      </c>
      <c r="E5" s="13">
        <f>IF(C5="","",MIN(B5/C5,1))</f>
        <v/>
      </c>
    </row>
    <row r="6">
      <c r="A6" s="5" t="inlineStr">
        <is>
          <t>Alien</t>
        </is>
      </c>
      <c r="B6" s="5">
        <f>COUNTIF(Collection!$E$5:$E$500,A6)</f>
        <v/>
      </c>
      <c r="C6" s="10" t="n">
        <v>7</v>
      </c>
      <c r="D6" s="5">
        <f>IF(C6="","",MAX(C6-B6,0))</f>
        <v/>
      </c>
      <c r="E6" s="13">
        <f>IF(C6="","",MIN(B6/C6,1))</f>
        <v/>
      </c>
    </row>
    <row r="7">
      <c r="A7" s="5" t="inlineStr">
        <is>
          <t>Bourne</t>
        </is>
      </c>
      <c r="B7" s="5">
        <f>COUNTIF(Collection!$E$5:$E$500,A7)</f>
        <v/>
      </c>
      <c r="C7" s="10" t="n">
        <v>5</v>
      </c>
      <c r="D7" s="5">
        <f>IF(C7="","",MAX(C7-B7,0))</f>
        <v/>
      </c>
      <c r="E7" s="13">
        <f>IF(C7="","",MIN(B7/C7,1))</f>
        <v/>
      </c>
    </row>
    <row r="8">
      <c r="A8" s="5" t="inlineStr">
        <is>
          <t>Fast &amp; Furious</t>
        </is>
      </c>
      <c r="B8" s="5">
        <f>COUNTIF(Collection!$E$5:$E$500,A8)</f>
        <v/>
      </c>
      <c r="C8" s="10" t="n">
        <v>11</v>
      </c>
      <c r="D8" s="5">
        <f>IF(C8="","",MAX(C8-B8,0))</f>
        <v/>
      </c>
      <c r="E8" s="13">
        <f>IF(C8="","",MIN(B8/C8,1))</f>
        <v/>
      </c>
    </row>
    <row r="9">
      <c r="A9" s="5" t="inlineStr">
        <is>
          <t>Harry Potter</t>
        </is>
      </c>
      <c r="B9" s="5">
        <f>COUNTIF(Collection!$E$5:$E$500,A9)</f>
        <v/>
      </c>
      <c r="C9" s="10" t="n">
        <v>8</v>
      </c>
      <c r="D9" s="5">
        <f>IF(C9="","",MAX(C9-B9,0))</f>
        <v/>
      </c>
      <c r="E9" s="13">
        <f>IF(C9="","",MIN(B9/C9,1))</f>
        <v/>
      </c>
    </row>
    <row r="10">
      <c r="A10" s="5" t="inlineStr">
        <is>
          <t>Wizarding World</t>
        </is>
      </c>
      <c r="B10" s="5">
        <f>COUNTIF(Collection!$E$5:$E$500,A10)</f>
        <v/>
      </c>
      <c r="C10" s="10" t="n">
        <v>3</v>
      </c>
      <c r="D10" s="5">
        <f>IF(C10="","",MAX(C10-B10,0))</f>
        <v/>
      </c>
      <c r="E10" s="13">
        <f>IF(C10="","",MIN(B10/C10,1))</f>
        <v/>
      </c>
    </row>
    <row r="11">
      <c r="A11" s="5" t="inlineStr">
        <is>
          <t>Hobbit</t>
        </is>
      </c>
      <c r="B11" s="5">
        <f>COUNTIF(Collection!$E$5:$E$500,A11)</f>
        <v/>
      </c>
      <c r="C11" s="10" t="n">
        <v>3</v>
      </c>
      <c r="D11" s="5">
        <f>IF(C11="","",MAX(C11-B11,0))</f>
        <v/>
      </c>
      <c r="E11" s="13">
        <f>IF(C11="","",MIN(B11/C11,1))</f>
        <v/>
      </c>
    </row>
    <row r="12">
      <c r="A12" s="5" t="inlineStr">
        <is>
          <t>Lord of the Rings</t>
        </is>
      </c>
      <c r="B12" s="5">
        <f>COUNTIF(Collection!$E$5:$E$500,A12)</f>
        <v/>
      </c>
      <c r="C12" s="10" t="n">
        <v>3</v>
      </c>
      <c r="D12" s="5">
        <f>IF(C12="","",MAX(C12-B12,0))</f>
        <v/>
      </c>
      <c r="E12" s="13">
        <f>IF(C12="","",MIN(B12/C12,1))</f>
        <v/>
      </c>
    </row>
    <row r="13">
      <c r="A13" s="5" t="inlineStr">
        <is>
          <t>Mission: Impossible</t>
        </is>
      </c>
      <c r="B13" s="5">
        <f>COUNTIF(Collection!$E$5:$E$500,A13)</f>
        <v/>
      </c>
      <c r="C13" s="10" t="n">
        <v>8</v>
      </c>
      <c r="D13" s="5">
        <f>IF(C13="","",MAX(C13-B13,0))</f>
        <v/>
      </c>
      <c r="E13" s="13">
        <f>IF(C13="","",MIN(B13/C13,1))</f>
        <v/>
      </c>
    </row>
    <row r="14">
      <c r="A14" s="5" t="inlineStr">
        <is>
          <t>X-Men</t>
        </is>
      </c>
      <c r="B14" s="5">
        <f>COUNTIF(Collection!$E$5:$E$500,A14)</f>
        <v/>
      </c>
      <c r="C14" s="10" t="n">
        <v>10</v>
      </c>
      <c r="D14" s="5">
        <f>IF(C14="","",MAX(C14-B14,0))</f>
        <v/>
      </c>
      <c r="E14" s="13">
        <f>IF(C14="","",MIN(B14/C14,1))</f>
        <v/>
      </c>
    </row>
    <row r="15">
      <c r="A15" s="5" t="inlineStr">
        <is>
          <t>Deadpool / X-Men</t>
        </is>
      </c>
      <c r="B15" s="5">
        <f>COUNTIF(Collection!$E$5:$E$500,A15)</f>
        <v/>
      </c>
      <c r="C15" s="10" t="n">
        <v>3</v>
      </c>
      <c r="D15" s="5">
        <f>IF(C15="","",MAX(C15-B15,0))</f>
        <v/>
      </c>
      <c r="E15" s="13">
        <f>IF(C15="","",MIN(B15/C15,1))</f>
        <v/>
      </c>
    </row>
    <row r="16">
      <c r="A16" s="5" t="inlineStr">
        <is>
          <t>Transformers</t>
        </is>
      </c>
      <c r="B16" s="5">
        <f>COUNTIF(Collection!$E$5:$E$500,A16)</f>
        <v/>
      </c>
      <c r="C16" s="10" t="n">
        <v>8</v>
      </c>
      <c r="D16" s="5">
        <f>IF(C16="","",MAX(C16-B16,0))</f>
        <v/>
      </c>
      <c r="E16" s="13">
        <f>IF(C16="","",MIN(B16/C16,1))</f>
        <v/>
      </c>
    </row>
    <row r="17">
      <c r="A17" s="5" t="inlineStr">
        <is>
          <t>Despicable Me / Minions</t>
        </is>
      </c>
      <c r="B17" s="5">
        <f>COUNTIF(Collection!$E$5:$E$500,A17)</f>
        <v/>
      </c>
      <c r="C17" s="10" t="n">
        <v>6</v>
      </c>
      <c r="D17" s="5">
        <f>IF(C17="","",MAX(C17-B17,0))</f>
        <v/>
      </c>
      <c r="E17" s="13">
        <f>IF(C17="","",MIN(B17/C17,1))</f>
        <v/>
      </c>
    </row>
    <row r="18">
      <c r="A18" s="5" t="inlineStr">
        <is>
          <t>Planet of the Apes (reboot)</t>
        </is>
      </c>
      <c r="B18" s="5">
        <f>COUNTIF(Collection!$E$5:$E$500,A18)</f>
        <v/>
      </c>
      <c r="C18" s="10" t="n">
        <v>4</v>
      </c>
      <c r="D18" s="5">
        <f>IF(C18="","",MAX(C18-B18,0))</f>
        <v/>
      </c>
      <c r="E18" s="13">
        <f>IF(C18="","",MIN(B18/C18,1))</f>
        <v/>
      </c>
    </row>
    <row r="19">
      <c r="A19" s="5" t="inlineStr">
        <is>
          <t>Toy Story</t>
        </is>
      </c>
      <c r="B19" s="5">
        <f>COUNTIF(Collection!$E$5:$E$500,A19)</f>
        <v/>
      </c>
      <c r="C19" s="10" t="n">
        <v>4</v>
      </c>
      <c r="D19" s="5">
        <f>IF(C19="","",MAX(C19-B19,0))</f>
        <v/>
      </c>
      <c r="E19" s="13">
        <f>IF(C19="","",MIN(B19/C19,1))</f>
        <v/>
      </c>
    </row>
    <row r="20">
      <c r="A20" s="5" t="inlineStr">
        <is>
          <t>Underworld</t>
        </is>
      </c>
      <c r="B20" s="5">
        <f>COUNTIF(Collection!$E$5:$E$500,A20)</f>
        <v/>
      </c>
      <c r="C20" s="10" t="n">
        <v>5</v>
      </c>
      <c r="D20" s="5">
        <f>IF(C20="","",MAX(C20-B20,0))</f>
        <v/>
      </c>
      <c r="E20" s="13">
        <f>IF(C20="","",MIN(B20/C20,1))</f>
        <v/>
      </c>
    </row>
    <row r="21" ht="15.75" customHeight="1" s="95">
      <c r="A21" s="5" t="inlineStr">
        <is>
          <t>Star Wars</t>
        </is>
      </c>
      <c r="B21" s="5">
        <f>COUNTIF(Collection!$E$5:$E$500,A21)</f>
        <v/>
      </c>
      <c r="C21" s="10" t="n">
        <v>11</v>
      </c>
      <c r="D21" s="5">
        <f>IF(C21="","",MAX(C21-B21,0))</f>
        <v/>
      </c>
      <c r="E21" s="13">
        <f>IF(C21="","",MIN(B21/C21,1))</f>
        <v/>
      </c>
    </row>
    <row r="22" ht="15.75" customHeight="1" s="95">
      <c r="A22" s="5" t="inlineStr">
        <is>
          <t>Star Trek</t>
        </is>
      </c>
      <c r="B22" s="5">
        <f>COUNTIF(Collection!$E$5:$E$500,A22)</f>
        <v/>
      </c>
      <c r="C22" s="10" t="n">
        <v>13</v>
      </c>
      <c r="D22" s="5">
        <f>IF(C22="","",MAX(C22-B22,0))</f>
        <v/>
      </c>
      <c r="E22" s="13">
        <f>IF(C22="","",MIN(B22/C22,1))</f>
        <v/>
      </c>
    </row>
    <row r="23" ht="15.75" customHeight="1" s="95">
      <c r="A23" s="5" t="inlineStr">
        <is>
          <t>Ice Age</t>
        </is>
      </c>
      <c r="B23" s="5">
        <f>COUNTIF(Collection!$E$5:$E$500,A23)</f>
        <v/>
      </c>
      <c r="C23" s="10" t="n">
        <v>5</v>
      </c>
      <c r="D23" s="5">
        <f>IF(C23="","",MAX(C23-B23,0))</f>
        <v/>
      </c>
      <c r="E23" s="13">
        <f>IF(C23="","",MIN(B23/C23,1))</f>
        <v/>
      </c>
    </row>
    <row r="24" ht="15.75" customHeight="1" s="95">
      <c r="A24" s="5" t="inlineStr">
        <is>
          <t>Hangover</t>
        </is>
      </c>
      <c r="B24" s="5">
        <f>COUNTIF(Collection!$E$5:$E$500,A24)</f>
        <v/>
      </c>
      <c r="C24" s="10" t="n">
        <v>3</v>
      </c>
      <c r="D24" s="5">
        <f>IF(C24="","",MAX(C24-B24,0))</f>
        <v/>
      </c>
      <c r="E24" s="13">
        <f>IF(C24="","",MIN(B24/C24,1))</f>
        <v/>
      </c>
    </row>
    <row r="25" ht="15.75" customHeight="1" s="95">
      <c r="A25" s="5" t="inlineStr">
        <is>
          <t>Expendables</t>
        </is>
      </c>
      <c r="B25" s="5">
        <f>COUNTIF(Collection!$E$5:$E$500,A25)</f>
        <v/>
      </c>
      <c r="C25" s="10" t="n">
        <v>4</v>
      </c>
      <c r="D25" s="5">
        <f>IF(C25="","",MAX(C25-B25,0))</f>
        <v/>
      </c>
      <c r="E25" s="13">
        <f>IF(C25="","",MIN(B25/C25,1))</f>
        <v/>
      </c>
    </row>
    <row r="26" ht="15.75" customHeight="1" s="95">
      <c r="A26" s="5" t="inlineStr">
        <is>
          <t>Men in Black</t>
        </is>
      </c>
      <c r="B26" s="5">
        <f>COUNTIF(Collection!$E$5:$E$500,A26)</f>
        <v/>
      </c>
      <c r="C26" s="10" t="n">
        <v>4</v>
      </c>
      <c r="D26" s="5">
        <f>IF(C26="","",MAX(C26-B26,0))</f>
        <v/>
      </c>
      <c r="E26" s="13">
        <f>IF(C26="","",MIN(B26/C26,1))</f>
        <v/>
      </c>
    </row>
    <row r="27" ht="15.75" customHeight="1" s="95">
      <c r="A27" s="5" t="inlineStr">
        <is>
          <t>Spider-Man</t>
        </is>
      </c>
      <c r="B27" s="5">
        <f>COUNTIF(Collection!$E$5:$E$500,A27)</f>
        <v/>
      </c>
      <c r="C27" s="10" t="n">
        <v>5</v>
      </c>
      <c r="D27" s="5">
        <f>IF(C27="","",MAX(C27-B27,0))</f>
        <v/>
      </c>
      <c r="E27" s="13">
        <f>IF(C27="","",MIN(B27/C27,1))</f>
        <v/>
      </c>
    </row>
    <row r="28" ht="15.75" customHeight="1" s="95">
      <c r="A28" s="5" t="inlineStr">
        <is>
          <t>Matrix</t>
        </is>
      </c>
      <c r="B28" s="5">
        <f>COUNTIF(Collection!$E$5:$E$500,A28)</f>
        <v/>
      </c>
      <c r="C28" s="10" t="n">
        <v>4</v>
      </c>
      <c r="D28" s="5">
        <f>IF(C28="","",MAX(C28-B28,0))</f>
        <v/>
      </c>
      <c r="E28" s="13">
        <f>IF(C28="","",MIN(B28/C28,1))</f>
        <v/>
      </c>
    </row>
    <row r="29" ht="15.75" customHeight="1" s="95">
      <c r="A29" s="36" t="inlineStr">
        <is>
          <t>Rio</t>
        </is>
      </c>
      <c r="B29" s="1">
        <f>COUNTIF(Collection!$E$5:$E$500,A29)</f>
        <v/>
      </c>
      <c r="C29" s="38" t="n">
        <v>2</v>
      </c>
      <c r="D29" s="1">
        <f>IF(C29="","",MAX(C29-B29,0))</f>
        <v/>
      </c>
      <c r="E29" s="40">
        <f>IF(C29="","",MIN(B29/C29,1))</f>
        <v/>
      </c>
    </row>
    <row r="30" ht="15.75" customHeight="1" s="95">
      <c r="A30" s="103" t="inlineStr">
        <is>
          <t>Pitch Perfect</t>
        </is>
      </c>
      <c r="E30" s="104" t="n"/>
    </row>
    <row r="31" ht="15.75" customHeight="1" s="95">
      <c r="A31" s="36" t="inlineStr">
        <is>
          <t>Jurassic Park / World</t>
        </is>
      </c>
      <c r="B31" s="1">
        <f>COUNTIF(Collection!$E$5:$E$500,A31)</f>
        <v/>
      </c>
      <c r="C31" s="38" t="n">
        <v>7</v>
      </c>
      <c r="D31" s="1">
        <f>IF(C31="","",MAX(C31-B31,0))</f>
        <v/>
      </c>
      <c r="E31" s="40">
        <f>IF(C31="","",MIN(B31/C31,1))</f>
        <v/>
      </c>
    </row>
    <row r="32" ht="15.75" customHeight="1" s="95">
      <c r="A32" s="36" t="inlineStr">
        <is>
          <t>Kick-Ass</t>
        </is>
      </c>
      <c r="B32" s="1">
        <f>COUNTIF(Collection!$E$5:$E$500,A32)</f>
        <v/>
      </c>
      <c r="C32" s="38" t="n">
        <v>2</v>
      </c>
      <c r="D32" s="1">
        <f>IF(C32="","",MAX(C32-B32,0))</f>
        <v/>
      </c>
      <c r="E32" s="40">
        <f>IF(C32="","",MIN(B32/C32,1))</f>
        <v/>
      </c>
    </row>
    <row r="33" ht="15.75" customHeight="1" s="95">
      <c r="A33" s="36" t="inlineStr">
        <is>
          <t>LEGO Movie</t>
        </is>
      </c>
      <c r="B33" s="1">
        <f>COUNTIF(Collection!$E$5:$E$500,A33)</f>
        <v/>
      </c>
      <c r="C33" s="38" t="n">
        <v>4</v>
      </c>
      <c r="D33" s="1">
        <f>IF(C33="","",MAX(C33-B33,0))</f>
        <v/>
      </c>
      <c r="E33" s="40">
        <f>IF(C33="","",MIN(B33/C33,1))</f>
        <v/>
      </c>
    </row>
    <row r="34" ht="15.75" customHeight="1" s="95">
      <c r="A34" s="36" t="inlineStr">
        <is>
          <t>How to Train Your Dragon</t>
        </is>
      </c>
      <c r="B34" s="1">
        <f>COUNTIF(Collection!$E$5:$E$500,A34)</f>
        <v/>
      </c>
      <c r="C34" s="38" t="n">
        <v>3</v>
      </c>
      <c r="D34" s="1">
        <f>IF(C34="","",MAX(C34-B34,0))</f>
        <v/>
      </c>
      <c r="E34" s="40">
        <f>IF(C34="","",MIN(B34/C34,1))</f>
        <v/>
      </c>
    </row>
    <row r="35" ht="15.75" customHeight="1" s="95">
      <c r="A35" s="36" t="inlineStr">
        <is>
          <t>Grown Ups</t>
        </is>
      </c>
      <c r="B35" s="1">
        <f>COUNTIF(Collection!$E$5:$E$500,A35)</f>
        <v/>
      </c>
      <c r="C35" s="38" t="n">
        <v>2</v>
      </c>
      <c r="D35" s="1">
        <f>IF(C35="","",MAX(C35-B35,0))</f>
        <v/>
      </c>
      <c r="E35" s="40">
        <f>IF(C35="","",MIN(B35/C35,1))</f>
        <v/>
      </c>
    </row>
    <row r="36" ht="15.75" customHeight="1" s="95">
      <c r="A36" s="36" t="inlineStr">
        <is>
          <t>Sherlock Holmes</t>
        </is>
      </c>
      <c r="B36" s="1">
        <f>COUNTIF(Collection!$E$5:$E$500,A36)</f>
        <v/>
      </c>
      <c r="C36" s="38" t="n">
        <v>2</v>
      </c>
      <c r="D36" s="1">
        <f>IF(C36="","",MAX(C36-B36,0))</f>
        <v/>
      </c>
      <c r="E36" s="40">
        <f>IF(C36="","",MIN(B36/C36,1))</f>
        <v/>
      </c>
    </row>
    <row r="37" ht="15.75" customHeight="1" s="95">
      <c r="A37" s="36" t="inlineStr">
        <is>
          <t>Taken</t>
        </is>
      </c>
      <c r="B37" s="1">
        <f>COUNTIF(Collection!$E$5:$E$500,A37)</f>
        <v/>
      </c>
      <c r="C37" s="38" t="n">
        <v>3</v>
      </c>
      <c r="D37" s="1">
        <f>IF(C37="","",MAX(C37-B37,0))</f>
        <v/>
      </c>
      <c r="E37" s="40">
        <f>IF(C37="","",MIN(B37/C37,1))</f>
        <v/>
      </c>
    </row>
    <row r="38" ht="15.75" customHeight="1" s="95">
      <c r="A38" s="36" t="inlineStr">
        <is>
          <t>Wreck-It Ralph</t>
        </is>
      </c>
      <c r="B38" s="1">
        <f>COUNTIF(Collection!$E$5:$E$500,A38)</f>
        <v/>
      </c>
      <c r="C38" s="38" t="n">
        <v>2</v>
      </c>
      <c r="D38" s="1">
        <f>IF(C38="","",MAX(C38-B38,0))</f>
        <v/>
      </c>
      <c r="E38" s="40">
        <f>IF(C38="","",MIN(B38/C38,1))</f>
        <v/>
      </c>
    </row>
    <row r="39" ht="15.75" customHeight="1" s="95">
      <c r="A39" s="36" t="inlineStr">
        <is>
          <t>Monsters, Inc.</t>
        </is>
      </c>
      <c r="B39" s="1">
        <f>COUNTIF(Collection!$E$5:$E$500,A39)</f>
        <v/>
      </c>
      <c r="C39" s="38" t="n">
        <v>2</v>
      </c>
      <c r="D39" s="1">
        <f>IF(C39="","",MAX(C39-B39,0))</f>
        <v/>
      </c>
      <c r="E39" s="40">
        <f>IF(C39="","",MIN(B39/C39,1))</f>
        <v/>
      </c>
    </row>
    <row r="40" ht="15.75" customHeight="1" s="95">
      <c r="A40" s="36" t="inlineStr">
        <is>
          <t>MonsterVerse</t>
        </is>
      </c>
      <c r="B40" s="1">
        <f>COUNTIF(Collection!$E$5:$E$500,A40)</f>
        <v/>
      </c>
      <c r="C40" s="38" t="n">
        <v>5</v>
      </c>
      <c r="D40" s="1">
        <f>IF(C40="","",MAX(C40-B40,0))</f>
        <v/>
      </c>
      <c r="E40" s="40">
        <f>IF(C40="","",MIN(B40/C40,1))</f>
        <v/>
      </c>
    </row>
    <row r="41" ht="15.75" customHeight="1" s="95">
      <c r="A41" s="36" t="inlineStr">
        <is>
          <t>The Inbetweeners</t>
        </is>
      </c>
      <c r="B41" s="1">
        <f>COUNTIF(Collection!$E$5:$E$500,A41)</f>
        <v/>
      </c>
      <c r="C41" s="38" t="n">
        <v>2</v>
      </c>
      <c r="D41" s="1">
        <f>IF(C41="","",MAX(C41-B41,0))</f>
        <v/>
      </c>
      <c r="E41" s="40">
        <f>IF(C41="","",MIN(B41/C41,1))</f>
        <v/>
      </c>
    </row>
    <row r="42" ht="15.75" customHeight="1" s="95">
      <c r="A42" s="36" t="inlineStr">
        <is>
          <t>Anchorman</t>
        </is>
      </c>
      <c r="B42" s="1">
        <f>COUNTIF(Collection!$E$5:$E$500,A42)</f>
        <v/>
      </c>
      <c r="C42" s="38" t="n">
        <v>2</v>
      </c>
      <c r="D42" s="1">
        <f>IF(C42="","",MAX(C42-B42,0))</f>
        <v/>
      </c>
      <c r="E42" s="40">
        <f>IF(C42="","",MIN(B42/C42,1))</f>
        <v/>
      </c>
    </row>
    <row r="43" ht="15.75" customHeight="1" s="95">
      <c r="A43" s="36" t="inlineStr">
        <is>
          <t>Bad Boys</t>
        </is>
      </c>
      <c r="B43" s="1">
        <f>COUNTIF(Collection!$E$5:$E$500,A43)</f>
        <v/>
      </c>
      <c r="C43" s="38" t="n">
        <v>4</v>
      </c>
      <c r="D43" s="1">
        <f>IF(C43="","",MAX(C43-B43,0))</f>
        <v/>
      </c>
      <c r="E43" s="40">
        <f>IF(C43="","",MIN(B43/C43,1))</f>
        <v/>
      </c>
    </row>
    <row r="44" ht="15.75" customHeight="1" s="95">
      <c r="A44" s="36" t="inlineStr">
        <is>
          <t>Cloudy with a Chance of Meatballs</t>
        </is>
      </c>
      <c r="B44" s="1">
        <f>COUNTIF(Collection!$E$5:$E$500,A44)</f>
        <v/>
      </c>
      <c r="C44" s="38" t="n">
        <v>2</v>
      </c>
      <c r="D44" s="1">
        <f>IF(C44="","",MAX(C44-B44,0))</f>
        <v/>
      </c>
      <c r="E44" s="40">
        <f>IF(C44="","",MIN(B44/C44,1))</f>
        <v/>
      </c>
    </row>
    <row r="45" ht="15.75" customHeight="1" s="95">
      <c r="A45" s="36" t="inlineStr">
        <is>
          <t>Back to the Future</t>
        </is>
      </c>
      <c r="B45" s="1">
        <f>COUNTIF(Collection!$E$5:$E$500,A45)</f>
        <v/>
      </c>
      <c r="C45" s="38" t="n">
        <v>3</v>
      </c>
      <c r="D45" s="1">
        <f>IF(C45="","",MAX(C45-B45,0))</f>
        <v/>
      </c>
      <c r="E45" s="40">
        <f>IF(C45="","",MIN(B45/C45,1))</f>
        <v/>
      </c>
    </row>
    <row r="46" ht="15.75" customHeight="1" s="95">
      <c r="A46" s="36" t="inlineStr">
        <is>
          <t>MCU</t>
        </is>
      </c>
      <c r="B46" s="1">
        <f>COUNTIF(Collection!$E$5:$E$500,A46)</f>
        <v/>
      </c>
      <c r="C46" s="38" t="n"/>
      <c r="D46" s="1">
        <f>IF(C46="","",MAX(C46-B46,0))</f>
        <v/>
      </c>
      <c r="E46" s="40">
        <f>IF(C46="","",MIN(B46/C46,1))</f>
        <v/>
      </c>
    </row>
    <row r="47" ht="15.75" customHeight="1" s="95">
      <c r="A47" s="46" t="inlineStr">
        <is>
          <t>The Dark Knight Trilogy</t>
        </is>
      </c>
      <c r="B47" s="47">
        <f>COUNTIF(Collection!$E$5:$E$500,A47)</f>
        <v/>
      </c>
      <c r="C47" s="48" t="n">
        <v>3</v>
      </c>
      <c r="D47" s="47">
        <f>IF(C47="","",MAX(C47-B47,0))</f>
        <v/>
      </c>
      <c r="E47" s="49">
        <f>IF(C47="","",MIN(B47/C47,1))</f>
        <v/>
      </c>
    </row>
    <row r="48" ht="15.75" customHeight="1" s="95"/>
    <row r="49" ht="15.75" customHeight="1" s="95"/>
    <row r="50" ht="15.75" customHeight="1" s="95"/>
    <row r="51" ht="15.75" customHeight="1" s="95"/>
    <row r="52" ht="15.75" customHeight="1" s="95"/>
    <row r="53" ht="15.75" customHeight="1" s="95"/>
    <row r="54" ht="15.75" customHeight="1" s="95"/>
    <row r="55" ht="15.75" customHeight="1" s="95"/>
    <row r="56" ht="15.75" customHeight="1" s="95"/>
    <row r="57" ht="15.75" customHeight="1" s="95"/>
    <row r="58" ht="15.75" customHeight="1" s="95"/>
    <row r="59" ht="15.75" customHeight="1" s="95"/>
    <row r="60" ht="15.75" customHeight="1" s="95"/>
    <row r="61" ht="15.75" customHeight="1" s="95"/>
    <row r="62" ht="15.75" customHeight="1" s="95"/>
    <row r="63" ht="15.75" customHeight="1" s="95"/>
    <row r="64" ht="15.75" customHeight="1" s="95"/>
    <row r="65" ht="15.75" customHeight="1" s="95"/>
    <row r="66" ht="15.75" customHeight="1" s="95"/>
    <row r="67" ht="15.75" customHeight="1" s="95"/>
    <row r="68" ht="15.75" customHeight="1" s="95"/>
    <row r="69" ht="15.75" customHeight="1" s="95"/>
    <row r="70" ht="15.75" customHeight="1" s="95"/>
    <row r="71" ht="15.75" customHeight="1" s="95"/>
    <row r="72" ht="15.75" customHeight="1" s="95"/>
    <row r="73" ht="15.75" customHeight="1" s="95"/>
    <row r="74" ht="15.75" customHeight="1" s="95"/>
    <row r="75" ht="15.75" customHeight="1" s="95"/>
    <row r="76" ht="15.75" customHeight="1" s="95"/>
    <row r="77" ht="15.75" customHeight="1" s="95"/>
    <row r="78" ht="15.75" customHeight="1" s="95"/>
    <row r="79" ht="15.75" customHeight="1" s="95"/>
    <row r="80" ht="15.75" customHeight="1" s="95"/>
    <row r="81" ht="15.75" customHeight="1" s="95"/>
    <row r="82" ht="15.75" customHeight="1" s="95"/>
    <row r="83" ht="15.75" customHeight="1" s="95"/>
    <row r="84" ht="15.75" customHeight="1" s="95"/>
    <row r="85" ht="15.75" customHeight="1" s="95"/>
    <row r="86" ht="15.75" customHeight="1" s="95"/>
    <row r="87" ht="15.75" customHeight="1" s="95"/>
    <row r="88" ht="15.75" customHeight="1" s="95"/>
    <row r="89" ht="15.75" customHeight="1" s="95"/>
    <row r="90" ht="15.75" customHeight="1" s="95"/>
    <row r="91" ht="15.75" customHeight="1" s="95"/>
    <row r="92" ht="15.75" customHeight="1" s="95"/>
    <row r="93" ht="15.75" customHeight="1" s="95"/>
    <row r="94" ht="15.75" customHeight="1" s="95"/>
    <row r="95" ht="15.75" customHeight="1" s="95"/>
    <row r="96" ht="15.75" customHeight="1" s="95"/>
    <row r="97" ht="15.75" customHeight="1" s="95"/>
    <row r="98" ht="15.75" customHeight="1" s="95"/>
    <row r="99" ht="15.75" customHeight="1" s="95"/>
    <row r="100" ht="15.75" customHeight="1" s="95"/>
    <row r="101" ht="15.75" customHeight="1" s="95"/>
    <row r="102" ht="15.75" customHeight="1" s="95"/>
    <row r="103" ht="15.75" customHeight="1" s="95"/>
    <row r="104" ht="15.75" customHeight="1" s="95"/>
    <row r="105" ht="15.75" customHeight="1" s="95"/>
    <row r="106" ht="15.75" customHeight="1" s="95"/>
    <row r="107" ht="15.75" customHeight="1" s="95"/>
    <row r="108" ht="15.75" customHeight="1" s="95"/>
    <row r="109" ht="15.75" customHeight="1" s="95"/>
    <row r="110" ht="15.75" customHeight="1" s="95"/>
    <row r="111" ht="15.75" customHeight="1" s="95"/>
    <row r="112" ht="15.75" customHeight="1" s="95"/>
    <row r="113" ht="15.75" customHeight="1" s="95"/>
    <row r="114" ht="15.75" customHeight="1" s="95"/>
    <row r="115" ht="15.75" customHeight="1" s="95"/>
    <row r="116" ht="15.75" customHeight="1" s="95"/>
    <row r="117" ht="15.75" customHeight="1" s="95"/>
    <row r="118" ht="15.75" customHeight="1" s="95"/>
    <row r="119" ht="15.75" customHeight="1" s="95"/>
    <row r="120" ht="15.75" customHeight="1" s="95"/>
    <row r="121" ht="15.75" customHeight="1" s="95"/>
    <row r="122" ht="15.75" customHeight="1" s="95"/>
    <row r="123" ht="15.75" customHeight="1" s="95"/>
    <row r="124" ht="15.75" customHeight="1" s="95"/>
    <row r="125" ht="15.75" customHeight="1" s="95"/>
    <row r="126" ht="15.75" customHeight="1" s="95"/>
    <row r="127" ht="15.75" customHeight="1" s="95"/>
    <row r="128" ht="15.75" customHeight="1" s="95"/>
    <row r="129" ht="15.75" customHeight="1" s="95"/>
    <row r="130" ht="15.75" customHeight="1" s="95"/>
    <row r="131" ht="15.75" customHeight="1" s="95"/>
    <row r="132" ht="15.75" customHeight="1" s="95"/>
    <row r="133" ht="15.75" customHeight="1" s="95"/>
    <row r="134" ht="15.75" customHeight="1" s="95"/>
    <row r="135" ht="15.75" customHeight="1" s="95"/>
    <row r="136" ht="15.75" customHeight="1" s="95"/>
    <row r="137" ht="15.75" customHeight="1" s="95"/>
    <row r="138" ht="15.75" customHeight="1" s="95"/>
    <row r="139" ht="15.75" customHeight="1" s="95"/>
    <row r="140" ht="15.75" customHeight="1" s="95"/>
    <row r="141" ht="15.75" customHeight="1" s="95"/>
    <row r="142" ht="15.75" customHeight="1" s="95"/>
    <row r="143" ht="15.75" customHeight="1" s="95"/>
    <row r="144" ht="15.75" customHeight="1" s="95"/>
    <row r="145" ht="15.75" customHeight="1" s="95"/>
    <row r="146" ht="15.75" customHeight="1" s="95"/>
    <row r="147" ht="15.75" customHeight="1" s="95"/>
    <row r="148" ht="15.75" customHeight="1" s="95"/>
    <row r="149" ht="15.75" customHeight="1" s="95"/>
    <row r="150" ht="15.75" customHeight="1" s="95"/>
    <row r="151" ht="15.75" customHeight="1" s="95"/>
    <row r="152" ht="15.75" customHeight="1" s="95"/>
    <row r="153" ht="15.75" customHeight="1" s="95"/>
    <row r="154" ht="15.75" customHeight="1" s="95"/>
    <row r="155" ht="15.75" customHeight="1" s="95"/>
    <row r="156" ht="15.75" customHeight="1" s="95"/>
    <row r="157" ht="15.75" customHeight="1" s="95"/>
    <row r="158" ht="15.75" customHeight="1" s="95"/>
    <row r="159" ht="15.75" customHeight="1" s="95"/>
    <row r="160" ht="15.75" customHeight="1" s="95"/>
    <row r="161" ht="15.75" customHeight="1" s="95"/>
    <row r="162" ht="15.75" customHeight="1" s="95"/>
    <row r="163" ht="15.75" customHeight="1" s="95"/>
    <row r="164" ht="15.75" customHeight="1" s="95"/>
    <row r="165" ht="15.75" customHeight="1" s="95"/>
    <row r="166" ht="15.75" customHeight="1" s="95"/>
    <row r="167" ht="15.75" customHeight="1" s="95"/>
    <row r="168" ht="15.75" customHeight="1" s="95"/>
    <row r="169" ht="15.75" customHeight="1" s="95"/>
    <row r="170" ht="15.75" customHeight="1" s="95"/>
    <row r="171" ht="15.75" customHeight="1" s="95"/>
    <row r="172" ht="15.75" customHeight="1" s="95"/>
    <row r="173" ht="15.75" customHeight="1" s="95"/>
    <row r="174" ht="15.75" customHeight="1" s="95"/>
    <row r="175" ht="15.75" customHeight="1" s="95"/>
    <row r="176" ht="15.75" customHeight="1" s="95"/>
    <row r="177" ht="15.75" customHeight="1" s="95"/>
    <row r="178" ht="15.75" customHeight="1" s="95"/>
    <row r="179" ht="15.75" customHeight="1" s="95"/>
    <row r="180" ht="15.75" customHeight="1" s="95"/>
    <row r="181" ht="15.75" customHeight="1" s="95"/>
    <row r="182" ht="15.75" customHeight="1" s="95"/>
    <row r="183" ht="15.75" customHeight="1" s="95"/>
    <row r="184" ht="15.75" customHeight="1" s="95"/>
    <row r="185" ht="15.75" customHeight="1" s="95"/>
    <row r="186" ht="15.75" customHeight="1" s="95"/>
    <row r="187" ht="15.75" customHeight="1" s="95"/>
    <row r="188" ht="15.75" customHeight="1" s="95"/>
    <row r="189" ht="15.75" customHeight="1" s="95"/>
    <row r="190" ht="15.75" customHeight="1" s="95"/>
    <row r="191" ht="15.75" customHeight="1" s="95"/>
    <row r="192" ht="15.75" customHeight="1" s="95"/>
    <row r="193" ht="15.75" customHeight="1" s="95"/>
    <row r="194" ht="15.75" customHeight="1" s="95"/>
    <row r="195" ht="15.75" customHeight="1" s="95"/>
    <row r="196" ht="15.75" customHeight="1" s="95"/>
    <row r="197" ht="15.75" customHeight="1" s="95"/>
    <row r="198" ht="15.75" customHeight="1" s="95"/>
    <row r="199" ht="15.75" customHeight="1" s="95"/>
    <row r="200" ht="15.75" customHeight="1" s="95"/>
    <row r="201" ht="15.75" customHeight="1" s="95"/>
    <row r="202" ht="15.75" customHeight="1" s="95"/>
    <row r="203" ht="15.75" customHeight="1" s="95"/>
    <row r="204" ht="15.75" customHeight="1" s="95"/>
    <row r="205" ht="15.75" customHeight="1" s="95"/>
    <row r="206" ht="15.75" customHeight="1" s="95"/>
    <row r="207" ht="15.75" customHeight="1" s="95"/>
    <row r="208" ht="15.75" customHeight="1" s="95"/>
    <row r="209" ht="15.75" customHeight="1" s="95"/>
    <row r="210" ht="15.75" customHeight="1" s="95"/>
    <row r="211" ht="15.75" customHeight="1" s="95"/>
    <row r="212" ht="15.75" customHeight="1" s="95"/>
    <row r="213" ht="15.75" customHeight="1" s="95"/>
    <row r="214" ht="15.75" customHeight="1" s="95"/>
    <row r="215" ht="15.75" customHeight="1" s="95"/>
    <row r="216" ht="15.75" customHeight="1" s="95"/>
    <row r="217" ht="15.75" customHeight="1" s="95"/>
    <row r="218" ht="15.75" customHeight="1" s="95"/>
    <row r="219" ht="15.75" customHeight="1" s="95"/>
    <row r="220" ht="15.75" customHeight="1" s="95"/>
    <row r="221" ht="15.75" customHeight="1" s="95"/>
    <row r="222" ht="15.75" customHeight="1" s="95"/>
    <row r="223" ht="15.75" customHeight="1" s="95"/>
    <row r="224" ht="15.75" customHeight="1" s="95"/>
    <row r="225" ht="15.75" customHeight="1" s="95"/>
    <row r="226" ht="15.75" customHeight="1" s="95"/>
    <row r="227" ht="15.75" customHeight="1" s="95"/>
    <row r="228" ht="15.75" customHeight="1" s="95"/>
    <row r="229" ht="15.75" customHeight="1" s="95"/>
    <row r="230" ht="15.75" customHeight="1" s="95"/>
    <row r="231" ht="15.75" customHeight="1" s="95"/>
    <row r="232" ht="15.75" customHeight="1" s="95"/>
    <row r="233" ht="15.75" customHeight="1" s="95"/>
    <row r="234" ht="15.75" customHeight="1" s="95"/>
    <row r="235" ht="15.75" customHeight="1" s="95"/>
    <row r="236" ht="15.75" customHeight="1" s="95"/>
    <row r="237" ht="15.75" customHeight="1" s="95"/>
    <row r="238" ht="15.75" customHeight="1" s="95"/>
    <row r="239" ht="15.75" customHeight="1" s="95"/>
    <row r="240" ht="15.75" customHeight="1" s="95"/>
    <row r="241" ht="15.75" customHeight="1" s="95"/>
    <row r="242" ht="15.75" customHeight="1" s="95"/>
    <row r="243" ht="15.75" customHeight="1" s="95"/>
    <row r="244" ht="15.75" customHeight="1" s="95"/>
    <row r="245" ht="15.75" customHeight="1" s="95"/>
    <row r="246" ht="15.75" customHeight="1" s="95"/>
    <row r="247" ht="15.75" customHeight="1" s="95"/>
    <row r="248" ht="15.75" customHeight="1" s="95"/>
    <row r="249" ht="15.75" customHeight="1" s="95"/>
    <row r="250" ht="15.75" customHeight="1" s="95"/>
    <row r="251" ht="15.75" customHeight="1" s="95"/>
    <row r="252" ht="15.75" customHeight="1" s="95"/>
    <row r="253" ht="15.75" customHeight="1" s="95"/>
    <row r="254" ht="15.75" customHeight="1" s="95"/>
    <row r="255" ht="15.75" customHeight="1" s="95"/>
    <row r="256" ht="15.75" customHeight="1" s="95"/>
    <row r="257" ht="15.75" customHeight="1" s="95"/>
    <row r="258" ht="15.75" customHeight="1" s="95"/>
    <row r="259" ht="15.75" customHeight="1" s="95"/>
    <row r="260" ht="15.75" customHeight="1" s="95"/>
    <row r="261" ht="15.75" customHeight="1" s="95"/>
    <row r="262" ht="15.75" customHeight="1" s="95"/>
    <row r="263" ht="15.75" customHeight="1" s="95"/>
    <row r="264" ht="15.75" customHeight="1" s="95"/>
    <row r="265" ht="15.75" customHeight="1" s="95"/>
    <row r="266" ht="15.75" customHeight="1" s="95"/>
    <row r="267" ht="15.75" customHeight="1" s="95"/>
    <row r="268" ht="15.75" customHeight="1" s="95"/>
    <row r="269" ht="15.75" customHeight="1" s="95"/>
    <row r="270" ht="15.75" customHeight="1" s="95"/>
    <row r="271" ht="15.75" customHeight="1" s="95"/>
    <row r="272" ht="15.75" customHeight="1" s="95"/>
    <row r="273" ht="15.75" customHeight="1" s="95"/>
    <row r="274" ht="15.75" customHeight="1" s="95"/>
    <row r="275" ht="15.75" customHeight="1" s="95"/>
    <row r="276" ht="15.75" customHeight="1" s="95"/>
    <row r="277" ht="15.75" customHeight="1" s="95"/>
    <row r="278" ht="15.75" customHeight="1" s="95"/>
    <row r="279" ht="15.75" customHeight="1" s="95"/>
    <row r="280" ht="15.75" customHeight="1" s="95"/>
    <row r="281" ht="15.75" customHeight="1" s="95"/>
    <row r="282" ht="15.75" customHeight="1" s="95"/>
    <row r="283" ht="15.75" customHeight="1" s="95"/>
    <row r="284" ht="15.75" customHeight="1" s="95"/>
    <row r="285" ht="15.75" customHeight="1" s="95"/>
    <row r="286" ht="15.75" customHeight="1" s="95"/>
    <row r="287" ht="15.75" customHeight="1" s="95"/>
    <row r="288" ht="15.75" customHeight="1" s="95"/>
    <row r="289" ht="15.75" customHeight="1" s="95"/>
    <row r="290" ht="15.75" customHeight="1" s="95"/>
    <row r="291" ht="15.75" customHeight="1" s="95"/>
    <row r="292" ht="15.75" customHeight="1" s="95"/>
    <row r="293" ht="15.75" customHeight="1" s="95"/>
    <row r="294" ht="15.75" customHeight="1" s="95"/>
    <row r="295" ht="15.75" customHeight="1" s="95"/>
    <row r="296" ht="15.75" customHeight="1" s="95"/>
    <row r="297" ht="15.75" customHeight="1" s="95"/>
    <row r="298" ht="15.75" customHeight="1" s="95"/>
    <row r="299" ht="15.75" customHeight="1" s="95"/>
    <row r="300" ht="15.75" customHeight="1" s="95"/>
    <row r="301" ht="15.75" customHeight="1" s="95"/>
    <row r="302" ht="15.75" customHeight="1" s="95"/>
    <row r="303" ht="15.75" customHeight="1" s="95"/>
    <row r="304" ht="15.75" customHeight="1" s="95"/>
    <row r="305" ht="15.75" customHeight="1" s="95"/>
    <row r="306" ht="15.75" customHeight="1" s="95"/>
    <row r="307" ht="15.75" customHeight="1" s="95"/>
    <row r="308" ht="15.75" customHeight="1" s="95"/>
    <row r="309" ht="15.75" customHeight="1" s="95"/>
    <row r="310" ht="15.75" customHeight="1" s="95"/>
    <row r="311" ht="15.75" customHeight="1" s="95"/>
    <row r="312" ht="15.75" customHeight="1" s="95"/>
    <row r="313" ht="15.75" customHeight="1" s="95"/>
    <row r="314" ht="15.75" customHeight="1" s="95"/>
    <row r="315" ht="15.75" customHeight="1" s="95"/>
    <row r="316" ht="15.75" customHeight="1" s="95"/>
    <row r="317" ht="15.75" customHeight="1" s="95"/>
    <row r="318" ht="15.75" customHeight="1" s="95"/>
    <row r="319" ht="15.75" customHeight="1" s="95"/>
    <row r="320" ht="15.75" customHeight="1" s="95"/>
    <row r="321" ht="15.75" customHeight="1" s="95"/>
    <row r="322" ht="15.75" customHeight="1" s="95"/>
    <row r="323" ht="15.75" customHeight="1" s="95"/>
    <row r="324" ht="15.75" customHeight="1" s="95"/>
    <row r="325" ht="15.75" customHeight="1" s="95"/>
    <row r="326" ht="15.75" customHeight="1" s="95"/>
    <row r="327" ht="15.75" customHeight="1" s="95"/>
    <row r="328" ht="15.75" customHeight="1" s="95"/>
    <row r="329" ht="15.75" customHeight="1" s="95"/>
    <row r="330" ht="15.75" customHeight="1" s="95"/>
    <row r="331" ht="15.75" customHeight="1" s="95"/>
    <row r="332" ht="15.75" customHeight="1" s="95"/>
    <row r="333" ht="15.75" customHeight="1" s="95"/>
    <row r="334" ht="15.75" customHeight="1" s="95"/>
    <row r="335" ht="15.75" customHeight="1" s="95"/>
    <row r="336" ht="15.75" customHeight="1" s="95"/>
    <row r="337" ht="15.75" customHeight="1" s="95"/>
    <row r="338" ht="15.75" customHeight="1" s="95"/>
    <row r="339" ht="15.75" customHeight="1" s="95"/>
    <row r="340" ht="15.75" customHeight="1" s="95"/>
    <row r="341" ht="15.75" customHeight="1" s="95"/>
    <row r="342" ht="15.75" customHeight="1" s="95"/>
    <row r="343" ht="15.75" customHeight="1" s="95"/>
    <row r="344" ht="15.75" customHeight="1" s="95"/>
    <row r="345" ht="15.75" customHeight="1" s="95"/>
    <row r="346" ht="15.75" customHeight="1" s="95"/>
    <row r="347" ht="15.75" customHeight="1" s="95"/>
    <row r="348" ht="15.75" customHeight="1" s="95"/>
    <row r="349" ht="15.75" customHeight="1" s="95"/>
    <row r="350" ht="15.75" customHeight="1" s="95"/>
    <row r="351" ht="15.75" customHeight="1" s="95"/>
    <row r="352" ht="15.75" customHeight="1" s="95"/>
    <row r="353" ht="15.75" customHeight="1" s="95"/>
    <row r="354" ht="15.75" customHeight="1" s="95"/>
    <row r="355" ht="15.75" customHeight="1" s="95"/>
    <row r="356" ht="15.75" customHeight="1" s="95"/>
    <row r="357" ht="15.75" customHeight="1" s="95"/>
    <row r="358" ht="15.75" customHeight="1" s="95"/>
    <row r="359" ht="15.75" customHeight="1" s="95"/>
    <row r="360" ht="15.75" customHeight="1" s="95"/>
    <row r="361" ht="15.75" customHeight="1" s="95"/>
    <row r="362" ht="15.75" customHeight="1" s="95"/>
    <row r="363" ht="15.75" customHeight="1" s="95"/>
    <row r="364" ht="15.75" customHeight="1" s="95"/>
    <row r="365" ht="15.75" customHeight="1" s="95"/>
    <row r="366" ht="15.75" customHeight="1" s="95"/>
    <row r="367" ht="15.75" customHeight="1" s="95"/>
    <row r="368" ht="15.75" customHeight="1" s="95"/>
    <row r="369" ht="15.75" customHeight="1" s="95"/>
    <row r="370" ht="15.75" customHeight="1" s="95"/>
    <row r="371" ht="15.75" customHeight="1" s="95"/>
    <row r="372" ht="15.75" customHeight="1" s="95"/>
    <row r="373" ht="15.75" customHeight="1" s="95"/>
    <row r="374" ht="15.75" customHeight="1" s="95"/>
    <row r="375" ht="15.75" customHeight="1" s="95"/>
    <row r="376" ht="15.75" customHeight="1" s="95"/>
    <row r="377" ht="15.75" customHeight="1" s="95"/>
    <row r="378" ht="15.75" customHeight="1" s="95"/>
    <row r="379" ht="15.75" customHeight="1" s="95"/>
    <row r="380" ht="15.75" customHeight="1" s="95"/>
    <row r="381" ht="15.75" customHeight="1" s="95"/>
    <row r="382" ht="15.75" customHeight="1" s="95"/>
    <row r="383" ht="15.75" customHeight="1" s="95"/>
    <row r="384" ht="15.75" customHeight="1" s="95"/>
    <row r="385" ht="15.75" customHeight="1" s="95"/>
    <row r="386" ht="15.75" customHeight="1" s="95"/>
    <row r="387" ht="15.75" customHeight="1" s="95"/>
    <row r="388" ht="15.75" customHeight="1" s="95"/>
    <row r="389" ht="15.75" customHeight="1" s="95"/>
    <row r="390" ht="15.75" customHeight="1" s="95"/>
    <row r="391" ht="15.75" customHeight="1" s="95"/>
    <row r="392" ht="15.75" customHeight="1" s="95"/>
    <row r="393" ht="15.75" customHeight="1" s="95"/>
    <row r="394" ht="15.75" customHeight="1" s="95"/>
    <row r="395" ht="15.75" customHeight="1" s="95"/>
    <row r="396" ht="15.75" customHeight="1" s="95"/>
    <row r="397" ht="15.75" customHeight="1" s="95"/>
    <row r="398" ht="15.75" customHeight="1" s="95"/>
    <row r="399" ht="15.75" customHeight="1" s="95"/>
    <row r="400" ht="15.75" customHeight="1" s="95"/>
    <row r="401" ht="15.75" customHeight="1" s="95"/>
    <row r="402" ht="15.75" customHeight="1" s="95"/>
    <row r="403" ht="15.75" customHeight="1" s="95"/>
    <row r="404" ht="15.75" customHeight="1" s="95"/>
    <row r="405" ht="15.75" customHeight="1" s="95"/>
    <row r="406" ht="15.75" customHeight="1" s="95"/>
    <row r="407" ht="15.75" customHeight="1" s="95"/>
    <row r="408" ht="15.75" customHeight="1" s="95"/>
    <row r="409" ht="15.75" customHeight="1" s="95"/>
    <row r="410" ht="15.75" customHeight="1" s="95"/>
    <row r="411" ht="15.75" customHeight="1" s="95"/>
    <row r="412" ht="15.75" customHeight="1" s="95"/>
    <row r="413" ht="15.75" customHeight="1" s="95"/>
    <row r="414" ht="15.75" customHeight="1" s="95"/>
    <row r="415" ht="15.75" customHeight="1" s="95"/>
    <row r="416" ht="15.75" customHeight="1" s="95"/>
    <row r="417" ht="15.75" customHeight="1" s="95"/>
    <row r="418" ht="15.75" customHeight="1" s="95"/>
    <row r="419" ht="15.75" customHeight="1" s="95"/>
    <row r="420" ht="15.75" customHeight="1" s="95"/>
    <row r="421" ht="15.75" customHeight="1" s="95"/>
    <row r="422" ht="15.75" customHeight="1" s="95"/>
    <row r="423" ht="15.75" customHeight="1" s="95"/>
    <row r="424" ht="15.75" customHeight="1" s="95"/>
    <row r="425" ht="15.75" customHeight="1" s="95"/>
    <row r="426" ht="15.75" customHeight="1" s="95"/>
    <row r="427" ht="15.75" customHeight="1" s="95"/>
    <row r="428" ht="15.75" customHeight="1" s="95"/>
    <row r="429" ht="15.75" customHeight="1" s="95"/>
    <row r="430" ht="15.75" customHeight="1" s="95"/>
    <row r="431" ht="15.75" customHeight="1" s="95"/>
    <row r="432" ht="15.75" customHeight="1" s="95"/>
    <row r="433" ht="15.75" customHeight="1" s="95"/>
    <row r="434" ht="15.75" customHeight="1" s="95"/>
    <row r="435" ht="15.75" customHeight="1" s="95"/>
    <row r="436" ht="15.75" customHeight="1" s="95"/>
    <row r="437" ht="15.75" customHeight="1" s="95"/>
    <row r="438" ht="15.75" customHeight="1" s="95"/>
    <row r="439" ht="15.75" customHeight="1" s="95"/>
    <row r="440" ht="15.75" customHeight="1" s="95"/>
    <row r="441" ht="15.75" customHeight="1" s="95"/>
    <row r="442" ht="15.75" customHeight="1" s="95"/>
    <row r="443" ht="15.75" customHeight="1" s="95"/>
    <row r="444" ht="15.75" customHeight="1" s="95"/>
    <row r="445" ht="15.75" customHeight="1" s="95"/>
    <row r="446" ht="15.75" customHeight="1" s="95"/>
    <row r="447" ht="15.75" customHeight="1" s="95"/>
    <row r="448" ht="15.75" customHeight="1" s="95"/>
    <row r="449" ht="15.75" customHeight="1" s="95"/>
    <row r="450" ht="15.75" customHeight="1" s="95"/>
    <row r="451" ht="15.75" customHeight="1" s="95"/>
    <row r="452" ht="15.75" customHeight="1" s="95"/>
    <row r="453" ht="15.75" customHeight="1" s="95"/>
    <row r="454" ht="15.75" customHeight="1" s="95"/>
    <row r="455" ht="15.75" customHeight="1" s="95"/>
    <row r="456" ht="15.75" customHeight="1" s="95"/>
    <row r="457" ht="15.75" customHeight="1" s="95"/>
    <row r="458" ht="15.75" customHeight="1" s="95"/>
    <row r="459" ht="15.75" customHeight="1" s="95"/>
    <row r="460" ht="15.75" customHeight="1" s="95"/>
    <row r="461" ht="15.75" customHeight="1" s="95"/>
    <row r="462" ht="15.75" customHeight="1" s="95"/>
    <row r="463" ht="15.75" customHeight="1" s="95"/>
    <row r="464" ht="15.75" customHeight="1" s="95"/>
    <row r="465" ht="15.75" customHeight="1" s="95"/>
    <row r="466" ht="15.75" customHeight="1" s="95"/>
    <row r="467" ht="15.75" customHeight="1" s="95"/>
    <row r="468" ht="15.75" customHeight="1" s="95"/>
    <row r="469" ht="15.75" customHeight="1" s="95"/>
    <row r="470" ht="15.75" customHeight="1" s="95"/>
    <row r="471" ht="15.75" customHeight="1" s="95"/>
    <row r="472" ht="15.75" customHeight="1" s="95"/>
    <row r="473" ht="15.75" customHeight="1" s="95"/>
    <row r="474" ht="15.75" customHeight="1" s="95"/>
    <row r="475" ht="15.75" customHeight="1" s="95"/>
    <row r="476" ht="15.75" customHeight="1" s="95"/>
    <row r="477" ht="15.75" customHeight="1" s="95"/>
    <row r="478" ht="15.75" customHeight="1" s="95"/>
    <row r="479" ht="15.75" customHeight="1" s="95"/>
    <row r="480" ht="15.75" customHeight="1" s="95"/>
    <row r="481" ht="15.75" customHeight="1" s="95"/>
    <row r="482" ht="15.75" customHeight="1" s="95"/>
    <row r="483" ht="15.75" customHeight="1" s="95"/>
    <row r="484" ht="15.75" customHeight="1" s="95"/>
    <row r="485" ht="15.75" customHeight="1" s="95"/>
    <row r="486" ht="15.75" customHeight="1" s="95"/>
    <row r="487" ht="15.75" customHeight="1" s="95"/>
    <row r="488" ht="15.75" customHeight="1" s="95"/>
    <row r="489" ht="15.75" customHeight="1" s="95"/>
    <row r="490" ht="15.75" customHeight="1" s="95"/>
    <row r="491" ht="15.75" customHeight="1" s="95"/>
    <row r="492" ht="15.75" customHeight="1" s="95"/>
    <row r="493" ht="15.75" customHeight="1" s="95"/>
    <row r="494" ht="15.75" customHeight="1" s="95"/>
    <row r="495" ht="15.75" customHeight="1" s="95"/>
    <row r="496" ht="15.75" customHeight="1" s="95"/>
    <row r="497" ht="15.75" customHeight="1" s="95"/>
    <row r="498" ht="15.75" customHeight="1" s="95"/>
    <row r="499" ht="15.75" customHeight="1" s="95"/>
    <row r="500" ht="15.75" customHeight="1" s="95"/>
    <row r="501" ht="15.75" customHeight="1" s="95"/>
    <row r="502" ht="15.75" customHeight="1" s="95"/>
    <row r="503" ht="15.75" customHeight="1" s="95"/>
    <row r="504" ht="15.75" customHeight="1" s="95"/>
    <row r="505" ht="15.75" customHeight="1" s="95"/>
    <row r="506" ht="15.75" customHeight="1" s="95"/>
    <row r="507" ht="15.75" customHeight="1" s="95"/>
    <row r="508" ht="15.75" customHeight="1" s="95"/>
    <row r="509" ht="15.75" customHeight="1" s="95"/>
    <row r="510" ht="15.75" customHeight="1" s="95"/>
    <row r="511" ht="15.75" customHeight="1" s="95"/>
    <row r="512" ht="15.75" customHeight="1" s="95"/>
    <row r="513" ht="15.75" customHeight="1" s="95"/>
    <row r="514" ht="15.75" customHeight="1" s="95"/>
    <row r="515" ht="15.75" customHeight="1" s="95"/>
    <row r="516" ht="15.75" customHeight="1" s="95"/>
    <row r="517" ht="15.75" customHeight="1" s="95"/>
    <row r="518" ht="15.75" customHeight="1" s="95"/>
    <row r="519" ht="15.75" customHeight="1" s="95"/>
    <row r="520" ht="15.75" customHeight="1" s="95"/>
    <row r="521" ht="15.75" customHeight="1" s="95"/>
    <row r="522" ht="15.75" customHeight="1" s="95"/>
    <row r="523" ht="15.75" customHeight="1" s="95"/>
    <row r="524" ht="15.75" customHeight="1" s="95"/>
    <row r="525" ht="15.75" customHeight="1" s="95"/>
    <row r="526" ht="15.75" customHeight="1" s="95"/>
    <row r="527" ht="15.75" customHeight="1" s="95"/>
    <row r="528" ht="15.75" customHeight="1" s="95"/>
    <row r="529" ht="15.75" customHeight="1" s="95"/>
    <row r="530" ht="15.75" customHeight="1" s="95"/>
    <row r="531" ht="15.75" customHeight="1" s="95"/>
    <row r="532" ht="15.75" customHeight="1" s="95"/>
    <row r="533" ht="15.75" customHeight="1" s="95"/>
    <row r="534" ht="15.75" customHeight="1" s="95"/>
    <row r="535" ht="15.75" customHeight="1" s="95"/>
    <row r="536" ht="15.75" customHeight="1" s="95"/>
    <row r="537" ht="15.75" customHeight="1" s="95"/>
    <row r="538" ht="15.75" customHeight="1" s="95"/>
    <row r="539" ht="15.75" customHeight="1" s="95"/>
    <row r="540" ht="15.75" customHeight="1" s="95"/>
    <row r="541" ht="15.75" customHeight="1" s="95"/>
    <row r="542" ht="15.75" customHeight="1" s="95"/>
    <row r="543" ht="15.75" customHeight="1" s="95"/>
    <row r="544" ht="15.75" customHeight="1" s="95"/>
    <row r="545" ht="15.75" customHeight="1" s="95"/>
    <row r="546" ht="15.75" customHeight="1" s="95"/>
    <row r="547" ht="15.75" customHeight="1" s="95"/>
    <row r="548" ht="15.75" customHeight="1" s="95"/>
    <row r="549" ht="15.75" customHeight="1" s="95"/>
    <row r="550" ht="15.75" customHeight="1" s="95"/>
    <row r="551" ht="15.75" customHeight="1" s="95"/>
    <row r="552" ht="15.75" customHeight="1" s="95"/>
    <row r="553" ht="15.75" customHeight="1" s="95"/>
    <row r="554" ht="15.75" customHeight="1" s="95"/>
    <row r="555" ht="15.75" customHeight="1" s="95"/>
    <row r="556" ht="15.75" customHeight="1" s="95"/>
    <row r="557" ht="15.75" customHeight="1" s="95"/>
    <row r="558" ht="15.75" customHeight="1" s="95"/>
    <row r="559" ht="15.75" customHeight="1" s="95"/>
    <row r="560" ht="15.75" customHeight="1" s="95"/>
    <row r="561" ht="15.75" customHeight="1" s="95"/>
    <row r="562" ht="15.75" customHeight="1" s="95"/>
    <row r="563" ht="15.75" customHeight="1" s="95"/>
    <row r="564" ht="15.75" customHeight="1" s="95"/>
    <row r="565" ht="15.75" customHeight="1" s="95"/>
    <row r="566" ht="15.75" customHeight="1" s="95"/>
    <row r="567" ht="15.75" customHeight="1" s="95"/>
    <row r="568" ht="15.75" customHeight="1" s="95"/>
    <row r="569" ht="15.75" customHeight="1" s="95"/>
    <row r="570" ht="15.75" customHeight="1" s="95"/>
    <row r="571" ht="15.75" customHeight="1" s="95"/>
    <row r="572" ht="15.75" customHeight="1" s="95"/>
    <row r="573" ht="15.75" customHeight="1" s="95"/>
    <row r="574" ht="15.75" customHeight="1" s="95"/>
    <row r="575" ht="15.75" customHeight="1" s="95"/>
    <row r="576" ht="15.75" customHeight="1" s="95"/>
    <row r="577" ht="15.75" customHeight="1" s="95"/>
    <row r="578" ht="15.75" customHeight="1" s="95"/>
    <row r="579" ht="15.75" customHeight="1" s="95"/>
    <row r="580" ht="15.75" customHeight="1" s="95"/>
    <row r="581" ht="15.75" customHeight="1" s="95"/>
    <row r="582" ht="15.75" customHeight="1" s="95"/>
    <row r="583" ht="15.75" customHeight="1" s="95"/>
    <row r="584" ht="15.75" customHeight="1" s="95"/>
    <row r="585" ht="15.75" customHeight="1" s="95"/>
    <row r="586" ht="15.75" customHeight="1" s="95"/>
    <row r="587" ht="15.75" customHeight="1" s="95"/>
    <row r="588" ht="15.75" customHeight="1" s="95"/>
    <row r="589" ht="15.75" customHeight="1" s="95"/>
    <row r="590" ht="15.75" customHeight="1" s="95"/>
    <row r="591" ht="15.75" customHeight="1" s="95"/>
    <row r="592" ht="15.75" customHeight="1" s="95"/>
    <row r="593" ht="15.75" customHeight="1" s="95"/>
    <row r="594" ht="15.75" customHeight="1" s="95"/>
    <row r="595" ht="15.75" customHeight="1" s="95"/>
    <row r="596" ht="15.75" customHeight="1" s="95"/>
    <row r="597" ht="15.75" customHeight="1" s="95"/>
    <row r="598" ht="15.75" customHeight="1" s="95"/>
    <row r="599" ht="15.75" customHeight="1" s="95"/>
    <row r="600" ht="15.75" customHeight="1" s="95"/>
    <row r="601" ht="15.75" customHeight="1" s="95"/>
    <row r="602" ht="15.75" customHeight="1" s="95"/>
    <row r="603" ht="15.75" customHeight="1" s="95"/>
    <row r="604" ht="15.75" customHeight="1" s="95"/>
    <row r="605" ht="15.75" customHeight="1" s="95"/>
    <row r="606" ht="15.75" customHeight="1" s="95"/>
    <row r="607" ht="15.75" customHeight="1" s="95"/>
    <row r="608" ht="15.75" customHeight="1" s="95"/>
    <row r="609" ht="15.75" customHeight="1" s="95"/>
    <row r="610" ht="15.75" customHeight="1" s="95"/>
    <row r="611" ht="15.75" customHeight="1" s="95"/>
    <row r="612" ht="15.75" customHeight="1" s="95"/>
    <row r="613" ht="15.75" customHeight="1" s="95"/>
    <row r="614" ht="15.75" customHeight="1" s="95"/>
    <row r="615" ht="15.75" customHeight="1" s="95"/>
    <row r="616" ht="15.75" customHeight="1" s="95"/>
    <row r="617" ht="15.75" customHeight="1" s="95"/>
    <row r="618" ht="15.75" customHeight="1" s="95"/>
    <row r="619" ht="15.75" customHeight="1" s="95"/>
    <row r="620" ht="15.75" customHeight="1" s="95"/>
    <row r="621" ht="15.75" customHeight="1" s="95"/>
    <row r="622" ht="15.75" customHeight="1" s="95"/>
    <row r="623" ht="15.75" customHeight="1" s="95"/>
    <row r="624" ht="15.75" customHeight="1" s="95"/>
    <row r="625" ht="15.75" customHeight="1" s="95"/>
    <row r="626" ht="15.75" customHeight="1" s="95"/>
    <row r="627" ht="15.75" customHeight="1" s="95"/>
    <row r="628" ht="15.75" customHeight="1" s="95"/>
    <row r="629" ht="15.75" customHeight="1" s="95"/>
    <row r="630" ht="15.75" customHeight="1" s="95"/>
    <row r="631" ht="15.75" customHeight="1" s="95"/>
    <row r="632" ht="15.75" customHeight="1" s="95"/>
    <row r="633" ht="15.75" customHeight="1" s="95"/>
    <row r="634" ht="15.75" customHeight="1" s="95"/>
    <row r="635" ht="15.75" customHeight="1" s="95"/>
    <row r="636" ht="15.75" customHeight="1" s="95"/>
    <row r="637" ht="15.75" customHeight="1" s="95"/>
    <row r="638" ht="15.75" customHeight="1" s="95"/>
    <row r="639" ht="15.75" customHeight="1" s="95"/>
    <row r="640" ht="15.75" customHeight="1" s="95"/>
    <row r="641" ht="15.75" customHeight="1" s="95"/>
    <row r="642" ht="15.75" customHeight="1" s="95"/>
    <row r="643" ht="15.75" customHeight="1" s="95"/>
    <row r="644" ht="15.75" customHeight="1" s="95"/>
    <row r="645" ht="15.75" customHeight="1" s="95"/>
    <row r="646" ht="15.75" customHeight="1" s="95"/>
    <row r="647" ht="15.75" customHeight="1" s="95"/>
    <row r="648" ht="15.75" customHeight="1" s="95"/>
    <row r="649" ht="15.75" customHeight="1" s="95"/>
    <row r="650" ht="15.75" customHeight="1" s="95"/>
    <row r="651" ht="15.75" customHeight="1" s="95"/>
    <row r="652" ht="15.75" customHeight="1" s="95"/>
    <row r="653" ht="15.75" customHeight="1" s="95"/>
    <row r="654" ht="15.75" customHeight="1" s="95"/>
    <row r="655" ht="15.75" customHeight="1" s="95"/>
    <row r="656" ht="15.75" customHeight="1" s="95"/>
    <row r="657" ht="15.75" customHeight="1" s="95"/>
    <row r="658" ht="15.75" customHeight="1" s="95"/>
    <row r="659" ht="15.75" customHeight="1" s="95"/>
    <row r="660" ht="15.75" customHeight="1" s="95"/>
    <row r="661" ht="15.75" customHeight="1" s="95"/>
    <row r="662" ht="15.75" customHeight="1" s="95"/>
    <row r="663" ht="15.75" customHeight="1" s="95"/>
    <row r="664" ht="15.75" customHeight="1" s="95"/>
    <row r="665" ht="15.75" customHeight="1" s="95"/>
    <row r="666" ht="15.75" customHeight="1" s="95"/>
    <row r="667" ht="15.75" customHeight="1" s="95"/>
    <row r="668" ht="15.75" customHeight="1" s="95"/>
    <row r="669" ht="15.75" customHeight="1" s="95"/>
    <row r="670" ht="15.75" customHeight="1" s="95"/>
    <row r="671" ht="15.75" customHeight="1" s="95"/>
    <row r="672" ht="15.75" customHeight="1" s="95"/>
    <row r="673" ht="15.75" customHeight="1" s="95"/>
    <row r="674" ht="15.75" customHeight="1" s="95"/>
    <row r="675" ht="15.75" customHeight="1" s="95"/>
    <row r="676" ht="15.75" customHeight="1" s="95"/>
    <row r="677" ht="15.75" customHeight="1" s="95"/>
    <row r="678" ht="15.75" customHeight="1" s="95"/>
    <row r="679" ht="15.75" customHeight="1" s="95"/>
    <row r="680" ht="15.75" customHeight="1" s="95"/>
    <row r="681" ht="15.75" customHeight="1" s="95"/>
    <row r="682" ht="15.75" customHeight="1" s="95"/>
    <row r="683" ht="15.75" customHeight="1" s="95"/>
    <row r="684" ht="15.75" customHeight="1" s="95"/>
    <row r="685" ht="15.75" customHeight="1" s="95"/>
    <row r="686" ht="15.75" customHeight="1" s="95"/>
    <row r="687" ht="15.75" customHeight="1" s="95"/>
    <row r="688" ht="15.75" customHeight="1" s="95"/>
    <row r="689" ht="15.75" customHeight="1" s="95"/>
    <row r="690" ht="15.75" customHeight="1" s="95"/>
    <row r="691" ht="15.75" customHeight="1" s="95"/>
    <row r="692" ht="15.75" customHeight="1" s="95"/>
    <row r="693" ht="15.75" customHeight="1" s="95"/>
    <row r="694" ht="15.75" customHeight="1" s="95"/>
    <row r="695" ht="15.75" customHeight="1" s="95"/>
    <row r="696" ht="15.75" customHeight="1" s="95"/>
    <row r="697" ht="15.75" customHeight="1" s="95"/>
    <row r="698" ht="15.75" customHeight="1" s="95"/>
    <row r="699" ht="15.75" customHeight="1" s="95"/>
    <row r="700" ht="15.75" customHeight="1" s="95"/>
    <row r="701" ht="15.75" customHeight="1" s="95"/>
    <row r="702" ht="15.75" customHeight="1" s="95"/>
    <row r="703" ht="15.75" customHeight="1" s="95"/>
    <row r="704" ht="15.75" customHeight="1" s="95"/>
    <row r="705" ht="15.75" customHeight="1" s="95"/>
    <row r="706" ht="15.75" customHeight="1" s="95"/>
    <row r="707" ht="15.75" customHeight="1" s="95"/>
    <row r="708" ht="15.75" customHeight="1" s="95"/>
    <row r="709" ht="15.75" customHeight="1" s="95"/>
    <row r="710" ht="15.75" customHeight="1" s="95"/>
    <row r="711" ht="15.75" customHeight="1" s="95"/>
    <row r="712" ht="15.75" customHeight="1" s="95"/>
    <row r="713" ht="15.75" customHeight="1" s="95"/>
    <row r="714" ht="15.75" customHeight="1" s="95"/>
    <row r="715" ht="15.75" customHeight="1" s="95"/>
    <row r="716" ht="15.75" customHeight="1" s="95"/>
    <row r="717" ht="15.75" customHeight="1" s="95"/>
    <row r="718" ht="15.75" customHeight="1" s="95"/>
    <row r="719" ht="15.75" customHeight="1" s="95"/>
    <row r="720" ht="15.75" customHeight="1" s="95"/>
    <row r="721" ht="15.75" customHeight="1" s="95"/>
    <row r="722" ht="15.75" customHeight="1" s="95"/>
    <row r="723" ht="15.75" customHeight="1" s="95"/>
    <row r="724" ht="15.75" customHeight="1" s="95"/>
    <row r="725" ht="15.75" customHeight="1" s="95"/>
    <row r="726" ht="15.75" customHeight="1" s="95"/>
    <row r="727" ht="15.75" customHeight="1" s="95"/>
    <row r="728" ht="15.75" customHeight="1" s="95"/>
    <row r="729" ht="15.75" customHeight="1" s="95"/>
    <row r="730" ht="15.75" customHeight="1" s="95"/>
    <row r="731" ht="15.75" customHeight="1" s="95"/>
    <row r="732" ht="15.75" customHeight="1" s="95"/>
    <row r="733" ht="15.75" customHeight="1" s="95"/>
    <row r="734" ht="15.75" customHeight="1" s="95"/>
    <row r="735" ht="15.75" customHeight="1" s="95"/>
    <row r="736" ht="15.75" customHeight="1" s="95"/>
    <row r="737" ht="15.75" customHeight="1" s="95"/>
    <row r="738" ht="15.75" customHeight="1" s="95"/>
    <row r="739" ht="15.75" customHeight="1" s="95"/>
    <row r="740" ht="15.75" customHeight="1" s="95"/>
    <row r="741" ht="15.75" customHeight="1" s="95"/>
    <row r="742" ht="15.75" customHeight="1" s="95"/>
    <row r="743" ht="15.75" customHeight="1" s="95"/>
    <row r="744" ht="15.75" customHeight="1" s="95"/>
    <row r="745" ht="15.75" customHeight="1" s="95"/>
    <row r="746" ht="15.75" customHeight="1" s="95"/>
    <row r="747" ht="15.75" customHeight="1" s="95"/>
    <row r="748" ht="15.75" customHeight="1" s="95"/>
    <row r="749" ht="15.75" customHeight="1" s="95"/>
    <row r="750" ht="15.75" customHeight="1" s="95"/>
    <row r="751" ht="15.75" customHeight="1" s="95"/>
    <row r="752" ht="15.75" customHeight="1" s="95"/>
    <row r="753" ht="15.75" customHeight="1" s="95"/>
    <row r="754" ht="15.75" customHeight="1" s="95"/>
    <row r="755" ht="15.75" customHeight="1" s="95"/>
    <row r="756" ht="15.75" customHeight="1" s="95"/>
    <row r="757" ht="15.75" customHeight="1" s="95"/>
    <row r="758" ht="15.75" customHeight="1" s="95"/>
    <row r="759" ht="15.75" customHeight="1" s="95"/>
    <row r="760" ht="15.75" customHeight="1" s="95"/>
    <row r="761" ht="15.75" customHeight="1" s="95"/>
    <row r="762" ht="15.75" customHeight="1" s="95"/>
    <row r="763" ht="15.75" customHeight="1" s="95"/>
    <row r="764" ht="15.75" customHeight="1" s="95"/>
    <row r="765" ht="15.75" customHeight="1" s="95"/>
    <row r="766" ht="15.75" customHeight="1" s="95"/>
    <row r="767" ht="15.75" customHeight="1" s="95"/>
    <row r="768" ht="15.75" customHeight="1" s="95"/>
    <row r="769" ht="15.75" customHeight="1" s="95"/>
    <row r="770" ht="15.75" customHeight="1" s="95"/>
    <row r="771" ht="15.75" customHeight="1" s="95"/>
    <row r="772" ht="15.75" customHeight="1" s="95"/>
    <row r="773" ht="15.75" customHeight="1" s="95"/>
    <row r="774" ht="15.75" customHeight="1" s="95"/>
    <row r="775" ht="15.75" customHeight="1" s="95"/>
    <row r="776" ht="15.75" customHeight="1" s="95"/>
    <row r="777" ht="15.75" customHeight="1" s="95"/>
    <row r="778" ht="15.75" customHeight="1" s="95"/>
    <row r="779" ht="15.75" customHeight="1" s="95"/>
    <row r="780" ht="15.75" customHeight="1" s="95"/>
    <row r="781" ht="15.75" customHeight="1" s="95"/>
    <row r="782" ht="15.75" customHeight="1" s="95"/>
    <row r="783" ht="15.75" customHeight="1" s="95"/>
    <row r="784" ht="15.75" customHeight="1" s="95"/>
    <row r="785" ht="15.75" customHeight="1" s="95"/>
    <row r="786" ht="15.75" customHeight="1" s="95"/>
    <row r="787" ht="15.75" customHeight="1" s="95"/>
    <row r="788" ht="15.75" customHeight="1" s="95"/>
    <row r="789" ht="15.75" customHeight="1" s="95"/>
    <row r="790" ht="15.75" customHeight="1" s="95"/>
    <row r="791" ht="15.75" customHeight="1" s="95"/>
    <row r="792" ht="15.75" customHeight="1" s="95"/>
    <row r="793" ht="15.75" customHeight="1" s="95"/>
    <row r="794" ht="15.75" customHeight="1" s="95"/>
    <row r="795" ht="15.75" customHeight="1" s="95"/>
    <row r="796" ht="15.75" customHeight="1" s="95"/>
    <row r="797" ht="15.75" customHeight="1" s="95"/>
    <row r="798" ht="15.75" customHeight="1" s="95"/>
    <row r="799" ht="15.75" customHeight="1" s="95"/>
    <row r="800" ht="15.75" customHeight="1" s="95"/>
    <row r="801" ht="15.75" customHeight="1" s="95"/>
    <row r="802" ht="15.75" customHeight="1" s="95"/>
    <row r="803" ht="15.75" customHeight="1" s="95"/>
    <row r="804" ht="15.75" customHeight="1" s="95"/>
    <row r="805" ht="15.75" customHeight="1" s="95"/>
    <row r="806" ht="15.75" customHeight="1" s="95"/>
    <row r="807" ht="15.75" customHeight="1" s="95"/>
    <row r="808" ht="15.75" customHeight="1" s="95"/>
    <row r="809" ht="15.75" customHeight="1" s="95"/>
    <row r="810" ht="15.75" customHeight="1" s="95"/>
    <row r="811" ht="15.75" customHeight="1" s="95"/>
    <row r="812" ht="15.75" customHeight="1" s="95"/>
    <row r="813" ht="15.75" customHeight="1" s="95"/>
    <row r="814" ht="15.75" customHeight="1" s="95"/>
    <row r="815" ht="15.75" customHeight="1" s="95"/>
    <row r="816" ht="15.75" customHeight="1" s="95"/>
    <row r="817" ht="15.75" customHeight="1" s="95"/>
    <row r="818" ht="15.75" customHeight="1" s="95"/>
    <row r="819" ht="15.75" customHeight="1" s="95"/>
    <row r="820" ht="15.75" customHeight="1" s="95"/>
    <row r="821" ht="15.75" customHeight="1" s="95"/>
    <row r="822" ht="15.75" customHeight="1" s="95"/>
    <row r="823" ht="15.75" customHeight="1" s="95"/>
    <row r="824" ht="15.75" customHeight="1" s="95"/>
    <row r="825" ht="15.75" customHeight="1" s="95"/>
    <row r="826" ht="15.75" customHeight="1" s="95"/>
    <row r="827" ht="15.75" customHeight="1" s="95"/>
    <row r="828" ht="15.75" customHeight="1" s="95"/>
    <row r="829" ht="15.75" customHeight="1" s="95"/>
    <row r="830" ht="15.75" customHeight="1" s="95"/>
    <row r="831" ht="15.75" customHeight="1" s="95"/>
    <row r="832" ht="15.75" customHeight="1" s="95"/>
    <row r="833" ht="15.75" customHeight="1" s="95"/>
    <row r="834" ht="15.75" customHeight="1" s="95"/>
    <row r="835" ht="15.75" customHeight="1" s="95"/>
    <row r="836" ht="15.75" customHeight="1" s="95"/>
    <row r="837" ht="15.75" customHeight="1" s="95"/>
    <row r="838" ht="15.75" customHeight="1" s="95"/>
    <row r="839" ht="15.75" customHeight="1" s="95"/>
    <row r="840" ht="15.75" customHeight="1" s="95"/>
    <row r="841" ht="15.75" customHeight="1" s="95"/>
    <row r="842" ht="15.75" customHeight="1" s="95"/>
    <row r="843" ht="15.75" customHeight="1" s="95"/>
    <row r="844" ht="15.75" customHeight="1" s="95"/>
    <row r="845" ht="15.75" customHeight="1" s="95"/>
    <row r="846" ht="15.75" customHeight="1" s="95"/>
    <row r="847" ht="15.75" customHeight="1" s="95"/>
    <row r="848" ht="15.75" customHeight="1" s="95"/>
    <row r="849" ht="15.75" customHeight="1" s="95"/>
    <row r="850" ht="15.75" customHeight="1" s="95"/>
    <row r="851" ht="15.75" customHeight="1" s="95"/>
    <row r="852" ht="15.75" customHeight="1" s="95"/>
    <row r="853" ht="15.75" customHeight="1" s="95"/>
    <row r="854" ht="15.75" customHeight="1" s="95"/>
    <row r="855" ht="15.75" customHeight="1" s="95"/>
    <row r="856" ht="15.75" customHeight="1" s="95"/>
    <row r="857" ht="15.75" customHeight="1" s="95"/>
    <row r="858" ht="15.75" customHeight="1" s="95"/>
    <row r="859" ht="15.75" customHeight="1" s="95"/>
    <row r="860" ht="15.75" customHeight="1" s="95"/>
    <row r="861" ht="15.75" customHeight="1" s="95"/>
    <row r="862" ht="15.75" customHeight="1" s="95"/>
    <row r="863" ht="15.75" customHeight="1" s="95"/>
    <row r="864" ht="15.75" customHeight="1" s="95"/>
    <row r="865" ht="15.75" customHeight="1" s="95"/>
    <row r="866" ht="15.75" customHeight="1" s="95"/>
    <row r="867" ht="15.75" customHeight="1" s="95"/>
    <row r="868" ht="15.75" customHeight="1" s="95"/>
    <row r="869" ht="15.75" customHeight="1" s="95"/>
    <row r="870" ht="15.75" customHeight="1" s="95"/>
    <row r="871" ht="15.75" customHeight="1" s="95"/>
    <row r="872" ht="15.75" customHeight="1" s="95"/>
    <row r="873" ht="15.75" customHeight="1" s="95"/>
    <row r="874" ht="15.75" customHeight="1" s="95"/>
    <row r="875" ht="15.75" customHeight="1" s="95"/>
    <row r="876" ht="15.75" customHeight="1" s="95"/>
    <row r="877" ht="15.75" customHeight="1" s="95"/>
    <row r="878" ht="15.75" customHeight="1" s="95"/>
    <row r="879" ht="15.75" customHeight="1" s="95"/>
    <row r="880" ht="15.75" customHeight="1" s="95"/>
    <row r="881" ht="15.75" customHeight="1" s="95"/>
    <row r="882" ht="15.75" customHeight="1" s="95"/>
    <row r="883" ht="15.75" customHeight="1" s="95"/>
    <row r="884" ht="15.75" customHeight="1" s="95"/>
    <row r="885" ht="15.75" customHeight="1" s="95"/>
    <row r="886" ht="15.75" customHeight="1" s="95"/>
    <row r="887" ht="15.75" customHeight="1" s="95"/>
    <row r="888" ht="15.75" customHeight="1" s="95"/>
    <row r="889" ht="15.75" customHeight="1" s="95"/>
    <row r="890" ht="15.75" customHeight="1" s="95"/>
    <row r="891" ht="15.75" customHeight="1" s="95"/>
    <row r="892" ht="15.75" customHeight="1" s="95"/>
    <row r="893" ht="15.75" customHeight="1" s="95"/>
    <row r="894" ht="15.75" customHeight="1" s="95"/>
    <row r="895" ht="15.75" customHeight="1" s="95"/>
    <row r="896" ht="15.75" customHeight="1" s="95"/>
    <row r="897" ht="15.75" customHeight="1" s="95"/>
    <row r="898" ht="15.75" customHeight="1" s="95"/>
    <row r="899" ht="15.75" customHeight="1" s="95"/>
    <row r="900" ht="15.75" customHeight="1" s="95"/>
    <row r="901" ht="15.75" customHeight="1" s="95"/>
    <row r="902" ht="15.75" customHeight="1" s="95"/>
    <row r="903" ht="15.75" customHeight="1" s="95"/>
    <row r="904" ht="15.75" customHeight="1" s="95"/>
    <row r="905" ht="15.75" customHeight="1" s="95"/>
    <row r="906" ht="15.75" customHeight="1" s="95"/>
    <row r="907" ht="15.75" customHeight="1" s="95"/>
    <row r="908" ht="15.75" customHeight="1" s="95"/>
    <row r="909" ht="15.75" customHeight="1" s="95"/>
    <row r="910" ht="15.75" customHeight="1" s="95"/>
    <row r="911" ht="15.75" customHeight="1" s="95"/>
    <row r="912" ht="15.75" customHeight="1" s="95"/>
    <row r="913" ht="15.75" customHeight="1" s="95"/>
    <row r="914" ht="15.75" customHeight="1" s="95"/>
    <row r="915" ht="15.75" customHeight="1" s="95"/>
    <row r="916" ht="15.75" customHeight="1" s="95"/>
    <row r="917" ht="15.75" customHeight="1" s="95"/>
    <row r="918" ht="15.75" customHeight="1" s="95"/>
    <row r="919" ht="15.75" customHeight="1" s="95"/>
    <row r="920" ht="15.75" customHeight="1" s="95"/>
    <row r="921" ht="15.75" customHeight="1" s="95"/>
    <row r="922" ht="15.75" customHeight="1" s="95"/>
    <row r="923" ht="15.75" customHeight="1" s="95"/>
    <row r="924" ht="15.75" customHeight="1" s="95"/>
    <row r="925" ht="15.75" customHeight="1" s="95"/>
    <row r="926" ht="15.75" customHeight="1" s="95"/>
    <row r="927" ht="15.75" customHeight="1" s="95"/>
    <row r="928" ht="15.75" customHeight="1" s="95"/>
    <row r="929" ht="15.75" customHeight="1" s="95"/>
    <row r="930" ht="15.75" customHeight="1" s="95"/>
    <row r="931" ht="15.75" customHeight="1" s="95"/>
    <row r="932" ht="15.75" customHeight="1" s="95"/>
    <row r="933" ht="15.75" customHeight="1" s="95"/>
    <row r="934" ht="15.75" customHeight="1" s="95"/>
    <row r="935" ht="15.75" customHeight="1" s="95"/>
    <row r="936" ht="15.75" customHeight="1" s="95"/>
    <row r="937" ht="15.75" customHeight="1" s="95"/>
    <row r="938" ht="15.75" customHeight="1" s="95"/>
    <row r="939" ht="15.75" customHeight="1" s="95"/>
    <row r="940" ht="15.75" customHeight="1" s="95"/>
    <row r="941" ht="15.75" customHeight="1" s="95"/>
    <row r="942" ht="15.75" customHeight="1" s="95"/>
    <row r="943" ht="15.75" customHeight="1" s="95"/>
    <row r="944" ht="15.75" customHeight="1" s="95"/>
    <row r="945" ht="15.75" customHeight="1" s="95"/>
    <row r="946" ht="15.75" customHeight="1" s="95"/>
    <row r="947" ht="15.75" customHeight="1" s="95"/>
    <row r="948" ht="15.75" customHeight="1" s="95"/>
    <row r="949" ht="15.75" customHeight="1" s="95"/>
    <row r="950" ht="15.75" customHeight="1" s="95"/>
    <row r="951" ht="15.75" customHeight="1" s="95"/>
    <row r="952" ht="15.75" customHeight="1" s="95"/>
    <row r="953" ht="15.75" customHeight="1" s="95"/>
    <row r="954" ht="15.75" customHeight="1" s="95"/>
    <row r="955" ht="15.75" customHeight="1" s="95"/>
    <row r="956" ht="15.75" customHeight="1" s="95"/>
    <row r="957" ht="15.75" customHeight="1" s="95"/>
    <row r="958" ht="15.75" customHeight="1" s="95"/>
    <row r="959" ht="15.75" customHeight="1" s="95"/>
    <row r="960" ht="15.75" customHeight="1" s="95"/>
    <row r="961" ht="15.75" customHeight="1" s="95"/>
    <row r="962" ht="15.75" customHeight="1" s="95"/>
    <row r="963" ht="15.75" customHeight="1" s="95"/>
    <row r="964" ht="15.75" customHeight="1" s="95"/>
    <row r="965" ht="15.75" customHeight="1" s="95"/>
    <row r="966" ht="15.75" customHeight="1" s="95"/>
    <row r="967" ht="15.75" customHeight="1" s="95"/>
    <row r="968" ht="15.75" customHeight="1" s="95"/>
    <row r="969" ht="15.75" customHeight="1" s="95"/>
    <row r="970" ht="15.75" customHeight="1" s="95"/>
    <row r="971" ht="15.75" customHeight="1" s="95"/>
    <row r="972" ht="15.75" customHeight="1" s="95"/>
    <row r="973" ht="15.75" customHeight="1" s="95"/>
    <row r="974" ht="15.75" customHeight="1" s="95"/>
    <row r="975" ht="15.75" customHeight="1" s="95"/>
    <row r="976" ht="15.75" customHeight="1" s="95"/>
    <row r="977" ht="15.75" customHeight="1" s="95"/>
    <row r="978" ht="15.75" customHeight="1" s="95"/>
    <row r="979" ht="15.75" customHeight="1" s="95"/>
    <row r="980" ht="15.75" customHeight="1" s="95"/>
    <row r="981" ht="15.75" customHeight="1" s="95"/>
    <row r="982" ht="15.75" customHeight="1" s="95"/>
    <row r="983" ht="15.75" customHeight="1" s="95"/>
    <row r="984" ht="15.75" customHeight="1" s="95"/>
    <row r="985" ht="15.75" customHeight="1" s="95"/>
    <row r="986" ht="15.75" customHeight="1" s="95"/>
    <row r="987" ht="15.75" customHeight="1" s="95"/>
    <row r="988" ht="15.75" customHeight="1" s="95"/>
    <row r="989" ht="15.75" customHeight="1" s="95"/>
    <row r="990" ht="15.75" customHeight="1" s="95"/>
    <row r="991" ht="15.75" customHeight="1" s="95"/>
    <row r="992" ht="15.75" customHeight="1" s="95"/>
    <row r="993" ht="15.75" customHeight="1" s="95"/>
    <row r="994" ht="15.75" customHeight="1" s="95"/>
    <row r="995" ht="15.75" customHeight="1" s="95"/>
    <row r="996" ht="15.75" customHeight="1" s="95"/>
    <row r="997" ht="15.75" customHeight="1" s="95"/>
    <row r="998" ht="15.75" customHeight="1" s="95"/>
    <row r="999" ht="15.75" customHeight="1" s="95"/>
    <row r="1000" ht="15.75" customHeight="1" s="95"/>
  </sheetData>
  <mergeCells count="3">
    <mergeCell ref="A2:E2"/>
    <mergeCell ref="A1:E1"/>
    <mergeCell ref="A30:E30"/>
  </mergeCells>
  <conditionalFormatting sqref="E5:E47">
    <cfRule type="colorScale" priority="1">
      <colorScale>
        <cfvo type="min"/>
        <cfvo type="percentile" val="50"/>
        <cfvo type="max"/>
        <color rgb="FFF8CBAD"/>
        <color rgb="FFFFE699"/>
        <color rgb="FFA9D18E"/>
      </colorScale>
    </cfRule>
  </conditionalFormatting>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F7164"/>
  <sheetViews>
    <sheetView workbookViewId="0">
      <selection activeCell="A1" sqref="A1"/>
    </sheetView>
  </sheetViews>
  <sheetFormatPr baseColWidth="8" defaultColWidth="14.42578125" defaultRowHeight="15"/>
  <cols>
    <col width="28" customWidth="1" style="95" min="1" max="1"/>
    <col width="12" customWidth="1" style="95" min="2" max="2"/>
    <col width="13" customWidth="1" style="95" min="3" max="4"/>
    <col width="65" customWidth="1" style="95" min="5" max="5"/>
    <col width="35" customWidth="1" style="95" min="6" max="6"/>
    <col width="8.7109375" customWidth="1" style="95" min="7" max="26"/>
  </cols>
  <sheetData>
    <row r="1" ht="23.25" customHeight="1" s="95">
      <c r="A1" s="106" t="inlineStr">
        <is>
          <t>🎭 ACTORS</t>
        </is>
      </c>
    </row>
    <row r="2">
      <c r="A2" s="105" t="inlineStr">
        <is>
          <t>Search or filter this sheet by actor name to see every film in your collection where they appear in the top five billed cast.</t>
        </is>
      </c>
    </row>
    <row r="4">
      <c r="A4" s="37" t="inlineStr">
        <is>
          <t>Actor</t>
        </is>
      </c>
      <c r="B4" s="37" t="inlineStr">
        <is>
          <t>Films Owned</t>
        </is>
      </c>
      <c r="C4" s="37" t="inlineStr">
        <is>
          <t>Earliest Film</t>
        </is>
      </c>
      <c r="D4" s="37" t="inlineStr">
        <is>
          <t>Latest Film</t>
        </is>
      </c>
      <c r="E4" s="37" t="inlineStr">
        <is>
          <t>Films in Collection</t>
        </is>
      </c>
      <c r="F4" s="37" t="inlineStr">
        <is>
          <t>Film IDs</t>
        </is>
      </c>
    </row>
    <row r="5" ht="60" customHeight="1" s="95">
      <c r="A5" s="1" t="inlineStr">
        <is>
          <t>Hugh Jackman</t>
        </is>
      </c>
      <c r="B5" s="1" t="n">
        <v>12</v>
      </c>
      <c r="C5" s="1" t="n">
        <v>2000</v>
      </c>
      <c r="D5" s="1" t="n">
        <v>2024</v>
      </c>
      <c r="E5" s="4" t="inlineStr">
        <is>
          <t>Deadpool &amp; Wolverine, The Greatest Showman, Les Misérables, Logan, The Prestige, Prisoners, X-Men: Days of Future Past, X-Men Origins: Wolverine, X-Men, X2: X-Men United, X-Men: The Last Stand, The Wolverine</t>
        </is>
      </c>
      <c r="F5" s="1" t="inlineStr">
        <is>
          <t>F0078, F0127, F0199, F0201, F0257, F0258, F0341, F0343, F0344, F0345, F0346, F0347</t>
        </is>
      </c>
    </row>
    <row r="6" ht="75" customHeight="1" s="95">
      <c r="A6" s="1" t="inlineStr">
        <is>
          <t>Tom Cruise</t>
        </is>
      </c>
      <c r="B6" s="1" t="n">
        <v>12</v>
      </c>
      <c r="C6" s="1" t="n">
        <v>1996</v>
      </c>
      <c r="D6" s="1" t="n">
        <v>2025</v>
      </c>
      <c r="E6" s="4" t="inlineStr">
        <is>
          <t>Jack Reacher, Mission: Impossible, Mission: Impossible II, Mission: Impossible III, Mission: Impossible - Ghost Protocol, Mission: Impossible - Rogue Nation, Mission: Impossible - Fallout, Mission: Impossible - Dead Reckoning Part One, Mission: Impossible - The Final Reckoning, Oblivion, War of the Worlds, Tropic Thunder</t>
        </is>
      </c>
      <c r="F6" s="1" t="inlineStr">
        <is>
          <t>F0171, F0221, F0222, F0223, F0224, F0225, F0226, F0227, F0228, F0239, F0332, F0324</t>
        </is>
      </c>
    </row>
    <row r="7" ht="75" customHeight="1" s="95">
      <c r="A7" s="1" t="inlineStr">
        <is>
          <t>Ian McKellen</t>
        </is>
      </c>
      <c r="B7" s="1" t="n">
        <v>10</v>
      </c>
      <c r="C7" s="1" t="n">
        <v>2000</v>
      </c>
      <c r="D7" s="1" t="n">
        <v>2014</v>
      </c>
      <c r="E7" s="4" t="inlineStr">
        <is>
          <t>The Hobbit: An Unexpected Journey, The Hobbit: The Desolation of Smaug, The Hobbit: The Battle of the Five Armies, The Lord of the Rings: The Fellowship of the Ring, The Lord of the Rings: The Two Towers, The Lord of the Rings: The Return of the King, X-Men: Days of Future Past, X-Men, X2: X-Men United, X-Men: The Last Stand</t>
        </is>
      </c>
      <c r="F7" s="1" t="inlineStr">
        <is>
          <t>F0150, F0151, F0152, F0203, F0204, F0205, F0341, F0344, F0345, F0346</t>
        </is>
      </c>
    </row>
    <row r="8" ht="45" customHeight="1" s="95">
      <c r="A8" s="1" t="inlineStr">
        <is>
          <t>Matt Damon</t>
        </is>
      </c>
      <c r="B8" s="1" t="n">
        <v>14</v>
      </c>
      <c r="C8" s="1" t="n">
        <v>1997</v>
      </c>
      <c r="D8" s="1" t="n">
        <v>2023</v>
      </c>
      <c r="E8" s="4" t="inlineStr">
        <is>
          <t>The Bourne Identity, The Bourne Supremacy, The Bourne Ultimatum, The Departed, Elysium, Good Will Hunting, Green Zone, The Martian, Oppenheimer, True Grit, Dogma, Deadpool 2, Happy Feet Two, Interstellar</t>
        </is>
      </c>
      <c r="F8" s="1" t="inlineStr">
        <is>
          <t>F0053, F0054, F0055, F0081, F0093, F0124, F0129, F0213, F0242, F0325, F0351, F0077, F0145, F0168</t>
        </is>
      </c>
    </row>
    <row r="9" ht="45" customHeight="1" s="95">
      <c r="A9" s="1" t="inlineStr">
        <is>
          <t>Robert Downey Jr.</t>
        </is>
      </c>
      <c r="B9" s="1" t="n">
        <v>11</v>
      </c>
      <c r="C9" s="1" t="n">
        <v>2007</v>
      </c>
      <c r="D9" s="1" t="n">
        <v>2023</v>
      </c>
      <c r="E9" s="4" t="inlineStr">
        <is>
          <t>The Avengers, Avengers: Infinity War, Avengers: Endgame, Due Date, Iron Man 3, Oppenheimer, Sherlock Holmes, Sherlock Holmes: A Game of Shadows, Tropic Thunder, Zodiac, Chef</t>
        </is>
      </c>
      <c r="F9" s="1" t="inlineStr">
        <is>
          <t>F0029, F0030, F0031, F0091, F0169, F0242, F0278, F0279, F0324, F0350, F0065</t>
        </is>
      </c>
    </row>
    <row r="10" ht="75" customHeight="1" s="95">
      <c r="A10" s="1" t="inlineStr">
        <is>
          <t>Simon Pegg</t>
        </is>
      </c>
      <c r="B10" s="1" t="n">
        <v>13</v>
      </c>
      <c r="C10" s="1" t="n">
        <v>2004</v>
      </c>
      <c r="D10" s="1" t="n">
        <v>2025</v>
      </c>
      <c r="E10" s="4" t="inlineStr">
        <is>
          <t>Shaun of the Dead, Hot Fuzz, The World's End, Ice Age: Dawn of the Dinosaurs, Mission: Impossible - Ghost Protocol, Mission: Impossible - Rogue Nation, Mission: Impossible - Fallout, Mission: Impossible - Dead Reckoning Part One, Mission: Impossible - The Final Reckoning, Paul, Mission: Impossible III, Star Trek, Star Wars: The Force Awakens</t>
        </is>
      </c>
      <c r="F10" s="1" t="inlineStr">
        <is>
          <t>F0070, F0071, F0072, F0161, F0224, F0225, F0226, F0227, F0228, F0245, F0223, F0291, F0298</t>
        </is>
      </c>
    </row>
    <row r="11" ht="90" customHeight="1" s="95">
      <c r="A11" s="1" t="inlineStr">
        <is>
          <t>Emma Watson</t>
        </is>
      </c>
      <c r="B11" s="1" t="n">
        <v>9</v>
      </c>
      <c r="C11" s="1" t="n">
        <v>2001</v>
      </c>
      <c r="D11" s="1" t="n">
        <v>2014</v>
      </c>
      <c r="E11" s="4" t="inlineStr">
        <is>
          <t>Harry Potter and the Philosopher's Stone, Harry Potter and the Chamber of Secrets, Harry Potter and the Prisoner of Azkaban, Harry Potter and the Goblet of Fire, Harry Potter and the Order of the Phoenix, Harry Potter and the Half-Blood Prince, Harry Potter and the Deathly Hallows: Part 1, Harry Potter and the Deathly Hallows: Part 2, Noah</t>
        </is>
      </c>
      <c r="F11" s="1" t="inlineStr">
        <is>
          <t>F0137, F0138, F0139, F0140, F0141, F0142, F0143, F0144, F0238</t>
        </is>
      </c>
    </row>
    <row r="12" ht="45" customHeight="1" s="95">
      <c r="A12" s="1" t="inlineStr">
        <is>
          <t>Jason Statham</t>
        </is>
      </c>
      <c r="B12" s="1" t="n">
        <v>10</v>
      </c>
      <c r="C12" s="1" t="n">
        <v>2008</v>
      </c>
      <c r="D12" s="1" t="n">
        <v>2023</v>
      </c>
      <c r="E12" s="4" t="inlineStr">
        <is>
          <t>The Bank Job, The Expendables, The Expendables 2, The Expendables 3, Furious 7, The Fate of the Furious, Fast &amp; Furious Presents: Hobbs &amp; Shaw, Hummingbird, Spy, Fast X</t>
        </is>
      </c>
      <c r="F12" s="1" t="inlineStr">
        <is>
          <t>F0040, F0095, F0096, F0097, F0107, F0108, F0111, F0156, F0290, F0110</t>
        </is>
      </c>
    </row>
    <row r="13" ht="30" customHeight="1" s="95">
      <c r="A13" s="1" t="inlineStr">
        <is>
          <t>Vin Diesel</t>
        </is>
      </c>
      <c r="B13" s="1" t="n">
        <v>10</v>
      </c>
      <c r="C13" s="1" t="n">
        <v>2001</v>
      </c>
      <c r="D13" s="1" t="n">
        <v>2023</v>
      </c>
      <c r="E13" s="4" t="inlineStr">
        <is>
          <t>The Fast and the Furious, Fast &amp; Furious, Fast Five, Fast &amp; Furious 6, Furious 7, The Fate of the Furious, F9: The Fast Saga, Fast X, Riddick, Avengers: Infinity War</t>
        </is>
      </c>
      <c r="F13" s="1" t="inlineStr">
        <is>
          <t>F0101, F0104, F0105, F0106, F0107, F0108, F0109, F0110, F0264, F0030</t>
        </is>
      </c>
    </row>
    <row r="14" ht="30" customHeight="1" s="95">
      <c r="A14" s="1" t="inlineStr">
        <is>
          <t>Brad Pitt</t>
        </is>
      </c>
      <c r="B14" s="1" t="n">
        <v>10</v>
      </c>
      <c r="C14" s="1" t="n">
        <v>1995</v>
      </c>
      <c r="D14" s="1" t="n">
        <v>2025</v>
      </c>
      <c r="E14" s="4" t="inlineStr">
        <is>
          <t>F1, Fight Club, Fury, Inglourious Basterds, Killing Them Softly, Mr. &amp; Mrs. Smith, Once Upon a Time… in Hollywood, Se7en, Deadpool 2, Happy Feet Two</t>
        </is>
      </c>
      <c r="F14" s="1" t="inlineStr">
        <is>
          <t>F0098, F0112, F0117, F0166, F0187, F0231, F0241, F0276, F0077, F0145</t>
        </is>
      </c>
    </row>
    <row r="15" ht="45" customHeight="1" s="95">
      <c r="A15" s="1" t="inlineStr">
        <is>
          <t>Chris Pratt</t>
        </is>
      </c>
      <c r="B15" s="1" t="n">
        <v>10</v>
      </c>
      <c r="C15" s="1" t="n">
        <v>2012</v>
      </c>
      <c r="D15" s="1" t="n">
        <v>2023</v>
      </c>
      <c r="E15" s="4" t="inlineStr">
        <is>
          <t>Delivery Man, Jurassic World, Jurassic World: Fallen Kingdom, Jurassic World Dominion, The Lego Movie, The Lego Movie 2: The Second Part, The Magnificent Seven, The Super Mario Bros. Movie, Avengers: Infinity War, Zero Dark Thirty</t>
        </is>
      </c>
      <c r="F15" s="1" t="inlineStr">
        <is>
          <t>F0080, F0179, F0180, F0181, F0195, F0196, F0207, F0212, F0030, F0349</t>
        </is>
      </c>
    </row>
    <row r="16" ht="75" customHeight="1" s="95">
      <c r="A16" s="1" t="inlineStr">
        <is>
          <t>Daniel Radcliffe</t>
        </is>
      </c>
      <c r="B16" s="1" t="n">
        <v>8</v>
      </c>
      <c r="C16" s="1" t="n">
        <v>2001</v>
      </c>
      <c r="D16" s="1" t="n">
        <v>2011</v>
      </c>
      <c r="E16" s="4" t="inlineStr">
        <is>
          <t>Harry Potter and the Philosopher's Stone, Harry Potter and the Chamber of Secrets, Harry Potter and the Prisoner of Azkaban, Harry Potter and the Goblet of Fire, Harry Potter and the Order of the Phoenix, Harry Potter and the Half-Blood Prince, Harry Potter and the Deathly Hallows: Part 1, Harry Potter and the Deathly Hallows: Part 2</t>
        </is>
      </c>
      <c r="F16" s="1" t="inlineStr">
        <is>
          <t>F0137, F0138, F0139, F0140, F0141, F0142, F0143, F0144</t>
        </is>
      </c>
    </row>
    <row r="17" ht="30" customHeight="1" s="95">
      <c r="A17" s="1" t="inlineStr">
        <is>
          <t>Michelle Rodriguez</t>
        </is>
      </c>
      <c r="B17" s="1" t="n">
        <v>9</v>
      </c>
      <c r="C17" s="1" t="n">
        <v>2001</v>
      </c>
      <c r="D17" s="1" t="n">
        <v>2023</v>
      </c>
      <c r="E17" s="4" t="inlineStr">
        <is>
          <t>Avatar, The Fast and the Furious, Fast &amp; Furious, Fast &amp; Furious 6, Furious 7, The Fate of the Furious, F9: The Fast Saga, Fast X, Battle: Los Angeles</t>
        </is>
      </c>
      <c r="F17" s="1" t="inlineStr">
        <is>
          <t>F0028, F0101, F0104, F0106, F0107, F0108, F0109, F0110, F0046</t>
        </is>
      </c>
    </row>
    <row r="18" ht="75" customHeight="1" s="95">
      <c r="A18" s="1" t="inlineStr">
        <is>
          <t>Rupert Grint</t>
        </is>
      </c>
      <c r="B18" s="1" t="n">
        <v>8</v>
      </c>
      <c r="C18" s="1" t="n">
        <v>2001</v>
      </c>
      <c r="D18" s="1" t="n">
        <v>2011</v>
      </c>
      <c r="E18" s="4" t="inlineStr">
        <is>
          <t>Harry Potter and the Philosopher's Stone, Harry Potter and the Chamber of Secrets, Harry Potter and the Prisoner of Azkaban, Harry Potter and the Goblet of Fire, Harry Potter and the Order of the Phoenix, Harry Potter and the Half-Blood Prince, Harry Potter and the Deathly Hallows: Part 1, Harry Potter and the Deathly Hallows: Part 2</t>
        </is>
      </c>
      <c r="F18" s="1" t="inlineStr">
        <is>
          <t>F0137, F0138, F0139, F0140, F0141, F0142, F0143, F0144</t>
        </is>
      </c>
    </row>
    <row r="19" ht="60" customHeight="1" s="95">
      <c r="A19" s="1" t="inlineStr">
        <is>
          <t>Andy Serkis</t>
        </is>
      </c>
      <c r="B19" s="1" t="n">
        <v>13</v>
      </c>
      <c r="C19" s="1" t="n">
        <v>2001</v>
      </c>
      <c r="D19" s="1" t="n">
        <v>2022</v>
      </c>
      <c r="E19" s="4" t="inlineStr">
        <is>
          <t>King Kong, The Lord of the Rings: The Two Towers, The Lord of the Rings: The Return of the King, Rise of the Planet of the Apes, Dawn of the Planet of the Apes, War for the Planet of the Apes, Sex &amp; Drugs &amp; Rock &amp; Roll, The Batman, The Hobbit: An Unexpected Journey, The Lord of the Rings: The Fellowship of the Ring, The Prestige, Star Wars: The Force Awakens, Star Wars: The Last Jedi</t>
        </is>
      </c>
      <c r="F19" s="1" t="inlineStr">
        <is>
          <t>F0188, F0204, F0205, F0253, F0254, F0255, F0277, F0042, F0150, F0203, F0257, F0298, F0299</t>
        </is>
      </c>
    </row>
    <row r="20" ht="30" customHeight="1" s="95">
      <c r="A20" s="1" t="inlineStr">
        <is>
          <t>Christian Bale</t>
        </is>
      </c>
      <c r="B20" s="1" t="n">
        <v>7</v>
      </c>
      <c r="C20" s="1" t="n">
        <v>2002</v>
      </c>
      <c r="D20" s="1" t="n">
        <v>2013</v>
      </c>
      <c r="E20" s="4" t="inlineStr">
        <is>
          <t>American Hustle, Batman Begins, The Dark Knight, The Dark Knight Rises, The Prestige, Reign of Fire, Terminator Salvation</t>
        </is>
      </c>
      <c r="F20" s="1" t="inlineStr">
        <is>
          <t>F0020, F0043, F0044, F0045, F0257, F0263, F0310</t>
        </is>
      </c>
    </row>
    <row r="21" ht="15.75" customHeight="1" s="95">
      <c r="A21" s="1" t="inlineStr">
        <is>
          <t>Daniel Craig</t>
        </is>
      </c>
      <c r="B21" s="1" t="n">
        <v>7</v>
      </c>
      <c r="C21" s="1" t="n">
        <v>2006</v>
      </c>
      <c r="D21" s="1" t="n">
        <v>2021</v>
      </c>
      <c r="E21" s="4" t="inlineStr">
        <is>
          <t>Casino Royale, Quantum of Solace, Skyfall, Spectre, No Time to Die, Cowboys &amp; Aliens, The Girl with the Dragon Tattoo</t>
        </is>
      </c>
      <c r="F21" s="1" t="inlineStr">
        <is>
          <t>F0001, F0002, F0003, F0004, F0005, F0073, F0120</t>
        </is>
      </c>
    </row>
    <row r="22" ht="15.75" customHeight="1" s="95">
      <c r="A22" s="1" t="inlineStr">
        <is>
          <t>Harrison Ford</t>
        </is>
      </c>
      <c r="B22" s="1" t="n">
        <v>7</v>
      </c>
      <c r="C22" s="1" t="n">
        <v>1977</v>
      </c>
      <c r="D22" s="1" t="n">
        <v>2015</v>
      </c>
      <c r="E22" s="4" t="inlineStr">
        <is>
          <t>Cowboys &amp; Aliens, The Expendables 3, Firewall, Star Wars: Episode IV – A New Hope, Star Wars: Episode V – The Empire Strikes Back, Star Wars: Episode VI – Return of the Jedi, Star Wars: The Force Awakens</t>
        </is>
      </c>
      <c r="F22" s="1" t="inlineStr">
        <is>
          <t>F0073, F0097, F0114, F0295, F0296, F0297, F0298</t>
        </is>
      </c>
    </row>
    <row r="23" ht="15.75" customHeight="1" s="95">
      <c r="A23" s="1" t="inlineStr">
        <is>
          <t>Leonardo DiCaprio</t>
        </is>
      </c>
      <c r="B23" s="1" t="n">
        <v>7</v>
      </c>
      <c r="C23" s="1" t="n">
        <v>2002</v>
      </c>
      <c r="D23" s="1" t="n">
        <v>2019</v>
      </c>
      <c r="E23" s="4" t="inlineStr">
        <is>
          <t>Body of Lies, Catch Me If You Can, The Departed, Django Unchained, The Great Gatsby, Inception, Once Upon a Time… in Hollywood</t>
        </is>
      </c>
      <c r="F23" s="1" t="inlineStr">
        <is>
          <t>F0051, F0064, F0081, F0090, F0126, F0165, F0241</t>
        </is>
      </c>
    </row>
    <row r="24" ht="15.75" customHeight="1" s="95">
      <c r="A24" s="1" t="inlineStr">
        <is>
          <t>Liam Neeson</t>
        </is>
      </c>
      <c r="B24" s="1" t="n">
        <v>9</v>
      </c>
      <c r="C24" s="1" t="n">
        <v>1999</v>
      </c>
      <c r="D24" s="1" t="n">
        <v>2014</v>
      </c>
      <c r="E24" s="4" t="inlineStr">
        <is>
          <t>A Million Ways to Die in the West, The A-Team, Batman Begins, Star Wars: Episode I – The Phantom Menace, Taken, Taken 2, Unknown, Clash of the Titans, The Lego Movie</t>
        </is>
      </c>
      <c r="F24" s="1" t="inlineStr">
        <is>
          <t>F0021, F0026, F0043, F0292, F0306, F0307, F0329, F0066, F0195</t>
        </is>
      </c>
    </row>
    <row r="25" ht="15.75" customHeight="1" s="95">
      <c r="A25" s="1" t="inlineStr">
        <is>
          <t>Mark Strong</t>
        </is>
      </c>
      <c r="B25" s="1" t="n">
        <v>8</v>
      </c>
      <c r="C25" s="1" t="n">
        <v>2008</v>
      </c>
      <c r="D25" s="1" t="n">
        <v>2016</v>
      </c>
      <c r="E25" s="4" t="inlineStr">
        <is>
          <t>Body of Lies, Green Lantern, Grimsby, Kick-Ass, Robin Hood, Sherlock Holmes, Zero Dark Thirty, The Imitation Game</t>
        </is>
      </c>
      <c r="F25" s="1" t="inlineStr">
        <is>
          <t>F0051, F0128, F0130, F0185, F0267, F0278, F0349, F0162</t>
        </is>
      </c>
    </row>
    <row r="26" ht="15.75" customHeight="1" s="95">
      <c r="A26" s="1" t="inlineStr">
        <is>
          <t>Peter Cullen</t>
        </is>
      </c>
      <c r="B26" s="1" t="n">
        <v>8</v>
      </c>
      <c r="C26" s="1" t="n">
        <v>1986</v>
      </c>
      <c r="D26" s="1" t="n">
        <v>2023</v>
      </c>
      <c r="E26" s="4" t="inlineStr">
        <is>
          <t>Transformers, Transformers: Revenge of the Fallen, Transformers: Dark of the Moon, Transformers: Age of Extinction, Transformers: The Last Knight, Transformers: Rise of the Beasts, The Transformers: The Movie, Bumblebee</t>
        </is>
      </c>
      <c r="F26" s="1" t="inlineStr">
        <is>
          <t>F0316, F0317, F0318, F0319, F0320, F0321, F0322, F0061</t>
        </is>
      </c>
    </row>
    <row r="27" ht="15.75" customHeight="1" s="95">
      <c r="A27" s="1" t="inlineStr">
        <is>
          <t>Ryan Reynolds</t>
        </is>
      </c>
      <c r="B27" s="1" t="n">
        <v>8</v>
      </c>
      <c r="C27" s="1" t="n">
        <v>2009</v>
      </c>
      <c r="D27" s="1" t="n">
        <v>2024</v>
      </c>
      <c r="E27" s="4" t="inlineStr">
        <is>
          <t>The Croods, Deadpool, Deadpool 2, Deadpool &amp; Wolverine, Green Lantern, The Hitman's Bodyguard, Safe House, X-Men Origins: Wolverine</t>
        </is>
      </c>
      <c r="F27" s="1" t="inlineStr">
        <is>
          <t>F0075, F0076, F0077, F0078, F0128, F0149, F0272, F0343</t>
        </is>
      </c>
    </row>
    <row r="28" ht="15.75" customHeight="1" s="95">
      <c r="A28" s="1" t="inlineStr">
        <is>
          <t>Tom Hanks</t>
        </is>
      </c>
      <c r="B28" s="1" t="n">
        <v>7</v>
      </c>
      <c r="C28" s="1" t="n">
        <v>1995</v>
      </c>
      <c r="D28" s="1" t="n">
        <v>2019</v>
      </c>
      <c r="E28" s="4" t="inlineStr">
        <is>
          <t>Angels &amp; Demons, Captain Phillips, Catch Me If You Can, Toy Story, Toy Story 2, Toy Story 3, Toy Story 4</t>
        </is>
      </c>
      <c r="F28" s="1" t="inlineStr">
        <is>
          <t>F0023, F0062, F0064, F0312, F0313, F0314, F0315</t>
        </is>
      </c>
    </row>
    <row r="29" ht="15.75" customHeight="1" s="95">
      <c r="A29" s="1" t="inlineStr">
        <is>
          <t>Ving Rhames</t>
        </is>
      </c>
      <c r="B29" s="1" t="n">
        <v>8</v>
      </c>
      <c r="C29" s="1" t="n">
        <v>1996</v>
      </c>
      <c r="D29" s="1" t="n">
        <v>2025</v>
      </c>
      <c r="E29" s="4" t="inlineStr">
        <is>
          <t>Con Air, Mission: Impossible II, Mission: Impossible III, Mission: Impossible - Rogue Nation, Mission: Impossible - Fallout, Mission: Impossible - Dead Reckoning Part One, Mission: Impossible - The Final Reckoning, Mission: Impossible</t>
        </is>
      </c>
      <c r="F29" s="1" t="inlineStr">
        <is>
          <t>F0068, F0222, F0223, F0225, F0226, F0227, F0228, F0221</t>
        </is>
      </c>
    </row>
    <row r="30" ht="15.75" customHeight="1" s="95">
      <c r="A30" s="1" t="inlineStr">
        <is>
          <t>Bill Hader</t>
        </is>
      </c>
      <c r="B30" s="1" t="n">
        <v>14</v>
      </c>
      <c r="C30" s="1" t="n">
        <v>2007</v>
      </c>
      <c r="D30" s="1" t="n">
        <v>2018</v>
      </c>
      <c r="E30" s="4" t="inlineStr">
        <is>
          <t>The BFG, Cloudy with a Chance of Meatballs 2, Forgetting Sarah Marshall, Inside Out, Superbad, Ralph Breaks the Internet, Finding Dory, Ice Age: Dawn of the Dinosaurs, Men in Black 3, Monsters University, Night at the Museum: Battle of the Smithsonian, Paul, Pineapple Express, Tropic Thunder</t>
        </is>
      </c>
      <c r="F30" s="1" t="inlineStr">
        <is>
          <t>F0047, F0067, F0115, F0167, F0303, F0337, F0113, F0161, F0219, F0230, F0236, F0245, F0247, F0324</t>
        </is>
      </c>
    </row>
    <row r="31" ht="15.75" customHeight="1" s="95">
      <c r="A31" s="1" t="inlineStr">
        <is>
          <t>Carrie Fisher</t>
        </is>
      </c>
      <c r="B31" s="1" t="n">
        <v>6</v>
      </c>
      <c r="C31" s="1" t="n">
        <v>1977</v>
      </c>
      <c r="D31" s="1" t="n">
        <v>2019</v>
      </c>
      <c r="E31" s="4" t="inlineStr">
        <is>
          <t>Star Wars: Episode IV – A New Hope, Star Wars: Episode V – The Empire Strikes Back, Star Wars: Episode VI – Return of the Jedi, Star Wars: The Force Awakens, Star Wars: The Last Jedi, Star Wars: The Rise of Skywalker</t>
        </is>
      </c>
      <c r="F31" s="1" t="inlineStr">
        <is>
          <t>F0295, F0296, F0297, F0298, F0299, F0300</t>
        </is>
      </c>
    </row>
    <row r="32" ht="15.75" customHeight="1" s="95">
      <c r="A32" s="1" t="inlineStr">
        <is>
          <t>Elizabeth Banks</t>
        </is>
      </c>
      <c r="B32" s="1" t="n">
        <v>12</v>
      </c>
      <c r="C32" s="1" t="n">
        <v>2002</v>
      </c>
      <c r="D32" s="1" t="n">
        <v>2019</v>
      </c>
      <c r="E32" s="4" t="inlineStr">
        <is>
          <t>The Hunger Games, The Hunger Games: Mockingjay - Part 1, The Lego Movie, The Lego Movie 2: The Second Part, Man on a Ledge, Pitch Perfect 3, Catch Me If You Can, Pitch Perfect, Pitch Perfect 2, Spider-Man, Spider-Man 2, Spider-Man 3</t>
        </is>
      </c>
      <c r="F32" s="1" t="inlineStr">
        <is>
          <t>F0157, F0158, F0195, F0196, F0210, F0252, F0064, F0250, F0251, F0287, F0288, F0289</t>
        </is>
      </c>
    </row>
    <row r="33" ht="15.75" customHeight="1" s="95">
      <c r="A33" s="1" t="inlineStr">
        <is>
          <t>Famke Janssen</t>
        </is>
      </c>
      <c r="B33" s="1" t="n">
        <v>7</v>
      </c>
      <c r="C33" s="1" t="n">
        <v>2000</v>
      </c>
      <c r="D33" s="1" t="n">
        <v>2014</v>
      </c>
      <c r="E33" s="4" t="inlineStr">
        <is>
          <t>Taken, Taken 2, X-Men, X2: X-Men United, X-Men: The Last Stand, The Wolverine, X-Men: Days of Future Past</t>
        </is>
      </c>
      <c r="F33" s="1" t="inlineStr">
        <is>
          <t>F0306, F0307, F0344, F0345, F0346, F0347, F0341</t>
        </is>
      </c>
    </row>
    <row r="34" ht="15.75" customHeight="1" s="95">
      <c r="A34" s="1" t="inlineStr">
        <is>
          <t>Jamie Foxx</t>
        </is>
      </c>
      <c r="B34" s="1" t="n">
        <v>7</v>
      </c>
      <c r="C34" s="1" t="n">
        <v>2009</v>
      </c>
      <c r="D34" s="1" t="n">
        <v>2017</v>
      </c>
      <c r="E34" s="4" t="inlineStr">
        <is>
          <t>Baby Driver, Django Unchained, Due Date, Law Abiding Citizen, Rio 2, White House Down, Rio</t>
        </is>
      </c>
      <c r="F34" s="1" t="inlineStr">
        <is>
          <t>F0032, F0090, F0091, F0191, F0266, F0335, F0265</t>
        </is>
      </c>
    </row>
    <row r="35" ht="15.75" customHeight="1" s="95">
      <c r="A35" s="1" t="inlineStr">
        <is>
          <t>Mark Hamill</t>
        </is>
      </c>
      <c r="B35" s="1" t="n">
        <v>6</v>
      </c>
      <c r="C35" s="1" t="n">
        <v>1977</v>
      </c>
      <c r="D35" s="1" t="n">
        <v>2019</v>
      </c>
      <c r="E35" s="4" t="inlineStr">
        <is>
          <t>Star Wars: Episode IV – A New Hope, Star Wars: Episode V – The Empire Strikes Back, Star Wars: Episode VI – Return of the Jedi, Star Wars: The Force Awakens, Star Wars: The Last Jedi, Star Wars: The Rise of Skywalker</t>
        </is>
      </c>
      <c r="F35" s="1" t="inlineStr">
        <is>
          <t>F0295, F0296, F0297, F0298, F0299, F0300</t>
        </is>
      </c>
    </row>
    <row r="36" ht="15.75" customHeight="1" s="95">
      <c r="A36" s="1" t="inlineStr">
        <is>
          <t>Michael Fassbender</t>
        </is>
      </c>
      <c r="B36" s="1" t="n">
        <v>6</v>
      </c>
      <c r="C36" s="1" t="n">
        <v>2009</v>
      </c>
      <c r="D36" s="1" t="n">
        <v>2016</v>
      </c>
      <c r="E36" s="4" t="inlineStr">
        <is>
          <t>Inglourious Basterds, Jonah Hex, Prometheus, X-Men: First Class, X-Men: Days of Future Past, X-Men: Apocalypse</t>
        </is>
      </c>
      <c r="F36" s="1" t="inlineStr">
        <is>
          <t>F0166, F0173, F0259, F0340, F0341, F0342</t>
        </is>
      </c>
    </row>
    <row r="37" ht="15.75" customHeight="1" s="95">
      <c r="A37" s="1" t="inlineStr">
        <is>
          <t>Paul Walker</t>
        </is>
      </c>
      <c r="B37" s="1" t="n">
        <v>6</v>
      </c>
      <c r="C37" s="1" t="n">
        <v>2001</v>
      </c>
      <c r="D37" s="1" t="n">
        <v>2015</v>
      </c>
      <c r="E37" s="4" t="inlineStr">
        <is>
          <t>The Fast and the Furious, 2 Fast 2 Furious, Fast &amp; Furious, Fast Five, Fast &amp; Furious 6, Furious 7</t>
        </is>
      </c>
      <c r="F37" s="1" t="inlineStr">
        <is>
          <t>F0101, F0102, F0104, F0105, F0106, F0107</t>
        </is>
      </c>
    </row>
    <row r="38" ht="15.75" customHeight="1" s="95">
      <c r="A38" s="1" t="inlineStr">
        <is>
          <t>Russell Crowe</t>
        </is>
      </c>
      <c r="B38" s="1" t="n">
        <v>6</v>
      </c>
      <c r="C38" s="1" t="n">
        <v>2008</v>
      </c>
      <c r="D38" s="1" t="n">
        <v>2016</v>
      </c>
      <c r="E38" s="4" t="inlineStr">
        <is>
          <t>Body of Lies, Les Misérables, Man of Steel, The Nice Guys, Noah, Robin Hood</t>
        </is>
      </c>
      <c r="F38" s="1" t="inlineStr">
        <is>
          <t>F0051, F0199, F0211, F0235, F0238, F0267</t>
        </is>
      </c>
    </row>
    <row r="39" ht="15.75" customHeight="1" s="95">
      <c r="A39" s="1" t="inlineStr">
        <is>
          <t>Samuel L. Jackson</t>
        </is>
      </c>
      <c r="B39" s="1" t="n">
        <v>10</v>
      </c>
      <c r="C39" s="1" t="n">
        <v>1993</v>
      </c>
      <c r="D39" s="1" t="n">
        <v>2017</v>
      </c>
      <c r="E39" s="4" t="inlineStr">
        <is>
          <t>Django Unchained, The Hitman's Bodyguard, Jumper, Kong: Skull Island, Star Wars: Episode II – Attack of the Clones, Star Wars: Episode III – Revenge of the Sith, The Avengers, Jurassic Park, RoboCop, Star Wars: Episode I – The Phantom Menace</t>
        </is>
      </c>
      <c r="F39" s="1" t="inlineStr">
        <is>
          <t>F0090, F0149, F0175, F0190, F0293, F0294, F0029, F0176, F0268, F0292</t>
        </is>
      </c>
    </row>
    <row r="40" ht="15.75" customHeight="1" s="95">
      <c r="A40" s="1" t="inlineStr">
        <is>
          <t>Scarlett Johansson</t>
        </is>
      </c>
      <c r="B40" s="1" t="n">
        <v>8</v>
      </c>
      <c r="C40" s="1" t="n">
        <v>2006</v>
      </c>
      <c r="D40" s="1" t="n">
        <v>2025</v>
      </c>
      <c r="E40" s="4" t="inlineStr">
        <is>
          <t>The Avengers, Avengers: Endgame, Chef, Jojo Rabbit, Jurassic World Rebirth, Sing, Avengers: Infinity War, The Prestige</t>
        </is>
      </c>
      <c r="F40" s="1" t="inlineStr">
        <is>
          <t>F0029, F0031, F0065, F0170, F0182, F0280, F0030, F0257</t>
        </is>
      </c>
    </row>
    <row r="41" ht="15.75" customHeight="1" s="95">
      <c r="A41" s="1" t="inlineStr">
        <is>
          <t>Will Smith</t>
        </is>
      </c>
      <c r="B41" s="1" t="n">
        <v>7</v>
      </c>
      <c r="C41" s="1" t="n">
        <v>1995</v>
      </c>
      <c r="D41" s="1" t="n">
        <v>2014</v>
      </c>
      <c r="E41" s="4" t="inlineStr">
        <is>
          <t>Bad Boys, Bad Boys II, Enemy of the State, Men in Black, Men in Black 3, The Pursuit of Happyness, Paddington</t>
        </is>
      </c>
      <c r="F41" s="1" t="inlineStr">
        <is>
          <t>F0036, F0037, F0094, F0218, F0219, F0260, F0244</t>
        </is>
      </c>
    </row>
    <row r="42" ht="15.75" customHeight="1" s="95">
      <c r="A42" s="1" t="inlineStr">
        <is>
          <t>Anna Kendrick</t>
        </is>
      </c>
      <c r="B42" s="1" t="n">
        <v>5</v>
      </c>
      <c r="C42" s="1" t="n">
        <v>2011</v>
      </c>
      <c r="D42" s="1" t="n">
        <v>2017</v>
      </c>
      <c r="E42" s="4" t="inlineStr">
        <is>
          <t>50/50, The Accountant, Pitch Perfect, Pitch Perfect 2, Pitch Perfect 3</t>
        </is>
      </c>
      <c r="F42" s="1" t="inlineStr">
        <is>
          <t>F0011, F0013, F0250, F0251, F0252</t>
        </is>
      </c>
    </row>
    <row r="43" ht="15.75" customHeight="1" s="95">
      <c r="A43" s="1" t="inlineStr">
        <is>
          <t>Anne Hathaway</t>
        </is>
      </c>
      <c r="B43" s="1" t="n">
        <v>5</v>
      </c>
      <c r="C43" s="1" t="n">
        <v>2011</v>
      </c>
      <c r="D43" s="1" t="n">
        <v>2014</v>
      </c>
      <c r="E43" s="4" t="inlineStr">
        <is>
          <t>The Dark Knight Rises, Interstellar, Les Misérables, Rio, Rio 2</t>
        </is>
      </c>
      <c r="F43" s="1" t="inlineStr">
        <is>
          <t>F0045, F0168, F0199, F0265, F0266</t>
        </is>
      </c>
    </row>
    <row r="44" ht="15.75" customHeight="1" s="95">
      <c r="A44" s="1" t="inlineStr">
        <is>
          <t>Bradley Cooper</t>
        </is>
      </c>
      <c r="B44" s="1" t="n">
        <v>7</v>
      </c>
      <c r="C44" s="1" t="n">
        <v>2009</v>
      </c>
      <c r="D44" s="1" t="n">
        <v>2025</v>
      </c>
      <c r="E44" s="4" t="inlineStr">
        <is>
          <t>American Hustle, The A-Team, The Hangover, The Hangover Part II, The Hangover Part III, Avengers: Infinity War, Superman</t>
        </is>
      </c>
      <c r="F44" s="1" t="inlineStr">
        <is>
          <t>F0020, F0026, F0134, F0135, F0136, F0030, F0304</t>
        </is>
      </c>
    </row>
    <row r="45" ht="15.75" customHeight="1" s="95">
      <c r="A45" s="1" t="inlineStr">
        <is>
          <t>Bryce Dallas Howard</t>
        </is>
      </c>
      <c r="B45" s="1" t="n">
        <v>7</v>
      </c>
      <c r="C45" s="1" t="n">
        <v>2007</v>
      </c>
      <c r="D45" s="1" t="n">
        <v>2022</v>
      </c>
      <c r="E45" s="4" t="inlineStr">
        <is>
          <t>50/50, Jurassic World, Jurassic World: Fallen Kingdom, Jurassic World Dominion, Rocketman, Spider-Man 3, Terminator Salvation</t>
        </is>
      </c>
      <c r="F45" s="1" t="inlineStr">
        <is>
          <t>F0011, F0179, F0180, F0181, F0269, F0289, F0310</t>
        </is>
      </c>
    </row>
    <row r="46" ht="15.75" customHeight="1" s="95">
      <c r="A46" s="1" t="inlineStr">
        <is>
          <t>Channing Tatum</t>
        </is>
      </c>
      <c r="B46" s="1" t="n">
        <v>10</v>
      </c>
      <c r="C46" s="1" t="n">
        <v>2009</v>
      </c>
      <c r="D46" s="1" t="n">
        <v>2024</v>
      </c>
      <c r="E46" s="4" t="inlineStr">
        <is>
          <t>21 Jump Street, 22 Jump Street, Dear John, Magic Mike, White House Down, Deadpool &amp; Wolverine, G.I. Joe: The Rise of Cobra, The Lego Batman Movie, The Lego Movie, The Lego Movie 2: The Second Part</t>
        </is>
      </c>
      <c r="F46" s="1" t="inlineStr">
        <is>
          <t>F0007, F0008, F0079, F0206, F0335, F0078, F0118, F0193, F0195, F0196</t>
        </is>
      </c>
    </row>
    <row r="47" ht="15.75" customHeight="1" s="95">
      <c r="A47" s="1" t="inlineStr">
        <is>
          <t>Chris Hemsworth</t>
        </is>
      </c>
      <c r="B47" s="1" t="n">
        <v>6</v>
      </c>
      <c r="C47" s="1" t="n">
        <v>2009</v>
      </c>
      <c r="D47" s="1" t="n">
        <v>2019</v>
      </c>
      <c r="E47" s="4" t="inlineStr">
        <is>
          <t>The Avengers, Avengers: Infinity War, Avengers: Endgame, Rush, Snow White and the Huntsman, Star Trek</t>
        </is>
      </c>
      <c r="F47" s="1" t="inlineStr">
        <is>
          <t>F0029, F0030, F0031, F0270, F0284, F0291</t>
        </is>
      </c>
    </row>
    <row r="48" ht="15.75" customHeight="1" s="95">
      <c r="A48" s="1" t="inlineStr">
        <is>
          <t>Dwayne Johnson</t>
        </is>
      </c>
      <c r="B48" s="1" t="n">
        <v>6</v>
      </c>
      <c r="C48" s="1" t="n">
        <v>2011</v>
      </c>
      <c r="D48" s="1" t="n">
        <v>2019</v>
      </c>
      <c r="E48" s="4" t="inlineStr">
        <is>
          <t>Fast Five, Fast &amp; Furious 6, The Fate of the Furious, Fast &amp; Furious Presents: Hobbs &amp; Shaw, Hercules, Furious 7</t>
        </is>
      </c>
      <c r="F48" s="1" t="inlineStr">
        <is>
          <t>F0105, F0106, F0108, F0111, F0147, F0107</t>
        </is>
      </c>
    </row>
    <row r="49" ht="15.75" customHeight="1" s="95">
      <c r="A49" s="1" t="inlineStr">
        <is>
          <t>Ewan McGregor</t>
        </is>
      </c>
      <c r="B49" s="1" t="n">
        <v>6</v>
      </c>
      <c r="C49" s="1" t="n">
        <v>1999</v>
      </c>
      <c r="D49" s="1" t="n">
        <v>2014</v>
      </c>
      <c r="E49" s="4" t="inlineStr">
        <is>
          <t>Angels &amp; Demons, Black Hawk Down, Star Wars: Episode I – The Phantom Menace, Star Wars: Episode II – Attack of the Clones, Star Wars: Episode III – Revenge of the Sith, A Million Ways to Die in the West</t>
        </is>
      </c>
      <c r="F49" s="1" t="inlineStr">
        <is>
          <t>F0023, F0050, F0292, F0293, F0294, F0021</t>
        </is>
      </c>
    </row>
    <row r="50" ht="15.75" customHeight="1" s="95">
      <c r="A50" s="1" t="inlineStr">
        <is>
          <t>Gary Oldman</t>
        </is>
      </c>
      <c r="B50" s="1" t="n">
        <v>11</v>
      </c>
      <c r="C50" s="1" t="n">
        <v>2004</v>
      </c>
      <c r="D50" s="1" t="n">
        <v>2017</v>
      </c>
      <c r="E50" s="4" t="inlineStr">
        <is>
          <t>Batman Begins, The Dark Knight Rises, The Hitman's Bodyguard, Lawless, Dawn of the Planet of the Apes, The Dark Knight, Harry Potter and the Prisoner of Azkaban, Harry Potter and the Goblet of Fire, Harry Potter and the Order of the Phoenix, Harry Potter and the Deathly Hallows: Part 2, RoboCop</t>
        </is>
      </c>
      <c r="F50" s="1" t="inlineStr">
        <is>
          <t>F0043, F0045, F0149, F0192, F0254, F0044, F0139, F0140, F0141, F0144, F0268</t>
        </is>
      </c>
    </row>
    <row r="51" ht="15.75" customHeight="1" s="95">
      <c r="A51" s="1" t="inlineStr">
        <is>
          <t>Gerard Butler</t>
        </is>
      </c>
      <c r="B51" s="1" t="n">
        <v>5</v>
      </c>
      <c r="C51" s="1" t="n">
        <v>2002</v>
      </c>
      <c r="D51" s="1" t="n">
        <v>2014</v>
      </c>
      <c r="E51" s="4" t="inlineStr">
        <is>
          <t>How to Train Your Dragon, How to Train Your Dragon 2, Law Abiding Citizen, Olympus Has Fallen, Reign of Fire</t>
        </is>
      </c>
      <c r="F51" s="1" t="inlineStr">
        <is>
          <t>F0154, F0155, F0191, F0240, F0263</t>
        </is>
      </c>
    </row>
    <row r="52" ht="15.75" customHeight="1" s="95">
      <c r="A52" s="1" t="inlineStr">
        <is>
          <t>Helena Bonham Carter</t>
        </is>
      </c>
      <c r="B52" s="1" t="n">
        <v>8</v>
      </c>
      <c r="C52" s="1" t="n">
        <v>1999</v>
      </c>
      <c r="D52" s="1" t="n">
        <v>2012</v>
      </c>
      <c r="E52" s="4" t="inlineStr">
        <is>
          <t>Fight Club, Harry Potter and the Order of the Phoenix, Harry Potter and the Deathly Hallows: Part 1, The King's Speech, Terminator Salvation, Harry Potter and the Half-Blood Prince, Harry Potter and the Deathly Hallows: Part 2, Les Misérables</t>
        </is>
      </c>
      <c r="F52" s="1" t="inlineStr">
        <is>
          <t>F0112, F0141, F0143, F0189, F0310, F0142, F0144, F0199</t>
        </is>
      </c>
    </row>
    <row r="53" ht="15.75" customHeight="1" s="95">
      <c r="A53" s="1" t="inlineStr">
        <is>
          <t>Hugo Weaving</t>
        </is>
      </c>
      <c r="B53" s="1" t="n">
        <v>13</v>
      </c>
      <c r="C53" s="1" t="n">
        <v>1999</v>
      </c>
      <c r="D53" s="1" t="n">
        <v>2016</v>
      </c>
      <c r="E53" s="4" t="inlineStr">
        <is>
          <t>The Matrix, The Matrix Reloaded, The Matrix Revolutions, Transformers, Transformers: Revenge of the Fallen, Hacksaw Ridge, Happy Feet Two, The Hobbit: An Unexpected Journey, The Hobbit: The Battle of the Five Armies, The Lord of the Rings: The Fellowship of the Ring, The Lord of the Rings: The Two Towers, The Lord of the Rings: The Return of the King, Transformers: Dark of the Moon</t>
        </is>
      </c>
      <c r="F53" s="1" t="inlineStr">
        <is>
          <t>F0214, F0215, F0216, F0316, F0317, F0133, F0145, F0150, F0152, F0203, F0204, F0205, F0318</t>
        </is>
      </c>
    </row>
    <row r="54" ht="15.75" customHeight="1" s="95">
      <c r="A54" s="1" t="inlineStr">
        <is>
          <t>James Franco</t>
        </is>
      </c>
      <c r="B54" s="1" t="n">
        <v>5</v>
      </c>
      <c r="C54" s="1" t="n">
        <v>2002</v>
      </c>
      <c r="D54" s="1" t="n">
        <v>2011</v>
      </c>
      <c r="E54" s="4" t="inlineStr">
        <is>
          <t>Pineapple Express, Rise of the Planet of the Apes, Spider-Man, Spider-Man 2, Spider-Man 3</t>
        </is>
      </c>
      <c r="F54" s="1" t="inlineStr">
        <is>
          <t>F0247, F0253, F0287, F0288, F0289</t>
        </is>
      </c>
    </row>
    <row r="55" ht="15.75" customHeight="1" s="95">
      <c r="A55" s="1" t="inlineStr">
        <is>
          <t>Jennifer Lawrence</t>
        </is>
      </c>
      <c r="B55" s="1" t="n">
        <v>6</v>
      </c>
      <c r="C55" s="1" t="n">
        <v>2011</v>
      </c>
      <c r="D55" s="1" t="n">
        <v>2016</v>
      </c>
      <c r="E55" s="4" t="inlineStr">
        <is>
          <t>American Hustle, The Hunger Games, The Hunger Games: Mockingjay - Part 1, X-Men: First Class, X-Men: Apocalypse, X-Men: Days of Future Past</t>
        </is>
      </c>
      <c r="F55" s="1" t="inlineStr">
        <is>
          <t>F0020, F0157, F0158, F0340, F0342, F0341</t>
        </is>
      </c>
    </row>
    <row r="56" ht="15.75" customHeight="1" s="95">
      <c r="A56" s="1" t="inlineStr">
        <is>
          <t>John Goodman</t>
        </is>
      </c>
      <c r="B56" s="1" t="n">
        <v>8</v>
      </c>
      <c r="C56" s="1" t="n">
        <v>1998</v>
      </c>
      <c r="D56" s="1" t="n">
        <v>2017</v>
      </c>
      <c r="E56" s="4" t="inlineStr">
        <is>
          <t>Argo, The Big Lebowski, Kong: Skull Island, Monsters, Inc., Monsters University, The Hangover Part III, Monsters, Inc., Transformers: Age of Extinction</t>
        </is>
      </c>
      <c r="F56" s="1" t="inlineStr">
        <is>
          <t>F0025, F0049, F0190, F0229, F0230, F0136, F0319</t>
        </is>
      </c>
    </row>
    <row r="57" ht="15.75" customHeight="1" s="95">
      <c r="A57" s="1" t="inlineStr">
        <is>
          <t>Jordana Brewster</t>
        </is>
      </c>
      <c r="B57" s="1" t="n">
        <v>7</v>
      </c>
      <c r="C57" s="1" t="n">
        <v>2001</v>
      </c>
      <c r="D57" s="1" t="n">
        <v>2023</v>
      </c>
      <c r="E57" s="4" t="inlineStr">
        <is>
          <t>The Fast and the Furious, Fast &amp; Furious, Fast Five, Fast &amp; Furious 6, Furious 7, F9: The Fast Saga, Fast X</t>
        </is>
      </c>
      <c r="F57" s="1" t="inlineStr">
        <is>
          <t>F0101, F0104, F0105, F0106, F0107, F0109, F0110</t>
        </is>
      </c>
    </row>
    <row r="58" ht="15.75" customHeight="1" s="95">
      <c r="A58" s="1" t="inlineStr">
        <is>
          <t>Josh Brolin</t>
        </is>
      </c>
      <c r="B58" s="1" t="n">
        <v>6</v>
      </c>
      <c r="C58" s="1" t="n">
        <v>2010</v>
      </c>
      <c r="D58" s="1" t="n">
        <v>2019</v>
      </c>
      <c r="E58" s="4" t="inlineStr">
        <is>
          <t>Avengers: Infinity War, Deadpool 2, Jonah Hex, Men in Black 3, True Grit, Avengers: Endgame</t>
        </is>
      </c>
      <c r="F58" s="1" t="inlineStr">
        <is>
          <t>F0030, F0077, F0173, F0219, F0325, F0031</t>
        </is>
      </c>
    </row>
    <row r="59" ht="15.75" customHeight="1" s="95">
      <c r="A59" s="1" t="inlineStr">
        <is>
          <t>Kristen Wiig</t>
        </is>
      </c>
      <c r="B59" s="1" t="n">
        <v>10</v>
      </c>
      <c r="C59" s="1" t="n">
        <v>2008</v>
      </c>
      <c r="D59" s="1" t="n">
        <v>2017</v>
      </c>
      <c r="E59" s="4" t="inlineStr">
        <is>
          <t>Bridesmaids, Despicable Me 2, Despicable Me 3, The Martian, Paul, Despicable Me, Forgetting Sarah Marshall, How to Train Your Dragon, How to Train Your Dragon 2, Ice Age: Dawn of the Dinosaurs</t>
        </is>
      </c>
      <c r="F59" s="1" t="inlineStr">
        <is>
          <t>F0058, F0083, F0084, F0213, F0245, F0082, F0115, F0154, F0155, F0161</t>
        </is>
      </c>
    </row>
    <row r="60" ht="15.75" customHeight="1" s="95">
      <c r="A60" s="1" t="inlineStr">
        <is>
          <t>Mark Wahlberg</t>
        </is>
      </c>
      <c r="B60" s="1" t="n">
        <v>5</v>
      </c>
      <c r="C60" s="1" t="n">
        <v>2006</v>
      </c>
      <c r="D60" s="1" t="n">
        <v>2017</v>
      </c>
      <c r="E60" s="4" t="inlineStr">
        <is>
          <t>The Departed, Lone Survivor, Ted, Transformers: Age of Extinction, Transformers: The Last Knight</t>
        </is>
      </c>
      <c r="F60" s="1" t="inlineStr">
        <is>
          <t>F0081, F0202, F0308, F0319, F0320</t>
        </is>
      </c>
    </row>
    <row r="61" ht="15.75" customHeight="1" s="95">
      <c r="A61" s="1" t="inlineStr">
        <is>
          <t>Matthew McConaughey</t>
        </is>
      </c>
      <c r="B61" s="1" t="n">
        <v>6</v>
      </c>
      <c r="C61" s="1" t="n">
        <v>2002</v>
      </c>
      <c r="D61" s="1" t="n">
        <v>2020</v>
      </c>
      <c r="E61" s="4" t="inlineStr">
        <is>
          <t>The Gentlemen, Interstellar, Magic Mike, Reign of Fire, Sing, Tropic Thunder</t>
        </is>
      </c>
      <c r="F61" s="1" t="inlineStr">
        <is>
          <t>F0119, F0168, F0206, F0263, F0280, F0324</t>
        </is>
      </c>
    </row>
    <row r="62" ht="15.75" customHeight="1" s="95">
      <c r="A62" s="1" t="inlineStr">
        <is>
          <t>Morgan Freeman</t>
        </is>
      </c>
      <c r="B62" s="1" t="n">
        <v>9</v>
      </c>
      <c r="C62" s="1" t="n">
        <v>1995</v>
      </c>
      <c r="D62" s="1" t="n">
        <v>2014</v>
      </c>
      <c r="E62" s="4" t="inlineStr">
        <is>
          <t>The Bucket List, The Lego Movie, Oblivion, RED, Se7en, Batman Begins, The Dark Knight, The Dark Knight Rises, Olympus Has Fallen</t>
        </is>
      </c>
      <c r="F62" s="1" t="inlineStr">
        <is>
          <t>F0060, F0195, F0239, F0262, F0276, F0043, F0044, F0045, F0240</t>
        </is>
      </c>
    </row>
    <row r="63" ht="15.75" customHeight="1" s="95">
      <c r="A63" s="1" t="inlineStr">
        <is>
          <t>Nick Frost</t>
        </is>
      </c>
      <c r="B63" s="1" t="n">
        <v>6</v>
      </c>
      <c r="C63" s="1" t="n">
        <v>2004</v>
      </c>
      <c r="D63" s="1" t="n">
        <v>2013</v>
      </c>
      <c r="E63" s="4" t="inlineStr">
        <is>
          <t>Attack the Block, Shaun of the Dead, Hot Fuzz, The World's End, Paul, Snow White and the Huntsman</t>
        </is>
      </c>
      <c r="F63" s="1" t="inlineStr">
        <is>
          <t>F0027, F0070, F0071, F0072, F0245, F0284</t>
        </is>
      </c>
    </row>
    <row r="64" ht="15.75" customHeight="1" s="95">
      <c r="A64" s="1" t="inlineStr">
        <is>
          <t>Patrick Stewart</t>
        </is>
      </c>
      <c r="B64" s="1" t="n">
        <v>6</v>
      </c>
      <c r="C64" s="1" t="n">
        <v>2000</v>
      </c>
      <c r="D64" s="1" t="n">
        <v>2017</v>
      </c>
      <c r="E64" s="4" t="inlineStr">
        <is>
          <t>Logan, X-Men: Days of Future Past, X-Men, X2: X-Men United, X-Men: The Last Stand, Ted</t>
        </is>
      </c>
      <c r="F64" s="1" t="inlineStr">
        <is>
          <t>F0201, F0341, F0344, F0345, F0346, F0308</t>
        </is>
      </c>
    </row>
    <row r="65" ht="15.75" customHeight="1" s="95">
      <c r="A65" s="1" t="inlineStr">
        <is>
          <t>Ralph Fiennes</t>
        </is>
      </c>
      <c r="B65" s="1" t="n">
        <v>10</v>
      </c>
      <c r="C65" s="1" t="n">
        <v>2005</v>
      </c>
      <c r="D65" s="1" t="n">
        <v>2021</v>
      </c>
      <c r="E65" s="4" t="inlineStr">
        <is>
          <t>Skyfall, Spectre, No Time to Die, Harry Potter and the Deathly Hallows: Part 2, The Lego Batman Movie, Clash of the Titans, Harry Potter and the Goblet of Fire, Harry Potter and the Order of the Phoenix, Harry Potter and the Deathly Hallows: Part 1, The Lego Movie 2: The Second Part</t>
        </is>
      </c>
      <c r="F65" s="1" t="inlineStr">
        <is>
          <t>F0003, F0004, F0005, F0144, F0193, F0066, F0140, F0141, F0143, F0196</t>
        </is>
      </c>
    </row>
    <row r="66" ht="15.75" customHeight="1" s="95">
      <c r="A66" s="1" t="inlineStr">
        <is>
          <t>Rebel Wilson</t>
        </is>
      </c>
      <c r="B66" s="1" t="n">
        <v>6</v>
      </c>
      <c r="C66" s="1" t="n">
        <v>2011</v>
      </c>
      <c r="D66" s="1" t="n">
        <v>2019</v>
      </c>
      <c r="E66" s="4" t="inlineStr">
        <is>
          <t>Grimsby, Jojo Rabbit, Pitch Perfect, Pitch Perfect 2, Pitch Perfect 3, Bridesmaids</t>
        </is>
      </c>
      <c r="F66" s="1" t="inlineStr">
        <is>
          <t>F0130, F0170, F0250, F0251, F0252, F0058</t>
        </is>
      </c>
    </row>
    <row r="67" ht="15.75" customHeight="1" s="95">
      <c r="A67" s="1" t="inlineStr">
        <is>
          <t>Sam Worthington</t>
        </is>
      </c>
      <c r="B67" s="1" t="n">
        <v>5</v>
      </c>
      <c r="C67" s="1" t="n">
        <v>2009</v>
      </c>
      <c r="D67" s="1" t="n">
        <v>2016</v>
      </c>
      <c r="E67" s="4" t="inlineStr">
        <is>
          <t>Avatar, Clash of the Titans, Hacksaw Ridge, Man on a Ledge, Terminator Salvation</t>
        </is>
      </c>
      <c r="F67" s="1" t="inlineStr">
        <is>
          <t>F0028, F0066, F0133, F0210, F0310</t>
        </is>
      </c>
    </row>
    <row r="68" ht="15.75" customHeight="1" s="95">
      <c r="A68" s="1" t="inlineStr">
        <is>
          <t>Shia LaBeouf</t>
        </is>
      </c>
      <c r="B68" s="1" t="n">
        <v>5</v>
      </c>
      <c r="C68" s="1" t="n">
        <v>2007</v>
      </c>
      <c r="D68" s="1" t="n">
        <v>2014</v>
      </c>
      <c r="E68" s="4" t="inlineStr">
        <is>
          <t>Fury, Lawless, Transformers, Transformers: Revenge of the Fallen, Transformers: Dark of the Moon</t>
        </is>
      </c>
      <c r="F68" s="1" t="inlineStr">
        <is>
          <t>F0117, F0192, F0316, F0317, F0318</t>
        </is>
      </c>
    </row>
    <row r="69" ht="15.75" customHeight="1" s="95">
      <c r="A69" s="1" t="inlineStr">
        <is>
          <t>Sigourney Weaver</t>
        </is>
      </c>
      <c r="B69" s="1" t="n">
        <v>7</v>
      </c>
      <c r="C69" s="1" t="n">
        <v>1979</v>
      </c>
      <c r="D69" s="1" t="n">
        <v>2011</v>
      </c>
      <c r="E69" s="4" t="inlineStr">
        <is>
          <t>Alien, Aliens, Alien³, Alien Resurrection, Avatar, Paul, WALL·E</t>
        </is>
      </c>
      <c r="F69" s="1" t="inlineStr">
        <is>
          <t>F0015, F0016, F0017, F0018, F0028, F0245, F0331</t>
        </is>
      </c>
    </row>
    <row r="70" ht="15.75" customHeight="1" s="95">
      <c r="A70" s="1" t="inlineStr">
        <is>
          <t>Sylvester Stallone</t>
        </is>
      </c>
      <c r="B70" s="1" t="n">
        <v>5</v>
      </c>
      <c r="C70" s="1" t="n">
        <v>2008</v>
      </c>
      <c r="D70" s="1" t="n">
        <v>2015</v>
      </c>
      <c r="E70" s="4" t="inlineStr">
        <is>
          <t>Creed, The Expendables, The Expendables 2, The Expendables 3, Rambo</t>
        </is>
      </c>
      <c r="F70" s="1" t="inlineStr">
        <is>
          <t>F0074, F0095, F0096, F0097, F0261</t>
        </is>
      </c>
    </row>
    <row r="71" ht="15.75" customHeight="1" s="95">
      <c r="A71" s="1" t="inlineStr">
        <is>
          <t>Tyrese Gibson</t>
        </is>
      </c>
      <c r="B71" s="1" t="n">
        <v>11</v>
      </c>
      <c r="C71" s="1" t="n">
        <v>2003</v>
      </c>
      <c r="D71" s="1" t="n">
        <v>2023</v>
      </c>
      <c r="E71" s="4" t="inlineStr">
        <is>
          <t>2 Fast 2 Furious, Fast Five, The Fate of the Furious, F9: The Fast Saga, Fast X, Fast &amp; Furious, Fast &amp; Furious 6, Furious 7, Transformers, Transformers: Revenge of the Fallen, Transformers: Dark of the Moon</t>
        </is>
      </c>
      <c r="F71" s="1" t="inlineStr">
        <is>
          <t>F0102, F0105, F0108, F0109, F0110, F0104, F0106, F0107, F0316, F0317, F0318</t>
        </is>
      </c>
    </row>
    <row r="72" ht="15.75" customHeight="1" s="95">
      <c r="A72" s="1" t="inlineStr">
        <is>
          <t>Zach Galifianakis</t>
        </is>
      </c>
      <c r="B72" s="1" t="n">
        <v>6</v>
      </c>
      <c r="C72" s="1" t="n">
        <v>2009</v>
      </c>
      <c r="D72" s="1" t="n">
        <v>2017</v>
      </c>
      <c r="E72" s="4" t="inlineStr">
        <is>
          <t>Due Date, The Hangover, The Hangover Part II, The Hangover Part III, The Lego Batman Movie, Muppets Most Wanted</t>
        </is>
      </c>
      <c r="F72" s="1" t="inlineStr">
        <is>
          <t>F0091, F0134, F0135, F0136, F0193, F0232</t>
        </is>
      </c>
    </row>
    <row r="73" ht="15.75" customHeight="1" s="95">
      <c r="A73" s="1" t="inlineStr">
        <is>
          <t>Aaron Eckhart</t>
        </is>
      </c>
      <c r="B73" s="1" t="n">
        <v>5</v>
      </c>
      <c r="C73" s="1" t="n">
        <v>2008</v>
      </c>
      <c r="D73" s="1" t="n">
        <v>2014</v>
      </c>
      <c r="E73" s="4" t="inlineStr">
        <is>
          <t>The Dark Knight, Battle: Los Angeles, I, Frankenstein, Olympus Has Fallen, I, Frankenstein</t>
        </is>
      </c>
      <c r="F73" s="1" t="inlineStr">
        <is>
          <t>F0044, F0046, F0159, F0240</t>
        </is>
      </c>
    </row>
    <row r="74" ht="15.75" customHeight="1" s="95">
      <c r="A74" s="1" t="inlineStr">
        <is>
          <t>Aaron Taylor-Johnson</t>
        </is>
      </c>
      <c r="B74" s="1" t="n">
        <v>4</v>
      </c>
      <c r="C74" s="1" t="n">
        <v>2010</v>
      </c>
      <c r="D74" s="1" t="n">
        <v>2024</v>
      </c>
      <c r="E74" s="4" t="inlineStr">
        <is>
          <t>The Fall Guy, Godzilla, Kick-Ass, Kick-Ass 2</t>
        </is>
      </c>
      <c r="F74" s="1" t="inlineStr">
        <is>
          <t>F0099, F0121, F0185, F0186</t>
        </is>
      </c>
    </row>
    <row r="75" ht="15.75" customHeight="1" s="95">
      <c r="A75" s="1" t="inlineStr">
        <is>
          <t>Amanda Seyfried</t>
        </is>
      </c>
      <c r="B75" s="1" t="n">
        <v>4</v>
      </c>
      <c r="C75" s="1" t="n">
        <v>2008</v>
      </c>
      <c r="D75" s="1" t="n">
        <v>2014</v>
      </c>
      <c r="E75" s="4" t="inlineStr">
        <is>
          <t>A Million Ways to Die in the West, Dear John, Les Misérables, Mamma Mia!</t>
        </is>
      </c>
      <c r="F75" s="1" t="inlineStr">
        <is>
          <t>F0021, F0079, F0199, F0209</t>
        </is>
      </c>
    </row>
    <row r="76" ht="15.75" customHeight="1" s="95">
      <c r="A76" s="1" t="inlineStr">
        <is>
          <t>Ben Affleck</t>
        </is>
      </c>
      <c r="B76" s="1" t="n">
        <v>5</v>
      </c>
      <c r="C76" s="1" t="n">
        <v>1997</v>
      </c>
      <c r="D76" s="1" t="n">
        <v>2016</v>
      </c>
      <c r="E76" s="4" t="inlineStr">
        <is>
          <t>The Accountant, Argo, Good Will Hunting, Pearl Harbor, Dogma</t>
        </is>
      </c>
      <c r="F76" s="1" t="inlineStr">
        <is>
          <t>F0013, F0025, F0124, F0246, F0351</t>
        </is>
      </c>
    </row>
    <row r="77" ht="15.75" customHeight="1" s="95">
      <c r="A77" s="1" t="inlineStr">
        <is>
          <t>Brendan Gleeson</t>
        </is>
      </c>
      <c r="B77" s="1" t="n">
        <v>7</v>
      </c>
      <c r="C77" s="1" t="n">
        <v>2000</v>
      </c>
      <c r="D77" s="1" t="n">
        <v>2013</v>
      </c>
      <c r="E77" s="4" t="inlineStr">
        <is>
          <t>Green Zone, Harry Potter and the Goblet of Fire, Safe House, The Smurfs 2, Harry Potter and the Order of the Phoenix, Harry Potter and the Deathly Hallows: Part 1, Mission: Impossible II</t>
        </is>
      </c>
      <c r="F77" s="1" t="inlineStr">
        <is>
          <t>F0129, F0140, F0272, F0282, F0141, F0143, F0222</t>
        </is>
      </c>
    </row>
    <row r="78" ht="15.75" customHeight="1" s="95">
      <c r="A78" s="1" t="inlineStr">
        <is>
          <t>Bruce Willis</t>
        </is>
      </c>
      <c r="B78" s="1" t="n">
        <v>6</v>
      </c>
      <c r="C78" s="1" t="n">
        <v>2007</v>
      </c>
      <c r="D78" s="1" t="n">
        <v>2019</v>
      </c>
      <c r="E78" s="4" t="inlineStr">
        <is>
          <t>Catch.44, Cop Out, Live Free or Die Hard, RED, The Expendables 2, The Lego Movie 2: The Second Part</t>
        </is>
      </c>
      <c r="F78" s="1" t="inlineStr">
        <is>
          <t>F0063, F0069, F0086, F0262, F0096, F0196</t>
        </is>
      </c>
    </row>
    <row r="79" ht="15.75" customHeight="1" s="95">
      <c r="A79" s="1" t="inlineStr">
        <is>
          <t>Chris Evans</t>
        </is>
      </c>
      <c r="B79" s="1" t="n">
        <v>5</v>
      </c>
      <c r="C79" s="1" t="n">
        <v>2012</v>
      </c>
      <c r="D79" s="1" t="n">
        <v>2024</v>
      </c>
      <c r="E79" s="4" t="inlineStr">
        <is>
          <t>The Avengers, Avengers: Infinity War, Avengers: Endgame, Snowpiercer, Deadpool &amp; Wolverine</t>
        </is>
      </c>
      <c r="F79" s="1" t="inlineStr">
        <is>
          <t>F0029, F0030, F0031, F0283, F0078</t>
        </is>
      </c>
    </row>
    <row r="80" ht="15.75" customHeight="1" s="95">
      <c r="A80" s="1" t="inlineStr">
        <is>
          <t>Elijah Wood</t>
        </is>
      </c>
      <c r="B80" s="1" t="n">
        <v>6</v>
      </c>
      <c r="C80" s="1" t="n">
        <v>1989</v>
      </c>
      <c r="D80" s="1" t="n">
        <v>2012</v>
      </c>
      <c r="E80" s="4" t="inlineStr">
        <is>
          <t>Happy Feet Two, The Lord of the Rings: The Fellowship of the Ring, The Lord of the Rings: The Two Towers, The Lord of the Rings: The Return of the King, Back to the Future Part II, The Hobbit: An Unexpected Journey</t>
        </is>
      </c>
      <c r="F80" s="1" t="inlineStr">
        <is>
          <t>F0145, F0203, F0204, F0205, F0034, F0150</t>
        </is>
      </c>
    </row>
    <row r="81" ht="15.75" customHeight="1" s="95">
      <c r="A81" s="1" t="inlineStr">
        <is>
          <t>Guy Pearce</t>
        </is>
      </c>
      <c r="B81" s="1" t="n">
        <v>4</v>
      </c>
      <c r="C81" s="1" t="n">
        <v>2010</v>
      </c>
      <c r="D81" s="1" t="n">
        <v>2013</v>
      </c>
      <c r="E81" s="4" t="inlineStr">
        <is>
          <t>Iron Man 3, The King's Speech, Lawless, Prometheus</t>
        </is>
      </c>
      <c r="F81" s="1" t="inlineStr">
        <is>
          <t>F0169, F0189, F0192, F0259</t>
        </is>
      </c>
    </row>
    <row r="82" ht="15.75" customHeight="1" s="95">
      <c r="A82" s="1" t="inlineStr">
        <is>
          <t>Hailee Steinfeld</t>
        </is>
      </c>
      <c r="B82" s="1" t="n">
        <v>4</v>
      </c>
      <c r="C82" s="1" t="n">
        <v>2010</v>
      </c>
      <c r="D82" s="1" t="n">
        <v>2018</v>
      </c>
      <c r="E82" s="4" t="inlineStr">
        <is>
          <t>Bumblebee, Pitch Perfect 2, Pitch Perfect 3, True Grit</t>
        </is>
      </c>
      <c r="F82" s="1" t="inlineStr">
        <is>
          <t>F0061, F0251, F0252, F0325</t>
        </is>
      </c>
    </row>
    <row r="83" ht="15.75" customHeight="1" s="95">
      <c r="A83" s="1" t="inlineStr">
        <is>
          <t>Ian McShane</t>
        </is>
      </c>
      <c r="B83" s="1" t="n">
        <v>4</v>
      </c>
      <c r="C83" s="1" t="n">
        <v>2009</v>
      </c>
      <c r="D83" s="1" t="n">
        <v>2014</v>
      </c>
      <c r="E83" s="4" t="inlineStr">
        <is>
          <t>44 Inch Chest, Hercules, Pirates of the Caribbean: On Stranger Tides, Snow White and the Huntsman</t>
        </is>
      </c>
      <c r="F83" s="1" t="inlineStr">
        <is>
          <t>F0010, F0147, F0249, F0284</t>
        </is>
      </c>
    </row>
    <row r="84" ht="15.75" customHeight="1" s="95">
      <c r="A84" s="1" t="inlineStr">
        <is>
          <t>Jake Gyllenhaal</t>
        </is>
      </c>
      <c r="B84" s="1" t="n">
        <v>4</v>
      </c>
      <c r="C84" s="1" t="n">
        <v>2007</v>
      </c>
      <c r="D84" s="1" t="n">
        <v>2015</v>
      </c>
      <c r="E84" s="4" t="inlineStr">
        <is>
          <t>Prisoners, Source Code, Southpaw, Zodiac</t>
        </is>
      </c>
      <c r="F84" s="1" t="inlineStr">
        <is>
          <t>F0258, F0285, F0286, F0350</t>
        </is>
      </c>
    </row>
    <row r="85" ht="15.75" customHeight="1" s="95">
      <c r="A85" s="1" t="inlineStr">
        <is>
          <t>Jamie Bell</t>
        </is>
      </c>
      <c r="B85" s="1" t="n">
        <v>5</v>
      </c>
      <c r="C85" s="1" t="n">
        <v>2005</v>
      </c>
      <c r="D85" s="1" t="n">
        <v>2019</v>
      </c>
      <c r="E85" s="4" t="inlineStr">
        <is>
          <t>Jumper, Man on a Ledge, Rocketman, Snowpiercer, King Kong</t>
        </is>
      </c>
      <c r="F85" s="1" t="inlineStr">
        <is>
          <t>F0175, F0210, F0269, F0283, F0188</t>
        </is>
      </c>
    </row>
    <row r="86" ht="15.75" customHeight="1" s="95">
      <c r="A86" s="1" t="inlineStr">
        <is>
          <t>Jeremy Renner</t>
        </is>
      </c>
      <c r="B86" s="1" t="n">
        <v>6</v>
      </c>
      <c r="C86" s="1" t="n">
        <v>2011</v>
      </c>
      <c r="D86" s="1" t="n">
        <v>2019</v>
      </c>
      <c r="E86" s="4" t="inlineStr">
        <is>
          <t>American Hustle, The Bourne Legacy, Mission: Impossible - Ghost Protocol, Mission: Impossible - Rogue Nation, The Avengers, Avengers: Endgame</t>
        </is>
      </c>
      <c r="F86" s="1" t="inlineStr">
        <is>
          <t>F0020, F0056, F0224, F0225, F0029, F0031</t>
        </is>
      </c>
    </row>
    <row r="87" ht="15.75" customHeight="1" s="95">
      <c r="A87" s="1" t="inlineStr">
        <is>
          <t>John Hurt</t>
        </is>
      </c>
      <c r="B87" s="1" t="n">
        <v>7</v>
      </c>
      <c r="C87" s="1" t="n">
        <v>1979</v>
      </c>
      <c r="D87" s="1" t="n">
        <v>2014</v>
      </c>
      <c r="E87" s="4" t="inlineStr">
        <is>
          <t>44 Inch Chest, Alien, Hercules, Snowpiercer, Harry Potter and the Philosopher's Stone, Harry Potter and the Deathly Hallows: Part 1, Harry Potter and the Deathly Hallows: Part 2</t>
        </is>
      </c>
      <c r="F87" s="1" t="inlineStr">
        <is>
          <t>F0010, F0015, F0147, F0283, F0137, F0143, F0144</t>
        </is>
      </c>
    </row>
    <row r="88" ht="15.75" customHeight="1" s="95">
      <c r="A88" s="1" t="inlineStr">
        <is>
          <t>Jon Voight</t>
        </is>
      </c>
      <c r="B88" s="1" t="n">
        <v>7</v>
      </c>
      <c r="C88" s="1" t="n">
        <v>1996</v>
      </c>
      <c r="D88" s="1" t="n">
        <v>2016</v>
      </c>
      <c r="E88" s="4" t="inlineStr">
        <is>
          <t>Enemy of the State, Mission: Impossible, National Treasure: Book of Secrets, Pearl Harbor, Fantastic Beasts and Where to Find Them, Transformers, Tropic Thunder</t>
        </is>
      </c>
      <c r="F88" s="1" t="inlineStr">
        <is>
          <t>F0094, F0221, F0233, F0246, F0100, F0316, F0324</t>
        </is>
      </c>
    </row>
    <row r="89" ht="15.75" customHeight="1" s="95">
      <c r="A89" s="1" t="inlineStr">
        <is>
          <t>Jonah Hill</t>
        </is>
      </c>
      <c r="B89" s="1" t="n">
        <v>10</v>
      </c>
      <c r="C89" s="1" t="n">
        <v>2007</v>
      </c>
      <c r="D89" s="1" t="n">
        <v>2019</v>
      </c>
      <c r="E89" s="4" t="inlineStr">
        <is>
          <t>21 Jump Street, 22 Jump Street, How to Train Your Dragon, Superbad, Django Unchained, Forgetting Sarah Marshall, How to Train Your Dragon 2, The Lego Batman Movie, The Lego Movie, The Lego Movie 2: The Second Part</t>
        </is>
      </c>
      <c r="F89" s="1" t="inlineStr">
        <is>
          <t>F0007, F0008, F0154, F0303, F0090, F0115, F0155, F0193, F0195, F0196</t>
        </is>
      </c>
    </row>
    <row r="90" ht="15.75" customHeight="1" s="95">
      <c r="A90" s="1" t="inlineStr">
        <is>
          <t>Joseph Gordon-Levitt</t>
        </is>
      </c>
      <c r="B90" s="1" t="n">
        <v>4</v>
      </c>
      <c r="C90" s="1" t="n">
        <v>2009</v>
      </c>
      <c r="D90" s="1" t="n">
        <v>2012</v>
      </c>
      <c r="E90" s="4" t="inlineStr">
        <is>
          <t>50/50, The Dark Knight Rises, G.I. Joe: The Rise of Cobra, Inception</t>
        </is>
      </c>
      <c r="F90" s="1" t="inlineStr">
        <is>
          <t>F0011, F0045, F0118, F0165</t>
        </is>
      </c>
    </row>
    <row r="91" ht="15.75" customHeight="1" s="95">
      <c r="A91" s="1" t="inlineStr">
        <is>
          <t>Justin Bartha</t>
        </is>
      </c>
      <c r="B91" s="1" t="n">
        <v>4</v>
      </c>
      <c r="C91" s="1" t="n">
        <v>2007</v>
      </c>
      <c r="D91" s="1" t="n">
        <v>2013</v>
      </c>
      <c r="E91" s="4" t="inlineStr">
        <is>
          <t>The Hangover, The Hangover Part II, The Hangover Part III, National Treasure: Book of Secrets</t>
        </is>
      </c>
      <c r="F91" s="1" t="inlineStr">
        <is>
          <t>F0134, F0135, F0136, F0233</t>
        </is>
      </c>
    </row>
    <row r="92" ht="15.75" customHeight="1" s="95">
      <c r="A92" s="1" t="inlineStr">
        <is>
          <t>Mark Ruffalo</t>
        </is>
      </c>
      <c r="B92" s="1" t="n">
        <v>4</v>
      </c>
      <c r="C92" s="1" t="n">
        <v>2007</v>
      </c>
      <c r="D92" s="1" t="n">
        <v>2019</v>
      </c>
      <c r="E92" s="4" t="inlineStr">
        <is>
          <t>The Avengers, Avengers: Infinity War, Avengers: Endgame, Zodiac</t>
        </is>
      </c>
      <c r="F92" s="1" t="inlineStr">
        <is>
          <t>F0029, F0030, F0031, F0350</t>
        </is>
      </c>
    </row>
    <row r="93" ht="15.75" customHeight="1" s="95">
      <c r="A93" s="1" t="inlineStr">
        <is>
          <t>Martin Freeman</t>
        </is>
      </c>
      <c r="B93" s="1" t="n">
        <v>5</v>
      </c>
      <c r="C93" s="1" t="n">
        <v>2004</v>
      </c>
      <c r="D93" s="1" t="n">
        <v>2014</v>
      </c>
      <c r="E93" s="4" t="inlineStr">
        <is>
          <t>The World's End, The Hobbit: An Unexpected Journey, The Hobbit: The Desolation of Smaug, The Hobbit: The Battle of the Five Armies, Shaun of the Dead</t>
        </is>
      </c>
      <c r="F93" s="1" t="inlineStr">
        <is>
          <t>F0072, F0150, F0151, F0152, F0070</t>
        </is>
      </c>
    </row>
    <row r="94" ht="15.75" customHeight="1" s="95">
      <c r="A94" s="1" t="inlineStr">
        <is>
          <t>Megan Fox</t>
        </is>
      </c>
      <c r="B94" s="1" t="n">
        <v>5</v>
      </c>
      <c r="C94" s="1" t="n">
        <v>2007</v>
      </c>
      <c r="D94" s="1" t="n">
        <v>2014</v>
      </c>
      <c r="E94" s="4" t="inlineStr">
        <is>
          <t>Jonah Hex, Teenage Mutant Ninja Turtles, Transformers, Transformers: Revenge of the Fallen, The Dictator</t>
        </is>
      </c>
      <c r="F94" s="1" t="inlineStr">
        <is>
          <t>F0173, F0309, F0316, F0317, F0085</t>
        </is>
      </c>
    </row>
    <row r="95" ht="15.75" customHeight="1" s="95">
      <c r="A95" s="1" t="inlineStr">
        <is>
          <t>Michael Caine</t>
        </is>
      </c>
      <c r="B95" s="1" t="n">
        <v>6</v>
      </c>
      <c r="C95" s="1" t="n">
        <v>2005</v>
      </c>
      <c r="D95" s="1" t="n">
        <v>2014</v>
      </c>
      <c r="E95" s="4" t="inlineStr">
        <is>
          <t>Batman Begins, The Dark Knight, Interstellar, The Prestige, The Dark Knight Rises, Inception</t>
        </is>
      </c>
      <c r="F95" s="1" t="inlineStr">
        <is>
          <t>F0043, F0044, F0168, F0257, F0045, F0165</t>
        </is>
      </c>
    </row>
    <row r="96" ht="15.75" customHeight="1" s="95">
      <c r="A96" s="1" t="inlineStr">
        <is>
          <t>Nicolas Cage</t>
        </is>
      </c>
      <c r="B96" s="1" t="n">
        <v>4</v>
      </c>
      <c r="C96" s="1" t="n">
        <v>1997</v>
      </c>
      <c r="D96" s="1" t="n">
        <v>2013</v>
      </c>
      <c r="E96" s="4" t="inlineStr">
        <is>
          <t>Con Air, The Croods, Kick-Ass, National Treasure: Book of Secrets</t>
        </is>
      </c>
      <c r="F96" s="1" t="inlineStr">
        <is>
          <t>F0068, F0075, F0185, F0233</t>
        </is>
      </c>
    </row>
    <row r="97" ht="15.75" customHeight="1" s="95">
      <c r="A97" s="1" t="inlineStr">
        <is>
          <t>Rachel McAdams</t>
        </is>
      </c>
      <c r="B97" s="1" t="n">
        <v>4</v>
      </c>
      <c r="C97" s="1" t="n">
        <v>2004</v>
      </c>
      <c r="D97" s="1" t="n">
        <v>2015</v>
      </c>
      <c r="E97" s="4" t="inlineStr">
        <is>
          <t>The Notebook, Sherlock Holmes, Sherlock Holmes: A Game of Shadows, Southpaw</t>
        </is>
      </c>
      <c r="F97" s="1" t="inlineStr">
        <is>
          <t>F0237, F0278, F0279, F0286</t>
        </is>
      </c>
    </row>
    <row r="98" ht="15.75" customHeight="1" s="95">
      <c r="A98" s="1" t="inlineStr">
        <is>
          <t>Rebecca Ferguson</t>
        </is>
      </c>
      <c r="B98" s="1" t="n">
        <v>4</v>
      </c>
      <c r="C98" s="1" t="n">
        <v>2015</v>
      </c>
      <c r="D98" s="1" t="n">
        <v>2023</v>
      </c>
      <c r="E98" s="4" t="inlineStr">
        <is>
          <t>The Greatest Showman, Mission: Impossible - Rogue Nation, Mission: Impossible - Fallout, Mission: Impossible - Dead Reckoning Part One</t>
        </is>
      </c>
      <c r="F98" s="1" t="inlineStr">
        <is>
          <t>F0127, F0225, F0226, F0227</t>
        </is>
      </c>
    </row>
    <row r="99" ht="15.75" customHeight="1" s="95">
      <c r="A99" s="1" t="inlineStr">
        <is>
          <t>Rebecca Hall</t>
        </is>
      </c>
      <c r="B99" s="1" t="n">
        <v>4</v>
      </c>
      <c r="C99" s="1" t="n">
        <v>2006</v>
      </c>
      <c r="D99" s="1" t="n">
        <v>2021</v>
      </c>
      <c r="E99" s="4" t="inlineStr">
        <is>
          <t>The BFG, Godzilla vs. Kong, Iron Man 3, The Prestige</t>
        </is>
      </c>
      <c r="F99" s="1" t="inlineStr">
        <is>
          <t>F0047, F0123, F0169, F0257</t>
        </is>
      </c>
    </row>
    <row r="100" ht="15.75" customHeight="1" s="95">
      <c r="A100" s="1" t="inlineStr">
        <is>
          <t>Ryan Gosling</t>
        </is>
      </c>
      <c r="B100" s="1" t="n">
        <v>4</v>
      </c>
      <c r="C100" s="1" t="n">
        <v>2004</v>
      </c>
      <c r="D100" s="1" t="n">
        <v>2024</v>
      </c>
      <c r="E100" s="4" t="inlineStr">
        <is>
          <t>Barbie, The Fall Guy, The Nice Guys, The Notebook</t>
        </is>
      </c>
      <c r="F100" s="1" t="inlineStr">
        <is>
          <t>F0041, F0099, F0235, F0237</t>
        </is>
      </c>
    </row>
    <row r="101" ht="15.75" customHeight="1" s="95">
      <c r="A101" s="1" t="inlineStr">
        <is>
          <t>Sacha Baron Cohen</t>
        </is>
      </c>
      <c r="B101" s="1" t="n">
        <v>4</v>
      </c>
      <c r="C101" s="1" t="n">
        <v>2009</v>
      </c>
      <c r="D101" s="1" t="n">
        <v>2016</v>
      </c>
      <c r="E101" s="4" t="inlineStr">
        <is>
          <t>Brüno, The Dictator, Grimsby, Les Misérables</t>
        </is>
      </c>
      <c r="F101" s="1" t="inlineStr">
        <is>
          <t>F0059, F0085, F0130, F0199</t>
        </is>
      </c>
    </row>
    <row r="102" ht="15.75" customHeight="1" s="95">
      <c r="A102" s="1" t="inlineStr">
        <is>
          <t>Seth Rogen</t>
        </is>
      </c>
      <c r="B102" s="1" t="n">
        <v>6</v>
      </c>
      <c r="C102" s="1" t="n">
        <v>2004</v>
      </c>
      <c r="D102" s="1" t="n">
        <v>2023</v>
      </c>
      <c r="E102" s="4" t="inlineStr">
        <is>
          <t>50/50, Paul, Pineapple Express, Superbad, Anchorman: The Legend of Ron Burgundy, The Super Mario Bros. Movie</t>
        </is>
      </c>
      <c r="F102" s="1" t="inlineStr">
        <is>
          <t>F0011, F0245, F0247, F0303, F0022, F0212</t>
        </is>
      </c>
    </row>
    <row r="103" ht="15.75" customHeight="1" s="95">
      <c r="A103" s="1" t="inlineStr">
        <is>
          <t>Sharlto Copley</t>
        </is>
      </c>
      <c r="B103" s="1" t="n">
        <v>4</v>
      </c>
      <c r="C103" s="1" t="n">
        <v>2009</v>
      </c>
      <c r="D103" s="1" t="n">
        <v>2014</v>
      </c>
      <c r="E103" s="4" t="inlineStr">
        <is>
          <t>The A-Team, District 9, Elysium, Maleficent</t>
        </is>
      </c>
      <c r="F103" s="1" t="inlineStr">
        <is>
          <t>F0026, F0088, F0093, F0208</t>
        </is>
      </c>
    </row>
    <row r="104" ht="15.75" customHeight="1" s="95">
      <c r="A104" s="1" t="inlineStr">
        <is>
          <t>Stellan Skarsgård</t>
        </is>
      </c>
      <c r="B104" s="1" t="n">
        <v>5</v>
      </c>
      <c r="C104" s="1" t="n">
        <v>1997</v>
      </c>
      <c r="D104" s="1" t="n">
        <v>2012</v>
      </c>
      <c r="E104" s="4" t="inlineStr">
        <is>
          <t>Angels &amp; Demons, The Girl with the Dragon Tattoo, Good Will Hunting, Mamma Mia!, The Avengers</t>
        </is>
      </c>
      <c r="F104" s="1" t="inlineStr">
        <is>
          <t>F0023, F0120, F0124, F0209, F0029</t>
        </is>
      </c>
    </row>
    <row r="105" ht="15.75" customHeight="1" s="95">
      <c r="A105" s="1" t="inlineStr">
        <is>
          <t>Steve Carell</t>
        </is>
      </c>
      <c r="B105" s="1" t="n">
        <v>5</v>
      </c>
      <c r="C105" s="1" t="n">
        <v>2004</v>
      </c>
      <c r="D105" s="1" t="n">
        <v>2017</v>
      </c>
      <c r="E105" s="4" t="inlineStr">
        <is>
          <t>Anchorman: The Legend of Ron Burgundy, Despicable Me, Despicable Me 2, Despicable Me 3, Minions</t>
        </is>
      </c>
      <c r="F105" s="1" t="inlineStr">
        <is>
          <t>F0022, F0082, F0083, F0084, F0220</t>
        </is>
      </c>
    </row>
    <row r="106" ht="15.75" customHeight="1" s="95">
      <c r="A106" s="1" t="inlineStr">
        <is>
          <t>Tim Allen</t>
        </is>
      </c>
      <c r="B106" s="1" t="n">
        <v>4</v>
      </c>
      <c r="C106" s="1" t="n">
        <v>1995</v>
      </c>
      <c r="D106" s="1" t="n">
        <v>2019</v>
      </c>
      <c r="E106" s="4" t="inlineStr">
        <is>
          <t>Toy Story, Toy Story 2, Toy Story 3, Toy Story 4</t>
        </is>
      </c>
      <c r="F106" s="1" t="inlineStr">
        <is>
          <t>F0312, F0313, F0314, F0315</t>
        </is>
      </c>
    </row>
    <row r="107" ht="15.75" customHeight="1" s="95">
      <c r="A107" s="1" t="inlineStr">
        <is>
          <t>Tobey Maguire</t>
        </is>
      </c>
      <c r="B107" s="1" t="n">
        <v>5</v>
      </c>
      <c r="C107" s="1" t="n">
        <v>2002</v>
      </c>
      <c r="D107" s="1" t="n">
        <v>2013</v>
      </c>
      <c r="E107" s="4" t="inlineStr">
        <is>
          <t>The Great Gatsby, Spider-Man, Spider-Man 2, Spider-Man 3, Tropic Thunder</t>
        </is>
      </c>
      <c r="F107" s="1" t="inlineStr">
        <is>
          <t>F0126, F0287, F0288, F0289, F0324</t>
        </is>
      </c>
    </row>
    <row r="108" ht="15.75" customHeight="1" s="95">
      <c r="A108" s="1" t="inlineStr">
        <is>
          <t>Tom Hardy</t>
        </is>
      </c>
      <c r="B108" s="1" t="n">
        <v>5</v>
      </c>
      <c r="C108" s="1" t="n">
        <v>2001</v>
      </c>
      <c r="D108" s="1" t="n">
        <v>2012</v>
      </c>
      <c r="E108" s="4" t="inlineStr">
        <is>
          <t>The Dark Knight Rises, Inception, Lawless, Warrior, Black Hawk Down</t>
        </is>
      </c>
      <c r="F108" s="1" t="inlineStr">
        <is>
          <t>F0045, F0165, F0192, F0333, F0050</t>
        </is>
      </c>
    </row>
    <row r="109" ht="15.75" customHeight="1" s="95">
      <c r="A109" s="1" t="inlineStr">
        <is>
          <t>Will Arnett</t>
        </is>
      </c>
      <c r="B109" s="1" t="n">
        <v>7</v>
      </c>
      <c r="C109" s="1" t="n">
        <v>2006</v>
      </c>
      <c r="D109" s="1" t="n">
        <v>2019</v>
      </c>
      <c r="E109" s="4" t="inlineStr">
        <is>
          <t>Jonah Hex, The Lego Batman Movie, The Lego Movie, The Lego Movie 2: The Second Part, Despicable Me, Ice Age: The Meltdown, Teenage Mutant Ninja Turtles</t>
        </is>
      </c>
      <c r="F109" s="1" t="inlineStr">
        <is>
          <t>F0173, F0193, F0195, F0196, F0082, F0160, F0309</t>
        </is>
      </c>
    </row>
    <row r="110" ht="15.75" customHeight="1" s="95">
      <c r="A110" s="1" t="inlineStr">
        <is>
          <t>Adam Driver</t>
        </is>
      </c>
      <c r="B110" s="1" t="n">
        <v>3</v>
      </c>
      <c r="C110" s="1" t="n">
        <v>2015</v>
      </c>
      <c r="D110" s="1" t="n">
        <v>2019</v>
      </c>
      <c r="E110" s="4" t="inlineStr">
        <is>
          <t>Star Wars: The Force Awakens, Star Wars: The Last Jedi, Star Wars: The Rise of Skywalker</t>
        </is>
      </c>
      <c r="F110" s="1" t="inlineStr">
        <is>
          <t>F0298, F0299, F0300</t>
        </is>
      </c>
    </row>
    <row r="111" ht="15.75" customHeight="1" s="95">
      <c r="A111" s="1" t="inlineStr">
        <is>
          <t>Adam Sandler</t>
        </is>
      </c>
      <c r="B111" s="1" t="n">
        <v>3</v>
      </c>
      <c r="C111" s="1" t="n">
        <v>2010</v>
      </c>
      <c r="D111" s="1" t="n">
        <v>2013</v>
      </c>
      <c r="E111" s="4" t="inlineStr">
        <is>
          <t>Grown Ups, Grown Ups 2, Just Go with It</t>
        </is>
      </c>
      <c r="F111" s="1" t="inlineStr">
        <is>
          <t>F0131, F0132, F0183</t>
        </is>
      </c>
    </row>
    <row r="112" ht="15.75" customHeight="1" s="95">
      <c r="A112" s="1" t="inlineStr">
        <is>
          <t>America Ferrera</t>
        </is>
      </c>
      <c r="B112" s="1" t="n">
        <v>3</v>
      </c>
      <c r="C112" s="1" t="n">
        <v>2010</v>
      </c>
      <c r="D112" s="1" t="n">
        <v>2023</v>
      </c>
      <c r="E112" s="4" t="inlineStr">
        <is>
          <t>Barbie, How to Train Your Dragon, How to Train Your Dragon 2</t>
        </is>
      </c>
      <c r="F112" s="1" t="inlineStr">
        <is>
          <t>F0041, F0154, F0155</t>
        </is>
      </c>
    </row>
    <row r="113" ht="15.75" customHeight="1" s="95">
      <c r="A113" s="1" t="inlineStr">
        <is>
          <t>Amy Adams</t>
        </is>
      </c>
      <c r="B113" s="1" t="n">
        <v>4</v>
      </c>
      <c r="C113" s="1" t="n">
        <v>2002</v>
      </c>
      <c r="D113" s="1" t="n">
        <v>2013</v>
      </c>
      <c r="E113" s="4" t="inlineStr">
        <is>
          <t>American Hustle, Man of Steel, Night at the Museum: Battle of the Smithsonian, Catch Me If You Can</t>
        </is>
      </c>
      <c r="F113" s="1" t="inlineStr">
        <is>
          <t>F0020, F0211, F0236, F0064</t>
        </is>
      </c>
    </row>
    <row r="114" ht="15.75" customHeight="1" s="95">
      <c r="A114" s="1" t="inlineStr">
        <is>
          <t>Angelina Jolie</t>
        </is>
      </c>
      <c r="B114" s="1" t="n">
        <v>3</v>
      </c>
      <c r="C114" s="1" t="n">
        <v>2005</v>
      </c>
      <c r="D114" s="1" t="n">
        <v>2014</v>
      </c>
      <c r="E114" s="4" t="inlineStr">
        <is>
          <t>Maleficent, Mr. &amp; Mrs. Smith, Salt</t>
        </is>
      </c>
      <c r="F114" s="1" t="inlineStr">
        <is>
          <t>F0208, F0231, F0273</t>
        </is>
      </c>
    </row>
    <row r="115" ht="15.75" customHeight="1" s="95">
      <c r="A115" s="1" t="inlineStr">
        <is>
          <t>Anna Faris</t>
        </is>
      </c>
      <c r="B115" s="1" t="n">
        <v>3</v>
      </c>
      <c r="C115" s="1" t="n">
        <v>2010</v>
      </c>
      <c r="D115" s="1" t="n">
        <v>2013</v>
      </c>
      <c r="E115" s="4" t="inlineStr">
        <is>
          <t>Cloudy with a Chance of Meatballs 2, The Dictator, Yogi Bear</t>
        </is>
      </c>
      <c r="F115" s="1" t="inlineStr">
        <is>
          <t>F0067, F0085, F0348</t>
        </is>
      </c>
    </row>
    <row r="116" ht="15.75" customHeight="1" s="95">
      <c r="A116" s="1" t="inlineStr">
        <is>
          <t>Brian Cox</t>
        </is>
      </c>
      <c r="B116" s="1" t="n">
        <v>6</v>
      </c>
      <c r="C116" s="1" t="n">
        <v>2002</v>
      </c>
      <c r="D116" s="1" t="n">
        <v>2011</v>
      </c>
      <c r="E116" s="4" t="inlineStr">
        <is>
          <t>The Bourne Identity, The Bourne Supremacy, Rise of the Planet of the Apes, RED, X2: X-Men United, Zodiac</t>
        </is>
      </c>
      <c r="F116" s="1" t="inlineStr">
        <is>
          <t>F0053, F0054, F0253, F0262, F0345, F0350</t>
        </is>
      </c>
    </row>
    <row r="117" ht="15.75" customHeight="1" s="95">
      <c r="A117" s="1" t="inlineStr">
        <is>
          <t>Brittany Snow</t>
        </is>
      </c>
      <c r="B117" s="1" t="n">
        <v>3</v>
      </c>
      <c r="C117" s="1" t="n">
        <v>2012</v>
      </c>
      <c r="D117" s="1" t="n">
        <v>2017</v>
      </c>
      <c r="E117" s="4" t="inlineStr">
        <is>
          <t>Pitch Perfect, Pitch Perfect 2, Pitch Perfect 3</t>
        </is>
      </c>
      <c r="F117" s="1" t="inlineStr">
        <is>
          <t>F0250, F0251, F0252</t>
        </is>
      </c>
    </row>
    <row r="118" ht="15.75" customHeight="1" s="95">
      <c r="A118" s="1" t="inlineStr">
        <is>
          <t>Carrie-Anne Moss</t>
        </is>
      </c>
      <c r="B118" s="1" t="n">
        <v>3</v>
      </c>
      <c r="C118" s="1" t="n">
        <v>1999</v>
      </c>
      <c r="D118" s="1" t="n">
        <v>2003</v>
      </c>
      <c r="E118" s="4" t="inlineStr">
        <is>
          <t>The Matrix, The Matrix Reloaded, The Matrix Revolutions</t>
        </is>
      </c>
      <c r="F118" s="1" t="inlineStr">
        <is>
          <t>F0214, F0215, F0216</t>
        </is>
      </c>
    </row>
    <row r="119" ht="15.75" customHeight="1" s="95">
      <c r="A119" s="1" t="inlineStr">
        <is>
          <t>Charlize Theron</t>
        </is>
      </c>
      <c r="B119" s="1" t="n">
        <v>6</v>
      </c>
      <c r="C119" s="1" t="n">
        <v>2012</v>
      </c>
      <c r="D119" s="1" t="n">
        <v>2023</v>
      </c>
      <c r="E119" s="4" t="inlineStr">
        <is>
          <t>A Million Ways to Die in the West, Prometheus, Snow White and the Huntsman, The Fate of the Furious, F9: The Fast Saga, Fast X</t>
        </is>
      </c>
      <c r="F119" s="1" t="inlineStr">
        <is>
          <t>F0021, F0259, F0284, F0108, F0109, F0110</t>
        </is>
      </c>
    </row>
    <row r="120" ht="15.75" customHeight="1" s="95">
      <c r="A120" s="1" t="inlineStr">
        <is>
          <t>Christoph Waltz</t>
        </is>
      </c>
      <c r="B120" s="1" t="n">
        <v>4</v>
      </c>
      <c r="C120" s="1" t="n">
        <v>2009</v>
      </c>
      <c r="D120" s="1" t="n">
        <v>2021</v>
      </c>
      <c r="E120" s="4" t="inlineStr">
        <is>
          <t>Spectre, Django Unchained, Inglourious Basterds, No Time to Die</t>
        </is>
      </c>
      <c r="F120" s="1" t="inlineStr">
        <is>
          <t>F0004, F0090, F0166, F0005</t>
        </is>
      </c>
    </row>
    <row r="121" ht="15.75" customHeight="1" s="95">
      <c r="A121" s="1" t="inlineStr">
        <is>
          <t>Christopher Lloyd</t>
        </is>
      </c>
      <c r="B121" s="1" t="n">
        <v>4</v>
      </c>
      <c r="C121" s="1" t="n">
        <v>1985</v>
      </c>
      <c r="D121" s="1" t="n">
        <v>2014</v>
      </c>
      <c r="E121" s="4" t="inlineStr">
        <is>
          <t>Back to the Future, Back to the Future Part II, Back to the Future Part III, A Million Ways to Die in the West</t>
        </is>
      </c>
      <c r="F121" s="1" t="inlineStr">
        <is>
          <t>F0033, F0034, F0035, F0021</t>
        </is>
      </c>
    </row>
    <row r="122" ht="15.75" customHeight="1" s="95">
      <c r="A122" s="1" t="inlineStr">
        <is>
          <t>Daisy Ridley</t>
        </is>
      </c>
      <c r="B122" s="1" t="n">
        <v>3</v>
      </c>
      <c r="C122" s="1" t="n">
        <v>2015</v>
      </c>
      <c r="D122" s="1" t="n">
        <v>2019</v>
      </c>
      <c r="E122" s="4" t="inlineStr">
        <is>
          <t>Star Wars: The Force Awakens, Star Wars: The Last Jedi, Star Wars: The Rise of Skywalker</t>
        </is>
      </c>
      <c r="F122" s="1" t="inlineStr">
        <is>
          <t>F0298, F0299, F0300</t>
        </is>
      </c>
    </row>
    <row r="123" ht="15.75" customHeight="1" s="95">
      <c r="A123" s="1" t="inlineStr">
        <is>
          <t>Denis Leary</t>
        </is>
      </c>
      <c r="B123" s="1" t="n">
        <v>4</v>
      </c>
      <c r="C123" s="1" t="n">
        <v>1998</v>
      </c>
      <c r="D123" s="1" t="n">
        <v>2012</v>
      </c>
      <c r="E123" s="4" t="inlineStr">
        <is>
          <t>The Amazing Spider-Man, Ice Age: The Meltdown, Ice Age: Dawn of the Dinosaurs, A Bug's Life</t>
        </is>
      </c>
      <c r="F123" s="1" t="inlineStr">
        <is>
          <t>F0019, F0160, F0161, F0012</t>
        </is>
      </c>
    </row>
    <row r="124" ht="15.75" customHeight="1" s="95">
      <c r="A124" s="1" t="inlineStr">
        <is>
          <t>Diane Kruger</t>
        </is>
      </c>
      <c r="B124" s="1" t="n">
        <v>3</v>
      </c>
      <c r="C124" s="1" t="n">
        <v>2007</v>
      </c>
      <c r="D124" s="1" t="n">
        <v>2011</v>
      </c>
      <c r="E124" s="4" t="inlineStr">
        <is>
          <t>Inglourious Basterds, National Treasure: Book of Secrets, Unknown</t>
        </is>
      </c>
      <c r="F124" s="1" t="inlineStr">
        <is>
          <t>F0166, F0233, F0329</t>
        </is>
      </c>
    </row>
    <row r="125" ht="15.75" customHeight="1" s="95">
      <c r="A125" s="1" t="inlineStr">
        <is>
          <t>Don Rickles</t>
        </is>
      </c>
      <c r="B125" s="1" t="n">
        <v>4</v>
      </c>
      <c r="C125" s="1" t="n">
        <v>1995</v>
      </c>
      <c r="D125" s="1" t="n">
        <v>2019</v>
      </c>
      <c r="E125" s="4" t="inlineStr">
        <is>
          <t>Toy Story, Toy Story 2, Toy Story 3, Toy Story 4</t>
        </is>
      </c>
      <c r="F125" s="1" t="inlineStr">
        <is>
          <t>F0312, F0313, F0314, F0315</t>
        </is>
      </c>
    </row>
    <row r="126" ht="15.75" customHeight="1" s="95">
      <c r="A126" s="1" t="inlineStr">
        <is>
          <t>Ed Helms</t>
        </is>
      </c>
      <c r="B126" s="1" t="n">
        <v>3</v>
      </c>
      <c r="C126" s="1" t="n">
        <v>2009</v>
      </c>
      <c r="D126" s="1" t="n">
        <v>2013</v>
      </c>
      <c r="E126" s="4" t="inlineStr">
        <is>
          <t>The Hangover, The Hangover Part II, The Hangover Part III</t>
        </is>
      </c>
      <c r="F126" s="1" t="inlineStr">
        <is>
          <t>F0134, F0135, F0136</t>
        </is>
      </c>
    </row>
    <row r="127" ht="15.75" customHeight="1" s="95">
      <c r="A127" s="1" t="inlineStr">
        <is>
          <t>Eric Bana</t>
        </is>
      </c>
      <c r="B127" s="1" t="n">
        <v>3</v>
      </c>
      <c r="C127" s="1" t="n">
        <v>2001</v>
      </c>
      <c r="D127" s="1" t="n">
        <v>2013</v>
      </c>
      <c r="E127" s="4" t="inlineStr">
        <is>
          <t>Black Hawk Down, Lone Survivor, Star Trek</t>
        </is>
      </c>
      <c r="F127" s="1" t="inlineStr">
        <is>
          <t>F0050, F0202, F0291</t>
        </is>
      </c>
    </row>
    <row r="128" ht="15.75" customHeight="1" s="95">
      <c r="A128" s="1" t="inlineStr">
        <is>
          <t>Hayden Christensen</t>
        </is>
      </c>
      <c r="B128" s="1" t="n">
        <v>3</v>
      </c>
      <c r="C128" s="1" t="n">
        <v>2002</v>
      </c>
      <c r="D128" s="1" t="n">
        <v>2008</v>
      </c>
      <c r="E128" s="4" t="inlineStr">
        <is>
          <t>Jumper, Star Wars: Episode II – Attack of the Clones, Star Wars: Episode III – Revenge of the Sith</t>
        </is>
      </c>
      <c r="F128" s="1" t="inlineStr">
        <is>
          <t>F0175, F0293, F0294</t>
        </is>
      </c>
    </row>
    <row r="129" ht="15.75" customHeight="1" s="95">
      <c r="A129" s="1" t="inlineStr">
        <is>
          <t>Hayley Atwell</t>
        </is>
      </c>
      <c r="B129" s="1" t="n">
        <v>3</v>
      </c>
      <c r="C129" s="1" t="n">
        <v>2012</v>
      </c>
      <c r="D129" s="1" t="n">
        <v>2025</v>
      </c>
      <c r="E129" s="4" t="inlineStr">
        <is>
          <t>Mission: Impossible - Dead Reckoning Part One, Mission: Impossible - The Final Reckoning, The Sweeney</t>
        </is>
      </c>
      <c r="F129" s="1" t="inlineStr">
        <is>
          <t>F0227, F0228, F0305</t>
        </is>
      </c>
    </row>
    <row r="130" ht="15.75" customHeight="1" s="95">
      <c r="A130" s="1" t="inlineStr">
        <is>
          <t>Helen Mirren</t>
        </is>
      </c>
      <c r="B130" s="1" t="n">
        <v>7</v>
      </c>
      <c r="C130" s="1" t="n">
        <v>2007</v>
      </c>
      <c r="D130" s="1" t="n">
        <v>2023</v>
      </c>
      <c r="E130" s="4" t="inlineStr">
        <is>
          <t>Fast &amp; Furious Presents: Hobbs &amp; Shaw, Monsters University, RED, Barbie, F9: The Fast Saga, Fast X, National Treasure: Book of Secrets</t>
        </is>
      </c>
      <c r="F130" s="1" t="inlineStr">
        <is>
          <t>F0111, F0230, F0262, F0041, F0109, F0110, F0233</t>
        </is>
      </c>
    </row>
    <row r="131" ht="15.75" customHeight="1" s="95">
      <c r="A131" s="1" t="inlineStr">
        <is>
          <t>Idris Elba</t>
        </is>
      </c>
      <c r="B131" s="1" t="n">
        <v>5</v>
      </c>
      <c r="C131" s="1" t="n">
        <v>2012</v>
      </c>
      <c r="D131" s="1" t="n">
        <v>2019</v>
      </c>
      <c r="E131" s="4" t="inlineStr">
        <is>
          <t>Fast &amp; Furious Presents: Hobbs &amp; Shaw, Pacific Rim, Prometheus, Avengers: Infinity War, Finding Dory</t>
        </is>
      </c>
      <c r="F131" s="1" t="inlineStr">
        <is>
          <t>F0111, F0243, F0259, F0030, F0113</t>
        </is>
      </c>
    </row>
    <row r="132" ht="15.75" customHeight="1" s="95">
      <c r="A132" s="1" t="inlineStr">
        <is>
          <t>Jack Black</t>
        </is>
      </c>
      <c r="B132" s="1" t="n">
        <v>4</v>
      </c>
      <c r="C132" s="1" t="n">
        <v>1998</v>
      </c>
      <c r="D132" s="1" t="n">
        <v>2023</v>
      </c>
      <c r="E132" s="4" t="inlineStr">
        <is>
          <t>King Kong, The Super Mario Bros. Movie, Tropic Thunder, Enemy of the State</t>
        </is>
      </c>
      <c r="F132" s="1" t="inlineStr">
        <is>
          <t>F0188, F0212, F0324, F0094</t>
        </is>
      </c>
    </row>
    <row r="133" ht="15.75" customHeight="1" s="95">
      <c r="A133" s="1" t="inlineStr">
        <is>
          <t>Jada Pinkett Smith</t>
        </is>
      </c>
      <c r="B133" s="1" t="n">
        <v>3</v>
      </c>
      <c r="C133" s="1" t="n">
        <v>2003</v>
      </c>
      <c r="D133" s="1" t="n">
        <v>2016</v>
      </c>
      <c r="E133" s="4" t="inlineStr">
        <is>
          <t>Bad Moms, The Matrix Reloaded, The Matrix Revolutions</t>
        </is>
      </c>
      <c r="F133" s="1" t="inlineStr">
        <is>
          <t>F0038, F0215, F0216</t>
        </is>
      </c>
    </row>
    <row r="134" ht="15.75" customHeight="1" s="95">
      <c r="A134" s="1" t="inlineStr">
        <is>
          <t>Jai Courtney</t>
        </is>
      </c>
      <c r="B134" s="1" t="n">
        <v>4</v>
      </c>
      <c r="C134" s="1" t="n">
        <v>2012</v>
      </c>
      <c r="D134" s="1" t="n">
        <v>2014</v>
      </c>
      <c r="E134" s="4" t="inlineStr">
        <is>
          <t>Divergent, I, Frankenstein, Jack Reacher, I, Frankenstein</t>
        </is>
      </c>
      <c r="F134" s="1" t="inlineStr">
        <is>
          <t>F0089, F0159, F0171</t>
        </is>
      </c>
    </row>
    <row r="135" ht="15.75" customHeight="1" s="95">
      <c r="A135" s="1" t="inlineStr">
        <is>
          <t>James McAvoy</t>
        </is>
      </c>
      <c r="B135" s="1" t="n">
        <v>4</v>
      </c>
      <c r="C135" s="1" t="n">
        <v>2011</v>
      </c>
      <c r="D135" s="1" t="n">
        <v>2016</v>
      </c>
      <c r="E135" s="4" t="inlineStr">
        <is>
          <t>X-Men: First Class, X-Men: Days of Future Past, X-Men: Apocalypse, Muppets Most Wanted</t>
        </is>
      </c>
      <c r="F135" s="1" t="inlineStr">
        <is>
          <t>F0340, F0341, F0342, F0232</t>
        </is>
      </c>
    </row>
    <row r="136" ht="15.75" customHeight="1" s="95">
      <c r="A136" s="1" t="inlineStr">
        <is>
          <t>Jason Clarke</t>
        </is>
      </c>
      <c r="B136" s="1" t="n">
        <v>6</v>
      </c>
      <c r="C136" s="1" t="n">
        <v>2012</v>
      </c>
      <c r="D136" s="1" t="n">
        <v>2023</v>
      </c>
      <c r="E136" s="4" t="inlineStr">
        <is>
          <t>Lawless, Dawn of the Planet of the Apes, Zero Dark Thirty, The Great Gatsby, Oppenheimer, White House Down</t>
        </is>
      </c>
      <c r="F136" s="1" t="inlineStr">
        <is>
          <t>F0192, F0254, F0349, F0126, F0242, F0335</t>
        </is>
      </c>
    </row>
    <row r="137" ht="15.75" customHeight="1" s="95">
      <c r="A137" s="1" t="inlineStr">
        <is>
          <t>Jason Segel</t>
        </is>
      </c>
      <c r="B137" s="1" t="n">
        <v>3</v>
      </c>
      <c r="C137" s="1" t="n">
        <v>2008</v>
      </c>
      <c r="D137" s="1" t="n">
        <v>2011</v>
      </c>
      <c r="E137" s="4" t="inlineStr">
        <is>
          <t>Bad Teacher, Despicable Me, Forgetting Sarah Marshall</t>
        </is>
      </c>
      <c r="F137" s="1" t="inlineStr">
        <is>
          <t>F0039, F0082, F0115</t>
        </is>
      </c>
    </row>
    <row r="138" ht="15.75" customHeight="1" s="95">
      <c r="A138" s="1" t="inlineStr">
        <is>
          <t>Jay Baruchel</t>
        </is>
      </c>
      <c r="B138" s="1" t="n">
        <v>5</v>
      </c>
      <c r="C138" s="1" t="n">
        <v>2008</v>
      </c>
      <c r="D138" s="1" t="n">
        <v>2014</v>
      </c>
      <c r="E138" s="4" t="inlineStr">
        <is>
          <t>How to Train Your Dragon, How to Train Your Dragon 2, Tropic Thunder, Night at the Museum: Battle of the Smithsonian, RoboCop</t>
        </is>
      </c>
      <c r="F138" s="1" t="inlineStr">
        <is>
          <t>F0154, F0155, F0324, F0236, F0268</t>
        </is>
      </c>
    </row>
    <row r="139" ht="15.75" customHeight="1" s="95">
      <c r="A139" s="1" t="inlineStr">
        <is>
          <t>Jeff Goldblum</t>
        </is>
      </c>
      <c r="B139" s="1" t="n">
        <v>4</v>
      </c>
      <c r="C139" s="1" t="n">
        <v>1993</v>
      </c>
      <c r="D139" s="1" t="n">
        <v>2022</v>
      </c>
      <c r="E139" s="4" t="inlineStr">
        <is>
          <t>Jurassic Park, The Lost World: Jurassic Park, Jurassic World Dominion, Jurassic World: Fallen Kingdom</t>
        </is>
      </c>
      <c r="F139" s="1" t="inlineStr">
        <is>
          <t>F0176, F0177, F0181, F0180</t>
        </is>
      </c>
    </row>
    <row r="140" ht="15.75" customHeight="1" s="95">
      <c r="A140" s="1" t="inlineStr">
        <is>
          <t>Jeffrey Wright</t>
        </is>
      </c>
      <c r="B140" s="1" t="n">
        <v>6</v>
      </c>
      <c r="C140" s="1" t="n">
        <v>2006</v>
      </c>
      <c r="D140" s="1" t="n">
        <v>2022</v>
      </c>
      <c r="E140" s="4" t="inlineStr">
        <is>
          <t>Casino Royale, The Batman, Source Code, Quantum of Solace, No Time to Die, The Hunger Games: Mockingjay - Part 1</t>
        </is>
      </c>
      <c r="F140" s="1" t="inlineStr">
        <is>
          <t>F0001, F0042, F0285, F0002, F0005, F0158</t>
        </is>
      </c>
    </row>
    <row r="141" ht="15.75" customHeight="1" s="95">
      <c r="A141" s="1" t="inlineStr">
        <is>
          <t>Jesse Eisenberg</t>
        </is>
      </c>
      <c r="B141" s="1" t="n">
        <v>3</v>
      </c>
      <c r="C141" s="1" t="n">
        <v>2011</v>
      </c>
      <c r="D141" s="1" t="n">
        <v>2014</v>
      </c>
      <c r="E141" s="4" t="inlineStr">
        <is>
          <t>30 Minutes or Less, Rio, Rio 2</t>
        </is>
      </c>
      <c r="F141" s="1" t="inlineStr">
        <is>
          <t>F0009, F0265, F0266</t>
        </is>
      </c>
    </row>
    <row r="142" ht="15.75" customHeight="1" s="95">
      <c r="A142" s="1" t="inlineStr">
        <is>
          <t>Jessica Chastain</t>
        </is>
      </c>
      <c r="B142" s="1" t="n">
        <v>4</v>
      </c>
      <c r="C142" s="1" t="n">
        <v>2012</v>
      </c>
      <c r="D142" s="1" t="n">
        <v>2015</v>
      </c>
      <c r="E142" s="4" t="inlineStr">
        <is>
          <t>Interstellar, The Martian, Zero Dark Thirty, Lawless</t>
        </is>
      </c>
      <c r="F142" s="1" t="inlineStr">
        <is>
          <t>F0168, F0213, F0349, F0192</t>
        </is>
      </c>
    </row>
    <row r="143" ht="15.75" customHeight="1" s="95">
      <c r="A143" s="1" t="inlineStr">
        <is>
          <t>John Boyega</t>
        </is>
      </c>
      <c r="B143" s="1" t="n">
        <v>4</v>
      </c>
      <c r="C143" s="1" t="n">
        <v>2011</v>
      </c>
      <c r="D143" s="1" t="n">
        <v>2019</v>
      </c>
      <c r="E143" s="4" t="inlineStr">
        <is>
          <t>Attack the Block, Star Wars: The Last Jedi, Star Wars: The Rise of Skywalker, Star Wars: The Force Awakens</t>
        </is>
      </c>
      <c r="F143" s="1" t="inlineStr">
        <is>
          <t>F0027, F0299, F0300, F0298</t>
        </is>
      </c>
    </row>
    <row r="144" ht="15.75" customHeight="1" s="95">
      <c r="A144" s="1" t="inlineStr">
        <is>
          <t>John C. Reilly</t>
        </is>
      </c>
      <c r="B144" s="1" t="n">
        <v>4</v>
      </c>
      <c r="C144" s="1" t="n">
        <v>2012</v>
      </c>
      <c r="D144" s="1" t="n">
        <v>2018</v>
      </c>
      <c r="E144" s="4" t="inlineStr">
        <is>
          <t>Sing, Wreck-It Ralph, Ralph Breaks the Internet, Kong: Skull Island</t>
        </is>
      </c>
      <c r="F144" s="1" t="inlineStr">
        <is>
          <t>F0280, F0336, F0337, F0190</t>
        </is>
      </c>
    </row>
    <row r="145" ht="15.75" customHeight="1" s="95">
      <c r="A145" s="1" t="inlineStr">
        <is>
          <t>John Cena</t>
        </is>
      </c>
      <c r="B145" s="1" t="n">
        <v>4</v>
      </c>
      <c r="C145" s="1" t="n">
        <v>2018</v>
      </c>
      <c r="D145" s="1" t="n">
        <v>2023</v>
      </c>
      <c r="E145" s="4" t="inlineStr">
        <is>
          <t>Bumblebee, F9: The Fast Saga, Fast X, Barbie</t>
        </is>
      </c>
      <c r="F145" s="1" t="inlineStr">
        <is>
          <t>F0061, F0109, F0110, F0041</t>
        </is>
      </c>
    </row>
    <row r="146" ht="15.75" customHeight="1" s="95">
      <c r="A146" s="1" t="inlineStr">
        <is>
          <t>John Leguizamo</t>
        </is>
      </c>
      <c r="B146" s="1" t="n">
        <v>4</v>
      </c>
      <c r="C146" s="1" t="n">
        <v>2006</v>
      </c>
      <c r="D146" s="1" t="n">
        <v>2014</v>
      </c>
      <c r="E146" s="4" t="inlineStr">
        <is>
          <t>Chef, Ice Age: The Meltdown, Ice Age: Dawn of the Dinosaurs, Kick-Ass 2</t>
        </is>
      </c>
      <c r="F146" s="1" t="inlineStr">
        <is>
          <t>F0065, F0160, F0161, F0186</t>
        </is>
      </c>
    </row>
    <row r="147" ht="15.75" customHeight="1" s="95">
      <c r="A147" s="1" t="inlineStr">
        <is>
          <t>John Malkovich</t>
        </is>
      </c>
      <c r="B147" s="1" t="n">
        <v>4</v>
      </c>
      <c r="C147" s="1" t="n">
        <v>1997</v>
      </c>
      <c r="D147" s="1" t="n">
        <v>2011</v>
      </c>
      <c r="E147" s="4" t="inlineStr">
        <is>
          <t>Con Air, Jonah Hex, RED, Transformers: Dark of the Moon</t>
        </is>
      </c>
      <c r="F147" s="1" t="inlineStr">
        <is>
          <t>F0068, F0173, F0262, F0318</t>
        </is>
      </c>
    </row>
    <row r="148" ht="15.75" customHeight="1" s="95">
      <c r="A148" s="1" t="inlineStr">
        <is>
          <t>Josh Hutcherson</t>
        </is>
      </c>
      <c r="B148" s="1" t="n">
        <v>3</v>
      </c>
      <c r="C148" s="1" t="n">
        <v>2008</v>
      </c>
      <c r="D148" s="1" t="n">
        <v>2014</v>
      </c>
      <c r="E148" s="4" t="inlineStr">
        <is>
          <t>The Hunger Games, The Hunger Games: Mockingjay - Part 1, Journey to the Center of the Earth</t>
        </is>
      </c>
      <c r="F148" s="1" t="inlineStr">
        <is>
          <t>F0157, F0158, F0174</t>
        </is>
      </c>
    </row>
    <row r="149" ht="15.75" customHeight="1" s="95">
      <c r="A149" s="1" t="inlineStr">
        <is>
          <t>Jude Law</t>
        </is>
      </c>
      <c r="B149" s="1" t="n">
        <v>3</v>
      </c>
      <c r="C149" s="1" t="n">
        <v>2009</v>
      </c>
      <c r="D149" s="1" t="n">
        <v>2015</v>
      </c>
      <c r="E149" s="4" t="inlineStr">
        <is>
          <t>Sherlock Holmes, Sherlock Holmes: A Game of Shadows, Spy</t>
        </is>
      </c>
      <c r="F149" s="1" t="inlineStr">
        <is>
          <t>F0278, F0279, F0290</t>
        </is>
      </c>
    </row>
    <row r="150" ht="15.75" customHeight="1" s="95">
      <c r="A150" s="1" t="inlineStr">
        <is>
          <t>Judi Dench</t>
        </is>
      </c>
      <c r="B150" s="1" t="n">
        <v>4</v>
      </c>
      <c r="C150" s="1" t="n">
        <v>2006</v>
      </c>
      <c r="D150" s="1" t="n">
        <v>2012</v>
      </c>
      <c r="E150" s="4" t="inlineStr">
        <is>
          <t>Casino Royale, Quantum of Solace, Skyfall, Pirates of the Caribbean: On Stranger Tides</t>
        </is>
      </c>
      <c r="F150" s="1" t="inlineStr">
        <is>
          <t>F0001, F0002, F0003, F0249</t>
        </is>
      </c>
    </row>
    <row r="151" ht="15.75" customHeight="1" s="95">
      <c r="A151" s="1" t="inlineStr">
        <is>
          <t>Kate Beckinsale</t>
        </is>
      </c>
      <c r="B151" s="1" t="n">
        <v>4</v>
      </c>
      <c r="C151" s="1" t="n">
        <v>2001</v>
      </c>
      <c r="D151" s="1" t="n">
        <v>2012</v>
      </c>
      <c r="E151" s="4" t="inlineStr">
        <is>
          <t>Pearl Harbor, Underworld: Evolution, Underworld: Awakening, Underworld: Rise of the Lycans</t>
        </is>
      </c>
      <c r="F151" s="1" t="inlineStr">
        <is>
          <t>F0246, F0326, F0328, F0327</t>
        </is>
      </c>
    </row>
    <row r="152" ht="15.75" customHeight="1" s="95">
      <c r="A152" s="1" t="inlineStr">
        <is>
          <t>Keanu Reeves</t>
        </is>
      </c>
      <c r="B152" s="1" t="n">
        <v>4</v>
      </c>
      <c r="C152" s="1" t="n">
        <v>1999</v>
      </c>
      <c r="D152" s="1" t="n">
        <v>2019</v>
      </c>
      <c r="E152" s="4" t="inlineStr">
        <is>
          <t>The Matrix, The Matrix Reloaded, The Matrix Revolutions, Toy Story 4</t>
        </is>
      </c>
      <c r="F152" s="1" t="inlineStr">
        <is>
          <t>F0214, F0215, F0216, F0315</t>
        </is>
      </c>
    </row>
    <row r="153" ht="15.75" customHeight="1" s="95">
      <c r="A153" s="1" t="inlineStr">
        <is>
          <t>Keegan-Michael Key</t>
        </is>
      </c>
      <c r="B153" s="1" t="n">
        <v>7</v>
      </c>
      <c r="C153" s="1" t="n">
        <v>2010</v>
      </c>
      <c r="D153" s="1" t="n">
        <v>2023</v>
      </c>
      <c r="E153" s="4" t="inlineStr">
        <is>
          <t>The Super Mario Bros. Movie, Toy Story 4, Wonka, Due Date, Just Go with It, The Lego Movie, Pitch Perfect 2</t>
        </is>
      </c>
      <c r="F153" s="1" t="inlineStr">
        <is>
          <t>F0212, F0315, F0338, F0091, F0183, F0195, F0251</t>
        </is>
      </c>
    </row>
    <row r="154" ht="15.75" customHeight="1" s="95">
      <c r="A154" s="1" t="inlineStr">
        <is>
          <t>Ken Watanabe</t>
        </is>
      </c>
      <c r="B154" s="1" t="n">
        <v>5</v>
      </c>
      <c r="C154" s="1" t="n">
        <v>2005</v>
      </c>
      <c r="D154" s="1" t="n">
        <v>2019</v>
      </c>
      <c r="E154" s="4" t="inlineStr">
        <is>
          <t>Godzilla, Godzilla: King of the Monsters, Inception, Batman Begins, Transformers: Age of Extinction</t>
        </is>
      </c>
      <c r="F154" s="1" t="inlineStr">
        <is>
          <t>F0121, F0122, F0165, F0043, F0319</t>
        </is>
      </c>
    </row>
    <row r="155" ht="15.75" customHeight="1" s="95">
      <c r="A155" s="1" t="inlineStr">
        <is>
          <t>Kirsten Dunst</t>
        </is>
      </c>
      <c r="B155" s="1" t="n">
        <v>3</v>
      </c>
      <c r="C155" s="1" t="n">
        <v>2002</v>
      </c>
      <c r="D155" s="1" t="n">
        <v>2007</v>
      </c>
      <c r="E155" s="4" t="inlineStr">
        <is>
          <t>Spider-Man, Spider-Man 2, Spider-Man 3</t>
        </is>
      </c>
      <c r="F155" s="1" t="inlineStr">
        <is>
          <t>F0287, F0288, F0289</t>
        </is>
      </c>
    </row>
    <row r="156" ht="15.75" customHeight="1" s="95">
      <c r="A156" s="1" t="inlineStr">
        <is>
          <t>Kristen Bell</t>
        </is>
      </c>
      <c r="B156" s="1" t="n">
        <v>4</v>
      </c>
      <c r="C156" s="1" t="n">
        <v>2008</v>
      </c>
      <c r="D156" s="1" t="n">
        <v>2018</v>
      </c>
      <c r="E156" s="4" t="inlineStr">
        <is>
          <t>Bad Moms, Forgetting Sarah Marshall, Frozen, Ralph Breaks the Internet</t>
        </is>
      </c>
      <c r="F156" s="1" t="inlineStr">
        <is>
          <t>F0038, F0115, F0116, F0337</t>
        </is>
      </c>
    </row>
    <row r="157" ht="15.75" customHeight="1" s="95">
      <c r="A157" s="1" t="inlineStr">
        <is>
          <t>Kyle Chandler</t>
        </is>
      </c>
      <c r="B157" s="1" t="n">
        <v>6</v>
      </c>
      <c r="C157" s="1" t="n">
        <v>2005</v>
      </c>
      <c r="D157" s="1" t="n">
        <v>2021</v>
      </c>
      <c r="E157" s="4" t="inlineStr">
        <is>
          <t>Godzilla: King of the Monsters, Super 8, Zero Dark Thirty, Argo, Godzilla vs. Kong, King Kong</t>
        </is>
      </c>
      <c r="F157" s="1" t="inlineStr">
        <is>
          <t>F0122, F0302, F0349, F0025, F0123, F0188</t>
        </is>
      </c>
    </row>
    <row r="158" ht="15.75" customHeight="1" s="95">
      <c r="A158" s="1" t="inlineStr">
        <is>
          <t>Laurence Fishburne</t>
        </is>
      </c>
      <c r="B158" s="1" t="n">
        <v>5</v>
      </c>
      <c r="C158" s="1" t="n">
        <v>1999</v>
      </c>
      <c r="D158" s="1" t="n">
        <v>2013</v>
      </c>
      <c r="E158" s="4" t="inlineStr">
        <is>
          <t>The Matrix, The Matrix Reloaded, The Matrix Revolutions, Man of Steel, Mission: Impossible III</t>
        </is>
      </c>
      <c r="F158" s="1" t="inlineStr">
        <is>
          <t>F0214, F0215, F0216, F0211, F0223</t>
        </is>
      </c>
    </row>
    <row r="159" ht="15.75" customHeight="1" s="95">
      <c r="A159" s="1" t="inlineStr">
        <is>
          <t>Lea Thompson</t>
        </is>
      </c>
      <c r="B159" s="1" t="n">
        <v>3</v>
      </c>
      <c r="C159" s="1" t="n">
        <v>1985</v>
      </c>
      <c r="D159" s="1" t="n">
        <v>1990</v>
      </c>
      <c r="E159" s="4" t="inlineStr">
        <is>
          <t>Back to the Future, Back to the Future Part II, Back to the Future Part III</t>
        </is>
      </c>
      <c r="F159" s="1" t="inlineStr">
        <is>
          <t>F0033, F0034, F0035</t>
        </is>
      </c>
    </row>
    <row r="160" ht="15.75" customHeight="1" s="95">
      <c r="A160" s="1" t="inlineStr">
        <is>
          <t>Leonard Nimoy</t>
        </is>
      </c>
      <c r="B160" s="1" t="n">
        <v>3</v>
      </c>
      <c r="C160" s="1" t="n">
        <v>1986</v>
      </c>
      <c r="D160" s="1" t="n">
        <v>2011</v>
      </c>
      <c r="E160" s="4" t="inlineStr">
        <is>
          <t>Star Trek, Transformers: Dark of the Moon, The Transformers: The Movie</t>
        </is>
      </c>
      <c r="F160" s="1" t="inlineStr">
        <is>
          <t>F0291, F0318, F0322</t>
        </is>
      </c>
    </row>
    <row r="161" ht="15.75" customHeight="1" s="95">
      <c r="A161" s="1" t="inlineStr">
        <is>
          <t>Ludacris</t>
        </is>
      </c>
      <c r="B161" s="1" t="n">
        <v>8</v>
      </c>
      <c r="C161" s="1" t="n">
        <v>2003</v>
      </c>
      <c r="D161" s="1" t="n">
        <v>2023</v>
      </c>
      <c r="E161" s="4" t="inlineStr">
        <is>
          <t>2 Fast 2 Furious, F9: The Fast Saga, Fast X, Fast &amp; Furious, Fast Five, Fast &amp; Furious 6, Furious 7, The Fate of the Furious</t>
        </is>
      </c>
      <c r="F161" s="1" t="inlineStr">
        <is>
          <t>F0102, F0109, F0110, F0104, F0105, F0106, F0107, F0108</t>
        </is>
      </c>
    </row>
    <row r="162" ht="15.75" customHeight="1" s="95">
      <c r="A162" s="1" t="inlineStr">
        <is>
          <t>Martin Sheen</t>
        </is>
      </c>
      <c r="B162" s="1" t="n">
        <v>3</v>
      </c>
      <c r="C162" s="1" t="n">
        <v>2002</v>
      </c>
      <c r="D162" s="1" t="n">
        <v>2012</v>
      </c>
      <c r="E162" s="4" t="inlineStr">
        <is>
          <t>The Amazing Spider-Man, Catch Me If You Can, The Departed</t>
        </is>
      </c>
      <c r="F162" s="1" t="inlineStr">
        <is>
          <t>F0019, F0064, F0081</t>
        </is>
      </c>
    </row>
    <row r="163" ht="15.75" customHeight="1" s="95">
      <c r="A163" s="1" t="inlineStr">
        <is>
          <t>Michael Gambon</t>
        </is>
      </c>
      <c r="B163" s="1" t="n">
        <v>8</v>
      </c>
      <c r="C163" s="1" t="n">
        <v>2004</v>
      </c>
      <c r="D163" s="1" t="n">
        <v>2014</v>
      </c>
      <c r="E163" s="4" t="inlineStr">
        <is>
          <t>Harry Potter and the Prisoner of Azkaban, Harry Potter and the Goblet of Fire, Harry Potter and the Half-Blood Prince, Harry Potter and the Order of the Phoenix, Harry Potter and the Deathly Hallows: Part 1, Harry Potter and the Deathly Hallows: Part 2, The King's Speech, Paddington</t>
        </is>
      </c>
      <c r="F163" s="1" t="inlineStr">
        <is>
          <t>F0139, F0140, F0142, F0141, F0143, F0144, F0189, F0244</t>
        </is>
      </c>
    </row>
    <row r="164" ht="15.75" customHeight="1" s="95">
      <c r="A164" s="1" t="inlineStr">
        <is>
          <t>Michael J. Fox</t>
        </is>
      </c>
      <c r="B164" s="1" t="n">
        <v>3</v>
      </c>
      <c r="C164" s="1" t="n">
        <v>1985</v>
      </c>
      <c r="D164" s="1" t="n">
        <v>1990</v>
      </c>
      <c r="E164" s="4" t="inlineStr">
        <is>
          <t>Back to the Future, Back to the Future Part II, Back to the Future Part III</t>
        </is>
      </c>
      <c r="F164" s="1" t="inlineStr">
        <is>
          <t>F0033, F0034, F0035</t>
        </is>
      </c>
    </row>
    <row r="165" ht="15.75" customHeight="1" s="95">
      <c r="A165" s="1" t="inlineStr">
        <is>
          <t>Michael Peña</t>
        </is>
      </c>
      <c r="B165" s="1" t="n">
        <v>5</v>
      </c>
      <c r="C165" s="1" t="n">
        <v>2011</v>
      </c>
      <c r="D165" s="1" t="n">
        <v>2015</v>
      </c>
      <c r="E165" s="4" t="inlineStr">
        <is>
          <t>Battle: Los Angeles, Fury, The Martian, 30 Minutes or Less, American Hustle</t>
        </is>
      </c>
      <c r="F165" s="1" t="inlineStr">
        <is>
          <t>F0046, F0117, F0213, F0009, F0020</t>
        </is>
      </c>
    </row>
    <row r="166" ht="15.75" customHeight="1" s="95">
      <c r="A166" s="1" t="inlineStr">
        <is>
          <t>Michelle Monaghan</t>
        </is>
      </c>
      <c r="B166" s="1" t="n">
        <v>6</v>
      </c>
      <c r="C166" s="1" t="n">
        <v>2004</v>
      </c>
      <c r="D166" s="1" t="n">
        <v>2018</v>
      </c>
      <c r="E166" s="4" t="inlineStr">
        <is>
          <t>Due Date, Mission: Impossible III, Source Code, The Bourne Supremacy, Mission: Impossible - Fallout, Mr. &amp; Mrs. Smith</t>
        </is>
      </c>
      <c r="F166" s="1" t="inlineStr">
        <is>
          <t>F0091, F0223, F0285, F0054, F0226, F0231</t>
        </is>
      </c>
    </row>
    <row r="167" ht="15.75" customHeight="1" s="95">
      <c r="A167" s="1" t="inlineStr">
        <is>
          <t>Mila Kunis</t>
        </is>
      </c>
      <c r="B167" s="1" t="n">
        <v>3</v>
      </c>
      <c r="C167" s="1" t="n">
        <v>2008</v>
      </c>
      <c r="D167" s="1" t="n">
        <v>2016</v>
      </c>
      <c r="E167" s="4" t="inlineStr">
        <is>
          <t>Bad Moms, Forgetting Sarah Marshall, Ted</t>
        </is>
      </c>
      <c r="F167" s="1" t="inlineStr">
        <is>
          <t>F0038, F0115, F0308</t>
        </is>
      </c>
    </row>
    <row r="168" ht="15.75" customHeight="1" s="95">
      <c r="A168" s="1" t="inlineStr">
        <is>
          <t>Miranda Cosgrove</t>
        </is>
      </c>
      <c r="B168" s="1" t="n">
        <v>3</v>
      </c>
      <c r="C168" s="1" t="n">
        <v>2010</v>
      </c>
      <c r="D168" s="1" t="n">
        <v>2017</v>
      </c>
      <c r="E168" s="4" t="inlineStr">
        <is>
          <t>Despicable Me, Despicable Me 2, Despicable Me 3</t>
        </is>
      </c>
      <c r="F168" s="1" t="inlineStr">
        <is>
          <t>F0082, F0083, F0084</t>
        </is>
      </c>
    </row>
    <row r="169" ht="15.75" customHeight="1" s="95">
      <c r="A169" s="1" t="inlineStr">
        <is>
          <t>Natalie Portman</t>
        </is>
      </c>
      <c r="B169" s="1" t="n">
        <v>3</v>
      </c>
      <c r="C169" s="1" t="n">
        <v>1999</v>
      </c>
      <c r="D169" s="1" t="n">
        <v>2005</v>
      </c>
      <c r="E169" s="4" t="inlineStr">
        <is>
          <t>Star Wars: Episode I – The Phantom Menace, Star Wars: Episode II – Attack of the Clones, Star Wars: Episode III – Revenge of the Sith</t>
        </is>
      </c>
      <c r="F169" s="1" t="inlineStr">
        <is>
          <t>F0292, F0293, F0294</t>
        </is>
      </c>
    </row>
    <row r="170" ht="15.75" customHeight="1" s="95">
      <c r="A170" s="1" t="inlineStr">
        <is>
          <t>Paddy Considine</t>
        </is>
      </c>
      <c r="B170" s="1" t="n">
        <v>3</v>
      </c>
      <c r="C170" s="1" t="n">
        <v>2007</v>
      </c>
      <c r="D170" s="1" t="n">
        <v>2013</v>
      </c>
      <c r="E170" s="4" t="inlineStr">
        <is>
          <t>The Bourne Ultimatum, Hot Fuzz, The World's End</t>
        </is>
      </c>
      <c r="F170" s="1" t="inlineStr">
        <is>
          <t>F0055, F0071, F0072</t>
        </is>
      </c>
    </row>
    <row r="171" ht="15.75" customHeight="1" s="95">
      <c r="A171" s="1" t="inlineStr">
        <is>
          <t>Rami Malek</t>
        </is>
      </c>
      <c r="B171" s="1" t="n">
        <v>5</v>
      </c>
      <c r="C171" s="1" t="n">
        <v>2009</v>
      </c>
      <c r="D171" s="1" t="n">
        <v>2023</v>
      </c>
      <c r="E171" s="4" t="inlineStr">
        <is>
          <t>No Time to Die, Bohemian Rhapsody, Need for Speed, Night at the Museum: Battle of the Smithsonian, Oppenheimer</t>
        </is>
      </c>
      <c r="F171" s="1" t="inlineStr">
        <is>
          <t>F0005, F0052, F0234, F0236, F0242</t>
        </is>
      </c>
    </row>
    <row r="172" ht="15.75" customHeight="1" s="95">
      <c r="A172" s="1" t="inlineStr">
        <is>
          <t>Ray Winstone</t>
        </is>
      </c>
      <c r="B172" s="1" t="n">
        <v>6</v>
      </c>
      <c r="C172" s="1" t="n">
        <v>2006</v>
      </c>
      <c r="D172" s="1" t="n">
        <v>2014</v>
      </c>
      <c r="E172" s="4" t="inlineStr">
        <is>
          <t>44 Inch Chest, Noah, The Sweeney, The Departed, Sex &amp; Drugs &amp; Rock &amp; Roll, Snow White and the Huntsman</t>
        </is>
      </c>
      <c r="F172" s="1" t="inlineStr">
        <is>
          <t>F0010, F0238, F0305, F0081, F0277, F0284</t>
        </is>
      </c>
    </row>
    <row r="173" ht="15.75" customHeight="1" s="95">
      <c r="A173" s="1" t="inlineStr">
        <is>
          <t>Richard Armitage</t>
        </is>
      </c>
      <c r="B173" s="1" t="n">
        <v>3</v>
      </c>
      <c r="C173" s="1" t="n">
        <v>2012</v>
      </c>
      <c r="D173" s="1" t="n">
        <v>2014</v>
      </c>
      <c r="E173" s="4" t="inlineStr">
        <is>
          <t>The Hobbit: An Unexpected Journey, The Hobbit: The Desolation of Smaug, The Hobbit: The Battle of the Five Armies</t>
        </is>
      </c>
      <c r="F173" s="1" t="inlineStr">
        <is>
          <t>F0150, F0151, F0152</t>
        </is>
      </c>
    </row>
    <row r="174" ht="15.75" customHeight="1" s="95">
      <c r="A174" s="1" t="inlineStr">
        <is>
          <t>Richard Jenkins</t>
        </is>
      </c>
      <c r="B174" s="1" t="n">
        <v>5</v>
      </c>
      <c r="C174" s="1" t="n">
        <v>2010</v>
      </c>
      <c r="D174" s="1" t="n">
        <v>2017</v>
      </c>
      <c r="E174" s="4" t="inlineStr">
        <is>
          <t>Dear John, Jack Reacher, White House Down, Killing Them Softly, Kong: Skull Island</t>
        </is>
      </c>
      <c r="F174" s="1" t="inlineStr">
        <is>
          <t>F0079, F0171, F0335, F0187, F0190</t>
        </is>
      </c>
    </row>
    <row r="175" ht="15.75" customHeight="1" s="95">
      <c r="A175" s="1" t="inlineStr">
        <is>
          <t>Robin Williams</t>
        </is>
      </c>
      <c r="B175" s="1" t="n">
        <v>3</v>
      </c>
      <c r="C175" s="1" t="n">
        <v>1997</v>
      </c>
      <c r="D175" s="1" t="n">
        <v>2011</v>
      </c>
      <c r="E175" s="4" t="inlineStr">
        <is>
          <t>Good Will Hunting, Happy Feet Two, Night at the Museum: Battle of the Smithsonian</t>
        </is>
      </c>
      <c r="F175" s="1" t="inlineStr">
        <is>
          <t>F0124, F0145, F0236</t>
        </is>
      </c>
    </row>
    <row r="176" ht="15.75" customHeight="1" s="95">
      <c r="A176" s="1" t="inlineStr">
        <is>
          <t>Rose Byrne</t>
        </is>
      </c>
      <c r="B176" s="1" t="n">
        <v>5</v>
      </c>
      <c r="C176" s="1" t="n">
        <v>2002</v>
      </c>
      <c r="D176" s="1" t="n">
        <v>2016</v>
      </c>
      <c r="E176" s="4" t="inlineStr">
        <is>
          <t>Bridesmaids, Spy, X-Men: First Class, Star Wars: Episode II – Attack of the Clones, X-Men: Apocalypse</t>
        </is>
      </c>
      <c r="F176" s="1" t="inlineStr">
        <is>
          <t>F0058, F0290, F0340, F0293, F0342</t>
        </is>
      </c>
    </row>
    <row r="177" ht="15.75" customHeight="1" s="95">
      <c r="A177" s="1" t="inlineStr">
        <is>
          <t>Sam Neill</t>
        </is>
      </c>
      <c r="B177" s="1" t="n">
        <v>3</v>
      </c>
      <c r="C177" s="1" t="n">
        <v>1993</v>
      </c>
      <c r="D177" s="1" t="n">
        <v>2022</v>
      </c>
      <c r="E177" s="4" t="inlineStr">
        <is>
          <t>Jurassic Park, Jurassic Park III, Jurassic World Dominion</t>
        </is>
      </c>
      <c r="F177" s="1" t="inlineStr">
        <is>
          <t>F0176, F0178, F0181</t>
        </is>
      </c>
    </row>
    <row r="178" ht="15.75" customHeight="1" s="95">
      <c r="A178" s="1" t="inlineStr">
        <is>
          <t>Sean Astin</t>
        </is>
      </c>
      <c r="B178" s="1" t="n">
        <v>3</v>
      </c>
      <c r="C178" s="1" t="n">
        <v>2001</v>
      </c>
      <c r="D178" s="1" t="n">
        <v>2003</v>
      </c>
      <c r="E178" s="4" t="inlineStr">
        <is>
          <t>The Lord of the Rings: The Fellowship of the Ring, The Lord of the Rings: The Two Towers, The Lord of the Rings: The Return of the King</t>
        </is>
      </c>
      <c r="F178" s="1" t="inlineStr">
        <is>
          <t>F0203, F0204, F0205</t>
        </is>
      </c>
    </row>
    <row r="179" ht="15.75" customHeight="1" s="95">
      <c r="A179" s="1" t="inlineStr">
        <is>
          <t>Seth MacFarlane</t>
        </is>
      </c>
      <c r="B179" s="1" t="n">
        <v>3</v>
      </c>
      <c r="C179" s="1" t="n">
        <v>2012</v>
      </c>
      <c r="D179" s="1" t="n">
        <v>2016</v>
      </c>
      <c r="E179" s="4" t="inlineStr">
        <is>
          <t>A Million Ways to Die in the West, Sing, Ted</t>
        </is>
      </c>
      <c r="F179" s="1" t="inlineStr">
        <is>
          <t>F0021, F0280, F0308</t>
        </is>
      </c>
    </row>
    <row r="180" ht="15.75" customHeight="1" s="95">
      <c r="A180" s="1" t="inlineStr">
        <is>
          <t>Steve Buscemi</t>
        </is>
      </c>
      <c r="B180" s="1" t="n">
        <v>7</v>
      </c>
      <c r="C180" s="1" t="n">
        <v>1997</v>
      </c>
      <c r="D180" s="1" t="n">
        <v>2013</v>
      </c>
      <c r="E180" s="4" t="inlineStr">
        <is>
          <t>The Big Lebowski, Monsters, Inc., Monsters University, Con Air, Grown Ups, Grown Ups 2, Monsters, Inc.</t>
        </is>
      </c>
      <c r="F180" s="1" t="inlineStr">
        <is>
          <t>F0049, F0229, F0230, F0068, F0131, F0132</t>
        </is>
      </c>
    </row>
    <row r="181" ht="15.75" customHeight="1" s="95">
      <c r="A181" s="1" t="inlineStr">
        <is>
          <t>T.J. Miller</t>
        </is>
      </c>
      <c r="B181" s="1" t="n">
        <v>7</v>
      </c>
      <c r="C181" s="1" t="n">
        <v>2010</v>
      </c>
      <c r="D181" s="1" t="n">
        <v>2018</v>
      </c>
      <c r="E181" s="4" t="inlineStr">
        <is>
          <t>Big Hero 6, Deadpool, Yogi Bear, Deadpool 2, How to Train Your Dragon, How to Train Your Dragon 2, Transformers: Age of Extinction</t>
        </is>
      </c>
      <c r="F181" s="1" t="inlineStr">
        <is>
          <t>F0048, F0076, F0348, F0077, F0154, F0155, F0319</t>
        </is>
      </c>
    </row>
    <row r="182" ht="15.75" customHeight="1" s="95">
      <c r="A182" s="1" t="inlineStr">
        <is>
          <t>Thandiwe Newton</t>
        </is>
      </c>
      <c r="B182" s="1" t="n">
        <v>3</v>
      </c>
      <c r="C182" s="1" t="n">
        <v>2000</v>
      </c>
      <c r="D182" s="1" t="n">
        <v>2009</v>
      </c>
      <c r="E182" s="4" t="inlineStr">
        <is>
          <t>2012, Mission: Impossible II, The Pursuit of Happyness</t>
        </is>
      </c>
      <c r="F182" s="1" t="inlineStr">
        <is>
          <t>F0006, F0222, F0260</t>
        </is>
      </c>
    </row>
    <row r="183" ht="15.75" customHeight="1" s="95">
      <c r="A183" s="1" t="inlineStr">
        <is>
          <t>Troy Baker</t>
        </is>
      </c>
      <c r="B183" s="1" t="n">
        <v>3</v>
      </c>
      <c r="C183" s="1" t="n">
        <v>2013</v>
      </c>
      <c r="D183" s="1" t="n">
        <v>2016</v>
      </c>
      <c r="E183" s="4" t="inlineStr">
        <is>
          <t>Lego Batman: The Movie - DC Super Heroes Unite, Lego DC Comics Super Heroes: Justice League vs. Bizarro League, Lego DC Comics Super Heroes: Justice League - Gotham City Breakout</t>
        </is>
      </c>
      <c r="F183" s="1" t="inlineStr">
        <is>
          <t>F0194, F0197, F0198</t>
        </is>
      </c>
    </row>
    <row r="184" ht="15.75" customHeight="1" s="95">
      <c r="A184" s="1" t="inlineStr">
        <is>
          <t>Vera Farmiga</t>
        </is>
      </c>
      <c r="B184" s="1" t="n">
        <v>4</v>
      </c>
      <c r="C184" s="1" t="n">
        <v>2006</v>
      </c>
      <c r="D184" s="1" t="n">
        <v>2019</v>
      </c>
      <c r="E184" s="4" t="inlineStr">
        <is>
          <t>Godzilla: King of the Monsters, Safe House, Source Code, The Departed</t>
        </is>
      </c>
      <c r="F184" s="1" t="inlineStr">
        <is>
          <t>F0122, F0272, F0285, F0081</t>
        </is>
      </c>
    </row>
    <row r="185" ht="15.75" customHeight="1" s="95">
      <c r="A185" s="1" t="inlineStr">
        <is>
          <t>Viggo Mortensen</t>
        </is>
      </c>
      <c r="B185" s="1" t="n">
        <v>3</v>
      </c>
      <c r="C185" s="1" t="n">
        <v>2001</v>
      </c>
      <c r="D185" s="1" t="n">
        <v>2003</v>
      </c>
      <c r="E185" s="4" t="inlineStr">
        <is>
          <t>The Lord of the Rings: The Fellowship of the Ring, The Lord of the Rings: The Two Towers, The Lord of the Rings: The Return of the King</t>
        </is>
      </c>
      <c r="F185" s="1" t="inlineStr">
        <is>
          <t>F0203, F0204, F0205</t>
        </is>
      </c>
    </row>
    <row r="186" ht="15.75" customHeight="1" s="95">
      <c r="A186" s="1" t="inlineStr">
        <is>
          <t>Vince Vaughn</t>
        </is>
      </c>
      <c r="B186" s="1" t="n">
        <v>4</v>
      </c>
      <c r="C186" s="1" t="n">
        <v>1997</v>
      </c>
      <c r="D186" s="1" t="n">
        <v>2016</v>
      </c>
      <c r="E186" s="4" t="inlineStr">
        <is>
          <t>Delivery Man, Hacksaw Ridge, Mr. &amp; Mrs. Smith, The Lost World: Jurassic Park</t>
        </is>
      </c>
      <c r="F186" s="1" t="inlineStr">
        <is>
          <t>F0080, F0133, F0231, F0177</t>
        </is>
      </c>
    </row>
    <row r="187" ht="15.75" customHeight="1" s="95">
      <c r="A187" s="1" t="inlineStr">
        <is>
          <t>Vincent D'Onofrio</t>
        </is>
      </c>
      <c r="B187" s="1" t="n">
        <v>3</v>
      </c>
      <c r="C187" s="1" t="n">
        <v>1997</v>
      </c>
      <c r="D187" s="1" t="n">
        <v>2016</v>
      </c>
      <c r="E187" s="4" t="inlineStr">
        <is>
          <t>Jurassic World, The Magnificent Seven, Men in Black</t>
        </is>
      </c>
      <c r="F187" s="1" t="inlineStr">
        <is>
          <t>F0179, F0207, F0218</t>
        </is>
      </c>
    </row>
    <row r="188" ht="15.75" customHeight="1" s="95">
      <c r="A188" s="1" t="inlineStr">
        <is>
          <t>Will Ferrell</t>
        </is>
      </c>
      <c r="B188" s="1" t="n">
        <v>5</v>
      </c>
      <c r="C188" s="1" t="n">
        <v>2003</v>
      </c>
      <c r="D188" s="1" t="n">
        <v>2023</v>
      </c>
      <c r="E188" s="4" t="inlineStr">
        <is>
          <t>Anchorman: The Legend of Ron Burgundy, Elf, The Lego Movie, Barbie, The Lego Movie 2: The Second Part</t>
        </is>
      </c>
      <c r="F188" s="1" t="inlineStr">
        <is>
          <t>F0022, F0092, F0195, F0041, F0196</t>
        </is>
      </c>
    </row>
    <row r="189" ht="15.75" customHeight="1" s="95">
      <c r="A189" s="1" t="inlineStr">
        <is>
          <t>Woody Harrelson</t>
        </is>
      </c>
      <c r="B189" s="1" t="n">
        <v>4</v>
      </c>
      <c r="C189" s="1" t="n">
        <v>2009</v>
      </c>
      <c r="D189" s="1" t="n">
        <v>2017</v>
      </c>
      <c r="E189" s="4" t="inlineStr">
        <is>
          <t>The Hunger Games, The Hunger Games: Mockingjay - Part 1, War for the Planet of the Apes, 2012</t>
        </is>
      </c>
      <c r="F189" s="1" t="inlineStr">
        <is>
          <t>F0157, F0158, F0255, F0006</t>
        </is>
      </c>
    </row>
    <row r="190" ht="15.75" customHeight="1" s="95">
      <c r="A190" s="1" t="inlineStr">
        <is>
          <t>Adam Brody</t>
        </is>
      </c>
      <c r="B190" s="1" t="n">
        <v>2</v>
      </c>
      <c r="C190" s="1" t="n">
        <v>2005</v>
      </c>
      <c r="D190" s="1" t="n">
        <v>2010</v>
      </c>
      <c r="E190" s="4" t="inlineStr">
        <is>
          <t>Cop Out, Mr. &amp; Mrs. Smith</t>
        </is>
      </c>
      <c r="F190" s="1" t="inlineStr">
        <is>
          <t>F0069, F0231</t>
        </is>
      </c>
    </row>
    <row r="191" ht="15.75" customHeight="1" s="95">
      <c r="A191" s="1" t="inlineStr">
        <is>
          <t>Andrew Garfield</t>
        </is>
      </c>
      <c r="B191" s="1" t="n">
        <v>2</v>
      </c>
      <c r="C191" s="1" t="n">
        <v>2012</v>
      </c>
      <c r="D191" s="1" t="n">
        <v>2016</v>
      </c>
      <c r="E191" s="4" t="inlineStr">
        <is>
          <t>The Amazing Spider-Man, Hacksaw Ridge</t>
        </is>
      </c>
      <c r="F191" s="1" t="inlineStr">
        <is>
          <t>F0019, F0133</t>
        </is>
      </c>
    </row>
    <row r="192" ht="15.75" customHeight="1" s="95">
      <c r="A192" s="1" t="inlineStr">
        <is>
          <t>Anthony Daniels</t>
        </is>
      </c>
      <c r="B192" s="1" t="n">
        <v>10</v>
      </c>
      <c r="C192" s="1" t="n">
        <v>1977</v>
      </c>
      <c r="D192" s="1" t="n">
        <v>2019</v>
      </c>
      <c r="E192" s="4" t="inlineStr">
        <is>
          <t>Star Wars: Episode V – The Empire Strikes Back, Star Wars: Episode VI – Return of the Jedi, The Lego Movie, Star Wars: Episode I – The Phantom Menace, Star Wars: Episode II – Attack of the Clones, Star Wars: Episode III – Revenge of the Sith, Star Wars: Episode IV – A New Hope, Star Wars: The Force Awakens, Star Wars: The Last Jedi, Star Wars: The Rise of Skywalker</t>
        </is>
      </c>
      <c r="F192" s="1" t="inlineStr">
        <is>
          <t>F0296, F0297, F0195, F0292, F0293, F0294, F0295, F0298, F0299, F0300</t>
        </is>
      </c>
    </row>
    <row r="193" ht="15.75" customHeight="1" s="95">
      <c r="A193" s="1" t="inlineStr">
        <is>
          <t>Anthony Hopkins</t>
        </is>
      </c>
      <c r="B193" s="1" t="n">
        <v>2</v>
      </c>
      <c r="C193" s="1" t="n">
        <v>2014</v>
      </c>
      <c r="D193" s="1" t="n">
        <v>2017</v>
      </c>
      <c r="E193" s="4" t="inlineStr">
        <is>
          <t>Noah, Transformers: The Last Knight</t>
        </is>
      </c>
      <c r="F193" s="1" t="inlineStr">
        <is>
          <t>F0238, F0320</t>
        </is>
      </c>
    </row>
    <row r="194" ht="15.75" customHeight="1" s="95">
      <c r="A194" s="1" t="inlineStr">
        <is>
          <t>Ben Stiller</t>
        </is>
      </c>
      <c r="B194" s="1" t="n">
        <v>2</v>
      </c>
      <c r="C194" s="1" t="n">
        <v>2008</v>
      </c>
      <c r="D194" s="1" t="n">
        <v>2009</v>
      </c>
      <c r="E194" s="4" t="inlineStr">
        <is>
          <t>Night at the Museum: Battle of the Smithsonian, Tropic Thunder</t>
        </is>
      </c>
      <c r="F194" s="1" t="inlineStr">
        <is>
          <t>F0236, F0324</t>
        </is>
      </c>
    </row>
    <row r="195" ht="15.75" customHeight="1" s="95">
      <c r="A195" s="1" t="inlineStr">
        <is>
          <t>Benedict Cumberbatch</t>
        </is>
      </c>
      <c r="B195" s="1" t="n">
        <v>6</v>
      </c>
      <c r="C195" s="1" t="n">
        <v>2012</v>
      </c>
      <c r="D195" s="1" t="n">
        <v>2019</v>
      </c>
      <c r="E195" s="4" t="inlineStr">
        <is>
          <t>The Hobbit: The Desolation of Smaug, The Imitation Game, Avengers: Infinity War, Avengers: Endgame, The Hobbit: An Unexpected Journey, The Hobbit: The Battle of the Five Armies</t>
        </is>
      </c>
      <c r="F195" s="1" t="inlineStr">
        <is>
          <t>F0151, F0162, F0030, F0031, F0150, F0152</t>
        </is>
      </c>
    </row>
    <row r="196" ht="15.75" customHeight="1" s="95">
      <c r="A196" s="1" t="inlineStr">
        <is>
          <t>Bill Nighy</t>
        </is>
      </c>
      <c r="B196" s="1" t="n">
        <v>7</v>
      </c>
      <c r="C196" s="1" t="n">
        <v>2004</v>
      </c>
      <c r="D196" s="1" t="n">
        <v>2014</v>
      </c>
      <c r="E196" s="4" t="inlineStr">
        <is>
          <t>I, Frankenstein, Underworld: Rise of the Lycans, Shaun of the Dead, The World's End, Harry Potter and the Deathly Hallows: Part 1, I, Frankenstein, Underworld: Evolution</t>
        </is>
      </c>
      <c r="F196" s="1" t="inlineStr">
        <is>
          <t>F0159, F0327, F0070, F0072, F0143, F0326</t>
        </is>
      </c>
    </row>
    <row r="197" ht="15.75" customHeight="1" s="95">
      <c r="A197" s="1" t="inlineStr">
        <is>
          <t>Billy Crystal</t>
        </is>
      </c>
      <c r="B197" s="1" t="n">
        <v>3</v>
      </c>
      <c r="C197" s="1" t="n">
        <v>2001</v>
      </c>
      <c r="D197" s="1" t="n">
        <v>2013</v>
      </c>
      <c r="E197" s="4" t="inlineStr">
        <is>
          <t>Monsters, Inc., Monsters University, Monsters, Inc.</t>
        </is>
      </c>
      <c r="F197" s="1" t="inlineStr">
        <is>
          <t>F0229, F0230</t>
        </is>
      </c>
    </row>
    <row r="198" ht="15.75" customHeight="1" s="95">
      <c r="A198" s="1" t="inlineStr">
        <is>
          <t>Billy Dee Williams</t>
        </is>
      </c>
      <c r="B198" s="1" t="n">
        <v>5</v>
      </c>
      <c r="C198" s="1" t="n">
        <v>1980</v>
      </c>
      <c r="D198" s="1" t="n">
        <v>2019</v>
      </c>
      <c r="E198" s="4" t="inlineStr">
        <is>
          <t>Star Wars: Episode V – The Empire Strikes Back, Star Wars: Episode VI – Return of the Jedi, The Lego Batman Movie, The Lego Movie, Star Wars: The Rise of Skywalker</t>
        </is>
      </c>
      <c r="F198" s="1" t="inlineStr">
        <is>
          <t>F0296, F0297, F0193, F0195, F0300</t>
        </is>
      </c>
    </row>
    <row r="199" ht="15.75" customHeight="1" s="95">
      <c r="A199" s="1" t="inlineStr">
        <is>
          <t>Blake Harrison</t>
        </is>
      </c>
      <c r="B199" s="1" t="n">
        <v>2</v>
      </c>
      <c r="C199" s="1" t="n">
        <v>2011</v>
      </c>
      <c r="D199" s="1" t="n">
        <v>2014</v>
      </c>
      <c r="E199" s="4" t="inlineStr">
        <is>
          <t>The Inbetweeners Movie, The Inbetweeners 2</t>
        </is>
      </c>
      <c r="F199" s="1" t="inlineStr">
        <is>
          <t>F0163, F0164</t>
        </is>
      </c>
    </row>
    <row r="200" ht="15.75" customHeight="1" s="95">
      <c r="A200" s="1" t="inlineStr">
        <is>
          <t>Brie Larson</t>
        </is>
      </c>
      <c r="B200" s="1" t="n">
        <v>4</v>
      </c>
      <c r="C200" s="1" t="n">
        <v>2012</v>
      </c>
      <c r="D200" s="1" t="n">
        <v>2023</v>
      </c>
      <c r="E200" s="4" t="inlineStr">
        <is>
          <t>21 Jump Street, Kong: Skull Island, Avengers: Endgame, Fast X</t>
        </is>
      </c>
      <c r="F200" s="1" t="inlineStr">
        <is>
          <t>F0007, F0190, F0031, F0110</t>
        </is>
      </c>
    </row>
    <row r="201" ht="15.75" customHeight="1" s="95">
      <c r="A201" s="1" t="inlineStr">
        <is>
          <t>Bryan Cranston</t>
        </is>
      </c>
      <c r="B201" s="1" t="n">
        <v>2</v>
      </c>
      <c r="C201" s="1" t="n">
        <v>2012</v>
      </c>
      <c r="D201" s="1" t="n">
        <v>2014</v>
      </c>
      <c r="E201" s="4" t="inlineStr">
        <is>
          <t>Argo, Godzilla</t>
        </is>
      </c>
      <c r="F201" s="1" t="inlineStr">
        <is>
          <t>F0025, F0121</t>
        </is>
      </c>
    </row>
    <row r="202" ht="15.75" customHeight="1" s="95">
      <c r="A202" s="1" t="inlineStr">
        <is>
          <t>Cate Blanchett</t>
        </is>
      </c>
      <c r="B202" s="1" t="n">
        <v>8</v>
      </c>
      <c r="C202" s="1" t="n">
        <v>2001</v>
      </c>
      <c r="D202" s="1" t="n">
        <v>2014</v>
      </c>
      <c r="E202" s="4" t="inlineStr">
        <is>
          <t>How to Train Your Dragon 2, Robin Hood, The Hobbit: An Unexpected Journey, The Hobbit: The Desolation of Smaug, The Hobbit: The Battle of the Five Armies, The Lord of the Rings: The Fellowship of the Ring, The Lord of the Rings: The Two Towers, The Lord of the Rings: The Return of the King</t>
        </is>
      </c>
      <c r="F202" s="1" t="inlineStr">
        <is>
          <t>F0155, F0267, F0150, F0151, F0152, F0203, F0204, F0205</t>
        </is>
      </c>
    </row>
    <row r="203" ht="15.75" customHeight="1" s="95">
      <c r="A203" s="1" t="inlineStr">
        <is>
          <t>Charlie Hunnam</t>
        </is>
      </c>
      <c r="B203" s="1" t="n">
        <v>2</v>
      </c>
      <c r="C203" s="1" t="n">
        <v>2013</v>
      </c>
      <c r="D203" s="1" t="n">
        <v>2020</v>
      </c>
      <c r="E203" s="4" t="inlineStr">
        <is>
          <t>The Gentlemen, Pacific Rim</t>
        </is>
      </c>
      <c r="F203" s="1" t="inlineStr">
        <is>
          <t>F0119, F0243</t>
        </is>
      </c>
    </row>
    <row r="204" ht="15.75" customHeight="1" s="95">
      <c r="A204" s="1" t="inlineStr">
        <is>
          <t>Chiwetel Ejiofor</t>
        </is>
      </c>
      <c r="B204" s="1" t="n">
        <v>3</v>
      </c>
      <c r="C204" s="1" t="n">
        <v>2009</v>
      </c>
      <c r="D204" s="1" t="n">
        <v>2015</v>
      </c>
      <c r="E204" s="4" t="inlineStr">
        <is>
          <t>2012, Salt, The Martian</t>
        </is>
      </c>
      <c r="F204" s="1" t="inlineStr">
        <is>
          <t>F0006, F0273, F0213</t>
        </is>
      </c>
    </row>
    <row r="205" ht="15.75" customHeight="1" s="95">
      <c r="A205" s="1" t="inlineStr">
        <is>
          <t>Chloë Grace Moretz</t>
        </is>
      </c>
      <c r="B205" s="1" t="n">
        <v>3</v>
      </c>
      <c r="C205" s="1" t="n">
        <v>2010</v>
      </c>
      <c r="D205" s="1" t="n">
        <v>2014</v>
      </c>
      <c r="E205" s="4" t="inlineStr">
        <is>
          <t>Kick-Ass, Kick-Ass 2, Muppets Most Wanted</t>
        </is>
      </c>
      <c r="F205" s="1" t="inlineStr">
        <is>
          <t>F0185, F0186, F0232</t>
        </is>
      </c>
    </row>
    <row r="206" ht="15.75" customHeight="1" s="95">
      <c r="A206" s="1" t="inlineStr">
        <is>
          <t>Chris Rock</t>
        </is>
      </c>
      <c r="B206" s="1" t="n">
        <v>3</v>
      </c>
      <c r="C206" s="1" t="n">
        <v>1999</v>
      </c>
      <c r="D206" s="1" t="n">
        <v>2013</v>
      </c>
      <c r="E206" s="4" t="inlineStr">
        <is>
          <t>Grown Ups, Grown Ups 2, Dogma</t>
        </is>
      </c>
      <c r="F206" s="1" t="inlineStr">
        <is>
          <t>F0131, F0132, F0351</t>
        </is>
      </c>
    </row>
    <row r="207" ht="15.75" customHeight="1" s="95">
      <c r="A207" s="1" t="inlineStr">
        <is>
          <t>Christina Applegate</t>
        </is>
      </c>
      <c r="B207" s="1" t="n">
        <v>2</v>
      </c>
      <c r="C207" s="1" t="n">
        <v>2004</v>
      </c>
      <c r="D207" s="1" t="n">
        <v>2016</v>
      </c>
      <c r="E207" s="4" t="inlineStr">
        <is>
          <t>Anchorman: The Legend of Ron Burgundy, Bad Moms</t>
        </is>
      </c>
      <c r="F207" s="1" t="inlineStr">
        <is>
          <t>F0022, F0038</t>
        </is>
      </c>
    </row>
    <row r="208" ht="15.75" customHeight="1" s="95">
      <c r="A208" s="1" t="inlineStr">
        <is>
          <t>Christopher Mintz-Plasse</t>
        </is>
      </c>
      <c r="B208" s="1" t="n">
        <v>5</v>
      </c>
      <c r="C208" s="1" t="n">
        <v>2007</v>
      </c>
      <c r="D208" s="1" t="n">
        <v>2014</v>
      </c>
      <c r="E208" s="4" t="inlineStr">
        <is>
          <t>Kick-Ass 2, Superbad, How to Train Your Dragon, How to Train Your Dragon 2, Kick-Ass</t>
        </is>
      </c>
      <c r="F208" s="1" t="inlineStr">
        <is>
          <t>F0186, F0303, F0154, F0155, F0185</t>
        </is>
      </c>
    </row>
    <row r="209" ht="15.75" customHeight="1" s="95">
      <c r="A209" s="1" t="inlineStr">
        <is>
          <t>Christopher Plummer</t>
        </is>
      </c>
      <c r="B209" s="1" t="n">
        <v>2</v>
      </c>
      <c r="C209" s="1" t="n">
        <v>2009</v>
      </c>
      <c r="D209" s="1" t="n">
        <v>2011</v>
      </c>
      <c r="E209" s="4" t="inlineStr">
        <is>
          <t>The Girl with the Dragon Tattoo, Up</t>
        </is>
      </c>
      <c r="F209" s="1" t="inlineStr">
        <is>
          <t>F0120, F0330</t>
        </is>
      </c>
    </row>
    <row r="210" ht="15.75" customHeight="1" s="95">
      <c r="A210" s="1" t="inlineStr">
        <is>
          <t>Colin Farrell</t>
        </is>
      </c>
      <c r="B210" s="1" t="n">
        <v>3</v>
      </c>
      <c r="C210" s="1" t="n">
        <v>2016</v>
      </c>
      <c r="D210" s="1" t="n">
        <v>2022</v>
      </c>
      <c r="E210" s="4" t="inlineStr">
        <is>
          <t>The Batman, Fantastic Beasts and Where to Find Them, The Gentlemen</t>
        </is>
      </c>
      <c r="F210" s="1" t="inlineStr">
        <is>
          <t>F0042, F0100, F0119</t>
        </is>
      </c>
    </row>
    <row r="211" ht="15.75" customHeight="1" s="95">
      <c r="A211" s="1" t="inlineStr">
        <is>
          <t>Colin Firth</t>
        </is>
      </c>
      <c r="B211" s="1" t="n">
        <v>2</v>
      </c>
      <c r="C211" s="1" t="n">
        <v>2008</v>
      </c>
      <c r="D211" s="1" t="n">
        <v>2010</v>
      </c>
      <c r="E211" s="4" t="inlineStr">
        <is>
          <t>The King's Speech, Mamma Mia!</t>
        </is>
      </c>
      <c r="F211" s="1" t="inlineStr">
        <is>
          <t>F0189, F0209</t>
        </is>
      </c>
    </row>
    <row r="212" ht="15.75" customHeight="1" s="95">
      <c r="A212" s="1" t="inlineStr">
        <is>
          <t>Colm Meaney</t>
        </is>
      </c>
      <c r="B212" s="1" t="n">
        <v>3</v>
      </c>
      <c r="C212" s="1" t="n">
        <v>1997</v>
      </c>
      <c r="D212" s="1" t="n">
        <v>2013</v>
      </c>
      <c r="E212" s="4" t="inlineStr">
        <is>
          <t>Alan Partridge: Alpha Papa, Law Abiding Citizen, Con Air</t>
        </is>
      </c>
      <c r="F212" s="1" t="inlineStr">
        <is>
          <t>F0014, F0191, F0068</t>
        </is>
      </c>
    </row>
    <row r="213" ht="15.75" customHeight="1" s="95">
      <c r="A213" s="1" t="inlineStr">
        <is>
          <t>Craig Ferguson</t>
        </is>
      </c>
      <c r="B213" s="1" t="n">
        <v>3</v>
      </c>
      <c r="C213" s="1" t="n">
        <v>2010</v>
      </c>
      <c r="D213" s="1" t="n">
        <v>2014</v>
      </c>
      <c r="E213" s="4" t="inlineStr">
        <is>
          <t>How to Train Your Dragon, How to Train Your Dragon 2, Kick-Ass</t>
        </is>
      </c>
      <c r="F213" s="1" t="inlineStr">
        <is>
          <t>F0154, F0155, F0185</t>
        </is>
      </c>
    </row>
    <row r="214" ht="15.75" customHeight="1" s="95">
      <c r="A214" s="1" t="inlineStr">
        <is>
          <t>Dafne Keen</t>
        </is>
      </c>
      <c r="B214" s="1" t="n">
        <v>2</v>
      </c>
      <c r="C214" s="1" t="n">
        <v>2017</v>
      </c>
      <c r="D214" s="1" t="n">
        <v>2024</v>
      </c>
      <c r="E214" s="4" t="inlineStr">
        <is>
          <t>Deadpool &amp; Wolverine, Logan</t>
        </is>
      </c>
      <c r="F214" s="1" t="inlineStr">
        <is>
          <t>F0078, F0201</t>
        </is>
      </c>
    </row>
    <row r="215" ht="15.75" customHeight="1" s="95">
      <c r="A215" s="1" t="inlineStr">
        <is>
          <t>Dana Gaier</t>
        </is>
      </c>
      <c r="B215" s="1" t="n">
        <v>2</v>
      </c>
      <c r="C215" s="1" t="n">
        <v>2010</v>
      </c>
      <c r="D215" s="1" t="n">
        <v>2017</v>
      </c>
      <c r="E215" s="4" t="inlineStr">
        <is>
          <t>Despicable Me, Despicable Me 3</t>
        </is>
      </c>
      <c r="F215" s="1" t="inlineStr">
        <is>
          <t>F0082, F0084</t>
        </is>
      </c>
    </row>
    <row r="216" ht="15.75" customHeight="1" s="95">
      <c r="A216" s="1" t="inlineStr">
        <is>
          <t>Danny McBride</t>
        </is>
      </c>
      <c r="B216" s="1" t="n">
        <v>5</v>
      </c>
      <c r="C216" s="1" t="n">
        <v>2008</v>
      </c>
      <c r="D216" s="1" t="n">
        <v>2011</v>
      </c>
      <c r="E216" s="4" t="inlineStr">
        <is>
          <t>30 Minutes or Less, Pineapple Express, Despicable Me, Due Date, Tropic Thunder</t>
        </is>
      </c>
      <c r="F216" s="1" t="inlineStr">
        <is>
          <t>F0009, F0247, F0082, F0091, F0324</t>
        </is>
      </c>
    </row>
    <row r="217" ht="15.75" customHeight="1" s="95">
      <c r="A217" s="1" t="inlineStr">
        <is>
          <t>David Spade</t>
        </is>
      </c>
      <c r="B217" s="1" t="n">
        <v>2</v>
      </c>
      <c r="C217" s="1" t="n">
        <v>2010</v>
      </c>
      <c r="D217" s="1" t="n">
        <v>2013</v>
      </c>
      <c r="E217" s="4" t="inlineStr">
        <is>
          <t>Grown Ups, Grown Ups 2</t>
        </is>
      </c>
      <c r="F217" s="1" t="inlineStr">
        <is>
          <t>F0131, F0132</t>
        </is>
      </c>
    </row>
    <row r="218" ht="15.75" customHeight="1" s="95">
      <c r="A218" s="1" t="inlineStr">
        <is>
          <t>Denzel Washington</t>
        </is>
      </c>
      <c r="B218" s="1" t="n">
        <v>2</v>
      </c>
      <c r="C218" s="1" t="n">
        <v>2012</v>
      </c>
      <c r="D218" s="1" t="n">
        <v>2016</v>
      </c>
      <c r="E218" s="4" t="inlineStr">
        <is>
          <t>The Magnificent Seven, Safe House</t>
        </is>
      </c>
      <c r="F218" s="1" t="inlineStr">
        <is>
          <t>F0207, F0272</t>
        </is>
      </c>
    </row>
    <row r="219" ht="15.75" customHeight="1" s="95">
      <c r="A219" s="1" t="inlineStr">
        <is>
          <t>Dolph Lundgren</t>
        </is>
      </c>
      <c r="B219" s="1" t="n">
        <v>3</v>
      </c>
      <c r="C219" s="1" t="n">
        <v>2010</v>
      </c>
      <c r="D219" s="1" t="n">
        <v>2014</v>
      </c>
      <c r="E219" s="4" t="inlineStr">
        <is>
          <t>The Expendables, The Expendables 2, The Expendables 3</t>
        </is>
      </c>
      <c r="F219" s="1" t="inlineStr">
        <is>
          <t>F0095, F0096, F0097</t>
        </is>
      </c>
    </row>
    <row r="220" ht="15.75" customHeight="1" s="95">
      <c r="A220" s="1" t="inlineStr">
        <is>
          <t>Ed Asner</t>
        </is>
      </c>
      <c r="B220" s="1" t="n">
        <v>2</v>
      </c>
      <c r="C220" s="1" t="n">
        <v>2003</v>
      </c>
      <c r="D220" s="1" t="n">
        <v>2009</v>
      </c>
      <c r="E220" s="4" t="inlineStr">
        <is>
          <t>Elf, Up</t>
        </is>
      </c>
      <c r="F220" s="1" t="inlineStr">
        <is>
          <t>F0092, F0330</t>
        </is>
      </c>
    </row>
    <row r="221" ht="15.75" customHeight="1" s="95">
      <c r="A221" s="1" t="inlineStr">
        <is>
          <t>Ed Skrein</t>
        </is>
      </c>
      <c r="B221" s="1" t="n">
        <v>4</v>
      </c>
      <c r="C221" s="1" t="n">
        <v>2012</v>
      </c>
      <c r="D221" s="1" t="n">
        <v>2025</v>
      </c>
      <c r="E221" s="4" t="inlineStr">
        <is>
          <t>Deadpool, The Transporter Refueled, Jurassic World Rebirth, The Sweeney</t>
        </is>
      </c>
      <c r="F221" s="1" t="inlineStr">
        <is>
          <t>F0076, F0323, F0182, F0305</t>
        </is>
      </c>
    </row>
    <row r="222" ht="15.75" customHeight="1" s="95">
      <c r="A222" s="1" t="inlineStr">
        <is>
          <t>Eddie Marsan</t>
        </is>
      </c>
      <c r="B222" s="1" t="n">
        <v>8</v>
      </c>
      <c r="C222" s="1" t="n">
        <v>2006</v>
      </c>
      <c r="D222" s="1" t="n">
        <v>2020</v>
      </c>
      <c r="E222" s="4" t="inlineStr">
        <is>
          <t>The World's End, Sherlock Holmes, Deadpool 2, Fast &amp; Furious Presents: Hobbs &amp; Shaw, The Gentlemen, Mission: Impossible III, Sherlock Holmes: A Game of Shadows, Snow White and the Huntsman</t>
        </is>
      </c>
      <c r="F222" s="1" t="inlineStr">
        <is>
          <t>F0072, F0278, F0077, F0111, F0119, F0223, F0279, F0284</t>
        </is>
      </c>
    </row>
    <row r="223" ht="15.75" customHeight="1" s="95">
      <c r="A223" s="1" t="inlineStr">
        <is>
          <t>Eddie Redmayne</t>
        </is>
      </c>
      <c r="B223" s="1" t="n">
        <v>3</v>
      </c>
      <c r="C223" s="1" t="n">
        <v>2012</v>
      </c>
      <c r="D223" s="1" t="n">
        <v>2016</v>
      </c>
      <c r="E223" s="4" t="inlineStr">
        <is>
          <t>Fantastic Beasts and Where to Find Them, The Theory of Everything, Les Misérables</t>
        </is>
      </c>
      <c r="F223" s="1" t="inlineStr">
        <is>
          <t>F0100, F0311, F0199</t>
        </is>
      </c>
    </row>
    <row r="224" ht="15.75" customHeight="1" s="95">
      <c r="A224" s="1" t="inlineStr">
        <is>
          <t>Edward Norton</t>
        </is>
      </c>
      <c r="B224" s="1" t="n">
        <v>2</v>
      </c>
      <c r="C224" s="1" t="n">
        <v>1999</v>
      </c>
      <c r="D224" s="1" t="n">
        <v>2012</v>
      </c>
      <c r="E224" s="4" t="inlineStr">
        <is>
          <t>The Bourne Legacy, Fight Club</t>
        </is>
      </c>
      <c r="F224" s="1" t="inlineStr">
        <is>
          <t>F0056, F0112</t>
        </is>
      </c>
    </row>
    <row r="225" ht="15.75" customHeight="1" s="95">
      <c r="A225" s="1" t="inlineStr">
        <is>
          <t>Elle Fanning</t>
        </is>
      </c>
      <c r="B225" s="1" t="n">
        <v>2</v>
      </c>
      <c r="C225" s="1" t="n">
        <v>2011</v>
      </c>
      <c r="D225" s="1" t="n">
        <v>2014</v>
      </c>
      <c r="E225" s="4" t="inlineStr">
        <is>
          <t>Maleficent, Super 8</t>
        </is>
      </c>
      <c r="F225" s="1" t="inlineStr">
        <is>
          <t>F0208, F0302</t>
        </is>
      </c>
    </row>
    <row r="226" ht="15.75" customHeight="1" s="95">
      <c r="A226" s="1" t="inlineStr">
        <is>
          <t>Emile Hirsch</t>
        </is>
      </c>
      <c r="B226" s="1" t="n">
        <v>2</v>
      </c>
      <c r="C226" s="1" t="n">
        <v>2013</v>
      </c>
      <c r="D226" s="1" t="n">
        <v>2019</v>
      </c>
      <c r="E226" s="4" t="inlineStr">
        <is>
          <t>Lone Survivor, Once Upon a Time… in Hollywood</t>
        </is>
      </c>
      <c r="F226" s="1" t="inlineStr">
        <is>
          <t>F0202, F0241</t>
        </is>
      </c>
    </row>
    <row r="227" ht="15.75" customHeight="1" s="95">
      <c r="A227" s="1" t="inlineStr">
        <is>
          <t>Emily Blunt</t>
        </is>
      </c>
      <c r="B227" s="1" t="n">
        <v>2</v>
      </c>
      <c r="C227" s="1" t="n">
        <v>2023</v>
      </c>
      <c r="D227" s="1" t="n">
        <v>2024</v>
      </c>
      <c r="E227" s="4" t="inlineStr">
        <is>
          <t>The Fall Guy, Oppenheimer</t>
        </is>
      </c>
      <c r="F227" s="1" t="inlineStr">
        <is>
          <t>F0099, F0242</t>
        </is>
      </c>
    </row>
    <row r="228" ht="15.75" customHeight="1" s="95">
      <c r="A228" s="1" t="inlineStr">
        <is>
          <t>Emma Stone</t>
        </is>
      </c>
      <c r="B228" s="1" t="n">
        <v>3</v>
      </c>
      <c r="C228" s="1" t="n">
        <v>2007</v>
      </c>
      <c r="D228" s="1" t="n">
        <v>2013</v>
      </c>
      <c r="E228" s="4" t="inlineStr">
        <is>
          <t>The Amazing Spider-Man, The Croods, Superbad</t>
        </is>
      </c>
      <c r="F228" s="1" t="inlineStr">
        <is>
          <t>F0019, F0075, F0303</t>
        </is>
      </c>
    </row>
    <row r="229" ht="15.75" customHeight="1" s="95">
      <c r="A229" s="1" t="inlineStr">
        <is>
          <t>Ester Dean</t>
        </is>
      </c>
      <c r="B229" s="1" t="n">
        <v>3</v>
      </c>
      <c r="C229" s="1" t="n">
        <v>2012</v>
      </c>
      <c r="D229" s="1" t="n">
        <v>2017</v>
      </c>
      <c r="E229" s="4" t="inlineStr">
        <is>
          <t>Pitch Perfect, Pitch Perfect 2, Pitch Perfect 3</t>
        </is>
      </c>
      <c r="F229" s="1" t="inlineStr">
        <is>
          <t>F0250, F0251, F0252</t>
        </is>
      </c>
    </row>
    <row r="230" ht="15.75" customHeight="1" s="95">
      <c r="A230" s="1" t="inlineStr">
        <is>
          <t>Forest Whitaker</t>
        </is>
      </c>
      <c r="B230" s="1" t="n">
        <v>2</v>
      </c>
      <c r="C230" s="1" t="n">
        <v>2011</v>
      </c>
      <c r="D230" s="1" t="n">
        <v>2015</v>
      </c>
      <c r="E230" s="4" t="inlineStr">
        <is>
          <t>Catch.44, Southpaw</t>
        </is>
      </c>
      <c r="F230" s="1" t="inlineStr">
        <is>
          <t>F0063, F0286</t>
        </is>
      </c>
    </row>
    <row r="231" ht="15.75" customHeight="1" s="95">
      <c r="A231" s="1" t="inlineStr">
        <is>
          <t>Franka Potente</t>
        </is>
      </c>
      <c r="B231" s="1" t="n">
        <v>2</v>
      </c>
      <c r="C231" s="1" t="n">
        <v>2002</v>
      </c>
      <c r="D231" s="1" t="n">
        <v>2004</v>
      </c>
      <c r="E231" s="4" t="inlineStr">
        <is>
          <t>The Bourne Identity, The Bourne Supremacy</t>
        </is>
      </c>
      <c r="F231" s="1" t="inlineStr">
        <is>
          <t>F0053, F0054</t>
        </is>
      </c>
    </row>
    <row r="232" ht="15.75" customHeight="1" s="95">
      <c r="A232" s="1" t="inlineStr">
        <is>
          <t>Freida Pinto</t>
        </is>
      </c>
      <c r="B232" s="1" t="n">
        <v>2</v>
      </c>
      <c r="C232" s="1" t="n">
        <v>2008</v>
      </c>
      <c r="D232" s="1" t="n">
        <v>2011</v>
      </c>
      <c r="E232" s="4" t="inlineStr">
        <is>
          <t>Rise of the Planet of the Apes, Slumdog Millionaire</t>
        </is>
      </c>
      <c r="F232" s="1" t="inlineStr">
        <is>
          <t>F0253, F0281</t>
        </is>
      </c>
    </row>
    <row r="233" ht="15.75" customHeight="1" s="95">
      <c r="A233" s="1" t="inlineStr">
        <is>
          <t>Geoffrey Rush</t>
        </is>
      </c>
      <c r="B233" s="1" t="n">
        <v>4</v>
      </c>
      <c r="C233" s="1" t="n">
        <v>2010</v>
      </c>
      <c r="D233" s="1" t="n">
        <v>2015</v>
      </c>
      <c r="E233" s="4" t="inlineStr">
        <is>
          <t>The King's Speech, Pirates of the Caribbean: On Stranger Tides, Green Lantern, Minions</t>
        </is>
      </c>
      <c r="F233" s="1" t="inlineStr">
        <is>
          <t>F0189, F0249, F0128, F0220</t>
        </is>
      </c>
    </row>
    <row r="234" ht="15.75" customHeight="1" s="95">
      <c r="A234" s="1" t="inlineStr">
        <is>
          <t>Giovanni Ribisi</t>
        </is>
      </c>
      <c r="B234" s="1" t="n">
        <v>3</v>
      </c>
      <c r="C234" s="1" t="n">
        <v>2009</v>
      </c>
      <c r="D234" s="1" t="n">
        <v>2014</v>
      </c>
      <c r="E234" s="4" t="inlineStr">
        <is>
          <t>A Million Ways to Die in the West, Ted, Avatar</t>
        </is>
      </c>
      <c r="F234" s="1" t="inlineStr">
        <is>
          <t>F0021, F0308, F0028</t>
        </is>
      </c>
    </row>
    <row r="235" ht="15.75" customHeight="1" s="95">
      <c r="A235" s="1" t="inlineStr">
        <is>
          <t>Gwyneth Paltrow</t>
        </is>
      </c>
      <c r="B235" s="1" t="n">
        <v>4</v>
      </c>
      <c r="C235" s="1" t="n">
        <v>1995</v>
      </c>
      <c r="D235" s="1" t="n">
        <v>2018</v>
      </c>
      <c r="E235" s="4" t="inlineStr">
        <is>
          <t>Iron Man 3, Se7en, The Avengers, Avengers: Infinity War</t>
        </is>
      </c>
      <c r="F235" s="1" t="inlineStr">
        <is>
          <t>F0169, F0276, F0029, F0030</t>
        </is>
      </c>
    </row>
    <row r="236" ht="15.75" customHeight="1" s="95">
      <c r="A236" s="1" t="inlineStr">
        <is>
          <t>Halle Berry</t>
        </is>
      </c>
      <c r="B236" s="1" t="n">
        <v>4</v>
      </c>
      <c r="C236" s="1" t="n">
        <v>2000</v>
      </c>
      <c r="D236" s="1" t="n">
        <v>2014</v>
      </c>
      <c r="E236" s="4" t="inlineStr">
        <is>
          <t>X2: X-Men United, X-Men: The Last Stand, X-Men: Days of Future Past, X-Men</t>
        </is>
      </c>
      <c r="F236" s="1" t="inlineStr">
        <is>
          <t>F0345, F0346, F0341, F0344</t>
        </is>
      </c>
    </row>
    <row r="237" ht="15.75" customHeight="1" s="95">
      <c r="A237" s="1" t="inlineStr">
        <is>
          <t>Hank Azaria</t>
        </is>
      </c>
      <c r="B237" s="1" t="n">
        <v>3</v>
      </c>
      <c r="C237" s="1" t="n">
        <v>2009</v>
      </c>
      <c r="D237" s="1" t="n">
        <v>2013</v>
      </c>
      <c r="E237" s="4" t="inlineStr">
        <is>
          <t>Night at the Museum: Battle of the Smithsonian, The Smurfs 2, Happy Feet Two</t>
        </is>
      </c>
      <c r="F237" s="1" t="inlineStr">
        <is>
          <t>F0236, F0282, F0145</t>
        </is>
      </c>
    </row>
    <row r="238" ht="15.75" customHeight="1" s="95">
      <c r="A238" s="1" t="inlineStr">
        <is>
          <t>Henry Cavill</t>
        </is>
      </c>
      <c r="B238" s="1" t="n">
        <v>3</v>
      </c>
      <c r="C238" s="1" t="n">
        <v>2013</v>
      </c>
      <c r="D238" s="1" t="n">
        <v>2024</v>
      </c>
      <c r="E238" s="4" t="inlineStr">
        <is>
          <t>Man of Steel, Mission: Impossible - Fallout, Deadpool &amp; Wolverine</t>
        </is>
      </c>
      <c r="F238" s="1" t="inlineStr">
        <is>
          <t>F0211, F0226, F0078</t>
        </is>
      </c>
    </row>
    <row r="239" ht="15.75" customHeight="1" s="95">
      <c r="A239" s="1" t="inlineStr">
        <is>
          <t>Hiroyuki Sanada</t>
        </is>
      </c>
      <c r="B239" s="1" t="n">
        <v>3</v>
      </c>
      <c r="C239" s="1" t="n">
        <v>2007</v>
      </c>
      <c r="D239" s="1" t="n">
        <v>2015</v>
      </c>
      <c r="E239" s="4" t="inlineStr">
        <is>
          <t>Rush Hour 3, The Wolverine, Minions</t>
        </is>
      </c>
      <c r="F239" s="1" t="inlineStr">
        <is>
          <t>F0271, F0347, F0220</t>
        </is>
      </c>
    </row>
    <row r="240" ht="15.75" customHeight="1" s="95">
      <c r="A240" s="1" t="inlineStr">
        <is>
          <t>Ian McDiarmid</t>
        </is>
      </c>
      <c r="B240" s="1" t="n">
        <v>5</v>
      </c>
      <c r="C240" s="1" t="n">
        <v>1983</v>
      </c>
      <c r="D240" s="1" t="n">
        <v>2019</v>
      </c>
      <c r="E240" s="4" t="inlineStr">
        <is>
          <t>Star Wars: Episode I – The Phantom Menace, Star Wars: Episode III – Revenge of the Sith, Star Wars: Episode II – Attack of the Clones, Star Wars: Episode VI – Return of the Jedi, Star Wars: The Rise of Skywalker</t>
        </is>
      </c>
      <c r="F240" s="1" t="inlineStr">
        <is>
          <t>F0292, F0294, F0293, F0297, F0300</t>
        </is>
      </c>
    </row>
    <row r="241" ht="15.75" customHeight="1" s="95">
      <c r="A241" s="1" t="inlineStr">
        <is>
          <t>Imelda Staunton</t>
        </is>
      </c>
      <c r="B241" s="1" t="n">
        <v>4</v>
      </c>
      <c r="C241" s="1" t="n">
        <v>2007</v>
      </c>
      <c r="D241" s="1" t="n">
        <v>2014</v>
      </c>
      <c r="E241" s="4" t="inlineStr">
        <is>
          <t>Harry Potter and the Order of the Phoenix, Maleficent, Harry Potter and the Deathly Hallows: Part 1, Paddington</t>
        </is>
      </c>
      <c r="F241" s="1" t="inlineStr">
        <is>
          <t>F0141, F0208, F0143, F0244</t>
        </is>
      </c>
    </row>
    <row r="242" ht="15.75" customHeight="1" s="95">
      <c r="A242" s="1" t="inlineStr">
        <is>
          <t>Jack Nicholson</t>
        </is>
      </c>
      <c r="B242" s="1" t="n">
        <v>2</v>
      </c>
      <c r="C242" s="1" t="n">
        <v>2006</v>
      </c>
      <c r="D242" s="1" t="n">
        <v>2007</v>
      </c>
      <c r="E242" s="4" t="inlineStr">
        <is>
          <t>The Bucket List, The Departed</t>
        </is>
      </c>
      <c r="F242" s="1" t="inlineStr">
        <is>
          <t>F0060, F0081</t>
        </is>
      </c>
    </row>
    <row r="243" ht="15.75" customHeight="1" s="95">
      <c r="A243" s="1" t="inlineStr">
        <is>
          <t>Jackie Chan</t>
        </is>
      </c>
      <c r="B243" s="1" t="n">
        <v>2</v>
      </c>
      <c r="C243" s="1" t="n">
        <v>2007</v>
      </c>
      <c r="D243" s="1" t="n">
        <v>2010</v>
      </c>
      <c r="E243" s="4" t="inlineStr">
        <is>
          <t>The Karate Kid, Rush Hour 3</t>
        </is>
      </c>
      <c r="F243" s="1" t="inlineStr">
        <is>
          <t>F0184, F0271</t>
        </is>
      </c>
    </row>
    <row r="244" ht="15.75" customHeight="1" s="95">
      <c r="A244" s="1" t="inlineStr">
        <is>
          <t>Jaden Smith</t>
        </is>
      </c>
      <c r="B244" s="1" t="n">
        <v>2</v>
      </c>
      <c r="C244" s="1" t="n">
        <v>2006</v>
      </c>
      <c r="D244" s="1" t="n">
        <v>2010</v>
      </c>
      <c r="E244" s="4" t="inlineStr">
        <is>
          <t>The Karate Kid, The Pursuit of Happyness</t>
        </is>
      </c>
      <c r="F244" s="1" t="inlineStr">
        <is>
          <t>F0184, F0260</t>
        </is>
      </c>
    </row>
    <row r="245" ht="15.75" customHeight="1" s="95">
      <c r="A245" s="1" t="inlineStr">
        <is>
          <t>James Buckley</t>
        </is>
      </c>
      <c r="B245" s="1" t="n">
        <v>2</v>
      </c>
      <c r="C245" s="1" t="n">
        <v>2011</v>
      </c>
      <c r="D245" s="1" t="n">
        <v>2014</v>
      </c>
      <c r="E245" s="4" t="inlineStr">
        <is>
          <t>The Inbetweeners Movie, The Inbetweeners 2</t>
        </is>
      </c>
      <c r="F245" s="1" t="inlineStr">
        <is>
          <t>F0163, F0164</t>
        </is>
      </c>
    </row>
    <row r="246" ht="15.75" customHeight="1" s="95">
      <c r="A246" s="1" t="inlineStr">
        <is>
          <t>James Caan</t>
        </is>
      </c>
      <c r="B246" s="1" t="n">
        <v>2</v>
      </c>
      <c r="C246" s="1" t="n">
        <v>2003</v>
      </c>
      <c r="D246" s="1" t="n">
        <v>2013</v>
      </c>
      <c r="E246" s="4" t="inlineStr">
        <is>
          <t>Cloudy with a Chance of Meatballs 2, Elf</t>
        </is>
      </c>
      <c r="F246" s="1" t="inlineStr">
        <is>
          <t>F0067, F0092</t>
        </is>
      </c>
    </row>
    <row r="247" ht="15.75" customHeight="1" s="95">
      <c r="A247" s="1" t="inlineStr">
        <is>
          <t>Jane Lynch</t>
        </is>
      </c>
      <c r="B247" s="1" t="n">
        <v>5</v>
      </c>
      <c r="C247" s="1" t="n">
        <v>2009</v>
      </c>
      <c r="D247" s="1" t="n">
        <v>2018</v>
      </c>
      <c r="E247" s="4" t="inlineStr">
        <is>
          <t>Rio, Wreck-It Ralph, Ice Age: Dawn of the Dinosaurs, Paul, Ralph Breaks the Internet</t>
        </is>
      </c>
      <c r="F247" s="1" t="inlineStr">
        <is>
          <t>F0265, F0336, F0161, F0245, F0337</t>
        </is>
      </c>
    </row>
    <row r="248" ht="15.75" customHeight="1" s="95">
      <c r="A248" s="1" t="inlineStr">
        <is>
          <t>Javier Bardem</t>
        </is>
      </c>
      <c r="B248" s="1" t="n">
        <v>2</v>
      </c>
      <c r="C248" s="1" t="n">
        <v>2012</v>
      </c>
      <c r="D248" s="1" t="n">
        <v>2025</v>
      </c>
      <c r="E248" s="4" t="inlineStr">
        <is>
          <t>Skyfall, F1</t>
        </is>
      </c>
      <c r="F248" s="1" t="inlineStr">
        <is>
          <t>F0003, F0098</t>
        </is>
      </c>
    </row>
    <row r="249" ht="15.75" customHeight="1" s="95">
      <c r="A249" s="1" t="inlineStr">
        <is>
          <t>Jeff Bridges</t>
        </is>
      </c>
      <c r="B249" s="1" t="n">
        <v>2</v>
      </c>
      <c r="C249" s="1" t="n">
        <v>1998</v>
      </c>
      <c r="D249" s="1" t="n">
        <v>2010</v>
      </c>
      <c r="E249" s="4" t="inlineStr">
        <is>
          <t>The Big Lebowski, True Grit</t>
        </is>
      </c>
      <c r="F249" s="1" t="inlineStr">
        <is>
          <t>F0049, F0325</t>
        </is>
      </c>
    </row>
    <row r="250" ht="15.75" customHeight="1" s="95">
      <c r="A250" s="1" t="inlineStr">
        <is>
          <t>Jemaine Clement</t>
        </is>
      </c>
      <c r="B250" s="1" t="n">
        <v>7</v>
      </c>
      <c r="C250" s="1" t="n">
        <v>2010</v>
      </c>
      <c r="D250" s="1" t="n">
        <v>2017</v>
      </c>
      <c r="E250" s="4" t="inlineStr">
        <is>
          <t>The BFG, Men in Black 3, Despicable Me, The Lego Batman Movie, Muppets Most Wanted, Rio, Rio 2</t>
        </is>
      </c>
      <c r="F250" s="1" t="inlineStr">
        <is>
          <t>F0047, F0219, F0082, F0193, F0232, F0265, F0266</t>
        </is>
      </c>
    </row>
    <row r="251" ht="15.75" customHeight="1" s="95">
      <c r="A251" s="1" t="inlineStr">
        <is>
          <t>Jet Li</t>
        </is>
      </c>
      <c r="B251" s="1" t="n">
        <v>3</v>
      </c>
      <c r="C251" s="1" t="n">
        <v>2010</v>
      </c>
      <c r="D251" s="1" t="n">
        <v>2014</v>
      </c>
      <c r="E251" s="4" t="inlineStr">
        <is>
          <t>The Expendables, The Expendables 2, The Expendables 3</t>
        </is>
      </c>
      <c r="F251" s="1" t="inlineStr">
        <is>
          <t>F0095, F0096, F0097</t>
        </is>
      </c>
    </row>
    <row r="252" ht="15.75" customHeight="1" s="95">
      <c r="A252" s="1" t="inlineStr">
        <is>
          <t>Jim Broadbent</t>
        </is>
      </c>
      <c r="B252" s="1" t="n">
        <v>3</v>
      </c>
      <c r="C252" s="1" t="n">
        <v>2007</v>
      </c>
      <c r="D252" s="1" t="n">
        <v>2014</v>
      </c>
      <c r="E252" s="4" t="inlineStr">
        <is>
          <t>Hot Fuzz, Harry Potter and the Half-Blood Prince, Paddington</t>
        </is>
      </c>
      <c r="F252" s="1" t="inlineStr">
        <is>
          <t>F0071, F0142, F0244</t>
        </is>
      </c>
    </row>
    <row r="253" ht="15.75" customHeight="1" s="95">
      <c r="A253" s="1" t="inlineStr">
        <is>
          <t>Joan Cusack</t>
        </is>
      </c>
      <c r="B253" s="1" t="n">
        <v>3</v>
      </c>
      <c r="C253" s="1" t="n">
        <v>1999</v>
      </c>
      <c r="D253" s="1" t="n">
        <v>2019</v>
      </c>
      <c r="E253" s="4" t="inlineStr">
        <is>
          <t>Toy Story 2, Toy Story 3, Toy Story 4</t>
        </is>
      </c>
      <c r="F253" s="1" t="inlineStr">
        <is>
          <t>F0313, F0314, F0315</t>
        </is>
      </c>
    </row>
    <row r="254" ht="15.75" customHeight="1" s="95">
      <c r="A254" s="1" t="inlineStr">
        <is>
          <t>Joe Thomas</t>
        </is>
      </c>
      <c r="B254" s="1" t="n">
        <v>2</v>
      </c>
      <c r="C254" s="1" t="n">
        <v>2011</v>
      </c>
      <c r="D254" s="1" t="n">
        <v>2014</v>
      </c>
      <c r="E254" s="4" t="inlineStr">
        <is>
          <t>The Inbetweeners Movie, The Inbetweeners 2</t>
        </is>
      </c>
      <c r="F254" s="1" t="inlineStr">
        <is>
          <t>F0163, F0164</t>
        </is>
      </c>
    </row>
    <row r="255" ht="15.75" customHeight="1" s="95">
      <c r="A255" s="1" t="inlineStr">
        <is>
          <t>Joel Edgerton</t>
        </is>
      </c>
      <c r="B255" s="1" t="n">
        <v>5</v>
      </c>
      <c r="C255" s="1" t="n">
        <v>2002</v>
      </c>
      <c r="D255" s="1" t="n">
        <v>2013</v>
      </c>
      <c r="E255" s="4" t="inlineStr">
        <is>
          <t>The Great Gatsby, Warrior, Star Wars: Episode II – Attack of the Clones, Star Wars: Episode III – Revenge of the Sith, Zero Dark Thirty</t>
        </is>
      </c>
      <c r="F255" s="1" t="inlineStr">
        <is>
          <t>F0126, F0333, F0293, F0294, F0349</t>
        </is>
      </c>
    </row>
    <row r="256" ht="15.75" customHeight="1" s="95">
      <c r="A256" s="1" t="inlineStr">
        <is>
          <t>John Cusack</t>
        </is>
      </c>
      <c r="B256" s="1" t="n">
        <v>2</v>
      </c>
      <c r="C256" s="1" t="n">
        <v>1997</v>
      </c>
      <c r="D256" s="1" t="n">
        <v>2009</v>
      </c>
      <c r="E256" s="4" t="inlineStr">
        <is>
          <t>2012, Con Air</t>
        </is>
      </c>
      <c r="F256" s="1" t="inlineStr">
        <is>
          <t>F0006, F0068</t>
        </is>
      </c>
    </row>
    <row r="257" ht="15.75" customHeight="1" s="95">
      <c r="A257" s="1" t="inlineStr">
        <is>
          <t>John Ortiz</t>
        </is>
      </c>
      <c r="B257" s="1" t="n">
        <v>4</v>
      </c>
      <c r="C257" s="1" t="n">
        <v>2009</v>
      </c>
      <c r="D257" s="1" t="n">
        <v>2018</v>
      </c>
      <c r="E257" s="4" t="inlineStr">
        <is>
          <t>Bumblebee, Fast &amp; Furious, Fast &amp; Furious 6, Kong: Skull Island</t>
        </is>
      </c>
      <c r="F257" s="1" t="inlineStr">
        <is>
          <t>F0061, F0104, F0106, F0190</t>
        </is>
      </c>
    </row>
    <row r="258" ht="15.75" customHeight="1" s="95">
      <c r="A258" s="1" t="inlineStr">
        <is>
          <t>Jon Bernthal</t>
        </is>
      </c>
      <c r="B258" s="1" t="n">
        <v>4</v>
      </c>
      <c r="C258" s="1" t="n">
        <v>2009</v>
      </c>
      <c r="D258" s="1" t="n">
        <v>2017</v>
      </c>
      <c r="E258" s="4" t="inlineStr">
        <is>
          <t>The Accountant, Fury, Baby Driver, Night at the Museum: Battle of the Smithsonian</t>
        </is>
      </c>
      <c r="F258" s="1" t="inlineStr">
        <is>
          <t>F0013, F0117, F0032, F0236</t>
        </is>
      </c>
    </row>
    <row r="259" ht="15.75" customHeight="1" s="95">
      <c r="A259" s="1" t="inlineStr">
        <is>
          <t>Jon Hamm</t>
        </is>
      </c>
      <c r="B259" s="1" t="n">
        <v>2</v>
      </c>
      <c r="C259" s="1" t="n">
        <v>2015</v>
      </c>
      <c r="D259" s="1" t="n">
        <v>2017</v>
      </c>
      <c r="E259" s="4" t="inlineStr">
        <is>
          <t>Baby Driver, Minions</t>
        </is>
      </c>
      <c r="F259" s="1" t="inlineStr">
        <is>
          <t>F0032, F0220</t>
        </is>
      </c>
    </row>
    <row r="260" ht="15.75" customHeight="1" s="95">
      <c r="A260" s="1" t="inlineStr">
        <is>
          <t>Jordi Mollà</t>
        </is>
      </c>
      <c r="B260" s="1" t="n">
        <v>2</v>
      </c>
      <c r="C260" s="1" t="n">
        <v>2003</v>
      </c>
      <c r="D260" s="1" t="n">
        <v>2013</v>
      </c>
      <c r="E260" s="4" t="inlineStr">
        <is>
          <t>Bad Boys II, Riddick</t>
        </is>
      </c>
      <c r="F260" s="1" t="inlineStr">
        <is>
          <t>F0037, F0264</t>
        </is>
      </c>
    </row>
    <row r="261" ht="15.75" customHeight="1" s="95">
      <c r="A261" s="1" t="inlineStr">
        <is>
          <t>Josh Hartnett</t>
        </is>
      </c>
      <c r="B261" s="1" t="n">
        <v>3</v>
      </c>
      <c r="C261" s="1" t="n">
        <v>2001</v>
      </c>
      <c r="D261" s="1" t="n">
        <v>2023</v>
      </c>
      <c r="E261" s="4" t="inlineStr">
        <is>
          <t>Black Hawk Down, Pearl Harbor, Oppenheimer</t>
        </is>
      </c>
      <c r="F261" s="1" t="inlineStr">
        <is>
          <t>F0050, F0246, F0242</t>
        </is>
      </c>
    </row>
    <row r="262" ht="15.75" customHeight="1" s="95">
      <c r="A262" s="1" t="inlineStr">
        <is>
          <t>Judd Nelson</t>
        </is>
      </c>
      <c r="B262" s="1" t="n">
        <v>2</v>
      </c>
      <c r="C262" s="1" t="n">
        <v>1985</v>
      </c>
      <c r="D262" s="1" t="n">
        <v>1986</v>
      </c>
      <c r="E262" s="4" t="inlineStr">
        <is>
          <t>The Breakfast Club, The Transformers: The Movie</t>
        </is>
      </c>
      <c r="F262" s="1" t="inlineStr">
        <is>
          <t>F0057, F0322</t>
        </is>
      </c>
    </row>
    <row r="263" ht="15.75" customHeight="1" s="95">
      <c r="A263" s="1" t="inlineStr">
        <is>
          <t>Julia Stiles</t>
        </is>
      </c>
      <c r="B263" s="1" t="n">
        <v>3</v>
      </c>
      <c r="C263" s="1" t="n">
        <v>2002</v>
      </c>
      <c r="D263" s="1" t="n">
        <v>2007</v>
      </c>
      <c r="E263" s="4" t="inlineStr">
        <is>
          <t>The Bourne Supremacy, The Bourne Ultimatum, The Bourne Identity</t>
        </is>
      </c>
      <c r="F263" s="1" t="inlineStr">
        <is>
          <t>F0054, F0055, F0053</t>
        </is>
      </c>
    </row>
    <row r="264" ht="15.75" customHeight="1" s="95">
      <c r="A264" s="1" t="inlineStr">
        <is>
          <t>Julianne Moore</t>
        </is>
      </c>
      <c r="B264" s="1" t="n">
        <v>3</v>
      </c>
      <c r="C264" s="1" t="n">
        <v>1997</v>
      </c>
      <c r="D264" s="1" t="n">
        <v>2014</v>
      </c>
      <c r="E264" s="4" t="inlineStr">
        <is>
          <t>The Big Lebowski, The Lost World: Jurassic Park, The Hunger Games: Mockingjay - Part 1</t>
        </is>
      </c>
      <c r="F264" s="1" t="inlineStr">
        <is>
          <t>F0049, F0177, F0158</t>
        </is>
      </c>
    </row>
    <row r="265" ht="15.75" customHeight="1" s="95">
      <c r="A265" s="1" t="inlineStr">
        <is>
          <t>Justin Timberlake</t>
        </is>
      </c>
      <c r="B265" s="1" t="n">
        <v>2</v>
      </c>
      <c r="C265" s="1" t="n">
        <v>2010</v>
      </c>
      <c r="D265" s="1" t="n">
        <v>2011</v>
      </c>
      <c r="E265" s="4" t="inlineStr">
        <is>
          <t>Bad Teacher, Yogi Bear</t>
        </is>
      </c>
      <c r="F265" s="1" t="inlineStr">
        <is>
          <t>F0039, F0348</t>
        </is>
      </c>
    </row>
    <row r="266" ht="15.75" customHeight="1" s="95">
      <c r="A266" s="1" t="inlineStr">
        <is>
          <t>Kelsey Grammer</t>
        </is>
      </c>
      <c r="B266" s="1" t="n">
        <v>4</v>
      </c>
      <c r="C266" s="1" t="n">
        <v>1999</v>
      </c>
      <c r="D266" s="1" t="n">
        <v>2014</v>
      </c>
      <c r="E266" s="4" t="inlineStr">
        <is>
          <t>Toy Story 2, Transformers: Age of Extinction, The Expendables 3, X-Men: The Last Stand</t>
        </is>
      </c>
      <c r="F266" s="1" t="inlineStr">
        <is>
          <t>F0313, F0319, F0097, F0346</t>
        </is>
      </c>
    </row>
    <row r="267" ht="15.75" customHeight="1" s="95">
      <c r="A267" s="1" t="inlineStr">
        <is>
          <t>Ken Jeong</t>
        </is>
      </c>
      <c r="B267" s="1" t="n">
        <v>7</v>
      </c>
      <c r="C267" s="1" t="n">
        <v>2008</v>
      </c>
      <c r="D267" s="1" t="n">
        <v>2013</v>
      </c>
      <c r="E267" s="4" t="inlineStr">
        <is>
          <t>The Hangover Part II, The Hangover Part III, Despicable Me, Despicable Me 2, The Hangover, Pineapple Express, Transformers: Dark of the Moon</t>
        </is>
      </c>
      <c r="F267" s="1" t="inlineStr">
        <is>
          <t>F0135, F0136, F0082, F0083, F0134, F0247, F0318</t>
        </is>
      </c>
    </row>
    <row r="268" ht="15.75" customHeight="1" s="95">
      <c r="A268" s="1" t="inlineStr">
        <is>
          <t>Kerry Washington</t>
        </is>
      </c>
      <c r="B268" s="1" t="n">
        <v>2</v>
      </c>
      <c r="C268" s="1" t="n">
        <v>2005</v>
      </c>
      <c r="D268" s="1" t="n">
        <v>2012</v>
      </c>
      <c r="E268" s="4" t="inlineStr">
        <is>
          <t>Django Unchained, Mr. &amp; Mrs. Smith</t>
        </is>
      </c>
      <c r="F268" s="1" t="inlineStr">
        <is>
          <t>F0090, F0231</t>
        </is>
      </c>
    </row>
    <row r="269" ht="15.75" customHeight="1" s="95">
      <c r="A269" s="1" t="inlineStr">
        <is>
          <t>Kevin Durand</t>
        </is>
      </c>
      <c r="B269" s="1" t="n">
        <v>4</v>
      </c>
      <c r="C269" s="1" t="n">
        <v>2009</v>
      </c>
      <c r="D269" s="1" t="n">
        <v>2024</v>
      </c>
      <c r="E269" s="4" t="inlineStr">
        <is>
          <t>Kingdom of the Planet of the Apes, X-Men Origins: Wolverine, Noah, Robin Hood</t>
        </is>
      </c>
      <c r="F269" s="1" t="inlineStr">
        <is>
          <t>F0256, F0343, F0238, F0267</t>
        </is>
      </c>
    </row>
    <row r="270" ht="15.75" customHeight="1" s="95">
      <c r="A270" s="1" t="inlineStr">
        <is>
          <t>Kevin James</t>
        </is>
      </c>
      <c r="B270" s="1" t="n">
        <v>2</v>
      </c>
      <c r="C270" s="1" t="n">
        <v>2010</v>
      </c>
      <c r="D270" s="1" t="n">
        <v>2013</v>
      </c>
      <c r="E270" s="4" t="inlineStr">
        <is>
          <t>Grown Ups, Grown Ups 2</t>
        </is>
      </c>
      <c r="F270" s="1" t="inlineStr">
        <is>
          <t>F0131, F0132</t>
        </is>
      </c>
    </row>
    <row r="271" ht="15.75" customHeight="1" s="95">
      <c r="A271" s="1" t="inlineStr">
        <is>
          <t>Kevin Spacey</t>
        </is>
      </c>
      <c r="B271" s="1" t="n">
        <v>2</v>
      </c>
      <c r="C271" s="1" t="n">
        <v>1998</v>
      </c>
      <c r="D271" s="1" t="n">
        <v>2017</v>
      </c>
      <c r="E271" s="4" t="inlineStr">
        <is>
          <t>A Bug's Life, Baby Driver</t>
        </is>
      </c>
      <c r="F271" s="1" t="inlineStr">
        <is>
          <t>F0012, F0032</t>
        </is>
      </c>
    </row>
    <row r="272" ht="15.75" customHeight="1" s="95">
      <c r="A272" s="1" t="inlineStr">
        <is>
          <t>Laura Dern</t>
        </is>
      </c>
      <c r="B272" s="1" t="n">
        <v>4</v>
      </c>
      <c r="C272" s="1" t="n">
        <v>1993</v>
      </c>
      <c r="D272" s="1" t="n">
        <v>2022</v>
      </c>
      <c r="E272" s="4" t="inlineStr">
        <is>
          <t>Jurassic Park, Jurassic World Dominion, Jurassic Park III, Star Wars: The Last Jedi</t>
        </is>
      </c>
      <c r="F272" s="1" t="inlineStr">
        <is>
          <t>F0176, F0181, F0178, F0299</t>
        </is>
      </c>
    </row>
    <row r="273" ht="15.75" customHeight="1" s="95">
      <c r="A273" s="1" t="inlineStr">
        <is>
          <t>Lee Byung-hun</t>
        </is>
      </c>
      <c r="B273" s="1" t="n">
        <v>2</v>
      </c>
      <c r="C273" s="1" t="n">
        <v>2009</v>
      </c>
      <c r="D273" s="1" t="n">
        <v>2016</v>
      </c>
      <c r="E273" s="4" t="inlineStr">
        <is>
          <t>G.I. Joe: The Rise of Cobra, The Magnificent Seven</t>
        </is>
      </c>
      <c r="F273" s="1" t="inlineStr">
        <is>
          <t>F0118, F0207</t>
        </is>
      </c>
    </row>
    <row r="274" ht="15.75" customHeight="1" s="95">
      <c r="A274" s="1" t="inlineStr">
        <is>
          <t>Leland Orser</t>
        </is>
      </c>
      <c r="B274" s="1" t="n">
        <v>3</v>
      </c>
      <c r="C274" s="1" t="n">
        <v>1997</v>
      </c>
      <c r="D274" s="1" t="n">
        <v>2012</v>
      </c>
      <c r="E274" s="4" t="inlineStr">
        <is>
          <t>Taken, Taken 2, Alien Resurrection</t>
        </is>
      </c>
      <c r="F274" s="1" t="inlineStr">
        <is>
          <t>F0306, F0307, F0018</t>
        </is>
      </c>
    </row>
    <row r="275" ht="15.75" customHeight="1" s="95">
      <c r="A275" s="1" t="inlineStr">
        <is>
          <t>Leslie Mann</t>
        </is>
      </c>
      <c r="B275" s="1" t="n">
        <v>2</v>
      </c>
      <c r="C275" s="1" t="n">
        <v>2011</v>
      </c>
      <c r="D275" s="1" t="n">
        <v>2014</v>
      </c>
      <c r="E275" s="4" t="inlineStr">
        <is>
          <t>Rio, Rio 2</t>
        </is>
      </c>
      <c r="F275" s="1" t="inlineStr">
        <is>
          <t>F0265, F0266</t>
        </is>
      </c>
    </row>
    <row r="276" ht="15.75" customHeight="1" s="95">
      <c r="A276" s="1" t="inlineStr">
        <is>
          <t>Liam Hemsworth</t>
        </is>
      </c>
      <c r="B276" s="1" t="n">
        <v>3</v>
      </c>
      <c r="C276" s="1" t="n">
        <v>2012</v>
      </c>
      <c r="D276" s="1" t="n">
        <v>2014</v>
      </c>
      <c r="E276" s="4" t="inlineStr">
        <is>
          <t>The Hunger Games, The Hunger Games: Mockingjay - Part 1, The Expendables 2</t>
        </is>
      </c>
      <c r="F276" s="1" t="inlineStr">
        <is>
          <t>F0157, F0158, F0096</t>
        </is>
      </c>
    </row>
    <row r="277" ht="15.75" customHeight="1" s="95">
      <c r="A277" s="1" t="inlineStr">
        <is>
          <t>Liev Schreiber</t>
        </is>
      </c>
      <c r="B277" s="1" t="n">
        <v>2</v>
      </c>
      <c r="C277" s="1" t="n">
        <v>2009</v>
      </c>
      <c r="D277" s="1" t="n">
        <v>2010</v>
      </c>
      <c r="E277" s="4" t="inlineStr">
        <is>
          <t>Salt, X-Men Origins: Wolverine</t>
        </is>
      </c>
      <c r="F277" s="1" t="inlineStr">
        <is>
          <t>F0273, F0343</t>
        </is>
      </c>
    </row>
    <row r="278" ht="15.75" customHeight="1" s="95">
      <c r="A278" s="1" t="inlineStr">
        <is>
          <t>Lyndsy Fonseca</t>
        </is>
      </c>
      <c r="B278" s="1" t="n">
        <v>2</v>
      </c>
      <c r="C278" s="1" t="n">
        <v>2010</v>
      </c>
      <c r="D278" s="1" t="n">
        <v>2013</v>
      </c>
      <c r="E278" s="4" t="inlineStr">
        <is>
          <t>Kick-Ass, Kick-Ass 2</t>
        </is>
      </c>
      <c r="F278" s="1" t="inlineStr">
        <is>
          <t>F0185, F0186</t>
        </is>
      </c>
    </row>
    <row r="279" ht="15.75" customHeight="1" s="95">
      <c r="A279" s="1" t="inlineStr">
        <is>
          <t>Léa Seydoux</t>
        </is>
      </c>
      <c r="B279" s="1" t="n">
        <v>4</v>
      </c>
      <c r="C279" s="1" t="n">
        <v>2010</v>
      </c>
      <c r="D279" s="1" t="n">
        <v>2021</v>
      </c>
      <c r="E279" s="4" t="inlineStr">
        <is>
          <t>Spectre, No Time to Die, Mission: Impossible - Ghost Protocol, Robin Hood</t>
        </is>
      </c>
      <c r="F279" s="1" t="inlineStr">
        <is>
          <t>F0004, F0005, F0224, F0267</t>
        </is>
      </c>
    </row>
    <row r="280" ht="15.75" customHeight="1" s="95">
      <c r="A280" s="1" t="inlineStr">
        <is>
          <t>Mads Mikkelsen</t>
        </is>
      </c>
      <c r="B280" s="1" t="n">
        <v>2</v>
      </c>
      <c r="C280" s="1" t="n">
        <v>2006</v>
      </c>
      <c r="D280" s="1" t="n">
        <v>2010</v>
      </c>
      <c r="E280" s="4" t="inlineStr">
        <is>
          <t>Casino Royale, Clash of the Titans</t>
        </is>
      </c>
      <c r="F280" s="1" t="inlineStr">
        <is>
          <t>F0001, F0066</t>
        </is>
      </c>
    </row>
    <row r="281" ht="15.75" customHeight="1" s="95">
      <c r="A281" s="1" t="inlineStr">
        <is>
          <t>Maggie Grace</t>
        </is>
      </c>
      <c r="B281" s="1" t="n">
        <v>2</v>
      </c>
      <c r="C281" s="1" t="n">
        <v>2008</v>
      </c>
      <c r="D281" s="1" t="n">
        <v>2012</v>
      </c>
      <c r="E281" s="4" t="inlineStr">
        <is>
          <t>Taken, Taken 2</t>
        </is>
      </c>
      <c r="F281" s="1" t="inlineStr">
        <is>
          <t>F0306, F0307</t>
        </is>
      </c>
    </row>
    <row r="282" ht="15.75" customHeight="1" s="95">
      <c r="A282" s="1" t="inlineStr">
        <is>
          <t>Maggie Gyllenhaal</t>
        </is>
      </c>
      <c r="B282" s="1" t="n">
        <v>2</v>
      </c>
      <c r="C282" s="1" t="n">
        <v>2008</v>
      </c>
      <c r="D282" s="1" t="n">
        <v>2013</v>
      </c>
      <c r="E282" s="4" t="inlineStr">
        <is>
          <t>The Dark Knight, White House Down</t>
        </is>
      </c>
      <c r="F282" s="1" t="inlineStr">
        <is>
          <t>F0044, F0335</t>
        </is>
      </c>
    </row>
    <row r="283" ht="15.75" customHeight="1" s="95">
      <c r="A283" s="1" t="inlineStr">
        <is>
          <t>Margaret Qualley</t>
        </is>
      </c>
      <c r="B283" s="1" t="n">
        <v>2</v>
      </c>
      <c r="C283" s="1" t="n">
        <v>2016</v>
      </c>
      <c r="D283" s="1" t="n">
        <v>2019</v>
      </c>
      <c r="E283" s="4" t="inlineStr">
        <is>
          <t>The Nice Guys, Once Upon a Time… in Hollywood</t>
        </is>
      </c>
      <c r="F283" s="1" t="inlineStr">
        <is>
          <t>F0235, F0241</t>
        </is>
      </c>
    </row>
    <row r="284" ht="15.75" customHeight="1" s="95">
      <c r="A284" s="1" t="inlineStr">
        <is>
          <t>Margot Robbie</t>
        </is>
      </c>
      <c r="B284" s="1" t="n">
        <v>2</v>
      </c>
      <c r="C284" s="1" t="n">
        <v>2019</v>
      </c>
      <c r="D284" s="1" t="n">
        <v>2023</v>
      </c>
      <c r="E284" s="4" t="inlineStr">
        <is>
          <t>Barbie, Once Upon a Time… in Hollywood</t>
        </is>
      </c>
      <c r="F284" s="1" t="inlineStr">
        <is>
          <t>F0041, F0241</t>
        </is>
      </c>
    </row>
    <row r="285" ht="15.75" customHeight="1" s="95">
      <c r="A285" s="1" t="inlineStr">
        <is>
          <t>Martin Lawrence</t>
        </is>
      </c>
      <c r="B285" s="1" t="n">
        <v>2</v>
      </c>
      <c r="C285" s="1" t="n">
        <v>1995</v>
      </c>
      <c r="D285" s="1" t="n">
        <v>2003</v>
      </c>
      <c r="E285" s="4" t="inlineStr">
        <is>
          <t>Bad Boys, Bad Boys II</t>
        </is>
      </c>
      <c r="F285" s="1" t="inlineStr">
        <is>
          <t>F0036, F0037</t>
        </is>
      </c>
    </row>
    <row r="286" ht="15.75" customHeight="1" s="95">
      <c r="A286" s="1" t="inlineStr">
        <is>
          <t>Mary Steenburgen</t>
        </is>
      </c>
      <c r="B286" s="1" t="n">
        <v>2</v>
      </c>
      <c r="C286" s="1" t="n">
        <v>1990</v>
      </c>
      <c r="D286" s="1" t="n">
        <v>2003</v>
      </c>
      <c r="E286" s="4" t="inlineStr">
        <is>
          <t>Back to the Future Part III, Elf</t>
        </is>
      </c>
      <c r="F286" s="1" t="inlineStr">
        <is>
          <t>F0035, F0092</t>
        </is>
      </c>
    </row>
    <row r="287" ht="15.75" customHeight="1" s="95">
      <c r="A287" s="1" t="inlineStr">
        <is>
          <t>Max von Sydow</t>
        </is>
      </c>
      <c r="B287" s="1" t="n">
        <v>3</v>
      </c>
      <c r="C287" s="1" t="n">
        <v>2007</v>
      </c>
      <c r="D287" s="1" t="n">
        <v>2015</v>
      </c>
      <c r="E287" s="4" t="inlineStr">
        <is>
          <t>Robin Hood, Rush Hour 3, Star Wars: The Force Awakens</t>
        </is>
      </c>
      <c r="F287" s="1" t="inlineStr">
        <is>
          <t>F0267, F0271, F0298</t>
        </is>
      </c>
    </row>
    <row r="288" ht="15.75" customHeight="1" s="95">
      <c r="A288" s="1" t="inlineStr">
        <is>
          <t>Melissa McCarthy</t>
        </is>
      </c>
      <c r="B288" s="1" t="n">
        <v>4</v>
      </c>
      <c r="C288" s="1" t="n">
        <v>2011</v>
      </c>
      <c r="D288" s="1" t="n">
        <v>2015</v>
      </c>
      <c r="E288" s="4" t="inlineStr">
        <is>
          <t>The Heat, Spy, Bridesmaids, The Hangover Part III</t>
        </is>
      </c>
      <c r="F288" s="1" t="inlineStr">
        <is>
          <t>F0146, F0290, F0058, F0136</t>
        </is>
      </c>
    </row>
    <row r="289" ht="15.75" customHeight="1" s="95">
      <c r="A289" s="1" t="inlineStr">
        <is>
          <t>Michael Cera</t>
        </is>
      </c>
      <c r="B289" s="1" t="n">
        <v>3</v>
      </c>
      <c r="C289" s="1" t="n">
        <v>2007</v>
      </c>
      <c r="D289" s="1" t="n">
        <v>2023</v>
      </c>
      <c r="E289" s="4" t="inlineStr">
        <is>
          <t>The Lego Batman Movie, Superbad, Barbie</t>
        </is>
      </c>
      <c r="F289" s="1" t="inlineStr">
        <is>
          <t>F0193, F0303, F0041</t>
        </is>
      </c>
    </row>
    <row r="290" ht="15.75" customHeight="1" s="95">
      <c r="A290" s="1" t="inlineStr">
        <is>
          <t>Millie Bobby Brown</t>
        </is>
      </c>
      <c r="B290" s="1" t="n">
        <v>2</v>
      </c>
      <c r="C290" s="1" t="n">
        <v>2019</v>
      </c>
      <c r="D290" s="1" t="n">
        <v>2021</v>
      </c>
      <c r="E290" s="4" t="inlineStr">
        <is>
          <t>Godzilla: King of the Monsters, Godzilla vs. Kong</t>
        </is>
      </c>
      <c r="F290" s="1" t="inlineStr">
        <is>
          <t>F0122, F0123</t>
        </is>
      </c>
    </row>
    <row r="291" ht="15.75" customHeight="1" s="95">
      <c r="A291" s="1" t="inlineStr">
        <is>
          <t>Miranda Otto</t>
        </is>
      </c>
      <c r="B291" s="1" t="n">
        <v>5</v>
      </c>
      <c r="C291" s="1" t="n">
        <v>2002</v>
      </c>
      <c r="D291" s="1" t="n">
        <v>2014</v>
      </c>
      <c r="E291" s="4" t="inlineStr">
        <is>
          <t>I, Frankenstein, War of the Worlds, I, Frankenstein, The Lord of the Rings: The Two Towers, The Lord of the Rings: The Return of the King</t>
        </is>
      </c>
      <c r="F291" s="1" t="inlineStr">
        <is>
          <t>F0159, F0332, F0204, F0205</t>
        </is>
      </c>
    </row>
    <row r="292" ht="15.75" customHeight="1" s="95">
      <c r="A292" s="1" t="inlineStr">
        <is>
          <t>Morena Baccarin</t>
        </is>
      </c>
      <c r="B292" s="1" t="n">
        <v>4</v>
      </c>
      <c r="C292" s="1" t="n">
        <v>2015</v>
      </c>
      <c r="D292" s="1" t="n">
        <v>2024</v>
      </c>
      <c r="E292" s="4" t="inlineStr">
        <is>
          <t>Deadpool, Deadpool 2, Deadpool &amp; Wolverine, Spy</t>
        </is>
      </c>
      <c r="F292" s="1" t="inlineStr">
        <is>
          <t>F0076, F0077, F0078, F0290</t>
        </is>
      </c>
    </row>
    <row r="293" ht="15.75" customHeight="1" s="95">
      <c r="A293" s="1" t="inlineStr">
        <is>
          <t>Naomie Harris</t>
        </is>
      </c>
      <c r="B293" s="1" t="n">
        <v>5</v>
      </c>
      <c r="C293" s="1" t="n">
        <v>2010</v>
      </c>
      <c r="D293" s="1" t="n">
        <v>2021</v>
      </c>
      <c r="E293" s="4" t="inlineStr">
        <is>
          <t>Skyfall, Sex &amp; Drugs &amp; Rock &amp; Roll, Spectre, No Time to Die, Southpaw</t>
        </is>
      </c>
      <c r="F293" s="1" t="inlineStr">
        <is>
          <t>F0003, F0277, F0004, F0005, F0286</t>
        </is>
      </c>
    </row>
    <row r="294" ht="15.75" customHeight="1" s="95">
      <c r="A294" s="1" t="inlineStr">
        <is>
          <t>Nicholas Hoult</t>
        </is>
      </c>
      <c r="B294" s="1" t="n">
        <v>5</v>
      </c>
      <c r="C294" s="1" t="n">
        <v>2010</v>
      </c>
      <c r="D294" s="1" t="n">
        <v>2025</v>
      </c>
      <c r="E294" s="4" t="inlineStr">
        <is>
          <t>Superman, X-Men: Apocalypse, Clash of the Titans, X-Men: First Class, X-Men: Days of Future Past</t>
        </is>
      </c>
      <c r="F294" s="1" t="inlineStr">
        <is>
          <t>F0304, F0342, F0066, F0340, F0341</t>
        </is>
      </c>
    </row>
    <row r="295" ht="15.75" customHeight="1" s="95">
      <c r="A295" s="1" t="inlineStr">
        <is>
          <t>Nick Swardson</t>
        </is>
      </c>
      <c r="B295" s="1" t="n">
        <v>3</v>
      </c>
      <c r="C295" s="1" t="n">
        <v>2011</v>
      </c>
      <c r="D295" s="1" t="n">
        <v>2013</v>
      </c>
      <c r="E295" s="4" t="inlineStr">
        <is>
          <t>30 Minutes or Less, Just Go with It, Grown Ups 2</t>
        </is>
      </c>
      <c r="F295" s="1" t="inlineStr">
        <is>
          <t>F0009, F0183, F0132</t>
        </is>
      </c>
    </row>
    <row r="296" ht="15.75" customHeight="1" s="95">
      <c r="A296" s="1" t="inlineStr">
        <is>
          <t>Noomi Rapace</t>
        </is>
      </c>
      <c r="B296" s="1" t="n">
        <v>2</v>
      </c>
      <c r="C296" s="1" t="n">
        <v>2011</v>
      </c>
      <c r="D296" s="1" t="n">
        <v>2012</v>
      </c>
      <c r="E296" s="4" t="inlineStr">
        <is>
          <t>Prometheus, Sherlock Holmes: A Game of Shadows</t>
        </is>
      </c>
      <c r="F296" s="1" t="inlineStr">
        <is>
          <t>F0259, F0279</t>
        </is>
      </c>
    </row>
    <row r="297" ht="15.75" customHeight="1" s="95">
      <c r="A297" s="1" t="inlineStr">
        <is>
          <t>Olga Kurylenko</t>
        </is>
      </c>
      <c r="B297" s="1" t="n">
        <v>2</v>
      </c>
      <c r="C297" s="1" t="n">
        <v>2008</v>
      </c>
      <c r="D297" s="1" t="n">
        <v>2013</v>
      </c>
      <c r="E297" s="4" t="inlineStr">
        <is>
          <t>Quantum of Solace, Oblivion</t>
        </is>
      </c>
      <c r="F297" s="1" t="inlineStr">
        <is>
          <t>F0002, F0239</t>
        </is>
      </c>
    </row>
    <row r="298" ht="15.75" customHeight="1" s="95">
      <c r="A298" s="1" t="inlineStr">
        <is>
          <t>Olivia Wilde</t>
        </is>
      </c>
      <c r="B298" s="1" t="n">
        <v>2</v>
      </c>
      <c r="C298" s="1" t="n">
        <v>2011</v>
      </c>
      <c r="D298" s="1" t="n">
        <v>2013</v>
      </c>
      <c r="E298" s="4" t="inlineStr">
        <is>
          <t>Cowboys &amp; Aliens, Rush</t>
        </is>
      </c>
      <c r="F298" s="1" t="inlineStr">
        <is>
          <t>F0073, F0270</t>
        </is>
      </c>
    </row>
    <row r="299" ht="15.75" customHeight="1" s="95">
      <c r="A299" s="1" t="inlineStr">
        <is>
          <t>Orlando Bloom</t>
        </is>
      </c>
      <c r="B299" s="1" t="n">
        <v>6</v>
      </c>
      <c r="C299" s="1" t="n">
        <v>2001</v>
      </c>
      <c r="D299" s="1" t="n">
        <v>2014</v>
      </c>
      <c r="E299" s="4" t="inlineStr">
        <is>
          <t>The Hobbit: The Desolation of Smaug, The Hobbit: The Battle of the Five Armies, Black Hawk Down, The Lord of the Rings: The Fellowship of the Ring, The Lord of the Rings: The Two Towers, The Lord of the Rings: The Return of the King</t>
        </is>
      </c>
      <c r="F299" s="1" t="inlineStr">
        <is>
          <t>F0151, F0152, F0050, F0203, F0204, F0205</t>
        </is>
      </c>
    </row>
    <row r="300" ht="15.75" customHeight="1" s="95">
      <c r="A300" s="1" t="inlineStr">
        <is>
          <t>Penélope Cruz</t>
        </is>
      </c>
      <c r="B300" s="1" t="n">
        <v>2</v>
      </c>
      <c r="C300" s="1" t="n">
        <v>2011</v>
      </c>
      <c r="D300" s="1" t="n">
        <v>2016</v>
      </c>
      <c r="E300" s="4" t="inlineStr">
        <is>
          <t>Grimsby, Pirates of the Caribbean: On Stranger Tides</t>
        </is>
      </c>
      <c r="F300" s="1" t="inlineStr">
        <is>
          <t>F0130, F0249</t>
        </is>
      </c>
    </row>
    <row r="301" ht="15.75" customHeight="1" s="95">
      <c r="A301" s="1" t="inlineStr">
        <is>
          <t>Peter Stormare</t>
        </is>
      </c>
      <c r="B301" s="1" t="n">
        <v>4</v>
      </c>
      <c r="C301" s="1" t="n">
        <v>1997</v>
      </c>
      <c r="D301" s="1" t="n">
        <v>2014</v>
      </c>
      <c r="E301" s="4" t="inlineStr">
        <is>
          <t>22 Jump Street, Bad Boys II, The Big Lebowski, The Lost World: Jurassic Park</t>
        </is>
      </c>
      <c r="F301" s="1" t="inlineStr">
        <is>
          <t>F0008, F0037, F0049, F0177</t>
        </is>
      </c>
    </row>
    <row r="302" ht="15.75" customHeight="1" s="95">
      <c r="A302" s="1" t="inlineStr">
        <is>
          <t>Pierfrancesco Favino</t>
        </is>
      </c>
      <c r="B302" s="1" t="n">
        <v>2</v>
      </c>
      <c r="C302" s="1" t="n">
        <v>2009</v>
      </c>
      <c r="D302" s="1" t="n">
        <v>2013</v>
      </c>
      <c r="E302" s="4" t="inlineStr">
        <is>
          <t>Angels &amp; Demons, Rush</t>
        </is>
      </c>
      <c r="F302" s="1" t="inlineStr">
        <is>
          <t>F0023, F0270</t>
        </is>
      </c>
    </row>
    <row r="303" ht="15.75" customHeight="1" s="95">
      <c r="A303" s="1" t="inlineStr">
        <is>
          <t>Queen Latifah</t>
        </is>
      </c>
      <c r="B303" s="1" t="n">
        <v>2</v>
      </c>
      <c r="C303" s="1" t="n">
        <v>2006</v>
      </c>
      <c r="D303" s="1" t="n">
        <v>2009</v>
      </c>
      <c r="E303" s="4" t="inlineStr">
        <is>
          <t>Ice Age: The Meltdown, Ice Age: Dawn of the Dinosaurs</t>
        </is>
      </c>
      <c r="F303" s="1" t="inlineStr">
        <is>
          <t>F0160, F0161</t>
        </is>
      </c>
    </row>
    <row r="304" ht="15.75" customHeight="1" s="95">
      <c r="A304" s="1" t="inlineStr">
        <is>
          <t>Rafe Spall</t>
        </is>
      </c>
      <c r="B304" s="1" t="n">
        <v>5</v>
      </c>
      <c r="C304" s="1" t="n">
        <v>2004</v>
      </c>
      <c r="D304" s="1" t="n">
        <v>2018</v>
      </c>
      <c r="E304" s="4" t="inlineStr">
        <is>
          <t>Hot Fuzz, Jurassic World: Fallen Kingdom, The BFG, Shaun of the Dead, Prometheus</t>
        </is>
      </c>
      <c r="F304" s="1" t="inlineStr">
        <is>
          <t>F0071, F0180, F0047, F0070, F0259</t>
        </is>
      </c>
    </row>
    <row r="305" ht="15.75" customHeight="1" s="95">
      <c r="A305" s="1" t="inlineStr">
        <is>
          <t>Ray Romano</t>
        </is>
      </c>
      <c r="B305" s="1" t="n">
        <v>2</v>
      </c>
      <c r="C305" s="1" t="n">
        <v>2006</v>
      </c>
      <c r="D305" s="1" t="n">
        <v>2009</v>
      </c>
      <c r="E305" s="4" t="inlineStr">
        <is>
          <t>Ice Age: The Meltdown, Ice Age: Dawn of the Dinosaurs</t>
        </is>
      </c>
      <c r="F305" s="1" t="inlineStr">
        <is>
          <t>F0160, F0161</t>
        </is>
      </c>
    </row>
    <row r="306" ht="15.75" customHeight="1" s="95">
      <c r="A306" s="1" t="inlineStr">
        <is>
          <t>Richard Attenborough</t>
        </is>
      </c>
      <c r="B306" s="1" t="n">
        <v>2</v>
      </c>
      <c r="C306" s="1" t="n">
        <v>1993</v>
      </c>
      <c r="D306" s="1" t="n">
        <v>1997</v>
      </c>
      <c r="E306" s="4" t="inlineStr">
        <is>
          <t>Jurassic Park, The Lost World: Jurassic Park</t>
        </is>
      </c>
      <c r="F306" s="1" t="inlineStr">
        <is>
          <t>F0176, F0177</t>
        </is>
      </c>
    </row>
    <row r="307" ht="15.75" customHeight="1" s="95">
      <c r="A307" s="1" t="inlineStr">
        <is>
          <t>Rick Yune</t>
        </is>
      </c>
      <c r="B307" s="1" t="n">
        <v>2</v>
      </c>
      <c r="C307" s="1" t="n">
        <v>2001</v>
      </c>
      <c r="D307" s="1" t="n">
        <v>2013</v>
      </c>
      <c r="E307" s="4" t="inlineStr">
        <is>
          <t>The Fast and the Furious, Olympus Has Fallen</t>
        </is>
      </c>
      <c r="F307" s="1" t="inlineStr">
        <is>
          <t>F0101, F0240</t>
        </is>
      </c>
    </row>
    <row r="308" ht="15.75" customHeight="1" s="95">
      <c r="A308" s="1" t="inlineStr">
        <is>
          <t>Ron Perlman</t>
        </is>
      </c>
      <c r="B308" s="1" t="n">
        <v>4</v>
      </c>
      <c r="C308" s="1" t="n">
        <v>1997</v>
      </c>
      <c r="D308" s="1" t="n">
        <v>2023</v>
      </c>
      <c r="E308" s="4" t="inlineStr">
        <is>
          <t>Alien Resurrection, Transformers: Rise of the Beasts, Fantastic Beasts and Where to Find Them, Pacific Rim</t>
        </is>
      </c>
      <c r="F308" s="1" t="inlineStr">
        <is>
          <t>F0018, F0321, F0100, F0243</t>
        </is>
      </c>
    </row>
    <row r="309" ht="15.75" customHeight="1" s="95">
      <c r="A309" s="1" t="inlineStr">
        <is>
          <t>Russell Brand</t>
        </is>
      </c>
      <c r="B309" s="1" t="n">
        <v>3</v>
      </c>
      <c r="C309" s="1" t="n">
        <v>2008</v>
      </c>
      <c r="D309" s="1" t="n">
        <v>2013</v>
      </c>
      <c r="E309" s="4" t="inlineStr">
        <is>
          <t>Despicable Me 2, Forgetting Sarah Marshall, Despicable Me</t>
        </is>
      </c>
      <c r="F309" s="1" t="inlineStr">
        <is>
          <t>F0083, F0115, F0082</t>
        </is>
      </c>
    </row>
    <row r="310" ht="15.75" customHeight="1" s="95">
      <c r="A310" s="1" t="inlineStr">
        <is>
          <t>Salma Hayek Pinault</t>
        </is>
      </c>
      <c r="B310" s="1" t="n">
        <v>5</v>
      </c>
      <c r="C310" s="1" t="n">
        <v>1999</v>
      </c>
      <c r="D310" s="1" t="n">
        <v>2017</v>
      </c>
      <c r="E310" s="4" t="inlineStr">
        <is>
          <t>Grown Ups 2, The Hitman's Bodyguard, Dogma, Grown Ups, Muppets Most Wanted</t>
        </is>
      </c>
      <c r="F310" s="1" t="inlineStr">
        <is>
          <t>F0132, F0149, F0351, F0131, F0232</t>
        </is>
      </c>
    </row>
    <row r="311" ht="15.75" customHeight="1" s="95">
      <c r="A311" s="1" t="inlineStr">
        <is>
          <t>Sam Rockwell</t>
        </is>
      </c>
      <c r="B311" s="1" t="n">
        <v>2</v>
      </c>
      <c r="C311" s="1" t="n">
        <v>2011</v>
      </c>
      <c r="D311" s="1" t="n">
        <v>2019</v>
      </c>
      <c r="E311" s="4" t="inlineStr">
        <is>
          <t>Cowboys &amp; Aliens, Jojo Rabbit</t>
        </is>
      </c>
      <c r="F311" s="1" t="inlineStr">
        <is>
          <t>F0073, F0170</t>
        </is>
      </c>
    </row>
    <row r="312" ht="15.75" customHeight="1" s="95">
      <c r="A312" s="1" t="inlineStr">
        <is>
          <t>Sandra Bullock</t>
        </is>
      </c>
      <c r="B312" s="1" t="n">
        <v>2</v>
      </c>
      <c r="C312" s="1" t="n">
        <v>2013</v>
      </c>
      <c r="D312" s="1" t="n">
        <v>2015</v>
      </c>
      <c r="E312" s="4" t="inlineStr">
        <is>
          <t>The Heat, Minions</t>
        </is>
      </c>
      <c r="F312" s="1" t="inlineStr">
        <is>
          <t>F0146, F0220</t>
        </is>
      </c>
    </row>
    <row r="313" ht="15.75" customHeight="1" s="95">
      <c r="A313" s="1" t="inlineStr">
        <is>
          <t>Sarah Silverman</t>
        </is>
      </c>
      <c r="B313" s="1" t="n">
        <v>3</v>
      </c>
      <c r="C313" s="1" t="n">
        <v>2012</v>
      </c>
      <c r="D313" s="1" t="n">
        <v>2018</v>
      </c>
      <c r="E313" s="4" t="inlineStr">
        <is>
          <t>Wreck-It Ralph, Ralph Breaks the Internet, A Million Ways to Die in the West</t>
        </is>
      </c>
      <c r="F313" s="1" t="inlineStr">
        <is>
          <t>F0336, F0337, F0021</t>
        </is>
      </c>
    </row>
    <row r="314" ht="15.75" customHeight="1" s="95">
      <c r="A314" s="1" t="inlineStr">
        <is>
          <t>Seann William Scott</t>
        </is>
      </c>
      <c r="B314" s="1" t="n">
        <v>3</v>
      </c>
      <c r="C314" s="1" t="n">
        <v>2006</v>
      </c>
      <c r="D314" s="1" t="n">
        <v>2010</v>
      </c>
      <c r="E314" s="4" t="inlineStr">
        <is>
          <t>Cop Out, Ice Age: The Meltdown, Ice Age: Dawn of the Dinosaurs</t>
        </is>
      </c>
      <c r="F314" s="1" t="inlineStr">
        <is>
          <t>F0069, F0160, F0161</t>
        </is>
      </c>
    </row>
    <row r="315" ht="15.75" customHeight="1" s="95">
      <c r="A315" s="1" t="inlineStr">
        <is>
          <t>Shane Brolly</t>
        </is>
      </c>
      <c r="B315" s="1" t="n">
        <v>2</v>
      </c>
      <c r="C315" s="1" t="n">
        <v>2006</v>
      </c>
      <c r="D315" s="1" t="n">
        <v>2009</v>
      </c>
      <c r="E315" s="4" t="inlineStr">
        <is>
          <t>Underworld: Evolution, Underworld: Rise of the Lycans</t>
        </is>
      </c>
      <c r="F315" s="1" t="inlineStr">
        <is>
          <t>F0326, F0327</t>
        </is>
      </c>
    </row>
    <row r="316" ht="15.75" customHeight="1" s="95">
      <c r="A316" s="1" t="inlineStr">
        <is>
          <t>Simon Bird</t>
        </is>
      </c>
      <c r="B316" s="1" t="n">
        <v>2</v>
      </c>
      <c r="C316" s="1" t="n">
        <v>2011</v>
      </c>
      <c r="D316" s="1" t="n">
        <v>2014</v>
      </c>
      <c r="E316" s="4" t="inlineStr">
        <is>
          <t>The Inbetweeners Movie, The Inbetweeners 2</t>
        </is>
      </c>
      <c r="F316" s="1" t="inlineStr">
        <is>
          <t>F0163, F0164</t>
        </is>
      </c>
    </row>
    <row r="317" ht="15.75" customHeight="1" s="95">
      <c r="A317" s="1" t="inlineStr">
        <is>
          <t>Simon McBurney</t>
        </is>
      </c>
      <c r="B317" s="1" t="n">
        <v>5</v>
      </c>
      <c r="C317" s="1" t="n">
        <v>2008</v>
      </c>
      <c r="D317" s="1" t="n">
        <v>2015</v>
      </c>
      <c r="E317" s="4" t="inlineStr">
        <is>
          <t>Body of Lies, The Theory of Everything, Harry Potter and the Deathly Hallows: Part 1, Mission: Impossible - Rogue Nation, Robin Hood</t>
        </is>
      </c>
      <c r="F317" s="1" t="inlineStr">
        <is>
          <t>F0051, F0311, F0143, F0225, F0267</t>
        </is>
      </c>
    </row>
    <row r="318" ht="15.75" customHeight="1" s="95">
      <c r="A318" s="1" t="inlineStr">
        <is>
          <t>Steve Coogan</t>
        </is>
      </c>
      <c r="B318" s="1" t="n">
        <v>7</v>
      </c>
      <c r="C318" s="1" t="n">
        <v>2008</v>
      </c>
      <c r="D318" s="1" t="n">
        <v>2017</v>
      </c>
      <c r="E318" s="4" t="inlineStr">
        <is>
          <t>Alan Partridge: Alpha Papa, Minions, Despicable Me 2, Despicable Me 3, Night at the Museum: Battle of the Smithsonian, The Secret Life of Pets, Tropic Thunder</t>
        </is>
      </c>
      <c r="F318" s="1" t="inlineStr">
        <is>
          <t>F0014, F0220, F0083, F0084, F0236, F0274, F0324</t>
        </is>
      </c>
    </row>
    <row r="319" ht="15.75" customHeight="1" s="95">
      <c r="A319" s="1" t="inlineStr">
        <is>
          <t>Taraji P. Henson</t>
        </is>
      </c>
      <c r="B319" s="1" t="n">
        <v>2</v>
      </c>
      <c r="C319" s="1" t="n">
        <v>2010</v>
      </c>
      <c r="D319" s="1" t="n">
        <v>2018</v>
      </c>
      <c r="E319" s="4" t="inlineStr">
        <is>
          <t>The Karate Kid, Ralph Breaks the Internet</t>
        </is>
      </c>
      <c r="F319" s="1" t="inlineStr">
        <is>
          <t>F0184, F0337</t>
        </is>
      </c>
    </row>
    <row r="320" ht="15.75" customHeight="1" s="95">
      <c r="A320" s="1" t="inlineStr">
        <is>
          <t>Teresa Palmer</t>
        </is>
      </c>
      <c r="B320" s="1" t="n">
        <v>2</v>
      </c>
      <c r="C320" s="1" t="n">
        <v>2016</v>
      </c>
      <c r="D320" s="1" t="n">
        <v>2024</v>
      </c>
      <c r="E320" s="4" t="inlineStr">
        <is>
          <t>The Fall Guy, Hacksaw Ridge</t>
        </is>
      </c>
      <c r="F320" s="1" t="inlineStr">
        <is>
          <t>F0099, F0133</t>
        </is>
      </c>
    </row>
    <row r="321" ht="15.75" customHeight="1" s="95">
      <c r="A321" s="1" t="inlineStr">
        <is>
          <t>Theo James</t>
        </is>
      </c>
      <c r="B321" s="1" t="n">
        <v>3</v>
      </c>
      <c r="C321" s="1" t="n">
        <v>2011</v>
      </c>
      <c r="D321" s="1" t="n">
        <v>2014</v>
      </c>
      <c r="E321" s="4" t="inlineStr">
        <is>
          <t>Divergent, Underworld: Awakening, The Inbetweeners Movie</t>
        </is>
      </c>
      <c r="F321" s="1" t="inlineStr">
        <is>
          <t>F0089, F0328, F0163</t>
        </is>
      </c>
    </row>
    <row r="322" ht="15.75" customHeight="1" s="95">
      <c r="A322" s="1" t="inlineStr">
        <is>
          <t>Thomas F. Wilson</t>
        </is>
      </c>
      <c r="B322" s="1" t="n">
        <v>5</v>
      </c>
      <c r="C322" s="1" t="n">
        <v>1985</v>
      </c>
      <c r="D322" s="1" t="n">
        <v>2013</v>
      </c>
      <c r="E322" s="4" t="inlineStr">
        <is>
          <t>Back to the Future Part II, Back to the Future Part III, Back to the Future, The Heat, Rio</t>
        </is>
      </c>
      <c r="F322" s="1" t="inlineStr">
        <is>
          <t>F0034, F0035, F0033, F0146, F0265</t>
        </is>
      </c>
    </row>
    <row r="323" ht="15.75" customHeight="1" s="95">
      <c r="A323" s="1" t="inlineStr">
        <is>
          <t>Tim Robbins</t>
        </is>
      </c>
      <c r="B323" s="1" t="n">
        <v>2</v>
      </c>
      <c r="C323" s="1" t="n">
        <v>2005</v>
      </c>
      <c r="D323" s="1" t="n">
        <v>2011</v>
      </c>
      <c r="E323" s="4" t="inlineStr">
        <is>
          <t>Green Lantern, War of the Worlds</t>
        </is>
      </c>
      <c r="F323" s="1" t="inlineStr">
        <is>
          <t>F0128, F0332</t>
        </is>
      </c>
    </row>
    <row r="324" ht="15.75" customHeight="1" s="95">
      <c r="A324" s="1" t="inlineStr">
        <is>
          <t>Toby Jones</t>
        </is>
      </c>
      <c r="B324" s="1" t="n">
        <v>7</v>
      </c>
      <c r="C324" s="1" t="n">
        <v>2002</v>
      </c>
      <c r="D324" s="1" t="n">
        <v>2018</v>
      </c>
      <c r="E324" s="4" t="inlineStr">
        <is>
          <t>Harry Potter and the Chamber of Secrets, Harry Potter and the Deathly Hallows: Part 1, The Hunger Games, Jurassic World: Fallen Kingdom, Muppets Most Wanted, Sex &amp; Drugs &amp; Rock &amp; Roll, Snow White and the Huntsman</t>
        </is>
      </c>
      <c r="F324" s="1" t="inlineStr">
        <is>
          <t>F0138, F0143, F0157, F0180, F0232, F0277, F0284</t>
        </is>
      </c>
    </row>
    <row r="325" ht="15.75" customHeight="1" s="95">
      <c r="A325" s="1" t="inlineStr">
        <is>
          <t>Tommy Lee Jones</t>
        </is>
      </c>
      <c r="B325" s="1" t="n">
        <v>2</v>
      </c>
      <c r="C325" s="1" t="n">
        <v>1997</v>
      </c>
      <c r="D325" s="1" t="n">
        <v>2012</v>
      </c>
      <c r="E325" s="4" t="inlineStr">
        <is>
          <t>Men in Black, Men in Black 3</t>
        </is>
      </c>
      <c r="F325" s="1" t="inlineStr">
        <is>
          <t>F0218, F0219</t>
        </is>
      </c>
    </row>
    <row r="326" ht="15.75" customHeight="1" s="95">
      <c r="A326" s="1" t="inlineStr">
        <is>
          <t>Téa Leoni</t>
        </is>
      </c>
      <c r="B326" s="1" t="n">
        <v>2</v>
      </c>
      <c r="C326" s="1" t="n">
        <v>1995</v>
      </c>
      <c r="D326" s="1" t="n">
        <v>2001</v>
      </c>
      <c r="E326" s="4" t="inlineStr">
        <is>
          <t>Bad Boys, Jurassic Park III</t>
        </is>
      </c>
      <c r="F326" s="1" t="inlineStr">
        <is>
          <t>F0036, F0178</t>
        </is>
      </c>
    </row>
    <row r="327" ht="15.75" customHeight="1" s="95">
      <c r="A327" s="1" t="inlineStr">
        <is>
          <t>Wallace Shawn</t>
        </is>
      </c>
      <c r="B327" s="1" t="n">
        <v>4</v>
      </c>
      <c r="C327" s="1" t="n">
        <v>1995</v>
      </c>
      <c r="D327" s="1" t="n">
        <v>2019</v>
      </c>
      <c r="E327" s="4" t="inlineStr">
        <is>
          <t>Toy Story, Toy Story 3, Toy Story 2, Toy Story 4</t>
        </is>
      </c>
      <c r="F327" s="1" t="inlineStr">
        <is>
          <t>F0312, F0314, F0313, F0315</t>
        </is>
      </c>
    </row>
    <row r="328" ht="15.75" customHeight="1" s="95">
      <c r="A328" s="1" t="inlineStr">
        <is>
          <t>will.i.am</t>
        </is>
      </c>
      <c r="B328" s="1" t="n">
        <v>3</v>
      </c>
      <c r="C328" s="1" t="n">
        <v>2009</v>
      </c>
      <c r="D328" s="1" t="n">
        <v>2014</v>
      </c>
      <c r="E328" s="4" t="inlineStr">
        <is>
          <t>Rio, Rio 2, X-Men Origins: Wolverine</t>
        </is>
      </c>
      <c r="F328" s="1" t="inlineStr">
        <is>
          <t>F0265, F0266, F0343</t>
        </is>
      </c>
    </row>
    <row r="329" ht="15.75" customHeight="1" s="95">
      <c r="A329" s="1" t="inlineStr">
        <is>
          <t>William H. Macy</t>
        </is>
      </c>
      <c r="B329" s="1" t="n">
        <v>2</v>
      </c>
      <c r="C329" s="1" t="n">
        <v>2001</v>
      </c>
      <c r="D329" s="1" t="n">
        <v>2024</v>
      </c>
      <c r="E329" s="4" t="inlineStr">
        <is>
          <t>Jurassic Park III, Kingdom of the Planet of the Apes</t>
        </is>
      </c>
      <c r="F329" s="1" t="inlineStr">
        <is>
          <t>F0178, F0256</t>
        </is>
      </c>
    </row>
    <row r="330" ht="15.75" customHeight="1" s="95">
      <c r="A330" s="1" t="inlineStr">
        <is>
          <t>Zac Efron</t>
        </is>
      </c>
      <c r="B330" s="1" t="n">
        <v>2</v>
      </c>
      <c r="C330" s="1" t="n">
        <v>2016</v>
      </c>
      <c r="D330" s="1" t="n">
        <v>2017</v>
      </c>
      <c r="E330" s="4" t="inlineStr">
        <is>
          <t>Dirty Grandpa, The Greatest Showman</t>
        </is>
      </c>
      <c r="F330" s="1" t="inlineStr">
        <is>
          <t>F0087, F0127</t>
        </is>
      </c>
    </row>
    <row r="331" ht="15.75" customHeight="1" s="95">
      <c r="A331" s="1" t="inlineStr">
        <is>
          <t>Zoë Kravitz</t>
        </is>
      </c>
      <c r="B331" s="1" t="n">
        <v>5</v>
      </c>
      <c r="C331" s="1" t="n">
        <v>2011</v>
      </c>
      <c r="D331" s="1" t="n">
        <v>2022</v>
      </c>
      <c r="E331" s="4" t="inlineStr">
        <is>
          <t>The Batman, Divergent, Fantastic Beasts and Where to Find Them, The Lego Batman Movie, X-Men: First Class</t>
        </is>
      </c>
      <c r="F331" s="1" t="inlineStr">
        <is>
          <t>F0042, F0089, F0100, F0193, F0340</t>
        </is>
      </c>
    </row>
    <row r="332" ht="15.75" customHeight="1" s="95">
      <c r="A332" s="1" t="inlineStr">
        <is>
          <t>50 Cent</t>
        </is>
      </c>
      <c r="B332" s="1" t="n">
        <v>1</v>
      </c>
      <c r="C332" s="1" t="n">
        <v>2015</v>
      </c>
      <c r="D332" s="1" t="n">
        <v>2015</v>
      </c>
      <c r="E332" s="4" t="inlineStr">
        <is>
          <t>Southpaw</t>
        </is>
      </c>
      <c r="F332" s="1" t="inlineStr">
        <is>
          <t>F0286</t>
        </is>
      </c>
    </row>
    <row r="333" ht="15.75" customHeight="1" s="95">
      <c r="A333" s="1" t="inlineStr">
        <is>
          <t>Aaron Paul</t>
        </is>
      </c>
      <c r="B333" s="1" t="n">
        <v>2</v>
      </c>
      <c r="C333" s="1" t="n">
        <v>2006</v>
      </c>
      <c r="D333" s="1" t="n">
        <v>2014</v>
      </c>
      <c r="E333" s="4" t="inlineStr">
        <is>
          <t>Need for Speed, Mission: Impossible III</t>
        </is>
      </c>
      <c r="F333" s="1" t="inlineStr">
        <is>
          <t>F0234, F0223</t>
        </is>
      </c>
    </row>
    <row r="334" ht="15.75" customHeight="1" s="95">
      <c r="A334" s="1" t="inlineStr">
        <is>
          <t>Adam Beach</t>
        </is>
      </c>
      <c r="B334" s="1" t="n">
        <v>1</v>
      </c>
      <c r="C334" s="1" t="n">
        <v>2011</v>
      </c>
      <c r="D334" s="1" t="n">
        <v>2011</v>
      </c>
      <c r="E334" s="4" t="inlineStr">
        <is>
          <t>Cowboys &amp; Aliens</t>
        </is>
      </c>
      <c r="F334" s="1" t="inlineStr">
        <is>
          <t>F0073</t>
        </is>
      </c>
    </row>
    <row r="335" ht="15.75" customHeight="1" s="95">
      <c r="A335" s="1" t="inlineStr">
        <is>
          <t>Adam Deacon</t>
        </is>
      </c>
      <c r="B335" s="1" t="n">
        <v>1</v>
      </c>
      <c r="C335" s="1" t="n">
        <v>2011</v>
      </c>
      <c r="D335" s="1" t="n">
        <v>2011</v>
      </c>
      <c r="E335" s="4" t="inlineStr">
        <is>
          <t>Anuvahood</t>
        </is>
      </c>
      <c r="F335" s="1" t="inlineStr">
        <is>
          <t>F0024</t>
        </is>
      </c>
    </row>
    <row r="336" ht="15.75" customHeight="1" s="95">
      <c r="A336" s="1" t="inlineStr">
        <is>
          <t>Adewale Akinnuoye-Agbaje</t>
        </is>
      </c>
      <c r="B336" s="1" t="n">
        <v>2</v>
      </c>
      <c r="C336" s="1" t="n">
        <v>2002</v>
      </c>
      <c r="D336" s="1" t="n">
        <v>2009</v>
      </c>
      <c r="E336" s="4" t="inlineStr">
        <is>
          <t>G.I. Joe: The Rise of Cobra, The Bourne Identity</t>
        </is>
      </c>
      <c r="F336" s="1" t="inlineStr">
        <is>
          <t>F0118, F0053</t>
        </is>
      </c>
    </row>
    <row r="337" ht="15.75" customHeight="1" s="95">
      <c r="A337" s="1" t="inlineStr">
        <is>
          <t>Adrien Brody</t>
        </is>
      </c>
      <c r="B337" s="1" t="n">
        <v>1</v>
      </c>
      <c r="C337" s="1" t="n">
        <v>2005</v>
      </c>
      <c r="D337" s="1" t="n">
        <v>2005</v>
      </c>
      <c r="E337" s="4" t="inlineStr">
        <is>
          <t>King Kong</t>
        </is>
      </c>
      <c r="F337" s="1" t="inlineStr">
        <is>
          <t>F0188</t>
        </is>
      </c>
    </row>
    <row r="338" ht="15.75" customHeight="1" s="95">
      <c r="A338" s="1" t="inlineStr">
        <is>
          <t>Agata Buzek</t>
        </is>
      </c>
      <c r="B338" s="1" t="n">
        <v>1</v>
      </c>
      <c r="C338" s="1" t="n">
        <v>2013</v>
      </c>
      <c r="D338" s="1" t="n">
        <v>2013</v>
      </c>
      <c r="E338" s="4" t="inlineStr">
        <is>
          <t>Hummingbird</t>
        </is>
      </c>
      <c r="F338" s="1" t="inlineStr">
        <is>
          <t>F0156</t>
        </is>
      </c>
    </row>
    <row r="339" ht="15.75" customHeight="1" s="95">
      <c r="A339" s="1" t="inlineStr">
        <is>
          <t>Ahney Her</t>
        </is>
      </c>
      <c r="B339" s="1" t="n">
        <v>1</v>
      </c>
      <c r="C339" s="1" t="n">
        <v>2008</v>
      </c>
      <c r="D339" s="1" t="n">
        <v>2008</v>
      </c>
      <c r="E339" s="4" t="inlineStr">
        <is>
          <t>Gran Torino</t>
        </is>
      </c>
      <c r="F339" s="1" t="inlineStr">
        <is>
          <t>F0125</t>
        </is>
      </c>
    </row>
    <row r="340" ht="15.75" customHeight="1" s="95">
      <c r="A340" s="1" t="inlineStr">
        <is>
          <t>Aidan Quinn</t>
        </is>
      </c>
      <c r="B340" s="1" t="n">
        <v>2</v>
      </c>
      <c r="C340" s="1" t="n">
        <v>2010</v>
      </c>
      <c r="D340" s="1" t="n">
        <v>2011</v>
      </c>
      <c r="E340" s="4" t="inlineStr">
        <is>
          <t>Unknown, Jonah Hex</t>
        </is>
      </c>
      <c r="F340" s="1" t="inlineStr">
        <is>
          <t>F0329, F0173</t>
        </is>
      </c>
    </row>
    <row r="341" ht="15.75" customHeight="1" s="95">
      <c r="A341" s="1" t="inlineStr">
        <is>
          <t>Aksel Hennie</t>
        </is>
      </c>
      <c r="B341" s="1" t="n">
        <v>2</v>
      </c>
      <c r="C341" s="1" t="n">
        <v>2014</v>
      </c>
      <c r="D341" s="1" t="n">
        <v>2015</v>
      </c>
      <c r="E341" s="4" t="inlineStr">
        <is>
          <t>Hercules, The Martian</t>
        </is>
      </c>
      <c r="F341" s="1" t="inlineStr">
        <is>
          <t>F0147, F0213</t>
        </is>
      </c>
    </row>
    <row r="342" ht="15.75" customHeight="1" s="95">
      <c r="A342" s="1" t="inlineStr">
        <is>
          <t>Alain Prost</t>
        </is>
      </c>
      <c r="B342" s="1" t="n">
        <v>1</v>
      </c>
      <c r="C342" s="1" t="n">
        <v>2010</v>
      </c>
      <c r="D342" s="1" t="n">
        <v>2010</v>
      </c>
      <c r="E342" s="4" t="inlineStr">
        <is>
          <t>Senna</t>
        </is>
      </c>
      <c r="F342" s="1" t="inlineStr">
        <is>
          <t>F0275</t>
        </is>
      </c>
    </row>
    <row r="343" ht="15.75" customHeight="1" s="95">
      <c r="A343" s="1" t="inlineStr">
        <is>
          <t>Alan Arkin</t>
        </is>
      </c>
      <c r="B343" s="1" t="n">
        <v>2</v>
      </c>
      <c r="C343" s="1" t="n">
        <v>2006</v>
      </c>
      <c r="D343" s="1" t="n">
        <v>2012</v>
      </c>
      <c r="E343" s="4" t="inlineStr">
        <is>
          <t>Argo, Firewall</t>
        </is>
      </c>
      <c r="F343" s="1" t="inlineStr">
        <is>
          <t>F0025, F0114</t>
        </is>
      </c>
    </row>
    <row r="344" ht="15.75" customHeight="1" s="95">
      <c r="A344" s="1" t="inlineStr">
        <is>
          <t>Alan Ford</t>
        </is>
      </c>
      <c r="B344" s="1" t="n">
        <v>1</v>
      </c>
      <c r="C344" s="1" t="n">
        <v>2012</v>
      </c>
      <c r="D344" s="1" t="n">
        <v>2012</v>
      </c>
      <c r="E344" s="4" t="inlineStr">
        <is>
          <t>The Sweeney</t>
        </is>
      </c>
      <c r="F344" s="1" t="inlineStr">
        <is>
          <t>F0305</t>
        </is>
      </c>
    </row>
    <row r="345" ht="15.75" customHeight="1" s="95">
      <c r="A345" s="1" t="inlineStr">
        <is>
          <t>Alan Rickman</t>
        </is>
      </c>
      <c r="B345" s="1" t="n">
        <v>9</v>
      </c>
      <c r="C345" s="1" t="n">
        <v>1999</v>
      </c>
      <c r="D345" s="1" t="n">
        <v>2011</v>
      </c>
      <c r="E345" s="4" t="inlineStr">
        <is>
          <t>Harry Potter and the Deathly Hallows: Part 2, Harry Potter and the Philosopher's Stone, Harry Potter and the Chamber of Secrets, Harry Potter and the Prisoner of Azkaban, Harry Potter and the Goblet of Fire, Harry Potter and the Order of the Phoenix, Harry Potter and the Half-Blood Prince, Harry Potter and the Deathly Hallows: Part 1, Dogma</t>
        </is>
      </c>
      <c r="F345" s="1" t="inlineStr">
        <is>
          <t>F0144, F0137, F0138, F0139, F0140, F0141, F0142, F0143, F0351</t>
        </is>
      </c>
    </row>
    <row r="346" ht="15.75" customHeight="1" s="95">
      <c r="A346" s="1" t="inlineStr">
        <is>
          <t>Alan Ritchson</t>
        </is>
      </c>
      <c r="B346" s="1" t="n">
        <v>2</v>
      </c>
      <c r="C346" s="1" t="n">
        <v>2014</v>
      </c>
      <c r="D346" s="1" t="n">
        <v>2023</v>
      </c>
      <c r="E346" s="4" t="inlineStr">
        <is>
          <t>Teenage Mutant Ninja Turtles, Fast X</t>
        </is>
      </c>
      <c r="F346" s="1" t="inlineStr">
        <is>
          <t>F0309, F0110</t>
        </is>
      </c>
    </row>
    <row r="347" ht="15.75" customHeight="1" s="95">
      <c r="A347" s="1" t="inlineStr">
        <is>
          <t>Alan Tudyk</t>
        </is>
      </c>
      <c r="B347" s="1" t="n">
        <v>7</v>
      </c>
      <c r="C347" s="1" t="n">
        <v>2011</v>
      </c>
      <c r="D347" s="1" t="n">
        <v>2025</v>
      </c>
      <c r="E347" s="4" t="inlineStr">
        <is>
          <t>Wreck-It Ralph, Big Hero 6, Deadpool 2, Frozen, Superman, Transformers: Dark of the Moon, Ralph Breaks the Internet</t>
        </is>
      </c>
      <c r="F347" s="1" t="inlineStr">
        <is>
          <t>F0336, F0048, F0077, F0116, F0304, F0318, F0337</t>
        </is>
      </c>
    </row>
    <row r="348" ht="15.75" customHeight="1" s="95">
      <c r="A348" s="1" t="inlineStr">
        <is>
          <t>Albert Brooks</t>
        </is>
      </c>
      <c r="B348" s="1" t="n">
        <v>2</v>
      </c>
      <c r="C348" s="1" t="n">
        <v>2016</v>
      </c>
      <c r="D348" s="1" t="n">
        <v>2016</v>
      </c>
      <c r="E348" s="4" t="inlineStr">
        <is>
          <t>Finding Dory, The Secret Life of Pets</t>
        </is>
      </c>
      <c r="F348" s="1" t="inlineStr">
        <is>
          <t>F0113, F0274</t>
        </is>
      </c>
    </row>
    <row r="349" ht="15.75" customHeight="1" s="95">
      <c r="A349" s="1" t="inlineStr">
        <is>
          <t>Aldis Hodge</t>
        </is>
      </c>
      <c r="B349" s="1" t="n">
        <v>1</v>
      </c>
      <c r="C349" s="1" t="n">
        <v>2015</v>
      </c>
      <c r="D349" s="1" t="n">
        <v>2015</v>
      </c>
      <c r="E349" s="4" t="inlineStr">
        <is>
          <t>Straight Outta Compton</t>
        </is>
      </c>
      <c r="F349" s="1" t="inlineStr">
        <is>
          <t>F0301</t>
        </is>
      </c>
    </row>
    <row r="350" ht="15.75" customHeight="1" s="95">
      <c r="A350" s="1" t="inlineStr">
        <is>
          <t>Alec Guinness</t>
        </is>
      </c>
      <c r="B350" s="1" t="n">
        <v>3</v>
      </c>
      <c r="C350" s="1" t="n">
        <v>1977</v>
      </c>
      <c r="D350" s="1" t="n">
        <v>1983</v>
      </c>
      <c r="E350" s="4" t="inlineStr">
        <is>
          <t>Star Wars: Episode IV – A New Hope, Star Wars: Episode V – The Empire Strikes Back, Star Wars: Episode VI – Return of the Jedi</t>
        </is>
      </c>
      <c r="F350" s="1" t="inlineStr">
        <is>
          <t>F0295, F0296, F0297</t>
        </is>
      </c>
    </row>
    <row r="351" ht="15.75" customHeight="1" s="95">
      <c r="A351" s="1" t="inlineStr">
        <is>
          <t>Alessandro Nivola</t>
        </is>
      </c>
      <c r="B351" s="1" t="n">
        <v>2</v>
      </c>
      <c r="C351" s="1" t="n">
        <v>2001</v>
      </c>
      <c r="D351" s="1" t="n">
        <v>2013</v>
      </c>
      <c r="E351" s="4" t="inlineStr">
        <is>
          <t>Jurassic Park III, American Hustle</t>
        </is>
      </c>
      <c r="F351" s="1" t="inlineStr">
        <is>
          <t>F0178, F0020</t>
        </is>
      </c>
    </row>
    <row r="352" ht="15.75" customHeight="1" s="95">
      <c r="A352" s="1" t="inlineStr">
        <is>
          <t>Alex Esmail</t>
        </is>
      </c>
      <c r="B352" s="1" t="n">
        <v>1</v>
      </c>
      <c r="C352" s="1" t="n">
        <v>2011</v>
      </c>
      <c r="D352" s="1" t="n">
        <v>2011</v>
      </c>
      <c r="E352" s="4" t="inlineStr">
        <is>
          <t>Attack the Block</t>
        </is>
      </c>
      <c r="F352" s="1" t="inlineStr">
        <is>
          <t>F0027</t>
        </is>
      </c>
    </row>
    <row r="353" ht="15.75" customHeight="1" s="95">
      <c r="A353" s="1" t="inlineStr">
        <is>
          <t>Alex Pettyfer</t>
        </is>
      </c>
      <c r="B353" s="1" t="n">
        <v>1</v>
      </c>
      <c r="C353" s="1" t="n">
        <v>2012</v>
      </c>
      <c r="D353" s="1" t="n">
        <v>2012</v>
      </c>
      <c r="E353" s="4" t="inlineStr">
        <is>
          <t>Magic Mike</t>
        </is>
      </c>
      <c r="F353" s="1" t="inlineStr">
        <is>
          <t>F0206</t>
        </is>
      </c>
    </row>
    <row r="354" ht="15.75" customHeight="1" s="95">
      <c r="A354" s="1" t="inlineStr">
        <is>
          <t>Alexa Davalos</t>
        </is>
      </c>
      <c r="B354" s="1" t="n">
        <v>1</v>
      </c>
      <c r="C354" s="1" t="n">
        <v>2010</v>
      </c>
      <c r="D354" s="1" t="n">
        <v>2010</v>
      </c>
      <c r="E354" s="4" t="inlineStr">
        <is>
          <t>Clash of the Titans</t>
        </is>
      </c>
      <c r="F354" s="1" t="inlineStr">
        <is>
          <t>F0066</t>
        </is>
      </c>
    </row>
    <row r="355" ht="15.75" customHeight="1" s="95">
      <c r="A355" s="1" t="inlineStr">
        <is>
          <t>Alexander Siddig</t>
        </is>
      </c>
      <c r="B355" s="1" t="n">
        <v>2</v>
      </c>
      <c r="C355" s="1" t="n">
        <v>2002</v>
      </c>
      <c r="D355" s="1" t="n">
        <v>2010</v>
      </c>
      <c r="E355" s="4" t="inlineStr">
        <is>
          <t>Reign of Fire, Clash of the Titans</t>
        </is>
      </c>
      <c r="F355" s="1" t="inlineStr">
        <is>
          <t>F0263, F0066</t>
        </is>
      </c>
    </row>
    <row r="356" ht="15.75" customHeight="1" s="95">
      <c r="A356" s="1" t="inlineStr">
        <is>
          <t>Alexander Skarsgård</t>
        </is>
      </c>
      <c r="B356" s="1" t="n">
        <v>1</v>
      </c>
      <c r="C356" s="1" t="n">
        <v>2021</v>
      </c>
      <c r="D356" s="1" t="n">
        <v>2021</v>
      </c>
      <c r="E356" s="4" t="inlineStr">
        <is>
          <t>Godzilla vs. Kong</t>
        </is>
      </c>
      <c r="F356" s="1" t="inlineStr">
        <is>
          <t>F0123</t>
        </is>
      </c>
    </row>
    <row r="357" ht="15.75" customHeight="1" s="95">
      <c r="A357" s="1" t="inlineStr">
        <is>
          <t>Alexandra Maria Lara</t>
        </is>
      </c>
      <c r="B357" s="1" t="n">
        <v>1</v>
      </c>
      <c r="C357" s="1" t="n">
        <v>2013</v>
      </c>
      <c r="D357" s="1" t="n">
        <v>2013</v>
      </c>
      <c r="E357" s="4" t="inlineStr">
        <is>
          <t>Rush</t>
        </is>
      </c>
      <c r="F357" s="1" t="inlineStr">
        <is>
          <t>F0270</t>
        </is>
      </c>
    </row>
    <row r="358" ht="15.75" customHeight="1" s="95">
      <c r="A358" s="1" t="inlineStr">
        <is>
          <t>Alfonso Freeman</t>
        </is>
      </c>
      <c r="B358" s="1" t="n">
        <v>2</v>
      </c>
      <c r="C358" s="1" t="n">
        <v>1995</v>
      </c>
      <c r="D358" s="1" t="n">
        <v>2007</v>
      </c>
      <c r="E358" s="4" t="inlineStr">
        <is>
          <t>The Bucket List, Se7en</t>
        </is>
      </c>
      <c r="F358" s="1" t="inlineStr">
        <is>
          <t>F0060, F0276</t>
        </is>
      </c>
    </row>
    <row r="359" ht="15.75" customHeight="1" s="95">
      <c r="A359" s="1" t="inlineStr">
        <is>
          <t>Alfred Molina</t>
        </is>
      </c>
      <c r="B359" s="1" t="n">
        <v>3</v>
      </c>
      <c r="C359" s="1" t="n">
        <v>2004</v>
      </c>
      <c r="D359" s="1" t="n">
        <v>2018</v>
      </c>
      <c r="E359" s="4" t="inlineStr">
        <is>
          <t>Spider-Man 2, Monsters University, Ralph Breaks the Internet</t>
        </is>
      </c>
      <c r="F359" s="1" t="inlineStr">
        <is>
          <t>F0288, F0230, F0337</t>
        </is>
      </c>
    </row>
    <row r="360" ht="15.75" customHeight="1" s="95">
      <c r="A360" s="1" t="inlineStr">
        <is>
          <t>Ali Suliman</t>
        </is>
      </c>
      <c r="B360" s="1" t="n">
        <v>2</v>
      </c>
      <c r="C360" s="1" t="n">
        <v>2008</v>
      </c>
      <c r="D360" s="1" t="n">
        <v>2013</v>
      </c>
      <c r="E360" s="4" t="inlineStr">
        <is>
          <t>Body of Lies, Lone Survivor</t>
        </is>
      </c>
      <c r="F360" s="1" t="inlineStr">
        <is>
          <t>F0051, F0202</t>
        </is>
      </c>
    </row>
    <row r="361" ht="15.75" customHeight="1" s="95">
      <c r="A361" s="1" t="inlineStr">
        <is>
          <t>Alison Sudol</t>
        </is>
      </c>
      <c r="B361" s="1" t="n">
        <v>1</v>
      </c>
      <c r="C361" s="1" t="n">
        <v>2016</v>
      </c>
      <c r="D361" s="1" t="n">
        <v>2016</v>
      </c>
      <c r="E361" s="4" t="inlineStr">
        <is>
          <t>Fantastic Beasts and Where to Find Them</t>
        </is>
      </c>
      <c r="F361" s="1" t="inlineStr">
        <is>
          <t>F0100</t>
        </is>
      </c>
    </row>
    <row r="362" ht="15.75" customHeight="1" s="95">
      <c r="A362" s="1" t="inlineStr">
        <is>
          <t>Allen Leech</t>
        </is>
      </c>
      <c r="B362" s="1" t="n">
        <v>3</v>
      </c>
      <c r="C362" s="1" t="n">
        <v>2012</v>
      </c>
      <c r="D362" s="1" t="n">
        <v>2018</v>
      </c>
      <c r="E362" s="4" t="inlineStr">
        <is>
          <t>The Imitation Game, Bohemian Rhapsody, The Sweeney</t>
        </is>
      </c>
      <c r="F362" s="1" t="inlineStr">
        <is>
          <t>F0162, F0052, F0305</t>
        </is>
      </c>
    </row>
    <row r="363" ht="15.75" customHeight="1" s="95">
      <c r="A363" s="1" t="inlineStr">
        <is>
          <t>Allison Janney</t>
        </is>
      </c>
      <c r="B363" s="1" t="n">
        <v>3</v>
      </c>
      <c r="C363" s="1" t="n">
        <v>2015</v>
      </c>
      <c r="D363" s="1" t="n">
        <v>2016</v>
      </c>
      <c r="E363" s="4" t="inlineStr">
        <is>
          <t>Minions, Finding Dory, Spy</t>
        </is>
      </c>
      <c r="F363" s="1" t="inlineStr">
        <is>
          <t>F0220, F0113, F0290</t>
        </is>
      </c>
    </row>
    <row r="364" ht="15.75" customHeight="1" s="95">
      <c r="A364" s="1" t="inlineStr">
        <is>
          <t>Ally Sheedy</t>
        </is>
      </c>
      <c r="B364" s="1" t="n">
        <v>2</v>
      </c>
      <c r="C364" s="1" t="n">
        <v>1985</v>
      </c>
      <c r="D364" s="1" t="n">
        <v>2016</v>
      </c>
      <c r="E364" s="4" t="inlineStr">
        <is>
          <t>The Breakfast Club, X-Men: Apocalypse</t>
        </is>
      </c>
      <c r="F364" s="1" t="inlineStr">
        <is>
          <t>F0057, F0342</t>
        </is>
      </c>
    </row>
    <row r="365" ht="15.75" customHeight="1" s="95">
      <c r="A365" s="1" t="inlineStr">
        <is>
          <t>Amanda Peet</t>
        </is>
      </c>
      <c r="B365" s="1" t="n">
        <v>1</v>
      </c>
      <c r="C365" s="1" t="n">
        <v>2009</v>
      </c>
      <c r="D365" s="1" t="n">
        <v>2009</v>
      </c>
      <c r="E365" s="4" t="inlineStr">
        <is>
          <t>2012</t>
        </is>
      </c>
      <c r="F365" s="1" t="inlineStr">
        <is>
          <t>F0006</t>
        </is>
      </c>
    </row>
    <row r="366" ht="15.75" customHeight="1" s="95">
      <c r="A366" s="1" t="inlineStr">
        <is>
          <t>Amber Stevens West</t>
        </is>
      </c>
      <c r="B366" s="1" t="n">
        <v>2</v>
      </c>
      <c r="C366" s="1" t="n">
        <v>2006</v>
      </c>
      <c r="D366" s="1" t="n">
        <v>2014</v>
      </c>
      <c r="E366" s="4" t="inlineStr">
        <is>
          <t>22 Jump Street, The Fast and the Furious: Tokyo Drift</t>
        </is>
      </c>
      <c r="F366" s="1" t="inlineStr">
        <is>
          <t>F0008, F0103</t>
        </is>
      </c>
    </row>
    <row r="367" ht="15.75" customHeight="1" s="95">
      <c r="A367" s="1" t="inlineStr">
        <is>
          <t>Aml Ameen</t>
        </is>
      </c>
      <c r="B367" s="1" t="n">
        <v>1</v>
      </c>
      <c r="C367" s="1" t="n">
        <v>2014</v>
      </c>
      <c r="D367" s="1" t="n">
        <v>2014</v>
      </c>
      <c r="E367" s="4" t="inlineStr">
        <is>
          <t>The Maze Runner</t>
        </is>
      </c>
      <c r="F367" s="1" t="inlineStr">
        <is>
          <t>F0217</t>
        </is>
      </c>
    </row>
    <row r="368" ht="15.75" customHeight="1" s="95">
      <c r="A368" s="1" t="inlineStr">
        <is>
          <t>Amy Poehler</t>
        </is>
      </c>
      <c r="B368" s="1" t="n">
        <v>1</v>
      </c>
      <c r="C368" s="1" t="n">
        <v>2015</v>
      </c>
      <c r="D368" s="1" t="n">
        <v>2015</v>
      </c>
      <c r="E368" s="4" t="inlineStr">
        <is>
          <t>Inside Out</t>
        </is>
      </c>
      <c r="F368" s="1" t="inlineStr">
        <is>
          <t>F0167</t>
        </is>
      </c>
    </row>
    <row r="369" ht="15.75" customHeight="1" s="95">
      <c r="A369" s="1" t="inlineStr">
        <is>
          <t>Amy Ryan</t>
        </is>
      </c>
      <c r="B369" s="1" t="n">
        <v>2</v>
      </c>
      <c r="C369" s="1" t="n">
        <v>2005</v>
      </c>
      <c r="D369" s="1" t="n">
        <v>2010</v>
      </c>
      <c r="E369" s="4" t="inlineStr">
        <is>
          <t>Green Zone, War of the Worlds</t>
        </is>
      </c>
      <c r="F369" s="1" t="inlineStr">
        <is>
          <t>F0129, F0332</t>
        </is>
      </c>
    </row>
    <row r="370" ht="15.75" customHeight="1" s="95">
      <c r="A370" s="1" t="inlineStr">
        <is>
          <t>Ana de la Reguera</t>
        </is>
      </c>
      <c r="B370" s="1" t="n">
        <v>2</v>
      </c>
      <c r="C370" s="1" t="n">
        <v>2010</v>
      </c>
      <c r="D370" s="1" t="n">
        <v>2011</v>
      </c>
      <c r="E370" s="4" t="inlineStr">
        <is>
          <t>Cop Out, Cowboys &amp; Aliens</t>
        </is>
      </c>
      <c r="F370" s="1" t="inlineStr">
        <is>
          <t>F0069, F0073</t>
        </is>
      </c>
    </row>
    <row r="371" ht="15.75" customHeight="1" s="95">
      <c r="A371" s="1" t="inlineStr">
        <is>
          <t>Andre Ward</t>
        </is>
      </c>
      <c r="B371" s="1" t="n">
        <v>1</v>
      </c>
      <c r="C371" s="1" t="n">
        <v>2015</v>
      </c>
      <c r="D371" s="1" t="n">
        <v>2015</v>
      </c>
      <c r="E371" s="4" t="inlineStr">
        <is>
          <t>Creed</t>
        </is>
      </c>
      <c r="F371" s="1" t="inlineStr">
        <is>
          <t>F0074</t>
        </is>
      </c>
    </row>
    <row r="372" ht="15.75" customHeight="1" s="95">
      <c r="A372" s="1" t="inlineStr">
        <is>
          <t>Andrea Riseborough</t>
        </is>
      </c>
      <c r="B372" s="1" t="n">
        <v>1</v>
      </c>
      <c r="C372" s="1" t="n">
        <v>2013</v>
      </c>
      <c r="D372" s="1" t="n">
        <v>2013</v>
      </c>
      <c r="E372" s="4" t="inlineStr">
        <is>
          <t>Oblivion</t>
        </is>
      </c>
      <c r="F372" s="1" t="inlineStr">
        <is>
          <t>F0239</t>
        </is>
      </c>
    </row>
    <row r="373" ht="15.75" customHeight="1" s="95">
      <c r="A373" s="1" t="inlineStr">
        <is>
          <t>Andy Samberg</t>
        </is>
      </c>
      <c r="B373" s="1" t="n">
        <v>1</v>
      </c>
      <c r="C373" s="1" t="n">
        <v>2013</v>
      </c>
      <c r="D373" s="1" t="n">
        <v>2013</v>
      </c>
      <c r="E373" s="4" t="inlineStr">
        <is>
          <t>Cloudy with a Chance of Meatballs 2</t>
        </is>
      </c>
      <c r="F373" s="1" t="inlineStr">
        <is>
          <t>F0067</t>
        </is>
      </c>
    </row>
    <row r="374" ht="15.75" customHeight="1" s="95">
      <c r="A374" s="1" t="inlineStr">
        <is>
          <t>Angourie Rice</t>
        </is>
      </c>
      <c r="B374" s="1" t="n">
        <v>1</v>
      </c>
      <c r="C374" s="1" t="n">
        <v>2016</v>
      </c>
      <c r="D374" s="1" t="n">
        <v>2016</v>
      </c>
      <c r="E374" s="4" t="inlineStr">
        <is>
          <t>The Nice Guys</t>
        </is>
      </c>
      <c r="F374" s="1" t="inlineStr">
        <is>
          <t>F0235</t>
        </is>
      </c>
    </row>
    <row r="375" ht="15.75" customHeight="1" s="95">
      <c r="A375" s="1" t="inlineStr">
        <is>
          <t>Anil Kapoor</t>
        </is>
      </c>
      <c r="B375" s="1" t="n">
        <v>2</v>
      </c>
      <c r="C375" s="1" t="n">
        <v>2008</v>
      </c>
      <c r="D375" s="1" t="n">
        <v>2011</v>
      </c>
      <c r="E375" s="4" t="inlineStr">
        <is>
          <t>Slumdog Millionaire, Mission: Impossible - Ghost Protocol</t>
        </is>
      </c>
      <c r="F375" s="1" t="inlineStr">
        <is>
          <t>F0281, F0224</t>
        </is>
      </c>
    </row>
    <row r="376" ht="15.75" customHeight="1" s="95">
      <c r="A376" s="1" t="inlineStr">
        <is>
          <t>Anita Briem</t>
        </is>
      </c>
      <c r="B376" s="1" t="n">
        <v>1</v>
      </c>
      <c r="C376" s="1" t="n">
        <v>2008</v>
      </c>
      <c r="D376" s="1" t="n">
        <v>2008</v>
      </c>
      <c r="E376" s="4" t="inlineStr">
        <is>
          <t>Journey to the Center of the Earth</t>
        </is>
      </c>
      <c r="F376" s="1" t="inlineStr">
        <is>
          <t>F0174</t>
        </is>
      </c>
    </row>
    <row r="377" ht="15.75" customHeight="1" s="95">
      <c r="A377" s="1" t="inlineStr">
        <is>
          <t>Anna Camp</t>
        </is>
      </c>
      <c r="B377" s="1" t="n">
        <v>3</v>
      </c>
      <c r="C377" s="1" t="n">
        <v>2012</v>
      </c>
      <c r="D377" s="1" t="n">
        <v>2017</v>
      </c>
      <c r="E377" s="4" t="inlineStr">
        <is>
          <t>Pitch Perfect, Pitch Perfect 2, Pitch Perfect 3</t>
        </is>
      </c>
      <c r="F377" s="1" t="inlineStr">
        <is>
          <t>F0250, F0251, F0252</t>
        </is>
      </c>
    </row>
    <row r="378" ht="15.75" customHeight="1" s="95">
      <c r="A378" s="1" t="inlineStr">
        <is>
          <t>Anna Maxwell Martin</t>
        </is>
      </c>
      <c r="B378" s="1" t="n">
        <v>1</v>
      </c>
      <c r="C378" s="1" t="n">
        <v>2013</v>
      </c>
      <c r="D378" s="1" t="n">
        <v>2013</v>
      </c>
      <c r="E378" s="4" t="inlineStr">
        <is>
          <t>Alan Partridge: Alpha Papa</t>
        </is>
      </c>
      <c r="F378" s="1" t="inlineStr">
        <is>
          <t>F0014</t>
        </is>
      </c>
    </row>
    <row r="379" ht="15.75" customHeight="1" s="95">
      <c r="A379" s="1" t="inlineStr">
        <is>
          <t>Annie Potts</t>
        </is>
      </c>
      <c r="B379" s="1" t="n">
        <v>3</v>
      </c>
      <c r="C379" s="1" t="n">
        <v>1995</v>
      </c>
      <c r="D379" s="1" t="n">
        <v>2019</v>
      </c>
      <c r="E379" s="4" t="inlineStr">
        <is>
          <t>Toy Story 4, Toy Story, Toy Story 2</t>
        </is>
      </c>
      <c r="F379" s="1" t="inlineStr">
        <is>
          <t>F0315, F0312, F0313</t>
        </is>
      </c>
    </row>
    <row r="380" ht="15.75" customHeight="1" s="95">
      <c r="A380" s="1" t="inlineStr">
        <is>
          <t>Ansel Elgort</t>
        </is>
      </c>
      <c r="B380" s="1" t="n">
        <v>2</v>
      </c>
      <c r="C380" s="1" t="n">
        <v>2014</v>
      </c>
      <c r="D380" s="1" t="n">
        <v>2017</v>
      </c>
      <c r="E380" s="4" t="inlineStr">
        <is>
          <t>Baby Driver, Divergent</t>
        </is>
      </c>
      <c r="F380" s="1" t="inlineStr">
        <is>
          <t>F0032, F0089</t>
        </is>
      </c>
    </row>
    <row r="381" ht="15.75" customHeight="1" s="95">
      <c r="A381" s="1" t="inlineStr">
        <is>
          <t>Anthony Carrigan</t>
        </is>
      </c>
      <c r="B381" s="1" t="n">
        <v>1</v>
      </c>
      <c r="C381" s="1" t="n">
        <v>2025</v>
      </c>
      <c r="D381" s="1" t="n">
        <v>2025</v>
      </c>
      <c r="E381" s="4" t="inlineStr">
        <is>
          <t>Superman</t>
        </is>
      </c>
      <c r="F381" s="1" t="inlineStr">
        <is>
          <t>F0304</t>
        </is>
      </c>
    </row>
    <row r="382" ht="15.75" customHeight="1" s="95">
      <c r="A382" s="1" t="inlineStr">
        <is>
          <t>Anthony Edwards</t>
        </is>
      </c>
      <c r="B382" s="1" t="n">
        <v>1</v>
      </c>
      <c r="C382" s="1" t="n">
        <v>2007</v>
      </c>
      <c r="D382" s="1" t="n">
        <v>2007</v>
      </c>
      <c r="E382" s="4" t="inlineStr">
        <is>
          <t>Zodiac</t>
        </is>
      </c>
      <c r="F382" s="1" t="inlineStr">
        <is>
          <t>F0350</t>
        </is>
      </c>
    </row>
    <row r="383" ht="15.75" customHeight="1" s="95">
      <c r="A383" s="1" t="inlineStr">
        <is>
          <t>Anthony Mackie</t>
        </is>
      </c>
      <c r="B383" s="1" t="n">
        <v>3</v>
      </c>
      <c r="C383" s="1" t="n">
        <v>2012</v>
      </c>
      <c r="D383" s="1" t="n">
        <v>2019</v>
      </c>
      <c r="E383" s="4" t="inlineStr">
        <is>
          <t>Man on a Ledge, Avengers: Infinity War, Avengers: Endgame</t>
        </is>
      </c>
      <c r="F383" s="1" t="inlineStr">
        <is>
          <t>F0210, F0030, F0031</t>
        </is>
      </c>
    </row>
    <row r="384" ht="15.75" customHeight="1" s="95">
      <c r="A384" s="1" t="inlineStr">
        <is>
          <t>Anthony Michael Hall</t>
        </is>
      </c>
      <c r="B384" s="1" t="n">
        <v>2</v>
      </c>
      <c r="C384" s="1" t="n">
        <v>1985</v>
      </c>
      <c r="D384" s="1" t="n">
        <v>2008</v>
      </c>
      <c r="E384" s="4" t="inlineStr">
        <is>
          <t>The Breakfast Club, The Dark Knight</t>
        </is>
      </c>
      <c r="F384" s="1" t="inlineStr">
        <is>
          <t>F0057, F0044</t>
        </is>
      </c>
    </row>
    <row r="385" ht="15.75" customHeight="1" s="95">
      <c r="A385" s="1" t="inlineStr">
        <is>
          <t>Anthony Ramos</t>
        </is>
      </c>
      <c r="B385" s="1" t="n">
        <v>2</v>
      </c>
      <c r="C385" s="1" t="n">
        <v>2019</v>
      </c>
      <c r="D385" s="1" t="n">
        <v>2023</v>
      </c>
      <c r="E385" s="4" t="inlineStr">
        <is>
          <t>Transformers: Rise of the Beasts, Godzilla: King of the Monsters</t>
        </is>
      </c>
      <c r="F385" s="1" t="inlineStr">
        <is>
          <t>F0321, F0122</t>
        </is>
      </c>
    </row>
    <row r="386" ht="15.75" customHeight="1" s="95">
      <c r="A386" s="1" t="inlineStr">
        <is>
          <t>Anton Yelchin</t>
        </is>
      </c>
      <c r="B386" s="1" t="n">
        <v>2</v>
      </c>
      <c r="C386" s="1" t="n">
        <v>2009</v>
      </c>
      <c r="D386" s="1" t="n">
        <v>2009</v>
      </c>
      <c r="E386" s="4" t="inlineStr">
        <is>
          <t>Terminator Salvation, Star Trek</t>
        </is>
      </c>
      <c r="F386" s="1" t="inlineStr">
        <is>
          <t>F0310, F0291</t>
        </is>
      </c>
    </row>
    <row r="387" ht="15.75" customHeight="1" s="95">
      <c r="A387" s="1" t="inlineStr">
        <is>
          <t>Anya Taylor-Joy</t>
        </is>
      </c>
      <c r="B387" s="1" t="n">
        <v>1</v>
      </c>
      <c r="C387" s="1" t="n">
        <v>2023</v>
      </c>
      <c r="D387" s="1" t="n">
        <v>2023</v>
      </c>
      <c r="E387" s="4" t="inlineStr">
        <is>
          <t>The Super Mario Bros. Movie</t>
        </is>
      </c>
      <c r="F387" s="1" t="inlineStr">
        <is>
          <t>F0212</t>
        </is>
      </c>
    </row>
    <row r="388" ht="15.75" customHeight="1" s="95">
      <c r="A388" s="1" t="inlineStr">
        <is>
          <t>Ariana Greenblatt</t>
        </is>
      </c>
      <c r="B388" s="1" t="n">
        <v>1</v>
      </c>
      <c r="C388" s="1" t="n">
        <v>2023</v>
      </c>
      <c r="D388" s="1" t="n">
        <v>2023</v>
      </c>
      <c r="E388" s="4" t="inlineStr">
        <is>
          <t>Barbie</t>
        </is>
      </c>
      <c r="F388" s="1" t="inlineStr">
        <is>
          <t>F0041</t>
        </is>
      </c>
    </row>
    <row r="389" ht="15.75" customHeight="1" s="95">
      <c r="A389" s="1" t="inlineStr">
        <is>
          <t>Arliss Howard</t>
        </is>
      </c>
      <c r="B389" s="1" t="n">
        <v>1</v>
      </c>
      <c r="C389" s="1" t="n">
        <v>1997</v>
      </c>
      <c r="D389" s="1" t="n">
        <v>1997</v>
      </c>
      <c r="E389" s="4" t="inlineStr">
        <is>
          <t>The Lost World: Jurassic Park</t>
        </is>
      </c>
      <c r="F389" s="1" t="inlineStr">
        <is>
          <t>F0177</t>
        </is>
      </c>
    </row>
    <row r="390" ht="15.75" customHeight="1" s="95">
      <c r="A390" s="1" t="inlineStr">
        <is>
          <t>Arnold Schwarzenegger</t>
        </is>
      </c>
      <c r="B390" s="1" t="n">
        <v>2</v>
      </c>
      <c r="C390" s="1" t="n">
        <v>2012</v>
      </c>
      <c r="D390" s="1" t="n">
        <v>2014</v>
      </c>
      <c r="E390" s="4" t="inlineStr">
        <is>
          <t>The Expendables 3, The Expendables 2</t>
        </is>
      </c>
      <c r="F390" s="1" t="inlineStr">
        <is>
          <t>F0097, F0096</t>
        </is>
      </c>
    </row>
    <row r="391" ht="15.75" customHeight="1" s="95">
      <c r="A391" s="1" t="inlineStr">
        <is>
          <t>Aubrey Plaza</t>
        </is>
      </c>
      <c r="B391" s="1" t="n">
        <v>2</v>
      </c>
      <c r="C391" s="1" t="n">
        <v>2013</v>
      </c>
      <c r="D391" s="1" t="n">
        <v>2016</v>
      </c>
      <c r="E391" s="4" t="inlineStr">
        <is>
          <t>Dirty Grandpa, Monsters University</t>
        </is>
      </c>
      <c r="F391" s="1" t="inlineStr">
        <is>
          <t>F0087, F0230</t>
        </is>
      </c>
    </row>
    <row r="392" ht="15.75" customHeight="1" s="95">
      <c r="A392" s="1" t="inlineStr">
        <is>
          <t>August Diehl</t>
        </is>
      </c>
      <c r="B392" s="1" t="n">
        <v>2</v>
      </c>
      <c r="C392" s="1" t="n">
        <v>2009</v>
      </c>
      <c r="D392" s="1" t="n">
        <v>2010</v>
      </c>
      <c r="E392" s="4" t="inlineStr">
        <is>
          <t>Salt, Inglourious Basterds</t>
        </is>
      </c>
      <c r="F392" s="1" t="inlineStr">
        <is>
          <t>F0273, F0166</t>
        </is>
      </c>
    </row>
    <row r="393" ht="15.75" customHeight="1" s="95">
      <c r="A393" s="1" t="inlineStr">
        <is>
          <t>Ayelet Zurer</t>
        </is>
      </c>
      <c r="B393" s="1" t="n">
        <v>2</v>
      </c>
      <c r="C393" s="1" t="n">
        <v>2009</v>
      </c>
      <c r="D393" s="1" t="n">
        <v>2013</v>
      </c>
      <c r="E393" s="4" t="inlineStr">
        <is>
          <t>Angels &amp; Demons, Man of Steel</t>
        </is>
      </c>
      <c r="F393" s="1" t="inlineStr">
        <is>
          <t>F0023, F0211</t>
        </is>
      </c>
    </row>
    <row r="394" ht="15.75" customHeight="1" s="95">
      <c r="A394" s="1" t="inlineStr">
        <is>
          <t>Ayrton Senna</t>
        </is>
      </c>
      <c r="B394" s="1" t="n">
        <v>1</v>
      </c>
      <c r="C394" s="1" t="n">
        <v>2010</v>
      </c>
      <c r="D394" s="1" t="n">
        <v>2010</v>
      </c>
      <c r="E394" s="4" t="inlineStr">
        <is>
          <t>Senna</t>
        </is>
      </c>
      <c r="F394" s="1" t="inlineStr">
        <is>
          <t>F0275</t>
        </is>
      </c>
    </row>
    <row r="395" ht="15.75" customHeight="1" s="95">
      <c r="A395" s="1" t="inlineStr">
        <is>
          <t>Aziz Ansari</t>
        </is>
      </c>
      <c r="B395" s="1" t="n">
        <v>1</v>
      </c>
      <c r="C395" s="1" t="n">
        <v>2011</v>
      </c>
      <c r="D395" s="1" t="n">
        <v>2011</v>
      </c>
      <c r="E395" s="4" t="inlineStr">
        <is>
          <t>30 Minutes or Less</t>
        </is>
      </c>
      <c r="F395" s="1" t="inlineStr">
        <is>
          <t>F0009</t>
        </is>
      </c>
    </row>
    <row r="396" ht="15.75" customHeight="1" s="95">
      <c r="A396" s="1" t="inlineStr">
        <is>
          <t>Bam Margera</t>
        </is>
      </c>
      <c r="B396" s="1" t="n">
        <v>1</v>
      </c>
      <c r="C396" s="1" t="n">
        <v>2010</v>
      </c>
      <c r="D396" s="1" t="n">
        <v>2010</v>
      </c>
      <c r="E396" s="4" t="inlineStr">
        <is>
          <t>Jackass 3D</t>
        </is>
      </c>
      <c r="F396" s="1" t="inlineStr">
        <is>
          <t>F0172</t>
        </is>
      </c>
    </row>
    <row r="397" ht="15.75" customHeight="1" s="95">
      <c r="A397" s="1" t="inlineStr">
        <is>
          <t>Barkhad Abdi</t>
        </is>
      </c>
      <c r="B397" s="1" t="n">
        <v>2</v>
      </c>
      <c r="C397" s="1" t="n">
        <v>2013</v>
      </c>
      <c r="D397" s="1" t="n">
        <v>2016</v>
      </c>
      <c r="E397" s="4" t="inlineStr">
        <is>
          <t>Captain Phillips, Grimsby</t>
        </is>
      </c>
      <c r="F397" s="1" t="inlineStr">
        <is>
          <t>F0062, F0130</t>
        </is>
      </c>
    </row>
    <row r="398" ht="15.75" customHeight="1" s="95">
      <c r="A398" s="1" t="inlineStr">
        <is>
          <t>Barkhad Abdirahman</t>
        </is>
      </c>
      <c r="B398" s="1" t="n">
        <v>1</v>
      </c>
      <c r="C398" s="1" t="n">
        <v>2013</v>
      </c>
      <c r="D398" s="1" t="n">
        <v>2013</v>
      </c>
      <c r="E398" s="4" t="inlineStr">
        <is>
          <t>Captain Phillips</t>
        </is>
      </c>
      <c r="F398" s="1" t="inlineStr">
        <is>
          <t>F0062</t>
        </is>
      </c>
    </row>
    <row r="399" ht="15.75" customHeight="1" s="95">
      <c r="A399" s="1" t="inlineStr">
        <is>
          <t>Barry Pepper</t>
        </is>
      </c>
      <c r="B399" s="1" t="n">
        <v>2</v>
      </c>
      <c r="C399" s="1" t="n">
        <v>1998</v>
      </c>
      <c r="D399" s="1" t="n">
        <v>2010</v>
      </c>
      <c r="E399" s="4" t="inlineStr">
        <is>
          <t>True Grit, Enemy of the State</t>
        </is>
      </c>
      <c r="F399" s="1" t="inlineStr">
        <is>
          <t>F0325, F0094</t>
        </is>
      </c>
    </row>
    <row r="400" ht="15.75" customHeight="1" s="95">
      <c r="A400" s="1" t="inlineStr">
        <is>
          <t>Bee Vang</t>
        </is>
      </c>
      <c r="B400" s="1" t="n">
        <v>1</v>
      </c>
      <c r="C400" s="1" t="n">
        <v>2008</v>
      </c>
      <c r="D400" s="1" t="n">
        <v>2008</v>
      </c>
      <c r="E400" s="4" t="inlineStr">
        <is>
          <t>Gran Torino</t>
        </is>
      </c>
      <c r="F400" s="1" t="inlineStr">
        <is>
          <t>F0125</t>
        </is>
      </c>
    </row>
    <row r="401" ht="15.75" customHeight="1" s="95">
      <c r="A401" s="1" t="inlineStr">
        <is>
          <t>Ben Foster</t>
        </is>
      </c>
      <c r="B401" s="1" t="n">
        <v>2</v>
      </c>
      <c r="C401" s="1" t="n">
        <v>2006</v>
      </c>
      <c r="D401" s="1" t="n">
        <v>2013</v>
      </c>
      <c r="E401" s="4" t="inlineStr">
        <is>
          <t>Lone Survivor, X-Men: The Last Stand</t>
        </is>
      </c>
      <c r="F401" s="1" t="inlineStr">
        <is>
          <t>F0202, F0346</t>
        </is>
      </c>
    </row>
    <row r="402" ht="15.75" customHeight="1" s="95">
      <c r="A402" s="1" t="inlineStr">
        <is>
          <t>Ben Hardy</t>
        </is>
      </c>
      <c r="B402" s="1" t="n">
        <v>2</v>
      </c>
      <c r="C402" s="1" t="n">
        <v>2016</v>
      </c>
      <c r="D402" s="1" t="n">
        <v>2018</v>
      </c>
      <c r="E402" s="4" t="inlineStr">
        <is>
          <t>Bohemian Rhapsody, X-Men: Apocalypse</t>
        </is>
      </c>
      <c r="F402" s="1" t="inlineStr">
        <is>
          <t>F0052, F0342</t>
        </is>
      </c>
    </row>
    <row r="403" ht="15.75" customHeight="1" s="95">
      <c r="A403" s="1" t="inlineStr">
        <is>
          <t>Ben Kingsley</t>
        </is>
      </c>
      <c r="B403" s="1" t="n">
        <v>2</v>
      </c>
      <c r="C403" s="1" t="n">
        <v>2012</v>
      </c>
      <c r="D403" s="1" t="n">
        <v>2013</v>
      </c>
      <c r="E403" s="4" t="inlineStr">
        <is>
          <t>The Dictator, Iron Man 3</t>
        </is>
      </c>
      <c r="F403" s="1" t="inlineStr">
        <is>
          <t>F0085, F0169</t>
        </is>
      </c>
    </row>
    <row r="404" ht="15.75" customHeight="1" s="95">
      <c r="A404" s="1" t="inlineStr">
        <is>
          <t>Ben Mendelsohn</t>
        </is>
      </c>
      <c r="B404" s="1" t="n">
        <v>2</v>
      </c>
      <c r="C404" s="1" t="n">
        <v>2012</v>
      </c>
      <c r="D404" s="1" t="n">
        <v>2012</v>
      </c>
      <c r="E404" s="4" t="inlineStr">
        <is>
          <t>Killing Them Softly, The Dark Knight Rises</t>
        </is>
      </c>
      <c r="F404" s="1" t="inlineStr">
        <is>
          <t>F0187, F0045</t>
        </is>
      </c>
    </row>
    <row r="405" ht="15.75" customHeight="1" s="95">
      <c r="A405" s="1" t="inlineStr">
        <is>
          <t>Ben Whishaw</t>
        </is>
      </c>
      <c r="B405" s="1" t="n">
        <v>4</v>
      </c>
      <c r="C405" s="1" t="n">
        <v>2012</v>
      </c>
      <c r="D405" s="1" t="n">
        <v>2021</v>
      </c>
      <c r="E405" s="4" t="inlineStr">
        <is>
          <t>Paddington, Skyfall, Spectre, No Time to Die</t>
        </is>
      </c>
      <c r="F405" s="1" t="inlineStr">
        <is>
          <t>F0244, F0003, F0004, F0005</t>
        </is>
      </c>
    </row>
    <row r="406" ht="15.75" customHeight="1" s="95">
      <c r="A406" s="1" t="inlineStr">
        <is>
          <t>Benedict Wong</t>
        </is>
      </c>
      <c r="B406" s="1" t="n">
        <v>6</v>
      </c>
      <c r="C406" s="1" t="n">
        <v>2012</v>
      </c>
      <c r="D406" s="1" t="n">
        <v>2019</v>
      </c>
      <c r="E406" s="4" t="inlineStr">
        <is>
          <t>Hummingbird, Avengers: Infinity War, Avengers: Endgame, Kick-Ass 2, The Martian, Prometheus</t>
        </is>
      </c>
      <c r="F406" s="1" t="inlineStr">
        <is>
          <t>F0156, F0030, F0031, F0186, F0213, F0259</t>
        </is>
      </c>
    </row>
    <row r="407" ht="15.75" customHeight="1" s="95">
      <c r="A407" s="1" t="inlineStr">
        <is>
          <t>Benjamin Bratt</t>
        </is>
      </c>
      <c r="B407" s="1" t="n">
        <v>2</v>
      </c>
      <c r="C407" s="1" t="n">
        <v>2013</v>
      </c>
      <c r="D407" s="1" t="n">
        <v>2013</v>
      </c>
      <c r="E407" s="4" t="inlineStr">
        <is>
          <t>Despicable Me 2, Cloudy with a Chance of Meatballs 2</t>
        </is>
      </c>
      <c r="F407" s="1" t="inlineStr">
        <is>
          <t>F0083, F0067</t>
        </is>
      </c>
    </row>
    <row r="408" ht="15.75" customHeight="1" s="95">
      <c r="A408" s="1" t="inlineStr">
        <is>
          <t>Beverly Todd</t>
        </is>
      </c>
      <c r="B408" s="1" t="n">
        <v>1</v>
      </c>
      <c r="C408" s="1" t="n">
        <v>2007</v>
      </c>
      <c r="D408" s="1" t="n">
        <v>2007</v>
      </c>
      <c r="E408" s="4" t="inlineStr">
        <is>
          <t>The Bucket List</t>
        </is>
      </c>
      <c r="F408" s="1" t="inlineStr">
        <is>
          <t>F0060</t>
        </is>
      </c>
    </row>
    <row r="409" ht="15.75" customHeight="1" s="95">
      <c r="A409" s="1" t="inlineStr">
        <is>
          <t>Bill Milner</t>
        </is>
      </c>
      <c r="B409" s="1" t="n">
        <v>2</v>
      </c>
      <c r="C409" s="1" t="n">
        <v>2010</v>
      </c>
      <c r="D409" s="1" t="n">
        <v>2011</v>
      </c>
      <c r="E409" s="4" t="inlineStr">
        <is>
          <t>Sex &amp; Drugs &amp; Rock &amp; Roll, X-Men: First Class</t>
        </is>
      </c>
      <c r="F409" s="1" t="inlineStr">
        <is>
          <t>F0277, F0340</t>
        </is>
      </c>
    </row>
    <row r="410" ht="15.75" customHeight="1" s="95">
      <c r="A410" s="1" t="inlineStr">
        <is>
          <t>Billy Crudup</t>
        </is>
      </c>
      <c r="B410" s="1" t="n">
        <v>1</v>
      </c>
      <c r="C410" s="1" t="n">
        <v>2006</v>
      </c>
      <c r="D410" s="1" t="n">
        <v>2006</v>
      </c>
      <c r="E410" s="4" t="inlineStr">
        <is>
          <t>Mission: Impossible III</t>
        </is>
      </c>
      <c r="F410" s="1" t="inlineStr">
        <is>
          <t>F0223</t>
        </is>
      </c>
    </row>
    <row r="411" ht="15.75" customHeight="1" s="95">
      <c r="A411" s="1" t="inlineStr">
        <is>
          <t>Blake Lively</t>
        </is>
      </c>
      <c r="B411" s="1" t="n">
        <v>1</v>
      </c>
      <c r="C411" s="1" t="n">
        <v>2011</v>
      </c>
      <c r="D411" s="1" t="n">
        <v>2011</v>
      </c>
      <c r="E411" s="4" t="inlineStr">
        <is>
          <t>Green Lantern</t>
        </is>
      </c>
      <c r="F411" s="1" t="inlineStr">
        <is>
          <t>F0128</t>
        </is>
      </c>
    </row>
    <row r="412" ht="15.75" customHeight="1" s="95">
      <c r="A412" s="1" t="inlineStr">
        <is>
          <t>Bob Newhart</t>
        </is>
      </c>
      <c r="B412" s="1" t="n">
        <v>1</v>
      </c>
      <c r="C412" s="1" t="n">
        <v>2003</v>
      </c>
      <c r="D412" s="1" t="n">
        <v>2003</v>
      </c>
      <c r="E412" s="4" t="inlineStr">
        <is>
          <t>Elf</t>
        </is>
      </c>
      <c r="F412" s="1" t="inlineStr">
        <is>
          <t>F0092</t>
        </is>
      </c>
    </row>
    <row r="413" ht="15.75" customHeight="1" s="95">
      <c r="A413" s="1" t="inlineStr">
        <is>
          <t>Bob Peck</t>
        </is>
      </c>
      <c r="B413" s="1" t="n">
        <v>1</v>
      </c>
      <c r="C413" s="1" t="n">
        <v>1993</v>
      </c>
      <c r="D413" s="1" t="n">
        <v>1993</v>
      </c>
      <c r="E413" s="4" t="inlineStr">
        <is>
          <t>Jurassic Park</t>
        </is>
      </c>
      <c r="F413" s="1" t="inlineStr">
        <is>
          <t>F0176</t>
        </is>
      </c>
    </row>
    <row r="414" ht="15.75" customHeight="1" s="95">
      <c r="A414" s="1" t="inlineStr">
        <is>
          <t>Bob Peterson</t>
        </is>
      </c>
      <c r="B414" s="1" t="n">
        <v>4</v>
      </c>
      <c r="C414" s="1" t="n">
        <v>2001</v>
      </c>
      <c r="D414" s="1" t="n">
        <v>2016</v>
      </c>
      <c r="E414" s="4" t="inlineStr">
        <is>
          <t>Up, Finding Dory, Monsters, Inc., Monsters University</t>
        </is>
      </c>
      <c r="F414" s="1" t="inlineStr">
        <is>
          <t>F0330, F0113, F0229, F0230</t>
        </is>
      </c>
    </row>
    <row r="415" ht="15.75" customHeight="1" s="95">
      <c r="A415" s="1" t="inlineStr">
        <is>
          <t>Bobby Cannavale</t>
        </is>
      </c>
      <c r="B415" s="1" t="n">
        <v>2</v>
      </c>
      <c r="C415" s="1" t="n">
        <v>2014</v>
      </c>
      <c r="D415" s="1" t="n">
        <v>2015</v>
      </c>
      <c r="E415" s="4" t="inlineStr">
        <is>
          <t>Chef, Spy</t>
        </is>
      </c>
      <c r="F415" s="1" t="inlineStr">
        <is>
          <t>F0065, F0290</t>
        </is>
      </c>
    </row>
    <row r="416" ht="15.75" customHeight="1" s="95">
      <c r="A416" s="1" t="inlineStr">
        <is>
          <t>Boyd Holbrook</t>
        </is>
      </c>
      <c r="B416" s="1" t="n">
        <v>1</v>
      </c>
      <c r="C416" s="1" t="n">
        <v>2017</v>
      </c>
      <c r="D416" s="1" t="n">
        <v>2017</v>
      </c>
      <c r="E416" s="4" t="inlineStr">
        <is>
          <t>Logan</t>
        </is>
      </c>
      <c r="F416" s="1" t="inlineStr">
        <is>
          <t>F0201</t>
        </is>
      </c>
    </row>
    <row r="417" ht="15.75" customHeight="1" s="95">
      <c r="A417" s="1" t="inlineStr">
        <is>
          <t>Brandon T. Jackson</t>
        </is>
      </c>
      <c r="B417" s="1" t="n">
        <v>1</v>
      </c>
      <c r="C417" s="1" t="n">
        <v>2008</v>
      </c>
      <c r="D417" s="1" t="n">
        <v>2008</v>
      </c>
      <c r="E417" s="4" t="inlineStr">
        <is>
          <t>Tropic Thunder</t>
        </is>
      </c>
      <c r="F417" s="1" t="inlineStr">
        <is>
          <t>F0324</t>
        </is>
      </c>
    </row>
    <row r="418" ht="15.75" customHeight="1" s="95">
      <c r="A418" s="1" t="inlineStr">
        <is>
          <t>Brendan Fraser</t>
        </is>
      </c>
      <c r="B418" s="1" t="n">
        <v>1</v>
      </c>
      <c r="C418" s="1" t="n">
        <v>2008</v>
      </c>
      <c r="D418" s="1" t="n">
        <v>2008</v>
      </c>
      <c r="E418" s="4" t="inlineStr">
        <is>
          <t>Journey to the Center of the Earth</t>
        </is>
      </c>
      <c r="F418" s="1" t="inlineStr">
        <is>
          <t>F0174</t>
        </is>
      </c>
    </row>
    <row r="419" ht="15.75" customHeight="1" s="95">
      <c r="A419" s="1" t="inlineStr">
        <is>
          <t>Brian Glover</t>
        </is>
      </c>
      <c r="B419" s="1" t="n">
        <v>1</v>
      </c>
      <c r="C419" s="1" t="n">
        <v>1992</v>
      </c>
      <c r="D419" s="1" t="n">
        <v>1992</v>
      </c>
      <c r="E419" s="4" t="inlineStr">
        <is>
          <t>Alien³</t>
        </is>
      </c>
      <c r="F419" s="1" t="inlineStr">
        <is>
          <t>F0017</t>
        </is>
      </c>
    </row>
    <row r="420" ht="15.75" customHeight="1" s="95">
      <c r="A420" s="1" t="inlineStr">
        <is>
          <t>Brian Haley</t>
        </is>
      </c>
      <c r="B420" s="1" t="n">
        <v>2</v>
      </c>
      <c r="C420" s="1" t="n">
        <v>2001</v>
      </c>
      <c r="D420" s="1" t="n">
        <v>2008</v>
      </c>
      <c r="E420" s="4" t="inlineStr">
        <is>
          <t>Gran Torino, Pearl Harbor</t>
        </is>
      </c>
      <c r="F420" s="1" t="inlineStr">
        <is>
          <t>F0125, F0246</t>
        </is>
      </c>
    </row>
    <row r="421" ht="15.75" customHeight="1" s="95">
      <c r="A421" s="1" t="inlineStr">
        <is>
          <t>Brian Howe</t>
        </is>
      </c>
      <c r="B421" s="1" t="n">
        <v>3</v>
      </c>
      <c r="C421" s="1" t="n">
        <v>2002</v>
      </c>
      <c r="D421" s="1" t="n">
        <v>2008</v>
      </c>
      <c r="E421" s="4" t="inlineStr">
        <is>
          <t>The Pursuit of Happyness, Catch Me If You Can, Gran Torino</t>
        </is>
      </c>
      <c r="F421" s="1" t="inlineStr">
        <is>
          <t>F0260, F0064, F0125</t>
        </is>
      </c>
    </row>
    <row r="422" ht="15.75" customHeight="1" s="95">
      <c r="A422" s="1" t="inlineStr">
        <is>
          <t>Brian Tee</t>
        </is>
      </c>
      <c r="B422" s="1" t="n">
        <v>3</v>
      </c>
      <c r="C422" s="1" t="n">
        <v>2006</v>
      </c>
      <c r="D422" s="1" t="n">
        <v>2015</v>
      </c>
      <c r="E422" s="4" t="inlineStr">
        <is>
          <t>The Fast and the Furious: Tokyo Drift, Jurassic World, The Wolverine</t>
        </is>
      </c>
      <c r="F422" s="1" t="inlineStr">
        <is>
          <t>F0103, F0179, F0347</t>
        </is>
      </c>
    </row>
    <row r="423" ht="15.75" customHeight="1" s="95">
      <c r="A423" s="1" t="inlineStr">
        <is>
          <t>Brian Tyree Henry</t>
        </is>
      </c>
      <c r="B423" s="1" t="n">
        <v>1</v>
      </c>
      <c r="C423" s="1" t="n">
        <v>2021</v>
      </c>
      <c r="D423" s="1" t="n">
        <v>2021</v>
      </c>
      <c r="E423" s="4" t="inlineStr">
        <is>
          <t>Godzilla vs. Kong</t>
        </is>
      </c>
      <c r="F423" s="1" t="inlineStr">
        <is>
          <t>F0123</t>
        </is>
      </c>
    </row>
    <row r="424" ht="15.75" customHeight="1" s="95">
      <c r="A424" s="1" t="inlineStr">
        <is>
          <t>Bridget Moynahan</t>
        </is>
      </c>
      <c r="B424" s="1" t="n">
        <v>1</v>
      </c>
      <c r="C424" s="1" t="n">
        <v>2011</v>
      </c>
      <c r="D424" s="1" t="n">
        <v>2011</v>
      </c>
      <c r="E424" s="4" t="inlineStr">
        <is>
          <t>Battle: Los Angeles</t>
        </is>
      </c>
      <c r="F424" s="1" t="inlineStr">
        <is>
          <t>F0046</t>
        </is>
      </c>
    </row>
    <row r="425" ht="15.75" customHeight="1" s="95">
      <c r="A425" s="1" t="inlineStr">
        <is>
          <t>Britt Robertson</t>
        </is>
      </c>
      <c r="B425" s="1" t="n">
        <v>1</v>
      </c>
      <c r="C425" s="1" t="n">
        <v>2013</v>
      </c>
      <c r="D425" s="1" t="n">
        <v>2013</v>
      </c>
      <c r="E425" s="4" t="inlineStr">
        <is>
          <t>Delivery Man</t>
        </is>
      </c>
      <c r="F425" s="1" t="inlineStr">
        <is>
          <t>F0080</t>
        </is>
      </c>
    </row>
    <row r="426" ht="15.75" customHeight="1" s="95">
      <c r="A426" s="1" t="inlineStr">
        <is>
          <t>Brooklyn Decker</t>
        </is>
      </c>
      <c r="B426" s="1" t="n">
        <v>1</v>
      </c>
      <c r="C426" s="1" t="n">
        <v>2011</v>
      </c>
      <c r="D426" s="1" t="n">
        <v>2011</v>
      </c>
      <c r="E426" s="4" t="inlineStr">
        <is>
          <t>Just Go with It</t>
        </is>
      </c>
      <c r="F426" s="1" t="inlineStr">
        <is>
          <t>F0183</t>
        </is>
      </c>
    </row>
    <row r="427" ht="15.75" customHeight="1" s="95">
      <c r="A427" s="1" t="inlineStr">
        <is>
          <t>Bruce Greenwood</t>
        </is>
      </c>
      <c r="B427" s="1" t="n">
        <v>3</v>
      </c>
      <c r="C427" s="1" t="n">
        <v>2007</v>
      </c>
      <c r="D427" s="1" t="n">
        <v>2011</v>
      </c>
      <c r="E427" s="4" t="inlineStr">
        <is>
          <t>Star Trek, National Treasure: Book of Secrets, Super 8</t>
        </is>
      </c>
      <c r="F427" s="1" t="inlineStr">
        <is>
          <t>F0291, F0233, F0302</t>
        </is>
      </c>
    </row>
    <row r="428" ht="15.75" customHeight="1" s="95">
      <c r="A428" s="1" t="inlineStr">
        <is>
          <t>Bruce McGill</t>
        </is>
      </c>
      <c r="B428" s="1" t="n">
        <v>1</v>
      </c>
      <c r="C428" s="1" t="n">
        <v>2009</v>
      </c>
      <c r="D428" s="1" t="n">
        <v>2009</v>
      </c>
      <c r="E428" s="4" t="inlineStr">
        <is>
          <t>Law Abiding Citizen</t>
        </is>
      </c>
      <c r="F428" s="1" t="inlineStr">
        <is>
          <t>F0191</t>
        </is>
      </c>
    </row>
    <row r="429" ht="15.75" customHeight="1" s="95">
      <c r="A429" s="1" t="inlineStr">
        <is>
          <t>Bruno Ganz</t>
        </is>
      </c>
      <c r="B429" s="1" t="n">
        <v>1</v>
      </c>
      <c r="C429" s="1" t="n">
        <v>2011</v>
      </c>
      <c r="D429" s="1" t="n">
        <v>2011</v>
      </c>
      <c r="E429" s="4" t="inlineStr">
        <is>
          <t>Unknown</t>
        </is>
      </c>
      <c r="F429" s="1" t="inlineStr">
        <is>
          <t>F0329</t>
        </is>
      </c>
    </row>
    <row r="430" ht="15.75" customHeight="1" s="95">
      <c r="A430" s="1" t="inlineStr">
        <is>
          <t>Calah Lane</t>
        </is>
      </c>
      <c r="B430" s="1" t="n">
        <v>1</v>
      </c>
      <c r="C430" s="1" t="n">
        <v>2023</v>
      </c>
      <c r="D430" s="1" t="n">
        <v>2023</v>
      </c>
      <c r="E430" s="4" t="inlineStr">
        <is>
          <t>Wonka</t>
        </is>
      </c>
      <c r="F430" s="1" t="inlineStr">
        <is>
          <t>F0338</t>
        </is>
      </c>
    </row>
    <row r="431" ht="15.75" customHeight="1" s="95">
      <c r="A431" s="1" t="inlineStr">
        <is>
          <t>Cameron Diaz</t>
        </is>
      </c>
      <c r="B431" s="1" t="n">
        <v>1</v>
      </c>
      <c r="C431" s="1" t="n">
        <v>2011</v>
      </c>
      <c r="D431" s="1" t="n">
        <v>2011</v>
      </c>
      <c r="E431" s="4" t="inlineStr">
        <is>
          <t>Bad Teacher</t>
        </is>
      </c>
      <c r="F431" s="1" t="inlineStr">
        <is>
          <t>F0039</t>
        </is>
      </c>
    </row>
    <row r="432" ht="15.75" customHeight="1" s="95">
      <c r="A432" s="1" t="inlineStr">
        <is>
          <t>Carey Mulligan</t>
        </is>
      </c>
      <c r="B432" s="1" t="n">
        <v>1</v>
      </c>
      <c r="C432" s="1" t="n">
        <v>2013</v>
      </c>
      <c r="D432" s="1" t="n">
        <v>2013</v>
      </c>
      <c r="E432" s="4" t="inlineStr">
        <is>
          <t>The Great Gatsby</t>
        </is>
      </c>
      <c r="F432" s="1" t="inlineStr">
        <is>
          <t>F0126</t>
        </is>
      </c>
    </row>
    <row r="433" ht="15.75" customHeight="1" s="95">
      <c r="A433" s="1" t="inlineStr">
        <is>
          <t>Carly Schroeder</t>
        </is>
      </c>
      <c r="B433" s="1" t="n">
        <v>1</v>
      </c>
      <c r="C433" s="1" t="n">
        <v>2006</v>
      </c>
      <c r="D433" s="1" t="n">
        <v>2006</v>
      </c>
      <c r="E433" s="4" t="inlineStr">
        <is>
          <t>Firewall</t>
        </is>
      </c>
      <c r="F433" s="1" t="inlineStr">
        <is>
          <t>F0114</t>
        </is>
      </c>
    </row>
    <row r="434" ht="15.75" customHeight="1" s="95">
      <c r="A434" s="1" t="inlineStr">
        <is>
          <t>Carrie Henn</t>
        </is>
      </c>
      <c r="B434" s="1" t="n">
        <v>1</v>
      </c>
      <c r="C434" s="1" t="n">
        <v>1986</v>
      </c>
      <c r="D434" s="1" t="n">
        <v>1986</v>
      </c>
      <c r="E434" s="4" t="inlineStr">
        <is>
          <t>Aliens</t>
        </is>
      </c>
      <c r="F434" s="1" t="inlineStr">
        <is>
          <t>F0016</t>
        </is>
      </c>
    </row>
    <row r="435" ht="15.75" customHeight="1" s="95">
      <c r="A435" s="1" t="inlineStr">
        <is>
          <t>Casey Affleck</t>
        </is>
      </c>
      <c r="B435" s="1" t="n">
        <v>3</v>
      </c>
      <c r="C435" s="1" t="n">
        <v>1997</v>
      </c>
      <c r="D435" s="1" t="n">
        <v>2023</v>
      </c>
      <c r="E435" s="4" t="inlineStr">
        <is>
          <t>Interstellar, Good Will Hunting, Oppenheimer</t>
        </is>
      </c>
      <c r="F435" s="1" t="inlineStr">
        <is>
          <t>F0168, F0124, F0242</t>
        </is>
      </c>
    </row>
    <row r="436" ht="15.75" customHeight="1" s="95">
      <c r="A436" s="1" t="inlineStr">
        <is>
          <t>Casey Kasem</t>
        </is>
      </c>
      <c r="B436" s="1" t="n">
        <v>1</v>
      </c>
      <c r="C436" s="1" t="n">
        <v>1986</v>
      </c>
      <c r="D436" s="1" t="n">
        <v>1986</v>
      </c>
      <c r="E436" s="4" t="inlineStr">
        <is>
          <t>The Transformers: The Movie</t>
        </is>
      </c>
      <c r="F436" s="1" t="inlineStr">
        <is>
          <t>F0322</t>
        </is>
      </c>
    </row>
    <row r="437" ht="15.75" customHeight="1" s="95">
      <c r="A437" s="1" t="inlineStr">
        <is>
          <t>Catherine Keener</t>
        </is>
      </c>
      <c r="B437" s="1" t="n">
        <v>2</v>
      </c>
      <c r="C437" s="1" t="n">
        <v>2013</v>
      </c>
      <c r="D437" s="1" t="n">
        <v>2013</v>
      </c>
      <c r="E437" s="4" t="inlineStr">
        <is>
          <t>The Croods, Captain Phillips</t>
        </is>
      </c>
      <c r="F437" s="1" t="inlineStr">
        <is>
          <t>F0075, F0062</t>
        </is>
      </c>
    </row>
    <row r="438" ht="15.75" customHeight="1" s="95">
      <c r="A438" s="1" t="inlineStr">
        <is>
          <t>Charles Dance</t>
        </is>
      </c>
      <c r="B438" s="1" t="n">
        <v>4</v>
      </c>
      <c r="C438" s="1" t="n">
        <v>1992</v>
      </c>
      <c r="D438" s="1" t="n">
        <v>2019</v>
      </c>
      <c r="E438" s="4" t="inlineStr">
        <is>
          <t>Alien³, Godzilla: King of the Monsters, The Imitation Game, Underworld: Awakening</t>
        </is>
      </c>
      <c r="F438" s="1" t="inlineStr">
        <is>
          <t>F0017, F0122, F0162, F0328</t>
        </is>
      </c>
    </row>
    <row r="439" ht="15.75" customHeight="1" s="95">
      <c r="A439" s="1" t="inlineStr">
        <is>
          <t>Charles S. Dutton</t>
        </is>
      </c>
      <c r="B439" s="1" t="n">
        <v>1</v>
      </c>
      <c r="C439" s="1" t="n">
        <v>1992</v>
      </c>
      <c r="D439" s="1" t="n">
        <v>1992</v>
      </c>
      <c r="E439" s="4" t="inlineStr">
        <is>
          <t>Alien³</t>
        </is>
      </c>
      <c r="F439" s="1" t="inlineStr">
        <is>
          <t>F0017</t>
        </is>
      </c>
    </row>
    <row r="440" ht="15.75" customHeight="1" s="95">
      <c r="A440" s="1" t="inlineStr">
        <is>
          <t>Charlie Cox</t>
        </is>
      </c>
      <c r="B440" s="1" t="n">
        <v>1</v>
      </c>
      <c r="C440" s="1" t="n">
        <v>2014</v>
      </c>
      <c r="D440" s="1" t="n">
        <v>2014</v>
      </c>
      <c r="E440" s="4" t="inlineStr">
        <is>
          <t>The Theory of Everything</t>
        </is>
      </c>
      <c r="F440" s="1" t="inlineStr">
        <is>
          <t>F0311</t>
        </is>
      </c>
    </row>
    <row r="441" ht="15.75" customHeight="1" s="95">
      <c r="A441" s="1" t="inlineStr">
        <is>
          <t>Charlie Day</t>
        </is>
      </c>
      <c r="B441" s="1" t="n">
        <v>5</v>
      </c>
      <c r="C441" s="1" t="n">
        <v>2013</v>
      </c>
      <c r="D441" s="1" t="n">
        <v>2023</v>
      </c>
      <c r="E441" s="4" t="inlineStr">
        <is>
          <t>The Super Mario Bros. Movie, The Lego Movie, The Lego Movie 2: The Second Part, Monsters University, Pacific Rim</t>
        </is>
      </c>
      <c r="F441" s="1" t="inlineStr">
        <is>
          <t>F0212, F0195, F0196, F0230, F0243</t>
        </is>
      </c>
    </row>
    <row r="442" ht="15.75" customHeight="1" s="95">
      <c r="A442" s="1" t="inlineStr">
        <is>
          <t>Charlie Schlatter</t>
        </is>
      </c>
      <c r="B442" s="1" t="n">
        <v>1</v>
      </c>
      <c r="C442" s="1" t="n">
        <v>2013</v>
      </c>
      <c r="D442" s="1" t="n">
        <v>2013</v>
      </c>
      <c r="E442" s="4" t="inlineStr">
        <is>
          <t>Lego Batman: The Movie - DC Super Heroes Unite</t>
        </is>
      </c>
      <c r="F442" s="1" t="inlineStr">
        <is>
          <t>F0194</t>
        </is>
      </c>
    </row>
    <row r="443" ht="15.75" customHeight="1" s="95">
      <c r="A443" s="1" t="inlineStr">
        <is>
          <t>Chloë Sevigny</t>
        </is>
      </c>
      <c r="B443" s="1" t="n">
        <v>1</v>
      </c>
      <c r="C443" s="1" t="n">
        <v>2007</v>
      </c>
      <c r="D443" s="1" t="n">
        <v>2007</v>
      </c>
      <c r="E443" s="4" t="inlineStr">
        <is>
          <t>Zodiac</t>
        </is>
      </c>
      <c r="F443" s="1" t="inlineStr">
        <is>
          <t>F0350</t>
        </is>
      </c>
    </row>
    <row r="444" ht="15.75" customHeight="1" s="95">
      <c r="A444" s="1" t="inlineStr">
        <is>
          <t>Chris Cooper</t>
        </is>
      </c>
      <c r="B444" s="1" t="n">
        <v>1</v>
      </c>
      <c r="C444" s="1" t="n">
        <v>2002</v>
      </c>
      <c r="D444" s="1" t="n">
        <v>2002</v>
      </c>
      <c r="E444" s="4" t="inlineStr">
        <is>
          <t>The Bourne Identity</t>
        </is>
      </c>
      <c r="F444" s="1" t="inlineStr">
        <is>
          <t>F0053</t>
        </is>
      </c>
    </row>
    <row r="445" ht="15.75" customHeight="1" s="95">
      <c r="A445" s="1" t="inlineStr">
        <is>
          <t>Chris O'Dowd</t>
        </is>
      </c>
      <c r="B445" s="1" t="n">
        <v>1</v>
      </c>
      <c r="C445" s="1" t="n">
        <v>2011</v>
      </c>
      <c r="D445" s="1" t="n">
        <v>2011</v>
      </c>
      <c r="E445" s="4" t="inlineStr">
        <is>
          <t>Bridesmaids</t>
        </is>
      </c>
      <c r="F445" s="1" t="inlineStr">
        <is>
          <t>F0058</t>
        </is>
      </c>
    </row>
    <row r="446" ht="15.75" customHeight="1" s="95">
      <c r="A446" s="1" t="inlineStr">
        <is>
          <t>Chris Pine</t>
        </is>
      </c>
      <c r="B446" s="1" t="n">
        <v>1</v>
      </c>
      <c r="C446" s="1" t="n">
        <v>2009</v>
      </c>
      <c r="D446" s="1" t="n">
        <v>2009</v>
      </c>
      <c r="E446" s="4" t="inlineStr">
        <is>
          <t>Star Trek</t>
        </is>
      </c>
      <c r="F446" s="1" t="inlineStr">
        <is>
          <t>F0291</t>
        </is>
      </c>
    </row>
    <row r="447" ht="15.75" customHeight="1" s="95">
      <c r="A447" s="1" t="inlineStr">
        <is>
          <t>Chris Pontius</t>
        </is>
      </c>
      <c r="B447" s="1" t="n">
        <v>1</v>
      </c>
      <c r="C447" s="1" t="n">
        <v>2010</v>
      </c>
      <c r="D447" s="1" t="n">
        <v>2010</v>
      </c>
      <c r="E447" s="4" t="inlineStr">
        <is>
          <t>Jackass 3D</t>
        </is>
      </c>
      <c r="F447" s="1" t="inlineStr">
        <is>
          <t>F0172</t>
        </is>
      </c>
    </row>
    <row r="448" ht="15.75" customHeight="1" s="95">
      <c r="A448" s="1" t="inlineStr">
        <is>
          <t>Chris Tucker</t>
        </is>
      </c>
      <c r="B448" s="1" t="n">
        <v>1</v>
      </c>
      <c r="C448" s="1" t="n">
        <v>2007</v>
      </c>
      <c r="D448" s="1" t="n">
        <v>2007</v>
      </c>
      <c r="E448" s="4" t="inlineStr">
        <is>
          <t>Rush Hour 3</t>
        </is>
      </c>
      <c r="F448" s="1" t="inlineStr">
        <is>
          <t>F0271</t>
        </is>
      </c>
    </row>
    <row r="449" ht="15.75" customHeight="1" s="95">
      <c r="A449" s="1" t="inlineStr">
        <is>
          <t>Christian Rub</t>
        </is>
      </c>
      <c r="B449" s="1" t="n">
        <v>1</v>
      </c>
      <c r="C449" s="1" t="n">
        <v>1940</v>
      </c>
      <c r="D449" s="1" t="n">
        <v>1940</v>
      </c>
      <c r="E449" s="4" t="inlineStr">
        <is>
          <t>Pinocchio</t>
        </is>
      </c>
      <c r="F449" s="1" t="inlineStr">
        <is>
          <t>F0248</t>
        </is>
      </c>
    </row>
    <row r="450" ht="15.75" customHeight="1" s="95">
      <c r="A450" s="1" t="inlineStr">
        <is>
          <t>Christopher Carley</t>
        </is>
      </c>
      <c r="B450" s="1" t="n">
        <v>1</v>
      </c>
      <c r="C450" s="1" t="n">
        <v>2008</v>
      </c>
      <c r="D450" s="1" t="n">
        <v>2008</v>
      </c>
      <c r="E450" s="4" t="inlineStr">
        <is>
          <t>Gran Torino</t>
        </is>
      </c>
      <c r="F450" s="1" t="inlineStr">
        <is>
          <t>F0125</t>
        </is>
      </c>
    </row>
    <row r="451" ht="15.75" customHeight="1" s="95">
      <c r="A451" s="1" t="inlineStr">
        <is>
          <t>Christopher Corey Smith</t>
        </is>
      </c>
      <c r="B451" s="1" t="n">
        <v>1</v>
      </c>
      <c r="C451" s="1" t="n">
        <v>2013</v>
      </c>
      <c r="D451" s="1" t="n">
        <v>2013</v>
      </c>
      <c r="E451" s="4" t="inlineStr">
        <is>
          <t>Lego Batman: The Movie - DC Super Heroes Unite</t>
        </is>
      </c>
      <c r="F451" s="1" t="inlineStr">
        <is>
          <t>F0194</t>
        </is>
      </c>
    </row>
    <row r="452" ht="15.75" customHeight="1" s="95">
      <c r="A452" s="1" t="inlineStr">
        <is>
          <t>Christopher Eccleston</t>
        </is>
      </c>
      <c r="B452" s="1" t="n">
        <v>1</v>
      </c>
      <c r="C452" s="1" t="n">
        <v>2009</v>
      </c>
      <c r="D452" s="1" t="n">
        <v>2009</v>
      </c>
      <c r="E452" s="4" t="inlineStr">
        <is>
          <t>G.I. Joe: The Rise of Cobra</t>
        </is>
      </c>
      <c r="F452" s="1" t="inlineStr">
        <is>
          <t>F0118</t>
        </is>
      </c>
    </row>
    <row r="453" ht="15.75" customHeight="1" s="95">
      <c r="A453" s="1" t="inlineStr">
        <is>
          <t>Christopher Lee</t>
        </is>
      </c>
      <c r="B453" s="1" t="n">
        <v>6</v>
      </c>
      <c r="C453" s="1" t="n">
        <v>2001</v>
      </c>
      <c r="D453" s="1" t="n">
        <v>2014</v>
      </c>
      <c r="E453" s="4" t="inlineStr">
        <is>
          <t>Star Wars: Episode II – Attack of the Clones, The Hobbit: An Unexpected Journey, The Hobbit: The Battle of the Five Armies, The Lord of the Rings: The Fellowship of the Ring, The Lord of the Rings: The Two Towers, Star Wars: Episode III – Revenge of the Sith</t>
        </is>
      </c>
      <c r="F453" s="1" t="inlineStr">
        <is>
          <t>F0293, F0150, F0152, F0203, F0204, F0294</t>
        </is>
      </c>
    </row>
    <row r="454" ht="15.75" customHeight="1" s="95">
      <c r="A454" s="1" t="inlineStr">
        <is>
          <t>Christopher Walken</t>
        </is>
      </c>
      <c r="B454" s="1" t="n">
        <v>1</v>
      </c>
      <c r="C454" s="1" t="n">
        <v>2002</v>
      </c>
      <c r="D454" s="1" t="n">
        <v>2002</v>
      </c>
      <c r="E454" s="4" t="inlineStr">
        <is>
          <t>Catch Me If You Can</t>
        </is>
      </c>
      <c r="F454" s="1" t="inlineStr">
        <is>
          <t>F0064</t>
        </is>
      </c>
    </row>
    <row r="455" ht="15.75" customHeight="1" s="95">
      <c r="A455" s="1" t="inlineStr">
        <is>
          <t>Chuck Norris</t>
        </is>
      </c>
      <c r="B455" s="1" t="n">
        <v>1</v>
      </c>
      <c r="C455" s="1" t="n">
        <v>2012</v>
      </c>
      <c r="D455" s="1" t="n">
        <v>2012</v>
      </c>
      <c r="E455" s="4" t="inlineStr">
        <is>
          <t>The Expendables 2</t>
        </is>
      </c>
      <c r="F455" s="1" t="inlineStr">
        <is>
          <t>F0096</t>
        </is>
      </c>
    </row>
    <row r="456" ht="15.75" customHeight="1" s="95">
      <c r="A456" s="1" t="inlineStr">
        <is>
          <t>Cillian Murphy</t>
        </is>
      </c>
      <c r="B456" s="1" t="n">
        <v>4</v>
      </c>
      <c r="C456" s="1" t="n">
        <v>2005</v>
      </c>
      <c r="D456" s="1" t="n">
        <v>2023</v>
      </c>
      <c r="E456" s="4" t="inlineStr">
        <is>
          <t>Oppenheimer, Batman Begins, The Dark Knight, Inception</t>
        </is>
      </c>
      <c r="F456" s="1" t="inlineStr">
        <is>
          <t>F0242, F0043, F0044, F0165</t>
        </is>
      </c>
    </row>
    <row r="457" ht="15.75" customHeight="1" s="95">
      <c r="A457" s="1" t="inlineStr">
        <is>
          <t>Clancy Brown</t>
        </is>
      </c>
      <c r="B457" s="1" t="n">
        <v>3</v>
      </c>
      <c r="C457" s="1" t="n">
        <v>2011</v>
      </c>
      <c r="D457" s="1" t="n">
        <v>2013</v>
      </c>
      <c r="E457" s="4" t="inlineStr">
        <is>
          <t>Lego Batman: The Movie - DC Super Heroes Unite, Cowboys &amp; Aliens, Green Lantern</t>
        </is>
      </c>
      <c r="F457" s="1" t="inlineStr">
        <is>
          <t>F0194, F0073, F0128</t>
        </is>
      </c>
    </row>
    <row r="458" ht="15.75" customHeight="1" s="95">
      <c r="A458" s="1" t="inlineStr">
        <is>
          <t>Claudia Wells</t>
        </is>
      </c>
      <c r="B458" s="1" t="n">
        <v>1</v>
      </c>
      <c r="C458" s="1" t="n">
        <v>1985</v>
      </c>
      <c r="D458" s="1" t="n">
        <v>1985</v>
      </c>
      <c r="E458" s="4" t="inlineStr">
        <is>
          <t>Back to the Future</t>
        </is>
      </c>
      <c r="F458" s="1" t="inlineStr">
        <is>
          <t>F0033</t>
        </is>
      </c>
    </row>
    <row r="459" ht="15.75" customHeight="1" s="95">
      <c r="A459" s="1" t="inlineStr">
        <is>
          <t>Cliff Curtis</t>
        </is>
      </c>
      <c r="B459" s="1" t="n">
        <v>2</v>
      </c>
      <c r="C459" s="1" t="n">
        <v>2007</v>
      </c>
      <c r="D459" s="1" t="n">
        <v>2019</v>
      </c>
      <c r="E459" s="4" t="inlineStr">
        <is>
          <t>Live Free or Die Hard, Fast &amp; Furious Presents: Hobbs &amp; Shaw</t>
        </is>
      </c>
      <c r="F459" s="1" t="inlineStr">
        <is>
          <t>F0086, F0111</t>
        </is>
      </c>
    </row>
    <row r="460" ht="15.75" customHeight="1" s="95">
      <c r="A460" s="1" t="inlineStr">
        <is>
          <t>Cliff Edwards</t>
        </is>
      </c>
      <c r="B460" s="1" t="n">
        <v>1</v>
      </c>
      <c r="C460" s="1" t="n">
        <v>1940</v>
      </c>
      <c r="D460" s="1" t="n">
        <v>1940</v>
      </c>
      <c r="E460" s="4" t="inlineStr">
        <is>
          <t>Pinocchio</t>
        </is>
      </c>
      <c r="F460" s="1" t="inlineStr">
        <is>
          <t>F0248</t>
        </is>
      </c>
    </row>
    <row r="461" ht="15.75" customHeight="1" s="95">
      <c r="A461" s="1" t="inlineStr">
        <is>
          <t>Cliff Robertson</t>
        </is>
      </c>
      <c r="B461" s="1" t="n">
        <v>3</v>
      </c>
      <c r="C461" s="1" t="n">
        <v>2002</v>
      </c>
      <c r="D461" s="1" t="n">
        <v>2007</v>
      </c>
      <c r="E461" s="4" t="inlineStr">
        <is>
          <t>Spider-Man, Spider-Man 2, Spider-Man 3</t>
        </is>
      </c>
      <c r="F461" s="1" t="inlineStr">
        <is>
          <t>F0287, F0288, F0289</t>
        </is>
      </c>
    </row>
    <row r="462" ht="15.75" customHeight="1" s="95">
      <c r="A462" s="1" t="inlineStr">
        <is>
          <t>Clifford Bañagale</t>
        </is>
      </c>
      <c r="B462" s="1" t="n">
        <v>1</v>
      </c>
      <c r="C462" s="1" t="n">
        <v>2009</v>
      </c>
      <c r="D462" s="1" t="n">
        <v>2009</v>
      </c>
      <c r="E462" s="4" t="inlineStr">
        <is>
          <t>Brüno</t>
        </is>
      </c>
      <c r="F462" s="1" t="inlineStr">
        <is>
          <t>F0059</t>
        </is>
      </c>
    </row>
    <row r="463" ht="15.75" customHeight="1" s="95">
      <c r="A463" s="1" t="inlineStr">
        <is>
          <t>Clifton Collins Jr.</t>
        </is>
      </c>
      <c r="B463" s="1" t="n">
        <v>2</v>
      </c>
      <c r="C463" s="1" t="n">
        <v>2009</v>
      </c>
      <c r="D463" s="1" t="n">
        <v>2013</v>
      </c>
      <c r="E463" s="4" t="inlineStr">
        <is>
          <t>Pacific Rim, Star Trek</t>
        </is>
      </c>
      <c r="F463" s="1" t="inlineStr">
        <is>
          <t>F0243, F0291</t>
        </is>
      </c>
    </row>
    <row r="464" ht="15.75" customHeight="1" s="95">
      <c r="A464" s="1" t="inlineStr">
        <is>
          <t>Clint Eastwood</t>
        </is>
      </c>
      <c r="B464" s="1" t="n">
        <v>1</v>
      </c>
      <c r="C464" s="1" t="n">
        <v>2008</v>
      </c>
      <c r="D464" s="1" t="n">
        <v>2008</v>
      </c>
      <c r="E464" s="4" t="inlineStr">
        <is>
          <t>Gran Torino</t>
        </is>
      </c>
      <c r="F464" s="1" t="inlineStr">
        <is>
          <t>F0125</t>
        </is>
      </c>
    </row>
    <row r="465" ht="15.75" customHeight="1" s="95">
      <c r="A465" s="1" t="inlineStr">
        <is>
          <t>Clive Owen</t>
        </is>
      </c>
      <c r="B465" s="1" t="n">
        <v>1</v>
      </c>
      <c r="C465" s="1" t="n">
        <v>2002</v>
      </c>
      <c r="D465" s="1" t="n">
        <v>2002</v>
      </c>
      <c r="E465" s="4" t="inlineStr">
        <is>
          <t>The Bourne Identity</t>
        </is>
      </c>
      <c r="F465" s="1" t="inlineStr">
        <is>
          <t>F0053</t>
        </is>
      </c>
    </row>
    <row r="466" ht="15.75" customHeight="1" s="95">
      <c r="A466" s="1" t="inlineStr">
        <is>
          <t>Cloris Leachman</t>
        </is>
      </c>
      <c r="B466" s="1" t="n">
        <v>1</v>
      </c>
      <c r="C466" s="1" t="n">
        <v>2013</v>
      </c>
      <c r="D466" s="1" t="n">
        <v>2013</v>
      </c>
      <c r="E466" s="4" t="inlineStr">
        <is>
          <t>The Croods</t>
        </is>
      </c>
      <c r="F466" s="1" t="inlineStr">
        <is>
          <t>F0075</t>
        </is>
      </c>
    </row>
    <row r="467" ht="15.75" customHeight="1" s="95">
      <c r="A467" s="1" t="inlineStr">
        <is>
          <t>Cobie Smulders</t>
        </is>
      </c>
      <c r="B467" s="1" t="n">
        <v>4</v>
      </c>
      <c r="C467" s="1" t="n">
        <v>2012</v>
      </c>
      <c r="D467" s="1" t="n">
        <v>2019</v>
      </c>
      <c r="E467" s="4" t="inlineStr">
        <is>
          <t>Delivery Man, The Avengers, The Lego Movie, The Lego Movie 2: The Second Part</t>
        </is>
      </c>
      <c r="F467" s="1" t="inlineStr">
        <is>
          <t>F0080, F0029, F0195, F0196</t>
        </is>
      </c>
    </row>
    <row r="468" ht="15.75" customHeight="1" s="95">
      <c r="A468" s="1" t="inlineStr">
        <is>
          <t>Cody H. Carolin</t>
        </is>
      </c>
      <c r="B468" s="1" t="n">
        <v>1</v>
      </c>
      <c r="C468" s="1" t="n">
        <v>2012</v>
      </c>
      <c r="D468" s="1" t="n">
        <v>2012</v>
      </c>
      <c r="E468" s="4" t="inlineStr">
        <is>
          <t>Magic Mike</t>
        </is>
      </c>
      <c r="F468" s="1" t="inlineStr">
        <is>
          <t>F0206</t>
        </is>
      </c>
    </row>
    <row r="469" ht="15.75" customHeight="1" s="95">
      <c r="A469" s="1" t="inlineStr">
        <is>
          <t>Cole Hauser</t>
        </is>
      </c>
      <c r="B469" s="1" t="n">
        <v>4</v>
      </c>
      <c r="C469" s="1" t="n">
        <v>1997</v>
      </c>
      <c r="D469" s="1" t="n">
        <v>2013</v>
      </c>
      <c r="E469" s="4" t="inlineStr">
        <is>
          <t>2 Fast 2 Furious, Fast &amp; Furious, Good Will Hunting, Olympus Has Fallen</t>
        </is>
      </c>
      <c r="F469" s="1" t="inlineStr">
        <is>
          <t>F0102, F0104, F0124, F0240</t>
        </is>
      </c>
    </row>
    <row r="470" ht="15.75" customHeight="1" s="95">
      <c r="A470" s="1" t="inlineStr">
        <is>
          <t>Colin Hanks</t>
        </is>
      </c>
      <c r="B470" s="1" t="n">
        <v>1</v>
      </c>
      <c r="C470" s="1" t="n">
        <v>2005</v>
      </c>
      <c r="D470" s="1" t="n">
        <v>2005</v>
      </c>
      <c r="E470" s="4" t="inlineStr">
        <is>
          <t>King Kong</t>
        </is>
      </c>
      <c r="F470" s="1" t="inlineStr">
        <is>
          <t>F0188</t>
        </is>
      </c>
    </row>
    <row r="471" ht="15.75" customHeight="1" s="95">
      <c r="A471" s="1" t="inlineStr">
        <is>
          <t>Corey Hawkins</t>
        </is>
      </c>
      <c r="B471" s="1" t="n">
        <v>2</v>
      </c>
      <c r="C471" s="1" t="n">
        <v>2015</v>
      </c>
      <c r="D471" s="1" t="n">
        <v>2017</v>
      </c>
      <c r="E471" s="4" t="inlineStr">
        <is>
          <t>Straight Outta Compton, Kong: Skull Island</t>
        </is>
      </c>
      <c r="F471" s="1" t="inlineStr">
        <is>
          <t>F0301, F0190</t>
        </is>
      </c>
    </row>
    <row r="472" ht="15.75" customHeight="1" s="95">
      <c r="A472" s="1" t="inlineStr">
        <is>
          <t>Crispin Glover</t>
        </is>
      </c>
      <c r="B472" s="1" t="n">
        <v>1</v>
      </c>
      <c r="C472" s="1" t="n">
        <v>1985</v>
      </c>
      <c r="D472" s="1" t="n">
        <v>1985</v>
      </c>
      <c r="E472" s="4" t="inlineStr">
        <is>
          <t>Back to the Future</t>
        </is>
      </c>
      <c r="F472" s="1" t="inlineStr">
        <is>
          <t>F0033</t>
        </is>
      </c>
    </row>
    <row r="473" ht="15.75" customHeight="1" s="95">
      <c r="A473" s="1" t="inlineStr">
        <is>
          <t>Cuba Gooding Jr.</t>
        </is>
      </c>
      <c r="B473" s="1" t="n">
        <v>1</v>
      </c>
      <c r="C473" s="1" t="n">
        <v>2001</v>
      </c>
      <c r="D473" s="1" t="n">
        <v>2001</v>
      </c>
      <c r="E473" s="4" t="inlineStr">
        <is>
          <t>Pearl Harbor</t>
        </is>
      </c>
      <c r="F473" s="1" t="inlineStr">
        <is>
          <t>F0246</t>
        </is>
      </c>
    </row>
    <row r="474" ht="15.75" customHeight="1" s="95">
      <c r="A474" s="1" t="inlineStr">
        <is>
          <t>Cynthia Addai-Robinson</t>
        </is>
      </c>
      <c r="B474" s="1" t="n">
        <v>1</v>
      </c>
      <c r="C474" s="1" t="n">
        <v>2016</v>
      </c>
      <c r="D474" s="1" t="n">
        <v>2016</v>
      </c>
      <c r="E474" s="4" t="inlineStr">
        <is>
          <t>The Accountant</t>
        </is>
      </c>
      <c r="F474" s="1" t="inlineStr">
        <is>
          <t>F0013</t>
        </is>
      </c>
    </row>
    <row r="475" ht="15.75" customHeight="1" s="95">
      <c r="A475" s="1" t="inlineStr">
        <is>
          <t>D.B. Sweeney</t>
        </is>
      </c>
      <c r="B475" s="1" t="n">
        <v>1</v>
      </c>
      <c r="C475" s="1" t="n">
        <v>2012</v>
      </c>
      <c r="D475" s="1" t="n">
        <v>2012</v>
      </c>
      <c r="E475" s="4" t="inlineStr">
        <is>
          <t>Taken 2</t>
        </is>
      </c>
      <c r="F475" s="1" t="inlineStr">
        <is>
          <t>F0307</t>
        </is>
      </c>
    </row>
    <row r="476" ht="15.75" customHeight="1" s="95">
      <c r="A476" s="1" t="inlineStr">
        <is>
          <t>D.J. Cotrona</t>
        </is>
      </c>
      <c r="B476" s="1" t="n">
        <v>1</v>
      </c>
      <c r="C476" s="1" t="n">
        <v>2010</v>
      </c>
      <c r="D476" s="1" t="n">
        <v>2010</v>
      </c>
      <c r="E476" s="4" t="inlineStr">
        <is>
          <t>Dear John</t>
        </is>
      </c>
      <c r="F476" s="1" t="inlineStr">
        <is>
          <t>F0079</t>
        </is>
      </c>
    </row>
    <row r="477" ht="15.75" customHeight="1" s="95">
      <c r="A477" s="1" t="inlineStr">
        <is>
          <t>Dakota Fanning</t>
        </is>
      </c>
      <c r="B477" s="1" t="n">
        <v>2</v>
      </c>
      <c r="C477" s="1" t="n">
        <v>2005</v>
      </c>
      <c r="D477" s="1" t="n">
        <v>2019</v>
      </c>
      <c r="E477" s="4" t="inlineStr">
        <is>
          <t>War of the Worlds, Once Upon a Time… in Hollywood</t>
        </is>
      </c>
      <c r="F477" s="1" t="inlineStr">
        <is>
          <t>F0332, F0241</t>
        </is>
      </c>
    </row>
    <row r="478" ht="15.75" customHeight="1" s="95">
      <c r="A478" s="1" t="inlineStr">
        <is>
          <t>Damian Lewis</t>
        </is>
      </c>
      <c r="B478" s="1" t="n">
        <v>2</v>
      </c>
      <c r="C478" s="1" t="n">
        <v>2012</v>
      </c>
      <c r="D478" s="1" t="n">
        <v>2019</v>
      </c>
      <c r="E478" s="4" t="inlineStr">
        <is>
          <t>The Sweeney, Once Upon a Time… in Hollywood</t>
        </is>
      </c>
      <c r="F478" s="1" t="inlineStr">
        <is>
          <t>F0305, F0241</t>
        </is>
      </c>
    </row>
    <row r="479" ht="15.75" customHeight="1" s="95">
      <c r="A479" s="1" t="inlineStr">
        <is>
          <t>Damson Idris</t>
        </is>
      </c>
      <c r="B479" s="1" t="n">
        <v>1</v>
      </c>
      <c r="C479" s="1" t="n">
        <v>2025</v>
      </c>
      <c r="D479" s="1" t="n">
        <v>2025</v>
      </c>
      <c r="E479" s="4" t="inlineStr">
        <is>
          <t>F1</t>
        </is>
      </c>
      <c r="F479" s="1" t="inlineStr">
        <is>
          <t>F0098</t>
        </is>
      </c>
    </row>
    <row r="480" ht="15.75" customHeight="1" s="95">
      <c r="A480" s="1" t="inlineStr">
        <is>
          <t>Dan Aykroyd</t>
        </is>
      </c>
      <c r="B480" s="1" t="n">
        <v>2</v>
      </c>
      <c r="C480" s="1" t="n">
        <v>2001</v>
      </c>
      <c r="D480" s="1" t="n">
        <v>2010</v>
      </c>
      <c r="E480" s="4" t="inlineStr">
        <is>
          <t>Yogi Bear, Pearl Harbor</t>
        </is>
      </c>
      <c r="F480" s="1" t="inlineStr">
        <is>
          <t>F0348, F0246</t>
        </is>
      </c>
    </row>
    <row r="481" ht="15.75" customHeight="1" s="95">
      <c r="A481" s="1" t="inlineStr">
        <is>
          <t>Dan Fogler</t>
        </is>
      </c>
      <c r="B481" s="1" t="n">
        <v>1</v>
      </c>
      <c r="C481" s="1" t="n">
        <v>2016</v>
      </c>
      <c r="D481" s="1" t="n">
        <v>2016</v>
      </c>
      <c r="E481" s="4" t="inlineStr">
        <is>
          <t>Fantastic Beasts and Where to Find Them</t>
        </is>
      </c>
      <c r="F481" s="1" t="inlineStr">
        <is>
          <t>F0100</t>
        </is>
      </c>
    </row>
    <row r="482" ht="15.75" customHeight="1" s="95">
      <c r="A482" s="1" t="inlineStr">
        <is>
          <t>Dan O'Herlihy</t>
        </is>
      </c>
      <c r="B482" s="1" t="n">
        <v>1</v>
      </c>
      <c r="C482" s="1" t="n"/>
      <c r="D482" s="1" t="n"/>
      <c r="E482" s="4" t="inlineStr">
        <is>
          <t>RoboCop</t>
        </is>
      </c>
      <c r="F482" s="1" t="inlineStr">
        <is>
          <t>F0268</t>
        </is>
      </c>
    </row>
    <row r="483" ht="15.75" customHeight="1" s="95">
      <c r="A483" s="1" t="inlineStr">
        <is>
          <t>Daniel Brühl</t>
        </is>
      </c>
      <c r="B483" s="1" t="n">
        <v>3</v>
      </c>
      <c r="C483" s="1" t="n">
        <v>2007</v>
      </c>
      <c r="D483" s="1" t="n">
        <v>2013</v>
      </c>
      <c r="E483" s="4" t="inlineStr">
        <is>
          <t>Rush, The Bourne Ultimatum, Inglourious Basterds</t>
        </is>
      </c>
      <c r="F483" s="1" t="inlineStr">
        <is>
          <t>F0270, F0055, F0166</t>
        </is>
      </c>
    </row>
    <row r="484" ht="15.75" customHeight="1" s="95">
      <c r="A484" s="1" t="inlineStr">
        <is>
          <t>Daniel Henney</t>
        </is>
      </c>
      <c r="B484" s="1" t="n">
        <v>2</v>
      </c>
      <c r="C484" s="1" t="n">
        <v>2009</v>
      </c>
      <c r="D484" s="1" t="n">
        <v>2014</v>
      </c>
      <c r="E484" s="4" t="inlineStr">
        <is>
          <t>Big Hero 6, X-Men Origins: Wolverine</t>
        </is>
      </c>
      <c r="F484" s="1" t="inlineStr">
        <is>
          <t>F0048, F0343</t>
        </is>
      </c>
    </row>
    <row r="485" ht="15.75" customHeight="1" s="95">
      <c r="A485" s="1" t="inlineStr">
        <is>
          <t>Daniel Mays</t>
        </is>
      </c>
      <c r="B485" s="1" t="n">
        <v>1</v>
      </c>
      <c r="C485" s="1" t="n">
        <v>2008</v>
      </c>
      <c r="D485" s="1" t="n">
        <v>2008</v>
      </c>
      <c r="E485" s="4" t="inlineStr">
        <is>
          <t>The Bank Job</t>
        </is>
      </c>
      <c r="F485" s="1" t="inlineStr">
        <is>
          <t>F0040</t>
        </is>
      </c>
    </row>
    <row r="486" ht="15.75" customHeight="1" s="95">
      <c r="A486" s="1" t="inlineStr">
        <is>
          <t>Daniel Olbrychski</t>
        </is>
      </c>
      <c r="B486" s="1" t="n">
        <v>1</v>
      </c>
      <c r="C486" s="1" t="n">
        <v>2010</v>
      </c>
      <c r="D486" s="1" t="n">
        <v>2010</v>
      </c>
      <c r="E486" s="4" t="inlineStr">
        <is>
          <t>Salt</t>
        </is>
      </c>
      <c r="F486" s="1" t="inlineStr">
        <is>
          <t>F0273</t>
        </is>
      </c>
    </row>
    <row r="487" ht="15.75" customHeight="1" s="95">
      <c r="A487" s="1" t="inlineStr">
        <is>
          <t>Daniella Pineda</t>
        </is>
      </c>
      <c r="B487" s="1" t="n">
        <v>2</v>
      </c>
      <c r="C487" s="1" t="n">
        <v>2018</v>
      </c>
      <c r="D487" s="1" t="n">
        <v>2022</v>
      </c>
      <c r="E487" s="4" t="inlineStr">
        <is>
          <t>Jurassic World: Fallen Kingdom, Jurassic World Dominion</t>
        </is>
      </c>
      <c r="F487" s="1" t="inlineStr">
        <is>
          <t>F0180, F0181</t>
        </is>
      </c>
    </row>
    <row r="488" ht="15.75" customHeight="1" s="95">
      <c r="A488" s="1" t="inlineStr">
        <is>
          <t>Danny Huston</t>
        </is>
      </c>
      <c r="B488" s="1" t="n">
        <v>2</v>
      </c>
      <c r="C488" s="1" t="n">
        <v>2009</v>
      </c>
      <c r="D488" s="1" t="n">
        <v>2010</v>
      </c>
      <c r="E488" s="4" t="inlineStr">
        <is>
          <t>X-Men Origins: Wolverine, Robin Hood</t>
        </is>
      </c>
      <c r="F488" s="1" t="inlineStr">
        <is>
          <t>F0343, F0267</t>
        </is>
      </c>
    </row>
    <row r="489" ht="15.75" customHeight="1" s="95">
      <c r="A489" s="1" t="inlineStr">
        <is>
          <t>Dave Bautista</t>
        </is>
      </c>
      <c r="B489" s="1" t="n">
        <v>4</v>
      </c>
      <c r="C489" s="1" t="n">
        <v>2013</v>
      </c>
      <c r="D489" s="1" t="n">
        <v>2019</v>
      </c>
      <c r="E489" s="4" t="inlineStr">
        <is>
          <t>Riddick, Spectre, Avengers: Infinity War, Avengers: Endgame</t>
        </is>
      </c>
      <c r="F489" s="1" t="inlineStr">
        <is>
          <t>F0264, F0004, F0030, F0031</t>
        </is>
      </c>
    </row>
    <row r="490" ht="15.75" customHeight="1" s="95">
      <c r="A490" s="1" t="inlineStr">
        <is>
          <t>Dave Foley</t>
        </is>
      </c>
      <c r="B490" s="1" t="n">
        <v>2</v>
      </c>
      <c r="C490" s="1" t="n">
        <v>1998</v>
      </c>
      <c r="D490" s="1" t="n">
        <v>2013</v>
      </c>
      <c r="E490" s="4" t="inlineStr">
        <is>
          <t>A Bug's Life, Monsters University</t>
        </is>
      </c>
      <c r="F490" s="1" t="inlineStr">
        <is>
          <t>F0012, F0230</t>
        </is>
      </c>
    </row>
    <row r="491" ht="15.75" customHeight="1" s="95">
      <c r="A491" s="1" t="inlineStr">
        <is>
          <t>Dave Franco</t>
        </is>
      </c>
      <c r="B491" s="1" t="n">
        <v>3</v>
      </c>
      <c r="C491" s="1" t="n">
        <v>2007</v>
      </c>
      <c r="D491" s="1" t="n">
        <v>2014</v>
      </c>
      <c r="E491" s="4" t="inlineStr">
        <is>
          <t>21 Jump Street, The Lego Movie, Superbad</t>
        </is>
      </c>
      <c r="F491" s="1" t="inlineStr">
        <is>
          <t>F0007, F0195, F0303</t>
        </is>
      </c>
    </row>
    <row r="492" ht="15.75" customHeight="1" s="95">
      <c r="A492" s="1" t="inlineStr">
        <is>
          <t>David Corenswet</t>
        </is>
      </c>
      <c r="B492" s="1" t="n">
        <v>1</v>
      </c>
      <c r="C492" s="1" t="n">
        <v>2025</v>
      </c>
      <c r="D492" s="1" t="n">
        <v>2025</v>
      </c>
      <c r="E492" s="4" t="inlineStr">
        <is>
          <t>Superman</t>
        </is>
      </c>
      <c r="F492" s="1" t="inlineStr">
        <is>
          <t>F0304</t>
        </is>
      </c>
    </row>
    <row r="493" ht="15.75" customHeight="1" s="95">
      <c r="A493" s="1" t="inlineStr">
        <is>
          <t>David Harris</t>
        </is>
      </c>
      <c r="B493" s="1" t="n">
        <v>1</v>
      </c>
      <c r="C493" s="1" t="n">
        <v>1979</v>
      </c>
      <c r="D493" s="1" t="n">
        <v>1979</v>
      </c>
      <c r="E493" s="4" t="inlineStr">
        <is>
          <t>The Warriors</t>
        </is>
      </c>
      <c r="F493" s="1" t="inlineStr">
        <is>
          <t>F0334</t>
        </is>
      </c>
    </row>
    <row r="494" ht="15.75" customHeight="1" s="95">
      <c r="A494" s="1" t="inlineStr">
        <is>
          <t>David Huddleston</t>
        </is>
      </c>
      <c r="B494" s="1" t="n">
        <v>1</v>
      </c>
      <c r="C494" s="1" t="n">
        <v>1998</v>
      </c>
      <c r="D494" s="1" t="n">
        <v>1998</v>
      </c>
      <c r="E494" s="4" t="inlineStr">
        <is>
          <t>The Big Lebowski</t>
        </is>
      </c>
      <c r="F494" s="1" t="inlineStr">
        <is>
          <t>F0049</t>
        </is>
      </c>
    </row>
    <row r="495" ht="15.75" customHeight="1" s="95">
      <c r="A495" s="1" t="inlineStr">
        <is>
          <t>David Koechner</t>
        </is>
      </c>
      <c r="B495" s="1" t="n">
        <v>2</v>
      </c>
      <c r="C495" s="1" t="n">
        <v>2004</v>
      </c>
      <c r="D495" s="1" t="n">
        <v>2011</v>
      </c>
      <c r="E495" s="4" t="inlineStr">
        <is>
          <t>Anchorman: The Legend of Ron Burgundy, Paul</t>
        </is>
      </c>
      <c r="F495" s="1" t="inlineStr">
        <is>
          <t>F0022, F0245</t>
        </is>
      </c>
    </row>
    <row r="496" ht="15.75" customHeight="1" s="95">
      <c r="A496" s="1" t="inlineStr">
        <is>
          <t>David Oyelowo</t>
        </is>
      </c>
      <c r="B496" s="1" t="n">
        <v>3</v>
      </c>
      <c r="C496" s="1" t="n">
        <v>2011</v>
      </c>
      <c r="D496" s="1" t="n">
        <v>2014</v>
      </c>
      <c r="E496" s="4" t="inlineStr">
        <is>
          <t>Jack Reacher, Interstellar, Rise of the Planet of the Apes</t>
        </is>
      </c>
      <c r="F496" s="1" t="inlineStr">
        <is>
          <t>F0171, F0168, F0253</t>
        </is>
      </c>
    </row>
    <row r="497" ht="15.75" customHeight="1" s="95">
      <c r="A497" s="1" t="inlineStr">
        <is>
          <t>David Patrick Kelly</t>
        </is>
      </c>
      <c r="B497" s="1" t="n">
        <v>1</v>
      </c>
      <c r="C497" s="1" t="n">
        <v>1979</v>
      </c>
      <c r="D497" s="1" t="n">
        <v>1979</v>
      </c>
      <c r="E497" s="4" t="inlineStr">
        <is>
          <t>The Warriors</t>
        </is>
      </c>
      <c r="F497" s="1" t="inlineStr">
        <is>
          <t>F0334</t>
        </is>
      </c>
    </row>
    <row r="498" ht="15.75" customHeight="1" s="95">
      <c r="A498" s="1" t="inlineStr">
        <is>
          <t>David Strathairn</t>
        </is>
      </c>
      <c r="B498" s="1" t="n">
        <v>4</v>
      </c>
      <c r="C498" s="1" t="n">
        <v>2007</v>
      </c>
      <c r="D498" s="1" t="n">
        <v>2019</v>
      </c>
      <c r="E498" s="4" t="inlineStr">
        <is>
          <t>The Bourne Ultimatum, The Bourne Legacy, Godzilla, Godzilla: King of the Monsters</t>
        </is>
      </c>
      <c r="F498" s="1" t="inlineStr">
        <is>
          <t>F0055, F0056, F0121, F0122</t>
        </is>
      </c>
    </row>
    <row r="499" ht="15.75" customHeight="1" s="95">
      <c r="A499" s="1" t="inlineStr">
        <is>
          <t>Deborah Ann Woll</t>
        </is>
      </c>
      <c r="B499" s="1" t="n">
        <v>1</v>
      </c>
      <c r="C499" s="1" t="n">
        <v>2011</v>
      </c>
      <c r="D499" s="1" t="n">
        <v>2011</v>
      </c>
      <c r="E499" s="4" t="inlineStr">
        <is>
          <t>Catch.44</t>
        </is>
      </c>
      <c r="F499" s="1" t="inlineStr">
        <is>
          <t>F0063</t>
        </is>
      </c>
    </row>
    <row r="500" ht="15.75" customHeight="1" s="95">
      <c r="A500" s="1" t="inlineStr">
        <is>
          <t>Delroy Lindo</t>
        </is>
      </c>
      <c r="B500" s="1" t="n">
        <v>1</v>
      </c>
      <c r="C500" s="1" t="n">
        <v>2009</v>
      </c>
      <c r="D500" s="1" t="n">
        <v>2009</v>
      </c>
      <c r="E500" s="4" t="inlineStr">
        <is>
          <t>Up</t>
        </is>
      </c>
      <c r="F500" s="1" t="inlineStr">
        <is>
          <t>F0330</t>
        </is>
      </c>
    </row>
    <row r="501" ht="15.75" customHeight="1" s="95">
      <c r="A501" s="1" t="inlineStr">
        <is>
          <t>Demián Bichir</t>
        </is>
      </c>
      <c r="B501" s="1" t="n">
        <v>2</v>
      </c>
      <c r="C501" s="1" t="n">
        <v>2013</v>
      </c>
      <c r="D501" s="1" t="n">
        <v>2021</v>
      </c>
      <c r="E501" s="4" t="inlineStr">
        <is>
          <t>The Heat, Godzilla vs. Kong</t>
        </is>
      </c>
      <c r="F501" s="1" t="inlineStr">
        <is>
          <t>F0146, F0123</t>
        </is>
      </c>
    </row>
    <row r="502" ht="15.75" customHeight="1" s="95">
      <c r="A502" s="1" t="inlineStr">
        <is>
          <t>Dennis Boutsikaris</t>
        </is>
      </c>
      <c r="B502" s="1" t="n">
        <v>1</v>
      </c>
      <c r="C502" s="1" t="n">
        <v>2012</v>
      </c>
      <c r="D502" s="1" t="n">
        <v>2012</v>
      </c>
      <c r="E502" s="4" t="inlineStr">
        <is>
          <t>The Bourne Legacy</t>
        </is>
      </c>
      <c r="F502" s="1" t="inlineStr">
        <is>
          <t>F0056</t>
        </is>
      </c>
    </row>
    <row r="503" ht="15.75" customHeight="1" s="95">
      <c r="A503" s="1" t="inlineStr">
        <is>
          <t>Derek Jacobi</t>
        </is>
      </c>
      <c r="B503" s="1" t="n">
        <v>2</v>
      </c>
      <c r="C503" s="1" t="n">
        <v>2006</v>
      </c>
      <c r="D503" s="1" t="n">
        <v>2010</v>
      </c>
      <c r="E503" s="4" t="inlineStr">
        <is>
          <t>Underworld: Evolution, The King's Speech</t>
        </is>
      </c>
      <c r="F503" s="1" t="inlineStr">
        <is>
          <t>F0326, F0189</t>
        </is>
      </c>
    </row>
    <row r="504" ht="15.75" customHeight="1" s="95">
      <c r="A504" s="1" t="inlineStr">
        <is>
          <t>Dev Patel</t>
        </is>
      </c>
      <c r="B504" s="1" t="n">
        <v>1</v>
      </c>
      <c r="C504" s="1" t="n">
        <v>2008</v>
      </c>
      <c r="D504" s="1" t="n">
        <v>2008</v>
      </c>
      <c r="E504" s="4" t="inlineStr">
        <is>
          <t>Slumdog Millionaire</t>
        </is>
      </c>
      <c r="F504" s="1" t="inlineStr">
        <is>
          <t>F0281</t>
        </is>
      </c>
    </row>
    <row r="505" ht="15.75" customHeight="1" s="95">
      <c r="A505" s="1" t="inlineStr">
        <is>
          <t>Diane Keaton</t>
        </is>
      </c>
      <c r="B505" s="1" t="n">
        <v>1</v>
      </c>
      <c r="C505" s="1" t="n">
        <v>2016</v>
      </c>
      <c r="D505" s="1" t="n">
        <v>2016</v>
      </c>
      <c r="E505" s="4" t="inlineStr">
        <is>
          <t>Finding Dory</t>
        </is>
      </c>
      <c r="F505" s="1" t="inlineStr">
        <is>
          <t>F0113</t>
        </is>
      </c>
    </row>
    <row r="506" ht="15.75" customHeight="1" s="95">
      <c r="A506" s="1" t="inlineStr">
        <is>
          <t>Diane Lane</t>
        </is>
      </c>
      <c r="B506" s="1" t="n">
        <v>3</v>
      </c>
      <c r="C506" s="1" t="n">
        <v>2008</v>
      </c>
      <c r="D506" s="1" t="n">
        <v>2015</v>
      </c>
      <c r="E506" s="4" t="inlineStr">
        <is>
          <t>Man of Steel, Inside Out, Jumper</t>
        </is>
      </c>
      <c r="F506" s="1" t="inlineStr">
        <is>
          <t>F0211, F0167, F0175</t>
        </is>
      </c>
    </row>
    <row r="507" ht="15.75" customHeight="1" s="95">
      <c r="A507" s="1" t="inlineStr">
        <is>
          <t>Dickie Jones</t>
        </is>
      </c>
      <c r="B507" s="1" t="n">
        <v>1</v>
      </c>
      <c r="C507" s="1" t="n">
        <v>1940</v>
      </c>
      <c r="D507" s="1" t="n">
        <v>1940</v>
      </c>
      <c r="E507" s="4" t="inlineStr">
        <is>
          <t>Pinocchio</t>
        </is>
      </c>
      <c r="F507" s="1" t="inlineStr">
        <is>
          <t>F0248</t>
        </is>
      </c>
    </row>
    <row r="508" ht="15.75" customHeight="1" s="95">
      <c r="A508" s="1" t="inlineStr">
        <is>
          <t>Diedrich Bader</t>
        </is>
      </c>
      <c r="B508" s="1" t="n">
        <v>1</v>
      </c>
      <c r="C508" s="1" t="n">
        <v>2015</v>
      </c>
      <c r="D508" s="1" t="n">
        <v>2015</v>
      </c>
      <c r="E508" s="4" t="inlineStr">
        <is>
          <t>Lego DC Comics Super Heroes: Justice League vs. Bizarro League</t>
        </is>
      </c>
      <c r="F508" s="1" t="inlineStr">
        <is>
          <t>F0197</t>
        </is>
      </c>
    </row>
    <row r="509" ht="15.75" customHeight="1" s="95">
      <c r="A509" s="1" t="inlineStr">
        <is>
          <t>Diego Luna</t>
        </is>
      </c>
      <c r="B509" s="1" t="n">
        <v>1</v>
      </c>
      <c r="C509" s="1" t="n">
        <v>2013</v>
      </c>
      <c r="D509" s="1" t="n">
        <v>2013</v>
      </c>
      <c r="E509" s="4" t="inlineStr">
        <is>
          <t>Elysium</t>
        </is>
      </c>
      <c r="F509" s="1" t="inlineStr">
        <is>
          <t>F0093</t>
        </is>
      </c>
    </row>
    <row r="510" ht="15.75" customHeight="1" s="95">
      <c r="A510" s="1" t="inlineStr">
        <is>
          <t>Dilshad Vadsaria</t>
        </is>
      </c>
      <c r="B510" s="1" t="n">
        <v>1</v>
      </c>
      <c r="C510" s="1" t="n">
        <v>2011</v>
      </c>
      <c r="D510" s="1" t="n">
        <v>2011</v>
      </c>
      <c r="E510" s="4" t="inlineStr">
        <is>
          <t>30 Minutes or Less</t>
        </is>
      </c>
      <c r="F510" s="1" t="inlineStr">
        <is>
          <t>F0009</t>
        </is>
      </c>
    </row>
    <row r="511" ht="15.75" customHeight="1" s="95">
      <c r="A511" s="1" t="inlineStr">
        <is>
          <t>Dominic Cooper</t>
        </is>
      </c>
      <c r="B511" s="1" t="n">
        <v>2</v>
      </c>
      <c r="C511" s="1" t="n">
        <v>2008</v>
      </c>
      <c r="D511" s="1" t="n">
        <v>2014</v>
      </c>
      <c r="E511" s="4" t="inlineStr">
        <is>
          <t>Need for Speed, Mamma Mia!</t>
        </is>
      </c>
      <c r="F511" s="1" t="inlineStr">
        <is>
          <t>F0234, F0209</t>
        </is>
      </c>
    </row>
    <row r="512" ht="15.75" customHeight="1" s="95">
      <c r="A512" s="1" t="inlineStr">
        <is>
          <t>Dominique Fishback</t>
        </is>
      </c>
      <c r="B512" s="1" t="n">
        <v>1</v>
      </c>
      <c r="C512" s="1" t="n">
        <v>2023</v>
      </c>
      <c r="D512" s="1" t="n">
        <v>2023</v>
      </c>
      <c r="E512" s="4" t="inlineStr">
        <is>
          <t>Transformers: Rise of the Beasts</t>
        </is>
      </c>
      <c r="F512" s="1" t="inlineStr">
        <is>
          <t>F0321</t>
        </is>
      </c>
    </row>
    <row r="513" ht="15.75" customHeight="1" s="95">
      <c r="A513" s="1" t="inlineStr">
        <is>
          <t>Dominique Pinon</t>
        </is>
      </c>
      <c r="B513" s="1" t="n">
        <v>1</v>
      </c>
      <c r="C513" s="1" t="n">
        <v>1997</v>
      </c>
      <c r="D513" s="1" t="n">
        <v>1997</v>
      </c>
      <c r="E513" s="4" t="inlineStr">
        <is>
          <t>Alien Resurrection</t>
        </is>
      </c>
      <c r="F513" s="1" t="inlineStr">
        <is>
          <t>F0018</t>
        </is>
      </c>
    </row>
    <row r="514" ht="15.75" customHeight="1" s="95">
      <c r="A514" s="1" t="inlineStr">
        <is>
          <t>Don Cheadle</t>
        </is>
      </c>
      <c r="B514" s="1" t="n">
        <v>3</v>
      </c>
      <c r="C514" s="1" t="n">
        <v>2013</v>
      </c>
      <c r="D514" s="1" t="n">
        <v>2019</v>
      </c>
      <c r="E514" s="4" t="inlineStr">
        <is>
          <t>Iron Man 3, Avengers: Infinity War, Avengers: Endgame</t>
        </is>
      </c>
      <c r="F514" s="1" t="inlineStr">
        <is>
          <t>F0169, F0030, F0031</t>
        </is>
      </c>
    </row>
    <row r="515" ht="15.75" customHeight="1" s="95">
      <c r="A515" s="1" t="inlineStr">
        <is>
          <t>Dorsey Wright</t>
        </is>
      </c>
      <c r="B515" s="1" t="n">
        <v>1</v>
      </c>
      <c r="C515" s="1" t="n">
        <v>1979</v>
      </c>
      <c r="D515" s="1" t="n">
        <v>1979</v>
      </c>
      <c r="E515" s="4" t="inlineStr">
        <is>
          <t>The Warriors</t>
        </is>
      </c>
      <c r="F515" s="1" t="inlineStr">
        <is>
          <t>F0334</t>
        </is>
      </c>
    </row>
    <row r="516" ht="15.75" customHeight="1" s="95">
      <c r="A516" s="1" t="inlineStr">
        <is>
          <t>Dougray Scott</t>
        </is>
      </c>
      <c r="B516" s="1" t="n">
        <v>1</v>
      </c>
      <c r="C516" s="1" t="n">
        <v>2000</v>
      </c>
      <c r="D516" s="1" t="n">
        <v>2000</v>
      </c>
      <c r="E516" s="4" t="inlineStr">
        <is>
          <t>Mission: Impossible II</t>
        </is>
      </c>
      <c r="F516" s="1" t="inlineStr">
        <is>
          <t>F0222</t>
        </is>
      </c>
    </row>
    <row r="517" ht="15.75" customHeight="1" s="95">
      <c r="A517" s="1" t="inlineStr">
        <is>
          <t>Dylan McDermott</t>
        </is>
      </c>
      <c r="B517" s="1" t="n">
        <v>1</v>
      </c>
      <c r="C517" s="1" t="n">
        <v>2013</v>
      </c>
      <c r="D517" s="1" t="n">
        <v>2013</v>
      </c>
      <c r="E517" s="4" t="inlineStr">
        <is>
          <t>Olympus Has Fallen</t>
        </is>
      </c>
      <c r="F517" s="1" t="inlineStr">
        <is>
          <t>F0240</t>
        </is>
      </c>
    </row>
    <row r="518" ht="15.75" customHeight="1" s="95">
      <c r="A518" s="1" t="inlineStr">
        <is>
          <t>Dylan Moran</t>
        </is>
      </c>
      <c r="B518" s="1" t="n">
        <v>1</v>
      </c>
      <c r="C518" s="1" t="n">
        <v>2004</v>
      </c>
      <c r="D518" s="1" t="n">
        <v>2004</v>
      </c>
      <c r="E518" s="4" t="inlineStr">
        <is>
          <t>Shaun of the Dead</t>
        </is>
      </c>
      <c r="F518" s="1" t="inlineStr">
        <is>
          <t>F0070</t>
        </is>
      </c>
    </row>
    <row r="519" ht="15.75" customHeight="1" s="95">
      <c r="A519" s="1" t="inlineStr">
        <is>
          <t>Dylan O'Brien</t>
        </is>
      </c>
      <c r="B519" s="1" t="n">
        <v>2</v>
      </c>
      <c r="C519" s="1" t="n">
        <v>2014</v>
      </c>
      <c r="D519" s="1" t="n">
        <v>2018</v>
      </c>
      <c r="E519" s="4" t="inlineStr">
        <is>
          <t>The Maze Runner, Bumblebee</t>
        </is>
      </c>
      <c r="F519" s="1" t="inlineStr">
        <is>
          <t>F0217, F0061</t>
        </is>
      </c>
    </row>
    <row r="520" ht="15.75" customHeight="1" s="95">
      <c r="A520" s="1" t="inlineStr">
        <is>
          <t>Ed Harris</t>
        </is>
      </c>
      <c r="B520" s="1" t="n">
        <v>3</v>
      </c>
      <c r="C520" s="1" t="n">
        <v>2007</v>
      </c>
      <c r="D520" s="1" t="n">
        <v>2013</v>
      </c>
      <c r="E520" s="4" t="inlineStr">
        <is>
          <t>National Treasure: Book of Secrets, Man on a Ledge, Snowpiercer</t>
        </is>
      </c>
      <c r="F520" s="1" t="inlineStr">
        <is>
          <t>F0233, F0210, F0283</t>
        </is>
      </c>
    </row>
    <row r="521" ht="15.75" customHeight="1" s="95">
      <c r="A521" s="1" t="inlineStr">
        <is>
          <t>Ed O'Neill</t>
        </is>
      </c>
      <c r="B521" s="1" t="n">
        <v>3</v>
      </c>
      <c r="C521" s="1" t="n">
        <v>2012</v>
      </c>
      <c r="D521" s="1" t="n">
        <v>2018</v>
      </c>
      <c r="E521" s="4" t="inlineStr">
        <is>
          <t>Finding Dory, Wreck-It Ralph, Ralph Breaks the Internet</t>
        </is>
      </c>
      <c r="F521" s="1" t="inlineStr">
        <is>
          <t>F0113, F0336, F0337</t>
        </is>
      </c>
    </row>
    <row r="522" ht="15.75" customHeight="1" s="95">
      <c r="A522" s="1" t="inlineStr">
        <is>
          <t>Edi Gathegi</t>
        </is>
      </c>
      <c r="B522" s="1" t="n">
        <v>2</v>
      </c>
      <c r="C522" s="1" t="n">
        <v>2011</v>
      </c>
      <c r="D522" s="1" t="n">
        <v>2025</v>
      </c>
      <c r="E522" s="4" t="inlineStr">
        <is>
          <t>Superman, X-Men: First Class</t>
        </is>
      </c>
      <c r="F522" s="1" t="inlineStr">
        <is>
          <t>F0304, F0340</t>
        </is>
      </c>
    </row>
    <row r="523" ht="15.75" customHeight="1" s="95">
      <c r="A523" s="1" t="inlineStr">
        <is>
          <t>Edward Burns</t>
        </is>
      </c>
      <c r="B523" s="1" t="n">
        <v>1</v>
      </c>
      <c r="C523" s="1" t="n">
        <v>2012</v>
      </c>
      <c r="D523" s="1" t="n">
        <v>2012</v>
      </c>
      <c r="E523" s="4" t="inlineStr">
        <is>
          <t>Man on a Ledge</t>
        </is>
      </c>
      <c r="F523" s="1" t="inlineStr">
        <is>
          <t>F0210</t>
        </is>
      </c>
    </row>
    <row r="524" ht="15.75" customHeight="1" s="95">
      <c r="A524" s="1" t="inlineStr">
        <is>
          <t>Elisabeth Shue</t>
        </is>
      </c>
      <c r="B524" s="1" t="n">
        <v>2</v>
      </c>
      <c r="C524" s="1" t="n">
        <v>1989</v>
      </c>
      <c r="D524" s="1" t="n">
        <v>1990</v>
      </c>
      <c r="E524" s="4" t="inlineStr">
        <is>
          <t>Back to the Future Part II, Back to the Future Part III</t>
        </is>
      </c>
      <c r="F524" s="1" t="inlineStr">
        <is>
          <t>F0034, F0035</t>
        </is>
      </c>
    </row>
    <row r="525" ht="15.75" customHeight="1" s="95">
      <c r="A525" s="1" t="inlineStr">
        <is>
          <t>Elissa Knight</t>
        </is>
      </c>
      <c r="B525" s="1" t="n">
        <v>1</v>
      </c>
      <c r="C525" s="1" t="n">
        <v>2008</v>
      </c>
      <c r="D525" s="1" t="n">
        <v>2008</v>
      </c>
      <c r="E525" s="4" t="inlineStr">
        <is>
          <t>WALL·E</t>
        </is>
      </c>
      <c r="F525" s="1" t="inlineStr">
        <is>
          <t>F0331</t>
        </is>
      </c>
    </row>
    <row r="526" ht="15.75" customHeight="1" s="95">
      <c r="A526" s="1" t="inlineStr">
        <is>
          <t>Elizabeth Daily</t>
        </is>
      </c>
      <c r="B526" s="1" t="n">
        <v>1</v>
      </c>
      <c r="C526" s="1" t="n">
        <v>2011</v>
      </c>
      <c r="D526" s="1" t="n">
        <v>2011</v>
      </c>
      <c r="E526" s="4" t="inlineStr">
        <is>
          <t>Happy Feet Two</t>
        </is>
      </c>
      <c r="F526" s="1" t="inlineStr">
        <is>
          <t>F0145</t>
        </is>
      </c>
    </row>
    <row r="527" ht="15.75" customHeight="1" s="95">
      <c r="A527" s="1" t="inlineStr">
        <is>
          <t>Elizabeth Debicki</t>
        </is>
      </c>
      <c r="B527" s="1" t="n">
        <v>1</v>
      </c>
      <c r="C527" s="1" t="n">
        <v>2013</v>
      </c>
      <c r="D527" s="1" t="n">
        <v>2013</v>
      </c>
      <c r="E527" s="4" t="inlineStr">
        <is>
          <t>The Great Gatsby</t>
        </is>
      </c>
      <c r="F527" s="1" t="inlineStr">
        <is>
          <t>F0126</t>
        </is>
      </c>
    </row>
    <row r="528" ht="15.75" customHeight="1" s="95">
      <c r="A528" s="1" t="inlineStr">
        <is>
          <t>Elizabeth Mkandawie</t>
        </is>
      </c>
      <c r="B528" s="1" t="n">
        <v>1</v>
      </c>
      <c r="C528" s="1" t="n">
        <v>2009</v>
      </c>
      <c r="D528" s="1" t="n">
        <v>2009</v>
      </c>
      <c r="E528" s="4" t="inlineStr">
        <is>
          <t>District 9</t>
        </is>
      </c>
      <c r="F528" s="1" t="inlineStr">
        <is>
          <t>F0088</t>
        </is>
      </c>
    </row>
    <row r="529" ht="15.75" customHeight="1" s="95">
      <c r="A529" s="1" t="inlineStr">
        <is>
          <t>Elizabeth Olsen</t>
        </is>
      </c>
      <c r="B529" s="1" t="n">
        <v>3</v>
      </c>
      <c r="C529" s="1" t="n">
        <v>2014</v>
      </c>
      <c r="D529" s="1" t="n">
        <v>2019</v>
      </c>
      <c r="E529" s="4" t="inlineStr">
        <is>
          <t>Godzilla, Avengers: Infinity War, Avengers: Endgame</t>
        </is>
      </c>
      <c r="F529" s="1" t="inlineStr">
        <is>
          <t>F0121, F0030, F0031</t>
        </is>
      </c>
    </row>
    <row r="530" ht="15.75" customHeight="1" s="95">
      <c r="A530" s="1" t="inlineStr">
        <is>
          <t>Elizabeth Rodriguez</t>
        </is>
      </c>
      <c r="B530" s="1" t="n">
        <v>1</v>
      </c>
      <c r="C530" s="1" t="n">
        <v>2017</v>
      </c>
      <c r="D530" s="1" t="n">
        <v>2017</v>
      </c>
      <c r="E530" s="4" t="inlineStr">
        <is>
          <t>Logan</t>
        </is>
      </c>
      <c r="F530" s="1" t="inlineStr">
        <is>
          <t>F0201</t>
        </is>
      </c>
    </row>
    <row r="531" ht="15.75" customHeight="1" s="95">
      <c r="A531" s="1" t="inlineStr">
        <is>
          <t>Ellen DeGeneres</t>
        </is>
      </c>
      <c r="B531" s="1" t="n">
        <v>1</v>
      </c>
      <c r="C531" s="1" t="n">
        <v>2016</v>
      </c>
      <c r="D531" s="1" t="n">
        <v>2016</v>
      </c>
      <c r="E531" s="4" t="inlineStr">
        <is>
          <t>Finding Dory</t>
        </is>
      </c>
      <c r="F531" s="1" t="inlineStr">
        <is>
          <t>F0113</t>
        </is>
      </c>
    </row>
    <row r="532" ht="15.75" customHeight="1" s="95">
      <c r="A532" s="1" t="inlineStr">
        <is>
          <t>Ellie Kemper</t>
        </is>
      </c>
      <c r="B532" s="1" t="n">
        <v>4</v>
      </c>
      <c r="C532" s="1" t="n">
        <v>2011</v>
      </c>
      <c r="D532" s="1" t="n">
        <v>2017</v>
      </c>
      <c r="E532" s="4" t="inlineStr">
        <is>
          <t>The Secret Life of Pets, 21 Jump Street, Bridesmaids, The Lego Batman Movie</t>
        </is>
      </c>
      <c r="F532" s="1" t="inlineStr">
        <is>
          <t>F0274, F0007, F0058, F0193</t>
        </is>
      </c>
    </row>
    <row r="533" ht="15.75" customHeight="1" s="95">
      <c r="A533" s="1" t="inlineStr">
        <is>
          <t>Elliot Page</t>
        </is>
      </c>
      <c r="B533" s="1" t="n">
        <v>3</v>
      </c>
      <c r="C533" s="1" t="n">
        <v>2006</v>
      </c>
      <c r="D533" s="1" t="n">
        <v>2014</v>
      </c>
      <c r="E533" s="4" t="inlineStr">
        <is>
          <t>Inception, X-Men: Days of Future Past, X-Men: The Last Stand</t>
        </is>
      </c>
      <c r="F533" s="1" t="inlineStr">
        <is>
          <t>F0165, F0341, F0346</t>
        </is>
      </c>
    </row>
    <row r="534" ht="15.75" customHeight="1" s="95">
      <c r="A534" s="1" t="inlineStr">
        <is>
          <t>Elodie Yung</t>
        </is>
      </c>
      <c r="B534" s="1" t="n">
        <v>1</v>
      </c>
      <c r="C534" s="1" t="n">
        <v>2017</v>
      </c>
      <c r="D534" s="1" t="n">
        <v>2017</v>
      </c>
      <c r="E534" s="4" t="inlineStr">
        <is>
          <t>The Hitman's Bodyguard</t>
        </is>
      </c>
      <c r="F534" s="1" t="inlineStr">
        <is>
          <t>F0149</t>
        </is>
      </c>
    </row>
    <row r="535" ht="15.75" customHeight="1" s="95">
      <c r="A535" s="1" t="inlineStr">
        <is>
          <t>Elsie Fisher</t>
        </is>
      </c>
      <c r="B535" s="1" t="n">
        <v>2</v>
      </c>
      <c r="C535" s="1" t="n">
        <v>2010</v>
      </c>
      <c r="D535" s="1" t="n">
        <v>2013</v>
      </c>
      <c r="E535" s="4" t="inlineStr">
        <is>
          <t>Despicable Me, Despicable Me 2</t>
        </is>
      </c>
      <c r="F535" s="1" t="inlineStr">
        <is>
          <t>F0082, F0083</t>
        </is>
      </c>
    </row>
    <row r="536" ht="15.75" customHeight="1" s="95">
      <c r="A536" s="1" t="inlineStr">
        <is>
          <t>Emilio Estevez</t>
        </is>
      </c>
      <c r="B536" s="1" t="n">
        <v>1</v>
      </c>
      <c r="C536" s="1" t="n">
        <v>1985</v>
      </c>
      <c r="D536" s="1" t="n">
        <v>1985</v>
      </c>
      <c r="E536" s="4" t="inlineStr">
        <is>
          <t>The Breakfast Club</t>
        </is>
      </c>
      <c r="F536" s="1" t="inlineStr">
        <is>
          <t>F0057</t>
        </is>
      </c>
    </row>
    <row r="537" ht="15.75" customHeight="1" s="95">
      <c r="A537" s="1" t="inlineStr">
        <is>
          <t>Emily Berrington</t>
        </is>
      </c>
      <c r="B537" s="1" t="n">
        <v>1</v>
      </c>
      <c r="C537" s="1" t="n">
        <v>2014</v>
      </c>
      <c r="D537" s="1" t="n">
        <v>2014</v>
      </c>
      <c r="E537" s="4" t="inlineStr">
        <is>
          <t>The Inbetweeners 2</t>
        </is>
      </c>
      <c r="F537" s="1" t="inlineStr">
        <is>
          <t>F0164</t>
        </is>
      </c>
    </row>
    <row r="538" ht="15.75" customHeight="1" s="95">
      <c r="A538" s="1" t="inlineStr">
        <is>
          <t>Emily Head</t>
        </is>
      </c>
      <c r="B538" s="1" t="n">
        <v>1</v>
      </c>
      <c r="C538" s="1" t="n">
        <v>2011</v>
      </c>
      <c r="D538" s="1" t="n">
        <v>2011</v>
      </c>
      <c r="E538" s="4" t="inlineStr">
        <is>
          <t>The Inbetweeners Movie</t>
        </is>
      </c>
      <c r="F538" s="1" t="inlineStr">
        <is>
          <t>F0163</t>
        </is>
      </c>
    </row>
    <row r="539" ht="15.75" customHeight="1" s="95">
      <c r="A539" s="1" t="inlineStr">
        <is>
          <t>Emily Watson</t>
        </is>
      </c>
      <c r="B539" s="1" t="n">
        <v>1</v>
      </c>
      <c r="C539" s="1" t="n">
        <v>2014</v>
      </c>
      <c r="D539" s="1" t="n">
        <v>2014</v>
      </c>
      <c r="E539" s="4" t="inlineStr">
        <is>
          <t>The Theory of Everything</t>
        </is>
      </c>
      <c r="F539" s="1" t="inlineStr">
        <is>
          <t>F0311</t>
        </is>
      </c>
    </row>
    <row r="540" ht="15.75" customHeight="1" s="95">
      <c r="A540" s="1" t="inlineStr">
        <is>
          <t>Emjay Anthony</t>
        </is>
      </c>
      <c r="B540" s="1" t="n">
        <v>2</v>
      </c>
      <c r="C540" s="1" t="n">
        <v>2014</v>
      </c>
      <c r="D540" s="1" t="n">
        <v>2016</v>
      </c>
      <c r="E540" s="4" t="inlineStr">
        <is>
          <t>Chef, Bad Moms</t>
        </is>
      </c>
      <c r="F540" s="1" t="inlineStr">
        <is>
          <t>F0065, F0038</t>
        </is>
      </c>
    </row>
    <row r="541" ht="15.75" customHeight="1" s="95">
      <c r="A541" s="1" t="inlineStr">
        <is>
          <t>Emma Corrin</t>
        </is>
      </c>
      <c r="B541" s="1" t="n">
        <v>1</v>
      </c>
      <c r="C541" s="1" t="n">
        <v>2024</v>
      </c>
      <c r="D541" s="1" t="n">
        <v>2024</v>
      </c>
      <c r="E541" s="4" t="inlineStr">
        <is>
          <t>Deadpool &amp; Wolverine</t>
        </is>
      </c>
      <c r="F541" s="1" t="inlineStr">
        <is>
          <t>F0078</t>
        </is>
      </c>
    </row>
    <row r="542" ht="15.75" customHeight="1" s="95">
      <c r="A542" s="1" t="inlineStr">
        <is>
          <t>Emma Thompson</t>
        </is>
      </c>
      <c r="B542" s="1" t="n">
        <v>3</v>
      </c>
      <c r="C542" s="1" t="n">
        <v>2004</v>
      </c>
      <c r="D542" s="1" t="n">
        <v>2012</v>
      </c>
      <c r="E542" s="4" t="inlineStr">
        <is>
          <t>Men in Black 3, Harry Potter and the Prisoner of Azkaban, Harry Potter and the Order of the Phoenix</t>
        </is>
      </c>
      <c r="F542" s="1" t="inlineStr">
        <is>
          <t>F0219, F0139, F0141</t>
        </is>
      </c>
    </row>
    <row r="543" ht="15.75" customHeight="1" s="95">
      <c r="A543" s="1" t="inlineStr">
        <is>
          <t>Emmanuelle Béart</t>
        </is>
      </c>
      <c r="B543" s="1" t="n">
        <v>1</v>
      </c>
      <c r="C543" s="1" t="n">
        <v>1996</v>
      </c>
      <c r="D543" s="1" t="n">
        <v>1996</v>
      </c>
      <c r="E543" s="4" t="inlineStr">
        <is>
          <t>Mission: Impossible</t>
        </is>
      </c>
      <c r="F543" s="1" t="inlineStr">
        <is>
          <t>F0221</t>
        </is>
      </c>
    </row>
    <row r="544" ht="15.75" customHeight="1" s="95">
      <c r="A544" s="1" t="inlineStr">
        <is>
          <t>Eric Bauza</t>
        </is>
      </c>
      <c r="B544" s="1" t="n">
        <v>2</v>
      </c>
      <c r="C544" s="1" t="n">
        <v>2016</v>
      </c>
      <c r="D544" s="1" t="n">
        <v>2023</v>
      </c>
      <c r="E544" s="4" t="inlineStr">
        <is>
          <t>Lego DC Comics Super Heroes: Justice League - Gotham City Breakout, The Super Mario Bros. Movie</t>
        </is>
      </c>
      <c r="F544" s="1" t="inlineStr">
        <is>
          <t>F0198, F0212</t>
        </is>
      </c>
    </row>
    <row r="545" ht="15.75" customHeight="1" s="95">
      <c r="A545" s="1" t="inlineStr">
        <is>
          <t>Eric Jacobson</t>
        </is>
      </c>
      <c r="B545" s="1" t="n">
        <v>1</v>
      </c>
      <c r="C545" s="1" t="n">
        <v>2014</v>
      </c>
      <c r="D545" s="1" t="n">
        <v>2014</v>
      </c>
      <c r="E545" s="4" t="inlineStr">
        <is>
          <t>Muppets Most Wanted</t>
        </is>
      </c>
      <c r="F545" s="1" t="inlineStr">
        <is>
          <t>F0232</t>
        </is>
      </c>
    </row>
    <row r="546" ht="15.75" customHeight="1" s="95">
      <c r="A546" s="1" t="inlineStr">
        <is>
          <t>Eric Roberts</t>
        </is>
      </c>
      <c r="B546" s="1" t="n">
        <v>2</v>
      </c>
      <c r="C546" s="1" t="n">
        <v>2008</v>
      </c>
      <c r="D546" s="1" t="n">
        <v>2010</v>
      </c>
      <c r="E546" s="4" t="inlineStr">
        <is>
          <t>The Expendables, The Dark Knight</t>
        </is>
      </c>
      <c r="F546" s="1" t="inlineStr">
        <is>
          <t>F0095, F0044</t>
        </is>
      </c>
    </row>
    <row r="547" ht="15.75" customHeight="1" s="95">
      <c r="A547" s="1" t="inlineStr">
        <is>
          <t>Eric Stonestreet</t>
        </is>
      </c>
      <c r="B547" s="1" t="n">
        <v>2</v>
      </c>
      <c r="C547" s="1" t="n">
        <v>2011</v>
      </c>
      <c r="D547" s="1" t="n">
        <v>2016</v>
      </c>
      <c r="E547" s="4" t="inlineStr">
        <is>
          <t>The Secret Life of Pets, Bad Teacher</t>
        </is>
      </c>
      <c r="F547" s="1" t="inlineStr">
        <is>
          <t>F0274, F0039</t>
        </is>
      </c>
    </row>
    <row r="548" ht="15.75" customHeight="1" s="95">
      <c r="A548" s="1" t="inlineStr">
        <is>
          <t>Ernie Sabella</t>
        </is>
      </c>
      <c r="B548" s="1" t="n">
        <v>1</v>
      </c>
      <c r="C548" s="1" t="n">
        <v>1994</v>
      </c>
      <c r="D548" s="1" t="n">
        <v>1994</v>
      </c>
      <c r="E548" s="4" t="inlineStr">
        <is>
          <t>The Lion King</t>
        </is>
      </c>
      <c r="F548" s="1" t="inlineStr">
        <is>
          <t>F0200</t>
        </is>
      </c>
    </row>
    <row r="549" ht="15.75" customHeight="1" s="95">
      <c r="A549" s="1" t="inlineStr">
        <is>
          <t>Esai Morales</t>
        </is>
      </c>
      <c r="B549" s="1" t="n">
        <v>2</v>
      </c>
      <c r="C549" s="1" t="n">
        <v>2023</v>
      </c>
      <c r="D549" s="1" t="n">
        <v>2025</v>
      </c>
      <c r="E549" s="4" t="inlineStr">
        <is>
          <t>Mission: Impossible - The Final Reckoning, Mission: Impossible - Dead Reckoning Part One</t>
        </is>
      </c>
      <c r="F549" s="1" t="inlineStr">
        <is>
          <t>F0228, F0227</t>
        </is>
      </c>
    </row>
    <row r="550" ht="15.75" customHeight="1" s="95">
      <c r="A550" s="1" t="inlineStr">
        <is>
          <t>Ethan Hawke</t>
        </is>
      </c>
      <c r="B550" s="1" t="n">
        <v>1</v>
      </c>
      <c r="C550" s="1" t="n">
        <v>2016</v>
      </c>
      <c r="D550" s="1" t="n">
        <v>2016</v>
      </c>
      <c r="E550" s="4" t="inlineStr">
        <is>
          <t>The Magnificent Seven</t>
        </is>
      </c>
      <c r="F550" s="1" t="inlineStr">
        <is>
          <t>F0207</t>
        </is>
      </c>
    </row>
    <row r="551" ht="15.75" customHeight="1" s="95">
      <c r="A551" s="1" t="inlineStr">
        <is>
          <t>Eva Green</t>
        </is>
      </c>
      <c r="B551" s="1" t="n">
        <v>1</v>
      </c>
      <c r="C551" s="1" t="n">
        <v>2006</v>
      </c>
      <c r="D551" s="1" t="n">
        <v>2006</v>
      </c>
      <c r="E551" s="4" t="inlineStr">
        <is>
          <t>Casino Royale</t>
        </is>
      </c>
      <c r="F551" s="1" t="inlineStr">
        <is>
          <t>F0001</t>
        </is>
      </c>
    </row>
    <row r="552" ht="15.75" customHeight="1" s="95">
      <c r="A552" s="1" t="inlineStr">
        <is>
          <t>Eva Mendes</t>
        </is>
      </c>
      <c r="B552" s="1" t="n">
        <v>2</v>
      </c>
      <c r="C552" s="1" t="n">
        <v>2003</v>
      </c>
      <c r="D552" s="1" t="n">
        <v>2009</v>
      </c>
      <c r="E552" s="4" t="inlineStr">
        <is>
          <t>2 Fast 2 Furious, Fast &amp; Furious</t>
        </is>
      </c>
      <c r="F552" s="1" t="inlineStr">
        <is>
          <t>F0102, F0104</t>
        </is>
      </c>
    </row>
    <row r="553" ht="15.75" customHeight="1" s="95">
      <c r="A553" s="1" t="inlineStr">
        <is>
          <t>Evangeline Lilly</t>
        </is>
      </c>
      <c r="B553" s="1" t="n">
        <v>3</v>
      </c>
      <c r="C553" s="1" t="n">
        <v>2013</v>
      </c>
      <c r="D553" s="1" t="n">
        <v>2019</v>
      </c>
      <c r="E553" s="4" t="inlineStr">
        <is>
          <t>The Hobbit: The Battle of the Five Armies, Avengers: Endgame, The Hobbit: The Desolation of Smaug</t>
        </is>
      </c>
      <c r="F553" s="1" t="inlineStr">
        <is>
          <t>F0152, F0031, F0151</t>
        </is>
      </c>
    </row>
    <row r="554" ht="15.75" customHeight="1" s="95">
      <c r="A554" s="1" t="inlineStr">
        <is>
          <t>Evelyn Venable</t>
        </is>
      </c>
      <c r="B554" s="1" t="n">
        <v>1</v>
      </c>
      <c r="C554" s="1" t="n">
        <v>1940</v>
      </c>
      <c r="D554" s="1" t="n">
        <v>1940</v>
      </c>
      <c r="E554" s="4" t="inlineStr">
        <is>
          <t>Pinocchio</t>
        </is>
      </c>
      <c r="F554" s="1" t="inlineStr">
        <is>
          <t>F0248</t>
        </is>
      </c>
    </row>
    <row r="555" ht="15.75" customHeight="1" s="95">
      <c r="A555" s="1" t="inlineStr">
        <is>
          <t>Faysal  Ahmed</t>
        </is>
      </c>
      <c r="B555" s="1" t="n">
        <v>1</v>
      </c>
      <c r="C555" s="1" t="n">
        <v>2013</v>
      </c>
      <c r="D555" s="1" t="n">
        <v>2013</v>
      </c>
      <c r="E555" s="4" t="inlineStr">
        <is>
          <t>Captain Phillips</t>
        </is>
      </c>
      <c r="F555" s="1" t="inlineStr">
        <is>
          <t>F0062</t>
        </is>
      </c>
    </row>
    <row r="556" ht="15.75" customHeight="1" s="95">
      <c r="A556" s="1" t="inlineStr">
        <is>
          <t>Felicity Jones</t>
        </is>
      </c>
      <c r="B556" s="1" t="n">
        <v>1</v>
      </c>
      <c r="C556" s="1" t="n">
        <v>2014</v>
      </c>
      <c r="D556" s="1" t="n">
        <v>2014</v>
      </c>
      <c r="E556" s="4" t="inlineStr">
        <is>
          <t>The Theory of Everything</t>
        </is>
      </c>
      <c r="F556" s="1" t="inlineStr">
        <is>
          <t>F0311</t>
        </is>
      </c>
    </row>
    <row r="557" ht="15.75" customHeight="1" s="95">
      <c r="A557" s="1" t="inlineStr">
        <is>
          <t>Felicity Montagu</t>
        </is>
      </c>
      <c r="B557" s="1" t="n">
        <v>1</v>
      </c>
      <c r="C557" s="1" t="n">
        <v>2013</v>
      </c>
      <c r="D557" s="1" t="n">
        <v>2013</v>
      </c>
      <c r="E557" s="4" t="inlineStr">
        <is>
          <t>Alan Partridge: Alpha Papa</t>
        </is>
      </c>
      <c r="F557" s="1" t="inlineStr">
        <is>
          <t>F0014</t>
        </is>
      </c>
    </row>
    <row r="558" ht="15.75" customHeight="1" s="95">
      <c r="A558" s="1" t="inlineStr">
        <is>
          <t>Finley Jacobsen</t>
        </is>
      </c>
      <c r="B558" s="1" t="n">
        <v>1</v>
      </c>
      <c r="C558" s="1" t="n">
        <v>2013</v>
      </c>
      <c r="D558" s="1" t="n">
        <v>2013</v>
      </c>
      <c r="E558" s="4" t="inlineStr">
        <is>
          <t>Olympus Has Fallen</t>
        </is>
      </c>
      <c r="F558" s="1" t="inlineStr">
        <is>
          <t>F0240</t>
        </is>
      </c>
    </row>
    <row r="559" ht="15.75" customHeight="1" s="95">
      <c r="A559" s="1" t="inlineStr">
        <is>
          <t>Florence Pugh</t>
        </is>
      </c>
      <c r="B559" s="1" t="n">
        <v>1</v>
      </c>
      <c r="C559" s="1" t="n">
        <v>2023</v>
      </c>
      <c r="D559" s="1" t="n">
        <v>2023</v>
      </c>
      <c r="E559" s="4" t="inlineStr">
        <is>
          <t>Oppenheimer</t>
        </is>
      </c>
      <c r="F559" s="1" t="inlineStr">
        <is>
          <t>F0242</t>
        </is>
      </c>
    </row>
    <row r="560" ht="15.75" customHeight="1" s="95">
      <c r="A560" s="1" t="inlineStr">
        <is>
          <t>Frank Grillo</t>
        </is>
      </c>
      <c r="B560" s="1" t="n">
        <v>2</v>
      </c>
      <c r="C560" s="1" t="n">
        <v>2011</v>
      </c>
      <c r="D560" s="1" t="n">
        <v>2012</v>
      </c>
      <c r="E560" s="4" t="inlineStr">
        <is>
          <t>Warrior, Zero Dark Thirty</t>
        </is>
      </c>
      <c r="F560" s="1" t="inlineStr">
        <is>
          <t>F0333, F0349</t>
        </is>
      </c>
    </row>
    <row r="561" ht="15.75" customHeight="1" s="95">
      <c r="A561" s="1" t="inlineStr">
        <is>
          <t>Frank Welker</t>
        </is>
      </c>
      <c r="B561" s="1" t="n">
        <v>4</v>
      </c>
      <c r="C561" s="1" t="n">
        <v>1986</v>
      </c>
      <c r="D561" s="1" t="n">
        <v>2014</v>
      </c>
      <c r="E561" s="4" t="inlineStr">
        <is>
          <t>The Transformers: The Movie, Big Hero 6, The Lion King, Transformers: Age of Extinction</t>
        </is>
      </c>
      <c r="F561" s="1" t="inlineStr">
        <is>
          <t>F0322, F0048, F0200, F0319</t>
        </is>
      </c>
    </row>
    <row r="562" ht="15.75" customHeight="1" s="95">
      <c r="A562" s="1" t="inlineStr">
        <is>
          <t>Frank Williams</t>
        </is>
      </c>
      <c r="B562" s="1" t="n">
        <v>1</v>
      </c>
      <c r="C562" s="1" t="n">
        <v>2010</v>
      </c>
      <c r="D562" s="1" t="n">
        <v>2010</v>
      </c>
      <c r="E562" s="4" t="inlineStr">
        <is>
          <t>Senna</t>
        </is>
      </c>
      <c r="F562" s="1" t="inlineStr">
        <is>
          <t>F0275</t>
        </is>
      </c>
    </row>
    <row r="563" ht="15.75" customHeight="1" s="95">
      <c r="A563" s="1" t="inlineStr">
        <is>
          <t>Fred Willard</t>
        </is>
      </c>
      <c r="B563" s="1" t="n">
        <v>2</v>
      </c>
      <c r="C563" s="1" t="n">
        <v>2004</v>
      </c>
      <c r="D563" s="1" t="n">
        <v>2008</v>
      </c>
      <c r="E563" s="4" t="inlineStr">
        <is>
          <t>WALL·E, Anchorman: The Legend of Ron Burgundy</t>
        </is>
      </c>
      <c r="F563" s="1" t="inlineStr">
        <is>
          <t>F0331, F0022</t>
        </is>
      </c>
    </row>
    <row r="564" ht="15.75" customHeight="1" s="95">
      <c r="A564" s="1" t="inlineStr">
        <is>
          <t>Freya Allan</t>
        </is>
      </c>
      <c r="B564" s="1" t="n">
        <v>1</v>
      </c>
      <c r="C564" s="1" t="n">
        <v>2024</v>
      </c>
      <c r="D564" s="1" t="n">
        <v>2024</v>
      </c>
      <c r="E564" s="4" t="inlineStr">
        <is>
          <t>Kingdom of the Planet of the Apes</t>
        </is>
      </c>
      <c r="F564" s="1" t="inlineStr">
        <is>
          <t>F0256</t>
        </is>
      </c>
    </row>
    <row r="565" ht="15.75" customHeight="1" s="95">
      <c r="A565" s="1" t="inlineStr">
        <is>
          <t>Gabriella Wright</t>
        </is>
      </c>
      <c r="B565" s="1" t="n">
        <v>1</v>
      </c>
      <c r="C565" s="1" t="n">
        <v>2015</v>
      </c>
      <c r="D565" s="1" t="n">
        <v>2015</v>
      </c>
      <c r="E565" s="4" t="inlineStr">
        <is>
          <t>The Transporter Refueled</t>
        </is>
      </c>
      <c r="F565" s="1" t="inlineStr">
        <is>
          <t>F0323</t>
        </is>
      </c>
    </row>
    <row r="566" ht="15.75" customHeight="1" s="95">
      <c r="A566" s="1" t="inlineStr">
        <is>
          <t>Gabrielle Union</t>
        </is>
      </c>
      <c r="B566" s="1" t="n">
        <v>1</v>
      </c>
      <c r="C566" s="1" t="n">
        <v>2003</v>
      </c>
      <c r="D566" s="1" t="n">
        <v>2003</v>
      </c>
      <c r="E566" s="4" t="inlineStr">
        <is>
          <t>Bad Boys II</t>
        </is>
      </c>
      <c r="F566" s="1" t="inlineStr">
        <is>
          <t>F0037</t>
        </is>
      </c>
    </row>
    <row r="567" ht="15.75" customHeight="1" s="95">
      <c r="A567" s="1" t="inlineStr">
        <is>
          <t>Gaia Weiss</t>
        </is>
      </c>
      <c r="B567" s="1" t="n">
        <v>1</v>
      </c>
      <c r="C567" s="1" t="n">
        <v>2014</v>
      </c>
      <c r="D567" s="1" t="n">
        <v>2014</v>
      </c>
      <c r="E567" s="4" t="inlineStr">
        <is>
          <t>The Legend of Hercules</t>
        </is>
      </c>
      <c r="F567" s="1" t="inlineStr">
        <is>
          <t>F0148</t>
        </is>
      </c>
    </row>
    <row r="568" ht="15.75" customHeight="1" s="95">
      <c r="A568" s="1" t="inlineStr">
        <is>
          <t>Gal Gadot</t>
        </is>
      </c>
      <c r="B568" s="1" t="n">
        <v>3</v>
      </c>
      <c r="C568" s="1" t="n">
        <v>2011</v>
      </c>
      <c r="D568" s="1" t="n">
        <v>2018</v>
      </c>
      <c r="E568" s="4" t="inlineStr">
        <is>
          <t>Ralph Breaks the Internet, Fast Five, Fast &amp; Furious 6</t>
        </is>
      </c>
      <c r="F568" s="1" t="inlineStr">
        <is>
          <t>F0337, F0105, F0106</t>
        </is>
      </c>
    </row>
    <row r="569" ht="15.75" customHeight="1" s="95">
      <c r="A569" s="1" t="inlineStr">
        <is>
          <t>Gary Cole</t>
        </is>
      </c>
      <c r="B569" s="1" t="n">
        <v>1</v>
      </c>
      <c r="C569" s="1" t="n">
        <v>2008</v>
      </c>
      <c r="D569" s="1" t="n">
        <v>2008</v>
      </c>
      <c r="E569" s="4" t="inlineStr">
        <is>
          <t>Pineapple Express</t>
        </is>
      </c>
      <c r="F569" s="1" t="inlineStr">
        <is>
          <t>F0247</t>
        </is>
      </c>
    </row>
    <row r="570" ht="15.75" customHeight="1" s="95">
      <c r="A570" s="1" t="inlineStr">
        <is>
          <t>Gary Dourdan</t>
        </is>
      </c>
      <c r="B570" s="1" t="n">
        <v>1</v>
      </c>
      <c r="C570" s="1" t="n">
        <v>1997</v>
      </c>
      <c r="D570" s="1" t="n">
        <v>1997</v>
      </c>
      <c r="E570" s="4" t="inlineStr">
        <is>
          <t>Alien Resurrection</t>
        </is>
      </c>
      <c r="F570" s="1" t="inlineStr">
        <is>
          <t>F0018</t>
        </is>
      </c>
    </row>
    <row r="571" ht="15.75" customHeight="1" s="95">
      <c r="A571" s="1" t="inlineStr">
        <is>
          <t>Gemma Arterton</t>
        </is>
      </c>
      <c r="B571" s="1" t="n">
        <v>2</v>
      </c>
      <c r="C571" s="1" t="n">
        <v>2008</v>
      </c>
      <c r="D571" s="1" t="n">
        <v>2010</v>
      </c>
      <c r="E571" s="4" t="inlineStr">
        <is>
          <t>Clash of the Titans, Quantum of Solace</t>
        </is>
      </c>
      <c r="F571" s="1" t="inlineStr">
        <is>
          <t>F0066, F0002</t>
        </is>
      </c>
    </row>
    <row r="572" ht="15.75" customHeight="1" s="95">
      <c r="A572" s="1" t="inlineStr">
        <is>
          <t>Gemma Jones</t>
        </is>
      </c>
      <c r="B572" s="1" t="n">
        <v>4</v>
      </c>
      <c r="C572" s="1" t="n">
        <v>2002</v>
      </c>
      <c r="D572" s="1" t="n">
        <v>2019</v>
      </c>
      <c r="E572" s="4" t="inlineStr">
        <is>
          <t>Rocketman, Harry Potter and the Chamber of Secrets, Harry Potter and the Half-Blood Prince, Harry Potter and the Deathly Hallows: Part 2</t>
        </is>
      </c>
      <c r="F572" s="1" t="inlineStr">
        <is>
          <t>F0269, F0138, F0142, F0144</t>
        </is>
      </c>
    </row>
    <row r="573" ht="15.75" customHeight="1" s="95">
      <c r="A573" s="1" t="inlineStr">
        <is>
          <t>Gena Rowlands</t>
        </is>
      </c>
      <c r="B573" s="1" t="n">
        <v>1</v>
      </c>
      <c r="C573" s="1" t="n">
        <v>2004</v>
      </c>
      <c r="D573" s="1" t="n">
        <v>2004</v>
      </c>
      <c r="E573" s="4" t="inlineStr">
        <is>
          <t>The Notebook</t>
        </is>
      </c>
      <c r="F573" s="1" t="inlineStr">
        <is>
          <t>F0237</t>
        </is>
      </c>
    </row>
    <row r="574" ht="15.75" customHeight="1" s="95">
      <c r="A574" s="1" t="inlineStr">
        <is>
          <t>Gene Hackman</t>
        </is>
      </c>
      <c r="B574" s="1" t="n">
        <v>1</v>
      </c>
      <c r="C574" s="1" t="n">
        <v>1998</v>
      </c>
      <c r="D574" s="1" t="n">
        <v>1998</v>
      </c>
      <c r="E574" s="4" t="inlineStr">
        <is>
          <t>Enemy of the State</t>
        </is>
      </c>
      <c r="F574" s="1" t="inlineStr">
        <is>
          <t>F0094</t>
        </is>
      </c>
    </row>
    <row r="575" ht="15.75" customHeight="1" s="95">
      <c r="A575" s="1" t="inlineStr">
        <is>
          <t>Gene Wilder</t>
        </is>
      </c>
      <c r="B575" s="1" t="n">
        <v>1</v>
      </c>
      <c r="C575" s="1" t="n">
        <v>1971</v>
      </c>
      <c r="D575" s="1" t="n">
        <v>1971</v>
      </c>
      <c r="E575" s="4" t="inlineStr">
        <is>
          <t>Willy Wonka &amp; the Chocolate Factory</t>
        </is>
      </c>
      <c r="F575" s="1" t="inlineStr">
        <is>
          <t>F0339</t>
        </is>
      </c>
    </row>
    <row r="576" ht="15.75" customHeight="1" s="95">
      <c r="A576" s="1" t="inlineStr">
        <is>
          <t>Ger Ryan</t>
        </is>
      </c>
      <c r="B576" s="1" t="n">
        <v>1</v>
      </c>
      <c r="C576" s="1" t="n">
        <v>2013</v>
      </c>
      <c r="D576" s="1" t="n">
        <v>2013</v>
      </c>
      <c r="E576" s="4" t="inlineStr">
        <is>
          <t>Hummingbird</t>
        </is>
      </c>
      <c r="F576" s="1" t="inlineStr">
        <is>
          <t>F0156</t>
        </is>
      </c>
    </row>
    <row r="577" ht="15.75" customHeight="1" s="95">
      <c r="A577" s="1" t="inlineStr">
        <is>
          <t>Giancarlo Giannini</t>
        </is>
      </c>
      <c r="B577" s="1" t="n">
        <v>2</v>
      </c>
      <c r="C577" s="1" t="n">
        <v>2006</v>
      </c>
      <c r="D577" s="1" t="n">
        <v>2008</v>
      </c>
      <c r="E577" s="4" t="inlineStr">
        <is>
          <t>Quantum of Solace, Casino Royale</t>
        </is>
      </c>
      <c r="F577" s="1" t="inlineStr">
        <is>
          <t>F0002, F0001</t>
        </is>
      </c>
    </row>
    <row r="578" ht="15.75" customHeight="1" s="95">
      <c r="A578" s="1" t="inlineStr">
        <is>
          <t>Gina Carano</t>
        </is>
      </c>
      <c r="B578" s="1" t="n">
        <v>2</v>
      </c>
      <c r="C578" s="1" t="n">
        <v>2013</v>
      </c>
      <c r="D578" s="1" t="n">
        <v>2016</v>
      </c>
      <c r="E578" s="4" t="inlineStr">
        <is>
          <t>Deadpool, Fast &amp; Furious 6</t>
        </is>
      </c>
      <c r="F578" s="1" t="inlineStr">
        <is>
          <t>F0076, F0106</t>
        </is>
      </c>
    </row>
    <row r="579" ht="15.75" customHeight="1" s="95">
      <c r="A579" s="1" t="inlineStr">
        <is>
          <t>Gloria Foster</t>
        </is>
      </c>
      <c r="B579" s="1" t="n">
        <v>2</v>
      </c>
      <c r="C579" s="1" t="n">
        <v>1999</v>
      </c>
      <c r="D579" s="1" t="n">
        <v>2003</v>
      </c>
      <c r="E579" s="4" t="inlineStr">
        <is>
          <t>The Matrix, The Matrix Reloaded</t>
        </is>
      </c>
      <c r="F579" s="1" t="inlineStr">
        <is>
          <t>F0214, F0215</t>
        </is>
      </c>
    </row>
    <row r="580" ht="15.75" customHeight="1" s="95">
      <c r="A580" s="1" t="inlineStr">
        <is>
          <t>Graham McTavish</t>
        </is>
      </c>
      <c r="B580" s="1" t="n">
        <v>5</v>
      </c>
      <c r="C580" s="1" t="n">
        <v>2008</v>
      </c>
      <c r="D580" s="1" t="n">
        <v>2015</v>
      </c>
      <c r="E580" s="4" t="inlineStr">
        <is>
          <t>Rambo, Creed, The Hobbit: An Unexpected Journey, The Hobbit: The Desolation of Smaug, The Hobbit: The Battle of the Five Armies</t>
        </is>
      </c>
      <c r="F580" s="1" t="inlineStr">
        <is>
          <t>F0261, F0074, F0150, F0151, F0152</t>
        </is>
      </c>
    </row>
    <row r="581" ht="15.75" customHeight="1" s="95">
      <c r="A581" s="1" t="inlineStr">
        <is>
          <t>Greg Cipes</t>
        </is>
      </c>
      <c r="B581" s="1" t="n">
        <v>1</v>
      </c>
      <c r="C581" s="1" t="n">
        <v>2016</v>
      </c>
      <c r="D581" s="1" t="n">
        <v>2016</v>
      </c>
      <c r="E581" s="4" t="inlineStr">
        <is>
          <t>Lego DC Comics Super Heroes: Justice League - Gotham City Breakout</t>
        </is>
      </c>
      <c r="F581" s="1" t="inlineStr">
        <is>
          <t>F0198</t>
        </is>
      </c>
    </row>
    <row r="582" ht="15.75" customHeight="1" s="95">
      <c r="A582" s="1" t="inlineStr">
        <is>
          <t>Greg Kinnear</t>
        </is>
      </c>
      <c r="B582" s="1" t="n">
        <v>1</v>
      </c>
      <c r="C582" s="1" t="n">
        <v>2010</v>
      </c>
      <c r="D582" s="1" t="n">
        <v>2010</v>
      </c>
      <c r="E582" s="4" t="inlineStr">
        <is>
          <t>Green Zone</t>
        </is>
      </c>
      <c r="F582" s="1" t="inlineStr">
        <is>
          <t>F0129</t>
        </is>
      </c>
    </row>
    <row r="583" ht="15.75" customHeight="1" s="95">
      <c r="A583" s="1" t="inlineStr">
        <is>
          <t>Gustaf Hammarsten</t>
        </is>
      </c>
      <c r="B583" s="1" t="n">
        <v>2</v>
      </c>
      <c r="C583" s="1" t="n">
        <v>2009</v>
      </c>
      <c r="D583" s="1" t="n">
        <v>2011</v>
      </c>
      <c r="E583" s="4" t="inlineStr">
        <is>
          <t>Brüno, The Girl with the Dragon Tattoo</t>
        </is>
      </c>
      <c r="F583" s="1" t="inlineStr">
        <is>
          <t>F0059, F0120</t>
        </is>
      </c>
    </row>
    <row r="584" ht="15.75" customHeight="1" s="95">
      <c r="A584" s="1" t="inlineStr">
        <is>
          <t>Gwilym Lee</t>
        </is>
      </c>
      <c r="B584" s="1" t="n">
        <v>1</v>
      </c>
      <c r="C584" s="1" t="n">
        <v>2018</v>
      </c>
      <c r="D584" s="1" t="n">
        <v>2018</v>
      </c>
      <c r="E584" s="4" t="inlineStr">
        <is>
          <t>Bohemian Rhapsody</t>
        </is>
      </c>
      <c r="F584" s="1" t="inlineStr">
        <is>
          <t>F0052</t>
        </is>
      </c>
    </row>
    <row r="585" ht="15.75" customHeight="1" s="95">
      <c r="A585" s="1" t="inlineStr">
        <is>
          <t>Hannah Waddingham</t>
        </is>
      </c>
      <c r="B585" s="1" t="n">
        <v>2</v>
      </c>
      <c r="C585" s="1" t="n">
        <v>2024</v>
      </c>
      <c r="D585" s="1" t="n">
        <v>2025</v>
      </c>
      <c r="E585" s="4" t="inlineStr">
        <is>
          <t>The Fall Guy, Mission: Impossible - The Final Reckoning</t>
        </is>
      </c>
      <c r="F585" s="1" t="inlineStr">
        <is>
          <t>F0099, F0228</t>
        </is>
      </c>
    </row>
    <row r="586" ht="15.75" customHeight="1" s="95">
      <c r="A586" s="1" t="inlineStr">
        <is>
          <t>Harry Dean Stanton</t>
        </is>
      </c>
      <c r="B586" s="1" t="n">
        <v>1</v>
      </c>
      <c r="C586" s="1" t="n">
        <v>1979</v>
      </c>
      <c r="D586" s="1" t="n">
        <v>1979</v>
      </c>
      <c r="E586" s="4" t="inlineStr">
        <is>
          <t>Alien</t>
        </is>
      </c>
      <c r="F586" s="1" t="inlineStr">
        <is>
          <t>F0015</t>
        </is>
      </c>
    </row>
    <row r="587" ht="15.75" customHeight="1" s="95">
      <c r="A587" s="1" t="inlineStr">
        <is>
          <t>Hayden Panettiere</t>
        </is>
      </c>
      <c r="B587" s="1" t="n">
        <v>1</v>
      </c>
      <c r="C587" s="1" t="n">
        <v>1998</v>
      </c>
      <c r="D587" s="1" t="n">
        <v>1998</v>
      </c>
      <c r="E587" s="4" t="inlineStr">
        <is>
          <t>A Bug's Life</t>
        </is>
      </c>
      <c r="F587" s="1" t="inlineStr">
        <is>
          <t>F0012</t>
        </is>
      </c>
    </row>
    <row r="588" ht="15.75" customHeight="1" s="95">
      <c r="A588" s="1" t="inlineStr">
        <is>
          <t>Hayden Rolence</t>
        </is>
      </c>
      <c r="B588" s="1" t="n">
        <v>1</v>
      </c>
      <c r="C588" s="1" t="n">
        <v>2016</v>
      </c>
      <c r="D588" s="1" t="n">
        <v>2016</v>
      </c>
      <c r="E588" s="4" t="inlineStr">
        <is>
          <t>Finding Dory</t>
        </is>
      </c>
      <c r="F588" s="1" t="inlineStr">
        <is>
          <t>F0113</t>
        </is>
      </c>
    </row>
    <row r="589" ht="15.75" customHeight="1" s="95">
      <c r="A589" s="1" t="inlineStr">
        <is>
          <t>Heath Ledger</t>
        </is>
      </c>
      <c r="B589" s="1" t="n">
        <v>1</v>
      </c>
      <c r="C589" s="1" t="n">
        <v>2008</v>
      </c>
      <c r="D589" s="1" t="n">
        <v>2008</v>
      </c>
      <c r="E589" s="4" t="inlineStr">
        <is>
          <t>The Dark Knight</t>
        </is>
      </c>
      <c r="F589" s="1" t="inlineStr">
        <is>
          <t>F0044</t>
        </is>
      </c>
    </row>
    <row r="590" ht="15.75" customHeight="1" s="95">
      <c r="A590" s="1" t="inlineStr">
        <is>
          <t>Heather Graham</t>
        </is>
      </c>
      <c r="B590" s="1" t="n">
        <v>2</v>
      </c>
      <c r="C590" s="1" t="n">
        <v>2009</v>
      </c>
      <c r="D590" s="1" t="n">
        <v>2013</v>
      </c>
      <c r="E590" s="4" t="inlineStr">
        <is>
          <t>The Hangover, The Hangover Part III</t>
        </is>
      </c>
      <c r="F590" s="1" t="inlineStr">
        <is>
          <t>F0134, F0136</t>
        </is>
      </c>
    </row>
    <row r="591" ht="15.75" customHeight="1" s="95">
      <c r="A591" s="1" t="inlineStr">
        <is>
          <t>Henry Czerny</t>
        </is>
      </c>
      <c r="B591" s="1" t="n">
        <v>4</v>
      </c>
      <c r="C591" s="1" t="n">
        <v>1996</v>
      </c>
      <c r="D591" s="1" t="n">
        <v>2025</v>
      </c>
      <c r="E591" s="4" t="inlineStr">
        <is>
          <t>Mission: Impossible, The A-Team, Mission: Impossible - Dead Reckoning Part One, Mission: Impossible - The Final Reckoning</t>
        </is>
      </c>
      <c r="F591" s="1" t="inlineStr">
        <is>
          <t>F0221, F0026, F0227, F0228</t>
        </is>
      </c>
    </row>
    <row r="592" ht="15.75" customHeight="1" s="95">
      <c r="A592" s="1" t="inlineStr">
        <is>
          <t>Henry Thomas</t>
        </is>
      </c>
      <c r="B592" s="1" t="n">
        <v>1</v>
      </c>
      <c r="C592" s="1" t="n">
        <v>2010</v>
      </c>
      <c r="D592" s="1" t="n">
        <v>2010</v>
      </c>
      <c r="E592" s="4" t="inlineStr">
        <is>
          <t>Dear John</t>
        </is>
      </c>
      <c r="F592" s="1" t="inlineStr">
        <is>
          <t>F0079</t>
        </is>
      </c>
    </row>
    <row r="593" ht="15.75" customHeight="1" s="95">
      <c r="A593" s="1" t="inlineStr">
        <is>
          <t>Hugh Bonneville</t>
        </is>
      </c>
      <c r="B593" s="1" t="n">
        <v>2</v>
      </c>
      <c r="C593" s="1" t="n">
        <v>2014</v>
      </c>
      <c r="D593" s="1" t="n">
        <v>2014</v>
      </c>
      <c r="E593" s="4" t="inlineStr">
        <is>
          <t>Paddington, Muppets Most Wanted</t>
        </is>
      </c>
      <c r="F593" s="1" t="inlineStr">
        <is>
          <t>F0244, F0232</t>
        </is>
      </c>
    </row>
    <row r="594" ht="15.75" customHeight="1" s="95">
      <c r="A594" s="1" t="inlineStr">
        <is>
          <t>Hugh Grant</t>
        </is>
      </c>
      <c r="B594" s="1" t="n">
        <v>2</v>
      </c>
      <c r="C594" s="1" t="n">
        <v>2020</v>
      </c>
      <c r="D594" s="1" t="n">
        <v>2023</v>
      </c>
      <c r="E594" s="4" t="inlineStr">
        <is>
          <t>Wonka, The Gentlemen</t>
        </is>
      </c>
      <c r="F594" s="1" t="inlineStr">
        <is>
          <t>F0338, F0119</t>
        </is>
      </c>
    </row>
    <row r="595" ht="15.75" customHeight="1" s="95">
      <c r="A595" s="1" t="inlineStr">
        <is>
          <t>Ian Holm</t>
        </is>
      </c>
      <c r="B595" s="1" t="n">
        <v>5</v>
      </c>
      <c r="C595" s="1" t="n">
        <v>1979</v>
      </c>
      <c r="D595" s="1" t="n">
        <v>2014</v>
      </c>
      <c r="E595" s="4" t="inlineStr">
        <is>
          <t>The Lord of the Rings: The Fellowship of the Ring, Alien, The Hobbit: An Unexpected Journey, The Hobbit: The Battle of the Five Armies, The Lord of the Rings: The Return of the King</t>
        </is>
      </c>
      <c r="F595" s="1" t="inlineStr">
        <is>
          <t>F0203, F0015, F0150, F0152, F0205</t>
        </is>
      </c>
    </row>
    <row r="596" ht="15.75" customHeight="1" s="95">
      <c r="A596" s="1" t="inlineStr">
        <is>
          <t>Idina Menzel</t>
        </is>
      </c>
      <c r="B596" s="1" t="n">
        <v>2</v>
      </c>
      <c r="C596" s="1" t="n">
        <v>2013</v>
      </c>
      <c r="D596" s="1" t="n">
        <v>2018</v>
      </c>
      <c r="E596" s="4" t="inlineStr">
        <is>
          <t>Frozen, Ralph Breaks the Internet</t>
        </is>
      </c>
      <c r="F596" s="1" t="inlineStr">
        <is>
          <t>F0116, F0337</t>
        </is>
      </c>
    </row>
    <row r="597" ht="15.75" customHeight="1" s="95">
      <c r="A597" s="1" t="inlineStr">
        <is>
          <t>Imogen Poots</t>
        </is>
      </c>
      <c r="B597" s="1" t="n">
        <v>1</v>
      </c>
      <c r="C597" s="1" t="n">
        <v>2014</v>
      </c>
      <c r="D597" s="1" t="n">
        <v>2014</v>
      </c>
      <c r="E597" s="4" t="inlineStr">
        <is>
          <t>Need for Speed</t>
        </is>
      </c>
      <c r="F597" s="1" t="inlineStr">
        <is>
          <t>F0234</t>
        </is>
      </c>
    </row>
    <row r="598" ht="15.75" customHeight="1" s="95">
      <c r="A598" s="1" t="inlineStr">
        <is>
          <t>India Eisley</t>
        </is>
      </c>
      <c r="B598" s="1" t="n">
        <v>1</v>
      </c>
      <c r="C598" s="1" t="n">
        <v>2012</v>
      </c>
      <c r="D598" s="1" t="n">
        <v>2012</v>
      </c>
      <c r="E598" s="4" t="inlineStr">
        <is>
          <t>Underworld: Awakening</t>
        </is>
      </c>
      <c r="F598" s="1" t="inlineStr">
        <is>
          <t>F0328</t>
        </is>
      </c>
    </row>
    <row r="599" ht="15.75" customHeight="1" s="95">
      <c r="A599" s="1" t="inlineStr">
        <is>
          <t>Irrfan Khan</t>
        </is>
      </c>
      <c r="B599" s="1" t="n">
        <v>3</v>
      </c>
      <c r="C599" s="1" t="n">
        <v>2008</v>
      </c>
      <c r="D599" s="1" t="n">
        <v>2015</v>
      </c>
      <c r="E599" s="4" t="inlineStr">
        <is>
          <t>Jurassic World, The Amazing Spider-Man, Slumdog Millionaire</t>
        </is>
      </c>
      <c r="F599" s="1" t="inlineStr">
        <is>
          <t>F0179, F0019, F0281</t>
        </is>
      </c>
    </row>
    <row r="600" ht="15.75" customHeight="1" s="95">
      <c r="A600" s="1" t="inlineStr">
        <is>
          <t>Isla Fisher</t>
        </is>
      </c>
      <c r="B600" s="1" t="n">
        <v>2</v>
      </c>
      <c r="C600" s="1" t="n">
        <v>2013</v>
      </c>
      <c r="D600" s="1" t="n">
        <v>2016</v>
      </c>
      <c r="E600" s="4" t="inlineStr">
        <is>
          <t>Grimsby, The Great Gatsby</t>
        </is>
      </c>
      <c r="F600" s="1" t="inlineStr">
        <is>
          <t>F0130, F0126</t>
        </is>
      </c>
    </row>
    <row r="601" ht="15.75" customHeight="1" s="95">
      <c r="A601" s="1" t="inlineStr">
        <is>
          <t>Issa Rae</t>
        </is>
      </c>
      <c r="B601" s="1" t="n">
        <v>1</v>
      </c>
      <c r="C601" s="1" t="n">
        <v>2023</v>
      </c>
      <c r="D601" s="1" t="n">
        <v>2023</v>
      </c>
      <c r="E601" s="4" t="inlineStr">
        <is>
          <t>Barbie</t>
        </is>
      </c>
      <c r="F601" s="1" t="inlineStr">
        <is>
          <t>F0041</t>
        </is>
      </c>
    </row>
    <row r="602" ht="15.75" customHeight="1" s="95">
      <c r="A602" s="1" t="inlineStr">
        <is>
          <t>Izabella Scorupco</t>
        </is>
      </c>
      <c r="B602" s="1" t="n">
        <v>1</v>
      </c>
      <c r="C602" s="1" t="n">
        <v>2002</v>
      </c>
      <c r="D602" s="1" t="n">
        <v>2002</v>
      </c>
      <c r="E602" s="4" t="inlineStr">
        <is>
          <t>Reign of Fire</t>
        </is>
      </c>
      <c r="F602" s="1" t="inlineStr">
        <is>
          <t>F0263</t>
        </is>
      </c>
    </row>
    <row r="603" ht="15.75" customHeight="1" s="95">
      <c r="A603" s="1" t="inlineStr">
        <is>
          <t>J.K. Simmons</t>
        </is>
      </c>
      <c r="B603" s="1" t="n">
        <v>5</v>
      </c>
      <c r="C603" s="1" t="n">
        <v>2002</v>
      </c>
      <c r="D603" s="1" t="n">
        <v>2016</v>
      </c>
      <c r="E603" s="4" t="inlineStr">
        <is>
          <t>The Accountant, Spider-Man, Spider-Man 2, Spider-Man 3, True Grit</t>
        </is>
      </c>
      <c r="F603" s="1" t="inlineStr">
        <is>
          <t>F0013, F0287, F0288, F0289, F0325</t>
        </is>
      </c>
    </row>
    <row r="604" ht="15.75" customHeight="1" s="95">
      <c r="A604" s="1" t="inlineStr">
        <is>
          <t>Jack Albertson</t>
        </is>
      </c>
      <c r="B604" s="1" t="n">
        <v>1</v>
      </c>
      <c r="C604" s="1" t="n">
        <v>1971</v>
      </c>
      <c r="D604" s="1" t="n">
        <v>1971</v>
      </c>
      <c r="E604" s="4" t="inlineStr">
        <is>
          <t>Willy Wonka &amp; the Chocolate Factory</t>
        </is>
      </c>
      <c r="F604" s="1" t="inlineStr">
        <is>
          <t>F0339</t>
        </is>
      </c>
    </row>
    <row r="605" ht="15.75" customHeight="1" s="95">
      <c r="A605" s="1" t="inlineStr">
        <is>
          <t>Jack McBrayer</t>
        </is>
      </c>
      <c r="B605" s="1" t="n">
        <v>4</v>
      </c>
      <c r="C605" s="1" t="n">
        <v>2008</v>
      </c>
      <c r="D605" s="1" t="n">
        <v>2018</v>
      </c>
      <c r="E605" s="4" t="inlineStr">
        <is>
          <t>Wreck-It Ralph, Despicable Me, Forgetting Sarah Marshall, Ralph Breaks the Internet</t>
        </is>
      </c>
      <c r="F605" s="1" t="inlineStr">
        <is>
          <t>F0336, F0082, F0115, F0337</t>
        </is>
      </c>
    </row>
    <row r="606" ht="15.75" customHeight="1" s="95">
      <c r="A606" s="1" t="inlineStr">
        <is>
          <t>Jack Reynor</t>
        </is>
      </c>
      <c r="B606" s="1" t="n">
        <v>2</v>
      </c>
      <c r="C606" s="1" t="n">
        <v>2013</v>
      </c>
      <c r="D606" s="1" t="n">
        <v>2014</v>
      </c>
      <c r="E606" s="4" t="inlineStr">
        <is>
          <t>Delivery Man, Transformers: Age of Extinction</t>
        </is>
      </c>
      <c r="F606" s="1" t="inlineStr">
        <is>
          <t>F0080, F0319</t>
        </is>
      </c>
    </row>
    <row r="607" ht="15.75" customHeight="1" s="95">
      <c r="A607" s="1" t="inlineStr">
        <is>
          <t>Jaime Winstone</t>
        </is>
      </c>
      <c r="B607" s="1" t="n">
        <v>1</v>
      </c>
      <c r="C607" s="1" t="n">
        <v>2011</v>
      </c>
      <c r="D607" s="1" t="n">
        <v>2011</v>
      </c>
      <c r="E607" s="4" t="inlineStr">
        <is>
          <t>Anuvahood</t>
        </is>
      </c>
      <c r="F607" s="1" t="inlineStr">
        <is>
          <t>F0024</t>
        </is>
      </c>
    </row>
    <row r="608" ht="15.75" customHeight="1" s="95">
      <c r="A608" s="1" t="inlineStr">
        <is>
          <t>Jake Lloyd</t>
        </is>
      </c>
      <c r="B608" s="1" t="n">
        <v>1</v>
      </c>
      <c r="C608" s="1" t="n">
        <v>1999</v>
      </c>
      <c r="D608" s="1" t="n">
        <v>1999</v>
      </c>
      <c r="E608" s="4" t="inlineStr">
        <is>
          <t>Star Wars: Episode I – The Phantom Menace</t>
        </is>
      </c>
      <c r="F608" s="1" t="inlineStr">
        <is>
          <t>F0292</t>
        </is>
      </c>
    </row>
    <row r="609" ht="15.75" customHeight="1" s="95">
      <c r="A609" s="1" t="inlineStr">
        <is>
          <t>James Arnold Taylor</t>
        </is>
      </c>
      <c r="B609" s="1" t="n">
        <v>2</v>
      </c>
      <c r="C609" s="1" t="n">
        <v>2015</v>
      </c>
      <c r="D609" s="1" t="n">
        <v>2016</v>
      </c>
      <c r="E609" s="4" t="inlineStr">
        <is>
          <t>Lego DC Comics Super Heroes: Justice League vs. Bizarro League, Lego DC Comics Super Heroes: Justice League - Gotham City Breakout</t>
        </is>
      </c>
      <c r="F609" s="1" t="inlineStr">
        <is>
          <t>F0197, F0198</t>
        </is>
      </c>
    </row>
    <row r="610" ht="15.75" customHeight="1" s="95">
      <c r="A610" s="1" t="inlineStr">
        <is>
          <t>James Coburn</t>
        </is>
      </c>
      <c r="B610" s="1" t="n">
        <v>2</v>
      </c>
      <c r="C610" s="1" t="n">
        <v>2001</v>
      </c>
      <c r="D610" s="1" t="n">
        <v>2001</v>
      </c>
      <c r="E610" s="4" t="inlineStr">
        <is>
          <t>Monsters, Inc., Monsters, Inc.</t>
        </is>
      </c>
      <c r="F610" s="1" t="inlineStr">
        <is>
          <t>F0229</t>
        </is>
      </c>
    </row>
    <row r="611" ht="15.75" customHeight="1" s="95">
      <c r="A611" s="1" t="inlineStr">
        <is>
          <t>James Earl Jones</t>
        </is>
      </c>
      <c r="B611" s="1" t="n">
        <v>3</v>
      </c>
      <c r="C611" s="1" t="n">
        <v>1977</v>
      </c>
      <c r="D611" s="1" t="n">
        <v>1994</v>
      </c>
      <c r="E611" s="4" t="inlineStr">
        <is>
          <t>The Lion King, Star Wars: Episode IV – A New Hope, Star Wars: Episode VI – Return of the Jedi</t>
        </is>
      </c>
      <c r="F611" s="1" t="inlineStr">
        <is>
          <t>F0200, F0295, F0297</t>
        </is>
      </c>
    </row>
    <row r="612" ht="15.75" customHeight="1" s="95">
      <c r="A612" s="1" t="inlineStr">
        <is>
          <t>James Faulkner</t>
        </is>
      </c>
      <c r="B612" s="1" t="n">
        <v>1</v>
      </c>
      <c r="C612" s="1" t="n">
        <v>2008</v>
      </c>
      <c r="D612" s="1" t="n">
        <v>2008</v>
      </c>
      <c r="E612" s="4" t="inlineStr">
        <is>
          <t>The Bank Job</t>
        </is>
      </c>
      <c r="F612" s="1" t="inlineStr">
        <is>
          <t>F0040</t>
        </is>
      </c>
    </row>
    <row r="613" ht="15.75" customHeight="1" s="95">
      <c r="A613" s="1" t="inlineStr">
        <is>
          <t>James Gandolfini</t>
        </is>
      </c>
      <c r="B613" s="1" t="n">
        <v>2</v>
      </c>
      <c r="C613" s="1" t="n">
        <v>2012</v>
      </c>
      <c r="D613" s="1" t="n">
        <v>2012</v>
      </c>
      <c r="E613" s="4" t="inlineStr">
        <is>
          <t>Killing Them Softly, Zero Dark Thirty</t>
        </is>
      </c>
      <c r="F613" s="1" t="inlineStr">
        <is>
          <t>F0187, F0349</t>
        </is>
      </c>
    </row>
    <row r="614" ht="15.75" customHeight="1" s="95">
      <c r="A614" s="1" t="inlineStr">
        <is>
          <t>James Garner</t>
        </is>
      </c>
      <c r="B614" s="1" t="n">
        <v>1</v>
      </c>
      <c r="C614" s="1" t="n">
        <v>2004</v>
      </c>
      <c r="D614" s="1" t="n">
        <v>2004</v>
      </c>
      <c r="E614" s="4" t="inlineStr">
        <is>
          <t>The Notebook</t>
        </is>
      </c>
      <c r="F614" s="1" t="inlineStr">
        <is>
          <t>F0237</t>
        </is>
      </c>
    </row>
    <row r="615" ht="15.75" customHeight="1" s="95">
      <c r="A615" s="1" t="inlineStr">
        <is>
          <t>James Karen</t>
        </is>
      </c>
      <c r="B615" s="1" t="n">
        <v>1</v>
      </c>
      <c r="C615" s="1" t="n">
        <v>2006</v>
      </c>
      <c r="D615" s="1" t="n">
        <v>2006</v>
      </c>
      <c r="E615" s="4" t="inlineStr">
        <is>
          <t>The Pursuit of Happyness</t>
        </is>
      </c>
      <c r="F615" s="1" t="inlineStr">
        <is>
          <t>F0260</t>
        </is>
      </c>
    </row>
    <row r="616" ht="15.75" customHeight="1" s="95">
      <c r="A616" s="1" t="inlineStr">
        <is>
          <t>James Marsden</t>
        </is>
      </c>
      <c r="B616" s="1" t="n">
        <v>5</v>
      </c>
      <c r="C616" s="1" t="n">
        <v>2000</v>
      </c>
      <c r="D616" s="1" t="n">
        <v>2014</v>
      </c>
      <c r="E616" s="4" t="inlineStr">
        <is>
          <t>X-Men, The Notebook, X-Men: Days of Future Past, X2: X-Men United, X-Men: The Last Stand</t>
        </is>
      </c>
      <c r="F616" s="1" t="inlineStr">
        <is>
          <t>F0344, F0237, F0341, F0345, F0346</t>
        </is>
      </c>
    </row>
    <row r="617" ht="15.75" customHeight="1" s="95">
      <c r="A617" s="1" t="inlineStr">
        <is>
          <t>James Nesbitt</t>
        </is>
      </c>
      <c r="B617" s="1" t="n">
        <v>3</v>
      </c>
      <c r="C617" s="1" t="n">
        <v>2012</v>
      </c>
      <c r="D617" s="1" t="n">
        <v>2014</v>
      </c>
      <c r="E617" s="4" t="inlineStr">
        <is>
          <t>The Hobbit: An Unexpected Journey, The Hobbit: The Desolation of Smaug, The Hobbit: The Battle of the Five Armies</t>
        </is>
      </c>
      <c r="F617" s="1" t="inlineStr">
        <is>
          <t>F0150, F0151, F0152</t>
        </is>
      </c>
    </row>
    <row r="618" ht="15.75" customHeight="1" s="95">
      <c r="A618" s="1" t="inlineStr">
        <is>
          <t>James Remar</t>
        </is>
      </c>
      <c r="B618" s="1" t="n">
        <v>7</v>
      </c>
      <c r="C618" s="1" t="n">
        <v>1979</v>
      </c>
      <c r="D618" s="1" t="n">
        <v>2012</v>
      </c>
      <c r="E618" s="4" t="inlineStr">
        <is>
          <t>The Warriors, Django Unchained, 2 Fast 2 Furious, Fast &amp; Furious, Pineapple Express, RED, X-Men: First Class</t>
        </is>
      </c>
      <c r="F618" s="1" t="inlineStr">
        <is>
          <t>F0334, F0090, F0102, F0104, F0247, F0262, F0340</t>
        </is>
      </c>
    </row>
    <row r="619" ht="15.75" customHeight="1" s="95">
      <c r="A619" s="1" t="inlineStr">
        <is>
          <t>Jamie Chung</t>
        </is>
      </c>
      <c r="B619" s="1" t="n">
        <v>4</v>
      </c>
      <c r="C619" s="1" t="n">
        <v>2010</v>
      </c>
      <c r="D619" s="1" t="n">
        <v>2014</v>
      </c>
      <c r="E619" s="4" t="inlineStr">
        <is>
          <t>Big Hero 6, Grown Ups, The Hangover Part II, The Hangover Part III</t>
        </is>
      </c>
      <c r="F619" s="1" t="inlineStr">
        <is>
          <t>F0048, F0131, F0135, F0136</t>
        </is>
      </c>
    </row>
    <row r="620" ht="15.75" customHeight="1" s="95">
      <c r="A620" s="1" t="inlineStr">
        <is>
          <t>January Jones</t>
        </is>
      </c>
      <c r="B620" s="1" t="n">
        <v>2</v>
      </c>
      <c r="C620" s="1" t="n">
        <v>2011</v>
      </c>
      <c r="D620" s="1" t="n">
        <v>2011</v>
      </c>
      <c r="E620" s="4" t="inlineStr">
        <is>
          <t>Unknown, X-Men: First Class</t>
        </is>
      </c>
      <c r="F620" s="1" t="inlineStr">
        <is>
          <t>F0329, F0340</t>
        </is>
      </c>
    </row>
    <row r="621" ht="15.75" customHeight="1" s="95">
      <c r="A621" s="1" t="inlineStr">
        <is>
          <t>Jared Harris</t>
        </is>
      </c>
      <c r="B621" s="1" t="n">
        <v>1</v>
      </c>
      <c r="C621" s="1" t="n">
        <v>2011</v>
      </c>
      <c r="D621" s="1" t="n">
        <v>2011</v>
      </c>
      <c r="E621" s="4" t="inlineStr">
        <is>
          <t>Sherlock Holmes: A Game of Shadows</t>
        </is>
      </c>
      <c r="F621" s="1" t="inlineStr">
        <is>
          <t>F0279</t>
        </is>
      </c>
    </row>
    <row r="622" ht="15.75" customHeight="1" s="95">
      <c r="A622" s="1" t="inlineStr">
        <is>
          <t>Jared Leto</t>
        </is>
      </c>
      <c r="B622" s="1" t="n">
        <v>1</v>
      </c>
      <c r="C622" s="1" t="n">
        <v>1999</v>
      </c>
      <c r="D622" s="1" t="n">
        <v>1999</v>
      </c>
      <c r="E622" s="4" t="inlineStr">
        <is>
          <t>Fight Club</t>
        </is>
      </c>
      <c r="F622" s="1" t="inlineStr">
        <is>
          <t>F0112</t>
        </is>
      </c>
    </row>
    <row r="623" ht="15.75" customHeight="1" s="95">
      <c r="A623" s="1" t="inlineStr">
        <is>
          <t>Jason Bateman</t>
        </is>
      </c>
      <c r="B623" s="1" t="n">
        <v>3</v>
      </c>
      <c r="C623" s="1" t="n">
        <v>2008</v>
      </c>
      <c r="D623" s="1" t="n">
        <v>2011</v>
      </c>
      <c r="E623" s="4" t="inlineStr">
        <is>
          <t>Paul, Forgetting Sarah Marshall, Tropic Thunder</t>
        </is>
      </c>
      <c r="F623" s="1" t="inlineStr">
        <is>
          <t>F0245, F0115, F0324</t>
        </is>
      </c>
    </row>
    <row r="624" ht="15.75" customHeight="1" s="95">
      <c r="A624" s="1" t="inlineStr">
        <is>
          <t>Jason Cope</t>
        </is>
      </c>
      <c r="B624" s="1" t="n">
        <v>1</v>
      </c>
      <c r="C624" s="1" t="n">
        <v>2009</v>
      </c>
      <c r="D624" s="1" t="n">
        <v>2009</v>
      </c>
      <c r="E624" s="4" t="inlineStr">
        <is>
          <t>District 9</t>
        </is>
      </c>
      <c r="F624" s="1" t="inlineStr">
        <is>
          <t>F0088</t>
        </is>
      </c>
    </row>
    <row r="625" ht="15.75" customHeight="1" s="95">
      <c r="A625" s="1" t="inlineStr">
        <is>
          <t>Jason Flemyng</t>
        </is>
      </c>
      <c r="B625" s="1" t="n">
        <v>3</v>
      </c>
      <c r="C625" s="1" t="n">
        <v>2010</v>
      </c>
      <c r="D625" s="1" t="n">
        <v>2011</v>
      </c>
      <c r="E625" s="4" t="inlineStr">
        <is>
          <t>Clash of the Titans, Kick-Ass, X-Men: First Class</t>
        </is>
      </c>
      <c r="F625" s="1" t="inlineStr">
        <is>
          <t>F0066, F0185, F0340</t>
        </is>
      </c>
    </row>
    <row r="626" ht="15.75" customHeight="1" s="95">
      <c r="A626" s="1" t="inlineStr">
        <is>
          <t>Jason Ian Drucker</t>
        </is>
      </c>
      <c r="B626" s="1" t="n">
        <v>1</v>
      </c>
      <c r="C626" s="1" t="n">
        <v>2018</v>
      </c>
      <c r="D626" s="1" t="n">
        <v>2018</v>
      </c>
      <c r="E626" s="4" t="inlineStr">
        <is>
          <t>Bumblebee</t>
        </is>
      </c>
      <c r="F626" s="1" t="inlineStr">
        <is>
          <t>F0061</t>
        </is>
      </c>
    </row>
    <row r="627" ht="15.75" customHeight="1" s="95">
      <c r="A627" s="1" t="inlineStr">
        <is>
          <t>Jason Mantzoukas</t>
        </is>
      </c>
      <c r="B627" s="1" t="n">
        <v>3</v>
      </c>
      <c r="C627" s="1" t="n">
        <v>2012</v>
      </c>
      <c r="D627" s="1" t="n">
        <v>2017</v>
      </c>
      <c r="E627" s="4" t="inlineStr">
        <is>
          <t>The Dictator, Dirty Grandpa, The Lego Batman Movie</t>
        </is>
      </c>
      <c r="F627" s="1" t="inlineStr">
        <is>
          <t>F0085, F0087, F0193</t>
        </is>
      </c>
    </row>
    <row r="628" ht="15.75" customHeight="1" s="95">
      <c r="A628" s="1" t="inlineStr">
        <is>
          <t>Jason Mitchell</t>
        </is>
      </c>
      <c r="B628" s="1" t="n">
        <v>2</v>
      </c>
      <c r="C628" s="1" t="n">
        <v>2015</v>
      </c>
      <c r="D628" s="1" t="n">
        <v>2017</v>
      </c>
      <c r="E628" s="4" t="inlineStr">
        <is>
          <t>Straight Outta Compton, Kong: Skull Island</t>
        </is>
      </c>
      <c r="F628" s="1" t="inlineStr">
        <is>
          <t>F0301, F0190</t>
        </is>
      </c>
    </row>
    <row r="629" ht="15.75" customHeight="1" s="95">
      <c r="A629" s="1" t="inlineStr">
        <is>
          <t>Jayma Mays</t>
        </is>
      </c>
      <c r="B629" s="1" t="n">
        <v>1</v>
      </c>
      <c r="C629" s="1" t="n">
        <v>2013</v>
      </c>
      <c r="D629" s="1" t="n">
        <v>2013</v>
      </c>
      <c r="E629" s="4" t="inlineStr">
        <is>
          <t>The Smurfs 2</t>
        </is>
      </c>
      <c r="F629" s="1" t="inlineStr">
        <is>
          <t>F0282</t>
        </is>
      </c>
    </row>
    <row r="630" ht="15.75" customHeight="1" s="95">
      <c r="A630" s="1" t="inlineStr">
        <is>
          <t>Jazzie Zonzolo</t>
        </is>
      </c>
      <c r="B630" s="1" t="n">
        <v>1</v>
      </c>
      <c r="C630" s="1" t="n">
        <v>2011</v>
      </c>
      <c r="D630" s="1" t="n">
        <v>2011</v>
      </c>
      <c r="E630" s="4" t="inlineStr">
        <is>
          <t>Anuvahood</t>
        </is>
      </c>
      <c r="F630" s="1" t="inlineStr">
        <is>
          <t>F0024</t>
        </is>
      </c>
    </row>
    <row r="631" ht="15.75" customHeight="1" s="95">
      <c r="A631" s="1" t="inlineStr">
        <is>
          <t>Jean Michel Paré</t>
        </is>
      </c>
      <c r="B631" s="1" t="n">
        <v>1</v>
      </c>
      <c r="C631" s="1" t="n">
        <v>2008</v>
      </c>
      <c r="D631" s="1" t="n">
        <v>2008</v>
      </c>
      <c r="E631" s="4" t="inlineStr">
        <is>
          <t>Journey to the Center of the Earth</t>
        </is>
      </c>
      <c r="F631" s="1" t="inlineStr">
        <is>
          <t>F0174</t>
        </is>
      </c>
    </row>
    <row r="632" ht="15.75" customHeight="1" s="95">
      <c r="A632" s="1" t="inlineStr">
        <is>
          <t>Jean Reno</t>
        </is>
      </c>
      <c r="B632" s="1" t="n">
        <v>1</v>
      </c>
      <c r="C632" s="1" t="n">
        <v>1996</v>
      </c>
      <c r="D632" s="1" t="n">
        <v>1996</v>
      </c>
      <c r="E632" s="4" t="inlineStr">
        <is>
          <t>Mission: Impossible</t>
        </is>
      </c>
      <c r="F632" s="1" t="inlineStr">
        <is>
          <t>F0221</t>
        </is>
      </c>
    </row>
    <row r="633" ht="15.75" customHeight="1" s="95">
      <c r="A633" s="1" t="inlineStr">
        <is>
          <t>Jeff Daniels</t>
        </is>
      </c>
      <c r="B633" s="1" t="n">
        <v>1</v>
      </c>
      <c r="C633" s="1" t="n">
        <v>2015</v>
      </c>
      <c r="D633" s="1" t="n">
        <v>2015</v>
      </c>
      <c r="E633" s="4" t="inlineStr">
        <is>
          <t>The Martian</t>
        </is>
      </c>
      <c r="F633" s="1" t="inlineStr">
        <is>
          <t>F0213</t>
        </is>
      </c>
    </row>
    <row r="634" ht="15.75" customHeight="1" s="95">
      <c r="A634" s="1" t="inlineStr">
        <is>
          <t>Jeff Garlin</t>
        </is>
      </c>
      <c r="B634" s="1" t="n">
        <v>3</v>
      </c>
      <c r="C634" s="1" t="n">
        <v>2008</v>
      </c>
      <c r="D634" s="1" t="n">
        <v>2019</v>
      </c>
      <c r="E634" s="4" t="inlineStr">
        <is>
          <t>WALL·E, Toy Story 3, Toy Story 4</t>
        </is>
      </c>
      <c r="F634" s="1" t="inlineStr">
        <is>
          <t>F0331, F0314, F0315</t>
        </is>
      </c>
    </row>
    <row r="635" ht="15.75" customHeight="1" s="95">
      <c r="A635" s="1" t="inlineStr">
        <is>
          <t>Jennifer Aniston</t>
        </is>
      </c>
      <c r="B635" s="1" t="n">
        <v>1</v>
      </c>
      <c r="C635" s="1" t="n">
        <v>2011</v>
      </c>
      <c r="D635" s="1" t="n">
        <v>2011</v>
      </c>
      <c r="E635" s="4" t="inlineStr">
        <is>
          <t>Just Go with It</t>
        </is>
      </c>
      <c r="F635" s="1" t="inlineStr">
        <is>
          <t>F0183</t>
        </is>
      </c>
    </row>
    <row r="636" ht="15.75" customHeight="1" s="95">
      <c r="A636" s="1" t="inlineStr">
        <is>
          <t>Jennifer Connelly</t>
        </is>
      </c>
      <c r="B636" s="1" t="n">
        <v>1</v>
      </c>
      <c r="C636" s="1" t="n">
        <v>2014</v>
      </c>
      <c r="D636" s="1" t="n">
        <v>2014</v>
      </c>
      <c r="E636" s="4" t="inlineStr">
        <is>
          <t>Noah</t>
        </is>
      </c>
      <c r="F636" s="1" t="inlineStr">
        <is>
          <t>F0238</t>
        </is>
      </c>
    </row>
    <row r="637" ht="15.75" customHeight="1" s="95">
      <c r="A637" s="1" t="inlineStr">
        <is>
          <t>Jennifer Ehle</t>
        </is>
      </c>
      <c r="B637" s="1" t="n">
        <v>3</v>
      </c>
      <c r="C637" s="1" t="n">
        <v>2010</v>
      </c>
      <c r="D637" s="1" t="n">
        <v>2012</v>
      </c>
      <c r="E637" s="4" t="inlineStr">
        <is>
          <t>Zero Dark Thirty, The King's Speech, RoboCop</t>
        </is>
      </c>
      <c r="F637" s="1" t="inlineStr">
        <is>
          <t>F0349, F0189, F0268</t>
        </is>
      </c>
    </row>
    <row r="638" ht="15.75" customHeight="1" s="95">
      <c r="A638" s="1" t="inlineStr">
        <is>
          <t>Jennifer Lopez</t>
        </is>
      </c>
      <c r="B638" s="1" t="n">
        <v>1</v>
      </c>
      <c r="C638" s="1" t="n">
        <v>2015</v>
      </c>
      <c r="D638" s="1" t="n">
        <v>2015</v>
      </c>
      <c r="E638" s="4" t="inlineStr">
        <is>
          <t>Home</t>
        </is>
      </c>
      <c r="F638" s="1" t="inlineStr">
        <is>
          <t>F0153</t>
        </is>
      </c>
    </row>
    <row r="639" ht="15.75" customHeight="1" s="95">
      <c r="A639" s="1" t="inlineStr">
        <is>
          <t>Jennifer Morrison</t>
        </is>
      </c>
      <c r="B639" s="1" t="n">
        <v>3</v>
      </c>
      <c r="C639" s="1" t="n">
        <v>2005</v>
      </c>
      <c r="D639" s="1" t="n">
        <v>2011</v>
      </c>
      <c r="E639" s="4" t="inlineStr">
        <is>
          <t>Warrior, Mr. &amp; Mrs. Smith, Star Trek</t>
        </is>
      </c>
      <c r="F639" s="1" t="inlineStr">
        <is>
          <t>F0333, F0231, F0291</t>
        </is>
      </c>
    </row>
    <row r="640" ht="15.75" customHeight="1" s="95">
      <c r="A640" s="1" t="inlineStr">
        <is>
          <t>Jenny Slate</t>
        </is>
      </c>
      <c r="B640" s="1" t="n">
        <v>3</v>
      </c>
      <c r="C640" s="1" t="n">
        <v>2016</v>
      </c>
      <c r="D640" s="1" t="n">
        <v>2017</v>
      </c>
      <c r="E640" s="4" t="inlineStr">
        <is>
          <t>The Secret Life of Pets, Despicable Me 3, The Lego Batman Movie</t>
        </is>
      </c>
      <c r="F640" s="1" t="inlineStr">
        <is>
          <t>F0274, F0084, F0193</t>
        </is>
      </c>
    </row>
    <row r="641" ht="15.75" customHeight="1" s="95">
      <c r="A641" s="1" t="inlineStr">
        <is>
          <t>Jeremy Howard</t>
        </is>
      </c>
      <c r="B641" s="1" t="n">
        <v>1</v>
      </c>
      <c r="C641" s="1" t="n">
        <v>2014</v>
      </c>
      <c r="D641" s="1" t="n">
        <v>2014</v>
      </c>
      <c r="E641" s="4" t="inlineStr">
        <is>
          <t>Teenage Mutant Ninja Turtles</t>
        </is>
      </c>
      <c r="F641" s="1" t="inlineStr">
        <is>
          <t>F0309</t>
        </is>
      </c>
    </row>
    <row r="642" ht="15.75" customHeight="1" s="95">
      <c r="A642" s="1" t="inlineStr">
        <is>
          <t>Jeremy Strong</t>
        </is>
      </c>
      <c r="B642" s="1" t="n">
        <v>2</v>
      </c>
      <c r="C642" s="1" t="n">
        <v>2012</v>
      </c>
      <c r="D642" s="1" t="n">
        <v>2020</v>
      </c>
      <c r="E642" s="4" t="inlineStr">
        <is>
          <t>The Gentlemen, Zero Dark Thirty</t>
        </is>
      </c>
      <c r="F642" s="1" t="inlineStr">
        <is>
          <t>F0119, F0349</t>
        </is>
      </c>
    </row>
    <row r="643" ht="15.75" customHeight="1" s="95">
      <c r="A643" s="1" t="inlineStr">
        <is>
          <t>Jessica Biel</t>
        </is>
      </c>
      <c r="B643" s="1" t="n">
        <v>1</v>
      </c>
      <c r="C643" s="1" t="n">
        <v>2010</v>
      </c>
      <c r="D643" s="1" t="n">
        <v>2010</v>
      </c>
      <c r="E643" s="4" t="inlineStr">
        <is>
          <t>The A-Team</t>
        </is>
      </c>
      <c r="F643" s="1" t="inlineStr">
        <is>
          <t>F0026</t>
        </is>
      </c>
    </row>
    <row r="644" ht="15.75" customHeight="1" s="95">
      <c r="A644" s="1" t="inlineStr">
        <is>
          <t>Jim Carrey</t>
        </is>
      </c>
      <c r="B644" s="1" t="n">
        <v>1</v>
      </c>
      <c r="C644" s="1" t="n">
        <v>2013</v>
      </c>
      <c r="D644" s="1" t="n">
        <v>2013</v>
      </c>
      <c r="E644" s="4" t="inlineStr">
        <is>
          <t>Kick-Ass 2</t>
        </is>
      </c>
      <c r="F644" s="1" t="inlineStr">
        <is>
          <t>F0186</t>
        </is>
      </c>
    </row>
    <row r="645" ht="15.75" customHeight="1" s="95">
      <c r="A645" s="1" t="inlineStr">
        <is>
          <t>Jim Parsons</t>
        </is>
      </c>
      <c r="B645" s="1" t="n">
        <v>1</v>
      </c>
      <c r="C645" s="1" t="n">
        <v>2015</v>
      </c>
      <c r="D645" s="1" t="n">
        <v>2015</v>
      </c>
      <c r="E645" s="4" t="inlineStr">
        <is>
          <t>Home</t>
        </is>
      </c>
      <c r="F645" s="1" t="inlineStr">
        <is>
          <t>F0153</t>
        </is>
      </c>
    </row>
    <row r="646" ht="15.75" customHeight="1" s="95">
      <c r="A646" s="1" t="inlineStr">
        <is>
          <t>Jim Varney</t>
        </is>
      </c>
      <c r="B646" s="1" t="n">
        <v>2</v>
      </c>
      <c r="C646" s="1" t="n">
        <v>1995</v>
      </c>
      <c r="D646" s="1" t="n">
        <v>1999</v>
      </c>
      <c r="E646" s="4" t="inlineStr">
        <is>
          <t>Toy Story, Toy Story 2</t>
        </is>
      </c>
      <c r="F646" s="1" t="inlineStr">
        <is>
          <t>F0312, F0313</t>
        </is>
      </c>
    </row>
    <row r="647" ht="15.75" customHeight="1" s="95">
      <c r="A647" s="1" t="inlineStr">
        <is>
          <t>Jimmy Bennett</t>
        </is>
      </c>
      <c r="B647" s="1" t="n">
        <v>1</v>
      </c>
      <c r="C647" s="1" t="n">
        <v>2006</v>
      </c>
      <c r="D647" s="1" t="n">
        <v>2006</v>
      </c>
      <c r="E647" s="4" t="inlineStr">
        <is>
          <t>Firewall</t>
        </is>
      </c>
      <c r="F647" s="1" t="inlineStr">
        <is>
          <t>F0114</t>
        </is>
      </c>
    </row>
    <row r="648" ht="15.75" customHeight="1" s="95">
      <c r="A648" s="1" t="inlineStr">
        <is>
          <t>Jing Tian</t>
        </is>
      </c>
      <c r="B648" s="1" t="n">
        <v>1</v>
      </c>
      <c r="C648" s="1" t="n">
        <v>2017</v>
      </c>
      <c r="D648" s="1" t="n">
        <v>2017</v>
      </c>
      <c r="E648" s="4" t="inlineStr">
        <is>
          <t>Kong: Skull Island</t>
        </is>
      </c>
      <c r="F648" s="1" t="inlineStr">
        <is>
          <t>F0190</t>
        </is>
      </c>
    </row>
    <row r="649" ht="15.75" customHeight="1" s="95">
      <c r="A649" s="1" t="inlineStr">
        <is>
          <t>Joan Allen</t>
        </is>
      </c>
      <c r="B649" s="1" t="n">
        <v>4</v>
      </c>
      <c r="C649" s="1" t="n">
        <v>2004</v>
      </c>
      <c r="D649" s="1" t="n">
        <v>2012</v>
      </c>
      <c r="E649" s="4" t="inlineStr">
        <is>
          <t>The Notebook, The Bourne Supremacy, The Bourne Ultimatum, The Bourne Legacy</t>
        </is>
      </c>
      <c r="F649" s="1" t="inlineStr">
        <is>
          <t>F0237, F0054, F0055, F0056</t>
        </is>
      </c>
    </row>
    <row r="650" ht="15.75" customHeight="1" s="95">
      <c r="A650" s="1" t="inlineStr">
        <is>
          <t>Joanne Whalley</t>
        </is>
      </c>
      <c r="B650" s="1" t="n">
        <v>1</v>
      </c>
      <c r="C650" s="1" t="n">
        <v>2009</v>
      </c>
      <c r="D650" s="1" t="n">
        <v>2009</v>
      </c>
      <c r="E650" s="4" t="inlineStr">
        <is>
          <t>44 Inch Chest</t>
        </is>
      </c>
      <c r="F650" s="1" t="inlineStr">
        <is>
          <t>F0010</t>
        </is>
      </c>
    </row>
    <row r="651" ht="15.75" customHeight="1" s="95">
      <c r="A651" s="1" t="inlineStr">
        <is>
          <t>Jodie Foster</t>
        </is>
      </c>
      <c r="B651" s="1" t="n">
        <v>1</v>
      </c>
      <c r="C651" s="1" t="n">
        <v>2013</v>
      </c>
      <c r="D651" s="1" t="n">
        <v>2013</v>
      </c>
      <c r="E651" s="4" t="inlineStr">
        <is>
          <t>Elysium</t>
        </is>
      </c>
      <c r="F651" s="1" t="inlineStr">
        <is>
          <t>F0093</t>
        </is>
      </c>
    </row>
    <row r="652" ht="15.75" customHeight="1" s="95">
      <c r="A652" s="1" t="inlineStr">
        <is>
          <t>Jodie Whittaker</t>
        </is>
      </c>
      <c r="B652" s="1" t="n">
        <v>1</v>
      </c>
      <c r="C652" s="1" t="n">
        <v>2011</v>
      </c>
      <c r="D652" s="1" t="n">
        <v>2011</v>
      </c>
      <c r="E652" s="4" t="inlineStr">
        <is>
          <t>Attack the Block</t>
        </is>
      </c>
      <c r="F652" s="1" t="inlineStr">
        <is>
          <t>F0027</t>
        </is>
      </c>
    </row>
    <row r="653" ht="15.75" customHeight="1" s="95">
      <c r="A653" s="1" t="inlineStr">
        <is>
          <t>Joe Pantoliano</t>
        </is>
      </c>
      <c r="B653" s="1" t="n">
        <v>3</v>
      </c>
      <c r="C653" s="1" t="n">
        <v>1995</v>
      </c>
      <c r="D653" s="1" t="n">
        <v>2003</v>
      </c>
      <c r="E653" s="4" t="inlineStr">
        <is>
          <t>Bad Boys, Bad Boys II, The Matrix</t>
        </is>
      </c>
      <c r="F653" s="1" t="inlineStr">
        <is>
          <t>F0036, F0037, F0214</t>
        </is>
      </c>
    </row>
    <row r="654" ht="15.75" customHeight="1" s="95">
      <c r="A654" s="1" t="inlineStr">
        <is>
          <t>Joel Courtney</t>
        </is>
      </c>
      <c r="B654" s="1" t="n">
        <v>1</v>
      </c>
      <c r="C654" s="1" t="n">
        <v>2011</v>
      </c>
      <c r="D654" s="1" t="n">
        <v>2011</v>
      </c>
      <c r="E654" s="4" t="inlineStr">
        <is>
          <t>Super 8</t>
        </is>
      </c>
      <c r="F654" s="1" t="inlineStr">
        <is>
          <t>F0302</t>
        </is>
      </c>
    </row>
    <row r="655" ht="15.75" customHeight="1" s="95">
      <c r="A655" s="1" t="inlineStr">
        <is>
          <t>Joel McHale</t>
        </is>
      </c>
      <c r="B655" s="1" t="n">
        <v>2</v>
      </c>
      <c r="C655" s="1" t="n">
        <v>2004</v>
      </c>
      <c r="D655" s="1" t="n">
        <v>2012</v>
      </c>
      <c r="E655" s="4" t="inlineStr">
        <is>
          <t>Ted, Spider-Man 2</t>
        </is>
      </c>
      <c r="F655" s="1" t="inlineStr">
        <is>
          <t>F0308, F0288</t>
        </is>
      </c>
    </row>
    <row r="656" ht="15.75" customHeight="1" s="95">
      <c r="A656" s="1" t="inlineStr">
        <is>
          <t>Joey King</t>
        </is>
      </c>
      <c r="B656" s="1" t="n">
        <v>3</v>
      </c>
      <c r="C656" s="1" t="n">
        <v>2009</v>
      </c>
      <c r="D656" s="1" t="n">
        <v>2013</v>
      </c>
      <c r="E656" s="4" t="inlineStr">
        <is>
          <t>White House Down, Battle: Los Angeles, Ice Age: Dawn of the Dinosaurs</t>
        </is>
      </c>
      <c r="F656" s="1" t="inlineStr">
        <is>
          <t>F0335, F0046, F0161</t>
        </is>
      </c>
    </row>
    <row r="657" ht="15.75" customHeight="1" s="95">
      <c r="A657" s="1" t="inlineStr">
        <is>
          <t>John Cassini</t>
        </is>
      </c>
      <c r="B657" s="1" t="n">
        <v>1</v>
      </c>
      <c r="C657" s="1" t="n">
        <v>1995</v>
      </c>
      <c r="D657" s="1" t="n">
        <v>1995</v>
      </c>
      <c r="E657" s="4" t="inlineStr">
        <is>
          <t>Se7en</t>
        </is>
      </c>
      <c r="F657" s="1" t="inlineStr">
        <is>
          <t>F0276</t>
        </is>
      </c>
    </row>
    <row r="658" ht="15.75" customHeight="1" s="95">
      <c r="A658" s="1" t="inlineStr">
        <is>
          <t>John DiMaggio</t>
        </is>
      </c>
      <c r="B658" s="1" t="n">
        <v>6</v>
      </c>
      <c r="C658" s="1" t="n">
        <v>2012</v>
      </c>
      <c r="D658" s="1" t="n">
        <v>2023</v>
      </c>
      <c r="E658" s="4" t="inlineStr">
        <is>
          <t>Lego DC Comics Super Heroes: Justice League - Gotham City Breakout, Lego DC Comics Super Heroes: Justice League vs. Bizarro League, The Super Mario Bros. Movie, Transformers: Age of Extinction, Wreck-It Ralph, Ralph Breaks the Internet</t>
        </is>
      </c>
      <c r="F658" s="1" t="inlineStr">
        <is>
          <t>F0198, F0197, F0212, F0319, F0336, F0337</t>
        </is>
      </c>
    </row>
    <row r="659" ht="15.75" customHeight="1" s="95">
      <c r="A659" s="1" t="inlineStr">
        <is>
          <t>John Lithgow</t>
        </is>
      </c>
      <c r="B659" s="1" t="n">
        <v>4</v>
      </c>
      <c r="C659" s="1" t="n">
        <v>2011</v>
      </c>
      <c r="D659" s="1" t="n">
        <v>2017</v>
      </c>
      <c r="E659" s="4" t="inlineStr">
        <is>
          <t>Rise of the Planet of the Apes, The Accountant, Interstellar, Pitch Perfect 3</t>
        </is>
      </c>
      <c r="F659" s="1" t="inlineStr">
        <is>
          <t>F0253, F0013, F0168, F0252</t>
        </is>
      </c>
    </row>
    <row r="660" ht="15.75" customHeight="1" s="95">
      <c r="A660" s="1" t="inlineStr">
        <is>
          <t>John Michael Higgins</t>
        </is>
      </c>
      <c r="B660" s="1" t="n">
        <v>5</v>
      </c>
      <c r="C660" s="1" t="n">
        <v>2011</v>
      </c>
      <c r="D660" s="1" t="n">
        <v>2017</v>
      </c>
      <c r="E660" s="4" t="inlineStr">
        <is>
          <t>Bad Teacher, A Million Ways to Die in the West, Pitch Perfect, Pitch Perfect 2, Pitch Perfect 3</t>
        </is>
      </c>
      <c r="F660" s="1" t="inlineStr">
        <is>
          <t>F0039, F0021, F0250, F0251, F0252</t>
        </is>
      </c>
    </row>
    <row r="661" ht="15.75" customHeight="1" s="95">
      <c r="A661" s="1" t="inlineStr">
        <is>
          <t>John Ratzenberger</t>
        </is>
      </c>
      <c r="B661" s="1" t="n">
        <v>11</v>
      </c>
      <c r="C661" s="1" t="n">
        <v>1995</v>
      </c>
      <c r="D661" s="1" t="n">
        <v>2019</v>
      </c>
      <c r="E661" s="4" t="inlineStr">
        <is>
          <t>WALL·E, A Bug's Life, Finding Dory, Inside Out, Monsters, Inc., Monsters University, Toy Story, Toy Story 2, Toy Story 3, Toy Story 4, Up</t>
        </is>
      </c>
      <c r="F661" s="1" t="inlineStr">
        <is>
          <t>F0331, F0012, F0113, F0167, F0229, F0230, F0312, F0313, F0314, F0315, F0330</t>
        </is>
      </c>
    </row>
    <row r="662" ht="15.75" customHeight="1" s="95">
      <c r="A662" s="1" t="inlineStr">
        <is>
          <t>John Turturro</t>
        </is>
      </c>
      <c r="B662" s="1" t="n">
        <v>6</v>
      </c>
      <c r="C662" s="1" t="n">
        <v>1998</v>
      </c>
      <c r="D662" s="1" t="n">
        <v>2022</v>
      </c>
      <c r="E662" s="4" t="inlineStr">
        <is>
          <t>Transformers: Dark of the Moon, The Batman, The Big Lebowski, Transformers, Transformers: Revenge of the Fallen, Transformers: The Last Knight</t>
        </is>
      </c>
      <c r="F662" s="1" t="inlineStr">
        <is>
          <t>F0318, F0042, F0049, F0316, F0317, F0320</t>
        </is>
      </c>
    </row>
    <row r="663" ht="15.75" customHeight="1" s="95">
      <c r="A663" s="1" t="inlineStr">
        <is>
          <t>Johnny A. Sanchez</t>
        </is>
      </c>
      <c r="B663" s="1" t="n">
        <v>1</v>
      </c>
      <c r="C663" s="1" t="n">
        <v>2011</v>
      </c>
      <c r="D663" s="1" t="n">
        <v>2011</v>
      </c>
      <c r="E663" s="4" t="inlineStr">
        <is>
          <t>Happy Feet Two</t>
        </is>
      </c>
      <c r="F663" s="1" t="inlineStr">
        <is>
          <t>F0145</t>
        </is>
      </c>
    </row>
    <row r="664" ht="15.75" customHeight="1" s="95">
      <c r="A664" s="1" t="inlineStr">
        <is>
          <t>Johnny Depp</t>
        </is>
      </c>
      <c r="B664" s="1" t="n">
        <v>2</v>
      </c>
      <c r="C664" s="1" t="n">
        <v>2011</v>
      </c>
      <c r="D664" s="1" t="n">
        <v>2016</v>
      </c>
      <c r="E664" s="4" t="inlineStr">
        <is>
          <t>Pirates of the Caribbean: On Stranger Tides, Fantastic Beasts and Where to Find Them</t>
        </is>
      </c>
      <c r="F664" s="1" t="inlineStr">
        <is>
          <t>F0249, F0100</t>
        </is>
      </c>
    </row>
    <row r="665" ht="15.75" customHeight="1" s="95">
      <c r="A665" s="1" t="inlineStr">
        <is>
          <t>Johnny Knoxville</t>
        </is>
      </c>
      <c r="B665" s="1" t="n">
        <v>2</v>
      </c>
      <c r="C665" s="1" t="n">
        <v>2010</v>
      </c>
      <c r="D665" s="1" t="n">
        <v>2014</v>
      </c>
      <c r="E665" s="4" t="inlineStr">
        <is>
          <t>Jackass 3D, Teenage Mutant Ninja Turtles</t>
        </is>
      </c>
      <c r="F665" s="1" t="inlineStr">
        <is>
          <t>F0172, F0309</t>
        </is>
      </c>
    </row>
    <row r="666" ht="15.75" customHeight="1" s="95">
      <c r="A666" s="1" t="inlineStr">
        <is>
          <t>Jon Favreau</t>
        </is>
      </c>
      <c r="B666" s="1" t="n">
        <v>5</v>
      </c>
      <c r="C666" s="1" t="n">
        <v>2003</v>
      </c>
      <c r="D666" s="1" t="n">
        <v>2024</v>
      </c>
      <c r="E666" s="4" t="inlineStr">
        <is>
          <t>Chef, Avengers: Endgame, Deadpool &amp; Wolverine, Elf, Iron Man 3</t>
        </is>
      </c>
      <c r="F666" s="1" t="inlineStr">
        <is>
          <t>F0065, F0031, F0078, F0092, F0169</t>
        </is>
      </c>
    </row>
    <row r="667" ht="15.75" customHeight="1" s="95">
      <c r="A667" s="1" t="inlineStr">
        <is>
          <t>Jon Gries</t>
        </is>
      </c>
      <c r="B667" s="1" t="n">
        <v>3</v>
      </c>
      <c r="C667" s="1" t="n">
        <v>1997</v>
      </c>
      <c r="D667" s="1" t="n">
        <v>2012</v>
      </c>
      <c r="E667" s="4" t="inlineStr">
        <is>
          <t>Taken, Men in Black, Taken 2</t>
        </is>
      </c>
      <c r="F667" s="1" t="inlineStr">
        <is>
          <t>F0306, F0218, F0307</t>
        </is>
      </c>
    </row>
    <row r="668" ht="15.75" customHeight="1" s="95">
      <c r="A668" s="1" t="inlineStr">
        <is>
          <t>Jonathan Bailey</t>
        </is>
      </c>
      <c r="B668" s="1" t="n">
        <v>1</v>
      </c>
      <c r="C668" s="1" t="n">
        <v>2025</v>
      </c>
      <c r="D668" s="1" t="n">
        <v>2025</v>
      </c>
      <c r="E668" s="4" t="inlineStr">
        <is>
          <t>Jurassic World Rebirth</t>
        </is>
      </c>
      <c r="F668" s="1" t="inlineStr">
        <is>
          <t>F0182</t>
        </is>
      </c>
    </row>
    <row r="669" ht="15.75" customHeight="1" s="95">
      <c r="A669" s="1" t="inlineStr">
        <is>
          <t>Jonathan Groff</t>
        </is>
      </c>
      <c r="B669" s="1" t="n">
        <v>1</v>
      </c>
      <c r="C669" s="1" t="n">
        <v>2013</v>
      </c>
      <c r="D669" s="1" t="n">
        <v>2013</v>
      </c>
      <c r="E669" s="4" t="inlineStr">
        <is>
          <t>Frozen</t>
        </is>
      </c>
      <c r="F669" s="1" t="inlineStr">
        <is>
          <t>F0116</t>
        </is>
      </c>
    </row>
    <row r="670" ht="15.75" customHeight="1" s="95">
      <c r="A670" s="1" t="inlineStr">
        <is>
          <t>Jordan Nagai</t>
        </is>
      </c>
      <c r="B670" s="1" t="n">
        <v>1</v>
      </c>
      <c r="C670" s="1" t="n">
        <v>2009</v>
      </c>
      <c r="D670" s="1" t="n">
        <v>2009</v>
      </c>
      <c r="E670" s="4" t="inlineStr">
        <is>
          <t>Up</t>
        </is>
      </c>
      <c r="F670" s="1" t="inlineStr">
        <is>
          <t>F0330</t>
        </is>
      </c>
    </row>
    <row r="671" ht="15.75" customHeight="1" s="95">
      <c r="A671" s="1" t="inlineStr">
        <is>
          <t>Jorge Lendeborg Jr.</t>
        </is>
      </c>
      <c r="B671" s="1" t="n">
        <v>1</v>
      </c>
      <c r="C671" s="1" t="n">
        <v>2018</v>
      </c>
      <c r="D671" s="1" t="n">
        <v>2018</v>
      </c>
      <c r="E671" s="4" t="inlineStr">
        <is>
          <t>Bumblebee</t>
        </is>
      </c>
      <c r="F671" s="1" t="inlineStr">
        <is>
          <t>F0061</t>
        </is>
      </c>
    </row>
    <row r="672" ht="15.75" customHeight="1" s="95">
      <c r="A672" s="1" t="inlineStr">
        <is>
          <t>Joseph Mazzello</t>
        </is>
      </c>
      <c r="B672" s="1" t="n">
        <v>3</v>
      </c>
      <c r="C672" s="1" t="n">
        <v>1993</v>
      </c>
      <c r="D672" s="1" t="n">
        <v>2018</v>
      </c>
      <c r="E672" s="4" t="inlineStr">
        <is>
          <t>Bohemian Rhapsody, Jurassic Park, The Lost World: Jurassic Park</t>
        </is>
      </c>
      <c r="F672" s="1" t="inlineStr">
        <is>
          <t>F0052, F0176, F0177</t>
        </is>
      </c>
    </row>
    <row r="673" ht="15.75" customHeight="1" s="95">
      <c r="A673" s="1" t="inlineStr">
        <is>
          <t>Josh Duhamel</t>
        </is>
      </c>
      <c r="B673" s="1" t="n">
        <v>4</v>
      </c>
      <c r="C673" s="1" t="n">
        <v>2007</v>
      </c>
      <c r="D673" s="1" t="n">
        <v>2017</v>
      </c>
      <c r="E673" s="4" t="inlineStr">
        <is>
          <t>Transformers: The Last Knight, Transformers, Transformers: Revenge of the Fallen, Transformers: Dark of the Moon</t>
        </is>
      </c>
      <c r="F673" s="1" t="inlineStr">
        <is>
          <t>F0320, F0316, F0317, F0318</t>
        </is>
      </c>
    </row>
    <row r="674" ht="15.75" customHeight="1" s="95">
      <c r="A674" s="1" t="inlineStr">
        <is>
          <t>Josh Gad</t>
        </is>
      </c>
      <c r="B674" s="1" t="n">
        <v>1</v>
      </c>
      <c r="C674" s="1" t="n">
        <v>2013</v>
      </c>
      <c r="D674" s="1" t="n">
        <v>2013</v>
      </c>
      <c r="E674" s="4" t="inlineStr">
        <is>
          <t>Frozen</t>
        </is>
      </c>
      <c r="F674" s="1" t="inlineStr">
        <is>
          <t>F0116</t>
        </is>
      </c>
    </row>
    <row r="675" ht="15.75" customHeight="1" s="95">
      <c r="A675" s="1" t="inlineStr">
        <is>
          <t>Josh Meyers</t>
        </is>
      </c>
      <c r="B675" s="1" t="n">
        <v>1</v>
      </c>
      <c r="C675" s="1" t="n">
        <v>2009</v>
      </c>
      <c r="D675" s="1" t="n">
        <v>2009</v>
      </c>
      <c r="E675" s="4" t="inlineStr">
        <is>
          <t>Brüno</t>
        </is>
      </c>
      <c r="F675" s="1" t="inlineStr">
        <is>
          <t>F0059</t>
        </is>
      </c>
    </row>
    <row r="676" ht="15.75" customHeight="1" s="95">
      <c r="A676" s="1" t="inlineStr">
        <is>
          <t>Julia Louis-Dreyfus</t>
        </is>
      </c>
      <c r="B676" s="1" t="n">
        <v>1</v>
      </c>
      <c r="C676" s="1" t="n">
        <v>1998</v>
      </c>
      <c r="D676" s="1" t="n">
        <v>1998</v>
      </c>
      <c r="E676" s="4" t="inlineStr">
        <is>
          <t>A Bug's Life</t>
        </is>
      </c>
      <c r="F676" s="1" t="inlineStr">
        <is>
          <t>F0012</t>
        </is>
      </c>
    </row>
    <row r="677" ht="15.75" customHeight="1" s="95">
      <c r="A677" s="1" t="inlineStr">
        <is>
          <t>Julian Dennison</t>
        </is>
      </c>
      <c r="B677" s="1" t="n">
        <v>2</v>
      </c>
      <c r="C677" s="1" t="n">
        <v>2018</v>
      </c>
      <c r="D677" s="1" t="n">
        <v>2021</v>
      </c>
      <c r="E677" s="4" t="inlineStr">
        <is>
          <t>Deadpool 2, Godzilla vs. Kong</t>
        </is>
      </c>
      <c r="F677" s="1" t="inlineStr">
        <is>
          <t>F0077, F0123</t>
        </is>
      </c>
    </row>
    <row r="678" ht="15.75" customHeight="1" s="95">
      <c r="A678" s="1" t="inlineStr">
        <is>
          <t>Julianne Hough</t>
        </is>
      </c>
      <c r="B678" s="1" t="n">
        <v>1</v>
      </c>
      <c r="C678" s="1" t="n">
        <v>2016</v>
      </c>
      <c r="D678" s="1" t="n">
        <v>2016</v>
      </c>
      <c r="E678" s="4" t="inlineStr">
        <is>
          <t>Dirty Grandpa</t>
        </is>
      </c>
      <c r="F678" s="1" t="inlineStr">
        <is>
          <t>F0087</t>
        </is>
      </c>
    </row>
    <row r="679" ht="15.75" customHeight="1" s="95">
      <c r="A679" s="1" t="inlineStr">
        <is>
          <t>Julie Benz</t>
        </is>
      </c>
      <c r="B679" s="1" t="n">
        <v>1</v>
      </c>
      <c r="C679" s="1" t="n">
        <v>2008</v>
      </c>
      <c r="D679" s="1" t="n">
        <v>2008</v>
      </c>
      <c r="E679" s="4" t="inlineStr">
        <is>
          <t>Rambo</t>
        </is>
      </c>
      <c r="F679" s="1" t="inlineStr">
        <is>
          <t>F0261</t>
        </is>
      </c>
    </row>
    <row r="680" ht="15.75" customHeight="1" s="95">
      <c r="A680" s="1" t="inlineStr">
        <is>
          <t>Juliette Binoche</t>
        </is>
      </c>
      <c r="B680" s="1" t="n">
        <v>1</v>
      </c>
      <c r="C680" s="1" t="n">
        <v>2014</v>
      </c>
      <c r="D680" s="1" t="n">
        <v>2014</v>
      </c>
      <c r="E680" s="4" t="inlineStr">
        <is>
          <t>Godzilla</t>
        </is>
      </c>
      <c r="F680" s="1" t="inlineStr">
        <is>
          <t>F0121</t>
        </is>
      </c>
    </row>
    <row r="681" ht="15.75" customHeight="1" s="95">
      <c r="A681" s="1" t="inlineStr">
        <is>
          <t>Juliette Lewis</t>
        </is>
      </c>
      <c r="B681" s="1" t="n">
        <v>1</v>
      </c>
      <c r="C681" s="1" t="n">
        <v>2010</v>
      </c>
      <c r="D681" s="1" t="n">
        <v>2010</v>
      </c>
      <c r="E681" s="4" t="inlineStr">
        <is>
          <t>Due Date</t>
        </is>
      </c>
      <c r="F681" s="1" t="inlineStr">
        <is>
          <t>F0091</t>
        </is>
      </c>
    </row>
    <row r="682" ht="15.75" customHeight="1" s="95">
      <c r="A682" s="1" t="inlineStr">
        <is>
          <t>Justice Smith</t>
        </is>
      </c>
      <c r="B682" s="1" t="n">
        <v>2</v>
      </c>
      <c r="C682" s="1" t="n">
        <v>2018</v>
      </c>
      <c r="D682" s="1" t="n">
        <v>2022</v>
      </c>
      <c r="E682" s="4" t="inlineStr">
        <is>
          <t>Jurassic World: Fallen Kingdom, Jurassic World Dominion</t>
        </is>
      </c>
      <c r="F682" s="1" t="inlineStr">
        <is>
          <t>F0180, F0181</t>
        </is>
      </c>
    </row>
    <row r="683" ht="15.75" customHeight="1" s="95">
      <c r="A683" s="1" t="inlineStr">
        <is>
          <t>Justin Chatwin</t>
        </is>
      </c>
      <c r="B683" s="1" t="n">
        <v>1</v>
      </c>
      <c r="C683" s="1" t="n">
        <v>2005</v>
      </c>
      <c r="D683" s="1" t="n">
        <v>2005</v>
      </c>
      <c r="E683" s="4" t="inlineStr">
        <is>
          <t>War of the Worlds</t>
        </is>
      </c>
      <c r="F683" s="1" t="inlineStr">
        <is>
          <t>F0332</t>
        </is>
      </c>
    </row>
    <row r="684" ht="15.75" customHeight="1" s="95">
      <c r="A684" s="1" t="inlineStr">
        <is>
          <t>Justin Long</t>
        </is>
      </c>
      <c r="B684" s="1" t="n">
        <v>1</v>
      </c>
      <c r="C684" s="1" t="n">
        <v>2007</v>
      </c>
      <c r="D684" s="1" t="n">
        <v>2007</v>
      </c>
      <c r="E684" s="4" t="inlineStr">
        <is>
          <t>Live Free or Die Hard</t>
        </is>
      </c>
      <c r="F684" s="1" t="inlineStr">
        <is>
          <t>F0086</t>
        </is>
      </c>
    </row>
    <row r="685" ht="15.75" customHeight="1" s="95">
      <c r="A685" s="1" t="inlineStr">
        <is>
          <t>Karin Konoval</t>
        </is>
      </c>
      <c r="B685" s="1" t="n">
        <v>3</v>
      </c>
      <c r="C685" s="1" t="n">
        <v>2011</v>
      </c>
      <c r="D685" s="1" t="n">
        <v>2017</v>
      </c>
      <c r="E685" s="4" t="inlineStr">
        <is>
          <t>War for the Planet of the Apes, Rise of the Planet of the Apes, Dawn of the Planet of the Apes</t>
        </is>
      </c>
      <c r="F685" s="1" t="inlineStr">
        <is>
          <t>F0255, F0253, F0254</t>
        </is>
      </c>
    </row>
    <row r="686" ht="15.75" customHeight="1" s="95">
      <c r="A686" s="1" t="inlineStr">
        <is>
          <t>Karl Urban</t>
        </is>
      </c>
      <c r="B686" s="1" t="n">
        <v>6</v>
      </c>
      <c r="C686" s="1" t="n">
        <v>2002</v>
      </c>
      <c r="D686" s="1" t="n">
        <v>2013</v>
      </c>
      <c r="E686" s="4" t="inlineStr">
        <is>
          <t>The Bourne Supremacy, The Lord of the Rings: The Two Towers, The Lord of the Rings: The Return of the King, RED, Riddick, Star Trek</t>
        </is>
      </c>
      <c r="F686" s="1" t="inlineStr">
        <is>
          <t>F0054, F0204, F0205, F0262, F0264, F0291</t>
        </is>
      </c>
    </row>
    <row r="687" ht="15.75" customHeight="1" s="95">
      <c r="A687" s="1" t="inlineStr">
        <is>
          <t>Kate Ashfield</t>
        </is>
      </c>
      <c r="B687" s="1" t="n">
        <v>1</v>
      </c>
      <c r="C687" s="1" t="n">
        <v>2004</v>
      </c>
      <c r="D687" s="1" t="n">
        <v>2004</v>
      </c>
      <c r="E687" s="4" t="inlineStr">
        <is>
          <t>Shaun of the Dead</t>
        </is>
      </c>
      <c r="F687" s="1" t="inlineStr">
        <is>
          <t>F0070</t>
        </is>
      </c>
    </row>
    <row r="688" ht="15.75" customHeight="1" s="95">
      <c r="A688" s="1" t="inlineStr">
        <is>
          <t>Katee Sackhoff</t>
        </is>
      </c>
      <c r="B688" s="1" t="n">
        <v>1</v>
      </c>
      <c r="C688" s="1" t="n">
        <v>2013</v>
      </c>
      <c r="D688" s="1" t="n">
        <v>2013</v>
      </c>
      <c r="E688" s="4" t="inlineStr">
        <is>
          <t>Riddick</t>
        </is>
      </c>
      <c r="F688" s="1" t="inlineStr">
        <is>
          <t>F0264</t>
        </is>
      </c>
    </row>
    <row r="689" ht="15.75" customHeight="1" s="95">
      <c r="A689" s="1" t="inlineStr">
        <is>
          <t>Katherine Waterston</t>
        </is>
      </c>
      <c r="B689" s="1" t="n">
        <v>1</v>
      </c>
      <c r="C689" s="1" t="n">
        <v>2016</v>
      </c>
      <c r="D689" s="1" t="n">
        <v>2016</v>
      </c>
      <c r="E689" s="4" t="inlineStr">
        <is>
          <t>Fantastic Beasts and Where to Find Them</t>
        </is>
      </c>
      <c r="F689" s="1" t="inlineStr">
        <is>
          <t>F0100</t>
        </is>
      </c>
    </row>
    <row r="690" ht="15.75" customHeight="1" s="95">
      <c r="A690" s="1" t="inlineStr">
        <is>
          <t>Kathryn Hahn</t>
        </is>
      </c>
      <c r="B690" s="1" t="n">
        <v>2</v>
      </c>
      <c r="C690" s="1" t="n">
        <v>2004</v>
      </c>
      <c r="D690" s="1" t="n">
        <v>2016</v>
      </c>
      <c r="E690" s="4" t="inlineStr">
        <is>
          <t>Bad Moms, Anchorman: The Legend of Ron Burgundy</t>
        </is>
      </c>
      <c r="F690" s="1" t="inlineStr">
        <is>
          <t>F0038, F0022</t>
        </is>
      </c>
    </row>
    <row r="691" ht="15.75" customHeight="1" s="95">
      <c r="A691" s="1" t="inlineStr">
        <is>
          <t>Kathy Najimy</t>
        </is>
      </c>
      <c r="B691" s="1" t="n">
        <v>1</v>
      </c>
      <c r="C691" s="1" t="n">
        <v>2008</v>
      </c>
      <c r="D691" s="1" t="n">
        <v>2008</v>
      </c>
      <c r="E691" s="4" t="inlineStr">
        <is>
          <t>WALL·E</t>
        </is>
      </c>
      <c r="F691" s="1" t="inlineStr">
        <is>
          <t>F0331</t>
        </is>
      </c>
    </row>
    <row r="692" ht="15.75" customHeight="1" s="95">
      <c r="A692" s="1" t="inlineStr">
        <is>
          <t>Katie Holmes</t>
        </is>
      </c>
      <c r="B692" s="1" t="n">
        <v>1</v>
      </c>
      <c r="C692" s="1" t="n">
        <v>2005</v>
      </c>
      <c r="D692" s="1" t="n">
        <v>2005</v>
      </c>
      <c r="E692" s="4" t="inlineStr">
        <is>
          <t>Batman Begins</t>
        </is>
      </c>
      <c r="F692" s="1" t="inlineStr">
        <is>
          <t>F0043</t>
        </is>
      </c>
    </row>
    <row r="693" ht="15.75" customHeight="1" s="95">
      <c r="A693" s="1" t="inlineStr">
        <is>
          <t>Katy Perry</t>
        </is>
      </c>
      <c r="B693" s="1" t="n">
        <v>1</v>
      </c>
      <c r="C693" s="1" t="n">
        <v>2013</v>
      </c>
      <c r="D693" s="1" t="n">
        <v>2013</v>
      </c>
      <c r="E693" s="4" t="inlineStr">
        <is>
          <t>The Smurfs 2</t>
        </is>
      </c>
      <c r="F693" s="1" t="inlineStr">
        <is>
          <t>F0282</t>
        </is>
      </c>
    </row>
    <row r="694" ht="15.75" customHeight="1" s="95">
      <c r="A694" s="1" t="inlineStr">
        <is>
          <t>Kaya Scodelario</t>
        </is>
      </c>
      <c r="B694" s="1" t="n">
        <v>2</v>
      </c>
      <c r="C694" s="1" t="n">
        <v>2010</v>
      </c>
      <c r="D694" s="1" t="n">
        <v>2014</v>
      </c>
      <c r="E694" s="4" t="inlineStr">
        <is>
          <t>The Maze Runner, Clash of the Titans</t>
        </is>
      </c>
      <c r="F694" s="1" t="inlineStr">
        <is>
          <t>F0217, F0066</t>
        </is>
      </c>
    </row>
    <row r="695" ht="15.75" customHeight="1" s="95">
      <c r="A695" s="1" t="inlineStr">
        <is>
          <t>Kaylee Hottle</t>
        </is>
      </c>
      <c r="B695" s="1" t="n">
        <v>1</v>
      </c>
      <c r="C695" s="1" t="n">
        <v>2021</v>
      </c>
      <c r="D695" s="1" t="n">
        <v>2021</v>
      </c>
      <c r="E695" s="4" t="inlineStr">
        <is>
          <t>Godzilla vs. Kong</t>
        </is>
      </c>
      <c r="F695" s="1" t="inlineStr">
        <is>
          <t>F0123</t>
        </is>
      </c>
    </row>
    <row r="696" ht="15.75" customHeight="1" s="95">
      <c r="A696" s="1" t="inlineStr">
        <is>
          <t>Keira Knightley</t>
        </is>
      </c>
      <c r="B696" s="1" t="n">
        <v>1</v>
      </c>
      <c r="C696" s="1" t="n">
        <v>2014</v>
      </c>
      <c r="D696" s="1" t="n">
        <v>2014</v>
      </c>
      <c r="E696" s="4" t="inlineStr">
        <is>
          <t>The Imitation Game</t>
        </is>
      </c>
      <c r="F696" s="1" t="inlineStr">
        <is>
          <t>F0162</t>
        </is>
      </c>
    </row>
    <row r="697" ht="15.75" customHeight="1" s="95">
      <c r="A697" s="1" t="inlineStr">
        <is>
          <t>Kellan Lutz</t>
        </is>
      </c>
      <c r="B697" s="1" t="n">
        <v>2</v>
      </c>
      <c r="C697" s="1" t="n">
        <v>2014</v>
      </c>
      <c r="D697" s="1" t="n">
        <v>2014</v>
      </c>
      <c r="E697" s="4" t="inlineStr">
        <is>
          <t>The Legend of Hercules, The Expendables 3</t>
        </is>
      </c>
      <c r="F697" s="1" t="inlineStr">
        <is>
          <t>F0148, F0097</t>
        </is>
      </c>
    </row>
    <row r="698" ht="15.75" customHeight="1" s="95">
      <c r="A698" s="1" t="inlineStr">
        <is>
          <t>Ken Stott</t>
        </is>
      </c>
      <c r="B698" s="1" t="n">
        <v>3</v>
      </c>
      <c r="C698" s="1" t="n">
        <v>2012</v>
      </c>
      <c r="D698" s="1" t="n">
        <v>2014</v>
      </c>
      <c r="E698" s="4" t="inlineStr">
        <is>
          <t>The Hobbit: An Unexpected Journey, The Hobbit: The Desolation of Smaug, The Hobbit: The Battle of the Five Armies</t>
        </is>
      </c>
      <c r="F698" s="1" t="inlineStr">
        <is>
          <t>F0150, F0151, F0152</t>
        </is>
      </c>
    </row>
    <row r="699" ht="15.75" customHeight="1" s="95">
      <c r="A699" s="1" t="inlineStr">
        <is>
          <t>Kenneth Branagh</t>
        </is>
      </c>
      <c r="B699" s="1" t="n">
        <v>2</v>
      </c>
      <c r="C699" s="1" t="n">
        <v>2002</v>
      </c>
      <c r="D699" s="1" t="n">
        <v>2023</v>
      </c>
      <c r="E699" s="4" t="inlineStr">
        <is>
          <t>Harry Potter and the Chamber of Secrets, Oppenheimer</t>
        </is>
      </c>
      <c r="F699" s="1" t="inlineStr">
        <is>
          <t>F0138, F0242</t>
        </is>
      </c>
    </row>
    <row r="700" ht="15.75" customHeight="1" s="95">
      <c r="A700" s="1" t="inlineStr">
        <is>
          <t>Keri Russell</t>
        </is>
      </c>
      <c r="B700" s="1" t="n">
        <v>3</v>
      </c>
      <c r="C700" s="1" t="n">
        <v>2006</v>
      </c>
      <c r="D700" s="1" t="n">
        <v>2019</v>
      </c>
      <c r="E700" s="4" t="inlineStr">
        <is>
          <t>Dawn of the Planet of the Apes, Mission: Impossible III, Star Wars: The Rise of Skywalker</t>
        </is>
      </c>
      <c r="F700" s="1" t="inlineStr">
        <is>
          <t>F0254, F0223, F0300</t>
        </is>
      </c>
    </row>
    <row r="701" ht="15.75" customHeight="1" s="95">
      <c r="A701" s="1" t="inlineStr">
        <is>
          <t>Kerry Condon</t>
        </is>
      </c>
      <c r="B701" s="1" t="n">
        <v>1</v>
      </c>
      <c r="C701" s="1" t="n">
        <v>2025</v>
      </c>
      <c r="D701" s="1" t="n">
        <v>2025</v>
      </c>
      <c r="E701" s="4" t="inlineStr">
        <is>
          <t>F1</t>
        </is>
      </c>
      <c r="F701" s="1" t="inlineStr">
        <is>
          <t>F0098</t>
        </is>
      </c>
    </row>
    <row r="702" ht="15.75" customHeight="1" s="95">
      <c r="A702" s="1" t="inlineStr">
        <is>
          <t>Kevin Bacon</t>
        </is>
      </c>
      <c r="B702" s="1" t="n">
        <v>1</v>
      </c>
      <c r="C702" s="1" t="n">
        <v>2011</v>
      </c>
      <c r="D702" s="1" t="n">
        <v>2011</v>
      </c>
      <c r="E702" s="4" t="inlineStr">
        <is>
          <t>X-Men: First Class</t>
        </is>
      </c>
      <c r="F702" s="1" t="inlineStr">
        <is>
          <t>F0340</t>
        </is>
      </c>
    </row>
    <row r="703" ht="15.75" customHeight="1" s="95">
      <c r="A703" s="1" t="inlineStr">
        <is>
          <t>Kevin Hart</t>
        </is>
      </c>
      <c r="B703" s="1" t="n">
        <v>1</v>
      </c>
      <c r="C703" s="1" t="n">
        <v>2016</v>
      </c>
      <c r="D703" s="1" t="n">
        <v>2016</v>
      </c>
      <c r="E703" s="4" t="inlineStr">
        <is>
          <t>The Secret Life of Pets</t>
        </is>
      </c>
      <c r="F703" s="1" t="inlineStr">
        <is>
          <t>F0274</t>
        </is>
      </c>
    </row>
    <row r="704" ht="15.75" customHeight="1" s="95">
      <c r="A704" s="1" t="inlineStr">
        <is>
          <t>Kevin McNally</t>
        </is>
      </c>
      <c r="B704" s="1" t="n">
        <v>1</v>
      </c>
      <c r="C704" s="1" t="n">
        <v>2011</v>
      </c>
      <c r="D704" s="1" t="n">
        <v>2011</v>
      </c>
      <c r="E704" s="4" t="inlineStr">
        <is>
          <t>Pirates of the Caribbean: On Stranger Tides</t>
        </is>
      </c>
      <c r="F704" s="1" t="inlineStr">
        <is>
          <t>F0249</t>
        </is>
      </c>
    </row>
    <row r="705" ht="15.75" customHeight="1" s="95">
      <c r="A705" s="1" t="inlineStr">
        <is>
          <t>Khalid Abdalla</t>
        </is>
      </c>
      <c r="B705" s="1" t="n">
        <v>1</v>
      </c>
      <c r="C705" s="1" t="n">
        <v>2010</v>
      </c>
      <c r="D705" s="1" t="n">
        <v>2010</v>
      </c>
      <c r="E705" s="4" t="inlineStr">
        <is>
          <t>Green Zone</t>
        </is>
      </c>
      <c r="F705" s="1" t="inlineStr">
        <is>
          <t>F0129</t>
        </is>
      </c>
    </row>
    <row r="706" ht="15.75" customHeight="1" s="95">
      <c r="A706" s="1" t="inlineStr">
        <is>
          <t>Khary Payton</t>
        </is>
      </c>
      <c r="B706" s="1" t="n">
        <v>3</v>
      </c>
      <c r="C706" s="1" t="n">
        <v>2015</v>
      </c>
      <c r="D706" s="1" t="n">
        <v>2023</v>
      </c>
      <c r="E706" s="4" t="inlineStr">
        <is>
          <t>Lego DC Comics Super Heroes: Justice League vs. Bizarro League, Lego DC Comics Super Heroes: Justice League - Gotham City Breakout, The Super Mario Bros. Movie</t>
        </is>
      </c>
      <c r="F706" s="1" t="inlineStr">
        <is>
          <t>F0197, F0198, F0212</t>
        </is>
      </c>
    </row>
    <row r="707" ht="15.75" customHeight="1" s="95">
      <c r="A707" s="1" t="inlineStr">
        <is>
          <t>Ki Hong Lee</t>
        </is>
      </c>
      <c r="B707" s="1" t="n">
        <v>1</v>
      </c>
      <c r="C707" s="1" t="n">
        <v>2014</v>
      </c>
      <c r="D707" s="1" t="n">
        <v>2014</v>
      </c>
      <c r="E707" s="4" t="inlineStr">
        <is>
          <t>The Maze Runner</t>
        </is>
      </c>
      <c r="F707" s="1" t="inlineStr">
        <is>
          <t>F0217</t>
        </is>
      </c>
    </row>
    <row r="708" ht="15.75" customHeight="1" s="95">
      <c r="A708" s="1" t="inlineStr">
        <is>
          <t>Kid Cudi</t>
        </is>
      </c>
      <c r="B708" s="1" t="n">
        <v>1</v>
      </c>
      <c r="C708" s="1" t="n">
        <v>2014</v>
      </c>
      <c r="D708" s="1" t="n">
        <v>2014</v>
      </c>
      <c r="E708" s="4" t="inlineStr">
        <is>
          <t>Need for Speed</t>
        </is>
      </c>
      <c r="F708" s="1" t="inlineStr">
        <is>
          <t>F0234</t>
        </is>
      </c>
    </row>
    <row r="709" ht="15.75" customHeight="1" s="95">
      <c r="A709" s="1" t="inlineStr">
        <is>
          <t>Kristen Stewart</t>
        </is>
      </c>
      <c r="B709" s="1" t="n">
        <v>2</v>
      </c>
      <c r="C709" s="1" t="n">
        <v>2008</v>
      </c>
      <c r="D709" s="1" t="n">
        <v>2012</v>
      </c>
      <c r="E709" s="4" t="inlineStr">
        <is>
          <t>Snow White and the Huntsman, Jumper</t>
        </is>
      </c>
      <c r="F709" s="1" t="inlineStr">
        <is>
          <t>F0284, F0175</t>
        </is>
      </c>
    </row>
    <row r="710" ht="15.75" customHeight="1" s="95">
      <c r="A710" s="1" t="inlineStr">
        <is>
          <t>Kurtwood Smith</t>
        </is>
      </c>
      <c r="B710" s="1" t="n">
        <v>2</v>
      </c>
      <c r="C710" s="1" t="n">
        <v>2008</v>
      </c>
      <c r="D710" s="1" t="n">
        <v>2008</v>
      </c>
      <c r="E710" s="4" t="inlineStr">
        <is>
          <t>RoboCop, Rambo</t>
        </is>
      </c>
      <c r="F710" s="1" t="inlineStr">
        <is>
          <t>F0268, F0261</t>
        </is>
      </c>
    </row>
    <row r="711" ht="15.75" customHeight="1" s="95">
      <c r="A711" s="1" t="inlineStr">
        <is>
          <t>Lance Henriksen</t>
        </is>
      </c>
      <c r="B711" s="1" t="n">
        <v>2</v>
      </c>
      <c r="C711" s="1" t="n">
        <v>1986</v>
      </c>
      <c r="D711" s="1" t="n">
        <v>1992</v>
      </c>
      <c r="E711" s="4" t="inlineStr">
        <is>
          <t>Aliens, Alien³</t>
        </is>
      </c>
      <c r="F711" s="1" t="inlineStr">
        <is>
          <t>F0016, F0017</t>
        </is>
      </c>
    </row>
    <row r="712" ht="15.75" customHeight="1" s="95">
      <c r="A712" s="1" t="inlineStr">
        <is>
          <t>Lashana Lynch</t>
        </is>
      </c>
      <c r="B712" s="1" t="n">
        <v>1</v>
      </c>
      <c r="C712" s="1" t="n">
        <v>2021</v>
      </c>
      <c r="D712" s="1" t="n">
        <v>2021</v>
      </c>
      <c r="E712" s="4" t="inlineStr">
        <is>
          <t>No Time to Die</t>
        </is>
      </c>
      <c r="F712" s="1" t="inlineStr">
        <is>
          <t>F0005</t>
        </is>
      </c>
    </row>
    <row r="713" ht="15.75" customHeight="1" s="95">
      <c r="A713" s="1" t="inlineStr">
        <is>
          <t>Laura Haddock</t>
        </is>
      </c>
      <c r="B713" s="1" t="n">
        <v>2</v>
      </c>
      <c r="C713" s="1" t="n">
        <v>2011</v>
      </c>
      <c r="D713" s="1" t="n">
        <v>2017</v>
      </c>
      <c r="E713" s="4" t="inlineStr">
        <is>
          <t>Transformers: The Last Knight, The Inbetweeners Movie</t>
        </is>
      </c>
      <c r="F713" s="1" t="inlineStr">
        <is>
          <t>F0320, F0163</t>
        </is>
      </c>
    </row>
    <row r="714" ht="15.75" customHeight="1" s="95">
      <c r="A714" s="1" t="inlineStr">
        <is>
          <t>Lesley Manville</t>
        </is>
      </c>
      <c r="B714" s="1" t="n">
        <v>1</v>
      </c>
      <c r="C714" s="1" t="n">
        <v>2014</v>
      </c>
      <c r="D714" s="1" t="n">
        <v>2014</v>
      </c>
      <c r="E714" s="4" t="inlineStr">
        <is>
          <t>Maleficent</t>
        </is>
      </c>
      <c r="F714" s="1" t="inlineStr">
        <is>
          <t>F0208</t>
        </is>
      </c>
    </row>
    <row r="715" ht="15.75" customHeight="1" s="95">
      <c r="A715" s="1" t="inlineStr">
        <is>
          <t>Leslie Bibb</t>
        </is>
      </c>
      <c r="B715" s="1" t="n">
        <v>1</v>
      </c>
      <c r="C715" s="1" t="n">
        <v>2009</v>
      </c>
      <c r="D715" s="1" t="n">
        <v>2009</v>
      </c>
      <c r="E715" s="4" t="inlineStr">
        <is>
          <t>Law Abiding Citizen</t>
        </is>
      </c>
      <c r="F715" s="1" t="inlineStr">
        <is>
          <t>F0191</t>
        </is>
      </c>
    </row>
    <row r="716" ht="15.75" customHeight="1" s="95">
      <c r="A716" s="1" t="inlineStr">
        <is>
          <t>Lewis Black</t>
        </is>
      </c>
      <c r="B716" s="1" t="n">
        <v>1</v>
      </c>
      <c r="C716" s="1" t="n">
        <v>2015</v>
      </c>
      <c r="D716" s="1" t="n">
        <v>2015</v>
      </c>
      <c r="E716" s="4" t="inlineStr">
        <is>
          <t>Inside Out</t>
        </is>
      </c>
      <c r="F716" s="1" t="inlineStr">
        <is>
          <t>F0167</t>
        </is>
      </c>
    </row>
    <row r="717" ht="15.75" customHeight="1" s="95">
      <c r="A717" s="1" t="inlineStr">
        <is>
          <t>Liam McIntyre</t>
        </is>
      </c>
      <c r="B717" s="1" t="n">
        <v>1</v>
      </c>
      <c r="C717" s="1" t="n">
        <v>2014</v>
      </c>
      <c r="D717" s="1" t="n">
        <v>2014</v>
      </c>
      <c r="E717" s="4" t="inlineStr">
        <is>
          <t>The Legend of Hercules</t>
        </is>
      </c>
      <c r="F717" s="1" t="inlineStr">
        <is>
          <t>F0148</t>
        </is>
      </c>
    </row>
    <row r="718" ht="15.75" customHeight="1" s="95">
      <c r="A718" s="1" t="inlineStr">
        <is>
          <t>Lily James</t>
        </is>
      </c>
      <c r="B718" s="1" t="n">
        <v>1</v>
      </c>
      <c r="C718" s="1" t="n">
        <v>2017</v>
      </c>
      <c r="D718" s="1" t="n">
        <v>2017</v>
      </c>
      <c r="E718" s="4" t="inlineStr">
        <is>
          <t>Baby Driver</t>
        </is>
      </c>
      <c r="F718" s="1" t="inlineStr">
        <is>
          <t>F0032</t>
        </is>
      </c>
    </row>
    <row r="719" ht="15.75" customHeight="1" s="95">
      <c r="A719" s="1" t="inlineStr">
        <is>
          <t>Linda Fiorentino</t>
        </is>
      </c>
      <c r="B719" s="1" t="n">
        <v>2</v>
      </c>
      <c r="C719" s="1" t="n">
        <v>1997</v>
      </c>
      <c r="D719" s="1" t="n">
        <v>1999</v>
      </c>
      <c r="E719" s="4" t="inlineStr">
        <is>
          <t>Men in Black, Dogma</t>
        </is>
      </c>
      <c r="F719" s="1" t="inlineStr">
        <is>
          <t>F0218, F0351</t>
        </is>
      </c>
    </row>
    <row r="720" ht="15.75" customHeight="1" s="95">
      <c r="A720" s="1" t="inlineStr">
        <is>
          <t>Livvy Stubenrauch</t>
        </is>
      </c>
      <c r="B720" s="1" t="n">
        <v>1</v>
      </c>
      <c r="C720" s="1" t="n">
        <v>2013</v>
      </c>
      <c r="D720" s="1" t="n">
        <v>2013</v>
      </c>
      <c r="E720" s="4" t="inlineStr">
        <is>
          <t>Frozen</t>
        </is>
      </c>
      <c r="F720" s="1" t="inlineStr">
        <is>
          <t>F0116</t>
        </is>
      </c>
    </row>
    <row r="721" ht="15.75" customHeight="1" s="95">
      <c r="A721" s="1" t="inlineStr">
        <is>
          <t>Loan Chabanol</t>
        </is>
      </c>
      <c r="B721" s="1" t="n">
        <v>1</v>
      </c>
      <c r="C721" s="1" t="n">
        <v>2015</v>
      </c>
      <c r="D721" s="1" t="n">
        <v>2015</v>
      </c>
      <c r="E721" s="4" t="inlineStr">
        <is>
          <t>The Transporter Refueled</t>
        </is>
      </c>
      <c r="F721" s="1" t="inlineStr">
        <is>
          <t>F0323</t>
        </is>
      </c>
    </row>
    <row r="722" ht="15.75" customHeight="1" s="95">
      <c r="A722" s="1" t="inlineStr">
        <is>
          <t>Logan Lerman</t>
        </is>
      </c>
      <c r="B722" s="1" t="n">
        <v>2</v>
      </c>
      <c r="C722" s="1" t="n">
        <v>2014</v>
      </c>
      <c r="D722" s="1" t="n">
        <v>2014</v>
      </c>
      <c r="E722" s="4" t="inlineStr">
        <is>
          <t>Fury, Noah</t>
        </is>
      </c>
      <c r="F722" s="1" t="inlineStr">
        <is>
          <t>F0117, F0238</t>
        </is>
      </c>
    </row>
    <row r="723" ht="15.75" customHeight="1" s="95">
      <c r="A723" s="1" t="inlineStr">
        <is>
          <t>Loren Dean</t>
        </is>
      </c>
      <c r="B723" s="1" t="n">
        <v>1</v>
      </c>
      <c r="C723" s="1" t="n">
        <v>1998</v>
      </c>
      <c r="D723" s="1" t="n">
        <v>1998</v>
      </c>
      <c r="E723" s="4" t="inlineStr">
        <is>
          <t>Enemy of the State</t>
        </is>
      </c>
      <c r="F723" s="1" t="inlineStr">
        <is>
          <t>F0094</t>
        </is>
      </c>
    </row>
    <row r="724" ht="15.75" customHeight="1" s="95">
      <c r="A724" s="1" t="inlineStr">
        <is>
          <t>Louis C.K.</t>
        </is>
      </c>
      <c r="B724" s="1" t="n">
        <v>2</v>
      </c>
      <c r="C724" s="1" t="n">
        <v>2013</v>
      </c>
      <c r="D724" s="1" t="n">
        <v>2016</v>
      </c>
      <c r="E724" s="4" t="inlineStr">
        <is>
          <t>The Secret Life of Pets, American Hustle</t>
        </is>
      </c>
      <c r="F724" s="1" t="inlineStr">
        <is>
          <t>F0274, F0020</t>
        </is>
      </c>
    </row>
    <row r="725" ht="15.75" customHeight="1" s="95">
      <c r="A725" s="1" t="inlineStr">
        <is>
          <t>Lucas Black</t>
        </is>
      </c>
      <c r="B725" s="1" t="n">
        <v>3</v>
      </c>
      <c r="C725" s="1" t="n">
        <v>2006</v>
      </c>
      <c r="D725" s="1" t="n">
        <v>2021</v>
      </c>
      <c r="E725" s="4" t="inlineStr">
        <is>
          <t>The Fast and the Furious: Tokyo Drift, Furious 7, F9: The Fast Saga</t>
        </is>
      </c>
      <c r="F725" s="1" t="inlineStr">
        <is>
          <t>F0103, F0107, F0109</t>
        </is>
      </c>
    </row>
    <row r="726" ht="15.75" customHeight="1" s="95">
      <c r="A726" s="1" t="inlineStr">
        <is>
          <t>Lucy Boynton</t>
        </is>
      </c>
      <c r="B726" s="1" t="n">
        <v>1</v>
      </c>
      <c r="C726" s="1" t="n">
        <v>2018</v>
      </c>
      <c r="D726" s="1" t="n">
        <v>2018</v>
      </c>
      <c r="E726" s="4" t="inlineStr">
        <is>
          <t>Bohemian Rhapsody</t>
        </is>
      </c>
      <c r="F726" s="1" t="inlineStr">
        <is>
          <t>F0052</t>
        </is>
      </c>
    </row>
    <row r="727" ht="15.75" customHeight="1" s="95">
      <c r="A727" s="1" t="inlineStr">
        <is>
          <t>Lucy Davis</t>
        </is>
      </c>
      <c r="B727" s="1" t="n">
        <v>1</v>
      </c>
      <c r="C727" s="1" t="n">
        <v>2004</v>
      </c>
      <c r="D727" s="1" t="n">
        <v>2004</v>
      </c>
      <c r="E727" s="4" t="inlineStr">
        <is>
          <t>Shaun of the Dead</t>
        </is>
      </c>
      <c r="F727" s="1" t="inlineStr">
        <is>
          <t>F0070</t>
        </is>
      </c>
    </row>
    <row r="728" ht="15.75" customHeight="1" s="95">
      <c r="A728" s="1" t="inlineStr">
        <is>
          <t>Lucy Punch</t>
        </is>
      </c>
      <c r="B728" s="1" t="n">
        <v>2</v>
      </c>
      <c r="C728" s="1" t="n">
        <v>2007</v>
      </c>
      <c r="D728" s="1" t="n">
        <v>2011</v>
      </c>
      <c r="E728" s="4" t="inlineStr">
        <is>
          <t>Bad Teacher, Hot Fuzz</t>
        </is>
      </c>
      <c r="F728" s="1" t="inlineStr">
        <is>
          <t>F0039, F0071</t>
        </is>
      </c>
    </row>
    <row r="729" ht="15.75" customHeight="1" s="95">
      <c r="A729" s="1" t="inlineStr">
        <is>
          <t>Luke Bracey</t>
        </is>
      </c>
      <c r="B729" s="1" t="n">
        <v>1</v>
      </c>
      <c r="C729" s="1" t="n">
        <v>2016</v>
      </c>
      <c r="D729" s="1" t="n">
        <v>2016</v>
      </c>
      <c r="E729" s="4" t="inlineStr">
        <is>
          <t>Hacksaw Ridge</t>
        </is>
      </c>
      <c r="F729" s="1" t="inlineStr">
        <is>
          <t>F0133</t>
        </is>
      </c>
    </row>
    <row r="730" ht="15.75" customHeight="1" s="95">
      <c r="A730" s="1" t="inlineStr">
        <is>
          <t>Luke Treadaway</t>
        </is>
      </c>
      <c r="B730" s="1" t="n">
        <v>2</v>
      </c>
      <c r="C730" s="1" t="n">
        <v>2010</v>
      </c>
      <c r="D730" s="1" t="n">
        <v>2011</v>
      </c>
      <c r="E730" s="4" t="inlineStr">
        <is>
          <t>Attack the Block, Clash of the Titans</t>
        </is>
      </c>
      <c r="F730" s="1" t="inlineStr">
        <is>
          <t>F0027, F0066</t>
        </is>
      </c>
    </row>
    <row r="731" ht="15.75" customHeight="1" s="95">
      <c r="A731" s="1" t="inlineStr">
        <is>
          <t>Lyne Renee</t>
        </is>
      </c>
      <c r="B731" s="1" t="n">
        <v>1</v>
      </c>
      <c r="C731" s="1" t="n">
        <v>2020</v>
      </c>
      <c r="D731" s="1" t="n">
        <v>2020</v>
      </c>
      <c r="E731" s="4" t="inlineStr">
        <is>
          <t>The Gentlemen</t>
        </is>
      </c>
      <c r="F731" s="1" t="inlineStr">
        <is>
          <t>F0119</t>
        </is>
      </c>
    </row>
    <row r="732" ht="15.75" customHeight="1" s="95">
      <c r="A732" s="1" t="inlineStr">
        <is>
          <t>Lynn Collins</t>
        </is>
      </c>
      <c r="B732" s="1" t="n">
        <v>1</v>
      </c>
      <c r="C732" s="1" t="n">
        <v>2009</v>
      </c>
      <c r="D732" s="1" t="n">
        <v>2009</v>
      </c>
      <c r="E732" s="4" t="inlineStr">
        <is>
          <t>X-Men Origins: Wolverine</t>
        </is>
      </c>
      <c r="F732" s="1" t="inlineStr">
        <is>
          <t>F0343</t>
        </is>
      </c>
    </row>
    <row r="733" ht="15.75" customHeight="1" s="95">
      <c r="A733" s="1" t="inlineStr">
        <is>
          <t>Madeleine Harris</t>
        </is>
      </c>
      <c r="B733" s="1" t="n">
        <v>1</v>
      </c>
      <c r="C733" s="1" t="n">
        <v>2014</v>
      </c>
      <c r="D733" s="1" t="n">
        <v>2014</v>
      </c>
      <c r="E733" s="4" t="inlineStr">
        <is>
          <t>Paddington</t>
        </is>
      </c>
      <c r="F733" s="1" t="inlineStr">
        <is>
          <t>F0244</t>
        </is>
      </c>
    </row>
    <row r="734" ht="15.75" customHeight="1" s="95">
      <c r="A734" s="1" t="inlineStr">
        <is>
          <t>Madhur Mittal</t>
        </is>
      </c>
      <c r="B734" s="1" t="n">
        <v>1</v>
      </c>
      <c r="C734" s="1" t="n">
        <v>2008</v>
      </c>
      <c r="D734" s="1" t="n">
        <v>2008</v>
      </c>
      <c r="E734" s="4" t="inlineStr">
        <is>
          <t>Slumdog Millionaire</t>
        </is>
      </c>
      <c r="F734" s="1" t="inlineStr">
        <is>
          <t>F0281</t>
        </is>
      </c>
    </row>
    <row r="735" ht="15.75" customHeight="1" s="95">
      <c r="A735" s="1" t="inlineStr">
        <is>
          <t>Maggie Q</t>
        </is>
      </c>
      <c r="B735" s="1" t="n">
        <v>3</v>
      </c>
      <c r="C735" s="1" t="n">
        <v>2006</v>
      </c>
      <c r="D735" s="1" t="n">
        <v>2014</v>
      </c>
      <c r="E735" s="4" t="inlineStr">
        <is>
          <t>Live Free or Die Hard, Divergent, Mission: Impossible III</t>
        </is>
      </c>
      <c r="F735" s="1" t="inlineStr">
        <is>
          <t>F0086, F0089, F0223</t>
        </is>
      </c>
    </row>
    <row r="736" ht="15.75" customHeight="1" s="95">
      <c r="A736" s="1" t="inlineStr">
        <is>
          <t>Mahat M. Ali</t>
        </is>
      </c>
      <c r="B736" s="1" t="n">
        <v>1</v>
      </c>
      <c r="C736" s="1" t="n">
        <v>2013</v>
      </c>
      <c r="D736" s="1" t="n">
        <v>2013</v>
      </c>
      <c r="E736" s="4" t="inlineStr">
        <is>
          <t>Captain Phillips</t>
        </is>
      </c>
      <c r="F736" s="1" t="inlineStr">
        <is>
          <t>F0062</t>
        </is>
      </c>
    </row>
    <row r="737" ht="15.75" customHeight="1" s="95">
      <c r="A737" s="1" t="inlineStr">
        <is>
          <t>Mahershala Ali</t>
        </is>
      </c>
      <c r="B737" s="1" t="n">
        <v>2</v>
      </c>
      <c r="C737" s="1" t="n">
        <v>2014</v>
      </c>
      <c r="D737" s="1" t="n">
        <v>2025</v>
      </c>
      <c r="E737" s="4" t="inlineStr">
        <is>
          <t>Jurassic World Rebirth, The Hunger Games: Mockingjay - Part 1</t>
        </is>
      </c>
      <c r="F737" s="1" t="inlineStr">
        <is>
          <t>F0182, F0158</t>
        </is>
      </c>
    </row>
    <row r="738" ht="15.75" customHeight="1" s="95">
      <c r="A738" s="1" t="inlineStr">
        <is>
          <t>Mahesh Manjrekar</t>
        </is>
      </c>
      <c r="B738" s="1" t="n">
        <v>1</v>
      </c>
      <c r="C738" s="1" t="n">
        <v>2008</v>
      </c>
      <c r="D738" s="1" t="n">
        <v>2008</v>
      </c>
      <c r="E738" s="4" t="inlineStr">
        <is>
          <t>Slumdog Millionaire</t>
        </is>
      </c>
      <c r="F738" s="1" t="inlineStr">
        <is>
          <t>F0281</t>
        </is>
      </c>
    </row>
    <row r="739" ht="15.75" customHeight="1" s="95">
      <c r="A739" s="1" t="inlineStr">
        <is>
          <t>Malin Åkerman</t>
        </is>
      </c>
      <c r="B739" s="1" t="n">
        <v>1</v>
      </c>
      <c r="C739" s="1" t="n">
        <v>2011</v>
      </c>
      <c r="D739" s="1" t="n">
        <v>2011</v>
      </c>
      <c r="E739" s="4" t="inlineStr">
        <is>
          <t>Catch.44</t>
        </is>
      </c>
      <c r="F739" s="1" t="inlineStr">
        <is>
          <t>F0063</t>
        </is>
      </c>
    </row>
    <row r="740" ht="15.75" customHeight="1" s="95">
      <c r="A740" s="1" t="inlineStr">
        <is>
          <t>Manuel Garcia-Rulfo</t>
        </is>
      </c>
      <c r="B740" s="1" t="n">
        <v>2</v>
      </c>
      <c r="C740" s="1" t="n">
        <v>2016</v>
      </c>
      <c r="D740" s="1" t="n">
        <v>2025</v>
      </c>
      <c r="E740" s="4" t="inlineStr">
        <is>
          <t>Jurassic World Rebirth, The Magnificent Seven</t>
        </is>
      </c>
      <c r="F740" s="1" t="inlineStr">
        <is>
          <t>F0182, F0207</t>
        </is>
      </c>
    </row>
    <row r="741" ht="15.75" customHeight="1" s="95">
      <c r="A741" s="1" t="inlineStr">
        <is>
          <t>Maria Bello</t>
        </is>
      </c>
      <c r="B741" s="1" t="n">
        <v>3</v>
      </c>
      <c r="C741" s="1" t="n">
        <v>2010</v>
      </c>
      <c r="D741" s="1" t="n">
        <v>2013</v>
      </c>
      <c r="E741" s="4" t="inlineStr">
        <is>
          <t>Prisoners, Grown Ups, Grown Ups 2</t>
        </is>
      </c>
      <c r="F741" s="1" t="inlineStr">
        <is>
          <t>F0258, F0131, F0132</t>
        </is>
      </c>
    </row>
    <row r="742" ht="15.75" customHeight="1" s="95">
      <c r="A742" s="1" t="inlineStr">
        <is>
          <t>Mark Ryan</t>
        </is>
      </c>
      <c r="B742" s="1" t="n">
        <v>3</v>
      </c>
      <c r="C742" s="1" t="n">
        <v>2006</v>
      </c>
      <c r="D742" s="1" t="n">
        <v>2014</v>
      </c>
      <c r="E742" s="4" t="inlineStr">
        <is>
          <t>Transformers, The Prestige, Transformers: Age of Extinction</t>
        </is>
      </c>
      <c r="F742" s="1" t="inlineStr">
        <is>
          <t>F0316, F0257, F0319</t>
        </is>
      </c>
    </row>
    <row r="743" ht="15.75" customHeight="1" s="95">
      <c r="A743" s="1" t="inlineStr">
        <is>
          <t>Mark Rylance</t>
        </is>
      </c>
      <c r="B743" s="1" t="n">
        <v>1</v>
      </c>
      <c r="C743" s="1" t="n">
        <v>2016</v>
      </c>
      <c r="D743" s="1" t="n">
        <v>2016</v>
      </c>
      <c r="E743" s="4" t="inlineStr">
        <is>
          <t>The BFG</t>
        </is>
      </c>
      <c r="F743" s="1" t="inlineStr">
        <is>
          <t>F0047</t>
        </is>
      </c>
    </row>
    <row r="744" ht="15.75" customHeight="1" s="95">
      <c r="A744" s="1" t="inlineStr">
        <is>
          <t>Marlon Wayans</t>
        </is>
      </c>
      <c r="B744" s="1" t="n">
        <v>2</v>
      </c>
      <c r="C744" s="1" t="n">
        <v>2009</v>
      </c>
      <c r="D744" s="1" t="n">
        <v>2013</v>
      </c>
      <c r="E744" s="4" t="inlineStr">
        <is>
          <t>The Heat, G.I. Joe: The Rise of Cobra</t>
        </is>
      </c>
      <c r="F744" s="1" t="inlineStr">
        <is>
          <t>F0146, F0118</t>
        </is>
      </c>
    </row>
    <row r="745" ht="15.75" customHeight="1" s="95">
      <c r="A745" s="1" t="inlineStr">
        <is>
          <t>Mary Gibbs</t>
        </is>
      </c>
      <c r="B745" s="1" t="n">
        <v>2</v>
      </c>
      <c r="C745" s="1" t="n">
        <v>2001</v>
      </c>
      <c r="D745" s="1" t="n">
        <v>2001</v>
      </c>
      <c r="E745" s="4" t="inlineStr">
        <is>
          <t>Monsters, Inc., Monsters, Inc.</t>
        </is>
      </c>
      <c r="F745" s="1" t="inlineStr">
        <is>
          <t>F0229</t>
        </is>
      </c>
    </row>
    <row r="746" ht="15.75" customHeight="1" s="95">
      <c r="A746" s="1" t="inlineStr">
        <is>
          <t>Mary-Louise Parker</t>
        </is>
      </c>
      <c r="B746" s="1" t="n">
        <v>1</v>
      </c>
      <c r="C746" s="1" t="n">
        <v>2010</v>
      </c>
      <c r="D746" s="1" t="n">
        <v>2010</v>
      </c>
      <c r="E746" s="4" t="inlineStr">
        <is>
          <t>RED</t>
        </is>
      </c>
      <c r="F746" s="1" t="inlineStr">
        <is>
          <t>F0262</t>
        </is>
      </c>
    </row>
    <row r="747" ht="15.75" customHeight="1" s="95">
      <c r="A747" s="1" t="inlineStr">
        <is>
          <t>Mathieu Amalric</t>
        </is>
      </c>
      <c r="B747" s="1" t="n">
        <v>1</v>
      </c>
      <c r="C747" s="1" t="n">
        <v>2008</v>
      </c>
      <c r="D747" s="1" t="n">
        <v>2008</v>
      </c>
      <c r="E747" s="4" t="inlineStr">
        <is>
          <t>Quantum of Solace</t>
        </is>
      </c>
      <c r="F747" s="1" t="inlineStr">
        <is>
          <t>F0002</t>
        </is>
      </c>
    </row>
    <row r="748" ht="15.75" customHeight="1" s="95">
      <c r="A748" s="1" t="inlineStr">
        <is>
          <t>Matt Bomer</t>
        </is>
      </c>
      <c r="B748" s="1" t="n">
        <v>3</v>
      </c>
      <c r="C748" s="1" t="n">
        <v>2012</v>
      </c>
      <c r="D748" s="1" t="n">
        <v>2016</v>
      </c>
      <c r="E748" s="4" t="inlineStr">
        <is>
          <t>The Nice Guys, Magic Mike, The Magnificent Seven</t>
        </is>
      </c>
      <c r="F748" s="1" t="inlineStr">
        <is>
          <t>F0235, F0206, F0207</t>
        </is>
      </c>
    </row>
    <row r="749" ht="15.75" customHeight="1" s="95">
      <c r="A749" s="1" t="inlineStr">
        <is>
          <t>Matt Jones</t>
        </is>
      </c>
      <c r="B749" s="1" t="n">
        <v>1</v>
      </c>
      <c r="C749" s="1" t="n">
        <v>2015</v>
      </c>
      <c r="D749" s="1" t="n">
        <v>2015</v>
      </c>
      <c r="E749" s="4" t="inlineStr">
        <is>
          <t>Home</t>
        </is>
      </c>
      <c r="F749" s="1" t="inlineStr">
        <is>
          <t>F0153</t>
        </is>
      </c>
    </row>
    <row r="750" ht="15.75" customHeight="1" s="95">
      <c r="A750" s="1" t="inlineStr">
        <is>
          <t>Matt Nable</t>
        </is>
      </c>
      <c r="B750" s="1" t="n">
        <v>2</v>
      </c>
      <c r="C750" s="1" t="n">
        <v>2013</v>
      </c>
      <c r="D750" s="1" t="n">
        <v>2016</v>
      </c>
      <c r="E750" s="4" t="inlineStr">
        <is>
          <t>Riddick, Hacksaw Ridge</t>
        </is>
      </c>
      <c r="F750" s="1" t="inlineStr">
        <is>
          <t>F0264, F0133</t>
        </is>
      </c>
    </row>
    <row r="751" ht="15.75" customHeight="1" s="95">
      <c r="A751" s="1" t="inlineStr">
        <is>
          <t>Matthew Broderick</t>
        </is>
      </c>
      <c r="B751" s="1" t="n">
        <v>1</v>
      </c>
      <c r="C751" s="1" t="n">
        <v>1994</v>
      </c>
      <c r="D751" s="1" t="n">
        <v>1994</v>
      </c>
      <c r="E751" s="4" t="inlineStr">
        <is>
          <t>The Lion King</t>
        </is>
      </c>
      <c r="F751" s="1" t="inlineStr">
        <is>
          <t>F0200</t>
        </is>
      </c>
    </row>
    <row r="752" ht="15.75" customHeight="1" s="95">
      <c r="A752" s="1" t="inlineStr">
        <is>
          <t>Matthew Goode</t>
        </is>
      </c>
      <c r="B752" s="1" t="n">
        <v>1</v>
      </c>
      <c r="C752" s="1" t="n">
        <v>2014</v>
      </c>
      <c r="D752" s="1" t="n">
        <v>2014</v>
      </c>
      <c r="E752" s="4" t="inlineStr">
        <is>
          <t>The Imitation Game</t>
        </is>
      </c>
      <c r="F752" s="1" t="inlineStr">
        <is>
          <t>F0162</t>
        </is>
      </c>
    </row>
    <row r="753" ht="15.75" customHeight="1" s="95">
      <c r="A753" s="1" t="inlineStr">
        <is>
          <t>Matthew Macfadyen</t>
        </is>
      </c>
      <c r="B753" s="1" t="n">
        <v>2</v>
      </c>
      <c r="C753" s="1" t="n">
        <v>2010</v>
      </c>
      <c r="D753" s="1" t="n">
        <v>2024</v>
      </c>
      <c r="E753" s="4" t="inlineStr">
        <is>
          <t>Deadpool &amp; Wolverine, Robin Hood</t>
        </is>
      </c>
      <c r="F753" s="1" t="inlineStr">
        <is>
          <t>F0078, F0267</t>
        </is>
      </c>
    </row>
    <row r="754" ht="15.75" customHeight="1" s="95">
      <c r="A754" s="1" t="inlineStr">
        <is>
          <t>Matthew Marsden</t>
        </is>
      </c>
      <c r="B754" s="1" t="n">
        <v>3</v>
      </c>
      <c r="C754" s="1" t="n">
        <v>2001</v>
      </c>
      <c r="D754" s="1" t="n">
        <v>2009</v>
      </c>
      <c r="E754" s="4" t="inlineStr">
        <is>
          <t>Rambo, Black Hawk Down, Transformers: Revenge of the Fallen</t>
        </is>
      </c>
      <c r="F754" s="1" t="inlineStr">
        <is>
          <t>F0261, F0050, F0317</t>
        </is>
      </c>
    </row>
    <row r="755" ht="15.75" customHeight="1" s="95">
      <c r="A755" s="1" t="inlineStr">
        <is>
          <t>Max Martini</t>
        </is>
      </c>
      <c r="B755" s="1" t="n">
        <v>2</v>
      </c>
      <c r="C755" s="1" t="n">
        <v>2013</v>
      </c>
      <c r="D755" s="1" t="n">
        <v>2013</v>
      </c>
      <c r="E755" s="4" t="inlineStr">
        <is>
          <t>Pacific Rim, Captain Phillips</t>
        </is>
      </c>
      <c r="F755" s="1" t="inlineStr">
        <is>
          <t>F0243, F0062</t>
        </is>
      </c>
    </row>
    <row r="756" ht="15.75" customHeight="1" s="95">
      <c r="A756" s="1" t="inlineStr">
        <is>
          <t>Maya Rudolph</t>
        </is>
      </c>
      <c r="B756" s="1" t="n">
        <v>5</v>
      </c>
      <c r="C756" s="1" t="n">
        <v>2010</v>
      </c>
      <c r="D756" s="1" t="n">
        <v>2019</v>
      </c>
      <c r="E756" s="4" t="inlineStr">
        <is>
          <t>Bridesmaids, Big Hero 6, Grown Ups, Grown Ups 2, The Lego Movie 2: The Second Part</t>
        </is>
      </c>
      <c r="F756" s="1" t="inlineStr">
        <is>
          <t>F0058, F0048, F0131, F0132, F0196</t>
        </is>
      </c>
    </row>
    <row r="757" ht="15.75" customHeight="1" s="95">
      <c r="A757" s="1" t="inlineStr">
        <is>
          <t>Meat Loaf</t>
        </is>
      </c>
      <c r="B757" s="1" t="n">
        <v>1</v>
      </c>
      <c r="C757" s="1" t="n">
        <v>1999</v>
      </c>
      <c r="D757" s="1" t="n">
        <v>1999</v>
      </c>
      <c r="E757" s="4" t="inlineStr">
        <is>
          <t>Fight Club</t>
        </is>
      </c>
      <c r="F757" s="1" t="inlineStr">
        <is>
          <t>F0112</t>
        </is>
      </c>
    </row>
    <row r="758" ht="15.75" customHeight="1" s="95">
      <c r="A758" s="1" t="inlineStr">
        <is>
          <t>Mel Gibson</t>
        </is>
      </c>
      <c r="B758" s="1" t="n">
        <v>1</v>
      </c>
      <c r="C758" s="1" t="n">
        <v>2014</v>
      </c>
      <c r="D758" s="1" t="n">
        <v>2014</v>
      </c>
      <c r="E758" s="4" t="inlineStr">
        <is>
          <t>The Expendables 3</t>
        </is>
      </c>
      <c r="F758" s="1" t="inlineStr">
        <is>
          <t>F0097</t>
        </is>
      </c>
    </row>
    <row r="759" ht="15.75" customHeight="1" s="95">
      <c r="A759" s="1" t="inlineStr">
        <is>
          <t>Meryl Streep</t>
        </is>
      </c>
      <c r="B759" s="1" t="n">
        <v>1</v>
      </c>
      <c r="C759" s="1" t="n">
        <v>2008</v>
      </c>
      <c r="D759" s="1" t="n">
        <v>2008</v>
      </c>
      <c r="E759" s="4" t="inlineStr">
        <is>
          <t>Mamma Mia!</t>
        </is>
      </c>
      <c r="F759" s="1" t="inlineStr">
        <is>
          <t>F0209</t>
        </is>
      </c>
    </row>
    <row r="760" ht="15.75" customHeight="1" s="95">
      <c r="A760" s="1" t="inlineStr">
        <is>
          <t>Michael Arden</t>
        </is>
      </c>
      <c r="B760" s="1" t="n">
        <v>1</v>
      </c>
      <c r="C760" s="1" t="n">
        <v>2011</v>
      </c>
      <c r="D760" s="1" t="n">
        <v>2011</v>
      </c>
      <c r="E760" s="4" t="inlineStr">
        <is>
          <t>Source Code</t>
        </is>
      </c>
      <c r="F760" s="1" t="inlineStr">
        <is>
          <t>F0285</t>
        </is>
      </c>
    </row>
    <row r="761" ht="15.75" customHeight="1" s="95">
      <c r="A761" s="1" t="inlineStr">
        <is>
          <t>Michael B. Jordan</t>
        </is>
      </c>
      <c r="B761" s="1" t="n">
        <v>1</v>
      </c>
      <c r="C761" s="1" t="n">
        <v>2015</v>
      </c>
      <c r="D761" s="1" t="n">
        <v>2015</v>
      </c>
      <c r="E761" s="4" t="inlineStr">
        <is>
          <t>Creed</t>
        </is>
      </c>
      <c r="F761" s="1" t="inlineStr">
        <is>
          <t>F0074</t>
        </is>
      </c>
    </row>
    <row r="762" ht="15.75" customHeight="1" s="95">
      <c r="A762" s="1" t="inlineStr">
        <is>
          <t>Michael Beck</t>
        </is>
      </c>
      <c r="B762" s="1" t="n">
        <v>1</v>
      </c>
      <c r="C762" s="1" t="n">
        <v>1979</v>
      </c>
      <c r="D762" s="1" t="n">
        <v>1979</v>
      </c>
      <c r="E762" s="4" t="inlineStr">
        <is>
          <t>The Warriors</t>
        </is>
      </c>
      <c r="F762" s="1" t="inlineStr">
        <is>
          <t>F0334</t>
        </is>
      </c>
    </row>
    <row r="763" ht="15.75" customHeight="1" s="95">
      <c r="A763" s="1" t="inlineStr">
        <is>
          <t>Michael Biehn</t>
        </is>
      </c>
      <c r="B763" s="1" t="n">
        <v>1</v>
      </c>
      <c r="C763" s="1" t="n">
        <v>1986</v>
      </c>
      <c r="D763" s="1" t="n">
        <v>1986</v>
      </c>
      <c r="E763" s="4" t="inlineStr">
        <is>
          <t>Aliens</t>
        </is>
      </c>
      <c r="F763" s="1" t="inlineStr">
        <is>
          <t>F0016</t>
        </is>
      </c>
    </row>
    <row r="764" ht="15.75" customHeight="1" s="95">
      <c r="A764" s="1" t="inlineStr">
        <is>
          <t>Michael Ealy</t>
        </is>
      </c>
      <c r="B764" s="1" t="n">
        <v>3</v>
      </c>
      <c r="C764" s="1" t="n">
        <v>2003</v>
      </c>
      <c r="D764" s="1" t="n">
        <v>2012</v>
      </c>
      <c r="E764" s="4" t="inlineStr">
        <is>
          <t>Underworld: Awakening, 2 Fast 2 Furious, Fast &amp; Furious</t>
        </is>
      </c>
      <c r="F764" s="1" t="inlineStr">
        <is>
          <t>F0328, F0102, F0104</t>
        </is>
      </c>
    </row>
    <row r="765" ht="15.75" customHeight="1" s="95">
      <c r="A765" s="1" t="inlineStr">
        <is>
          <t>Michael Keaton</t>
        </is>
      </c>
      <c r="B765" s="1" t="n">
        <v>4</v>
      </c>
      <c r="C765" s="1" t="n">
        <v>2010</v>
      </c>
      <c r="D765" s="1" t="n">
        <v>2015</v>
      </c>
      <c r="E765" s="4" t="inlineStr">
        <is>
          <t>Minions, Need for Speed, RoboCop, Toy Story 3</t>
        </is>
      </c>
      <c r="F765" s="1" t="inlineStr">
        <is>
          <t>F0220, F0234, F0268, F0314</t>
        </is>
      </c>
    </row>
    <row r="766" ht="15.75" customHeight="1" s="95">
      <c r="A766" s="1" t="inlineStr">
        <is>
          <t>Michael Nyqvist</t>
        </is>
      </c>
      <c r="B766" s="1" t="n">
        <v>1</v>
      </c>
      <c r="C766" s="1" t="n">
        <v>2011</v>
      </c>
      <c r="D766" s="1" t="n">
        <v>2011</v>
      </c>
      <c r="E766" s="4" t="inlineStr">
        <is>
          <t>Mission: Impossible - Ghost Protocol</t>
        </is>
      </c>
      <c r="F766" s="1" t="inlineStr">
        <is>
          <t>F0224</t>
        </is>
      </c>
    </row>
    <row r="767" ht="15.75" customHeight="1" s="95">
      <c r="A767" s="1" t="inlineStr">
        <is>
          <t>Michael Rapaport</t>
        </is>
      </c>
      <c r="B767" s="1" t="n">
        <v>1</v>
      </c>
      <c r="C767" s="1" t="n">
        <v>2013</v>
      </c>
      <c r="D767" s="1" t="n">
        <v>2013</v>
      </c>
      <c r="E767" s="4" t="inlineStr">
        <is>
          <t>The Heat</t>
        </is>
      </c>
      <c r="F767" s="1" t="inlineStr">
        <is>
          <t>F0146</t>
        </is>
      </c>
    </row>
    <row r="768" ht="15.75" customHeight="1" s="95">
      <c r="A768" s="1" t="inlineStr">
        <is>
          <t>Michael Rooker</t>
        </is>
      </c>
      <c r="B768" s="1" t="n">
        <v>3</v>
      </c>
      <c r="C768" s="1" t="n">
        <v>2008</v>
      </c>
      <c r="D768" s="1" t="n">
        <v>2025</v>
      </c>
      <c r="E768" s="4" t="inlineStr">
        <is>
          <t>Jumper, F9: The Fast Saga, Superman</t>
        </is>
      </c>
      <c r="F768" s="1" t="inlineStr">
        <is>
          <t>F0175, F0109, F0304</t>
        </is>
      </c>
    </row>
    <row r="769" ht="15.75" customHeight="1" s="95">
      <c r="A769" s="1" t="inlineStr">
        <is>
          <t>Michael Shannon</t>
        </is>
      </c>
      <c r="B769" s="1" t="n">
        <v>4</v>
      </c>
      <c r="C769" s="1" t="n">
        <v>2001</v>
      </c>
      <c r="D769" s="1" t="n">
        <v>2013</v>
      </c>
      <c r="E769" s="4" t="inlineStr">
        <is>
          <t>Man of Steel, Bad Boys II, Jonah Hex, Pearl Harbor</t>
        </is>
      </c>
      <c r="F769" s="1" t="inlineStr">
        <is>
          <t>F0211, F0037, F0173, F0246</t>
        </is>
      </c>
    </row>
    <row r="770" ht="15.75" customHeight="1" s="95">
      <c r="A770" s="1" t="inlineStr">
        <is>
          <t>Michael Sheen</t>
        </is>
      </c>
      <c r="B770" s="1" t="n">
        <v>2</v>
      </c>
      <c r="C770" s="1" t="n">
        <v>2006</v>
      </c>
      <c r="D770" s="1" t="n">
        <v>2009</v>
      </c>
      <c r="E770" s="4" t="inlineStr">
        <is>
          <t>Underworld: Rise of the Lycans, Underworld: Evolution</t>
        </is>
      </c>
      <c r="F770" s="1" t="inlineStr">
        <is>
          <t>F0327, F0326</t>
        </is>
      </c>
    </row>
    <row r="771" ht="15.75" customHeight="1" s="95">
      <c r="A771" s="1" t="inlineStr">
        <is>
          <t>Michelle Dockery</t>
        </is>
      </c>
      <c r="B771" s="1" t="n">
        <v>1</v>
      </c>
      <c r="C771" s="1" t="n">
        <v>2020</v>
      </c>
      <c r="D771" s="1" t="n">
        <v>2020</v>
      </c>
      <c r="E771" s="4" t="inlineStr">
        <is>
          <t>The Gentlemen</t>
        </is>
      </c>
      <c r="F771" s="1" t="inlineStr">
        <is>
          <t>F0119</t>
        </is>
      </c>
    </row>
    <row r="772" ht="15.75" customHeight="1" s="95">
      <c r="A772" s="1" t="inlineStr">
        <is>
          <t>Michelle Williams</t>
        </is>
      </c>
      <c r="B772" s="1" t="n">
        <v>1</v>
      </c>
      <c r="C772" s="1" t="n">
        <v>2017</v>
      </c>
      <c r="D772" s="1" t="n">
        <v>2017</v>
      </c>
      <c r="E772" s="4" t="inlineStr">
        <is>
          <t>The Greatest Showman</t>
        </is>
      </c>
      <c r="F772" s="1" t="inlineStr">
        <is>
          <t>F0127</t>
        </is>
      </c>
    </row>
    <row r="773" ht="15.75" customHeight="1" s="95">
      <c r="A773" s="1" t="inlineStr">
        <is>
          <t>Miles Teller</t>
        </is>
      </c>
      <c r="B773" s="1" t="n">
        <v>1</v>
      </c>
      <c r="C773" s="1" t="n">
        <v>2014</v>
      </c>
      <c r="D773" s="1" t="n">
        <v>2014</v>
      </c>
      <c r="E773" s="4" t="inlineStr">
        <is>
          <t>Divergent</t>
        </is>
      </c>
      <c r="F773" s="1" t="inlineStr">
        <is>
          <t>F0089</t>
        </is>
      </c>
    </row>
    <row r="774" ht="15.75" customHeight="1" s="95">
      <c r="A774" s="1" t="inlineStr">
        <is>
          <t>Minnie Driver</t>
        </is>
      </c>
      <c r="B774" s="1" t="n">
        <v>1</v>
      </c>
      <c r="C774" s="1" t="n">
        <v>1997</v>
      </c>
      <c r="D774" s="1" t="n">
        <v>1997</v>
      </c>
      <c r="E774" s="4" t="inlineStr">
        <is>
          <t>Good Will Hunting</t>
        </is>
      </c>
      <c r="F774" s="1" t="inlineStr">
        <is>
          <t>F0124</t>
        </is>
      </c>
    </row>
    <row r="775" ht="15.75" customHeight="1" s="95">
      <c r="A775" s="1" t="inlineStr">
        <is>
          <t>Miranda Hart</t>
        </is>
      </c>
      <c r="B775" s="1" t="n">
        <v>1</v>
      </c>
      <c r="C775" s="1" t="n">
        <v>2015</v>
      </c>
      <c r="D775" s="1" t="n">
        <v>2015</v>
      </c>
      <c r="E775" s="4" t="inlineStr">
        <is>
          <t>Spy</t>
        </is>
      </c>
      <c r="F775" s="1" t="inlineStr">
        <is>
          <t>F0290</t>
        </is>
      </c>
    </row>
    <row r="776" ht="15.75" customHeight="1" s="95">
      <c r="A776" s="1" t="inlineStr">
        <is>
          <t>Moira Kelly</t>
        </is>
      </c>
      <c r="B776" s="1" t="n">
        <v>1</v>
      </c>
      <c r="C776" s="1" t="n">
        <v>1994</v>
      </c>
      <c r="D776" s="1" t="n">
        <v>1994</v>
      </c>
      <c r="E776" s="4" t="inlineStr">
        <is>
          <t>The Lion King</t>
        </is>
      </c>
      <c r="F776" s="1" t="inlineStr">
        <is>
          <t>F0200</t>
        </is>
      </c>
    </row>
    <row r="777" ht="15.75" customHeight="1" s="95">
      <c r="A777" s="1" t="inlineStr">
        <is>
          <t>Molly Ringwald</t>
        </is>
      </c>
      <c r="B777" s="1" t="n">
        <v>1</v>
      </c>
      <c r="C777" s="1" t="n">
        <v>1985</v>
      </c>
      <c r="D777" s="1" t="n">
        <v>1985</v>
      </c>
      <c r="E777" s="4" t="inlineStr">
        <is>
          <t>The Breakfast Club</t>
        </is>
      </c>
      <c r="F777" s="1" t="inlineStr">
        <is>
          <t>F0057</t>
        </is>
      </c>
    </row>
    <row r="778" ht="15.75" customHeight="1" s="95">
      <c r="A778" s="1" t="inlineStr">
        <is>
          <t>Monica Bellucci</t>
        </is>
      </c>
      <c r="B778" s="1" t="n">
        <v>3</v>
      </c>
      <c r="C778" s="1" t="n">
        <v>2003</v>
      </c>
      <c r="D778" s="1" t="n">
        <v>2015</v>
      </c>
      <c r="E778" s="4" t="inlineStr">
        <is>
          <t>Spectre, The Matrix Reloaded, The Matrix Revolutions</t>
        </is>
      </c>
      <c r="F778" s="1" t="inlineStr">
        <is>
          <t>F0004, F0215, F0216</t>
        </is>
      </c>
    </row>
    <row r="779" ht="15.75" customHeight="1" s="95">
      <c r="A779" s="1" t="inlineStr">
        <is>
          <t>Moon Bloodgood</t>
        </is>
      </c>
      <c r="B779" s="1" t="n">
        <v>1</v>
      </c>
      <c r="C779" s="1" t="n">
        <v>2009</v>
      </c>
      <c r="D779" s="1" t="n">
        <v>2009</v>
      </c>
      <c r="E779" s="4" t="inlineStr">
        <is>
          <t>Terminator Salvation</t>
        </is>
      </c>
      <c r="F779" s="1" t="inlineStr">
        <is>
          <t>F0310</t>
        </is>
      </c>
    </row>
    <row r="780" ht="15.75" customHeight="1" s="95">
      <c r="A780" s="1" t="inlineStr">
        <is>
          <t>Mykelti Williamson</t>
        </is>
      </c>
      <c r="B780" s="1" t="n">
        <v>1</v>
      </c>
      <c r="C780" s="1" t="n">
        <v>1997</v>
      </c>
      <c r="D780" s="1" t="n">
        <v>1997</v>
      </c>
      <c r="E780" s="4" t="inlineStr">
        <is>
          <t>Con Air</t>
        </is>
      </c>
      <c r="F780" s="1" t="inlineStr">
        <is>
          <t>F0068</t>
        </is>
      </c>
    </row>
    <row r="781" ht="15.75" customHeight="1" s="95">
      <c r="A781" s="1" t="inlineStr">
        <is>
          <t>Mélanie Laurent</t>
        </is>
      </c>
      <c r="B781" s="1" t="n">
        <v>1</v>
      </c>
      <c r="C781" s="1" t="n">
        <v>2009</v>
      </c>
      <c r="D781" s="1" t="n">
        <v>2009</v>
      </c>
      <c r="E781" s="4" t="inlineStr">
        <is>
          <t>Inglourious Basterds</t>
        </is>
      </c>
      <c r="F781" s="1" t="inlineStr">
        <is>
          <t>F0166</t>
        </is>
      </c>
    </row>
    <row r="782" ht="15.75" customHeight="1" s="95">
      <c r="A782" s="1" t="inlineStr">
        <is>
          <t>Nancy Allen</t>
        </is>
      </c>
      <c r="B782" s="1" t="n">
        <v>1</v>
      </c>
      <c r="C782" s="1" t="n"/>
      <c r="D782" s="1" t="n"/>
      <c r="E782" s="4" t="inlineStr">
        <is>
          <t>RoboCop</t>
        </is>
      </c>
      <c r="F782" s="1" t="inlineStr">
        <is>
          <t>F0268</t>
        </is>
      </c>
    </row>
    <row r="783" ht="15.75" customHeight="1" s="95">
      <c r="A783" s="1" t="inlineStr">
        <is>
          <t>Naomi Watts</t>
        </is>
      </c>
      <c r="B783" s="1" t="n">
        <v>1</v>
      </c>
      <c r="C783" s="1" t="n">
        <v>2005</v>
      </c>
      <c r="D783" s="1" t="n">
        <v>2005</v>
      </c>
      <c r="E783" s="4" t="inlineStr">
        <is>
          <t>King Kong</t>
        </is>
      </c>
      <c r="F783" s="1" t="inlineStr">
        <is>
          <t>F0188</t>
        </is>
      </c>
    </row>
    <row r="784" ht="15.75" customHeight="1" s="95">
      <c r="A784" s="1" t="inlineStr">
        <is>
          <t>Nathalie Baye</t>
        </is>
      </c>
      <c r="B784" s="1" t="n">
        <v>1</v>
      </c>
      <c r="C784" s="1" t="n">
        <v>2002</v>
      </c>
      <c r="D784" s="1" t="n">
        <v>2002</v>
      </c>
      <c r="E784" s="4" t="inlineStr">
        <is>
          <t>Catch Me If You Can</t>
        </is>
      </c>
      <c r="F784" s="1" t="inlineStr">
        <is>
          <t>F0064</t>
        </is>
      </c>
    </row>
    <row r="785" ht="15.75" customHeight="1" s="95">
      <c r="A785" s="1" t="inlineStr">
        <is>
          <t>Nathalie Boltt</t>
        </is>
      </c>
      <c r="B785" s="1" t="n">
        <v>1</v>
      </c>
      <c r="C785" s="1" t="n">
        <v>2009</v>
      </c>
      <c r="D785" s="1" t="n">
        <v>2009</v>
      </c>
      <c r="E785" s="4" t="inlineStr">
        <is>
          <t>District 9</t>
        </is>
      </c>
      <c r="F785" s="1" t="inlineStr">
        <is>
          <t>F0088</t>
        </is>
      </c>
    </row>
    <row r="786" ht="15.75" customHeight="1" s="95">
      <c r="A786" s="1" t="inlineStr">
        <is>
          <t>Nathalie Kelley</t>
        </is>
      </c>
      <c r="B786" s="1" t="n">
        <v>1</v>
      </c>
      <c r="C786" s="1" t="n">
        <v>2006</v>
      </c>
      <c r="D786" s="1" t="n">
        <v>2006</v>
      </c>
      <c r="E786" s="4" t="inlineStr">
        <is>
          <t>The Fast and the Furious: Tokyo Drift</t>
        </is>
      </c>
      <c r="F786" s="1" t="inlineStr">
        <is>
          <t>F0103</t>
        </is>
      </c>
    </row>
    <row r="787" ht="15.75" customHeight="1" s="95">
      <c r="A787" s="1" t="inlineStr">
        <is>
          <t>Nathan Lane</t>
        </is>
      </c>
      <c r="B787" s="1" t="n">
        <v>1</v>
      </c>
      <c r="C787" s="1" t="n">
        <v>1994</v>
      </c>
      <c r="D787" s="1" t="n">
        <v>1994</v>
      </c>
      <c r="E787" s="4" t="inlineStr">
        <is>
          <t>The Lion King</t>
        </is>
      </c>
      <c r="F787" s="1" t="inlineStr">
        <is>
          <t>F0200</t>
        </is>
      </c>
    </row>
    <row r="788" ht="15.75" customHeight="1" s="95">
      <c r="A788" s="1" t="inlineStr">
        <is>
          <t>Neil Brown Jr.</t>
        </is>
      </c>
      <c r="B788" s="1" t="n">
        <v>2</v>
      </c>
      <c r="C788" s="1" t="n">
        <v>2011</v>
      </c>
      <c r="D788" s="1" t="n">
        <v>2015</v>
      </c>
      <c r="E788" s="4" t="inlineStr">
        <is>
          <t>Straight Outta Compton, Battle: Los Angeles</t>
        </is>
      </c>
      <c r="F788" s="1" t="inlineStr">
        <is>
          <t>F0301, F0046</t>
        </is>
      </c>
    </row>
    <row r="789" ht="15.75" customHeight="1" s="95">
      <c r="A789" s="1" t="inlineStr">
        <is>
          <t>Neil Patrick Harris</t>
        </is>
      </c>
      <c r="B789" s="1" t="n">
        <v>3</v>
      </c>
      <c r="C789" s="1" t="n">
        <v>2013</v>
      </c>
      <c r="D789" s="1" t="n">
        <v>2014</v>
      </c>
      <c r="E789" s="4" t="inlineStr">
        <is>
          <t>The Smurfs 2, A Million Ways to Die in the West, Cloudy with a Chance of Meatballs 2</t>
        </is>
      </c>
      <c r="F789" s="1" t="inlineStr">
        <is>
          <t>F0282, F0021, F0067</t>
        </is>
      </c>
    </row>
    <row r="790" ht="15.75" customHeight="1" s="95">
      <c r="A790" s="1" t="inlineStr">
        <is>
          <t>Nev Scharrel</t>
        </is>
      </c>
      <c r="B790" s="1" t="n">
        <v>1</v>
      </c>
      <c r="C790" s="1" t="n">
        <v>2017</v>
      </c>
      <c r="D790" s="1" t="n">
        <v>2017</v>
      </c>
      <c r="E790" s="4" t="inlineStr">
        <is>
          <t>Despicable Me 3</t>
        </is>
      </c>
      <c r="F790" s="1" t="inlineStr">
        <is>
          <t>F0084</t>
        </is>
      </c>
    </row>
    <row r="791" ht="15.75" customHeight="1" s="95">
      <c r="A791" s="1" t="inlineStr">
        <is>
          <t>Nick Nolte</t>
        </is>
      </c>
      <c r="B791" s="1" t="n">
        <v>3</v>
      </c>
      <c r="C791" s="1" t="n">
        <v>2008</v>
      </c>
      <c r="D791" s="1" t="n">
        <v>2014</v>
      </c>
      <c r="E791" s="4" t="inlineStr">
        <is>
          <t>Warrior, Noah, Tropic Thunder</t>
        </is>
      </c>
      <c r="F791" s="1" t="inlineStr">
        <is>
          <t>F0333, F0238, F0324</t>
        </is>
      </c>
    </row>
    <row r="792" ht="15.75" customHeight="1" s="95">
      <c r="A792" s="1" t="inlineStr">
        <is>
          <t>Nicola Peltz Beckham</t>
        </is>
      </c>
      <c r="B792" s="1" t="n">
        <v>1</v>
      </c>
      <c r="C792" s="1" t="n">
        <v>2014</v>
      </c>
      <c r="D792" s="1" t="n">
        <v>2014</v>
      </c>
      <c r="E792" s="4" t="inlineStr">
        <is>
          <t>Transformers: Age of Extinction</t>
        </is>
      </c>
      <c r="F792" s="1" t="inlineStr">
        <is>
          <t>F0319</t>
        </is>
      </c>
    </row>
    <row r="793" ht="15.75" customHeight="1" s="95">
      <c r="A793" s="1" t="inlineStr">
        <is>
          <t>Nicole Kidman</t>
        </is>
      </c>
      <c r="B793" s="1" t="n">
        <v>2</v>
      </c>
      <c r="C793" s="1" t="n">
        <v>2011</v>
      </c>
      <c r="D793" s="1" t="n">
        <v>2014</v>
      </c>
      <c r="E793" s="4" t="inlineStr">
        <is>
          <t>Just Go with It, Paddington</t>
        </is>
      </c>
      <c r="F793" s="1" t="inlineStr">
        <is>
          <t>F0183, F0244</t>
        </is>
      </c>
    </row>
    <row r="794" ht="15.75" customHeight="1" s="95">
      <c r="A794" s="1" t="inlineStr">
        <is>
          <t>Nikki Reed</t>
        </is>
      </c>
      <c r="B794" s="1" t="n">
        <v>1</v>
      </c>
      <c r="C794" s="1" t="n">
        <v>2011</v>
      </c>
      <c r="D794" s="1" t="n">
        <v>2011</v>
      </c>
      <c r="E794" s="4" t="inlineStr">
        <is>
          <t>Catch.44</t>
        </is>
      </c>
      <c r="F794" s="1" t="inlineStr">
        <is>
          <t>F0063</t>
        </is>
      </c>
    </row>
    <row r="795" ht="15.75" customHeight="1" s="95">
      <c r="A795" s="1" t="inlineStr">
        <is>
          <t>Nikolaj Coster-Waldau</t>
        </is>
      </c>
      <c r="B795" s="1" t="n">
        <v>3</v>
      </c>
      <c r="C795" s="1" t="n">
        <v>2001</v>
      </c>
      <c r="D795" s="1" t="n">
        <v>2013</v>
      </c>
      <c r="E795" s="4" t="inlineStr">
        <is>
          <t>Oblivion, Black Hawk Down, Firewall</t>
        </is>
      </c>
      <c r="F795" s="1" t="inlineStr">
        <is>
          <t>F0239, F0050, F0114</t>
        </is>
      </c>
    </row>
    <row r="796" ht="15.75" customHeight="1" s="95">
      <c r="A796" s="1" t="inlineStr">
        <is>
          <t>Noah Emmerich</t>
        </is>
      </c>
      <c r="B796" s="1" t="n">
        <v>2</v>
      </c>
      <c r="C796" s="1" t="n">
        <v>2011</v>
      </c>
      <c r="D796" s="1" t="n">
        <v>2011</v>
      </c>
      <c r="E796" s="4" t="inlineStr">
        <is>
          <t>Super 8, Warrior</t>
        </is>
      </c>
      <c r="F796" s="1" t="inlineStr">
        <is>
          <t>F0302, F0333</t>
        </is>
      </c>
    </row>
    <row r="797" ht="15.75" customHeight="1" s="95">
      <c r="A797" s="1" t="inlineStr">
        <is>
          <t>Noel Fisher</t>
        </is>
      </c>
      <c r="B797" s="1" t="n">
        <v>2</v>
      </c>
      <c r="C797" s="1" t="n">
        <v>2011</v>
      </c>
      <c r="D797" s="1" t="n">
        <v>2014</v>
      </c>
      <c r="E797" s="4" t="inlineStr">
        <is>
          <t>Teenage Mutant Ninja Turtles, Battle: Los Angeles</t>
        </is>
      </c>
      <c r="F797" s="1" t="inlineStr">
        <is>
          <t>F0309, F0046</t>
        </is>
      </c>
    </row>
    <row r="798" ht="15.75" customHeight="1" s="95">
      <c r="A798" s="1" t="inlineStr">
        <is>
          <t>Nolan North</t>
        </is>
      </c>
      <c r="B798" s="1" t="n">
        <v>2</v>
      </c>
      <c r="C798" s="1" t="n">
        <v>2015</v>
      </c>
      <c r="D798" s="1" t="n">
        <v>2016</v>
      </c>
      <c r="E798" s="4" t="inlineStr">
        <is>
          <t>Lego DC Comics Super Heroes: Justice League vs. Bizarro League, Lego DC Comics Super Heroes: Justice League - Gotham City Breakout</t>
        </is>
      </c>
      <c r="F798" s="1" t="inlineStr">
        <is>
          <t>F0197, F0198</t>
        </is>
      </c>
    </row>
    <row r="799" ht="15.75" customHeight="1" s="95">
      <c r="A799" s="1" t="inlineStr">
        <is>
          <t>Nora Denney</t>
        </is>
      </c>
      <c r="B799" s="1" t="n">
        <v>1</v>
      </c>
      <c r="C799" s="1" t="n">
        <v>1971</v>
      </c>
      <c r="D799" s="1" t="n">
        <v>1971</v>
      </c>
      <c r="E799" s="4" t="inlineStr">
        <is>
          <t>Willy Wonka &amp; the Chocolate Factory</t>
        </is>
      </c>
      <c r="F799" s="1" t="inlineStr">
        <is>
          <t>F0339</t>
        </is>
      </c>
    </row>
    <row r="800" ht="15.75" customHeight="1" s="95">
      <c r="A800" s="1" t="inlineStr">
        <is>
          <t>O'Shea Jackson Jr.</t>
        </is>
      </c>
      <c r="B800" s="1" t="n">
        <v>2</v>
      </c>
      <c r="C800" s="1" t="n">
        <v>2015</v>
      </c>
      <c r="D800" s="1" t="n">
        <v>2019</v>
      </c>
      <c r="E800" s="4" t="inlineStr">
        <is>
          <t>Straight Outta Compton, Godzilla: King of the Monsters</t>
        </is>
      </c>
      <c r="F800" s="1" t="inlineStr">
        <is>
          <t>F0301, F0122</t>
        </is>
      </c>
    </row>
    <row r="801" ht="15.75" customHeight="1" s="95">
      <c r="A801" s="1" t="inlineStr">
        <is>
          <t>Oliver Platt</t>
        </is>
      </c>
      <c r="B801" s="1" t="n">
        <v>3</v>
      </c>
      <c r="C801" s="1" t="n">
        <v>2009</v>
      </c>
      <c r="D801" s="1" t="n">
        <v>2014</v>
      </c>
      <c r="E801" s="4" t="inlineStr">
        <is>
          <t>2012, Chef, X-Men: First Class</t>
        </is>
      </c>
      <c r="F801" s="1" t="inlineStr">
        <is>
          <t>F0006, F0065, F0340</t>
        </is>
      </c>
    </row>
    <row r="802" ht="15.75" customHeight="1" s="95">
      <c r="A802" s="1" t="inlineStr">
        <is>
          <t>Olivia Munn</t>
        </is>
      </c>
      <c r="B802" s="1" t="n">
        <v>2</v>
      </c>
      <c r="C802" s="1" t="n">
        <v>2012</v>
      </c>
      <c r="D802" s="1" t="n">
        <v>2016</v>
      </c>
      <c r="E802" s="4" t="inlineStr">
        <is>
          <t>Magic Mike, X-Men: Apocalypse</t>
        </is>
      </c>
      <c r="F802" s="1" t="inlineStr">
        <is>
          <t>F0206, F0342</t>
        </is>
      </c>
    </row>
    <row r="803" ht="15.75" customHeight="1" s="95">
      <c r="A803" s="1" t="inlineStr">
        <is>
          <t>Olivia Williams</t>
        </is>
      </c>
      <c r="B803" s="1" t="n">
        <v>1</v>
      </c>
      <c r="C803" s="1" t="n">
        <v>2010</v>
      </c>
      <c r="D803" s="1" t="n">
        <v>2010</v>
      </c>
      <c r="E803" s="4" t="inlineStr">
        <is>
          <t>Sex &amp; Drugs &amp; Rock &amp; Roll</t>
        </is>
      </c>
      <c r="F803" s="1" t="inlineStr">
        <is>
          <t>F0277</t>
        </is>
      </c>
    </row>
    <row r="804" ht="15.75" customHeight="1" s="95">
      <c r="A804" s="1" t="inlineStr">
        <is>
          <t>Ollie Barbieri</t>
        </is>
      </c>
      <c r="B804" s="1" t="n">
        <v>1</v>
      </c>
      <c r="C804" s="1" t="n">
        <v>2011</v>
      </c>
      <c r="D804" s="1" t="n">
        <v>2011</v>
      </c>
      <c r="E804" s="4" t="inlineStr">
        <is>
          <t>Anuvahood</t>
        </is>
      </c>
      <c r="F804" s="1" t="inlineStr">
        <is>
          <t>F0024</t>
        </is>
      </c>
    </row>
    <row r="805" ht="15.75" customHeight="1" s="95">
      <c r="A805" s="1" t="inlineStr">
        <is>
          <t>Oona Laurence</t>
        </is>
      </c>
      <c r="B805" s="1" t="n">
        <v>2</v>
      </c>
      <c r="C805" s="1" t="n">
        <v>2015</v>
      </c>
      <c r="D805" s="1" t="n">
        <v>2016</v>
      </c>
      <c r="E805" s="4" t="inlineStr">
        <is>
          <t>Southpaw, Bad Moms</t>
        </is>
      </c>
      <c r="F805" s="1" t="inlineStr">
        <is>
          <t>F0286, F0038</t>
        </is>
      </c>
    </row>
    <row r="806" ht="15.75" customHeight="1" s="95">
      <c r="A806" s="1" t="inlineStr">
        <is>
          <t>Oscar Isaac</t>
        </is>
      </c>
      <c r="B806" s="1" t="n">
        <v>7</v>
      </c>
      <c r="C806" s="1" t="n">
        <v>2008</v>
      </c>
      <c r="D806" s="1" t="n">
        <v>2019</v>
      </c>
      <c r="E806" s="4" t="inlineStr">
        <is>
          <t>X-Men: Apocalypse, Body of Lies, The Bourne Legacy, Robin Hood, Star Wars: The Force Awakens, Star Wars: The Last Jedi, Star Wars: The Rise of Skywalker</t>
        </is>
      </c>
      <c r="F806" s="1" t="inlineStr">
        <is>
          <t>F0342, F0051, F0056, F0267, F0298, F0299, F0300</t>
        </is>
      </c>
    </row>
    <row r="807" ht="15.75" customHeight="1" s="95">
      <c r="A807" s="1" t="inlineStr">
        <is>
          <t>Owen Teague</t>
        </is>
      </c>
      <c r="B807" s="1" t="n">
        <v>1</v>
      </c>
      <c r="C807" s="1" t="n">
        <v>2024</v>
      </c>
      <c r="D807" s="1" t="n">
        <v>2024</v>
      </c>
      <c r="E807" s="4" t="inlineStr">
        <is>
          <t>Kingdom of the Planet of the Apes</t>
        </is>
      </c>
      <c r="F807" s="1" t="inlineStr">
        <is>
          <t>F0256</t>
        </is>
      </c>
    </row>
    <row r="808" ht="15.75" customHeight="1" s="95">
      <c r="A808" s="1" t="inlineStr">
        <is>
          <t>Owen Wilson</t>
        </is>
      </c>
      <c r="B808" s="1" t="n">
        <v>1</v>
      </c>
      <c r="C808" s="1" t="n">
        <v>2009</v>
      </c>
      <c r="D808" s="1" t="n">
        <v>2009</v>
      </c>
      <c r="E808" s="4" t="inlineStr">
        <is>
          <t>Night at the Museum: Battle of the Smithsonian</t>
        </is>
      </c>
      <c r="F808" s="1" t="inlineStr">
        <is>
          <t>F0236</t>
        </is>
      </c>
    </row>
    <row r="809" ht="15.75" customHeight="1" s="95">
      <c r="A809" s="1" t="inlineStr">
        <is>
          <t>Paris Themmen</t>
        </is>
      </c>
      <c r="B809" s="1" t="n">
        <v>1</v>
      </c>
      <c r="C809" s="1" t="n">
        <v>1971</v>
      </c>
      <c r="D809" s="1" t="n">
        <v>1971</v>
      </c>
      <c r="E809" s="4" t="inlineStr">
        <is>
          <t>Willy Wonka &amp; the Chocolate Factory</t>
        </is>
      </c>
      <c r="F809" s="1" t="inlineStr">
        <is>
          <t>F0339</t>
        </is>
      </c>
    </row>
    <row r="810" ht="15.75" customHeight="1" s="95">
      <c r="A810" s="1" t="inlineStr">
        <is>
          <t>Paterson Joseph</t>
        </is>
      </c>
      <c r="B810" s="1" t="n">
        <v>1</v>
      </c>
      <c r="C810" s="1" t="n">
        <v>2023</v>
      </c>
      <c r="D810" s="1" t="n">
        <v>2023</v>
      </c>
      <c r="E810" s="4" t="inlineStr">
        <is>
          <t>Wonka</t>
        </is>
      </c>
      <c r="F810" s="1" t="inlineStr">
        <is>
          <t>F0338</t>
        </is>
      </c>
    </row>
    <row r="811" ht="15.75" customHeight="1" s="95">
      <c r="A811" s="1" t="inlineStr">
        <is>
          <t>Paul Bettany</t>
        </is>
      </c>
      <c r="B811" s="1" t="n">
        <v>4</v>
      </c>
      <c r="C811" s="1" t="n">
        <v>2006</v>
      </c>
      <c r="D811" s="1" t="n">
        <v>2018</v>
      </c>
      <c r="E811" s="4" t="inlineStr">
        <is>
          <t>Firewall, The Avengers, Avengers: Infinity War, Iron Man 3</t>
        </is>
      </c>
      <c r="F811" s="1" t="inlineStr">
        <is>
          <t>F0114, F0029, F0030, F0169</t>
        </is>
      </c>
    </row>
    <row r="812" ht="15.75" customHeight="1" s="95">
      <c r="A812" s="1" t="inlineStr">
        <is>
          <t>Paul Dano</t>
        </is>
      </c>
      <c r="B812" s="1" t="n">
        <v>3</v>
      </c>
      <c r="C812" s="1" t="n">
        <v>2011</v>
      </c>
      <c r="D812" s="1" t="n">
        <v>2022</v>
      </c>
      <c r="E812" s="4" t="inlineStr">
        <is>
          <t>The Batman, Cowboys &amp; Aliens, Prisoners</t>
        </is>
      </c>
      <c r="F812" s="1" t="inlineStr">
        <is>
          <t>F0042, F0073, F0258</t>
        </is>
      </c>
    </row>
    <row r="813" ht="15.75" customHeight="1" s="95">
      <c r="A813" s="1" t="inlineStr">
        <is>
          <t>Paul McGann</t>
        </is>
      </c>
      <c r="B813" s="1" t="n">
        <v>1</v>
      </c>
      <c r="C813" s="1" t="n">
        <v>1992</v>
      </c>
      <c r="D813" s="1" t="n">
        <v>1992</v>
      </c>
      <c r="E813" s="4" t="inlineStr">
        <is>
          <t>Alien³</t>
        </is>
      </c>
      <c r="F813" s="1" t="inlineStr">
        <is>
          <t>F0017</t>
        </is>
      </c>
    </row>
    <row r="814" ht="15.75" customHeight="1" s="95">
      <c r="A814" s="1" t="inlineStr">
        <is>
          <t>Paul Reiser</t>
        </is>
      </c>
      <c r="B814" s="1" t="n">
        <v>1</v>
      </c>
      <c r="C814" s="1" t="n">
        <v>1986</v>
      </c>
      <c r="D814" s="1" t="n">
        <v>1986</v>
      </c>
      <c r="E814" s="4" t="inlineStr">
        <is>
          <t>Aliens</t>
        </is>
      </c>
      <c r="F814" s="1" t="inlineStr">
        <is>
          <t>F0016</t>
        </is>
      </c>
    </row>
    <row r="815" ht="15.75" customHeight="1" s="95">
      <c r="A815" s="1" t="inlineStr">
        <is>
          <t>Paul Rudd</t>
        </is>
      </c>
      <c r="B815" s="1" t="n">
        <v>3</v>
      </c>
      <c r="C815" s="1" t="n">
        <v>2004</v>
      </c>
      <c r="D815" s="1" t="n">
        <v>2019</v>
      </c>
      <c r="E815" s="4" t="inlineStr">
        <is>
          <t>Anchorman: The Legend of Ron Burgundy, Avengers: Endgame, Forgetting Sarah Marshall</t>
        </is>
      </c>
      <c r="F815" s="1" t="inlineStr">
        <is>
          <t>F0022, F0031, F0115</t>
        </is>
      </c>
    </row>
    <row r="816" ht="15.75" customHeight="1" s="95">
      <c r="A816" s="1" t="inlineStr">
        <is>
          <t>Paula Patton</t>
        </is>
      </c>
      <c r="B816" s="1" t="n">
        <v>1</v>
      </c>
      <c r="C816" s="1" t="n">
        <v>2011</v>
      </c>
      <c r="D816" s="1" t="n">
        <v>2011</v>
      </c>
      <c r="E816" s="4" t="inlineStr">
        <is>
          <t>Mission: Impossible - Ghost Protocol</t>
        </is>
      </c>
      <c r="F816" s="1" t="inlineStr">
        <is>
          <t>F0224</t>
        </is>
      </c>
    </row>
    <row r="817" ht="15.75" customHeight="1" s="95">
      <c r="A817" s="1" t="inlineStr">
        <is>
          <t>Pete Ploszek</t>
        </is>
      </c>
      <c r="B817" s="1" t="n">
        <v>1</v>
      </c>
      <c r="C817" s="1" t="n">
        <v>2014</v>
      </c>
      <c r="D817" s="1" t="n">
        <v>2014</v>
      </c>
      <c r="E817" s="4" t="inlineStr">
        <is>
          <t>Teenage Mutant Ninja Turtles</t>
        </is>
      </c>
      <c r="F817" s="1" t="inlineStr">
        <is>
          <t>F0309</t>
        </is>
      </c>
    </row>
    <row r="818" ht="15.75" customHeight="1" s="95">
      <c r="A818" s="1" t="inlineStr">
        <is>
          <t>Pete Postlethwaite</t>
        </is>
      </c>
      <c r="B818" s="1" t="n">
        <v>4</v>
      </c>
      <c r="C818" s="1" t="n">
        <v>1992</v>
      </c>
      <c r="D818" s="1" t="n">
        <v>2010</v>
      </c>
      <c r="E818" s="4" t="inlineStr">
        <is>
          <t>The Lost World: Jurassic Park, Alien³, Clash of the Titans, Inception</t>
        </is>
      </c>
      <c r="F818" s="1" t="inlineStr">
        <is>
          <t>F0177, F0017, F0066, F0165</t>
        </is>
      </c>
    </row>
    <row r="819" ht="15.75" customHeight="1" s="95">
      <c r="A819" s="1" t="inlineStr">
        <is>
          <t>Peter Crombie</t>
        </is>
      </c>
      <c r="B819" s="1" t="n">
        <v>1</v>
      </c>
      <c r="C819" s="1" t="n">
        <v>1995</v>
      </c>
      <c r="D819" s="1" t="n">
        <v>1995</v>
      </c>
      <c r="E819" s="4" t="inlineStr">
        <is>
          <t>Se7en</t>
        </is>
      </c>
      <c r="F819" s="1" t="inlineStr">
        <is>
          <t>F0276</t>
        </is>
      </c>
    </row>
    <row r="820" ht="15.75" customHeight="1" s="95">
      <c r="A820" s="1" t="inlineStr">
        <is>
          <t>Peter Cushing</t>
        </is>
      </c>
      <c r="B820" s="1" t="n">
        <v>1</v>
      </c>
      <c r="C820" s="1" t="n">
        <v>1977</v>
      </c>
      <c r="D820" s="1" t="n">
        <v>1977</v>
      </c>
      <c r="E820" s="4" t="inlineStr">
        <is>
          <t>Star Wars: Episode IV – A New Hope</t>
        </is>
      </c>
      <c r="F820" s="1" t="inlineStr">
        <is>
          <t>F0295</t>
        </is>
      </c>
    </row>
    <row r="821" ht="15.75" customHeight="1" s="95">
      <c r="A821" s="1" t="inlineStr">
        <is>
          <t>Peter Dinklage</t>
        </is>
      </c>
      <c r="B821" s="1" t="n">
        <v>4</v>
      </c>
      <c r="C821" s="1" t="n">
        <v>2003</v>
      </c>
      <c r="D821" s="1" t="n">
        <v>2023</v>
      </c>
      <c r="E821" s="4" t="inlineStr">
        <is>
          <t>Transformers: Rise of the Beasts, Avengers: Infinity War, Elf, X-Men: Days of Future Past</t>
        </is>
      </c>
      <c r="F821" s="1" t="inlineStr">
        <is>
          <t>F0321, F0030, F0092, F0341</t>
        </is>
      </c>
    </row>
    <row r="822" ht="15.75" customHeight="1" s="95">
      <c r="A822" s="1" t="inlineStr">
        <is>
          <t>Peter Macon</t>
        </is>
      </c>
      <c r="B822" s="1" t="n">
        <v>1</v>
      </c>
      <c r="C822" s="1" t="n">
        <v>2024</v>
      </c>
      <c r="D822" s="1" t="n">
        <v>2024</v>
      </c>
      <c r="E822" s="4" t="inlineStr">
        <is>
          <t>Kingdom of the Planet of the Apes</t>
        </is>
      </c>
      <c r="F822" s="1" t="inlineStr">
        <is>
          <t>F0256</t>
        </is>
      </c>
    </row>
    <row r="823" ht="15.75" customHeight="1" s="95">
      <c r="A823" s="1" t="inlineStr">
        <is>
          <t>Peter Ostrum</t>
        </is>
      </c>
      <c r="B823" s="1" t="n">
        <v>1</v>
      </c>
      <c r="C823" s="1" t="n">
        <v>1971</v>
      </c>
      <c r="D823" s="1" t="n">
        <v>1971</v>
      </c>
      <c r="E823" s="4" t="inlineStr">
        <is>
          <t>Willy Wonka &amp; the Chocolate Factory</t>
        </is>
      </c>
      <c r="F823" s="1" t="inlineStr">
        <is>
          <t>F0339</t>
        </is>
      </c>
    </row>
    <row r="824" ht="15.75" customHeight="1" s="95">
      <c r="A824" s="1" t="inlineStr">
        <is>
          <t>Peter Sarsgaard</t>
        </is>
      </c>
      <c r="B824" s="1" t="n">
        <v>3</v>
      </c>
      <c r="C824" s="1" t="n">
        <v>2011</v>
      </c>
      <c r="D824" s="1" t="n">
        <v>2022</v>
      </c>
      <c r="E824" s="4" t="inlineStr">
        <is>
          <t>Green Lantern, The Batman, The Magnificent Seven</t>
        </is>
      </c>
      <c r="F824" s="1" t="inlineStr">
        <is>
          <t>F0128, F0042, F0207</t>
        </is>
      </c>
    </row>
    <row r="825" ht="15.75" customHeight="1" s="95">
      <c r="A825" s="1" t="inlineStr">
        <is>
          <t>Peter Sohn</t>
        </is>
      </c>
      <c r="B825" s="1" t="n">
        <v>1</v>
      </c>
      <c r="C825" s="1" t="n">
        <v>2013</v>
      </c>
      <c r="D825" s="1" t="n">
        <v>2013</v>
      </c>
      <c r="E825" s="4" t="inlineStr">
        <is>
          <t>Monsters University</t>
        </is>
      </c>
      <c r="F825" s="1" t="inlineStr">
        <is>
          <t>F0230</t>
        </is>
      </c>
    </row>
    <row r="826" ht="15.75" customHeight="1" s="95">
      <c r="A826" s="1" t="inlineStr">
        <is>
          <t>Peter Weller</t>
        </is>
      </c>
      <c r="B826" s="1" t="n">
        <v>1</v>
      </c>
      <c r="C826" s="1" t="n"/>
      <c r="D826" s="1" t="n"/>
      <c r="E826" s="4" t="inlineStr">
        <is>
          <t>RoboCop</t>
        </is>
      </c>
      <c r="F826" s="1" t="inlineStr">
        <is>
          <t>F0268</t>
        </is>
      </c>
    </row>
    <row r="827" ht="15.75" customHeight="1" s="95">
      <c r="A827" s="1" t="inlineStr">
        <is>
          <t>Philip Baker Hall</t>
        </is>
      </c>
      <c r="B827" s="1" t="n">
        <v>3</v>
      </c>
      <c r="C827" s="1" t="n">
        <v>2007</v>
      </c>
      <c r="D827" s="1" t="n">
        <v>2011</v>
      </c>
      <c r="E827" s="4" t="inlineStr">
        <is>
          <t>50/50, Rush Hour 3, Zodiac</t>
        </is>
      </c>
      <c r="F827" s="1" t="inlineStr">
        <is>
          <t>F0011, F0271, F0350</t>
        </is>
      </c>
    </row>
    <row r="828" ht="15.75" customHeight="1" s="95">
      <c r="A828" s="1" t="inlineStr">
        <is>
          <t>Philip Seymour Hoffman</t>
        </is>
      </c>
      <c r="B828" s="1" t="n">
        <v>3</v>
      </c>
      <c r="C828" s="1" t="n">
        <v>1998</v>
      </c>
      <c r="D828" s="1" t="n">
        <v>2014</v>
      </c>
      <c r="E828" s="4" t="inlineStr">
        <is>
          <t>Mission: Impossible III, The Big Lebowski, The Hunger Games: Mockingjay - Part 1</t>
        </is>
      </c>
      <c r="F828" s="1" t="inlineStr">
        <is>
          <t>F0223, F0049, F0158</t>
        </is>
      </c>
    </row>
    <row r="829" ht="15.75" customHeight="1" s="95">
      <c r="A829" s="1" t="inlineStr">
        <is>
          <t>Phylicia Rashād</t>
        </is>
      </c>
      <c r="B829" s="1" t="n">
        <v>1</v>
      </c>
      <c r="C829" s="1" t="n">
        <v>2015</v>
      </c>
      <c r="D829" s="1" t="n">
        <v>2015</v>
      </c>
      <c r="E829" s="4" t="inlineStr">
        <is>
          <t>Creed</t>
        </is>
      </c>
      <c r="F829" s="1" t="inlineStr">
        <is>
          <t>F0074</t>
        </is>
      </c>
    </row>
    <row r="830" ht="15.75" customHeight="1" s="95">
      <c r="A830" s="1" t="inlineStr">
        <is>
          <t>Phyllis Diller</t>
        </is>
      </c>
      <c r="B830" s="1" t="n">
        <v>1</v>
      </c>
      <c r="C830" s="1" t="n">
        <v>1998</v>
      </c>
      <c r="D830" s="1" t="n">
        <v>1998</v>
      </c>
      <c r="E830" s="4" t="inlineStr">
        <is>
          <t>A Bug's Life</t>
        </is>
      </c>
      <c r="F830" s="1" t="inlineStr">
        <is>
          <t>F0012</t>
        </is>
      </c>
    </row>
    <row r="831" ht="15.75" customHeight="1" s="95">
      <c r="A831" s="1" t="inlineStr">
        <is>
          <t>Phyllis Smith</t>
        </is>
      </c>
      <c r="B831" s="1" t="n">
        <v>2</v>
      </c>
      <c r="C831" s="1" t="n">
        <v>2011</v>
      </c>
      <c r="D831" s="1" t="n">
        <v>2015</v>
      </c>
      <c r="E831" s="4" t="inlineStr">
        <is>
          <t>Inside Out, Bad Teacher</t>
        </is>
      </c>
      <c r="F831" s="1" t="inlineStr">
        <is>
          <t>F0167, F0039</t>
        </is>
      </c>
    </row>
    <row r="832" ht="15.75" customHeight="1" s="95">
      <c r="A832" s="1" t="inlineStr">
        <is>
          <t>Pierce Brosnan</t>
        </is>
      </c>
      <c r="B832" s="1" t="n">
        <v>2</v>
      </c>
      <c r="C832" s="1" t="n">
        <v>2008</v>
      </c>
      <c r="D832" s="1" t="n">
        <v>2013</v>
      </c>
      <c r="E832" s="4" t="inlineStr">
        <is>
          <t>Mamma Mia!, The World's End</t>
        </is>
      </c>
      <c r="F832" s="1" t="inlineStr">
        <is>
          <t>F0209, F0072</t>
        </is>
      </c>
    </row>
    <row r="833" ht="15.75" customHeight="1" s="95">
      <c r="A833" s="1" t="inlineStr">
        <is>
          <t>Pink</t>
        </is>
      </c>
      <c r="B833" s="1" t="n">
        <v>1</v>
      </c>
      <c r="C833" s="1" t="n">
        <v>2011</v>
      </c>
      <c r="D833" s="1" t="n">
        <v>2011</v>
      </c>
      <c r="E833" s="4" t="inlineStr">
        <is>
          <t>Happy Feet Two</t>
        </is>
      </c>
      <c r="F833" s="1" t="inlineStr">
        <is>
          <t>F0145</t>
        </is>
      </c>
    </row>
    <row r="834" ht="15.75" customHeight="1" s="95">
      <c r="A834" s="1" t="inlineStr">
        <is>
          <t>Piper Perabo</t>
        </is>
      </c>
      <c r="B834" s="1" t="n">
        <v>1</v>
      </c>
      <c r="C834" s="1" t="n">
        <v>2006</v>
      </c>
      <c r="D834" s="1" t="n">
        <v>2006</v>
      </c>
      <c r="E834" s="4" t="inlineStr">
        <is>
          <t>The Prestige</t>
        </is>
      </c>
      <c r="F834" s="1" t="inlineStr">
        <is>
          <t>F0257</t>
        </is>
      </c>
    </row>
    <row r="835" ht="15.75" customHeight="1" s="95">
      <c r="A835" s="1" t="inlineStr">
        <is>
          <t>Plan B</t>
        </is>
      </c>
      <c r="B835" s="1" t="n">
        <v>1</v>
      </c>
      <c r="C835" s="1" t="n">
        <v>2012</v>
      </c>
      <c r="D835" s="1" t="n">
        <v>2012</v>
      </c>
      <c r="E835" s="4" t="inlineStr">
        <is>
          <t>The Sweeney</t>
        </is>
      </c>
      <c r="F835" s="1" t="inlineStr">
        <is>
          <t>F0305</t>
        </is>
      </c>
    </row>
    <row r="836" ht="15.75" customHeight="1" s="95">
      <c r="A836" s="1" t="inlineStr">
        <is>
          <t>Quinton 'Rampage' Jackson</t>
        </is>
      </c>
      <c r="B836" s="1" t="n">
        <v>1</v>
      </c>
      <c r="C836" s="1" t="n">
        <v>2010</v>
      </c>
      <c r="D836" s="1" t="n">
        <v>2010</v>
      </c>
      <c r="E836" s="4" t="inlineStr">
        <is>
          <t>The A-Team</t>
        </is>
      </c>
      <c r="F836" s="1" t="inlineStr">
        <is>
          <t>F0026</t>
        </is>
      </c>
    </row>
    <row r="837" ht="15.75" customHeight="1" s="95">
      <c r="A837" s="1" t="inlineStr">
        <is>
          <t>Rachel Bilson</t>
        </is>
      </c>
      <c r="B837" s="1" t="n">
        <v>1</v>
      </c>
      <c r="C837" s="1" t="n">
        <v>2008</v>
      </c>
      <c r="D837" s="1" t="n">
        <v>2008</v>
      </c>
      <c r="E837" s="4" t="inlineStr">
        <is>
          <t>Jumper</t>
        </is>
      </c>
      <c r="F837" s="1" t="inlineStr">
        <is>
          <t>F0175</t>
        </is>
      </c>
    </row>
    <row r="838" ht="15.75" customHeight="1" s="95">
      <c r="A838" s="1" t="inlineStr">
        <is>
          <t>Rachel Brosnahan</t>
        </is>
      </c>
      <c r="B838" s="1" t="n">
        <v>1</v>
      </c>
      <c r="C838" s="1" t="n">
        <v>2025</v>
      </c>
      <c r="D838" s="1" t="n">
        <v>2025</v>
      </c>
      <c r="E838" s="4" t="inlineStr">
        <is>
          <t>Superman</t>
        </is>
      </c>
      <c r="F838" s="1" t="inlineStr">
        <is>
          <t>F0304</t>
        </is>
      </c>
    </row>
    <row r="839" ht="15.75" customHeight="1" s="95">
      <c r="A839" s="1" t="inlineStr">
        <is>
          <t>Rachel Weisz</t>
        </is>
      </c>
      <c r="B839" s="1" t="n">
        <v>1</v>
      </c>
      <c r="C839" s="1" t="n">
        <v>2012</v>
      </c>
      <c r="D839" s="1" t="n">
        <v>2012</v>
      </c>
      <c r="E839" s="4" t="inlineStr">
        <is>
          <t>The Bourne Legacy</t>
        </is>
      </c>
      <c r="F839" s="1" t="inlineStr">
        <is>
          <t>F0056</t>
        </is>
      </c>
    </row>
    <row r="840" ht="15.75" customHeight="1" s="95">
      <c r="A840" s="1" t="inlineStr">
        <is>
          <t>Ramón Rodríguez</t>
        </is>
      </c>
      <c r="B840" s="1" t="n">
        <v>3</v>
      </c>
      <c r="C840" s="1" t="n">
        <v>2009</v>
      </c>
      <c r="D840" s="1" t="n">
        <v>2014</v>
      </c>
      <c r="E840" s="4" t="inlineStr">
        <is>
          <t>Battle: Los Angeles, Need for Speed, Transformers: Revenge of the Fallen</t>
        </is>
      </c>
      <c r="F840" s="1" t="inlineStr">
        <is>
          <t>F0046, F0234, F0317</t>
        </is>
      </c>
    </row>
    <row r="841" ht="15.75" customHeight="1" s="95">
      <c r="A841" s="1" t="inlineStr">
        <is>
          <t>Ray Liotta</t>
        </is>
      </c>
      <c r="B841" s="1" t="n">
        <v>2</v>
      </c>
      <c r="C841" s="1" t="n">
        <v>2012</v>
      </c>
      <c r="D841" s="1" t="n">
        <v>2014</v>
      </c>
      <c r="E841" s="4" t="inlineStr">
        <is>
          <t>Killing Them Softly, Muppets Most Wanted</t>
        </is>
      </c>
      <c r="F841" s="1" t="inlineStr">
        <is>
          <t>F0187, F0232</t>
        </is>
      </c>
    </row>
    <row r="842" ht="15.75" customHeight="1" s="95">
      <c r="A842" s="1" t="inlineStr">
        <is>
          <t>Ray Stevenson</t>
        </is>
      </c>
      <c r="B842" s="1" t="n">
        <v>2</v>
      </c>
      <c r="C842" s="1" t="n">
        <v>2014</v>
      </c>
      <c r="D842" s="1" t="n">
        <v>2015</v>
      </c>
      <c r="E842" s="4" t="inlineStr">
        <is>
          <t>The Transporter Refueled, Divergent</t>
        </is>
      </c>
      <c r="F842" s="1" t="inlineStr">
        <is>
          <t>F0323, F0089</t>
        </is>
      </c>
    </row>
    <row r="843" ht="15.75" customHeight="1" s="95">
      <c r="A843" s="1" t="inlineStr">
        <is>
          <t>Reese Witherspoon</t>
        </is>
      </c>
      <c r="B843" s="1" t="n">
        <v>1</v>
      </c>
      <c r="C843" s="1" t="n">
        <v>2016</v>
      </c>
      <c r="D843" s="1" t="n">
        <v>2016</v>
      </c>
      <c r="E843" s="4" t="inlineStr">
        <is>
          <t>Sing</t>
        </is>
      </c>
      <c r="F843" s="1" t="inlineStr">
        <is>
          <t>F0280</t>
        </is>
      </c>
    </row>
    <row r="844" ht="15.75" customHeight="1" s="95">
      <c r="A844" s="1" t="inlineStr">
        <is>
          <t>Regina King</t>
        </is>
      </c>
      <c r="B844" s="1" t="n">
        <v>1</v>
      </c>
      <c r="C844" s="1" t="n">
        <v>1998</v>
      </c>
      <c r="D844" s="1" t="n">
        <v>1998</v>
      </c>
      <c r="E844" s="4" t="inlineStr">
        <is>
          <t>Enemy of the State</t>
        </is>
      </c>
      <c r="F844" s="1" t="inlineStr">
        <is>
          <t>F0094</t>
        </is>
      </c>
    </row>
    <row r="845" ht="15.75" customHeight="1" s="95">
      <c r="A845" s="1" t="inlineStr">
        <is>
          <t>Reynaldo Gallegos</t>
        </is>
      </c>
      <c r="B845" s="1" t="n">
        <v>3</v>
      </c>
      <c r="C845" s="1" t="n">
        <v>2003</v>
      </c>
      <c r="D845" s="1" t="n">
        <v>2017</v>
      </c>
      <c r="E845" s="4" t="inlineStr">
        <is>
          <t>Rambo, Bad Boys II, Logan</t>
        </is>
      </c>
      <c r="F845" s="1" t="inlineStr">
        <is>
          <t>F0261, F0037, F0201</t>
        </is>
      </c>
    </row>
    <row r="846" ht="15.75" customHeight="1" s="95">
      <c r="A846" s="1" t="inlineStr">
        <is>
          <t>Rhona Mitra</t>
        </is>
      </c>
      <c r="B846" s="1" t="n">
        <v>1</v>
      </c>
      <c r="C846" s="1" t="n">
        <v>2009</v>
      </c>
      <c r="D846" s="1" t="n">
        <v>2009</v>
      </c>
      <c r="E846" s="4" t="inlineStr">
        <is>
          <t>Underworld: Rise of the Lycans</t>
        </is>
      </c>
      <c r="F846" s="1" t="inlineStr">
        <is>
          <t>F0327</t>
        </is>
      </c>
    </row>
    <row r="847" ht="15.75" customHeight="1" s="95">
      <c r="A847" s="1" t="inlineStr">
        <is>
          <t>Rhys Ifans</t>
        </is>
      </c>
      <c r="B847" s="1" t="n">
        <v>2</v>
      </c>
      <c r="C847" s="1" t="n">
        <v>2010</v>
      </c>
      <c r="D847" s="1" t="n">
        <v>2012</v>
      </c>
      <c r="E847" s="4" t="inlineStr">
        <is>
          <t>The Amazing Spider-Man, Harry Potter and the Deathly Hallows: Part 1</t>
        </is>
      </c>
      <c r="F847" s="1" t="inlineStr">
        <is>
          <t>F0019, F0143</t>
        </is>
      </c>
    </row>
    <row r="848" ht="15.75" customHeight="1" s="95">
      <c r="A848" s="1" t="inlineStr">
        <is>
          <t>Richard Harris</t>
        </is>
      </c>
      <c r="B848" s="1" t="n">
        <v>2</v>
      </c>
      <c r="C848" s="1" t="n">
        <v>2001</v>
      </c>
      <c r="D848" s="1" t="n">
        <v>2002</v>
      </c>
      <c r="E848" s="4" t="inlineStr">
        <is>
          <t>Harry Potter and the Philosopher's Stone, Harry Potter and the Chamber of Secrets</t>
        </is>
      </c>
      <c r="F848" s="1" t="inlineStr">
        <is>
          <t>F0137, F0138</t>
        </is>
      </c>
    </row>
    <row r="849" ht="15.75" customHeight="1" s="95">
      <c r="A849" s="1" t="inlineStr">
        <is>
          <t>Richard Kind</t>
        </is>
      </c>
      <c r="B849" s="1" t="n">
        <v>4</v>
      </c>
      <c r="C849" s="1" t="n">
        <v>1998</v>
      </c>
      <c r="D849" s="1" t="n">
        <v>2015</v>
      </c>
      <c r="E849" s="4" t="inlineStr">
        <is>
          <t>Inside Out, A Bug's Life, Argo, Toy Story 3</t>
        </is>
      </c>
      <c r="F849" s="1" t="inlineStr">
        <is>
          <t>F0167, F0012, F0025, F0314</t>
        </is>
      </c>
    </row>
    <row r="850" ht="15.75" customHeight="1" s="95">
      <c r="A850" s="1" t="inlineStr">
        <is>
          <t>Richard Madden</t>
        </is>
      </c>
      <c r="B850" s="1" t="n">
        <v>1</v>
      </c>
      <c r="C850" s="1" t="n">
        <v>2019</v>
      </c>
      <c r="D850" s="1" t="n">
        <v>2019</v>
      </c>
      <c r="E850" s="4" t="inlineStr">
        <is>
          <t>Rocketman</t>
        </is>
      </c>
      <c r="F850" s="1" t="inlineStr">
        <is>
          <t>F0269</t>
        </is>
      </c>
    </row>
    <row r="851" ht="15.75" customHeight="1" s="95">
      <c r="A851" s="1" t="inlineStr">
        <is>
          <t>Richard Roxburgh</t>
        </is>
      </c>
      <c r="B851" s="1" t="n">
        <v>2</v>
      </c>
      <c r="C851" s="1" t="n">
        <v>2000</v>
      </c>
      <c r="D851" s="1" t="n">
        <v>2016</v>
      </c>
      <c r="E851" s="4" t="inlineStr">
        <is>
          <t>Mission: Impossible II, Hacksaw Ridge</t>
        </is>
      </c>
      <c r="F851" s="1" t="inlineStr">
        <is>
          <t>F0222, F0133</t>
        </is>
      </c>
    </row>
    <row r="852" ht="15.75" customHeight="1" s="95">
      <c r="A852" s="1" t="inlineStr">
        <is>
          <t>Richie Campbell</t>
        </is>
      </c>
      <c r="B852" s="1" t="n">
        <v>1</v>
      </c>
      <c r="C852" s="1" t="n">
        <v>2011</v>
      </c>
      <c r="D852" s="1" t="n">
        <v>2011</v>
      </c>
      <c r="E852" s="4" t="inlineStr">
        <is>
          <t>Anuvahood</t>
        </is>
      </c>
      <c r="F852" s="1" t="inlineStr">
        <is>
          <t>F0024</t>
        </is>
      </c>
    </row>
    <row r="853" ht="15.75" customHeight="1" s="95">
      <c r="A853" s="1" t="inlineStr">
        <is>
          <t>Ricky Gervais</t>
        </is>
      </c>
      <c r="B853" s="1" t="n">
        <v>2</v>
      </c>
      <c r="C853" s="1" t="n">
        <v>2009</v>
      </c>
      <c r="D853" s="1" t="n">
        <v>2014</v>
      </c>
      <c r="E853" s="4" t="inlineStr">
        <is>
          <t>Muppets Most Wanted, Night at the Museum: Battle of the Smithsonian</t>
        </is>
      </c>
      <c r="F853" s="1" t="inlineStr">
        <is>
          <t>F0232, F0236</t>
        </is>
      </c>
    </row>
    <row r="854" ht="15.75" customHeight="1" s="95">
      <c r="A854" s="1" t="inlineStr">
        <is>
          <t>Rihanna</t>
        </is>
      </c>
      <c r="B854" s="1" t="n">
        <v>1</v>
      </c>
      <c r="C854" s="1" t="n">
        <v>2015</v>
      </c>
      <c r="D854" s="1" t="n">
        <v>2015</v>
      </c>
      <c r="E854" s="4" t="inlineStr">
        <is>
          <t>Home</t>
        </is>
      </c>
      <c r="F854" s="1" t="inlineStr">
        <is>
          <t>F0153</t>
        </is>
      </c>
    </row>
    <row r="855" ht="15.75" customHeight="1" s="95">
      <c r="A855" s="1" t="inlineStr">
        <is>
          <t>Rila Fukushima</t>
        </is>
      </c>
      <c r="B855" s="1" t="n">
        <v>1</v>
      </c>
      <c r="C855" s="1" t="n">
        <v>2013</v>
      </c>
      <c r="D855" s="1" t="n">
        <v>2013</v>
      </c>
      <c r="E855" s="4" t="inlineStr">
        <is>
          <t>The Wolverine</t>
        </is>
      </c>
      <c r="F855" s="1" t="inlineStr">
        <is>
          <t>F0347</t>
        </is>
      </c>
    </row>
    <row r="856" ht="15.75" customHeight="1" s="95">
      <c r="A856" s="1" t="inlineStr">
        <is>
          <t>Riley Griffiths</t>
        </is>
      </c>
      <c r="B856" s="1" t="n">
        <v>1</v>
      </c>
      <c r="C856" s="1" t="n">
        <v>2011</v>
      </c>
      <c r="D856" s="1" t="n">
        <v>2011</v>
      </c>
      <c r="E856" s="4" t="inlineStr">
        <is>
          <t>Super 8</t>
        </is>
      </c>
      <c r="F856" s="1" t="inlineStr">
        <is>
          <t>F0302</t>
        </is>
      </c>
    </row>
    <row r="857" ht="15.75" customHeight="1" s="95">
      <c r="A857" s="1" t="inlineStr">
        <is>
          <t>Rinko Kikuchi</t>
        </is>
      </c>
      <c r="B857" s="1" t="n">
        <v>1</v>
      </c>
      <c r="C857" s="1" t="n">
        <v>2013</v>
      </c>
      <c r="D857" s="1" t="n">
        <v>2013</v>
      </c>
      <c r="E857" s="4" t="inlineStr">
        <is>
          <t>Pacific Rim</t>
        </is>
      </c>
      <c r="F857" s="1" t="inlineStr">
        <is>
          <t>F0243</t>
        </is>
      </c>
    </row>
    <row r="858" ht="15.75" customHeight="1" s="95">
      <c r="A858" s="1" t="inlineStr">
        <is>
          <t>Rip Torn</t>
        </is>
      </c>
      <c r="B858" s="1" t="n">
        <v>2</v>
      </c>
      <c r="C858" s="1" t="n">
        <v>1997</v>
      </c>
      <c r="D858" s="1" t="n">
        <v>2014</v>
      </c>
      <c r="E858" s="4" t="inlineStr">
        <is>
          <t>Men in Black, Hercules</t>
        </is>
      </c>
      <c r="F858" s="1" t="inlineStr">
        <is>
          <t>F0218, F0147</t>
        </is>
      </c>
    </row>
    <row r="859" ht="15.75" customHeight="1" s="95">
      <c r="A859" s="1" t="inlineStr">
        <is>
          <t>Rob Riggle</t>
        </is>
      </c>
      <c r="B859" s="1" t="n">
        <v>2</v>
      </c>
      <c r="C859" s="1" t="n">
        <v>2009</v>
      </c>
      <c r="D859" s="1" t="n">
        <v>2012</v>
      </c>
      <c r="E859" s="4" t="inlineStr">
        <is>
          <t>21 Jump Street, The Hangover</t>
        </is>
      </c>
      <c r="F859" s="1" t="inlineStr">
        <is>
          <t>F0007, F0134</t>
        </is>
      </c>
    </row>
    <row r="860" ht="15.75" customHeight="1" s="95">
      <c r="A860" s="1" t="inlineStr">
        <is>
          <t>Rob Schneider</t>
        </is>
      </c>
      <c r="B860" s="1" t="n">
        <v>1</v>
      </c>
      <c r="C860" s="1" t="n">
        <v>2010</v>
      </c>
      <c r="D860" s="1" t="n">
        <v>2010</v>
      </c>
      <c r="E860" s="4" t="inlineStr">
        <is>
          <t>Grown Ups</t>
        </is>
      </c>
      <c r="F860" s="1" t="inlineStr">
        <is>
          <t>F0131</t>
        </is>
      </c>
    </row>
    <row r="861" ht="15.75" customHeight="1" s="95">
      <c r="A861" s="1" t="inlineStr">
        <is>
          <t>Robbie Coltrane</t>
        </is>
      </c>
      <c r="B861" s="1" t="n">
        <v>8</v>
      </c>
      <c r="C861" s="1" t="n">
        <v>2001</v>
      </c>
      <c r="D861" s="1" t="n">
        <v>2011</v>
      </c>
      <c r="E861" s="4" t="inlineStr">
        <is>
          <t>Harry Potter and the Prisoner of Azkaban, Harry Potter and the Philosopher's Stone, Harry Potter and the Chamber of Secrets, Harry Potter and the Goblet of Fire, Harry Potter and the Order of the Phoenix, Harry Potter and the Half-Blood Prince, Harry Potter and the Deathly Hallows: Part 1, Harry Potter and the Deathly Hallows: Part 2</t>
        </is>
      </c>
      <c r="F861" s="1" t="inlineStr">
        <is>
          <t>F0139, F0137, F0138, F0140, F0141, F0142, F0143, F0144</t>
        </is>
      </c>
    </row>
    <row r="862" ht="15.75" customHeight="1" s="95">
      <c r="A862" s="1" t="inlineStr">
        <is>
          <t>Robert De Niro</t>
        </is>
      </c>
      <c r="B862" s="1" t="n">
        <v>1</v>
      </c>
      <c r="C862" s="1" t="n">
        <v>2016</v>
      </c>
      <c r="D862" s="1" t="n">
        <v>2016</v>
      </c>
      <c r="E862" s="4" t="inlineStr">
        <is>
          <t>Dirty Grandpa</t>
        </is>
      </c>
      <c r="F862" s="1" t="inlineStr">
        <is>
          <t>F0087</t>
        </is>
      </c>
    </row>
    <row r="863" ht="15.75" customHeight="1" s="95">
      <c r="A863" s="1" t="inlineStr">
        <is>
          <t>Robert Huerta</t>
        </is>
      </c>
      <c r="B863" s="1" t="n">
        <v>1</v>
      </c>
      <c r="C863" s="1" t="n">
        <v>2009</v>
      </c>
      <c r="D863" s="1" t="n">
        <v>2009</v>
      </c>
      <c r="E863" s="4" t="inlineStr">
        <is>
          <t>Brüno</t>
        </is>
      </c>
      <c r="F863" s="1" t="inlineStr">
        <is>
          <t>F0059</t>
        </is>
      </c>
    </row>
    <row r="864" ht="15.75" customHeight="1" s="95">
      <c r="A864" s="1" t="inlineStr">
        <is>
          <t>Robert Pattinson</t>
        </is>
      </c>
      <c r="B864" s="1" t="n">
        <v>2</v>
      </c>
      <c r="C864" s="1" t="n">
        <v>2005</v>
      </c>
      <c r="D864" s="1" t="n">
        <v>2022</v>
      </c>
      <c r="E864" s="4" t="inlineStr">
        <is>
          <t>The Batman, Harry Potter and the Goblet of Fire</t>
        </is>
      </c>
      <c r="F864" s="1" t="inlineStr">
        <is>
          <t>F0042, F0140</t>
        </is>
      </c>
    </row>
    <row r="865" ht="15.75" customHeight="1" s="95">
      <c r="A865" s="1" t="inlineStr">
        <is>
          <t>Robin Wright</t>
        </is>
      </c>
      <c r="B865" s="1" t="n">
        <v>1</v>
      </c>
      <c r="C865" s="1" t="n">
        <v>2011</v>
      </c>
      <c r="D865" s="1" t="n">
        <v>2011</v>
      </c>
      <c r="E865" s="4" t="inlineStr">
        <is>
          <t>The Girl with the Dragon Tattoo</t>
        </is>
      </c>
      <c r="F865" s="1" t="inlineStr">
        <is>
          <t>F0120</t>
        </is>
      </c>
    </row>
    <row r="866" ht="15.75" customHeight="1" s="95">
      <c r="A866" s="1" t="inlineStr">
        <is>
          <t>Roman Griffin Davis</t>
        </is>
      </c>
      <c r="B866" s="1" t="n">
        <v>1</v>
      </c>
      <c r="C866" s="1" t="n">
        <v>2019</v>
      </c>
      <c r="D866" s="1" t="n">
        <v>2019</v>
      </c>
      <c r="E866" s="4" t="inlineStr">
        <is>
          <t>Jojo Rabbit</t>
        </is>
      </c>
      <c r="F866" s="1" t="inlineStr">
        <is>
          <t>F0170</t>
        </is>
      </c>
    </row>
    <row r="867" ht="15.75" customHeight="1" s="95">
      <c r="A867" s="1" t="inlineStr">
        <is>
          <t>Ron Dennis</t>
        </is>
      </c>
      <c r="B867" s="1" t="n">
        <v>1</v>
      </c>
      <c r="C867" s="1" t="n">
        <v>2010</v>
      </c>
      <c r="D867" s="1" t="n">
        <v>2010</v>
      </c>
      <c r="E867" s="4" t="inlineStr">
        <is>
          <t>Senna</t>
        </is>
      </c>
      <c r="F867" s="1" t="inlineStr">
        <is>
          <t>F0275</t>
        </is>
      </c>
    </row>
    <row r="868" ht="15.75" customHeight="1" s="95">
      <c r="A868" s="1" t="inlineStr">
        <is>
          <t>Ronny Cox</t>
        </is>
      </c>
      <c r="B868" s="1" t="n">
        <v>1</v>
      </c>
      <c r="C868" s="1" t="n"/>
      <c r="D868" s="1" t="n"/>
      <c r="E868" s="4" t="inlineStr">
        <is>
          <t>RoboCop</t>
        </is>
      </c>
      <c r="F868" s="1" t="inlineStr">
        <is>
          <t>F0268</t>
        </is>
      </c>
    </row>
    <row r="869" ht="15.75" customHeight="1" s="95">
      <c r="A869" s="1" t="inlineStr">
        <is>
          <t>Rooney Mara</t>
        </is>
      </c>
      <c r="B869" s="1" t="n">
        <v>1</v>
      </c>
      <c r="C869" s="1" t="n">
        <v>2011</v>
      </c>
      <c r="D869" s="1" t="n">
        <v>2011</v>
      </c>
      <c r="E869" s="4" t="inlineStr">
        <is>
          <t>The Girl with the Dragon Tattoo</t>
        </is>
      </c>
      <c r="F869" s="1" t="inlineStr">
        <is>
          <t>F0120</t>
        </is>
      </c>
    </row>
    <row r="870" ht="15.75" customHeight="1" s="95">
      <c r="A870" s="1" t="inlineStr">
        <is>
          <t>Rory Kinnear</t>
        </is>
      </c>
      <c r="B870" s="1" t="n">
        <v>5</v>
      </c>
      <c r="C870" s="1" t="n">
        <v>2008</v>
      </c>
      <c r="D870" s="1" t="n">
        <v>2021</v>
      </c>
      <c r="E870" s="4" t="inlineStr">
        <is>
          <t>The Imitation Game, Quantum of Solace, Skyfall, Spectre, No Time to Die</t>
        </is>
      </c>
      <c r="F870" s="1" t="inlineStr">
        <is>
          <t>F0162, F0002, F0003, F0004, F0005</t>
        </is>
      </c>
    </row>
    <row r="871" ht="15.75" customHeight="1" s="95">
      <c r="A871" s="1" t="inlineStr">
        <is>
          <t>Rosamund Pike</t>
        </is>
      </c>
      <c r="B871" s="1" t="n">
        <v>2</v>
      </c>
      <c r="C871" s="1" t="n">
        <v>2012</v>
      </c>
      <c r="D871" s="1" t="n">
        <v>2013</v>
      </c>
      <c r="E871" s="4" t="inlineStr">
        <is>
          <t>Jack Reacher, The World's End</t>
        </is>
      </c>
      <c r="F871" s="1" t="inlineStr">
        <is>
          <t>F0171, F0072</t>
        </is>
      </c>
    </row>
    <row r="872" ht="15.75" customHeight="1" s="95">
      <c r="A872" s="1" t="inlineStr">
        <is>
          <t>Rosario Dawson</t>
        </is>
      </c>
      <c r="B872" s="1" t="n">
        <v>1</v>
      </c>
      <c r="C872" s="1" t="n">
        <v>2017</v>
      </c>
      <c r="D872" s="1" t="n">
        <v>2017</v>
      </c>
      <c r="E872" s="4" t="inlineStr">
        <is>
          <t>The Lego Batman Movie</t>
        </is>
      </c>
      <c r="F872" s="1" t="inlineStr">
        <is>
          <t>F0193</t>
        </is>
      </c>
    </row>
    <row r="873" ht="15.75" customHeight="1" s="95">
      <c r="A873" s="1" t="inlineStr">
        <is>
          <t>Rosemary Harris</t>
        </is>
      </c>
      <c r="B873" s="1" t="n">
        <v>3</v>
      </c>
      <c r="C873" s="1" t="n">
        <v>2002</v>
      </c>
      <c r="D873" s="1" t="n">
        <v>2007</v>
      </c>
      <c r="E873" s="4" t="inlineStr">
        <is>
          <t>Spider-Man 2, Spider-Man, Spider-Man 3</t>
        </is>
      </c>
      <c r="F873" s="1" t="inlineStr">
        <is>
          <t>F0288, F0287, F0289</t>
        </is>
      </c>
    </row>
    <row r="874" ht="15.75" customHeight="1" s="95">
      <c r="A874" s="1" t="inlineStr">
        <is>
          <t>Rosie Huntington-Whiteley</t>
        </is>
      </c>
      <c r="B874" s="1" t="n">
        <v>1</v>
      </c>
      <c r="C874" s="1" t="n">
        <v>2011</v>
      </c>
      <c r="D874" s="1" t="n">
        <v>2011</v>
      </c>
      <c r="E874" s="4" t="inlineStr">
        <is>
          <t>Transformers: Dark of the Moon</t>
        </is>
      </c>
      <c r="F874" s="1" t="inlineStr">
        <is>
          <t>F0318</t>
        </is>
      </c>
    </row>
    <row r="875" ht="15.75" customHeight="1" s="95">
      <c r="A875" s="1" t="inlineStr">
        <is>
          <t>Rosie Perez</t>
        </is>
      </c>
      <c r="B875" s="1" t="n">
        <v>1</v>
      </c>
      <c r="C875" s="1" t="n">
        <v>2008</v>
      </c>
      <c r="D875" s="1" t="n">
        <v>2008</v>
      </c>
      <c r="E875" s="4" t="inlineStr">
        <is>
          <t>Pineapple Express</t>
        </is>
      </c>
      <c r="F875" s="1" t="inlineStr">
        <is>
          <t>F0247</t>
        </is>
      </c>
    </row>
    <row r="876" ht="15.75" customHeight="1" s="95">
      <c r="A876" s="1" t="inlineStr">
        <is>
          <t>Roxanne McKee</t>
        </is>
      </c>
      <c r="B876" s="1" t="n">
        <v>1</v>
      </c>
      <c r="C876" s="1" t="n">
        <v>2014</v>
      </c>
      <c r="D876" s="1" t="n">
        <v>2014</v>
      </c>
      <c r="E876" s="4" t="inlineStr">
        <is>
          <t>The Legend of Hercules</t>
        </is>
      </c>
      <c r="F876" s="1" t="inlineStr">
        <is>
          <t>F0148</t>
        </is>
      </c>
    </row>
    <row r="877" ht="15.75" customHeight="1" s="95">
      <c r="A877" s="1" t="inlineStr">
        <is>
          <t>Ruby Barnhill</t>
        </is>
      </c>
      <c r="B877" s="1" t="n">
        <v>1</v>
      </c>
      <c r="C877" s="1" t="n">
        <v>2016</v>
      </c>
      <c r="D877" s="1" t="n">
        <v>2016</v>
      </c>
      <c r="E877" s="4" t="inlineStr">
        <is>
          <t>The BFG</t>
        </is>
      </c>
      <c r="F877" s="1" t="inlineStr">
        <is>
          <t>F0047</t>
        </is>
      </c>
    </row>
    <row r="878" ht="15.75" customHeight="1" s="95">
      <c r="A878" s="1" t="inlineStr">
        <is>
          <t>Rufus Sewell</t>
        </is>
      </c>
      <c r="B878" s="1" t="n">
        <v>1</v>
      </c>
      <c r="C878" s="1" t="n">
        <v>2014</v>
      </c>
      <c r="D878" s="1" t="n">
        <v>2014</v>
      </c>
      <c r="E878" s="4" t="inlineStr">
        <is>
          <t>Hercules</t>
        </is>
      </c>
      <c r="F878" s="1" t="inlineStr">
        <is>
          <t>F0147</t>
        </is>
      </c>
    </row>
    <row r="879" ht="15.75" customHeight="1" s="95">
      <c r="A879" s="1" t="inlineStr">
        <is>
          <t>Rupert Friend</t>
        </is>
      </c>
      <c r="B879" s="1" t="n">
        <v>1</v>
      </c>
      <c r="C879" s="1" t="n">
        <v>2025</v>
      </c>
      <c r="D879" s="1" t="n">
        <v>2025</v>
      </c>
      <c r="E879" s="4" t="inlineStr">
        <is>
          <t>Jurassic World Rebirth</t>
        </is>
      </c>
      <c r="F879" s="1" t="inlineStr">
        <is>
          <t>F0182</t>
        </is>
      </c>
    </row>
    <row r="880" ht="15.75" customHeight="1" s="95">
      <c r="A880" s="1" t="inlineStr">
        <is>
          <t>Ryan Dunn</t>
        </is>
      </c>
      <c r="B880" s="1" t="n">
        <v>1</v>
      </c>
      <c r="C880" s="1" t="n">
        <v>2010</v>
      </c>
      <c r="D880" s="1" t="n">
        <v>2010</v>
      </c>
      <c r="E880" s="4" t="inlineStr">
        <is>
          <t>Jackass 3D</t>
        </is>
      </c>
      <c r="F880" s="1" t="inlineStr">
        <is>
          <t>F0172</t>
        </is>
      </c>
    </row>
    <row r="881" ht="15.75" customHeight="1" s="95">
      <c r="A881" s="1" t="inlineStr">
        <is>
          <t>Ryan Potter</t>
        </is>
      </c>
      <c r="B881" s="1" t="n">
        <v>1</v>
      </c>
      <c r="C881" s="1" t="n">
        <v>2014</v>
      </c>
      <c r="D881" s="1" t="n">
        <v>2014</v>
      </c>
      <c r="E881" s="4" t="inlineStr">
        <is>
          <t>Big Hero 6</t>
        </is>
      </c>
      <c r="F881" s="1" t="inlineStr">
        <is>
          <t>F0048</t>
        </is>
      </c>
    </row>
    <row r="882" ht="15.75" customHeight="1" s="95">
      <c r="A882" s="1" t="inlineStr">
        <is>
          <t>Saffron Burrows</t>
        </is>
      </c>
      <c r="B882" s="1" t="n">
        <v>1</v>
      </c>
      <c r="C882" s="1" t="n">
        <v>2008</v>
      </c>
      <c r="D882" s="1" t="n">
        <v>2008</v>
      </c>
      <c r="E882" s="4" t="inlineStr">
        <is>
          <t>The Bank Job</t>
        </is>
      </c>
      <c r="F882" s="1" t="inlineStr">
        <is>
          <t>F0040</t>
        </is>
      </c>
    </row>
    <row r="883" ht="15.75" customHeight="1" s="95">
      <c r="A883" s="1" t="inlineStr">
        <is>
          <t>Sally Hawkins</t>
        </is>
      </c>
      <c r="B883" s="1" t="n">
        <v>4</v>
      </c>
      <c r="C883" s="1" t="n">
        <v>2014</v>
      </c>
      <c r="D883" s="1" t="n">
        <v>2023</v>
      </c>
      <c r="E883" s="4" t="inlineStr">
        <is>
          <t>Paddington, Godzilla, Godzilla: King of the Monsters, Wonka</t>
        </is>
      </c>
      <c r="F883" s="1" t="inlineStr">
        <is>
          <t>F0244, F0121, F0122, F0338</t>
        </is>
      </c>
    </row>
    <row r="884" ht="15.75" customHeight="1" s="95">
      <c r="A884" s="1" t="inlineStr">
        <is>
          <t>Sam Claflin</t>
        </is>
      </c>
      <c r="B884" s="1" t="n">
        <v>3</v>
      </c>
      <c r="C884" s="1" t="n">
        <v>2011</v>
      </c>
      <c r="D884" s="1" t="n">
        <v>2014</v>
      </c>
      <c r="E884" s="4" t="inlineStr">
        <is>
          <t>Snow White and the Huntsman, The Hunger Games: Mockingjay - Part 1, Pirates of the Caribbean: On Stranger Tides</t>
        </is>
      </c>
      <c r="F884" s="1" t="inlineStr">
        <is>
          <t>F0284, F0158, F0249</t>
        </is>
      </c>
    </row>
    <row r="885" ht="15.75" customHeight="1" s="95">
      <c r="A885" s="1" t="inlineStr">
        <is>
          <t>Sam Shepard</t>
        </is>
      </c>
      <c r="B885" s="1" t="n">
        <v>4</v>
      </c>
      <c r="C885" s="1" t="n">
        <v>2001</v>
      </c>
      <c r="D885" s="1" t="n">
        <v>2012</v>
      </c>
      <c r="E885" s="4" t="inlineStr">
        <is>
          <t>Safe House, Black Hawk Down, Killing Them Softly, The Notebook</t>
        </is>
      </c>
      <c r="F885" s="1" t="inlineStr">
        <is>
          <t>F0272, F0050, F0187, F0237</t>
        </is>
      </c>
    </row>
    <row r="886" ht="15.75" customHeight="1" s="95">
      <c r="A886" s="1" t="inlineStr">
        <is>
          <t>Samuel Joslin</t>
        </is>
      </c>
      <c r="B886" s="1" t="n">
        <v>1</v>
      </c>
      <c r="C886" s="1" t="n">
        <v>2014</v>
      </c>
      <c r="D886" s="1" t="n">
        <v>2014</v>
      </c>
      <c r="E886" s="4" t="inlineStr">
        <is>
          <t>Paddington</t>
        </is>
      </c>
      <c r="F886" s="1" t="inlineStr">
        <is>
          <t>F0244</t>
        </is>
      </c>
    </row>
    <row r="887" ht="15.75" customHeight="1" s="95">
      <c r="A887" s="1" t="inlineStr">
        <is>
          <t>Sayed Badreya</t>
        </is>
      </c>
      <c r="B887" s="1" t="n">
        <v>1</v>
      </c>
      <c r="C887" s="1" t="n">
        <v>2012</v>
      </c>
      <c r="D887" s="1" t="n">
        <v>2012</v>
      </c>
      <c r="E887" s="4" t="inlineStr">
        <is>
          <t>The Dictator</t>
        </is>
      </c>
      <c r="F887" s="1" t="inlineStr">
        <is>
          <t>F0085</t>
        </is>
      </c>
    </row>
    <row r="888" ht="15.75" customHeight="1" s="95">
      <c r="A888" s="1" t="inlineStr">
        <is>
          <t>Scoot McNairy</t>
        </is>
      </c>
      <c r="B888" s="1" t="n">
        <v>2</v>
      </c>
      <c r="C888" s="1" t="n">
        <v>2012</v>
      </c>
      <c r="D888" s="1" t="n">
        <v>2012</v>
      </c>
      <c r="E888" s="4" t="inlineStr">
        <is>
          <t>Killing Them Softly, Argo</t>
        </is>
      </c>
      <c r="F888" s="1" t="inlineStr">
        <is>
          <t>F0187, F0025</t>
        </is>
      </c>
    </row>
    <row r="889" ht="15.75" customHeight="1" s="95">
      <c r="A889" s="1" t="inlineStr">
        <is>
          <t>Scott Adkins</t>
        </is>
      </c>
      <c r="B889" s="1" t="n">
        <v>5</v>
      </c>
      <c r="C889" s="1" t="n">
        <v>2007</v>
      </c>
      <c r="D889" s="1" t="n">
        <v>2016</v>
      </c>
      <c r="E889" s="4" t="inlineStr">
        <is>
          <t>The Legend of Hercules, The Bourne Ultimatum, The Expendables 2, Grimsby, Zero Dark Thirty</t>
        </is>
      </c>
      <c r="F889" s="1" t="inlineStr">
        <is>
          <t>F0148, F0055, F0096, F0130, F0349</t>
        </is>
      </c>
    </row>
    <row r="890" ht="15.75" customHeight="1" s="95">
      <c r="A890" s="1" t="inlineStr">
        <is>
          <t>Scott Adsit</t>
        </is>
      </c>
      <c r="B890" s="1" t="n">
        <v>1</v>
      </c>
      <c r="C890" s="1" t="n">
        <v>2014</v>
      </c>
      <c r="D890" s="1" t="n">
        <v>2014</v>
      </c>
      <c r="E890" s="4" t="inlineStr">
        <is>
          <t>Big Hero 6</t>
        </is>
      </c>
      <c r="F890" s="1" t="inlineStr">
        <is>
          <t>F0048</t>
        </is>
      </c>
    </row>
    <row r="891" ht="15.75" customHeight="1" s="95">
      <c r="A891" s="1" t="inlineStr">
        <is>
          <t>Scott Glenn</t>
        </is>
      </c>
      <c r="B891" s="1" t="n">
        <v>2</v>
      </c>
      <c r="C891" s="1" t="n">
        <v>2007</v>
      </c>
      <c r="D891" s="1" t="n">
        <v>2012</v>
      </c>
      <c r="E891" s="4" t="inlineStr">
        <is>
          <t>The Bourne Ultimatum, The Bourne Legacy</t>
        </is>
      </c>
      <c r="F891" s="1" t="inlineStr">
        <is>
          <t>F0055, F0056</t>
        </is>
      </c>
    </row>
    <row r="892" ht="15.75" customHeight="1" s="95">
      <c r="A892" s="1" t="inlineStr">
        <is>
          <t>Scott Speedman</t>
        </is>
      </c>
      <c r="B892" s="1" t="n">
        <v>2</v>
      </c>
      <c r="C892" s="1" t="n">
        <v>2006</v>
      </c>
      <c r="D892" s="1" t="n">
        <v>2012</v>
      </c>
      <c r="E892" s="4" t="inlineStr">
        <is>
          <t>Underworld: Evolution, Underworld: Awakening</t>
        </is>
      </c>
      <c r="F892" s="1" t="inlineStr">
        <is>
          <t>F0326, F0328</t>
        </is>
      </c>
    </row>
    <row r="893" ht="15.75" customHeight="1" s="95">
      <c r="A893" s="1" t="inlineStr">
        <is>
          <t>Sean Hayes</t>
        </is>
      </c>
      <c r="B893" s="1" t="n">
        <v>2</v>
      </c>
      <c r="C893" s="1" t="n">
        <v>2007</v>
      </c>
      <c r="D893" s="1" t="n">
        <v>2013</v>
      </c>
      <c r="E893" s="4" t="inlineStr">
        <is>
          <t>The Bucket List, Monsters University</t>
        </is>
      </c>
      <c r="F893" s="1" t="inlineStr">
        <is>
          <t>F0060, F0230</t>
        </is>
      </c>
    </row>
    <row r="894" ht="15.75" customHeight="1" s="95">
      <c r="A894" s="1" t="inlineStr">
        <is>
          <t>Seth Meyers</t>
        </is>
      </c>
      <c r="B894" s="1" t="n">
        <v>1</v>
      </c>
      <c r="C894" s="1" t="n">
        <v>2008</v>
      </c>
      <c r="D894" s="1" t="n">
        <v>2008</v>
      </c>
      <c r="E894" s="4" t="inlineStr">
        <is>
          <t>Journey to the Center of the Earth</t>
        </is>
      </c>
      <c r="F894" s="1" t="inlineStr">
        <is>
          <t>F0174</t>
        </is>
      </c>
    </row>
    <row r="895" ht="15.75" customHeight="1" s="95">
      <c r="A895" s="1" t="inlineStr">
        <is>
          <t>Shad Moss</t>
        </is>
      </c>
      <c r="B895" s="1" t="n">
        <v>2</v>
      </c>
      <c r="C895" s="1" t="n">
        <v>2006</v>
      </c>
      <c r="D895" s="1" t="n">
        <v>2021</v>
      </c>
      <c r="E895" s="4" t="inlineStr">
        <is>
          <t>The Fast and the Furious: Tokyo Drift, F9: The Fast Saga</t>
        </is>
      </c>
      <c r="F895" s="1" t="inlineStr">
        <is>
          <t>F0103, F0109</t>
        </is>
      </c>
    </row>
    <row r="896" ht="15.75" customHeight="1" s="95">
      <c r="A896" s="1" t="inlineStr">
        <is>
          <t>Shailene Woodley</t>
        </is>
      </c>
      <c r="B896" s="1" t="n">
        <v>1</v>
      </c>
      <c r="C896" s="1" t="n">
        <v>2014</v>
      </c>
      <c r="D896" s="1" t="n">
        <v>2014</v>
      </c>
      <c r="E896" s="4" t="inlineStr">
        <is>
          <t>Divergent</t>
        </is>
      </c>
      <c r="F896" s="1" t="inlineStr">
        <is>
          <t>F0089</t>
        </is>
      </c>
    </row>
    <row r="897" ht="15.75" customHeight="1" s="95">
      <c r="A897" s="1" t="inlineStr">
        <is>
          <t>Sienna Miller</t>
        </is>
      </c>
      <c r="B897" s="1" t="n">
        <v>1</v>
      </c>
      <c r="C897" s="1" t="n">
        <v>2009</v>
      </c>
      <c r="D897" s="1" t="n">
        <v>2009</v>
      </c>
      <c r="E897" s="4" t="inlineStr">
        <is>
          <t>G.I. Joe: The Rise of Cobra</t>
        </is>
      </c>
      <c r="F897" s="1" t="inlineStr">
        <is>
          <t>F0118</t>
        </is>
      </c>
    </row>
    <row r="898" ht="15.75" customHeight="1" s="95">
      <c r="A898" s="1" t="inlineStr">
        <is>
          <t>Simon Greenall</t>
        </is>
      </c>
      <c r="B898" s="1" t="n">
        <v>1</v>
      </c>
      <c r="C898" s="1" t="n">
        <v>2013</v>
      </c>
      <c r="D898" s="1" t="n">
        <v>2013</v>
      </c>
      <c r="E898" s="4" t="inlineStr">
        <is>
          <t>Alan Partridge: Alpha Papa</t>
        </is>
      </c>
      <c r="F898" s="1" t="inlineStr">
        <is>
          <t>F0014</t>
        </is>
      </c>
    </row>
    <row r="899" ht="15.75" customHeight="1" s="95">
      <c r="A899" s="1" t="inlineStr">
        <is>
          <t>Song Kang-ho</t>
        </is>
      </c>
      <c r="B899" s="1" t="n">
        <v>1</v>
      </c>
      <c r="C899" s="1" t="n">
        <v>2013</v>
      </c>
      <c r="D899" s="1" t="n">
        <v>2013</v>
      </c>
      <c r="E899" s="4" t="inlineStr">
        <is>
          <t>Snowpiercer</t>
        </is>
      </c>
      <c r="F899" s="1" t="inlineStr">
        <is>
          <t>F0283</t>
        </is>
      </c>
    </row>
    <row r="900" ht="15.75" customHeight="1" s="95">
      <c r="A900" s="1" t="inlineStr">
        <is>
          <t>Stacy Keach</t>
        </is>
      </c>
      <c r="B900" s="1" t="n">
        <v>1</v>
      </c>
      <c r="C900" s="1" t="n">
        <v>2012</v>
      </c>
      <c r="D900" s="1" t="n">
        <v>2012</v>
      </c>
      <c r="E900" s="4" t="inlineStr">
        <is>
          <t>The Bourne Legacy</t>
        </is>
      </c>
      <c r="F900" s="1" t="inlineStr">
        <is>
          <t>F0056</t>
        </is>
      </c>
    </row>
    <row r="901" ht="15.75" customHeight="1" s="95">
      <c r="A901" s="1" t="inlineStr">
        <is>
          <t>Stanley Tucci</t>
        </is>
      </c>
      <c r="B901" s="1" t="n">
        <v>5</v>
      </c>
      <c r="C901" s="1" t="n">
        <v>2012</v>
      </c>
      <c r="D901" s="1" t="n">
        <v>2017</v>
      </c>
      <c r="E901" s="4" t="inlineStr">
        <is>
          <t>Transformers: Age of Extinction, The Hunger Games, The Hunger Games: Mockingjay - Part 1, Muppets Most Wanted, Transformers: The Last Knight</t>
        </is>
      </c>
      <c r="F901" s="1" t="inlineStr">
        <is>
          <t>F0319, F0157, F0158, F0232, F0320</t>
        </is>
      </c>
    </row>
    <row r="902" ht="15.75" customHeight="1" s="95">
      <c r="A902" s="1" t="inlineStr">
        <is>
          <t>Stephanie Beatriz</t>
        </is>
      </c>
      <c r="B902" s="1" t="n">
        <v>1</v>
      </c>
      <c r="C902" s="1" t="n">
        <v>2019</v>
      </c>
      <c r="D902" s="1" t="n">
        <v>2019</v>
      </c>
      <c r="E902" s="4" t="inlineStr">
        <is>
          <t>The Lego Movie 2: The Second Part</t>
        </is>
      </c>
      <c r="F902" s="1" t="inlineStr">
        <is>
          <t>F0196</t>
        </is>
      </c>
    </row>
    <row r="903" ht="15.75" customHeight="1" s="95">
      <c r="A903" s="1" t="inlineStr">
        <is>
          <t>Stephen Campbell Moore</t>
        </is>
      </c>
      <c r="B903" s="1" t="n">
        <v>1</v>
      </c>
      <c r="C903" s="1" t="n">
        <v>2008</v>
      </c>
      <c r="D903" s="1" t="n">
        <v>2008</v>
      </c>
      <c r="E903" s="4" t="inlineStr">
        <is>
          <t>The Bank Job</t>
        </is>
      </c>
      <c r="F903" s="1" t="inlineStr">
        <is>
          <t>F0040</t>
        </is>
      </c>
    </row>
    <row r="904" ht="15.75" customHeight="1" s="95">
      <c r="A904" s="1" t="inlineStr">
        <is>
          <t>Stephen Lang</t>
        </is>
      </c>
      <c r="B904" s="1" t="n">
        <v>1</v>
      </c>
      <c r="C904" s="1" t="n">
        <v>2009</v>
      </c>
      <c r="D904" s="1" t="n">
        <v>2009</v>
      </c>
      <c r="E904" s="4" t="inlineStr">
        <is>
          <t>Avatar</t>
        </is>
      </c>
      <c r="F904" s="1" t="inlineStr">
        <is>
          <t>F0028</t>
        </is>
      </c>
    </row>
    <row r="905" ht="15.75" customHeight="1" s="95">
      <c r="A905" s="1" t="inlineStr">
        <is>
          <t>Stephen Rea</t>
        </is>
      </c>
      <c r="B905" s="1" t="n">
        <v>1</v>
      </c>
      <c r="C905" s="1" t="n">
        <v>2012</v>
      </c>
      <c r="D905" s="1" t="n">
        <v>2012</v>
      </c>
      <c r="E905" s="4" t="inlineStr">
        <is>
          <t>Underworld: Awakening</t>
        </is>
      </c>
      <c r="F905" s="1" t="inlineStr">
        <is>
          <t>F0328</t>
        </is>
      </c>
    </row>
    <row r="906" ht="15.75" customHeight="1" s="95">
      <c r="A906" s="1" t="inlineStr">
        <is>
          <t>Steve Martin</t>
        </is>
      </c>
      <c r="B906" s="1" t="n">
        <v>1</v>
      </c>
      <c r="C906" s="1" t="n">
        <v>2015</v>
      </c>
      <c r="D906" s="1" t="n">
        <v>2015</v>
      </c>
      <c r="E906" s="4" t="inlineStr">
        <is>
          <t>Home</t>
        </is>
      </c>
      <c r="F906" s="1" t="inlineStr">
        <is>
          <t>F0153</t>
        </is>
      </c>
    </row>
    <row r="907" ht="15.75" customHeight="1" s="95">
      <c r="A907" s="1" t="inlineStr">
        <is>
          <t>Steve Whitmire</t>
        </is>
      </c>
      <c r="B907" s="1" t="n">
        <v>1</v>
      </c>
      <c r="C907" s="1" t="n">
        <v>2014</v>
      </c>
      <c r="D907" s="1" t="n">
        <v>2014</v>
      </c>
      <c r="E907" s="4" t="inlineStr">
        <is>
          <t>Muppets Most Wanted</t>
        </is>
      </c>
      <c r="F907" s="1" t="inlineStr">
        <is>
          <t>F0232</t>
        </is>
      </c>
    </row>
    <row r="908" ht="15.75" customHeight="1" s="95">
      <c r="A908" s="1" t="inlineStr">
        <is>
          <t>Steve Zahn</t>
        </is>
      </c>
      <c r="B908" s="1" t="n">
        <v>1</v>
      </c>
      <c r="C908" s="1" t="n">
        <v>2017</v>
      </c>
      <c r="D908" s="1" t="n">
        <v>2017</v>
      </c>
      <c r="E908" s="4" t="inlineStr">
        <is>
          <t>War for the Planet of the Apes</t>
        </is>
      </c>
      <c r="F908" s="1" t="inlineStr">
        <is>
          <t>F0255</t>
        </is>
      </c>
    </row>
    <row r="909" ht="15.75" customHeight="1" s="95">
      <c r="A909" s="1" t="inlineStr">
        <is>
          <t>Steve-O</t>
        </is>
      </c>
      <c r="B909" s="1" t="n">
        <v>1</v>
      </c>
      <c r="C909" s="1" t="n">
        <v>2010</v>
      </c>
      <c r="D909" s="1" t="n">
        <v>2010</v>
      </c>
      <c r="E909" s="4" t="inlineStr">
        <is>
          <t>Jackass 3D</t>
        </is>
      </c>
      <c r="F909" s="1" t="inlineStr">
        <is>
          <t>F0172</t>
        </is>
      </c>
    </row>
    <row r="910" ht="15.75" customHeight="1" s="95">
      <c r="A910" s="1" t="inlineStr">
        <is>
          <t>Steven Mackintosh</t>
        </is>
      </c>
      <c r="B910" s="1" t="n">
        <v>5</v>
      </c>
      <c r="C910" s="1" t="n">
        <v>2006</v>
      </c>
      <c r="D910" s="1" t="n">
        <v>2019</v>
      </c>
      <c r="E910" s="4" t="inlineStr">
        <is>
          <t>Underworld: Rise of the Lycans, Kick-Ass 2, Rocketman, The Sweeney, Underworld: Evolution</t>
        </is>
      </c>
      <c r="F910" s="1" t="inlineStr">
        <is>
          <t>F0327, F0186, F0269, F0305, F0326</t>
        </is>
      </c>
    </row>
    <row r="911" ht="15.75" customHeight="1" s="95">
      <c r="A911" s="1" t="inlineStr">
        <is>
          <t>Sung Kang</t>
        </is>
      </c>
      <c r="B911" s="1" t="n">
        <v>7</v>
      </c>
      <c r="C911" s="1" t="n">
        <v>2006</v>
      </c>
      <c r="D911" s="1" t="n">
        <v>2023</v>
      </c>
      <c r="E911" s="4" t="inlineStr">
        <is>
          <t>The Fast and the Furious: Tokyo Drift, Live Free or Die Hard, Fast Five, Fast &amp; Furious 6, Furious 7, F9: The Fast Saga, Fast X</t>
        </is>
      </c>
      <c r="F911" s="1" t="inlineStr">
        <is>
          <t>F0103, F0086, F0105, F0106, F0107, F0109, F0110</t>
        </is>
      </c>
    </row>
    <row r="912" ht="15.75" customHeight="1" s="95">
      <c r="A912" s="1" t="inlineStr">
        <is>
          <t>Sylvaine Strike</t>
        </is>
      </c>
      <c r="B912" s="1" t="n">
        <v>1</v>
      </c>
      <c r="C912" s="1" t="n">
        <v>2009</v>
      </c>
      <c r="D912" s="1" t="n">
        <v>2009</v>
      </c>
      <c r="E912" s="4" t="inlineStr">
        <is>
          <t>District 9</t>
        </is>
      </c>
      <c r="F912" s="1" t="inlineStr">
        <is>
          <t>F0088</t>
        </is>
      </c>
    </row>
    <row r="913" ht="15.75" customHeight="1" s="95">
      <c r="A913" s="1" t="inlineStr">
        <is>
          <t>Tao Okamoto</t>
        </is>
      </c>
      <c r="B913" s="1" t="n">
        <v>1</v>
      </c>
      <c r="C913" s="1" t="n">
        <v>2013</v>
      </c>
      <c r="D913" s="1" t="n">
        <v>2013</v>
      </c>
      <c r="E913" s="4" t="inlineStr">
        <is>
          <t>The Wolverine</t>
        </is>
      </c>
      <c r="F913" s="1" t="inlineStr">
        <is>
          <t>F0347</t>
        </is>
      </c>
    </row>
    <row r="914" ht="15.75" customHeight="1" s="95">
      <c r="A914" s="1" t="inlineStr">
        <is>
          <t>Taron Egerton</t>
        </is>
      </c>
      <c r="B914" s="1" t="n">
        <v>2</v>
      </c>
      <c r="C914" s="1" t="n">
        <v>2016</v>
      </c>
      <c r="D914" s="1" t="n">
        <v>2019</v>
      </c>
      <c r="E914" s="4" t="inlineStr">
        <is>
          <t>Rocketman, Sing</t>
        </is>
      </c>
      <c r="F914" s="1" t="inlineStr">
        <is>
          <t>F0269, F0280</t>
        </is>
      </c>
    </row>
    <row r="915" ht="15.75" customHeight="1" s="95">
      <c r="A915" s="1" t="inlineStr">
        <is>
          <t>Tatiana Pajković</t>
        </is>
      </c>
      <c r="B915" s="1" t="n">
        <v>1</v>
      </c>
      <c r="C915" s="1" t="n">
        <v>2015</v>
      </c>
      <c r="D915" s="1" t="n">
        <v>2015</v>
      </c>
      <c r="E915" s="4" t="inlineStr">
        <is>
          <t>The Transporter Refueled</t>
        </is>
      </c>
      <c r="F915" s="1" t="inlineStr">
        <is>
          <t>F0323</t>
        </is>
      </c>
    </row>
    <row r="916" ht="15.75" customHeight="1" s="95">
      <c r="A916" s="1" t="inlineStr">
        <is>
          <t>Taylor Kitsch</t>
        </is>
      </c>
      <c r="B916" s="1" t="n">
        <v>2</v>
      </c>
      <c r="C916" s="1" t="n">
        <v>2009</v>
      </c>
      <c r="D916" s="1" t="n">
        <v>2013</v>
      </c>
      <c r="E916" s="4" t="inlineStr">
        <is>
          <t>Lone Survivor, X-Men Origins: Wolverine</t>
        </is>
      </c>
      <c r="F916" s="1" t="inlineStr">
        <is>
          <t>F0202, F0343</t>
        </is>
      </c>
    </row>
    <row r="917" ht="15.75" customHeight="1" s="95">
      <c r="A917" s="1" t="inlineStr">
        <is>
          <t>Tchéky Karyo</t>
        </is>
      </c>
      <c r="B917" s="1" t="n">
        <v>1</v>
      </c>
      <c r="C917" s="1" t="n">
        <v>1995</v>
      </c>
      <c r="D917" s="1" t="n">
        <v>1995</v>
      </c>
      <c r="E917" s="4" t="inlineStr">
        <is>
          <t>Bad Boys</t>
        </is>
      </c>
      <c r="F917" s="1" t="inlineStr">
        <is>
          <t>F0036</t>
        </is>
      </c>
    </row>
    <row r="918" ht="15.75" customHeight="1" s="95">
      <c r="A918" s="1" t="inlineStr">
        <is>
          <t>Terrence Howard</t>
        </is>
      </c>
      <c r="B918" s="1" t="n">
        <v>1</v>
      </c>
      <c r="C918" s="1" t="n">
        <v>2013</v>
      </c>
      <c r="D918" s="1" t="n">
        <v>2013</v>
      </c>
      <c r="E918" s="4" t="inlineStr">
        <is>
          <t>Prisoners</t>
        </is>
      </c>
      <c r="F918" s="1" t="inlineStr">
        <is>
          <t>F0258</t>
        </is>
      </c>
    </row>
    <row r="919" ht="15.75" customHeight="1" s="95">
      <c r="A919" s="1" t="inlineStr">
        <is>
          <t>Terry Notary</t>
        </is>
      </c>
      <c r="B919" s="1" t="n">
        <v>5</v>
      </c>
      <c r="C919" s="1" t="n">
        <v>2011</v>
      </c>
      <c r="D919" s="1" t="n">
        <v>2017</v>
      </c>
      <c r="E919" s="4" t="inlineStr">
        <is>
          <t>War for the Planet of the Apes, Attack the Block, Kong: Skull Island, Rise of the Planet of the Apes, Dawn of the Planet of the Apes</t>
        </is>
      </c>
      <c r="F919" s="1" t="inlineStr">
        <is>
          <t>F0255, F0027, F0190, F0253, F0254</t>
        </is>
      </c>
    </row>
    <row r="920" ht="15.75" customHeight="1" s="95">
      <c r="A920" s="1" t="inlineStr">
        <is>
          <t>Tessa Thompson</t>
        </is>
      </c>
      <c r="B920" s="1" t="n">
        <v>2</v>
      </c>
      <c r="C920" s="1" t="n">
        <v>2015</v>
      </c>
      <c r="D920" s="1" t="n">
        <v>2019</v>
      </c>
      <c r="E920" s="4" t="inlineStr">
        <is>
          <t>Creed, Avengers: Endgame</t>
        </is>
      </c>
      <c r="F920" s="1" t="inlineStr">
        <is>
          <t>F0074, F0031</t>
        </is>
      </c>
    </row>
    <row r="921" ht="15.75" customHeight="1" s="95">
      <c r="A921" s="1" t="inlineStr">
        <is>
          <t>Thomas Brodie-Sangster</t>
        </is>
      </c>
      <c r="B921" s="1" t="n">
        <v>1</v>
      </c>
      <c r="C921" s="1" t="n">
        <v>2014</v>
      </c>
      <c r="D921" s="1" t="n">
        <v>2014</v>
      </c>
      <c r="E921" s="4" t="inlineStr">
        <is>
          <t>The Maze Runner</t>
        </is>
      </c>
      <c r="F921" s="1" t="inlineStr">
        <is>
          <t>F0217</t>
        </is>
      </c>
    </row>
    <row r="922" ht="15.75" customHeight="1" s="95">
      <c r="A922" s="1" t="inlineStr">
        <is>
          <t>Thomas Haden Church</t>
        </is>
      </c>
      <c r="B922" s="1" t="n">
        <v>1</v>
      </c>
      <c r="C922" s="1" t="n">
        <v>2007</v>
      </c>
      <c r="D922" s="1" t="n">
        <v>2007</v>
      </c>
      <c r="E922" s="4" t="inlineStr">
        <is>
          <t>Spider-Man 3</t>
        </is>
      </c>
      <c r="F922" s="1" t="inlineStr">
        <is>
          <t>F0289</t>
        </is>
      </c>
    </row>
    <row r="923" ht="15.75" customHeight="1" s="95">
      <c r="A923" s="1" t="inlineStr">
        <is>
          <t>Thomasin McKenzie</t>
        </is>
      </c>
      <c r="B923" s="1" t="n">
        <v>1</v>
      </c>
      <c r="C923" s="1" t="n">
        <v>2019</v>
      </c>
      <c r="D923" s="1" t="n">
        <v>2019</v>
      </c>
      <c r="E923" s="4" t="inlineStr">
        <is>
          <t>Jojo Rabbit</t>
        </is>
      </c>
      <c r="F923" s="1" t="inlineStr">
        <is>
          <t>F0170</t>
        </is>
      </c>
    </row>
    <row r="924" ht="15.75" customHeight="1" s="95">
      <c r="A924" s="1" t="inlineStr">
        <is>
          <t>Tiffany Haddish</t>
        </is>
      </c>
      <c r="B924" s="1" t="n">
        <v>1</v>
      </c>
      <c r="C924" s="1" t="n">
        <v>2019</v>
      </c>
      <c r="D924" s="1" t="n">
        <v>2019</v>
      </c>
      <c r="E924" s="4" t="inlineStr">
        <is>
          <t>The Lego Movie 2: The Second Part</t>
        </is>
      </c>
      <c r="F924" s="1" t="inlineStr">
        <is>
          <t>F0196</t>
        </is>
      </c>
    </row>
    <row r="925" ht="15.75" customHeight="1" s="95">
      <c r="A925" s="1" t="inlineStr">
        <is>
          <t>Tilda Swinton</t>
        </is>
      </c>
      <c r="B925" s="1" t="n">
        <v>2</v>
      </c>
      <c r="C925" s="1" t="n">
        <v>2013</v>
      </c>
      <c r="D925" s="1" t="n">
        <v>2019</v>
      </c>
      <c r="E925" s="4" t="inlineStr">
        <is>
          <t>Snowpiercer, Avengers: Endgame</t>
        </is>
      </c>
      <c r="F925" s="1" t="inlineStr">
        <is>
          <t>F0283, F0031</t>
        </is>
      </c>
    </row>
    <row r="926" ht="15.75" customHeight="1" s="95">
      <c r="A926" s="1" t="inlineStr">
        <is>
          <t>Timothy Olyphant</t>
        </is>
      </c>
      <c r="B926" s="1" t="n">
        <v>2</v>
      </c>
      <c r="C926" s="1" t="n">
        <v>2007</v>
      </c>
      <c r="D926" s="1" t="n">
        <v>2019</v>
      </c>
      <c r="E926" s="4" t="inlineStr">
        <is>
          <t>Live Free or Die Hard, Once Upon a Time… in Hollywood</t>
        </is>
      </c>
      <c r="F926" s="1" t="inlineStr">
        <is>
          <t>F0086, F0241</t>
        </is>
      </c>
    </row>
    <row r="927" ht="15.75" customHeight="1" s="95">
      <c r="A927" s="1" t="inlineStr">
        <is>
          <t>Timothy Spall</t>
        </is>
      </c>
      <c r="B927" s="1" t="n">
        <v>5</v>
      </c>
      <c r="C927" s="1" t="n">
        <v>2004</v>
      </c>
      <c r="D927" s="1" t="n">
        <v>2010</v>
      </c>
      <c r="E927" s="4" t="inlineStr">
        <is>
          <t>The King's Speech, Harry Potter and the Prisoner of Azkaban, Harry Potter and the Goblet of Fire, Harry Potter and the Half-Blood Prince, Harry Potter and the Deathly Hallows: Part 1</t>
        </is>
      </c>
      <c r="F927" s="1" t="inlineStr">
        <is>
          <t>F0189, F0139, F0140, F0142, F0143</t>
        </is>
      </c>
    </row>
    <row r="928" ht="15.75" customHeight="1" s="95">
      <c r="A928" s="1" t="inlineStr">
        <is>
          <t>Timothée Chalamet</t>
        </is>
      </c>
      <c r="B928" s="1" t="n">
        <v>2</v>
      </c>
      <c r="C928" s="1" t="n">
        <v>2014</v>
      </c>
      <c r="D928" s="1" t="n">
        <v>2023</v>
      </c>
      <c r="E928" s="4" t="inlineStr">
        <is>
          <t>Wonka, Interstellar</t>
        </is>
      </c>
      <c r="F928" s="1" t="inlineStr">
        <is>
          <t>F0338, F0168</t>
        </is>
      </c>
    </row>
    <row r="929" ht="15.75" customHeight="1" s="95">
      <c r="A929" s="1" t="inlineStr">
        <is>
          <t>Tina Fey</t>
        </is>
      </c>
      <c r="B929" s="1" t="n">
        <v>1</v>
      </c>
      <c r="C929" s="1" t="n">
        <v>2014</v>
      </c>
      <c r="D929" s="1" t="n">
        <v>2014</v>
      </c>
      <c r="E929" s="4" t="inlineStr">
        <is>
          <t>Muppets Most Wanted</t>
        </is>
      </c>
      <c r="F929" s="1" t="inlineStr">
        <is>
          <t>F0232</t>
        </is>
      </c>
    </row>
    <row r="930" ht="15.75" customHeight="1" s="95">
      <c r="A930" s="1" t="inlineStr">
        <is>
          <t>Tobias Menzies</t>
        </is>
      </c>
      <c r="B930" s="1" t="n">
        <v>2</v>
      </c>
      <c r="C930" s="1" t="n">
        <v>2006</v>
      </c>
      <c r="D930" s="1" t="n">
        <v>2025</v>
      </c>
      <c r="E930" s="4" t="inlineStr">
        <is>
          <t>F1, Casino Royale</t>
        </is>
      </c>
      <c r="F930" s="1" t="inlineStr">
        <is>
          <t>F0098, F0001</t>
        </is>
      </c>
    </row>
    <row r="931" ht="15.75" customHeight="1" s="95">
      <c r="A931" s="1" t="inlineStr">
        <is>
          <t>Toby Kebbell</t>
        </is>
      </c>
      <c r="B931" s="1" t="n">
        <v>3</v>
      </c>
      <c r="C931" s="1" t="n">
        <v>2014</v>
      </c>
      <c r="D931" s="1" t="n">
        <v>2017</v>
      </c>
      <c r="E931" s="4" t="inlineStr">
        <is>
          <t>Dawn of the Planet of the Apes, Kong: Skull Island, War for the Planet of the Apes</t>
        </is>
      </c>
      <c r="F931" s="1" t="inlineStr">
        <is>
          <t>F0254, F0190, F0255</t>
        </is>
      </c>
    </row>
    <row r="932" ht="15.75" customHeight="1" s="95">
      <c r="A932" s="1" t="inlineStr">
        <is>
          <t>Tom Cavanagh</t>
        </is>
      </c>
      <c r="B932" s="1" t="n">
        <v>1</v>
      </c>
      <c r="C932" s="1" t="n">
        <v>2010</v>
      </c>
      <c r="D932" s="1" t="n">
        <v>2010</v>
      </c>
      <c r="E932" s="4" t="inlineStr">
        <is>
          <t>Yogi Bear</t>
        </is>
      </c>
      <c r="F932" s="1" t="inlineStr">
        <is>
          <t>F0348</t>
        </is>
      </c>
    </row>
    <row r="933" ht="15.75" customHeight="1" s="95">
      <c r="A933" s="1" t="inlineStr">
        <is>
          <t>Tom Felton</t>
        </is>
      </c>
      <c r="B933" s="1" t="n">
        <v>9</v>
      </c>
      <c r="C933" s="1" t="n">
        <v>2001</v>
      </c>
      <c r="D933" s="1" t="n">
        <v>2011</v>
      </c>
      <c r="E933" s="4" t="inlineStr">
        <is>
          <t>Harry Potter and the Philosopher's Stone, Harry Potter and the Chamber of Secrets, Harry Potter and the Prisoner of Azkaban, Harry Potter and the Goblet of Fire, Harry Potter and the Order of the Phoenix, Harry Potter and the Half-Blood Prince, Harry Potter and the Deathly Hallows: Part 1, Harry Potter and the Deathly Hallows: Part 2, Rise of the Planet of the Apes</t>
        </is>
      </c>
      <c r="F933" s="1" t="inlineStr">
        <is>
          <t>F0137, F0138, F0139, F0140, F0141, F0142, F0143, F0144, F0253</t>
        </is>
      </c>
    </row>
    <row r="934" ht="15.75" customHeight="1" s="95">
      <c r="A934" s="1" t="inlineStr">
        <is>
          <t>Tom Hiddleston</t>
        </is>
      </c>
      <c r="B934" s="1" t="n">
        <v>5</v>
      </c>
      <c r="C934" s="1" t="n">
        <v>2012</v>
      </c>
      <c r="D934" s="1" t="n">
        <v>2019</v>
      </c>
      <c r="E934" s="4" t="inlineStr">
        <is>
          <t>Kong: Skull Island, The Avengers, Avengers: Infinity War, Avengers: Endgame, Muppets Most Wanted</t>
        </is>
      </c>
      <c r="F934" s="1" t="inlineStr">
        <is>
          <t>F0190, F0029, F0030, F0031, F0232</t>
        </is>
      </c>
    </row>
    <row r="935" ht="15.75" customHeight="1" s="95">
      <c r="A935" s="1" t="inlineStr">
        <is>
          <t>Tom Hughes</t>
        </is>
      </c>
      <c r="B935" s="1" t="n">
        <v>1</v>
      </c>
      <c r="C935" s="1" t="n">
        <v>2010</v>
      </c>
      <c r="D935" s="1" t="n">
        <v>2010</v>
      </c>
      <c r="E935" s="4" t="inlineStr">
        <is>
          <t>Sex &amp; Drugs &amp; Rock &amp; Roll</t>
        </is>
      </c>
      <c r="F935" s="1" t="inlineStr">
        <is>
          <t>F0277</t>
        </is>
      </c>
    </row>
    <row r="936" ht="15.75" customHeight="1" s="95">
      <c r="A936" s="1" t="inlineStr">
        <is>
          <t>Tom Sizemore</t>
        </is>
      </c>
      <c r="B936" s="1" t="n">
        <v>1</v>
      </c>
      <c r="C936" s="1" t="n">
        <v>2001</v>
      </c>
      <c r="D936" s="1" t="n">
        <v>2001</v>
      </c>
      <c r="E936" s="4" t="inlineStr">
        <is>
          <t>Black Hawk Down</t>
        </is>
      </c>
      <c r="F936" s="1" t="inlineStr">
        <is>
          <t>F0050</t>
        </is>
      </c>
    </row>
    <row r="937" ht="15.75" customHeight="1" s="95">
      <c r="A937" s="1" t="inlineStr">
        <is>
          <t>Tom Skerritt</t>
        </is>
      </c>
      <c r="B937" s="1" t="n">
        <v>2</v>
      </c>
      <c r="C937" s="1" t="n">
        <v>1979</v>
      </c>
      <c r="D937" s="1" t="n">
        <v>2012</v>
      </c>
      <c r="E937" s="4" t="inlineStr">
        <is>
          <t>Alien, Ted</t>
        </is>
      </c>
      <c r="F937" s="1" t="inlineStr">
        <is>
          <t>F0015, F0308</t>
        </is>
      </c>
    </row>
    <row r="938" ht="15.75" customHeight="1" s="95">
      <c r="A938" s="1" t="inlineStr">
        <is>
          <t>Tom Wilkinson</t>
        </is>
      </c>
      <c r="B938" s="1" t="n">
        <v>2</v>
      </c>
      <c r="C938" s="1" t="n">
        <v>2005</v>
      </c>
      <c r="D938" s="1" t="n">
        <v>2009</v>
      </c>
      <c r="E938" s="4" t="inlineStr">
        <is>
          <t>44 Inch Chest, Batman Begins</t>
        </is>
      </c>
      <c r="F938" s="1" t="inlineStr">
        <is>
          <t>F0010, F0043</t>
        </is>
      </c>
    </row>
    <row r="939" ht="15.75" customHeight="1" s="95">
      <c r="A939" s="1" t="inlineStr">
        <is>
          <t>Tony Curran</t>
        </is>
      </c>
      <c r="B939" s="1" t="n">
        <v>1</v>
      </c>
      <c r="C939" s="1" t="n">
        <v>2006</v>
      </c>
      <c r="D939" s="1" t="n">
        <v>2006</v>
      </c>
      <c r="E939" s="4" t="inlineStr">
        <is>
          <t>Underworld: Evolution</t>
        </is>
      </c>
      <c r="F939" s="1" t="inlineStr">
        <is>
          <t>F0326</t>
        </is>
      </c>
    </row>
    <row r="940" ht="15.75" customHeight="1" s="95">
      <c r="A940" s="1" t="inlineStr">
        <is>
          <t>Tony Hale</t>
        </is>
      </c>
      <c r="B940" s="1" t="n">
        <v>3</v>
      </c>
      <c r="C940" s="1" t="n">
        <v>2013</v>
      </c>
      <c r="D940" s="1" t="n">
        <v>2019</v>
      </c>
      <c r="E940" s="4" t="inlineStr">
        <is>
          <t>Toy Story 4, The Heat, Transformers: The Last Knight</t>
        </is>
      </c>
      <c r="F940" s="1" t="inlineStr">
        <is>
          <t>F0315, F0146, F0320</t>
        </is>
      </c>
    </row>
    <row r="941" ht="15.75" customHeight="1" s="95">
      <c r="A941" s="1" t="inlineStr">
        <is>
          <t>Tony Todd</t>
        </is>
      </c>
      <c r="B941" s="1" t="n">
        <v>2</v>
      </c>
      <c r="C941" s="1" t="n">
        <v>2009</v>
      </c>
      <c r="D941" s="1" t="n">
        <v>2015</v>
      </c>
      <c r="E941" s="4" t="inlineStr">
        <is>
          <t>Transformers: Revenge of the Fallen, Lego DC Comics Super Heroes: Justice League vs. Bizarro League</t>
        </is>
      </c>
      <c r="F941" s="1" t="inlineStr">
        <is>
          <t>F0317, F0197</t>
        </is>
      </c>
    </row>
    <row r="942" ht="15.75" customHeight="1" s="95">
      <c r="A942" s="1" t="inlineStr">
        <is>
          <t>Topher Grace</t>
        </is>
      </c>
      <c r="B942" s="1" t="n">
        <v>2</v>
      </c>
      <c r="C942" s="1" t="n">
        <v>2007</v>
      </c>
      <c r="D942" s="1" t="n">
        <v>2014</v>
      </c>
      <c r="E942" s="4" t="inlineStr">
        <is>
          <t>Spider-Man 3, Interstellar</t>
        </is>
      </c>
      <c r="F942" s="1" t="inlineStr">
        <is>
          <t>F0289, F0168</t>
        </is>
      </c>
    </row>
    <row r="943" ht="15.75" customHeight="1" s="95">
      <c r="A943" s="1" t="inlineStr">
        <is>
          <t>Tracy Morgan</t>
        </is>
      </c>
      <c r="B943" s="1" t="n">
        <v>3</v>
      </c>
      <c r="C943" s="1" t="n">
        <v>2010</v>
      </c>
      <c r="D943" s="1" t="n">
        <v>2014</v>
      </c>
      <c r="E943" s="4" t="inlineStr">
        <is>
          <t>Cop Out, Rio, Rio 2</t>
        </is>
      </c>
      <c r="F943" s="1" t="inlineStr">
        <is>
          <t>F0069, F0265, F0266</t>
        </is>
      </c>
    </row>
    <row r="944" ht="15.75" customHeight="1" s="95">
      <c r="A944" s="1" t="inlineStr">
        <is>
          <t>Travis Willingham</t>
        </is>
      </c>
      <c r="B944" s="1" t="n">
        <v>1</v>
      </c>
      <c r="C944" s="1" t="n">
        <v>2013</v>
      </c>
      <c r="D944" s="1" t="n">
        <v>2013</v>
      </c>
      <c r="E944" s="4" t="inlineStr">
        <is>
          <t>Lego Batman: The Movie - DC Super Heroes Unite</t>
        </is>
      </c>
      <c r="F944" s="1" t="inlineStr">
        <is>
          <t>F0194</t>
        </is>
      </c>
    </row>
    <row r="945" ht="15.75" customHeight="1" s="95">
      <c r="A945" s="1" t="inlineStr">
        <is>
          <t>Trevor Morgan</t>
        </is>
      </c>
      <c r="B945" s="1" t="n">
        <v>1</v>
      </c>
      <c r="C945" s="1" t="n">
        <v>2001</v>
      </c>
      <c r="D945" s="1" t="n">
        <v>2001</v>
      </c>
      <c r="E945" s="4" t="inlineStr">
        <is>
          <t>Jurassic Park III</t>
        </is>
      </c>
      <c r="F945" s="1" t="inlineStr">
        <is>
          <t>F0178</t>
        </is>
      </c>
    </row>
    <row r="946" ht="15.75" customHeight="1" s="95">
      <c r="A946" s="1" t="inlineStr">
        <is>
          <t>Ty Burrell</t>
        </is>
      </c>
      <c r="B946" s="1" t="n">
        <v>3</v>
      </c>
      <c r="C946" s="1" t="n">
        <v>2007</v>
      </c>
      <c r="D946" s="1" t="n">
        <v>2016</v>
      </c>
      <c r="E946" s="4" t="inlineStr">
        <is>
          <t>Muppets Most Wanted, Finding Dory, National Treasure: Book of Secrets</t>
        </is>
      </c>
      <c r="F946" s="1" t="inlineStr">
        <is>
          <t>F0232, F0113, F0233</t>
        </is>
      </c>
    </row>
    <row r="947" ht="15.75" customHeight="1" s="95">
      <c r="A947" s="1" t="inlineStr">
        <is>
          <t>Ty Simpkins</t>
        </is>
      </c>
      <c r="B947" s="1" t="n">
        <v>3</v>
      </c>
      <c r="C947" s="1" t="n">
        <v>2013</v>
      </c>
      <c r="D947" s="1" t="n">
        <v>2016</v>
      </c>
      <c r="E947" s="4" t="inlineStr">
        <is>
          <t>Jurassic World, Iron Man 3, The Nice Guys</t>
        </is>
      </c>
      <c r="F947" s="1" t="inlineStr">
        <is>
          <t>F0179, F0169, F0235</t>
        </is>
      </c>
    </row>
    <row r="948" ht="15.75" customHeight="1" s="95">
      <c r="A948" s="1" t="inlineStr">
        <is>
          <t>Vanessa Kirby</t>
        </is>
      </c>
      <c r="B948" s="1" t="n">
        <v>3</v>
      </c>
      <c r="C948" s="1" t="n">
        <v>2018</v>
      </c>
      <c r="D948" s="1" t="n">
        <v>2023</v>
      </c>
      <c r="E948" s="4" t="inlineStr">
        <is>
          <t>Fast &amp; Furious Presents: Hobbs &amp; Shaw, Mission: Impossible - Fallout, Mission: Impossible - Dead Reckoning Part One</t>
        </is>
      </c>
      <c r="F948" s="1" t="inlineStr">
        <is>
          <t>F0111, F0226, F0227</t>
        </is>
      </c>
    </row>
    <row r="949" ht="15.75" customHeight="1" s="95">
      <c r="A949" s="1" t="inlineStr">
        <is>
          <t>Veronica Cartwright</t>
        </is>
      </c>
      <c r="B949" s="1" t="n">
        <v>1</v>
      </c>
      <c r="C949" s="1" t="n">
        <v>1979</v>
      </c>
      <c r="D949" s="1" t="n">
        <v>1979</v>
      </c>
      <c r="E949" s="4" t="inlineStr">
        <is>
          <t>Alien</t>
        </is>
      </c>
      <c r="F949" s="1" t="inlineStr">
        <is>
          <t>F0015</t>
        </is>
      </c>
    </row>
    <row r="950" ht="15.75" customHeight="1" s="95">
      <c r="A950" s="1" t="inlineStr">
        <is>
          <t>Vicky McClure</t>
        </is>
      </c>
      <c r="B950" s="1" t="n">
        <v>1</v>
      </c>
      <c r="C950" s="1" t="n">
        <v>2013</v>
      </c>
      <c r="D950" s="1" t="n">
        <v>2013</v>
      </c>
      <c r="E950" s="4" t="inlineStr">
        <is>
          <t>Hummingbird</t>
        </is>
      </c>
      <c r="F950" s="1" t="inlineStr">
        <is>
          <t>F0156</t>
        </is>
      </c>
    </row>
    <row r="951" ht="15.75" customHeight="1" s="95">
      <c r="A951" s="1" t="inlineStr">
        <is>
          <t>Victor Garber</t>
        </is>
      </c>
      <c r="B951" s="1" t="n">
        <v>1</v>
      </c>
      <c r="C951" s="1" t="n">
        <v>2012</v>
      </c>
      <c r="D951" s="1" t="n">
        <v>2012</v>
      </c>
      <c r="E951" s="4" t="inlineStr">
        <is>
          <t>Argo</t>
        </is>
      </c>
      <c r="F951" s="1" t="inlineStr">
        <is>
          <t>F0025</t>
        </is>
      </c>
    </row>
    <row r="952" ht="15.75" customHeight="1" s="95">
      <c r="A952" s="1" t="inlineStr">
        <is>
          <t>Viola Davis</t>
        </is>
      </c>
      <c r="B952" s="1" t="n">
        <v>2</v>
      </c>
      <c r="C952" s="1" t="n">
        <v>2009</v>
      </c>
      <c r="D952" s="1" t="n">
        <v>2013</v>
      </c>
      <c r="E952" s="4" t="inlineStr">
        <is>
          <t>Prisoners, Law Abiding Citizen</t>
        </is>
      </c>
      <c r="F952" s="1" t="inlineStr">
        <is>
          <t>F0258, F0191</t>
        </is>
      </c>
    </row>
    <row r="953" ht="15.75" customHeight="1" s="95">
      <c r="A953" s="1" t="inlineStr">
        <is>
          <t>Virginia Madsen</t>
        </is>
      </c>
      <c r="B953" s="1" t="n">
        <v>1</v>
      </c>
      <c r="C953" s="1" t="n">
        <v>2006</v>
      </c>
      <c r="D953" s="1" t="n">
        <v>2006</v>
      </c>
      <c r="E953" s="4" t="inlineStr">
        <is>
          <t>Firewall</t>
        </is>
      </c>
      <c r="F953" s="1" t="inlineStr">
        <is>
          <t>F0114</t>
        </is>
      </c>
    </row>
    <row r="954" ht="15.75" customHeight="1" s="95">
      <c r="A954" s="1" t="inlineStr">
        <is>
          <t>Viviane Senna</t>
        </is>
      </c>
      <c r="B954" s="1" t="n">
        <v>1</v>
      </c>
      <c r="C954" s="1" t="n">
        <v>2010</v>
      </c>
      <c r="D954" s="1" t="n">
        <v>2010</v>
      </c>
      <c r="E954" s="4" t="inlineStr">
        <is>
          <t>Senna</t>
        </is>
      </c>
      <c r="F954" s="1" t="inlineStr">
        <is>
          <t>F0275</t>
        </is>
      </c>
    </row>
    <row r="955" ht="15.75" customHeight="1" s="95">
      <c r="A955" s="1" t="inlineStr">
        <is>
          <t>Wagner Moura</t>
        </is>
      </c>
      <c r="B955" s="1" t="n">
        <v>1</v>
      </c>
      <c r="C955" s="1" t="n">
        <v>2013</v>
      </c>
      <c r="D955" s="1" t="n">
        <v>2013</v>
      </c>
      <c r="E955" s="4" t="inlineStr">
        <is>
          <t>Elysium</t>
        </is>
      </c>
      <c r="F955" s="1" t="inlineStr">
        <is>
          <t>F0093</t>
        </is>
      </c>
    </row>
    <row r="956" ht="15.75" customHeight="1" s="95">
      <c r="A956" s="1" t="inlineStr">
        <is>
          <t>Walter Catlett</t>
        </is>
      </c>
      <c r="B956" s="1" t="n">
        <v>1</v>
      </c>
      <c r="C956" s="1" t="n">
        <v>1940</v>
      </c>
      <c r="D956" s="1" t="n">
        <v>1940</v>
      </c>
      <c r="E956" s="4" t="inlineStr">
        <is>
          <t>Pinocchio</t>
        </is>
      </c>
      <c r="F956" s="1" t="inlineStr">
        <is>
          <t>F0248</t>
        </is>
      </c>
    </row>
    <row r="957" ht="15.75" customHeight="1" s="95">
      <c r="A957" s="1" t="inlineStr">
        <is>
          <t>Wang ZhenWei</t>
        </is>
      </c>
      <c r="B957" s="1" t="n">
        <v>1</v>
      </c>
      <c r="C957" s="1" t="n">
        <v>2010</v>
      </c>
      <c r="D957" s="1" t="n">
        <v>2010</v>
      </c>
      <c r="E957" s="4" t="inlineStr">
        <is>
          <t>The Karate Kid</t>
        </is>
      </c>
      <c r="F957" s="1" t="inlineStr">
        <is>
          <t>F0184</t>
        </is>
      </c>
    </row>
    <row r="958" ht="15.75" customHeight="1" s="95">
      <c r="A958" s="1" t="inlineStr">
        <is>
          <t>Wendi McLendon-Covey</t>
        </is>
      </c>
      <c r="B958" s="1" t="n">
        <v>1</v>
      </c>
      <c r="C958" s="1" t="n">
        <v>2011</v>
      </c>
      <c r="D958" s="1" t="n">
        <v>2011</v>
      </c>
      <c r="E958" s="4" t="inlineStr">
        <is>
          <t>Bridesmaids</t>
        </is>
      </c>
      <c r="F958" s="1" t="inlineStr">
        <is>
          <t>F0058</t>
        </is>
      </c>
    </row>
    <row r="959" ht="15.75" customHeight="1" s="95">
      <c r="A959" s="1" t="inlineStr">
        <is>
          <t>Wenwen Han</t>
        </is>
      </c>
      <c r="B959" s="1" t="n">
        <v>1</v>
      </c>
      <c r="C959" s="1" t="n">
        <v>2010</v>
      </c>
      <c r="D959" s="1" t="n">
        <v>2010</v>
      </c>
      <c r="E959" s="4" t="inlineStr">
        <is>
          <t>The Karate Kid</t>
        </is>
      </c>
      <c r="F959" s="1" t="inlineStr">
        <is>
          <t>F0184</t>
        </is>
      </c>
    </row>
    <row r="960" ht="15.75" customHeight="1" s="95">
      <c r="A960" s="1" t="inlineStr">
        <is>
          <t>Will Forte</t>
        </is>
      </c>
      <c r="B960" s="1" t="n">
        <v>3</v>
      </c>
      <c r="C960" s="1" t="n">
        <v>2013</v>
      </c>
      <c r="D960" s="1" t="n">
        <v>2019</v>
      </c>
      <c r="E960" s="4" t="inlineStr">
        <is>
          <t>Cloudy with a Chance of Meatballs 2, The Lego Movie, The Lego Movie 2: The Second Part</t>
        </is>
      </c>
      <c r="F960" s="1" t="inlineStr">
        <is>
          <t>F0067, F0195, F0196</t>
        </is>
      </c>
    </row>
    <row r="961" ht="15.75" customHeight="1" s="95">
      <c r="A961" s="1" t="inlineStr">
        <is>
          <t>Will Friedle</t>
        </is>
      </c>
      <c r="B961" s="1" t="n">
        <v>1</v>
      </c>
      <c r="C961" s="1" t="n">
        <v>2016</v>
      </c>
      <c r="D961" s="1" t="n">
        <v>2016</v>
      </c>
      <c r="E961" s="4" t="inlineStr">
        <is>
          <t>Lego DC Comics Super Heroes: Justice League - Gotham City Breakout</t>
        </is>
      </c>
      <c r="F961" s="1" t="inlineStr">
        <is>
          <t>F0198</t>
        </is>
      </c>
    </row>
    <row r="962" ht="15.75" customHeight="1" s="95">
      <c r="A962" s="1" t="inlineStr">
        <is>
          <t>Will Rothhaar</t>
        </is>
      </c>
      <c r="B962" s="1" t="n">
        <v>1</v>
      </c>
      <c r="C962" s="1" t="n">
        <v>2011</v>
      </c>
      <c r="D962" s="1" t="n">
        <v>2011</v>
      </c>
      <c r="E962" s="4" t="inlineStr">
        <is>
          <t>Battle: Los Angeles</t>
        </is>
      </c>
      <c r="F962" s="1" t="inlineStr">
        <is>
          <t>F0046</t>
        </is>
      </c>
    </row>
    <row r="963" ht="15.75" customHeight="1" s="95">
      <c r="A963" s="1" t="inlineStr">
        <is>
          <t>Willem Dafoe</t>
        </is>
      </c>
      <c r="B963" s="1" t="n">
        <v>4</v>
      </c>
      <c r="C963" s="1" t="n">
        <v>2002</v>
      </c>
      <c r="D963" s="1" t="n">
        <v>2016</v>
      </c>
      <c r="E963" s="4" t="inlineStr">
        <is>
          <t>Spider-Man, Finding Dory, Spider-Man 2, Spider-Man 3</t>
        </is>
      </c>
      <c r="F963" s="1" t="inlineStr">
        <is>
          <t>F0287, F0113, F0288, F0289</t>
        </is>
      </c>
    </row>
    <row r="964" ht="15.75" customHeight="1" s="95">
      <c r="A964" s="1" t="inlineStr">
        <is>
          <t>William Fichtner</t>
        </is>
      </c>
      <c r="B964" s="1" t="n">
        <v>5</v>
      </c>
      <c r="C964" s="1" t="n">
        <v>2001</v>
      </c>
      <c r="D964" s="1" t="n">
        <v>2014</v>
      </c>
      <c r="E964" s="4" t="inlineStr">
        <is>
          <t>Black Hawk Down, The Dark Knight, Elysium, Pearl Harbor, Teenage Mutant Ninja Turtles</t>
        </is>
      </c>
      <c r="F964" s="1" t="inlineStr">
        <is>
          <t>F0050, F0044, F0093, F0246, F0309</t>
        </is>
      </c>
    </row>
    <row r="965" ht="15.75" customHeight="1" s="95">
      <c r="A965" s="1" t="inlineStr">
        <is>
          <t>William Hurt</t>
        </is>
      </c>
      <c r="B965" s="1" t="n">
        <v>2</v>
      </c>
      <c r="C965" s="1" t="n">
        <v>2010</v>
      </c>
      <c r="D965" s="1" t="n">
        <v>2018</v>
      </c>
      <c r="E965" s="4" t="inlineStr">
        <is>
          <t>Robin Hood, Avengers: Infinity War</t>
        </is>
      </c>
      <c r="F965" s="1" t="inlineStr">
        <is>
          <t>F0267, F0030</t>
        </is>
      </c>
    </row>
    <row r="966" ht="15.75" customHeight="1" s="95">
      <c r="A966" s="1" t="inlineStr">
        <is>
          <t>Winona Ryder</t>
        </is>
      </c>
      <c r="B966" s="1" t="n">
        <v>2</v>
      </c>
      <c r="C966" s="1" t="n">
        <v>1997</v>
      </c>
      <c r="D966" s="1" t="n">
        <v>2009</v>
      </c>
      <c r="E966" s="4" t="inlineStr">
        <is>
          <t>Alien Resurrection, Star Trek</t>
        </is>
      </c>
      <c r="F966" s="1" t="inlineStr">
        <is>
          <t>F0018, F0291</t>
        </is>
      </c>
    </row>
    <row r="967" ht="15.75" customHeight="1" s="95">
      <c r="A967" s="1" t="inlineStr">
        <is>
          <t>Wyatt Russell</t>
        </is>
      </c>
      <c r="B967" s="1" t="n">
        <v>2</v>
      </c>
      <c r="C967" s="1" t="n">
        <v>2011</v>
      </c>
      <c r="D967" s="1" t="n">
        <v>2014</v>
      </c>
      <c r="E967" s="4" t="inlineStr">
        <is>
          <t>22 Jump Street, Cowboys &amp; Aliens</t>
        </is>
      </c>
      <c r="F967" s="1" t="inlineStr">
        <is>
          <t>F0008, F0073</t>
        </is>
      </c>
    </row>
    <row r="968" ht="15.75" customHeight="1" s="95">
      <c r="A968" s="1" t="inlineStr">
        <is>
          <t>Yvan Attal</t>
        </is>
      </c>
      <c r="B968" s="1" t="n">
        <v>1</v>
      </c>
      <c r="C968" s="1" t="n">
        <v>2007</v>
      </c>
      <c r="D968" s="1" t="n">
        <v>2007</v>
      </c>
      <c r="E968" s="4" t="inlineStr">
        <is>
          <t>Rush Hour 3</t>
        </is>
      </c>
      <c r="F968" s="1" t="inlineStr">
        <is>
          <t>F0271</t>
        </is>
      </c>
    </row>
    <row r="969" ht="15.75" customHeight="1" s="95">
      <c r="A969" s="1" t="inlineStr">
        <is>
          <t>Yvonne Strahovski</t>
        </is>
      </c>
      <c r="B969" s="1" t="n">
        <v>2</v>
      </c>
      <c r="C969" s="1" t="n">
        <v>2014</v>
      </c>
      <c r="D969" s="1" t="n">
        <v>2014</v>
      </c>
      <c r="E969" s="4" t="inlineStr">
        <is>
          <t>I, Frankenstein, I, Frankenstein</t>
        </is>
      </c>
      <c r="F969" s="1" t="inlineStr">
        <is>
          <t>F0159</t>
        </is>
      </c>
    </row>
    <row r="970" ht="15.75" customHeight="1" s="95">
      <c r="A970" s="1" t="inlineStr">
        <is>
          <t>Zachary Quinto</t>
        </is>
      </c>
      <c r="B970" s="1" t="n">
        <v>1</v>
      </c>
      <c r="C970" s="1" t="n">
        <v>2009</v>
      </c>
      <c r="D970" s="1" t="n">
        <v>2009</v>
      </c>
      <c r="E970" s="4" t="inlineStr">
        <is>
          <t>Star Trek</t>
        </is>
      </c>
      <c r="F970" s="1" t="inlineStr">
        <is>
          <t>F0291</t>
        </is>
      </c>
    </row>
    <row r="971" ht="15.75" customHeight="1" s="95">
      <c r="A971" s="1" t="inlineStr">
        <is>
          <t>Zazie Beetz</t>
        </is>
      </c>
      <c r="B971" s="1" t="n">
        <v>1</v>
      </c>
      <c r="C971" s="1" t="n">
        <v>2018</v>
      </c>
      <c r="D971" s="1" t="n">
        <v>2018</v>
      </c>
      <c r="E971" s="4" t="inlineStr">
        <is>
          <t>Deadpool 2</t>
        </is>
      </c>
      <c r="F971" s="1" t="inlineStr">
        <is>
          <t>F0077</t>
        </is>
      </c>
    </row>
    <row r="972" ht="15.75" customHeight="1" s="95">
      <c r="A972" s="1" t="inlineStr">
        <is>
          <t>Zendaya</t>
        </is>
      </c>
      <c r="B972" s="1" t="n">
        <v>1</v>
      </c>
      <c r="C972" s="1" t="n">
        <v>2017</v>
      </c>
      <c r="D972" s="1" t="n">
        <v>2017</v>
      </c>
      <c r="E972" s="4" t="inlineStr">
        <is>
          <t>The Greatest Showman</t>
        </is>
      </c>
      <c r="F972" s="1" t="inlineStr">
        <is>
          <t>F0127</t>
        </is>
      </c>
    </row>
    <row r="973" ht="15.75" customHeight="1" s="95">
      <c r="A973" s="1" t="inlineStr">
        <is>
          <t>Zhang Ziyi</t>
        </is>
      </c>
      <c r="B973" s="1" t="n">
        <v>1</v>
      </c>
      <c r="C973" s="1" t="n">
        <v>2019</v>
      </c>
      <c r="D973" s="1" t="n">
        <v>2019</v>
      </c>
      <c r="E973" s="4" t="inlineStr">
        <is>
          <t>Godzilla: King of the Monsters</t>
        </is>
      </c>
      <c r="F973" s="1" t="inlineStr">
        <is>
          <t>F0122</t>
        </is>
      </c>
    </row>
    <row r="974" ht="15.75" customHeight="1" s="95">
      <c r="A974" s="1" t="inlineStr">
        <is>
          <t>Zoe Saldaña</t>
        </is>
      </c>
      <c r="B974" s="1" t="n">
        <v>4</v>
      </c>
      <c r="C974" s="1" t="n">
        <v>2009</v>
      </c>
      <c r="D974" s="1" t="n">
        <v>2019</v>
      </c>
      <c r="E974" s="4" t="inlineStr">
        <is>
          <t>Avatar, Avengers: Infinity War, Avengers: Endgame, Star Trek</t>
        </is>
      </c>
      <c r="F974" s="1" t="inlineStr">
        <is>
          <t>F0028, F0030, F0031, F0291</t>
        </is>
      </c>
    </row>
    <row r="975" ht="15.75" customHeight="1" s="95">
      <c r="A975" s="47" t="inlineStr">
        <is>
          <t>Zoey Deutch</t>
        </is>
      </c>
      <c r="B975" s="47" t="n">
        <v>1</v>
      </c>
      <c r="C975" s="47" t="n">
        <v>2016</v>
      </c>
      <c r="D975" s="47" t="n">
        <v>2016</v>
      </c>
      <c r="E975" s="54" t="inlineStr">
        <is>
          <t>Dirty Grandpa</t>
        </is>
      </c>
      <c r="F975" s="47" t="inlineStr">
        <is>
          <t>F0087</t>
        </is>
      </c>
    </row>
    <row r="976" ht="15.75" customHeight="1" s="95">
      <c r="A976" t="inlineStr">
        <is>
          <t>Jason Lee</t>
        </is>
      </c>
      <c r="B976" t="n">
        <v>3</v>
      </c>
      <c r="C976" t="n">
        <v>1998</v>
      </c>
      <c r="D976" t="n">
        <v>2010</v>
      </c>
      <c r="E976" t="inlineStr">
        <is>
          <t>Dogma, Cop Out, Enemy of the State</t>
        </is>
      </c>
      <c r="F976" t="inlineStr">
        <is>
          <t>F0351, F0069, F0094</t>
        </is>
      </c>
    </row>
    <row r="977" ht="15.75" customHeight="1" s="95">
      <c r="A977" t="inlineStr">
        <is>
          <t>Caterina Murino</t>
        </is>
      </c>
      <c r="B977" t="n">
        <v>1</v>
      </c>
      <c r="C977" t="n">
        <v>2006</v>
      </c>
      <c r="D977" t="n">
        <v>2006</v>
      </c>
      <c r="E977" t="inlineStr">
        <is>
          <t>Casino Royale</t>
        </is>
      </c>
      <c r="F977" t="inlineStr">
        <is>
          <t>F0001</t>
        </is>
      </c>
    </row>
    <row r="978" ht="15.75" customHeight="1" s="95">
      <c r="A978" t="inlineStr">
        <is>
          <t>Simon Abkarian</t>
        </is>
      </c>
      <c r="B978" t="n">
        <v>1</v>
      </c>
      <c r="C978" t="n">
        <v>2006</v>
      </c>
      <c r="D978" t="n">
        <v>2006</v>
      </c>
      <c r="E978" t="inlineStr">
        <is>
          <t>Casino Royale</t>
        </is>
      </c>
      <c r="F978" t="inlineStr">
        <is>
          <t>F0001</t>
        </is>
      </c>
    </row>
    <row r="979" ht="15.75" customHeight="1" s="95">
      <c r="A979" t="inlineStr">
        <is>
          <t>Isaach de Bankolé</t>
        </is>
      </c>
      <c r="B979" t="n">
        <v>1</v>
      </c>
      <c r="C979" t="n">
        <v>2006</v>
      </c>
      <c r="D979" t="n">
        <v>2006</v>
      </c>
      <c r="E979" t="inlineStr">
        <is>
          <t>Casino Royale</t>
        </is>
      </c>
      <c r="F979" t="inlineStr">
        <is>
          <t>F0001</t>
        </is>
      </c>
    </row>
    <row r="980" ht="15.75" customHeight="1" s="95">
      <c r="A980" t="inlineStr">
        <is>
          <t>Jesper Christensen</t>
        </is>
      </c>
      <c r="B980" t="n">
        <v>3</v>
      </c>
      <c r="C980" t="n">
        <v>2006</v>
      </c>
      <c r="D980" t="n">
        <v>2015</v>
      </c>
      <c r="E980" t="inlineStr">
        <is>
          <t>Casino Royale, Quantum of Solace, Spectre</t>
        </is>
      </c>
      <c r="F980" t="inlineStr">
        <is>
          <t>F0001, F0002, F0004</t>
        </is>
      </c>
    </row>
    <row r="981" ht="15.75" customHeight="1" s="95">
      <c r="A981" t="inlineStr">
        <is>
          <t>Ivana Miličević</t>
        </is>
      </c>
      <c r="B981" t="n">
        <v>1</v>
      </c>
      <c r="C981" t="n">
        <v>2006</v>
      </c>
      <c r="D981" t="n">
        <v>2006</v>
      </c>
      <c r="E981" t="inlineStr">
        <is>
          <t>Casino Royale</t>
        </is>
      </c>
      <c r="F981" t="inlineStr">
        <is>
          <t>F0001</t>
        </is>
      </c>
    </row>
    <row r="982" ht="15.75" customHeight="1" s="95">
      <c r="A982" t="inlineStr">
        <is>
          <t>Claudio Santamaria</t>
        </is>
      </c>
      <c r="B982" t="n">
        <v>1</v>
      </c>
      <c r="C982" t="n">
        <v>2006</v>
      </c>
      <c r="D982" t="n">
        <v>2006</v>
      </c>
      <c r="E982" t="inlineStr">
        <is>
          <t>Casino Royale</t>
        </is>
      </c>
      <c r="F982" t="inlineStr">
        <is>
          <t>F0001</t>
        </is>
      </c>
    </row>
    <row r="983" ht="15.75" customHeight="1" s="95">
      <c r="A983" t="inlineStr">
        <is>
          <t>Sébastien Foucan</t>
        </is>
      </c>
      <c r="B983" t="n">
        <v>1</v>
      </c>
      <c r="C983" t="n">
        <v>2006</v>
      </c>
      <c r="D983" t="n">
        <v>2006</v>
      </c>
      <c r="E983" t="inlineStr">
        <is>
          <t>Casino Royale</t>
        </is>
      </c>
      <c r="F983" t="inlineStr">
        <is>
          <t>F0001</t>
        </is>
      </c>
    </row>
    <row r="984" ht="15.75" customHeight="1" s="95">
      <c r="A984" t="inlineStr">
        <is>
          <t>Malcolm Sinclair</t>
        </is>
      </c>
      <c r="B984" t="n">
        <v>1</v>
      </c>
      <c r="C984" t="n">
        <v>2006</v>
      </c>
      <c r="D984" t="n">
        <v>2006</v>
      </c>
      <c r="E984" t="inlineStr">
        <is>
          <t>Casino Royale</t>
        </is>
      </c>
      <c r="F984" t="inlineStr">
        <is>
          <t>F0001</t>
        </is>
      </c>
    </row>
    <row r="985" ht="15.75" customHeight="1" s="95">
      <c r="A985" t="inlineStr">
        <is>
          <t>Richard Sammel</t>
        </is>
      </c>
      <c r="B985" t="n">
        <v>2</v>
      </c>
      <c r="C985" t="n">
        <v>2006</v>
      </c>
      <c r="D985" t="n">
        <v>2009</v>
      </c>
      <c r="E985" t="inlineStr">
        <is>
          <t>Casino Royale, Inglourious Basterds</t>
        </is>
      </c>
      <c r="F985" t="inlineStr">
        <is>
          <t>F0001, F0166</t>
        </is>
      </c>
    </row>
    <row r="986" ht="15.75" customHeight="1" s="95">
      <c r="A986" t="inlineStr">
        <is>
          <t>Ludger Pistor</t>
        </is>
      </c>
      <c r="B986" t="n">
        <v>2</v>
      </c>
      <c r="C986" t="n">
        <v>2006</v>
      </c>
      <c r="D986" t="n">
        <v>2011</v>
      </c>
      <c r="E986" t="inlineStr">
        <is>
          <t>Casino Royale, X-Men: First Class</t>
        </is>
      </c>
      <c r="F986" t="inlineStr">
        <is>
          <t>F0001, F0340</t>
        </is>
      </c>
    </row>
    <row r="987" ht="15.75" customHeight="1" s="95">
      <c r="A987" t="inlineStr">
        <is>
          <t>Joseph Millson</t>
        </is>
      </c>
      <c r="B987" t="n">
        <v>1</v>
      </c>
      <c r="C987" t="n">
        <v>2006</v>
      </c>
      <c r="D987" t="n">
        <v>2006</v>
      </c>
      <c r="E987" t="inlineStr">
        <is>
          <t>Casino Royale</t>
        </is>
      </c>
      <c r="F987" t="inlineStr">
        <is>
          <t>F0001</t>
        </is>
      </c>
    </row>
    <row r="988" ht="15.75" customHeight="1" s="95">
      <c r="A988" t="inlineStr">
        <is>
          <t>Darwin Shaw</t>
        </is>
      </c>
      <c r="B988" t="n">
        <v>1</v>
      </c>
      <c r="C988" t="n">
        <v>2006</v>
      </c>
      <c r="D988" t="n">
        <v>2006</v>
      </c>
      <c r="E988" t="inlineStr">
        <is>
          <t>Casino Royale</t>
        </is>
      </c>
      <c r="F988" t="inlineStr">
        <is>
          <t>F0001</t>
        </is>
      </c>
    </row>
    <row r="989" ht="15.75" customHeight="1" s="95">
      <c r="A989" t="inlineStr">
        <is>
          <t>Clemens Schick</t>
        </is>
      </c>
      <c r="B989" t="n">
        <v>1</v>
      </c>
      <c r="C989" t="n">
        <v>2006</v>
      </c>
      <c r="D989" t="n">
        <v>2006</v>
      </c>
      <c r="E989" t="inlineStr">
        <is>
          <t>Casino Royale</t>
        </is>
      </c>
      <c r="F989" t="inlineStr">
        <is>
          <t>F0001</t>
        </is>
      </c>
    </row>
    <row r="990" ht="15.75" customHeight="1" s="95">
      <c r="A990" t="inlineStr">
        <is>
          <t>Emmanuel Avena</t>
        </is>
      </c>
      <c r="B990" t="n">
        <v>1</v>
      </c>
      <c r="C990" t="n">
        <v>2006</v>
      </c>
      <c r="D990" t="n">
        <v>2006</v>
      </c>
      <c r="E990" t="inlineStr">
        <is>
          <t>Casino Royale</t>
        </is>
      </c>
      <c r="F990" t="inlineStr">
        <is>
          <t>F0001</t>
        </is>
      </c>
    </row>
    <row r="991" ht="15.75" customHeight="1" s="95">
      <c r="A991" t="inlineStr">
        <is>
          <t>Tom Chadbon</t>
        </is>
      </c>
      <c r="B991" t="n">
        <v>1</v>
      </c>
      <c r="C991" t="n">
        <v>2006</v>
      </c>
      <c r="D991" t="n">
        <v>2006</v>
      </c>
      <c r="E991" t="inlineStr">
        <is>
          <t>Casino Royale</t>
        </is>
      </c>
      <c r="F991" t="inlineStr">
        <is>
          <t>F0001</t>
        </is>
      </c>
    </row>
    <row r="992" ht="15.75" customHeight="1" s="95">
      <c r="A992" t="inlineStr">
        <is>
          <t>Ade</t>
        </is>
      </c>
      <c r="B992" t="n">
        <v>1</v>
      </c>
      <c r="C992" t="n">
        <v>2006</v>
      </c>
      <c r="D992" t="n">
        <v>2006</v>
      </c>
      <c r="E992" t="inlineStr">
        <is>
          <t>Casino Royale</t>
        </is>
      </c>
      <c r="F992" t="inlineStr">
        <is>
          <t>F0001</t>
        </is>
      </c>
    </row>
    <row r="993" ht="15.75" customHeight="1" s="95">
      <c r="A993" t="inlineStr">
        <is>
          <t>Urbano Barberini</t>
        </is>
      </c>
      <c r="B993" t="n">
        <v>1</v>
      </c>
      <c r="C993" t="n">
        <v>2006</v>
      </c>
      <c r="D993" t="n">
        <v>2006</v>
      </c>
      <c r="E993" t="inlineStr">
        <is>
          <t>Casino Royale</t>
        </is>
      </c>
      <c r="F993" t="inlineStr">
        <is>
          <t>F0001</t>
        </is>
      </c>
    </row>
    <row r="994" ht="15.75" customHeight="1" s="95">
      <c r="A994" t="inlineStr">
        <is>
          <t>Tsai Chin</t>
        </is>
      </c>
      <c r="B994" t="n">
        <v>1</v>
      </c>
      <c r="C994" t="n">
        <v>2006</v>
      </c>
      <c r="D994" t="n">
        <v>2006</v>
      </c>
      <c r="E994" t="inlineStr">
        <is>
          <t>Casino Royale</t>
        </is>
      </c>
      <c r="F994" t="inlineStr">
        <is>
          <t>F0001</t>
        </is>
      </c>
    </row>
    <row r="995" ht="15.75" customHeight="1" s="95">
      <c r="A995" t="inlineStr">
        <is>
          <t>Charlie Levi Leroy</t>
        </is>
      </c>
      <c r="B995" t="n">
        <v>1</v>
      </c>
      <c r="C995" t="n">
        <v>2006</v>
      </c>
      <c r="D995" t="n">
        <v>2006</v>
      </c>
      <c r="E995" t="inlineStr">
        <is>
          <t>Casino Royale</t>
        </is>
      </c>
      <c r="F995" t="inlineStr">
        <is>
          <t>F0001</t>
        </is>
      </c>
    </row>
    <row r="996" ht="15.75" customHeight="1" s="95">
      <c r="A996" t="inlineStr">
        <is>
          <t>Lazar Ristovski</t>
        </is>
      </c>
      <c r="B996" t="n">
        <v>1</v>
      </c>
      <c r="C996" t="n">
        <v>2006</v>
      </c>
      <c r="D996" t="n">
        <v>2006</v>
      </c>
      <c r="E996" t="inlineStr">
        <is>
          <t>Casino Royale</t>
        </is>
      </c>
      <c r="F996" t="inlineStr">
        <is>
          <t>F0001</t>
        </is>
      </c>
    </row>
    <row r="997" ht="15.75" customHeight="1" s="95">
      <c r="A997" t="inlineStr">
        <is>
          <t>Tom So</t>
        </is>
      </c>
      <c r="B997" t="n">
        <v>1</v>
      </c>
      <c r="C997" t="n">
        <v>2006</v>
      </c>
      <c r="D997" t="n">
        <v>2006</v>
      </c>
      <c r="E997" t="inlineStr">
        <is>
          <t>Casino Royale</t>
        </is>
      </c>
      <c r="F997" t="inlineStr">
        <is>
          <t>F0001</t>
        </is>
      </c>
    </row>
    <row r="998" ht="15.75" customHeight="1" s="95">
      <c r="A998" t="inlineStr">
        <is>
          <t>Veruschka von Lehndorff</t>
        </is>
      </c>
      <c r="B998" t="n">
        <v>1</v>
      </c>
      <c r="C998" t="n">
        <v>2006</v>
      </c>
      <c r="D998" t="n">
        <v>2006</v>
      </c>
      <c r="E998" t="inlineStr">
        <is>
          <t>Casino Royale</t>
        </is>
      </c>
      <c r="F998" t="inlineStr">
        <is>
          <t>F0001</t>
        </is>
      </c>
    </row>
    <row r="999" ht="15.75" customHeight="1" s="95">
      <c r="A999" t="inlineStr">
        <is>
          <t>Andreas Daniel</t>
        </is>
      </c>
      <c r="B999" t="n">
        <v>1</v>
      </c>
      <c r="C999" t="n">
        <v>2006</v>
      </c>
      <c r="D999" t="n">
        <v>2006</v>
      </c>
      <c r="E999" t="inlineStr">
        <is>
          <t>Casino Royale</t>
        </is>
      </c>
      <c r="F999" t="inlineStr">
        <is>
          <t>F0001</t>
        </is>
      </c>
    </row>
    <row r="1000" ht="15.75" customHeight="1" s="95">
      <c r="A1000" t="inlineStr">
        <is>
          <t>David Harbour</t>
        </is>
      </c>
      <c r="B1000" t="n">
        <v>2</v>
      </c>
      <c r="C1000" t="n">
        <v>2005</v>
      </c>
      <c r="D1000" t="n">
        <v>2008</v>
      </c>
      <c r="E1000" t="inlineStr">
        <is>
          <t>Quantum of Solace, War of the Worlds</t>
        </is>
      </c>
      <c r="F1000" t="inlineStr">
        <is>
          <t>F0002, F0332</t>
        </is>
      </c>
    </row>
    <row r="1001">
      <c r="A1001" t="inlineStr">
        <is>
          <t>Anatole Taubman</t>
        </is>
      </c>
      <c r="B1001" t="n">
        <v>3</v>
      </c>
      <c r="C1001" t="n">
        <v>2008</v>
      </c>
      <c r="D1001" t="n">
        <v>2015</v>
      </c>
      <c r="E1001" t="inlineStr">
        <is>
          <t>Quantum of Solace, Taken, The Transporter Refueled</t>
        </is>
      </c>
      <c r="F1001" t="inlineStr">
        <is>
          <t>F0002, F0306, F0323</t>
        </is>
      </c>
    </row>
    <row r="1002">
      <c r="A1002" t="inlineStr">
        <is>
          <t>Tim Pigott-Smith</t>
        </is>
      </c>
      <c r="B1002" t="n">
        <v>1</v>
      </c>
      <c r="C1002" t="n">
        <v>2008</v>
      </c>
      <c r="D1002" t="n">
        <v>2008</v>
      </c>
      <c r="E1002" t="inlineStr">
        <is>
          <t>Quantum of Solace</t>
        </is>
      </c>
      <c r="F1002" t="inlineStr">
        <is>
          <t>F0002</t>
        </is>
      </c>
    </row>
    <row r="1003">
      <c r="A1003" t="inlineStr">
        <is>
          <t>Joaquín Cosío</t>
        </is>
      </c>
      <c r="B1003" t="n">
        <v>1</v>
      </c>
      <c r="C1003" t="n">
        <v>2008</v>
      </c>
      <c r="D1003" t="n">
        <v>2008</v>
      </c>
      <c r="E1003" t="inlineStr">
        <is>
          <t>Quantum of Solace</t>
        </is>
      </c>
      <c r="F1003" t="inlineStr">
        <is>
          <t>F0002</t>
        </is>
      </c>
    </row>
    <row r="1004">
      <c r="A1004" t="inlineStr">
        <is>
          <t>Fernando Guillén Cuervo</t>
        </is>
      </c>
      <c r="B1004" t="n">
        <v>1</v>
      </c>
      <c r="C1004" t="n">
        <v>2008</v>
      </c>
      <c r="D1004" t="n">
        <v>2008</v>
      </c>
      <c r="E1004" t="inlineStr">
        <is>
          <t>Quantum of Solace</t>
        </is>
      </c>
      <c r="F1004" t="inlineStr">
        <is>
          <t>F0002</t>
        </is>
      </c>
    </row>
    <row r="1005">
      <c r="A1005" t="inlineStr">
        <is>
          <t>Jesús Ochoa</t>
        </is>
      </c>
      <c r="B1005" t="n">
        <v>1</v>
      </c>
      <c r="C1005" t="n">
        <v>2008</v>
      </c>
      <c r="D1005" t="n">
        <v>2008</v>
      </c>
      <c r="E1005" t="inlineStr">
        <is>
          <t>Quantum of Solace</t>
        </is>
      </c>
      <c r="F1005" t="inlineStr">
        <is>
          <t>F0002</t>
        </is>
      </c>
    </row>
    <row r="1006">
      <c r="A1006" t="inlineStr">
        <is>
          <t>Lucrezia Lante della Rovere</t>
        </is>
      </c>
      <c r="B1006" t="n">
        <v>1</v>
      </c>
      <c r="C1006" t="n">
        <v>2008</v>
      </c>
      <c r="D1006" t="n">
        <v>2008</v>
      </c>
      <c r="E1006" t="inlineStr">
        <is>
          <t>Quantum of Solace</t>
        </is>
      </c>
      <c r="F1006" t="inlineStr">
        <is>
          <t>F0002</t>
        </is>
      </c>
    </row>
    <row r="1007">
      <c r="A1007" t="inlineStr">
        <is>
          <t>Glenn Foster</t>
        </is>
      </c>
      <c r="B1007" t="n">
        <v>2</v>
      </c>
      <c r="C1007" t="n">
        <v>2008</v>
      </c>
      <c r="D1007" t="n">
        <v>2013</v>
      </c>
      <c r="E1007" t="inlineStr">
        <is>
          <t>Quantum of Solace, Iron Man 3</t>
        </is>
      </c>
      <c r="F1007" t="inlineStr">
        <is>
          <t>F0002, F0169</t>
        </is>
      </c>
    </row>
    <row r="1008">
      <c r="A1008" t="inlineStr">
        <is>
          <t>Paul Ritter</t>
        </is>
      </c>
      <c r="B1008" t="n">
        <v>1</v>
      </c>
      <c r="C1008" t="n">
        <v>2008</v>
      </c>
      <c r="D1008" t="n">
        <v>2008</v>
      </c>
      <c r="E1008" t="inlineStr">
        <is>
          <t>Quantum of Solace</t>
        </is>
      </c>
      <c r="F1008" t="inlineStr">
        <is>
          <t>F0002</t>
        </is>
      </c>
    </row>
    <row r="1009">
      <c r="A1009" t="inlineStr">
        <is>
          <t>Simon Kassianides</t>
        </is>
      </c>
      <c r="B1009" t="n">
        <v>2</v>
      </c>
      <c r="C1009" t="n">
        <v>2008</v>
      </c>
      <c r="D1009" t="n">
        <v>2014</v>
      </c>
      <c r="E1009" t="inlineStr">
        <is>
          <t>Quantum of Solace, How to Train Your Dragon 2</t>
        </is>
      </c>
      <c r="F1009" t="inlineStr">
        <is>
          <t>F0002, F0155</t>
        </is>
      </c>
    </row>
    <row r="1010">
      <c r="A1010" t="inlineStr">
        <is>
          <t>Stana Katic</t>
        </is>
      </c>
      <c r="B1010" t="n">
        <v>1</v>
      </c>
      <c r="C1010" t="n">
        <v>2008</v>
      </c>
      <c r="D1010" t="n">
        <v>2008</v>
      </c>
      <c r="E1010" t="inlineStr">
        <is>
          <t>Quantum of Solace</t>
        </is>
      </c>
      <c r="F1010" t="inlineStr">
        <is>
          <t>F0002</t>
        </is>
      </c>
    </row>
    <row r="1011">
      <c r="A1011" t="inlineStr">
        <is>
          <t>Neil Jackson</t>
        </is>
      </c>
      <c r="B1011" t="n">
        <v>1</v>
      </c>
      <c r="C1011" t="n">
        <v>2008</v>
      </c>
      <c r="D1011" t="n">
        <v>2008</v>
      </c>
      <c r="E1011" t="inlineStr">
        <is>
          <t>Quantum of Solace</t>
        </is>
      </c>
      <c r="F1011" t="inlineStr">
        <is>
          <t>F0002</t>
        </is>
      </c>
    </row>
    <row r="1012">
      <c r="A1012" t="inlineStr">
        <is>
          <t>Oona Chaplin</t>
        </is>
      </c>
      <c r="B1012" t="n">
        <v>1</v>
      </c>
      <c r="C1012" t="n">
        <v>2008</v>
      </c>
      <c r="D1012" t="n">
        <v>2008</v>
      </c>
      <c r="E1012" t="inlineStr">
        <is>
          <t>Quantum of Solace</t>
        </is>
      </c>
      <c r="F1012" t="inlineStr">
        <is>
          <t>F0002</t>
        </is>
      </c>
    </row>
    <row r="1013">
      <c r="A1013" t="inlineStr">
        <is>
          <t>Brendan O'Hea</t>
        </is>
      </c>
      <c r="B1013" t="n">
        <v>1</v>
      </c>
      <c r="C1013" t="n">
        <v>2008</v>
      </c>
      <c r="D1013" t="n">
        <v>2008</v>
      </c>
      <c r="E1013" t="inlineStr">
        <is>
          <t>Quantum of Solace</t>
        </is>
      </c>
      <c r="F1013" t="inlineStr">
        <is>
          <t>F0002</t>
        </is>
      </c>
    </row>
    <row r="1014">
      <c r="A1014" t="inlineStr">
        <is>
          <t>Rufus Wright</t>
        </is>
      </c>
      <c r="B1014" t="n">
        <v>1</v>
      </c>
      <c r="C1014" t="n">
        <v>2008</v>
      </c>
      <c r="D1014" t="n">
        <v>2008</v>
      </c>
      <c r="E1014" t="inlineStr">
        <is>
          <t>Quantum of Solace</t>
        </is>
      </c>
      <c r="F1014" t="inlineStr">
        <is>
          <t>F0002</t>
        </is>
      </c>
    </row>
    <row r="1015">
      <c r="A1015" t="inlineStr">
        <is>
          <t>Kari Patrice Coley</t>
        </is>
      </c>
      <c r="B1015" t="n">
        <v>1</v>
      </c>
      <c r="C1015" t="n">
        <v>2008</v>
      </c>
      <c r="D1015" t="n">
        <v>2008</v>
      </c>
      <c r="E1015" t="inlineStr">
        <is>
          <t>Quantum of Solace</t>
        </is>
      </c>
      <c r="F1015" t="inlineStr">
        <is>
          <t>F0002</t>
        </is>
      </c>
    </row>
    <row r="1016">
      <c r="A1016" t="inlineStr">
        <is>
          <t>Sarah Hadland</t>
        </is>
      </c>
      <c r="B1016" t="n">
        <v>1</v>
      </c>
      <c r="C1016" t="n">
        <v>2008</v>
      </c>
      <c r="D1016" t="n">
        <v>2008</v>
      </c>
      <c r="E1016" t="inlineStr">
        <is>
          <t>Quantum of Solace</t>
        </is>
      </c>
      <c r="F1016" t="inlineStr">
        <is>
          <t>F0002</t>
        </is>
      </c>
    </row>
    <row r="1017">
      <c r="A1017" t="inlineStr">
        <is>
          <t>Jake Seal</t>
        </is>
      </c>
      <c r="B1017" t="n">
        <v>1</v>
      </c>
      <c r="C1017" t="n">
        <v>2008</v>
      </c>
      <c r="D1017" t="n">
        <v>2008</v>
      </c>
      <c r="E1017" t="inlineStr">
        <is>
          <t>Quantum of Solace</t>
        </is>
      </c>
      <c r="F1017" t="inlineStr">
        <is>
          <t>F0002</t>
        </is>
      </c>
    </row>
    <row r="1018">
      <c r="A1018" t="inlineStr">
        <is>
          <t>Peñarandam Felix</t>
        </is>
      </c>
      <c r="B1018" t="n">
        <v>1</v>
      </c>
      <c r="C1018" t="n">
        <v>2008</v>
      </c>
      <c r="D1018" t="n">
        <v>2008</v>
      </c>
      <c r="E1018" t="inlineStr">
        <is>
          <t>Quantum of Solace</t>
        </is>
      </c>
      <c r="F1018" t="inlineStr">
        <is>
          <t>F0002</t>
        </is>
      </c>
    </row>
    <row r="1019">
      <c r="A1019" t="inlineStr">
        <is>
          <t>Emiliano Valdés</t>
        </is>
      </c>
      <c r="B1019" t="n">
        <v>1</v>
      </c>
      <c r="C1019" t="n">
        <v>2008</v>
      </c>
      <c r="D1019" t="n">
        <v>2008</v>
      </c>
      <c r="E1019" t="inlineStr">
        <is>
          <t>Quantum of Solace</t>
        </is>
      </c>
      <c r="F1019" t="inlineStr">
        <is>
          <t>F0002</t>
        </is>
      </c>
    </row>
    <row r="1020">
      <c r="A1020" t="inlineStr">
        <is>
          <t>Daniel da Silva</t>
        </is>
      </c>
      <c r="B1020" t="n">
        <v>1</v>
      </c>
      <c r="C1020" t="n">
        <v>2008</v>
      </c>
      <c r="D1020" t="n">
        <v>2008</v>
      </c>
      <c r="E1020" t="inlineStr">
        <is>
          <t>Quantum of Solace</t>
        </is>
      </c>
      <c r="F1020" t="inlineStr">
        <is>
          <t>F0002</t>
        </is>
      </c>
    </row>
    <row r="1021">
      <c r="A1021" t="inlineStr">
        <is>
          <t>Bérénice Marlohe</t>
        </is>
      </c>
      <c r="B1021" t="n">
        <v>1</v>
      </c>
      <c r="C1021" t="n">
        <v>2012</v>
      </c>
      <c r="D1021" t="n">
        <v>2012</v>
      </c>
      <c r="E1021" t="inlineStr">
        <is>
          <t>Skyfall</t>
        </is>
      </c>
      <c r="F1021" t="inlineStr">
        <is>
          <t>F0003</t>
        </is>
      </c>
    </row>
    <row r="1022">
      <c r="A1022" t="inlineStr">
        <is>
          <t>Albert Finney</t>
        </is>
      </c>
      <c r="B1022" t="n">
        <v>3</v>
      </c>
      <c r="C1022" t="n">
        <v>2007</v>
      </c>
      <c r="D1022" t="n">
        <v>2012</v>
      </c>
      <c r="E1022" t="inlineStr">
        <is>
          <t>Skyfall, The Bourne Ultimatum, The Bourne Legacy</t>
        </is>
      </c>
      <c r="F1022" t="inlineStr">
        <is>
          <t>F0003, F0055, F0056</t>
        </is>
      </c>
    </row>
    <row r="1023">
      <c r="A1023" t="inlineStr">
        <is>
          <t>Ola Rapace</t>
        </is>
      </c>
      <c r="B1023" t="n">
        <v>1</v>
      </c>
      <c r="C1023" t="n">
        <v>2012</v>
      </c>
      <c r="D1023" t="n">
        <v>2012</v>
      </c>
      <c r="E1023" t="inlineStr">
        <is>
          <t>Skyfall</t>
        </is>
      </c>
      <c r="F1023" t="inlineStr">
        <is>
          <t>F0003</t>
        </is>
      </c>
    </row>
    <row r="1024">
      <c r="A1024" t="inlineStr">
        <is>
          <t>Helen McCrory</t>
        </is>
      </c>
      <c r="B1024" t="n">
        <v>4</v>
      </c>
      <c r="C1024" t="n">
        <v>2009</v>
      </c>
      <c r="D1024" t="n">
        <v>2012</v>
      </c>
      <c r="E1024" t="inlineStr">
        <is>
          <t>Skyfall, Harry Potter and the Half-Blood Prince, Harry Potter and the Deathly Hallows: Part 1, Harry Potter and the Deathly Hallows: Part 2</t>
        </is>
      </c>
      <c r="F1024" t="inlineStr">
        <is>
          <t>F0003, F0142, F0143, F0144</t>
        </is>
      </c>
    </row>
    <row r="1025">
      <c r="A1025" t="inlineStr">
        <is>
          <t>Nicholas Woodeson</t>
        </is>
      </c>
      <c r="B1025" t="n">
        <v>1</v>
      </c>
      <c r="C1025" t="n">
        <v>2012</v>
      </c>
      <c r="D1025" t="n">
        <v>2012</v>
      </c>
      <c r="E1025" t="inlineStr">
        <is>
          <t>Skyfall</t>
        </is>
      </c>
      <c r="F1025" t="inlineStr">
        <is>
          <t>F0003</t>
        </is>
      </c>
    </row>
    <row r="1026">
      <c r="A1026" t="inlineStr">
        <is>
          <t>Bill Buckhurst</t>
        </is>
      </c>
      <c r="B1026" t="n">
        <v>1</v>
      </c>
      <c r="C1026" t="n">
        <v>2012</v>
      </c>
      <c r="D1026" t="n">
        <v>2012</v>
      </c>
      <c r="E1026" t="inlineStr">
        <is>
          <t>Skyfall</t>
        </is>
      </c>
      <c r="F1026" t="inlineStr">
        <is>
          <t>F0003</t>
        </is>
      </c>
    </row>
    <row r="1027">
      <c r="A1027" t="inlineStr">
        <is>
          <t>Elize du Toit</t>
        </is>
      </c>
      <c r="B1027" t="n">
        <v>1</v>
      </c>
      <c r="C1027" t="n">
        <v>2012</v>
      </c>
      <c r="D1027" t="n">
        <v>2012</v>
      </c>
      <c r="E1027" t="inlineStr">
        <is>
          <t>Skyfall</t>
        </is>
      </c>
      <c r="F1027" t="inlineStr">
        <is>
          <t>F0003</t>
        </is>
      </c>
    </row>
    <row r="1028">
      <c r="A1028" t="inlineStr">
        <is>
          <t>Ian Bonar</t>
        </is>
      </c>
      <c r="B1028" t="n">
        <v>2</v>
      </c>
      <c r="C1028" t="n">
        <v>2012</v>
      </c>
      <c r="D1028" t="n">
        <v>2015</v>
      </c>
      <c r="E1028" t="inlineStr">
        <is>
          <t>Skyfall, Spectre</t>
        </is>
      </c>
      <c r="F1028" t="inlineStr">
        <is>
          <t>F0003, F0004</t>
        </is>
      </c>
    </row>
    <row r="1029">
      <c r="A1029" t="inlineStr">
        <is>
          <t>Gordon Milne</t>
        </is>
      </c>
      <c r="B1029" t="n">
        <v>1</v>
      </c>
      <c r="C1029" t="n">
        <v>2012</v>
      </c>
      <c r="D1029" t="n">
        <v>2012</v>
      </c>
      <c r="E1029" t="inlineStr">
        <is>
          <t>Skyfall</t>
        </is>
      </c>
      <c r="F1029" t="inlineStr">
        <is>
          <t>F0003</t>
        </is>
      </c>
    </row>
    <row r="1030">
      <c r="A1030" t="inlineStr">
        <is>
          <t>Peter Basham</t>
        </is>
      </c>
      <c r="B1030" t="n">
        <v>2</v>
      </c>
      <c r="C1030" t="n">
        <v>2012</v>
      </c>
      <c r="D1030" t="n">
        <v>2019</v>
      </c>
      <c r="E1030" t="inlineStr">
        <is>
          <t>Skyfall, Fast &amp; Furious Presents: Hobbs &amp; Shaw</t>
        </is>
      </c>
      <c r="F1030" t="inlineStr">
        <is>
          <t>F0003, F0111</t>
        </is>
      </c>
    </row>
    <row r="1031">
      <c r="A1031" t="inlineStr">
        <is>
          <t>Ben Loyd-Holmes</t>
        </is>
      </c>
      <c r="B1031" t="n">
        <v>1</v>
      </c>
      <c r="C1031" t="n">
        <v>2012</v>
      </c>
      <c r="D1031" t="n">
        <v>2012</v>
      </c>
      <c r="E1031" t="inlineStr">
        <is>
          <t>Skyfall</t>
        </is>
      </c>
      <c r="F1031" t="inlineStr">
        <is>
          <t>F0003</t>
        </is>
      </c>
    </row>
    <row r="1032">
      <c r="A1032" t="inlineStr">
        <is>
          <t>Tonia Sotiropoulou</t>
        </is>
      </c>
      <c r="B1032" t="n">
        <v>1</v>
      </c>
      <c r="C1032" t="n">
        <v>2012</v>
      </c>
      <c r="D1032" t="n">
        <v>2012</v>
      </c>
      <c r="E1032" t="inlineStr">
        <is>
          <t>Skyfall</t>
        </is>
      </c>
      <c r="F1032" t="inlineStr">
        <is>
          <t>F0003</t>
        </is>
      </c>
    </row>
    <row r="1033">
      <c r="A1033" t="inlineStr">
        <is>
          <t>Wolf Blitzer</t>
        </is>
      </c>
      <c r="B1033" t="n">
        <v>2</v>
      </c>
      <c r="C1033" t="n">
        <v>2012</v>
      </c>
      <c r="D1033" t="n">
        <v>2018</v>
      </c>
      <c r="E1033" t="inlineStr">
        <is>
          <t>Skyfall, Mission: Impossible - Fallout</t>
        </is>
      </c>
      <c r="F1033" t="inlineStr">
        <is>
          <t>F0003, F0226</t>
        </is>
      </c>
    </row>
    <row r="1034">
      <c r="A1034" t="inlineStr">
        <is>
          <t>David Gillies</t>
        </is>
      </c>
      <c r="B1034" t="n">
        <v>1</v>
      </c>
      <c r="C1034" t="n">
        <v>2012</v>
      </c>
      <c r="D1034" t="n">
        <v>2012</v>
      </c>
      <c r="E1034" t="inlineStr">
        <is>
          <t>Skyfall</t>
        </is>
      </c>
      <c r="F1034" t="inlineStr">
        <is>
          <t>F0003</t>
        </is>
      </c>
    </row>
    <row r="1035">
      <c r="A1035" t="inlineStr">
        <is>
          <t>James Li</t>
        </is>
      </c>
      <c r="B1035" t="n">
        <v>1</v>
      </c>
      <c r="C1035" t="n">
        <v>2012</v>
      </c>
      <c r="D1035" t="n">
        <v>2012</v>
      </c>
      <c r="E1035" t="inlineStr">
        <is>
          <t>Skyfall</t>
        </is>
      </c>
      <c r="F1035" t="inlineStr">
        <is>
          <t>F0003</t>
        </is>
      </c>
    </row>
    <row r="1036">
      <c r="A1036" t="inlineStr">
        <is>
          <t>Kenneth Hazeldine</t>
        </is>
      </c>
      <c r="B1036" t="n">
        <v>1</v>
      </c>
      <c r="C1036" t="n">
        <v>2012</v>
      </c>
      <c r="D1036" t="n">
        <v>2012</v>
      </c>
      <c r="E1036" t="inlineStr">
        <is>
          <t>Skyfall</t>
        </is>
      </c>
      <c r="F1036" t="inlineStr">
        <is>
          <t>F0003</t>
        </is>
      </c>
    </row>
    <row r="1037">
      <c r="A1037" t="inlineStr">
        <is>
          <t>Orion Lee</t>
        </is>
      </c>
      <c r="B1037" t="n">
        <v>2</v>
      </c>
      <c r="C1037" t="n">
        <v>2012</v>
      </c>
      <c r="D1037" t="n">
        <v>2014</v>
      </c>
      <c r="E1037" t="inlineStr">
        <is>
          <t>Skyfall, Fury</t>
        </is>
      </c>
      <c r="F1037" t="inlineStr">
        <is>
          <t>F0003, F0117</t>
        </is>
      </c>
    </row>
    <row r="1038">
      <c r="A1038" t="inlineStr">
        <is>
          <t>Dave Wong</t>
        </is>
      </c>
      <c r="B1038" t="n">
        <v>1</v>
      </c>
      <c r="C1038" t="n">
        <v>2012</v>
      </c>
      <c r="D1038" t="n">
        <v>2012</v>
      </c>
      <c r="E1038" t="inlineStr">
        <is>
          <t>Skyfall</t>
        </is>
      </c>
      <c r="F1038" t="inlineStr">
        <is>
          <t>F0003</t>
        </is>
      </c>
    </row>
    <row r="1039">
      <c r="A1039" t="inlineStr">
        <is>
          <t>Tank Dong</t>
        </is>
      </c>
      <c r="B1039" t="n">
        <v>1</v>
      </c>
      <c r="C1039" t="n">
        <v>2012</v>
      </c>
      <c r="D1039" t="n">
        <v>2012</v>
      </c>
      <c r="E1039" t="inlineStr">
        <is>
          <t>Skyfall</t>
        </is>
      </c>
      <c r="F1039" t="inlineStr">
        <is>
          <t>F0003</t>
        </is>
      </c>
    </row>
    <row r="1040">
      <c r="A1040" t="inlineStr">
        <is>
          <t>Roger Yuan</t>
        </is>
      </c>
      <c r="B1040" t="n">
        <v>1</v>
      </c>
      <c r="C1040" t="n">
        <v>2012</v>
      </c>
      <c r="D1040" t="n">
        <v>2012</v>
      </c>
      <c r="E1040" t="inlineStr">
        <is>
          <t>Skyfall</t>
        </is>
      </c>
      <c r="F1040" t="inlineStr">
        <is>
          <t>F0003</t>
        </is>
      </c>
    </row>
    <row r="1041">
      <c r="A1041" t="inlineStr">
        <is>
          <t>Liang Yang</t>
        </is>
      </c>
      <c r="B1041" t="n">
        <v>2</v>
      </c>
      <c r="C1041" t="n">
        <v>2012</v>
      </c>
      <c r="D1041" t="n">
        <v>2018</v>
      </c>
      <c r="E1041" t="inlineStr">
        <is>
          <t>Skyfall, Mission: Impossible - Fallout</t>
        </is>
      </c>
      <c r="F1041" t="inlineStr">
        <is>
          <t>F0003, F0226</t>
        </is>
      </c>
    </row>
    <row r="1042">
      <c r="A1042" t="inlineStr">
        <is>
          <t>Yennis Cheung Yan</t>
        </is>
      </c>
      <c r="B1042" t="n">
        <v>1</v>
      </c>
      <c r="C1042" t="n">
        <v>2012</v>
      </c>
      <c r="D1042" t="n">
        <v>2012</v>
      </c>
      <c r="E1042" t="inlineStr">
        <is>
          <t>Skyfall</t>
        </is>
      </c>
      <c r="F1042" t="inlineStr">
        <is>
          <t>F0003</t>
        </is>
      </c>
    </row>
    <row r="1043">
      <c r="A1043" t="inlineStr">
        <is>
          <t>Chooye Bay</t>
        </is>
      </c>
      <c r="B1043" t="n">
        <v>1</v>
      </c>
      <c r="C1043" t="n">
        <v>2012</v>
      </c>
      <c r="D1043" t="n">
        <v>2012</v>
      </c>
      <c r="E1043" t="inlineStr">
        <is>
          <t>Skyfall</t>
        </is>
      </c>
      <c r="F1043" t="inlineStr">
        <is>
          <t>F0003</t>
        </is>
      </c>
    </row>
    <row r="1044">
      <c r="A1044" t="inlineStr">
        <is>
          <t>Andrew Scott</t>
        </is>
      </c>
      <c r="B1044" t="n">
        <v>1</v>
      </c>
      <c r="C1044" t="n">
        <v>2015</v>
      </c>
      <c r="D1044" t="n">
        <v>2015</v>
      </c>
      <c r="E1044" t="inlineStr">
        <is>
          <t>Spectre</t>
        </is>
      </c>
      <c r="F1044" t="inlineStr">
        <is>
          <t>F0004</t>
        </is>
      </c>
    </row>
    <row r="1045">
      <c r="A1045" t="inlineStr">
        <is>
          <t>Alessandro Cremona</t>
        </is>
      </c>
      <c r="B1045" t="n">
        <v>1</v>
      </c>
      <c r="C1045" t="n">
        <v>2015</v>
      </c>
      <c r="D1045" t="n">
        <v>2015</v>
      </c>
      <c r="E1045" t="inlineStr">
        <is>
          <t>Spectre</t>
        </is>
      </c>
      <c r="F1045" t="inlineStr">
        <is>
          <t>F0004</t>
        </is>
      </c>
    </row>
    <row r="1046">
      <c r="A1046" t="inlineStr">
        <is>
          <t>Stephanie Sigman</t>
        </is>
      </c>
      <c r="B1046" t="n">
        <v>1</v>
      </c>
      <c r="C1046" t="n">
        <v>2015</v>
      </c>
      <c r="D1046" t="n">
        <v>2015</v>
      </c>
      <c r="E1046" t="inlineStr">
        <is>
          <t>Spectre</t>
        </is>
      </c>
      <c r="F1046" t="inlineStr">
        <is>
          <t>F0004</t>
        </is>
      </c>
    </row>
    <row r="1047">
      <c r="A1047" t="inlineStr">
        <is>
          <t>Tenoch Huerta Mejía</t>
        </is>
      </c>
      <c r="B1047" t="n">
        <v>1</v>
      </c>
      <c r="C1047" t="n">
        <v>2015</v>
      </c>
      <c r="D1047" t="n">
        <v>2015</v>
      </c>
      <c r="E1047" t="inlineStr">
        <is>
          <t>Spectre</t>
        </is>
      </c>
      <c r="F1047" t="inlineStr">
        <is>
          <t>F0004</t>
        </is>
      </c>
    </row>
    <row r="1048">
      <c r="A1048" t="inlineStr">
        <is>
          <t>Adriana Paz</t>
        </is>
      </c>
      <c r="B1048" t="n">
        <v>1</v>
      </c>
      <c r="C1048" t="n">
        <v>2015</v>
      </c>
      <c r="D1048" t="n">
        <v>2015</v>
      </c>
      <c r="E1048" t="inlineStr">
        <is>
          <t>Spectre</t>
        </is>
      </c>
      <c r="F1048" t="inlineStr">
        <is>
          <t>F0004</t>
        </is>
      </c>
    </row>
    <row r="1049">
      <c r="A1049" t="inlineStr">
        <is>
          <t>Domenico Fortunato</t>
        </is>
      </c>
      <c r="B1049" t="n">
        <v>1</v>
      </c>
      <c r="C1049" t="n">
        <v>2015</v>
      </c>
      <c r="D1049" t="n">
        <v>2015</v>
      </c>
      <c r="E1049" t="inlineStr">
        <is>
          <t>Spectre</t>
        </is>
      </c>
      <c r="F1049" t="inlineStr">
        <is>
          <t>F0004</t>
        </is>
      </c>
    </row>
    <row r="1050">
      <c r="A1050" t="inlineStr">
        <is>
          <t>Marco Zingaro</t>
        </is>
      </c>
      <c r="B1050" t="n">
        <v>1</v>
      </c>
      <c r="C1050" t="n">
        <v>2015</v>
      </c>
      <c r="D1050" t="n">
        <v>2015</v>
      </c>
      <c r="E1050" t="inlineStr">
        <is>
          <t>Spectre</t>
        </is>
      </c>
      <c r="F1050" t="inlineStr">
        <is>
          <t>F0004</t>
        </is>
      </c>
    </row>
    <row r="1051">
      <c r="A1051" t="inlineStr">
        <is>
          <t>Stefano Elfi DiClaudia</t>
        </is>
      </c>
      <c r="B1051" t="n">
        <v>1</v>
      </c>
      <c r="C1051" t="n">
        <v>2015</v>
      </c>
      <c r="D1051" t="n">
        <v>2015</v>
      </c>
      <c r="E1051" t="inlineStr">
        <is>
          <t>Spectre</t>
        </is>
      </c>
      <c r="F1051" t="inlineStr">
        <is>
          <t>F0004</t>
        </is>
      </c>
    </row>
    <row r="1052">
      <c r="A1052" t="inlineStr">
        <is>
          <t>Tam Williams</t>
        </is>
      </c>
      <c r="B1052" t="n">
        <v>1</v>
      </c>
      <c r="C1052" t="n">
        <v>2015</v>
      </c>
      <c r="D1052" t="n">
        <v>2015</v>
      </c>
      <c r="E1052" t="inlineStr">
        <is>
          <t>Spectre</t>
        </is>
      </c>
      <c r="F1052" t="inlineStr">
        <is>
          <t>F0004</t>
        </is>
      </c>
    </row>
    <row r="1053">
      <c r="A1053" t="inlineStr">
        <is>
          <t>Richard Banham</t>
        </is>
      </c>
      <c r="B1053" t="n">
        <v>1</v>
      </c>
      <c r="C1053" t="n">
        <v>2015</v>
      </c>
      <c r="D1053" t="n">
        <v>2015</v>
      </c>
      <c r="E1053" t="inlineStr">
        <is>
          <t>Spectre</t>
        </is>
      </c>
      <c r="F1053" t="inlineStr">
        <is>
          <t>F0004</t>
        </is>
      </c>
    </row>
    <row r="1054">
      <c r="A1054" t="inlineStr">
        <is>
          <t>Pip Carter</t>
        </is>
      </c>
      <c r="B1054" t="n">
        <v>2</v>
      </c>
      <c r="C1054" t="n">
        <v>2010</v>
      </c>
      <c r="D1054" t="n">
        <v>2015</v>
      </c>
      <c r="E1054" t="inlineStr">
        <is>
          <t>Spectre, Robin Hood</t>
        </is>
      </c>
      <c r="F1054" t="inlineStr">
        <is>
          <t>F0004, F0267</t>
        </is>
      </c>
    </row>
    <row r="1055">
      <c r="A1055" t="inlineStr">
        <is>
          <t>Simon Lenagan</t>
        </is>
      </c>
      <c r="B1055" t="n">
        <v>1</v>
      </c>
      <c r="C1055" t="n">
        <v>2015</v>
      </c>
      <c r="D1055" t="n">
        <v>2015</v>
      </c>
      <c r="E1055" t="inlineStr">
        <is>
          <t>Spectre</t>
        </is>
      </c>
      <c r="F1055" t="inlineStr">
        <is>
          <t>F0004</t>
        </is>
      </c>
    </row>
    <row r="1056">
      <c r="A1056" t="inlineStr">
        <is>
          <t>Alessandro Bressanello</t>
        </is>
      </c>
      <c r="B1056" t="n">
        <v>1</v>
      </c>
      <c r="C1056" t="n">
        <v>2015</v>
      </c>
      <c r="D1056" t="n">
        <v>2015</v>
      </c>
      <c r="E1056" t="inlineStr">
        <is>
          <t>Spectre</t>
        </is>
      </c>
      <c r="F1056" t="inlineStr">
        <is>
          <t>F0004</t>
        </is>
      </c>
    </row>
    <row r="1057">
      <c r="A1057" t="inlineStr">
        <is>
          <t>Marc Zinga</t>
        </is>
      </c>
      <c r="B1057" t="n">
        <v>1</v>
      </c>
      <c r="C1057" t="n">
        <v>2015</v>
      </c>
      <c r="D1057" t="n">
        <v>2015</v>
      </c>
      <c r="E1057" t="inlineStr">
        <is>
          <t>Spectre</t>
        </is>
      </c>
      <c r="F1057" t="inlineStr">
        <is>
          <t>F0004</t>
        </is>
      </c>
    </row>
    <row r="1058">
      <c r="A1058" t="inlineStr">
        <is>
          <t>Brigitte Millar</t>
        </is>
      </c>
      <c r="B1058" t="n">
        <v>1</v>
      </c>
      <c r="C1058" t="n">
        <v>2015</v>
      </c>
      <c r="D1058" t="n">
        <v>2015</v>
      </c>
      <c r="E1058" t="inlineStr">
        <is>
          <t>Spectre</t>
        </is>
      </c>
      <c r="F1058" t="inlineStr">
        <is>
          <t>F0004</t>
        </is>
      </c>
    </row>
    <row r="1059">
      <c r="A1059" t="inlineStr">
        <is>
          <t>Adel Bencherif</t>
        </is>
      </c>
      <c r="B1059" t="n">
        <v>1</v>
      </c>
      <c r="C1059" t="n">
        <v>2015</v>
      </c>
      <c r="D1059" t="n">
        <v>2015</v>
      </c>
      <c r="E1059" t="inlineStr">
        <is>
          <t>Spectre</t>
        </is>
      </c>
      <c r="F1059" t="inlineStr">
        <is>
          <t>F0004</t>
        </is>
      </c>
    </row>
    <row r="1060">
      <c r="A1060" t="inlineStr">
        <is>
          <t>Gediminas Adomaitis</t>
        </is>
      </c>
      <c r="B1060" t="n">
        <v>1</v>
      </c>
      <c r="C1060" t="n">
        <v>2015</v>
      </c>
      <c r="D1060" t="n">
        <v>2015</v>
      </c>
      <c r="E1060" t="inlineStr">
        <is>
          <t>Spectre</t>
        </is>
      </c>
      <c r="F1060" t="inlineStr">
        <is>
          <t>F0004</t>
        </is>
      </c>
    </row>
    <row r="1061">
      <c r="A1061" t="inlineStr">
        <is>
          <t>Peppe Lanzetta</t>
        </is>
      </c>
      <c r="B1061" t="n">
        <v>1</v>
      </c>
      <c r="C1061" t="n">
        <v>2015</v>
      </c>
      <c r="D1061" t="n">
        <v>2015</v>
      </c>
      <c r="E1061" t="inlineStr">
        <is>
          <t>Spectre</t>
        </is>
      </c>
      <c r="F1061" t="inlineStr">
        <is>
          <t>F0004</t>
        </is>
      </c>
    </row>
    <row r="1062">
      <c r="A1062" t="inlineStr">
        <is>
          <t>Francesco Arca</t>
        </is>
      </c>
      <c r="B1062" t="n">
        <v>1</v>
      </c>
      <c r="C1062" t="n">
        <v>2015</v>
      </c>
      <c r="D1062" t="n">
        <v>2015</v>
      </c>
      <c r="E1062" t="inlineStr">
        <is>
          <t>Spectre</t>
        </is>
      </c>
      <c r="F1062" t="inlineStr">
        <is>
          <t>F0004</t>
        </is>
      </c>
    </row>
    <row r="1063">
      <c r="A1063" t="inlineStr">
        <is>
          <t>Billy Magnussen</t>
        </is>
      </c>
      <c r="B1063" t="n">
        <v>1</v>
      </c>
      <c r="C1063" t="n">
        <v>2021</v>
      </c>
      <c r="D1063" t="n">
        <v>2021</v>
      </c>
      <c r="E1063" t="inlineStr">
        <is>
          <t>No Time to Die</t>
        </is>
      </c>
      <c r="F1063" t="inlineStr">
        <is>
          <t>F0005</t>
        </is>
      </c>
    </row>
    <row r="1064">
      <c r="A1064" t="inlineStr">
        <is>
          <t>David Dencik</t>
        </is>
      </c>
      <c r="B1064" t="n">
        <v>2</v>
      </c>
      <c r="C1064" t="n">
        <v>2011</v>
      </c>
      <c r="D1064" t="n">
        <v>2021</v>
      </c>
      <c r="E1064" t="inlineStr">
        <is>
          <t>No Time to Die, The Girl with the Dragon Tattoo</t>
        </is>
      </c>
      <c r="F1064" t="inlineStr">
        <is>
          <t>F0005, F0120</t>
        </is>
      </c>
    </row>
    <row r="1065">
      <c r="A1065" t="inlineStr">
        <is>
          <t>Ana de Armas</t>
        </is>
      </c>
      <c r="B1065" t="n">
        <v>1</v>
      </c>
      <c r="C1065" t="n">
        <v>2021</v>
      </c>
      <c r="D1065" t="n">
        <v>2021</v>
      </c>
      <c r="E1065" t="inlineStr">
        <is>
          <t>No Time to Die</t>
        </is>
      </c>
      <c r="F1065" t="inlineStr">
        <is>
          <t>F0005</t>
        </is>
      </c>
    </row>
    <row r="1066">
      <c r="A1066" t="inlineStr">
        <is>
          <t>Dali Benssalah</t>
        </is>
      </c>
      <c r="B1066" t="n">
        <v>1</v>
      </c>
      <c r="C1066" t="n">
        <v>2021</v>
      </c>
      <c r="D1066" t="n">
        <v>2021</v>
      </c>
      <c r="E1066" t="inlineStr">
        <is>
          <t>No Time to Die</t>
        </is>
      </c>
      <c r="F1066" t="inlineStr">
        <is>
          <t>F0005</t>
        </is>
      </c>
    </row>
    <row r="1067">
      <c r="A1067" t="inlineStr">
        <is>
          <t>Lisa-Dorah Sonnet</t>
        </is>
      </c>
      <c r="B1067" t="n">
        <v>1</v>
      </c>
      <c r="C1067" t="n">
        <v>2021</v>
      </c>
      <c r="D1067" t="n">
        <v>2021</v>
      </c>
      <c r="E1067" t="inlineStr">
        <is>
          <t>No Time to Die</t>
        </is>
      </c>
      <c r="F1067" t="inlineStr">
        <is>
          <t>F0005</t>
        </is>
      </c>
    </row>
    <row r="1068">
      <c r="A1068" t="inlineStr">
        <is>
          <t>Coline Defaud</t>
        </is>
      </c>
      <c r="B1068" t="n">
        <v>1</v>
      </c>
      <c r="C1068" t="n">
        <v>2021</v>
      </c>
      <c r="D1068" t="n">
        <v>2021</v>
      </c>
      <c r="E1068" t="inlineStr">
        <is>
          <t>No Time to Die</t>
        </is>
      </c>
      <c r="F1068" t="inlineStr">
        <is>
          <t>F0005</t>
        </is>
      </c>
    </row>
    <row r="1069">
      <c r="A1069" t="inlineStr">
        <is>
          <t>Mathilde Bourbin</t>
        </is>
      </c>
      <c r="B1069" t="n">
        <v>1</v>
      </c>
      <c r="C1069" t="n">
        <v>2021</v>
      </c>
      <c r="D1069" t="n">
        <v>2021</v>
      </c>
      <c r="E1069" t="inlineStr">
        <is>
          <t>No Time to Die</t>
        </is>
      </c>
      <c r="F1069" t="inlineStr">
        <is>
          <t>F0005</t>
        </is>
      </c>
    </row>
    <row r="1070">
      <c r="A1070" t="inlineStr">
        <is>
          <t>Hugh Dennis</t>
        </is>
      </c>
      <c r="B1070" t="n">
        <v>1</v>
      </c>
      <c r="C1070" t="n">
        <v>2021</v>
      </c>
      <c r="D1070" t="n">
        <v>2021</v>
      </c>
      <c r="E1070" t="inlineStr">
        <is>
          <t>No Time to Die</t>
        </is>
      </c>
      <c r="F1070" t="inlineStr">
        <is>
          <t>F0005</t>
        </is>
      </c>
    </row>
    <row r="1071">
      <c r="A1071" t="inlineStr">
        <is>
          <t>Priyanga Burford</t>
        </is>
      </c>
      <c r="B1071" t="n">
        <v>1</v>
      </c>
      <c r="C1071" t="n">
        <v>2021</v>
      </c>
      <c r="D1071" t="n">
        <v>2021</v>
      </c>
      <c r="E1071" t="inlineStr">
        <is>
          <t>No Time to Die</t>
        </is>
      </c>
      <c r="F1071" t="inlineStr">
        <is>
          <t>F0005</t>
        </is>
      </c>
    </row>
    <row r="1072">
      <c r="A1072" t="inlineStr">
        <is>
          <t>Joe Grossi</t>
        </is>
      </c>
      <c r="B1072" t="n">
        <v>1</v>
      </c>
      <c r="C1072" t="n">
        <v>2021</v>
      </c>
      <c r="D1072" t="n">
        <v>2021</v>
      </c>
      <c r="E1072" t="inlineStr">
        <is>
          <t>No Time to Die</t>
        </is>
      </c>
      <c r="F1072" t="inlineStr">
        <is>
          <t>F0005</t>
        </is>
      </c>
    </row>
    <row r="1073">
      <c r="A1073" t="inlineStr">
        <is>
          <t>Nicola Olivieri</t>
        </is>
      </c>
      <c r="B1073" t="n">
        <v>1</v>
      </c>
      <c r="C1073" t="n">
        <v>2021</v>
      </c>
      <c r="D1073" t="n">
        <v>2021</v>
      </c>
      <c r="E1073" t="inlineStr">
        <is>
          <t>No Time to Die</t>
        </is>
      </c>
      <c r="F1073" t="inlineStr">
        <is>
          <t>F0005</t>
        </is>
      </c>
    </row>
    <row r="1074">
      <c r="A1074" t="inlineStr">
        <is>
          <t>Pio Amato</t>
        </is>
      </c>
      <c r="B1074" t="n">
        <v>1</v>
      </c>
      <c r="C1074" t="n">
        <v>2021</v>
      </c>
      <c r="D1074" t="n">
        <v>2021</v>
      </c>
      <c r="E1074" t="inlineStr">
        <is>
          <t>No Time to Die</t>
        </is>
      </c>
      <c r="F1074" t="inlineStr">
        <is>
          <t>F0005</t>
        </is>
      </c>
    </row>
    <row r="1075">
      <c r="A1075" t="inlineStr">
        <is>
          <t>Javone Prince</t>
        </is>
      </c>
      <c r="B1075" t="n">
        <v>1</v>
      </c>
      <c r="C1075" t="n">
        <v>2021</v>
      </c>
      <c r="D1075" t="n">
        <v>2021</v>
      </c>
      <c r="E1075" t="inlineStr">
        <is>
          <t>No Time to Die</t>
        </is>
      </c>
      <c r="F1075" t="inlineStr">
        <is>
          <t>F0005</t>
        </is>
      </c>
    </row>
    <row r="1076">
      <c r="A1076" t="inlineStr">
        <is>
          <t>Davina Moon</t>
        </is>
      </c>
      <c r="B1076" t="n">
        <v>1</v>
      </c>
      <c r="C1076" t="n">
        <v>2021</v>
      </c>
      <c r="D1076" t="n">
        <v>2021</v>
      </c>
      <c r="E1076" t="inlineStr">
        <is>
          <t>No Time to Die</t>
        </is>
      </c>
      <c r="F1076" t="inlineStr">
        <is>
          <t>F0005</t>
        </is>
      </c>
    </row>
    <row r="1077">
      <c r="A1077" t="inlineStr">
        <is>
          <t>Mattia Lacovone</t>
        </is>
      </c>
      <c r="B1077" t="n">
        <v>1</v>
      </c>
      <c r="C1077" t="n">
        <v>2021</v>
      </c>
      <c r="D1077" t="n">
        <v>2021</v>
      </c>
      <c r="E1077" t="inlineStr">
        <is>
          <t>No Time to Die</t>
        </is>
      </c>
      <c r="F1077" t="inlineStr">
        <is>
          <t>F0005</t>
        </is>
      </c>
    </row>
    <row r="1078">
      <c r="A1078" t="inlineStr">
        <is>
          <t>Giansalvatore Duca</t>
        </is>
      </c>
      <c r="B1078" t="n">
        <v>1</v>
      </c>
      <c r="C1078" t="n">
        <v>2021</v>
      </c>
      <c r="D1078" t="n">
        <v>2021</v>
      </c>
      <c r="E1078" t="inlineStr">
        <is>
          <t>No Time to Die</t>
        </is>
      </c>
      <c r="F1078" t="inlineStr">
        <is>
          <t>F0005</t>
        </is>
      </c>
    </row>
    <row r="1079">
      <c r="A1079" t="inlineStr">
        <is>
          <t>Amy Morgan</t>
        </is>
      </c>
      <c r="B1079" t="n">
        <v>1</v>
      </c>
      <c r="C1079" t="n">
        <v>2021</v>
      </c>
      <c r="D1079" t="n">
        <v>2021</v>
      </c>
      <c r="E1079" t="inlineStr">
        <is>
          <t>No Time to Die</t>
        </is>
      </c>
      <c r="F1079" t="inlineStr">
        <is>
          <t>F0005</t>
        </is>
      </c>
    </row>
    <row r="1080">
      <c r="A1080" t="inlineStr">
        <is>
          <t>Lizzie Winkler</t>
        </is>
      </c>
      <c r="B1080" t="n">
        <v>1</v>
      </c>
      <c r="C1080" t="n">
        <v>2021</v>
      </c>
      <c r="D1080" t="n">
        <v>2021</v>
      </c>
      <c r="E1080" t="inlineStr">
        <is>
          <t>No Time to Die</t>
        </is>
      </c>
      <c r="F1080" t="inlineStr">
        <is>
          <t>F0005</t>
        </is>
      </c>
    </row>
    <row r="1081">
      <c r="A1081" t="inlineStr">
        <is>
          <t>Andrei Nova</t>
        </is>
      </c>
      <c r="B1081" t="n">
        <v>1</v>
      </c>
      <c r="C1081" t="n">
        <v>2021</v>
      </c>
      <c r="D1081" t="n">
        <v>2021</v>
      </c>
      <c r="E1081" t="inlineStr">
        <is>
          <t>No Time to Die</t>
        </is>
      </c>
      <c r="F1081" t="inlineStr">
        <is>
          <t>F0005</t>
        </is>
      </c>
    </row>
    <row r="1082">
      <c r="A1082" t="inlineStr">
        <is>
          <t>Ernest Gromov</t>
        </is>
      </c>
      <c r="B1082" t="n">
        <v>1</v>
      </c>
      <c r="C1082" t="n">
        <v>2021</v>
      </c>
      <c r="D1082" t="n">
        <v>2021</v>
      </c>
      <c r="E1082" t="inlineStr">
        <is>
          <t>No Time to Die</t>
        </is>
      </c>
      <c r="F1082" t="inlineStr">
        <is>
          <t>F0005</t>
        </is>
      </c>
    </row>
    <row r="1083">
      <c r="A1083" t="inlineStr">
        <is>
          <t>Tom McCarthy</t>
        </is>
      </c>
      <c r="B1083" t="n">
        <v>1</v>
      </c>
      <c r="C1083" t="n">
        <v>2009</v>
      </c>
      <c r="D1083" t="n">
        <v>2009</v>
      </c>
      <c r="E1083" t="inlineStr">
        <is>
          <t>2012</t>
        </is>
      </c>
      <c r="F1083" t="inlineStr">
        <is>
          <t>F0006</t>
        </is>
      </c>
    </row>
    <row r="1084">
      <c r="A1084" t="inlineStr">
        <is>
          <t>Danny Glover</t>
        </is>
      </c>
      <c r="B1084" t="n">
        <v>2</v>
      </c>
      <c r="C1084" t="n">
        <v>2009</v>
      </c>
      <c r="D1084" t="n">
        <v>2016</v>
      </c>
      <c r="E1084" t="inlineStr">
        <is>
          <t>2012, Dirty Grandpa</t>
        </is>
      </c>
      <c r="F1084" t="inlineStr">
        <is>
          <t>F0006, F0087</t>
        </is>
      </c>
    </row>
    <row r="1085">
      <c r="A1085" t="inlineStr">
        <is>
          <t>Liam James</t>
        </is>
      </c>
      <c r="B1085" t="n">
        <v>1</v>
      </c>
      <c r="C1085" t="n">
        <v>2009</v>
      </c>
      <c r="D1085" t="n">
        <v>2009</v>
      </c>
      <c r="E1085" t="inlineStr">
        <is>
          <t>2012</t>
        </is>
      </c>
      <c r="F1085" t="inlineStr">
        <is>
          <t>F0006</t>
        </is>
      </c>
    </row>
    <row r="1086">
      <c r="A1086" t="inlineStr">
        <is>
          <t>Morgan Lily</t>
        </is>
      </c>
      <c r="B1086" t="n">
        <v>2</v>
      </c>
      <c r="C1086" t="n">
        <v>2009</v>
      </c>
      <c r="D1086" t="n">
        <v>2011</v>
      </c>
      <c r="E1086" t="inlineStr">
        <is>
          <t>2012, X-Men: First Class</t>
        </is>
      </c>
      <c r="F1086" t="inlineStr">
        <is>
          <t>F0006, F0340</t>
        </is>
      </c>
    </row>
    <row r="1087">
      <c r="A1087" t="inlineStr">
        <is>
          <t>Zlatko Burić</t>
        </is>
      </c>
      <c r="B1087" t="n">
        <v>1</v>
      </c>
      <c r="C1087" t="n">
        <v>2009</v>
      </c>
      <c r="D1087" t="n">
        <v>2009</v>
      </c>
      <c r="E1087" t="inlineStr">
        <is>
          <t>2012</t>
        </is>
      </c>
      <c r="F1087" t="inlineStr">
        <is>
          <t>F0006</t>
        </is>
      </c>
    </row>
    <row r="1088">
      <c r="A1088" t="inlineStr">
        <is>
          <t>Beatrice Rosen</t>
        </is>
      </c>
      <c r="B1088" t="n">
        <v>2</v>
      </c>
      <c r="C1088" t="n">
        <v>2009</v>
      </c>
      <c r="D1088" t="n">
        <v>2013</v>
      </c>
      <c r="E1088" t="inlineStr">
        <is>
          <t>2012, The Smurfs 2</t>
        </is>
      </c>
      <c r="F1088" t="inlineStr">
        <is>
          <t>F0006, F0282</t>
        </is>
      </c>
    </row>
    <row r="1089">
      <c r="A1089" t="inlineStr">
        <is>
          <t>Alexandre Haussmann</t>
        </is>
      </c>
      <c r="B1089" t="n">
        <v>1</v>
      </c>
      <c r="C1089" t="n">
        <v>2009</v>
      </c>
      <c r="D1089" t="n">
        <v>2009</v>
      </c>
      <c r="E1089" t="inlineStr">
        <is>
          <t>2012</t>
        </is>
      </c>
      <c r="F1089" t="inlineStr">
        <is>
          <t>F0006</t>
        </is>
      </c>
    </row>
    <row r="1090">
      <c r="A1090" t="inlineStr">
        <is>
          <t>Philippe Haussmann</t>
        </is>
      </c>
      <c r="B1090" t="n">
        <v>1</v>
      </c>
      <c r="C1090" t="n">
        <v>2009</v>
      </c>
      <c r="D1090" t="n">
        <v>2009</v>
      </c>
      <c r="E1090" t="inlineStr">
        <is>
          <t>2012</t>
        </is>
      </c>
      <c r="F1090" t="inlineStr">
        <is>
          <t>F0006</t>
        </is>
      </c>
    </row>
    <row r="1091">
      <c r="A1091" t="inlineStr">
        <is>
          <t>Johann Urb</t>
        </is>
      </c>
      <c r="B1091" t="n">
        <v>1</v>
      </c>
      <c r="C1091" t="n">
        <v>2009</v>
      </c>
      <c r="D1091" t="n">
        <v>2009</v>
      </c>
      <c r="E1091" t="inlineStr">
        <is>
          <t>2012</t>
        </is>
      </c>
      <c r="F1091" t="inlineStr">
        <is>
          <t>F0006</t>
        </is>
      </c>
    </row>
    <row r="1092">
      <c r="A1092" t="inlineStr">
        <is>
          <t>John Billingsley</t>
        </is>
      </c>
      <c r="B1092" t="n">
        <v>1</v>
      </c>
      <c r="C1092" t="n">
        <v>2009</v>
      </c>
      <c r="D1092" t="n">
        <v>2009</v>
      </c>
      <c r="E1092" t="inlineStr">
        <is>
          <t>2012</t>
        </is>
      </c>
      <c r="F1092" t="inlineStr">
        <is>
          <t>F0006</t>
        </is>
      </c>
    </row>
    <row r="1093">
      <c r="A1093" t="inlineStr">
        <is>
          <t>Chin Han</t>
        </is>
      </c>
      <c r="B1093" t="n">
        <v>2</v>
      </c>
      <c r="C1093" t="n">
        <v>2008</v>
      </c>
      <c r="D1093" t="n">
        <v>2009</v>
      </c>
      <c r="E1093" t="inlineStr">
        <is>
          <t>2012, The Dark Knight</t>
        </is>
      </c>
      <c r="F1093" t="inlineStr">
        <is>
          <t>F0006, F0044</t>
        </is>
      </c>
    </row>
    <row r="1094">
      <c r="A1094" t="inlineStr">
        <is>
          <t>Osric Chau</t>
        </is>
      </c>
      <c r="B1094" t="n">
        <v>1</v>
      </c>
      <c r="C1094" t="n">
        <v>2009</v>
      </c>
      <c r="D1094" t="n">
        <v>2009</v>
      </c>
      <c r="E1094" t="inlineStr">
        <is>
          <t>2012</t>
        </is>
      </c>
      <c r="F1094" t="inlineStr">
        <is>
          <t>F0006</t>
        </is>
      </c>
    </row>
    <row r="1095">
      <c r="A1095" t="inlineStr">
        <is>
          <t>Chang Tseng</t>
        </is>
      </c>
      <c r="B1095" t="n">
        <v>1</v>
      </c>
      <c r="C1095" t="n">
        <v>2009</v>
      </c>
      <c r="D1095" t="n">
        <v>2009</v>
      </c>
      <c r="E1095" t="inlineStr">
        <is>
          <t>2012</t>
        </is>
      </c>
      <c r="F1095" t="inlineStr">
        <is>
          <t>F0006</t>
        </is>
      </c>
    </row>
    <row r="1096">
      <c r="A1096" t="inlineStr">
        <is>
          <t>Lisa Lu</t>
        </is>
      </c>
      <c r="B1096" t="n">
        <v>1</v>
      </c>
      <c r="C1096" t="n">
        <v>2009</v>
      </c>
      <c r="D1096" t="n">
        <v>2009</v>
      </c>
      <c r="E1096" t="inlineStr">
        <is>
          <t>2012</t>
        </is>
      </c>
      <c r="F1096" t="inlineStr">
        <is>
          <t>F0006</t>
        </is>
      </c>
    </row>
    <row r="1097">
      <c r="A1097" t="inlineStr">
        <is>
          <t>Blu Mankuma</t>
        </is>
      </c>
      <c r="B1097" t="n">
        <v>1</v>
      </c>
      <c r="C1097" t="n">
        <v>2009</v>
      </c>
      <c r="D1097" t="n">
        <v>2009</v>
      </c>
      <c r="E1097" t="inlineStr">
        <is>
          <t>2012</t>
        </is>
      </c>
      <c r="F1097" t="inlineStr">
        <is>
          <t>F0006</t>
        </is>
      </c>
    </row>
    <row r="1098">
      <c r="A1098" t="inlineStr">
        <is>
          <t>George Segal</t>
        </is>
      </c>
      <c r="B1098" t="n">
        <v>1</v>
      </c>
      <c r="C1098" t="n">
        <v>2009</v>
      </c>
      <c r="D1098" t="n">
        <v>2009</v>
      </c>
      <c r="E1098" t="inlineStr">
        <is>
          <t>2012</t>
        </is>
      </c>
      <c r="F1098" t="inlineStr">
        <is>
          <t>F0006</t>
        </is>
      </c>
    </row>
    <row r="1099">
      <c r="A1099" t="inlineStr">
        <is>
          <t>Stephen McHattie</t>
        </is>
      </c>
      <c r="B1099" t="n">
        <v>1</v>
      </c>
      <c r="C1099" t="n">
        <v>2009</v>
      </c>
      <c r="D1099" t="n">
        <v>2009</v>
      </c>
      <c r="E1099" t="inlineStr">
        <is>
          <t>2012</t>
        </is>
      </c>
      <c r="F1099" t="inlineStr">
        <is>
          <t>F0006</t>
        </is>
      </c>
    </row>
    <row r="1100">
      <c r="A1100" t="inlineStr">
        <is>
          <t>Patrick Bauchau</t>
        </is>
      </c>
      <c r="B1100" t="n">
        <v>1</v>
      </c>
      <c r="C1100" t="n">
        <v>2009</v>
      </c>
      <c r="D1100" t="n">
        <v>2009</v>
      </c>
      <c r="E1100" t="inlineStr">
        <is>
          <t>2012</t>
        </is>
      </c>
      <c r="F1100" t="inlineStr">
        <is>
          <t>F0006</t>
        </is>
      </c>
    </row>
    <row r="1101">
      <c r="A1101" t="inlineStr">
        <is>
          <t>Jimi Mistry</t>
        </is>
      </c>
      <c r="B1101" t="n">
        <v>1</v>
      </c>
      <c r="C1101" t="n">
        <v>2009</v>
      </c>
      <c r="D1101" t="n">
        <v>2009</v>
      </c>
      <c r="E1101" t="inlineStr">
        <is>
          <t>2012</t>
        </is>
      </c>
      <c r="F1101" t="inlineStr">
        <is>
          <t>F0006</t>
        </is>
      </c>
    </row>
    <row r="1102">
      <c r="A1102" t="inlineStr">
        <is>
          <t>Ryan McDonald</t>
        </is>
      </c>
      <c r="B1102" t="n">
        <v>1</v>
      </c>
      <c r="C1102" t="n">
        <v>2009</v>
      </c>
      <c r="D1102" t="n">
        <v>2009</v>
      </c>
      <c r="E1102" t="inlineStr">
        <is>
          <t>2012</t>
        </is>
      </c>
      <c r="F1102" t="inlineStr">
        <is>
          <t>F0006</t>
        </is>
      </c>
    </row>
    <row r="1103">
      <c r="A1103" t="inlineStr">
        <is>
          <t>Merrilyn Gann</t>
        </is>
      </c>
      <c r="B1103" t="n">
        <v>1</v>
      </c>
      <c r="C1103" t="n">
        <v>2009</v>
      </c>
      <c r="D1103" t="n">
        <v>2009</v>
      </c>
      <c r="E1103" t="inlineStr">
        <is>
          <t>2012</t>
        </is>
      </c>
      <c r="F1103" t="inlineStr">
        <is>
          <t>F0006</t>
        </is>
      </c>
    </row>
    <row r="1104">
      <c r="A1104" t="inlineStr">
        <is>
          <t>Henry O</t>
        </is>
      </c>
      <c r="B1104" t="n">
        <v>2</v>
      </c>
      <c r="C1104" t="n">
        <v>2007</v>
      </c>
      <c r="D1104" t="n">
        <v>2009</v>
      </c>
      <c r="E1104" t="inlineStr">
        <is>
          <t>2012, Rush Hour 3</t>
        </is>
      </c>
      <c r="F1104" t="inlineStr">
        <is>
          <t>F0006, F0271</t>
        </is>
      </c>
    </row>
    <row r="1105">
      <c r="A1105" t="inlineStr">
        <is>
          <t>Patrick Gilmore</t>
        </is>
      </c>
      <c r="B1105" t="n">
        <v>1</v>
      </c>
      <c r="C1105" t="n">
        <v>2009</v>
      </c>
      <c r="D1105" t="n">
        <v>2009</v>
      </c>
      <c r="E1105" t="inlineStr">
        <is>
          <t>2012</t>
        </is>
      </c>
      <c r="F1105" t="inlineStr">
        <is>
          <t>F0006</t>
        </is>
      </c>
    </row>
    <row r="1106">
      <c r="A1106" t="inlineStr">
        <is>
          <t>Dean Marshall</t>
        </is>
      </c>
      <c r="B1106" t="n">
        <v>1</v>
      </c>
      <c r="C1106" t="n">
        <v>2009</v>
      </c>
      <c r="D1106" t="n">
        <v>2009</v>
      </c>
      <c r="E1106" t="inlineStr">
        <is>
          <t>2012</t>
        </is>
      </c>
      <c r="F1106" t="inlineStr">
        <is>
          <t>F0006</t>
        </is>
      </c>
    </row>
    <row r="1107">
      <c r="A1107" t="inlineStr">
        <is>
          <t>DeRay Davis</t>
        </is>
      </c>
      <c r="B1107" t="n">
        <v>1</v>
      </c>
      <c r="C1107" t="n">
        <v>2012</v>
      </c>
      <c r="D1107" t="n">
        <v>2012</v>
      </c>
      <c r="E1107" t="inlineStr">
        <is>
          <t>21 Jump Street</t>
        </is>
      </c>
      <c r="F1107" t="inlineStr">
        <is>
          <t>F0007</t>
        </is>
      </c>
    </row>
    <row r="1108">
      <c r="A1108" t="inlineStr">
        <is>
          <t>Ice Cube</t>
        </is>
      </c>
      <c r="B1108" t="n">
        <v>2</v>
      </c>
      <c r="C1108" t="n">
        <v>2012</v>
      </c>
      <c r="D1108" t="n">
        <v>2014</v>
      </c>
      <c r="E1108" t="inlineStr">
        <is>
          <t>21 Jump Street, 22 Jump Street</t>
        </is>
      </c>
      <c r="F1108" t="inlineStr">
        <is>
          <t>F0007, F0008</t>
        </is>
      </c>
    </row>
    <row r="1109">
      <c r="A1109" t="inlineStr">
        <is>
          <t>Dax Flame</t>
        </is>
      </c>
      <c r="B1109" t="n">
        <v>2</v>
      </c>
      <c r="C1109" t="n">
        <v>2012</v>
      </c>
      <c r="D1109" t="n">
        <v>2014</v>
      </c>
      <c r="E1109" t="inlineStr">
        <is>
          <t>21 Jump Street, 22 Jump Street</t>
        </is>
      </c>
      <c r="F1109" t="inlineStr">
        <is>
          <t>F0007, F0008</t>
        </is>
      </c>
    </row>
    <row r="1110">
      <c r="A1110" t="inlineStr">
        <is>
          <t>Chris Parnell</t>
        </is>
      </c>
      <c r="B1110" t="n">
        <v>3</v>
      </c>
      <c r="C1110" t="n">
        <v>2004</v>
      </c>
      <c r="D1110" t="n">
        <v>2012</v>
      </c>
      <c r="E1110" t="inlineStr">
        <is>
          <t>21 Jump Street, Anchorman: The Legend of Ron Burgundy, The Dictator</t>
        </is>
      </c>
      <c r="F1110" t="inlineStr">
        <is>
          <t>F0007, F0022, F0085</t>
        </is>
      </c>
    </row>
    <row r="1111">
      <c r="A1111" t="inlineStr">
        <is>
          <t>Jake Johnson</t>
        </is>
      </c>
      <c r="B1111" t="n">
        <v>3</v>
      </c>
      <c r="C1111" t="n">
        <v>2012</v>
      </c>
      <c r="D1111" t="n">
        <v>2015</v>
      </c>
      <c r="E1111" t="inlineStr">
        <is>
          <t>21 Jump Street, Jurassic World, The Lego Movie</t>
        </is>
      </c>
      <c r="F1111" t="inlineStr">
        <is>
          <t>F0007, F0179, F0195</t>
        </is>
      </c>
    </row>
    <row r="1112">
      <c r="A1112" t="inlineStr">
        <is>
          <t>Nick Offerman</t>
        </is>
      </c>
      <c r="B1112" t="n">
        <v>6</v>
      </c>
      <c r="C1112" t="n">
        <v>2012</v>
      </c>
      <c r="D1112" t="n">
        <v>2025</v>
      </c>
      <c r="E1112" t="inlineStr">
        <is>
          <t>21 Jump Street, 22 Jump Street, The Lego Movie, The Lego Movie 2: The Second Part, Mission: Impossible - The Final Reckoning, Sing</t>
        </is>
      </c>
      <c r="F1112" t="inlineStr">
        <is>
          <t>F0007, F0008, F0195, F0196, F0228, F0280</t>
        </is>
      </c>
    </row>
    <row r="1113">
      <c r="A1113" t="inlineStr">
        <is>
          <t>Holly Robinson Peete</t>
        </is>
      </c>
      <c r="B1113" t="n">
        <v>1</v>
      </c>
      <c r="C1113" t="n">
        <v>2012</v>
      </c>
      <c r="D1113" t="n">
        <v>2012</v>
      </c>
      <c r="E1113" t="inlineStr">
        <is>
          <t>21 Jump Street</t>
        </is>
      </c>
      <c r="F1113" t="inlineStr">
        <is>
          <t>F0007</t>
        </is>
      </c>
    </row>
    <row r="1114">
      <c r="A1114" t="inlineStr">
        <is>
          <t>Johnny Pemberton</t>
        </is>
      </c>
      <c r="B1114" t="n">
        <v>2</v>
      </c>
      <c r="C1114" t="n">
        <v>2012</v>
      </c>
      <c r="D1114" t="n">
        <v>2014</v>
      </c>
      <c r="E1114" t="inlineStr">
        <is>
          <t>21 Jump Street, 22 Jump Street</t>
        </is>
      </c>
      <c r="F1114" t="inlineStr">
        <is>
          <t>F0007, F0008</t>
        </is>
      </c>
    </row>
    <row r="1115">
      <c r="A1115" t="inlineStr">
        <is>
          <t>Stanley Wong</t>
        </is>
      </c>
      <c r="B1115" t="n">
        <v>2</v>
      </c>
      <c r="C1115" t="n">
        <v>2012</v>
      </c>
      <c r="D1115" t="n">
        <v>2014</v>
      </c>
      <c r="E1115" t="inlineStr">
        <is>
          <t>21 Jump Street, 22 Jump Street</t>
        </is>
      </c>
      <c r="F1115" t="inlineStr">
        <is>
          <t>F0007, F0008</t>
        </is>
      </c>
    </row>
    <row r="1116">
      <c r="A1116" t="inlineStr">
        <is>
          <t>Justin Hires</t>
        </is>
      </c>
      <c r="B1116" t="n">
        <v>1</v>
      </c>
      <c r="C1116" t="n">
        <v>2012</v>
      </c>
      <c r="D1116" t="n">
        <v>2012</v>
      </c>
      <c r="E1116" t="inlineStr">
        <is>
          <t>21 Jump Street</t>
        </is>
      </c>
      <c r="F1116" t="inlineStr">
        <is>
          <t>F0007</t>
        </is>
      </c>
    </row>
    <row r="1117">
      <c r="A1117" t="inlineStr">
        <is>
          <t>Brett Lapeyrouse</t>
        </is>
      </c>
      <c r="B1117" t="n">
        <v>1</v>
      </c>
      <c r="C1117" t="n">
        <v>2012</v>
      </c>
      <c r="D1117" t="n">
        <v>2012</v>
      </c>
      <c r="E1117" t="inlineStr">
        <is>
          <t>21 Jump Street</t>
        </is>
      </c>
      <c r="F1117" t="inlineStr">
        <is>
          <t>F0007</t>
        </is>
      </c>
    </row>
    <row r="1118">
      <c r="A1118" t="inlineStr">
        <is>
          <t>Lindsey Broad</t>
        </is>
      </c>
      <c r="B1118" t="n">
        <v>1</v>
      </c>
      <c r="C1118" t="n">
        <v>2012</v>
      </c>
      <c r="D1118" t="n">
        <v>2012</v>
      </c>
      <c r="E1118" t="inlineStr">
        <is>
          <t>21 Jump Street</t>
        </is>
      </c>
      <c r="F1118" t="inlineStr">
        <is>
          <t>F0007</t>
        </is>
      </c>
    </row>
    <row r="1119">
      <c r="A1119" t="inlineStr">
        <is>
          <t>Caroline Aaron</t>
        </is>
      </c>
      <c r="B1119" t="n">
        <v>2</v>
      </c>
      <c r="C1119" t="n">
        <v>2012</v>
      </c>
      <c r="D1119" t="n">
        <v>2014</v>
      </c>
      <c r="E1119" t="inlineStr">
        <is>
          <t>21 Jump Street, 22 Jump Street</t>
        </is>
      </c>
      <c r="F1119" t="inlineStr">
        <is>
          <t>F0007, F0008</t>
        </is>
      </c>
    </row>
    <row r="1120">
      <c r="A1120" t="inlineStr">
        <is>
          <t>Joe Chrest</t>
        </is>
      </c>
      <c r="B1120" t="n">
        <v>5</v>
      </c>
      <c r="C1120" t="n">
        <v>2010</v>
      </c>
      <c r="D1120" t="n">
        <v>2014</v>
      </c>
      <c r="E1120" t="inlineStr">
        <is>
          <t>21 Jump Street, 22 Jump Street, Battle: Los Angeles, Killing Them Softly, RED</t>
        </is>
      </c>
      <c r="F1120" t="inlineStr">
        <is>
          <t>F0007, F0008, F0046, F0187, F0262</t>
        </is>
      </c>
    </row>
    <row r="1121">
      <c r="A1121" t="inlineStr">
        <is>
          <t>Geraldine Singer</t>
        </is>
      </c>
      <c r="B1121" t="n">
        <v>1</v>
      </c>
      <c r="C1121" t="n">
        <v>2012</v>
      </c>
      <c r="D1121" t="n">
        <v>2012</v>
      </c>
      <c r="E1121" t="inlineStr">
        <is>
          <t>21 Jump Street</t>
        </is>
      </c>
      <c r="F1121" t="inlineStr">
        <is>
          <t>F0007</t>
        </is>
      </c>
    </row>
    <row r="1122">
      <c r="A1122" t="inlineStr">
        <is>
          <t>Dakota Johnson</t>
        </is>
      </c>
      <c r="B1122" t="n">
        <v>2</v>
      </c>
      <c r="C1122" t="n">
        <v>2012</v>
      </c>
      <c r="D1122" t="n">
        <v>2014</v>
      </c>
      <c r="E1122" t="inlineStr">
        <is>
          <t>21 Jump Street, Need for Speed</t>
        </is>
      </c>
      <c r="F1122" t="inlineStr">
        <is>
          <t>F0007, F0234</t>
        </is>
      </c>
    </row>
    <row r="1123">
      <c r="A1123" t="inlineStr">
        <is>
          <t>Rye Rye</t>
        </is>
      </c>
      <c r="B1123" t="n">
        <v>2</v>
      </c>
      <c r="C1123" t="n">
        <v>2012</v>
      </c>
      <c r="D1123" t="n">
        <v>2014</v>
      </c>
      <c r="E1123" t="inlineStr">
        <is>
          <t>21 Jump Street, 22 Jump Street</t>
        </is>
      </c>
      <c r="F1123" t="inlineStr">
        <is>
          <t>F0007, F0008</t>
        </is>
      </c>
    </row>
    <row r="1124">
      <c r="A1124" t="inlineStr">
        <is>
          <t>Valerie Tian</t>
        </is>
      </c>
      <c r="B1124" t="n">
        <v>1</v>
      </c>
      <c r="C1124" t="n">
        <v>2012</v>
      </c>
      <c r="D1124" t="n">
        <v>2012</v>
      </c>
      <c r="E1124" t="inlineStr">
        <is>
          <t>21 Jump Street</t>
        </is>
      </c>
      <c r="F1124" t="inlineStr">
        <is>
          <t>F0007</t>
        </is>
      </c>
    </row>
    <row r="1125">
      <c r="A1125" t="inlineStr">
        <is>
          <t>Jaren Mitchell</t>
        </is>
      </c>
      <c r="B1125" t="n">
        <v>1</v>
      </c>
      <c r="C1125" t="n">
        <v>2012</v>
      </c>
      <c r="D1125" t="n">
        <v>2012</v>
      </c>
      <c r="E1125" t="inlineStr">
        <is>
          <t>21 Jump Street</t>
        </is>
      </c>
      <c r="F1125" t="inlineStr">
        <is>
          <t>F0007</t>
        </is>
      </c>
    </row>
    <row r="1126">
      <c r="A1126" t="inlineStr">
        <is>
          <t>Johnny Simmons</t>
        </is>
      </c>
      <c r="B1126" t="n">
        <v>1</v>
      </c>
      <c r="C1126" t="n">
        <v>2012</v>
      </c>
      <c r="D1126" t="n">
        <v>2012</v>
      </c>
      <c r="E1126" t="inlineStr">
        <is>
          <t>21 Jump Street</t>
        </is>
      </c>
      <c r="F1126" t="inlineStr">
        <is>
          <t>F0007</t>
        </is>
      </c>
    </row>
    <row r="1127">
      <c r="A1127" t="inlineStr">
        <is>
          <t>Keith Kurtz</t>
        </is>
      </c>
      <c r="B1127" t="n">
        <v>1</v>
      </c>
      <c r="C1127" t="n">
        <v>2012</v>
      </c>
      <c r="D1127" t="n">
        <v>2012</v>
      </c>
      <c r="E1127" t="inlineStr">
        <is>
          <t>21 Jump Street</t>
        </is>
      </c>
      <c r="F1127" t="inlineStr">
        <is>
          <t>F0007</t>
        </is>
      </c>
    </row>
    <row r="1128">
      <c r="A1128" t="inlineStr">
        <is>
          <t>Randal Reeder</t>
        </is>
      </c>
      <c r="B1128" t="n">
        <v>4</v>
      </c>
      <c r="C1128" t="n">
        <v>2012</v>
      </c>
      <c r="D1128" t="n">
        <v>2024</v>
      </c>
      <c r="E1128" t="inlineStr">
        <is>
          <t>21 Jump Street, Deadpool, Deadpool 2, Deadpool &amp; Wolverine</t>
        </is>
      </c>
      <c r="F1128" t="inlineStr">
        <is>
          <t>F0007, F0076, F0077, F0078</t>
        </is>
      </c>
    </row>
    <row r="1129">
      <c r="A1129" t="inlineStr">
        <is>
          <t>Peter Epstein</t>
        </is>
      </c>
      <c r="B1129" t="n">
        <v>1</v>
      </c>
      <c r="C1129" t="n">
        <v>2012</v>
      </c>
      <c r="D1129" t="n">
        <v>2012</v>
      </c>
      <c r="E1129" t="inlineStr">
        <is>
          <t>21 Jump Street</t>
        </is>
      </c>
      <c r="F1129" t="inlineStr">
        <is>
          <t>F0007</t>
        </is>
      </c>
    </row>
    <row r="1130">
      <c r="A1130" t="inlineStr">
        <is>
          <t>Anthony Molinari</t>
        </is>
      </c>
      <c r="B1130" t="n">
        <v>1</v>
      </c>
      <c r="C1130" t="n">
        <v>2012</v>
      </c>
      <c r="D1130" t="n">
        <v>2012</v>
      </c>
      <c r="E1130" t="inlineStr">
        <is>
          <t>21 Jump Street</t>
        </is>
      </c>
      <c r="F1130" t="inlineStr">
        <is>
          <t>F0007</t>
        </is>
      </c>
    </row>
    <row r="1131">
      <c r="A1131" t="inlineStr">
        <is>
          <t>Jillian Bell</t>
        </is>
      </c>
      <c r="B1131" t="n">
        <v>1</v>
      </c>
      <c r="C1131" t="n">
        <v>2014</v>
      </c>
      <c r="D1131" t="n">
        <v>2014</v>
      </c>
      <c r="E1131" t="inlineStr">
        <is>
          <t>22 Jump Street</t>
        </is>
      </c>
      <c r="F1131" t="inlineStr">
        <is>
          <t>F0008</t>
        </is>
      </c>
    </row>
    <row r="1132">
      <c r="A1132" t="inlineStr">
        <is>
          <t>Keith Lucas</t>
        </is>
      </c>
      <c r="B1132" t="n">
        <v>1</v>
      </c>
      <c r="C1132" t="n">
        <v>2014</v>
      </c>
      <c r="D1132" t="n">
        <v>2014</v>
      </c>
      <c r="E1132" t="inlineStr">
        <is>
          <t>22 Jump Street</t>
        </is>
      </c>
      <c r="F1132" t="inlineStr">
        <is>
          <t>F0008</t>
        </is>
      </c>
    </row>
    <row r="1133">
      <c r="A1133" t="inlineStr">
        <is>
          <t>Kenneth Lucas</t>
        </is>
      </c>
      <c r="B1133" t="n">
        <v>1</v>
      </c>
      <c r="C1133" t="n">
        <v>2014</v>
      </c>
      <c r="D1133" t="n">
        <v>2014</v>
      </c>
      <c r="E1133" t="inlineStr">
        <is>
          <t>22 Jump Street</t>
        </is>
      </c>
      <c r="F1133" t="inlineStr">
        <is>
          <t>F0008</t>
        </is>
      </c>
    </row>
    <row r="1134">
      <c r="A1134" t="inlineStr">
        <is>
          <t>Jimmy Tatro</t>
        </is>
      </c>
      <c r="B1134" t="n">
        <v>1</v>
      </c>
      <c r="C1134" t="n">
        <v>2014</v>
      </c>
      <c r="D1134" t="n">
        <v>2014</v>
      </c>
      <c r="E1134" t="inlineStr">
        <is>
          <t>22 Jump Street</t>
        </is>
      </c>
      <c r="F1134" t="inlineStr">
        <is>
          <t>F0008</t>
        </is>
      </c>
    </row>
    <row r="1135">
      <c r="A1135" t="inlineStr">
        <is>
          <t>Craig Roberts</t>
        </is>
      </c>
      <c r="B1135" t="n">
        <v>1</v>
      </c>
      <c r="C1135" t="n">
        <v>2014</v>
      </c>
      <c r="D1135" t="n">
        <v>2014</v>
      </c>
      <c r="E1135" t="inlineStr">
        <is>
          <t>22 Jump Street</t>
        </is>
      </c>
      <c r="F1135" t="inlineStr">
        <is>
          <t>F0008</t>
        </is>
      </c>
    </row>
    <row r="1136">
      <c r="A1136" t="inlineStr">
        <is>
          <t>Marc Evan Jackson</t>
        </is>
      </c>
      <c r="B1136" t="n">
        <v>2</v>
      </c>
      <c r="C1136" t="n">
        <v>2014</v>
      </c>
      <c r="D1136" t="n">
        <v>2017</v>
      </c>
      <c r="E1136" t="inlineStr">
        <is>
          <t>22 Jump Street, Kong: Skull Island</t>
        </is>
      </c>
      <c r="F1136" t="inlineStr">
        <is>
          <t>F0008, F0190</t>
        </is>
      </c>
    </row>
    <row r="1137">
      <c r="A1137" t="inlineStr">
        <is>
          <t>Eddie J. Fernandez</t>
        </is>
      </c>
      <c r="B1137" t="n">
        <v>1</v>
      </c>
      <c r="C1137" t="n">
        <v>2014</v>
      </c>
      <c r="D1137" t="n">
        <v>2014</v>
      </c>
      <c r="E1137" t="inlineStr">
        <is>
          <t>22 Jump Street</t>
        </is>
      </c>
      <c r="F1137" t="inlineStr">
        <is>
          <t>F0008</t>
        </is>
      </c>
    </row>
    <row r="1138">
      <c r="A1138" t="inlineStr">
        <is>
          <t>Diplo</t>
        </is>
      </c>
      <c r="B1138" t="n">
        <v>1</v>
      </c>
      <c r="C1138" t="n">
        <v>2014</v>
      </c>
      <c r="D1138" t="n">
        <v>2014</v>
      </c>
      <c r="E1138" t="inlineStr">
        <is>
          <t>22 Jump Street</t>
        </is>
      </c>
      <c r="F1138" t="inlineStr">
        <is>
          <t>F0008</t>
        </is>
      </c>
    </row>
    <row r="1139">
      <c r="A1139" t="inlineStr">
        <is>
          <t>Tyler Forrest</t>
        </is>
      </c>
      <c r="B1139" t="n">
        <v>1</v>
      </c>
      <c r="C1139" t="n">
        <v>2014</v>
      </c>
      <c r="D1139" t="n">
        <v>2014</v>
      </c>
      <c r="E1139" t="inlineStr">
        <is>
          <t>22 Jump Street</t>
        </is>
      </c>
      <c r="F1139" t="inlineStr">
        <is>
          <t>F0008</t>
        </is>
      </c>
    </row>
    <row r="1140">
      <c r="A1140" t="inlineStr">
        <is>
          <t>John Bostic</t>
        </is>
      </c>
      <c r="B1140" t="n">
        <v>1</v>
      </c>
      <c r="C1140" t="n">
        <v>2014</v>
      </c>
      <c r="D1140" t="n">
        <v>2014</v>
      </c>
      <c r="E1140" t="inlineStr">
        <is>
          <t>22 Jump Street</t>
        </is>
      </c>
      <c r="F1140" t="inlineStr">
        <is>
          <t>F0008</t>
        </is>
      </c>
    </row>
    <row r="1141">
      <c r="A1141" t="inlineStr">
        <is>
          <t>Richard Grieco</t>
        </is>
      </c>
      <c r="B1141" t="n">
        <v>1</v>
      </c>
      <c r="C1141" t="n">
        <v>2014</v>
      </c>
      <c r="D1141" t="n">
        <v>2014</v>
      </c>
      <c r="E1141" t="inlineStr">
        <is>
          <t>22 Jump Street</t>
        </is>
      </c>
      <c r="F1141" t="inlineStr">
        <is>
          <t>F0008</t>
        </is>
      </c>
    </row>
    <row r="1142">
      <c r="A1142" t="inlineStr">
        <is>
          <t>Dustin Nguyen</t>
        </is>
      </c>
      <c r="B1142" t="n">
        <v>1</v>
      </c>
      <c r="C1142" t="n">
        <v>2014</v>
      </c>
      <c r="D1142" t="n">
        <v>2014</v>
      </c>
      <c r="E1142" t="inlineStr">
        <is>
          <t>22 Jump Street</t>
        </is>
      </c>
      <c r="F1142" t="inlineStr">
        <is>
          <t>F0008</t>
        </is>
      </c>
    </row>
    <row r="1143">
      <c r="A1143" t="inlineStr">
        <is>
          <t>Ian Hoch</t>
        </is>
      </c>
      <c r="B1143" t="n">
        <v>1</v>
      </c>
      <c r="C1143" t="n">
        <v>2014</v>
      </c>
      <c r="D1143" t="n">
        <v>2014</v>
      </c>
      <c r="E1143" t="inlineStr">
        <is>
          <t>22 Jump Street</t>
        </is>
      </c>
      <c r="F1143" t="inlineStr">
        <is>
          <t>F0008</t>
        </is>
      </c>
    </row>
    <row r="1144">
      <c r="A1144" t="inlineStr">
        <is>
          <t>Kate Adair</t>
        </is>
      </c>
      <c r="B1144" t="n">
        <v>1</v>
      </c>
      <c r="C1144" t="n">
        <v>2014</v>
      </c>
      <c r="D1144" t="n">
        <v>2014</v>
      </c>
      <c r="E1144" t="inlineStr">
        <is>
          <t>22 Jump Street</t>
        </is>
      </c>
      <c r="F1144" t="inlineStr">
        <is>
          <t>F0008</t>
        </is>
      </c>
    </row>
    <row r="1145">
      <c r="A1145" t="inlineStr">
        <is>
          <t>Drew Cross</t>
        </is>
      </c>
      <c r="B1145" t="n">
        <v>1</v>
      </c>
      <c r="C1145" t="n">
        <v>2014</v>
      </c>
      <c r="D1145" t="n">
        <v>2014</v>
      </c>
      <c r="E1145" t="inlineStr">
        <is>
          <t>22 Jump Street</t>
        </is>
      </c>
      <c r="F1145" t="inlineStr">
        <is>
          <t>F0008</t>
        </is>
      </c>
    </row>
    <row r="1146">
      <c r="A1146" t="inlineStr">
        <is>
          <t>Katrina Despain</t>
        </is>
      </c>
      <c r="B1146" t="n">
        <v>2</v>
      </c>
      <c r="C1146" t="n">
        <v>2012</v>
      </c>
      <c r="D1146" t="n">
        <v>2014</v>
      </c>
      <c r="E1146" t="inlineStr">
        <is>
          <t>22 Jump Street, Pitch Perfect</t>
        </is>
      </c>
      <c r="F1146" t="inlineStr">
        <is>
          <t>F0008, F0250</t>
        </is>
      </c>
    </row>
    <row r="1147">
      <c r="A1147" t="inlineStr">
        <is>
          <t>Oscar Gale</t>
        </is>
      </c>
      <c r="B1147" t="n">
        <v>1</v>
      </c>
      <c r="C1147" t="n">
        <v>2014</v>
      </c>
      <c r="D1147" t="n">
        <v>2014</v>
      </c>
      <c r="E1147" t="inlineStr">
        <is>
          <t>22 Jump Street</t>
        </is>
      </c>
      <c r="F1147" t="inlineStr">
        <is>
          <t>F0008</t>
        </is>
      </c>
    </row>
    <row r="1148">
      <c r="A1148" t="inlineStr">
        <is>
          <t>Bianca Kajlich</t>
        </is>
      </c>
      <c r="B1148" t="n">
        <v>1</v>
      </c>
      <c r="C1148" t="n">
        <v>2011</v>
      </c>
      <c r="D1148" t="n">
        <v>2011</v>
      </c>
      <c r="E1148" t="inlineStr">
        <is>
          <t>30 Minutes or Less</t>
        </is>
      </c>
      <c r="F1148" t="inlineStr">
        <is>
          <t>F0009</t>
        </is>
      </c>
    </row>
    <row r="1149">
      <c r="A1149" t="inlineStr">
        <is>
          <t>Fred Ward</t>
        </is>
      </c>
      <c r="B1149" t="n">
        <v>1</v>
      </c>
      <c r="C1149" t="n">
        <v>2011</v>
      </c>
      <c r="D1149" t="n">
        <v>2011</v>
      </c>
      <c r="E1149" t="inlineStr">
        <is>
          <t>30 Minutes or Less</t>
        </is>
      </c>
      <c r="F1149" t="inlineStr">
        <is>
          <t>F0009</t>
        </is>
      </c>
    </row>
    <row r="1150">
      <c r="A1150" t="inlineStr">
        <is>
          <t>Samuel Johnston</t>
        </is>
      </c>
      <c r="B1150" t="n">
        <v>1</v>
      </c>
      <c r="C1150" t="n">
        <v>2011</v>
      </c>
      <c r="D1150" t="n">
        <v>2011</v>
      </c>
      <c r="E1150" t="inlineStr">
        <is>
          <t>30 Minutes or Less</t>
        </is>
      </c>
      <c r="F1150" t="inlineStr">
        <is>
          <t>F0009</t>
        </is>
      </c>
    </row>
    <row r="1151">
      <c r="A1151" t="inlineStr">
        <is>
          <t>Jack Foley</t>
        </is>
      </c>
      <c r="B1151" t="n">
        <v>1</v>
      </c>
      <c r="C1151" t="n">
        <v>2011</v>
      </c>
      <c r="D1151" t="n">
        <v>2011</v>
      </c>
      <c r="E1151" t="inlineStr">
        <is>
          <t>30 Minutes or Less</t>
        </is>
      </c>
      <c r="F1151" t="inlineStr">
        <is>
          <t>F0009</t>
        </is>
      </c>
    </row>
    <row r="1152">
      <c r="A1152" t="inlineStr">
        <is>
          <t>Elizabeth Shapiro</t>
        </is>
      </c>
      <c r="B1152" t="n">
        <v>1</v>
      </c>
      <c r="C1152" t="n">
        <v>2011</v>
      </c>
      <c r="D1152" t="n">
        <v>2011</v>
      </c>
      <c r="E1152" t="inlineStr">
        <is>
          <t>30 Minutes or Less</t>
        </is>
      </c>
      <c r="F1152" t="inlineStr">
        <is>
          <t>F0009</t>
        </is>
      </c>
    </row>
    <row r="1153">
      <c r="A1153" t="inlineStr">
        <is>
          <t>Brett Gelman</t>
        </is>
      </c>
      <c r="B1153" t="n">
        <v>1</v>
      </c>
      <c r="C1153" t="n">
        <v>2011</v>
      </c>
      <c r="D1153" t="n">
        <v>2011</v>
      </c>
      <c r="E1153" t="inlineStr">
        <is>
          <t>30 Minutes or Less</t>
        </is>
      </c>
      <c r="F1153" t="inlineStr">
        <is>
          <t>F0009</t>
        </is>
      </c>
    </row>
    <row r="1154">
      <c r="A1154" t="inlineStr">
        <is>
          <t>Paul Tierney</t>
        </is>
      </c>
      <c r="B1154" t="n">
        <v>1</v>
      </c>
      <c r="C1154" t="n">
        <v>2011</v>
      </c>
      <c r="D1154" t="n">
        <v>2011</v>
      </c>
      <c r="E1154" t="inlineStr">
        <is>
          <t>30 Minutes or Less</t>
        </is>
      </c>
      <c r="F1154" t="inlineStr">
        <is>
          <t>F0009</t>
        </is>
      </c>
    </row>
    <row r="1155">
      <c r="A1155" t="inlineStr">
        <is>
          <t>Staci Lynn Fletcher</t>
        </is>
      </c>
      <c r="B1155" t="n">
        <v>1</v>
      </c>
      <c r="C1155" t="n">
        <v>2011</v>
      </c>
      <c r="D1155" t="n">
        <v>2011</v>
      </c>
      <c r="E1155" t="inlineStr">
        <is>
          <t>30 Minutes or Less</t>
        </is>
      </c>
      <c r="F1155" t="inlineStr">
        <is>
          <t>F0009</t>
        </is>
      </c>
    </row>
    <row r="1156">
      <c r="A1156" t="inlineStr">
        <is>
          <t>Gary Brichetto</t>
        </is>
      </c>
      <c r="B1156" t="n">
        <v>1</v>
      </c>
      <c r="C1156" t="n">
        <v>2011</v>
      </c>
      <c r="D1156" t="n">
        <v>2011</v>
      </c>
      <c r="E1156" t="inlineStr">
        <is>
          <t>30 Minutes or Less</t>
        </is>
      </c>
      <c r="F1156" t="inlineStr">
        <is>
          <t>F0009</t>
        </is>
      </c>
    </row>
    <row r="1157">
      <c r="A1157" t="inlineStr">
        <is>
          <t>Ilyssa Fradin</t>
        </is>
      </c>
      <c r="B1157" t="n">
        <v>1</v>
      </c>
      <c r="C1157" t="n">
        <v>2011</v>
      </c>
      <c r="D1157" t="n">
        <v>2011</v>
      </c>
      <c r="E1157" t="inlineStr">
        <is>
          <t>30 Minutes or Less</t>
        </is>
      </c>
      <c r="F1157" t="inlineStr">
        <is>
          <t>F0009</t>
        </is>
      </c>
    </row>
    <row r="1158">
      <c r="A1158" t="inlineStr">
        <is>
          <t>Grace Heemstra</t>
        </is>
      </c>
      <c r="B1158" t="n">
        <v>1</v>
      </c>
      <c r="C1158" t="n">
        <v>2011</v>
      </c>
      <c r="D1158" t="n">
        <v>2011</v>
      </c>
      <c r="E1158" t="inlineStr">
        <is>
          <t>30 Minutes or Less</t>
        </is>
      </c>
      <c r="F1158" t="inlineStr">
        <is>
          <t>F0009</t>
        </is>
      </c>
    </row>
    <row r="1159">
      <c r="A1159" t="inlineStr">
        <is>
          <t>Torey Adkins</t>
        </is>
      </c>
      <c r="B1159" t="n">
        <v>1</v>
      </c>
      <c r="C1159" t="n">
        <v>2011</v>
      </c>
      <c r="D1159" t="n">
        <v>2011</v>
      </c>
      <c r="E1159" t="inlineStr">
        <is>
          <t>30 Minutes or Less</t>
        </is>
      </c>
      <c r="F1159" t="inlineStr">
        <is>
          <t>F0009</t>
        </is>
      </c>
    </row>
    <row r="1160">
      <c r="A1160" t="inlineStr">
        <is>
          <t>Rebecca Cox</t>
        </is>
      </c>
      <c r="B1160" t="n">
        <v>1</v>
      </c>
      <c r="C1160" t="n">
        <v>2011</v>
      </c>
      <c r="D1160" t="n">
        <v>2011</v>
      </c>
      <c r="E1160" t="inlineStr">
        <is>
          <t>30 Minutes or Less</t>
        </is>
      </c>
      <c r="F1160" t="inlineStr">
        <is>
          <t>F0009</t>
        </is>
      </c>
    </row>
    <row r="1161">
      <c r="A1161" t="inlineStr">
        <is>
          <t>Rick Irwin</t>
        </is>
      </c>
      <c r="B1161" t="n">
        <v>1</v>
      </c>
      <c r="C1161" t="n">
        <v>2011</v>
      </c>
      <c r="D1161" t="n">
        <v>2011</v>
      </c>
      <c r="E1161" t="inlineStr">
        <is>
          <t>30 Minutes or Less</t>
        </is>
      </c>
      <c r="F1161" t="inlineStr">
        <is>
          <t>F0009</t>
        </is>
      </c>
    </row>
    <row r="1162">
      <c r="A1162" t="inlineStr">
        <is>
          <t>Sam Tedesco</t>
        </is>
      </c>
      <c r="B1162" t="n">
        <v>1</v>
      </c>
      <c r="C1162" t="n">
        <v>2011</v>
      </c>
      <c r="D1162" t="n">
        <v>2011</v>
      </c>
      <c r="E1162" t="inlineStr">
        <is>
          <t>30 Minutes or Less</t>
        </is>
      </c>
      <c r="F1162" t="inlineStr">
        <is>
          <t>F0009</t>
        </is>
      </c>
    </row>
    <row r="1163">
      <c r="A1163" t="inlineStr">
        <is>
          <t>Wayne Bibbs</t>
        </is>
      </c>
      <c r="B1163" t="n">
        <v>1</v>
      </c>
      <c r="C1163" t="n">
        <v>2011</v>
      </c>
      <c r="D1163" t="n">
        <v>2011</v>
      </c>
      <c r="E1163" t="inlineStr">
        <is>
          <t>30 Minutes or Less</t>
        </is>
      </c>
      <c r="F1163" t="inlineStr">
        <is>
          <t>F0009</t>
        </is>
      </c>
    </row>
    <row r="1164">
      <c r="A1164" t="inlineStr">
        <is>
          <t>Jamaal Hines</t>
        </is>
      </c>
      <c r="B1164" t="n">
        <v>1</v>
      </c>
      <c r="C1164" t="n">
        <v>2011</v>
      </c>
      <c r="D1164" t="n">
        <v>2011</v>
      </c>
      <c r="E1164" t="inlineStr">
        <is>
          <t>30 Minutes or Less</t>
        </is>
      </c>
      <c r="F1164" t="inlineStr">
        <is>
          <t>F0009</t>
        </is>
      </c>
    </row>
    <row r="1165">
      <c r="A1165" t="inlineStr">
        <is>
          <t>Joseph Lyman</t>
        </is>
      </c>
      <c r="B1165" t="n">
        <v>1</v>
      </c>
      <c r="C1165" t="n">
        <v>2011</v>
      </c>
      <c r="D1165" t="n">
        <v>2011</v>
      </c>
      <c r="E1165" t="inlineStr">
        <is>
          <t>30 Minutes or Less</t>
        </is>
      </c>
      <c r="F1165" t="inlineStr">
        <is>
          <t>F0009</t>
        </is>
      </c>
    </row>
    <row r="1166">
      <c r="A1166" t="inlineStr">
        <is>
          <t>David Fleischer</t>
        </is>
      </c>
      <c r="B1166" t="n">
        <v>1</v>
      </c>
      <c r="C1166" t="n">
        <v>2011</v>
      </c>
      <c r="D1166" t="n">
        <v>2011</v>
      </c>
      <c r="E1166" t="inlineStr">
        <is>
          <t>30 Minutes or Less</t>
        </is>
      </c>
      <c r="F1166" t="inlineStr">
        <is>
          <t>F0009</t>
        </is>
      </c>
    </row>
    <row r="1167">
      <c r="A1167" t="inlineStr">
        <is>
          <t>Lucas Fleischer</t>
        </is>
      </c>
      <c r="B1167" t="n">
        <v>1</v>
      </c>
      <c r="C1167" t="n">
        <v>2011</v>
      </c>
      <c r="D1167" t="n">
        <v>2011</v>
      </c>
      <c r="E1167" t="inlineStr">
        <is>
          <t>30 Minutes or Less</t>
        </is>
      </c>
      <c r="F1167" t="inlineStr">
        <is>
          <t>F0009</t>
        </is>
      </c>
    </row>
    <row r="1168">
      <c r="A1168" t="inlineStr">
        <is>
          <t>Matthew Sullivan</t>
        </is>
      </c>
      <c r="B1168" t="n">
        <v>1</v>
      </c>
      <c r="C1168" t="n">
        <v>2011</v>
      </c>
      <c r="D1168" t="n">
        <v>2011</v>
      </c>
      <c r="E1168" t="inlineStr">
        <is>
          <t>30 Minutes or Less</t>
        </is>
      </c>
      <c r="F1168" t="inlineStr">
        <is>
          <t>F0009</t>
        </is>
      </c>
    </row>
    <row r="1169">
      <c r="A1169" t="inlineStr">
        <is>
          <t>Angelique Sky</t>
        </is>
      </c>
      <c r="B1169" t="n">
        <v>1</v>
      </c>
      <c r="C1169" t="n">
        <v>2011</v>
      </c>
      <c r="D1169" t="n">
        <v>2011</v>
      </c>
      <c r="E1169" t="inlineStr">
        <is>
          <t>30 Minutes or Less</t>
        </is>
      </c>
      <c r="F1169" t="inlineStr">
        <is>
          <t>F0009</t>
        </is>
      </c>
    </row>
    <row r="1170">
      <c r="A1170" t="inlineStr">
        <is>
          <t>Melvil Poupaud</t>
        </is>
      </c>
      <c r="B1170" t="n">
        <v>1</v>
      </c>
      <c r="C1170" t="n">
        <v>2009</v>
      </c>
      <c r="D1170" t="n">
        <v>2009</v>
      </c>
      <c r="E1170" t="inlineStr">
        <is>
          <t>44 Inch Chest</t>
        </is>
      </c>
      <c r="F1170" t="inlineStr">
        <is>
          <t>F0010</t>
        </is>
      </c>
    </row>
    <row r="1171">
      <c r="A1171" t="inlineStr">
        <is>
          <t>Steven Berkoff</t>
        </is>
      </c>
      <c r="B1171" t="n">
        <v>2</v>
      </c>
      <c r="C1171" t="n">
        <v>2009</v>
      </c>
      <c r="D1171" t="n">
        <v>2011</v>
      </c>
      <c r="E1171" t="inlineStr">
        <is>
          <t>44 Inch Chest, The Girl with the Dragon Tattoo</t>
        </is>
      </c>
      <c r="F1171" t="inlineStr">
        <is>
          <t>F0010, F0120</t>
        </is>
      </c>
    </row>
    <row r="1172">
      <c r="A1172" t="inlineStr">
        <is>
          <t>Derek Lea</t>
        </is>
      </c>
      <c r="B1172" t="n">
        <v>1</v>
      </c>
      <c r="C1172" t="n">
        <v>2009</v>
      </c>
      <c r="D1172" t="n">
        <v>2009</v>
      </c>
      <c r="E1172" t="inlineStr">
        <is>
          <t>44 Inch Chest</t>
        </is>
      </c>
      <c r="F1172" t="inlineStr">
        <is>
          <t>F0010</t>
        </is>
      </c>
    </row>
    <row r="1173">
      <c r="A1173" t="inlineStr">
        <is>
          <t>Andy de la Tour</t>
        </is>
      </c>
      <c r="B1173" t="n">
        <v>1</v>
      </c>
      <c r="C1173" t="n">
        <v>2009</v>
      </c>
      <c r="D1173" t="n">
        <v>2009</v>
      </c>
      <c r="E1173" t="inlineStr">
        <is>
          <t>44 Inch Chest</t>
        </is>
      </c>
      <c r="F1173" t="inlineStr">
        <is>
          <t>F0010</t>
        </is>
      </c>
    </row>
    <row r="1174">
      <c r="A1174" t="inlineStr">
        <is>
          <t>Stephen Dillane</t>
        </is>
      </c>
      <c r="B1174" t="n">
        <v>2</v>
      </c>
      <c r="C1174" t="n">
        <v>2009</v>
      </c>
      <c r="D1174" t="n">
        <v>2012</v>
      </c>
      <c r="E1174" t="inlineStr">
        <is>
          <t>44 Inch Chest, Zero Dark Thirty</t>
        </is>
      </c>
      <c r="F1174" t="inlineStr">
        <is>
          <t>F0010, F0349</t>
        </is>
      </c>
    </row>
    <row r="1175">
      <c r="A1175" t="inlineStr">
        <is>
          <t>Edna Doré</t>
        </is>
      </c>
      <c r="B1175" t="n">
        <v>1</v>
      </c>
      <c r="C1175" t="n">
        <v>2009</v>
      </c>
      <c r="D1175" t="n">
        <v>2009</v>
      </c>
      <c r="E1175" t="inlineStr">
        <is>
          <t>44 Inch Chest</t>
        </is>
      </c>
      <c r="F1175" t="inlineStr">
        <is>
          <t>F0010</t>
        </is>
      </c>
    </row>
    <row r="1176">
      <c r="A1176" t="inlineStr">
        <is>
          <t>Anjelica Huston</t>
        </is>
      </c>
      <c r="B1176" t="n">
        <v>1</v>
      </c>
      <c r="C1176" t="n">
        <v>2011</v>
      </c>
      <c r="D1176" t="n">
        <v>2011</v>
      </c>
      <c r="E1176" t="inlineStr">
        <is>
          <t>50/50</t>
        </is>
      </c>
      <c r="F1176" t="inlineStr">
        <is>
          <t>F0011</t>
        </is>
      </c>
    </row>
    <row r="1177">
      <c r="A1177" t="inlineStr">
        <is>
          <t>Serge Houde</t>
        </is>
      </c>
      <c r="B1177" t="n">
        <v>1</v>
      </c>
      <c r="C1177" t="n">
        <v>2011</v>
      </c>
      <c r="D1177" t="n">
        <v>2011</v>
      </c>
      <c r="E1177" t="inlineStr">
        <is>
          <t>50/50</t>
        </is>
      </c>
      <c r="F1177" t="inlineStr">
        <is>
          <t>F0011</t>
        </is>
      </c>
    </row>
    <row r="1178">
      <c r="A1178" t="inlineStr">
        <is>
          <t>Matt Frewer</t>
        </is>
      </c>
      <c r="B1178" t="n">
        <v>3</v>
      </c>
      <c r="C1178" t="n">
        <v>2011</v>
      </c>
      <c r="D1178" t="n">
        <v>2016</v>
      </c>
      <c r="E1178" t="inlineStr">
        <is>
          <t>50/50, The BFG, Hercules</t>
        </is>
      </c>
      <c r="F1178" t="inlineStr">
        <is>
          <t>F0011, F0047, F0147</t>
        </is>
      </c>
    </row>
    <row r="1179">
      <c r="A1179" t="inlineStr">
        <is>
          <t>Andrew Airlie</t>
        </is>
      </c>
      <c r="B1179" t="n">
        <v>1</v>
      </c>
      <c r="C1179" t="n">
        <v>2011</v>
      </c>
      <c r="D1179" t="n">
        <v>2011</v>
      </c>
      <c r="E1179" t="inlineStr">
        <is>
          <t>50/50</t>
        </is>
      </c>
      <c r="F1179" t="inlineStr">
        <is>
          <t>F0011</t>
        </is>
      </c>
    </row>
    <row r="1180">
      <c r="A1180" t="inlineStr">
        <is>
          <t>Peter Kelamis</t>
        </is>
      </c>
      <c r="B1180" t="n">
        <v>1</v>
      </c>
      <c r="C1180" t="n">
        <v>2011</v>
      </c>
      <c r="D1180" t="n">
        <v>2011</v>
      </c>
      <c r="E1180" t="inlineStr">
        <is>
          <t>50/50</t>
        </is>
      </c>
      <c r="F1180" t="inlineStr">
        <is>
          <t>F0011</t>
        </is>
      </c>
    </row>
    <row r="1181">
      <c r="A1181" t="inlineStr">
        <is>
          <t>Jessica Parker Kennedy</t>
        </is>
      </c>
      <c r="B1181" t="n">
        <v>1</v>
      </c>
      <c r="C1181" t="n">
        <v>2011</v>
      </c>
      <c r="D1181" t="n">
        <v>2011</v>
      </c>
      <c r="E1181" t="inlineStr">
        <is>
          <t>50/50</t>
        </is>
      </c>
      <c r="F1181" t="inlineStr">
        <is>
          <t>F0011</t>
        </is>
      </c>
    </row>
    <row r="1182">
      <c r="A1182" t="inlineStr">
        <is>
          <t>Sugar Lyn Beard</t>
        </is>
      </c>
      <c r="B1182" t="n">
        <v>1</v>
      </c>
      <c r="C1182" t="n">
        <v>2011</v>
      </c>
      <c r="D1182" t="n">
        <v>2011</v>
      </c>
      <c r="E1182" t="inlineStr">
        <is>
          <t>50/50</t>
        </is>
      </c>
      <c r="F1182" t="inlineStr">
        <is>
          <t>F0011</t>
        </is>
      </c>
    </row>
    <row r="1183">
      <c r="A1183" t="inlineStr">
        <is>
          <t>Donna Yamamoto</t>
        </is>
      </c>
      <c r="B1183" t="n">
        <v>2</v>
      </c>
      <c r="C1183" t="n">
        <v>2011</v>
      </c>
      <c r="D1183" t="n">
        <v>2016</v>
      </c>
      <c r="E1183" t="inlineStr">
        <is>
          <t>50/50, Deadpool</t>
        </is>
      </c>
      <c r="F1183" t="inlineStr">
        <is>
          <t>F0011, F0076</t>
        </is>
      </c>
    </row>
    <row r="1184">
      <c r="A1184" t="inlineStr">
        <is>
          <t>Yee Jee Tso</t>
        </is>
      </c>
      <c r="B1184" t="n">
        <v>1</v>
      </c>
      <c r="C1184" t="n">
        <v>2011</v>
      </c>
      <c r="D1184" t="n">
        <v>2011</v>
      </c>
      <c r="E1184" t="inlineStr">
        <is>
          <t>50/50</t>
        </is>
      </c>
      <c r="F1184" t="inlineStr">
        <is>
          <t>F0011</t>
        </is>
      </c>
    </row>
    <row r="1185">
      <c r="A1185" t="inlineStr">
        <is>
          <t>Sarah Smyth</t>
        </is>
      </c>
      <c r="B1185" t="n">
        <v>1</v>
      </c>
      <c r="C1185" t="n">
        <v>2011</v>
      </c>
      <c r="D1185" t="n">
        <v>2011</v>
      </c>
      <c r="E1185" t="inlineStr">
        <is>
          <t>50/50</t>
        </is>
      </c>
      <c r="F1185" t="inlineStr">
        <is>
          <t>F0011</t>
        </is>
      </c>
    </row>
    <row r="1186">
      <c r="A1186" t="inlineStr">
        <is>
          <t>Daniel Bacon</t>
        </is>
      </c>
      <c r="B1186" t="n">
        <v>2</v>
      </c>
      <c r="C1186" t="n">
        <v>2011</v>
      </c>
      <c r="D1186" t="n">
        <v>2016</v>
      </c>
      <c r="E1186" t="inlineStr">
        <is>
          <t>50/50, The BFG</t>
        </is>
      </c>
      <c r="F1186" t="inlineStr">
        <is>
          <t>F0011, F0047</t>
        </is>
      </c>
    </row>
    <row r="1187">
      <c r="A1187" t="inlineStr">
        <is>
          <t>P. Lynn Johnson</t>
        </is>
      </c>
      <c r="B1187" t="n">
        <v>1</v>
      </c>
      <c r="C1187" t="n">
        <v>2011</v>
      </c>
      <c r="D1187" t="n">
        <v>2011</v>
      </c>
      <c r="E1187" t="inlineStr">
        <is>
          <t>50/50</t>
        </is>
      </c>
      <c r="F1187" t="inlineStr">
        <is>
          <t>F0011</t>
        </is>
      </c>
    </row>
    <row r="1188">
      <c r="A1188" t="inlineStr">
        <is>
          <t>Laura Bertram</t>
        </is>
      </c>
      <c r="B1188" t="n">
        <v>1</v>
      </c>
      <c r="C1188" t="n">
        <v>2011</v>
      </c>
      <c r="D1188" t="n">
        <v>2011</v>
      </c>
      <c r="E1188" t="inlineStr">
        <is>
          <t>50/50</t>
        </is>
      </c>
      <c r="F1188" t="inlineStr">
        <is>
          <t>F0011</t>
        </is>
      </c>
    </row>
    <row r="1189">
      <c r="A1189" t="inlineStr">
        <is>
          <t>Matty Finochio</t>
        </is>
      </c>
      <c r="B1189" t="n">
        <v>1</v>
      </c>
      <c r="C1189" t="n">
        <v>2011</v>
      </c>
      <c r="D1189" t="n">
        <v>2011</v>
      </c>
      <c r="E1189" t="inlineStr">
        <is>
          <t>50/50</t>
        </is>
      </c>
      <c r="F1189" t="inlineStr">
        <is>
          <t>F0011</t>
        </is>
      </c>
    </row>
    <row r="1190">
      <c r="A1190" t="inlineStr">
        <is>
          <t>Marie Avgeropoulos</t>
        </is>
      </c>
      <c r="B1190" t="n">
        <v>1</v>
      </c>
      <c r="C1190" t="n">
        <v>2011</v>
      </c>
      <c r="D1190" t="n">
        <v>2011</v>
      </c>
      <c r="E1190" t="inlineStr">
        <is>
          <t>50/50</t>
        </is>
      </c>
      <c r="F1190" t="inlineStr">
        <is>
          <t>F0011</t>
        </is>
      </c>
    </row>
    <row r="1191">
      <c r="A1191" t="inlineStr">
        <is>
          <t>Luisa d'Oliveira</t>
        </is>
      </c>
      <c r="B1191" t="n">
        <v>1</v>
      </c>
      <c r="C1191" t="n">
        <v>2011</v>
      </c>
      <c r="D1191" t="n">
        <v>2011</v>
      </c>
      <c r="E1191" t="inlineStr">
        <is>
          <t>50/50</t>
        </is>
      </c>
      <c r="F1191" t="inlineStr">
        <is>
          <t>F0011</t>
        </is>
      </c>
    </row>
    <row r="1192">
      <c r="A1192" t="inlineStr">
        <is>
          <t>Veena Sood</t>
        </is>
      </c>
      <c r="B1192" t="n">
        <v>1</v>
      </c>
      <c r="C1192" t="n">
        <v>2011</v>
      </c>
      <c r="D1192" t="n">
        <v>2011</v>
      </c>
      <c r="E1192" t="inlineStr">
        <is>
          <t>50/50</t>
        </is>
      </c>
      <c r="F1192" t="inlineStr">
        <is>
          <t>F0011</t>
        </is>
      </c>
    </row>
    <row r="1193">
      <c r="A1193" t="inlineStr">
        <is>
          <t>Andrea Brooks</t>
        </is>
      </c>
      <c r="B1193" t="n">
        <v>1</v>
      </c>
      <c r="C1193" t="n">
        <v>2011</v>
      </c>
      <c r="D1193" t="n">
        <v>2011</v>
      </c>
      <c r="E1193" t="inlineStr">
        <is>
          <t>50/50</t>
        </is>
      </c>
      <c r="F1193" t="inlineStr">
        <is>
          <t>F0011</t>
        </is>
      </c>
    </row>
    <row r="1194">
      <c r="A1194" t="inlineStr">
        <is>
          <t>Beatrice King</t>
        </is>
      </c>
      <c r="B1194" t="n">
        <v>1</v>
      </c>
      <c r="C1194" t="n">
        <v>2011</v>
      </c>
      <c r="D1194" t="n">
        <v>2011</v>
      </c>
      <c r="E1194" t="inlineStr">
        <is>
          <t>50/50</t>
        </is>
      </c>
      <c r="F1194" t="inlineStr">
        <is>
          <t>F0011</t>
        </is>
      </c>
    </row>
    <row r="1195">
      <c r="A1195" t="inlineStr">
        <is>
          <t>Chilton Crane</t>
        </is>
      </c>
      <c r="B1195" t="n">
        <v>1</v>
      </c>
      <c r="C1195" t="n">
        <v>2011</v>
      </c>
      <c r="D1195" t="n">
        <v>2011</v>
      </c>
      <c r="E1195" t="inlineStr">
        <is>
          <t>50/50</t>
        </is>
      </c>
      <c r="F1195" t="inlineStr">
        <is>
          <t>F0011</t>
        </is>
      </c>
    </row>
    <row r="1196">
      <c r="A1196" t="inlineStr">
        <is>
          <t>Lauren Miller Rogen</t>
        </is>
      </c>
      <c r="B1196" t="n">
        <v>1</v>
      </c>
      <c r="C1196" t="n">
        <v>2011</v>
      </c>
      <c r="D1196" t="n">
        <v>2011</v>
      </c>
      <c r="E1196" t="inlineStr">
        <is>
          <t>50/50</t>
        </is>
      </c>
      <c r="F1196" t="inlineStr">
        <is>
          <t>F0011</t>
        </is>
      </c>
    </row>
    <row r="1197">
      <c r="A1197" t="inlineStr">
        <is>
          <t>Jason Vaisvila</t>
        </is>
      </c>
      <c r="B1197" t="n">
        <v>1</v>
      </c>
      <c r="C1197" t="n">
        <v>2011</v>
      </c>
      <c r="D1197" t="n">
        <v>2011</v>
      </c>
      <c r="E1197" t="inlineStr">
        <is>
          <t>50/50</t>
        </is>
      </c>
      <c r="F1197" t="inlineStr">
        <is>
          <t>F0011</t>
        </is>
      </c>
    </row>
    <row r="1198">
      <c r="A1198" t="inlineStr">
        <is>
          <t>Brent Sheppard</t>
        </is>
      </c>
      <c r="B1198" t="n">
        <v>1</v>
      </c>
      <c r="C1198" t="n">
        <v>2011</v>
      </c>
      <c r="D1198" t="n">
        <v>2011</v>
      </c>
      <c r="E1198" t="inlineStr">
        <is>
          <t>50/50</t>
        </is>
      </c>
      <c r="F1198" t="inlineStr">
        <is>
          <t>F0011</t>
        </is>
      </c>
    </row>
    <row r="1199">
      <c r="A1199" t="inlineStr">
        <is>
          <t>Stephanie Belding</t>
        </is>
      </c>
      <c r="B1199" t="n">
        <v>1</v>
      </c>
      <c r="C1199" t="n">
        <v>2011</v>
      </c>
      <c r="D1199" t="n">
        <v>2011</v>
      </c>
      <c r="E1199" t="inlineStr">
        <is>
          <t>50/50</t>
        </is>
      </c>
      <c r="F1199" t="inlineStr">
        <is>
          <t>F0011</t>
        </is>
      </c>
    </row>
    <row r="1200">
      <c r="A1200" t="inlineStr">
        <is>
          <t>Ryan W. Smith</t>
        </is>
      </c>
      <c r="B1200" t="n">
        <v>1</v>
      </c>
      <c r="C1200" t="n">
        <v>2011</v>
      </c>
      <c r="D1200" t="n">
        <v>2011</v>
      </c>
      <c r="E1200" t="inlineStr">
        <is>
          <t>50/50</t>
        </is>
      </c>
      <c r="F1200" t="inlineStr">
        <is>
          <t>F0011</t>
        </is>
      </c>
    </row>
    <row r="1201">
      <c r="A1201" t="inlineStr">
        <is>
          <t>David Hyde Pierce</t>
        </is>
      </c>
      <c r="B1201" t="n">
        <v>1</v>
      </c>
      <c r="C1201" t="n">
        <v>1998</v>
      </c>
      <c r="D1201" t="n">
        <v>1998</v>
      </c>
      <c r="E1201" t="inlineStr">
        <is>
          <t>A Bug's Life</t>
        </is>
      </c>
      <c r="F1201" t="inlineStr">
        <is>
          <t>F0012</t>
        </is>
      </c>
    </row>
    <row r="1202">
      <c r="A1202" t="inlineStr">
        <is>
          <t>Joe Ranft</t>
        </is>
      </c>
      <c r="B1202" t="n">
        <v>2</v>
      </c>
      <c r="C1202" t="n">
        <v>1998</v>
      </c>
      <c r="D1202" t="n">
        <v>1999</v>
      </c>
      <c r="E1202" t="inlineStr">
        <is>
          <t>A Bug's Life, Toy Story 2</t>
        </is>
      </c>
      <c r="F1202" t="inlineStr">
        <is>
          <t>F0012, F0313</t>
        </is>
      </c>
    </row>
    <row r="1203">
      <c r="A1203" t="inlineStr">
        <is>
          <t>Jonathan Harris</t>
        </is>
      </c>
      <c r="B1203" t="n">
        <v>2</v>
      </c>
      <c r="C1203" t="n">
        <v>1998</v>
      </c>
      <c r="D1203" t="n">
        <v>1999</v>
      </c>
      <c r="E1203" t="inlineStr">
        <is>
          <t>A Bug's Life, Toy Story 2</t>
        </is>
      </c>
      <c r="F1203" t="inlineStr">
        <is>
          <t>F0012, F0313</t>
        </is>
      </c>
    </row>
    <row r="1204">
      <c r="A1204" t="inlineStr">
        <is>
          <t>Madeline Kahn</t>
        </is>
      </c>
      <c r="B1204" t="n">
        <v>1</v>
      </c>
      <c r="C1204" t="n">
        <v>1998</v>
      </c>
      <c r="D1204" t="n">
        <v>1998</v>
      </c>
      <c r="E1204" t="inlineStr">
        <is>
          <t>A Bug's Life</t>
        </is>
      </c>
      <c r="F1204" t="inlineStr">
        <is>
          <t>F0012</t>
        </is>
      </c>
    </row>
    <row r="1205">
      <c r="A1205" t="inlineStr">
        <is>
          <t>Bonnie Hunt</t>
        </is>
      </c>
      <c r="B1205" t="n">
        <v>5</v>
      </c>
      <c r="C1205" t="n">
        <v>1998</v>
      </c>
      <c r="D1205" t="n">
        <v>2019</v>
      </c>
      <c r="E1205" t="inlineStr">
        <is>
          <t>A Bug's Life, Monsters, Inc., Monsters University, Toy Story 3, Toy Story 4</t>
        </is>
      </c>
      <c r="F1205" t="inlineStr">
        <is>
          <t>F0012, F0229, F0230, F0314, F0315</t>
        </is>
      </c>
    </row>
    <row r="1206">
      <c r="A1206" t="inlineStr">
        <is>
          <t>Michael McShane</t>
        </is>
      </c>
      <c r="B1206" t="n">
        <v>1</v>
      </c>
      <c r="C1206" t="n">
        <v>1998</v>
      </c>
      <c r="D1206" t="n">
        <v>1998</v>
      </c>
      <c r="E1206" t="inlineStr">
        <is>
          <t>A Bug's Life</t>
        </is>
      </c>
      <c r="F1206" t="inlineStr">
        <is>
          <t>F0012</t>
        </is>
      </c>
    </row>
    <row r="1207">
      <c r="A1207" t="inlineStr">
        <is>
          <t>Brad Garrett</t>
        </is>
      </c>
      <c r="B1207" t="n">
        <v>2</v>
      </c>
      <c r="C1207" t="n">
        <v>1998</v>
      </c>
      <c r="D1207" t="n">
        <v>2016</v>
      </c>
      <c r="E1207" t="inlineStr">
        <is>
          <t>A Bug's Life, Finding Dory</t>
        </is>
      </c>
      <c r="F1207" t="inlineStr">
        <is>
          <t>F0012, F0113</t>
        </is>
      </c>
    </row>
    <row r="1208">
      <c r="A1208" t="inlineStr">
        <is>
          <t>Roddy McDowall</t>
        </is>
      </c>
      <c r="B1208" t="n">
        <v>1</v>
      </c>
      <c r="C1208" t="n">
        <v>1998</v>
      </c>
      <c r="D1208" t="n">
        <v>1998</v>
      </c>
      <c r="E1208" t="inlineStr">
        <is>
          <t>A Bug's Life</t>
        </is>
      </c>
      <c r="F1208" t="inlineStr">
        <is>
          <t>F0012</t>
        </is>
      </c>
    </row>
    <row r="1209">
      <c r="A1209" t="inlineStr">
        <is>
          <t>Edie McClurg</t>
        </is>
      </c>
      <c r="B1209" t="n">
        <v>3</v>
      </c>
      <c r="C1209" t="n">
        <v>1998</v>
      </c>
      <c r="D1209" t="n">
        <v>2013</v>
      </c>
      <c r="E1209" t="inlineStr">
        <is>
          <t>A Bug's Life, Frozen, Wreck-It Ralph</t>
        </is>
      </c>
      <c r="F1209" t="inlineStr">
        <is>
          <t>F0012, F0116, F0336</t>
        </is>
      </c>
    </row>
    <row r="1210">
      <c r="A1210" t="inlineStr">
        <is>
          <t>Alex Rocco</t>
        </is>
      </c>
      <c r="B1210" t="n">
        <v>1</v>
      </c>
      <c r="C1210" t="n">
        <v>1998</v>
      </c>
      <c r="D1210" t="n">
        <v>1998</v>
      </c>
      <c r="E1210" t="inlineStr">
        <is>
          <t>A Bug's Life</t>
        </is>
      </c>
      <c r="F1210" t="inlineStr">
        <is>
          <t>F0012</t>
        </is>
      </c>
    </row>
    <row r="1211">
      <c r="A1211" t="inlineStr">
        <is>
          <t>David Ossman</t>
        </is>
      </c>
      <c r="B1211" t="n">
        <v>1</v>
      </c>
      <c r="C1211" t="n">
        <v>1998</v>
      </c>
      <c r="D1211" t="n">
        <v>1998</v>
      </c>
      <c r="E1211" t="inlineStr">
        <is>
          <t>A Bug's Life</t>
        </is>
      </c>
      <c r="F1211" t="inlineStr">
        <is>
          <t>F0012</t>
        </is>
      </c>
    </row>
    <row r="1212">
      <c r="A1212" t="inlineStr">
        <is>
          <t>Carlos Alazraqui</t>
        </is>
      </c>
      <c r="B1212" t="n">
        <v>8</v>
      </c>
      <c r="C1212" t="n">
        <v>1998</v>
      </c>
      <c r="D1212" t="n">
        <v>2023</v>
      </c>
      <c r="E1212" t="inlineStr">
        <is>
          <t>A Bug's Life, Despicable Me 3, Happy Feet Two, Inside Out, The Super Mario Bros. Movie, Minions, Monsters University, Sing</t>
        </is>
      </c>
      <c r="F1212" t="inlineStr">
        <is>
          <t>F0012, F0084, F0145, F0167, F0212, F0220, F0230, F0280</t>
        </is>
      </c>
    </row>
    <row r="1213">
      <c r="A1213" t="inlineStr">
        <is>
          <t>Jack Angel</t>
        </is>
      </c>
      <c r="B1213" t="n">
        <v>9</v>
      </c>
      <c r="C1213" t="n">
        <v>1986</v>
      </c>
      <c r="D1213" t="n">
        <v>2014</v>
      </c>
      <c r="E1213" t="inlineStr">
        <is>
          <t>A Bug's Life, Despicable Me 2, Hercules, Monsters, Inc., Monsters University, Toy Story, Toy Story 2, Toy Story 3, The Transformers: The Movie</t>
        </is>
      </c>
      <c r="F1213" t="inlineStr">
        <is>
          <t>F0012, F0083, F0147, F0229, F0230, F0312, F0313, F0314, F0322</t>
        </is>
      </c>
    </row>
    <row r="1214">
      <c r="A1214" t="inlineStr">
        <is>
          <t>Bob Bergen</t>
        </is>
      </c>
      <c r="B1214" t="n">
        <v>9</v>
      </c>
      <c r="C1214" t="n">
        <v>1998</v>
      </c>
      <c r="D1214" t="n">
        <v>2017</v>
      </c>
      <c r="E1214" t="inlineStr">
        <is>
          <t>A Bug's Life, Despicable Me 3, Minions, Monsters, Inc., Monsters University, The Secret Life of Pets, Toy Story 2, Up, WALL·E</t>
        </is>
      </c>
      <c r="F1214" t="inlineStr">
        <is>
          <t>F0012, F0084, F0220, F0229, F0230, F0274, F0313, F0330, F0331</t>
        </is>
      </c>
    </row>
    <row r="1215">
      <c r="A1215" t="inlineStr">
        <is>
          <t>Kimberly J. Brown</t>
        </is>
      </c>
      <c r="B1215" t="n">
        <v>1</v>
      </c>
      <c r="C1215" t="n">
        <v>1998</v>
      </c>
      <c r="D1215" t="n">
        <v>1998</v>
      </c>
      <c r="E1215" t="inlineStr">
        <is>
          <t>A Bug's Life</t>
        </is>
      </c>
      <c r="F1215" t="inlineStr">
        <is>
          <t>F0012</t>
        </is>
      </c>
    </row>
    <row r="1216">
      <c r="A1216" t="inlineStr">
        <is>
          <t>Rodger Bumpass</t>
        </is>
      </c>
      <c r="B1216" t="n">
        <v>4</v>
      </c>
      <c r="C1216" t="n">
        <v>1998</v>
      </c>
      <c r="D1216" t="n">
        <v>2013</v>
      </c>
      <c r="E1216" t="inlineStr">
        <is>
          <t>A Bug's Life, Monsters, Inc., Monsters University, Toy Story 2</t>
        </is>
      </c>
      <c r="F1216" t="inlineStr">
        <is>
          <t>F0012, F0229, F0230, F0313</t>
        </is>
      </c>
    </row>
    <row r="1217">
      <c r="A1217" t="inlineStr">
        <is>
          <t>Anthony Burch</t>
        </is>
      </c>
      <c r="B1217" t="n">
        <v>1</v>
      </c>
      <c r="C1217" t="n">
        <v>1998</v>
      </c>
      <c r="D1217" t="n">
        <v>1998</v>
      </c>
      <c r="E1217" t="inlineStr">
        <is>
          <t>A Bug's Life</t>
        </is>
      </c>
      <c r="F1217" t="inlineStr">
        <is>
          <t>F0012</t>
        </is>
      </c>
    </row>
    <row r="1218">
      <c r="A1218" t="inlineStr">
        <is>
          <t>Jennifer Darling</t>
        </is>
      </c>
      <c r="B1218" t="n">
        <v>2</v>
      </c>
      <c r="C1218" t="n">
        <v>1998</v>
      </c>
      <c r="D1218" t="n">
        <v>2001</v>
      </c>
      <c r="E1218" t="inlineStr">
        <is>
          <t>A Bug's Life, Monsters, Inc.</t>
        </is>
      </c>
      <c r="F1218" t="inlineStr">
        <is>
          <t>F0012, F0229</t>
        </is>
      </c>
    </row>
    <row r="1219">
      <c r="A1219" t="inlineStr">
        <is>
          <t>Rachel Davey</t>
        </is>
      </c>
      <c r="B1219" t="n">
        <v>2</v>
      </c>
      <c r="C1219" t="n">
        <v>1998</v>
      </c>
      <c r="D1219" t="n">
        <v>1999</v>
      </c>
      <c r="E1219" t="inlineStr">
        <is>
          <t>A Bug's Life, Toy Story 2</t>
        </is>
      </c>
      <c r="F1219" t="inlineStr">
        <is>
          <t>F0012, F0313</t>
        </is>
      </c>
    </row>
    <row r="1220">
      <c r="A1220" t="inlineStr">
        <is>
          <t>Debi Derryberry</t>
        </is>
      </c>
      <c r="B1220" t="n">
        <v>6</v>
      </c>
      <c r="C1220" t="n">
        <v>1995</v>
      </c>
      <c r="D1220" t="n">
        <v>2014</v>
      </c>
      <c r="E1220" t="inlineStr">
        <is>
          <t>A Bug's Life, Despicable Me 2, Hercules, Ice Age: The Meltdown, Toy Story, Toy Story 2</t>
        </is>
      </c>
      <c r="F1220" t="inlineStr">
        <is>
          <t>F0012, F0083, F0147, F0160, F0312, F0313</t>
        </is>
      </c>
    </row>
    <row r="1221">
      <c r="A1221" t="inlineStr">
        <is>
          <t>Paul Eiding</t>
        </is>
      </c>
      <c r="B1221" t="n">
        <v>5</v>
      </c>
      <c r="C1221" t="n">
        <v>1986</v>
      </c>
      <c r="D1221" t="n">
        <v>2009</v>
      </c>
      <c r="E1221" t="inlineStr">
        <is>
          <t>A Bug's Life, Monsters, Inc., The Transformers: The Movie, Up, WALL·E</t>
        </is>
      </c>
      <c r="F1221" t="inlineStr">
        <is>
          <t>F0012, F0229, F0322, F0330, F0331</t>
        </is>
      </c>
    </row>
    <row r="1222">
      <c r="A1222" t="inlineStr">
        <is>
          <t>Jessica Evans</t>
        </is>
      </c>
      <c r="B1222" t="n">
        <v>2</v>
      </c>
      <c r="C1222" t="n">
        <v>1998</v>
      </c>
      <c r="D1222" t="n">
        <v>1999</v>
      </c>
      <c r="E1222" t="inlineStr">
        <is>
          <t>A Bug's Life, Toy Story 2</t>
        </is>
      </c>
      <c r="F1222" t="inlineStr">
        <is>
          <t>F0012, F0313</t>
        </is>
      </c>
    </row>
    <row r="1223">
      <c r="A1223" t="inlineStr">
        <is>
          <t>Jeffrey Tambor</t>
        </is>
      </c>
      <c r="B1223" t="n">
        <v>5</v>
      </c>
      <c r="C1223" t="n">
        <v>2009</v>
      </c>
      <c r="D1223" t="n">
        <v>2016</v>
      </c>
      <c r="E1223" t="inlineStr">
        <is>
          <t>The Accountant, The Hangover, The Hangover Part II, The Hangover Part III, Paul</t>
        </is>
      </c>
      <c r="F1223" t="inlineStr">
        <is>
          <t>F0013, F0134, F0135, F0136, F0245</t>
        </is>
      </c>
    </row>
    <row r="1224">
      <c r="A1224" t="inlineStr">
        <is>
          <t>Jean Smart</t>
        </is>
      </c>
      <c r="B1224" t="n">
        <v>1</v>
      </c>
      <c r="C1224" t="n">
        <v>2016</v>
      </c>
      <c r="D1224" t="n">
        <v>2016</v>
      </c>
      <c r="E1224" t="inlineStr">
        <is>
          <t>The Accountant</t>
        </is>
      </c>
      <c r="F1224" t="inlineStr">
        <is>
          <t>F0013</t>
        </is>
      </c>
    </row>
    <row r="1225">
      <c r="A1225" t="inlineStr">
        <is>
          <t>Andy Umberger</t>
        </is>
      </c>
      <c r="B1225" t="n">
        <v>1</v>
      </c>
      <c r="C1225" t="n">
        <v>2016</v>
      </c>
      <c r="D1225" t="n">
        <v>2016</v>
      </c>
      <c r="E1225" t="inlineStr">
        <is>
          <t>The Accountant</t>
        </is>
      </c>
      <c r="F1225" t="inlineStr">
        <is>
          <t>F0013</t>
        </is>
      </c>
    </row>
    <row r="1226">
      <c r="A1226" t="inlineStr">
        <is>
          <t>Alison Wright</t>
        </is>
      </c>
      <c r="B1226" t="n">
        <v>1</v>
      </c>
      <c r="C1226" t="n">
        <v>2016</v>
      </c>
      <c r="D1226" t="n">
        <v>2016</v>
      </c>
      <c r="E1226" t="inlineStr">
        <is>
          <t>The Accountant</t>
        </is>
      </c>
      <c r="F1226" t="inlineStr">
        <is>
          <t>F0013</t>
        </is>
      </c>
    </row>
    <row r="1227">
      <c r="A1227" t="inlineStr">
        <is>
          <t>Jason Davis</t>
        </is>
      </c>
      <c r="B1227" t="n">
        <v>1</v>
      </c>
      <c r="C1227" t="n">
        <v>2016</v>
      </c>
      <c r="D1227" t="n">
        <v>2016</v>
      </c>
      <c r="E1227" t="inlineStr">
        <is>
          <t>The Accountant</t>
        </is>
      </c>
      <c r="F1227" t="inlineStr">
        <is>
          <t>F0013</t>
        </is>
      </c>
    </row>
    <row r="1228">
      <c r="A1228" t="inlineStr">
        <is>
          <t>Robert C. Treveiler</t>
        </is>
      </c>
      <c r="B1228" t="n">
        <v>2</v>
      </c>
      <c r="C1228" t="n">
        <v>2013</v>
      </c>
      <c r="D1228" t="n">
        <v>2016</v>
      </c>
      <c r="E1228" t="inlineStr">
        <is>
          <t>The Accountant, Prisoners</t>
        </is>
      </c>
      <c r="F1228" t="inlineStr">
        <is>
          <t>F0013, F0258</t>
        </is>
      </c>
    </row>
    <row r="1229">
      <c r="A1229" t="inlineStr">
        <is>
          <t>Mary Kraft</t>
        </is>
      </c>
      <c r="B1229" t="n">
        <v>1</v>
      </c>
      <c r="C1229" t="n">
        <v>2016</v>
      </c>
      <c r="D1229" t="n">
        <v>2016</v>
      </c>
      <c r="E1229" t="inlineStr">
        <is>
          <t>The Accountant</t>
        </is>
      </c>
      <c r="F1229" t="inlineStr">
        <is>
          <t>F0013</t>
        </is>
      </c>
    </row>
    <row r="1230">
      <c r="A1230" t="inlineStr">
        <is>
          <t>Seth Lee</t>
        </is>
      </c>
      <c r="B1230" t="n">
        <v>1</v>
      </c>
      <c r="C1230" t="n">
        <v>2016</v>
      </c>
      <c r="D1230" t="n">
        <v>2016</v>
      </c>
      <c r="E1230" t="inlineStr">
        <is>
          <t>The Accountant</t>
        </is>
      </c>
      <c r="F1230" t="inlineStr">
        <is>
          <t>F0013</t>
        </is>
      </c>
    </row>
    <row r="1231">
      <c r="A1231" t="inlineStr">
        <is>
          <t>Jake Presley</t>
        </is>
      </c>
      <c r="B1231" t="n">
        <v>1</v>
      </c>
      <c r="C1231" t="n">
        <v>2016</v>
      </c>
      <c r="D1231" t="n">
        <v>2016</v>
      </c>
      <c r="E1231" t="inlineStr">
        <is>
          <t>The Accountant</t>
        </is>
      </c>
      <c r="F1231" t="inlineStr">
        <is>
          <t>F0013</t>
        </is>
      </c>
    </row>
    <row r="1232">
      <c r="A1232" t="inlineStr">
        <is>
          <t>Izzy Fenech</t>
        </is>
      </c>
      <c r="B1232" t="n">
        <v>1</v>
      </c>
      <c r="C1232" t="n">
        <v>2016</v>
      </c>
      <c r="D1232" t="n">
        <v>2016</v>
      </c>
      <c r="E1232" t="inlineStr">
        <is>
          <t>The Accountant</t>
        </is>
      </c>
      <c r="F1232" t="inlineStr">
        <is>
          <t>F0013</t>
        </is>
      </c>
    </row>
    <row r="1233">
      <c r="A1233" t="inlineStr">
        <is>
          <t>Ron Prather</t>
        </is>
      </c>
      <c r="B1233" t="n">
        <v>1</v>
      </c>
      <c r="C1233" t="n">
        <v>2016</v>
      </c>
      <c r="D1233" t="n">
        <v>2016</v>
      </c>
      <c r="E1233" t="inlineStr">
        <is>
          <t>The Accountant</t>
        </is>
      </c>
      <c r="F1233" t="inlineStr">
        <is>
          <t>F0013</t>
        </is>
      </c>
    </row>
    <row r="1234">
      <c r="A1234" t="inlineStr">
        <is>
          <t>Susan Savoie</t>
        </is>
      </c>
      <c r="B1234" t="n">
        <v>1</v>
      </c>
      <c r="C1234" t="n">
        <v>2016</v>
      </c>
      <c r="D1234" t="n">
        <v>2016</v>
      </c>
      <c r="E1234" t="inlineStr">
        <is>
          <t>The Accountant</t>
        </is>
      </c>
      <c r="F1234" t="inlineStr">
        <is>
          <t>F0013</t>
        </is>
      </c>
    </row>
    <row r="1235">
      <c r="A1235" t="inlineStr">
        <is>
          <t>Gary Basaraba</t>
        </is>
      </c>
      <c r="B1235" t="n">
        <v>1</v>
      </c>
      <c r="C1235" t="n">
        <v>2016</v>
      </c>
      <c r="D1235" t="n">
        <v>2016</v>
      </c>
      <c r="E1235" t="inlineStr">
        <is>
          <t>The Accountant</t>
        </is>
      </c>
      <c r="F1235" t="inlineStr">
        <is>
          <t>F0013</t>
        </is>
      </c>
    </row>
    <row r="1236">
      <c r="A1236" t="inlineStr">
        <is>
          <t>Fernando Chien</t>
        </is>
      </c>
      <c r="B1236" t="n">
        <v>3</v>
      </c>
      <c r="C1236" t="n">
        <v>2011</v>
      </c>
      <c r="D1236" t="n">
        <v>2016</v>
      </c>
      <c r="E1236" t="inlineStr">
        <is>
          <t>The Accountant, Fast Five, Warrior</t>
        </is>
      </c>
      <c r="F1236" t="inlineStr">
        <is>
          <t>F0013, F0105, F0333</t>
        </is>
      </c>
    </row>
    <row r="1237">
      <c r="A1237" t="inlineStr">
        <is>
          <t>Alex Collins</t>
        </is>
      </c>
      <c r="B1237" t="n">
        <v>1</v>
      </c>
      <c r="C1237" t="n">
        <v>2016</v>
      </c>
      <c r="D1237" t="n">
        <v>2016</v>
      </c>
      <c r="E1237" t="inlineStr">
        <is>
          <t>The Accountant</t>
        </is>
      </c>
      <c r="F1237" t="inlineStr">
        <is>
          <t>F0013</t>
        </is>
      </c>
    </row>
    <row r="1238">
      <c r="A1238" t="inlineStr">
        <is>
          <t>Tait Fletcher</t>
        </is>
      </c>
      <c r="B1238" t="n">
        <v>1</v>
      </c>
      <c r="C1238" t="n">
        <v>2016</v>
      </c>
      <c r="D1238" t="n">
        <v>2016</v>
      </c>
      <c r="E1238" t="inlineStr">
        <is>
          <t>The Accountant</t>
        </is>
      </c>
      <c r="F1238" t="inlineStr">
        <is>
          <t>F0013</t>
        </is>
      </c>
    </row>
    <row r="1239">
      <c r="A1239" t="inlineStr">
        <is>
          <t>Curtis Lyons</t>
        </is>
      </c>
      <c r="B1239" t="n">
        <v>1</v>
      </c>
      <c r="C1239" t="n">
        <v>2016</v>
      </c>
      <c r="D1239" t="n">
        <v>2016</v>
      </c>
      <c r="E1239" t="inlineStr">
        <is>
          <t>The Accountant</t>
        </is>
      </c>
      <c r="F1239" t="inlineStr">
        <is>
          <t>F0013</t>
        </is>
      </c>
    </row>
    <row r="1240">
      <c r="A1240" t="inlineStr">
        <is>
          <t>Buster Reeves</t>
        </is>
      </c>
      <c r="B1240" t="n">
        <v>2</v>
      </c>
      <c r="C1240" t="n">
        <v>2009</v>
      </c>
      <c r="D1240" t="n">
        <v>2016</v>
      </c>
      <c r="E1240" t="inlineStr">
        <is>
          <t>The Accountant, Terminator Salvation</t>
        </is>
      </c>
      <c r="F1240" t="inlineStr">
        <is>
          <t>F0013, F0310</t>
        </is>
      </c>
    </row>
    <row r="1241">
      <c r="A1241" t="inlineStr">
        <is>
          <t>Ron Yuan</t>
        </is>
      </c>
      <c r="B1241" t="n">
        <v>1</v>
      </c>
      <c r="C1241" t="n">
        <v>2016</v>
      </c>
      <c r="D1241" t="n">
        <v>2016</v>
      </c>
      <c r="E1241" t="inlineStr">
        <is>
          <t>The Accountant</t>
        </is>
      </c>
      <c r="F1241" t="inlineStr">
        <is>
          <t>F0013</t>
        </is>
      </c>
    </row>
    <row r="1242">
      <c r="A1242" t="inlineStr">
        <is>
          <t>Sheila Maddox</t>
        </is>
      </c>
      <c r="B1242" t="n">
        <v>1</v>
      </c>
      <c r="C1242" t="n">
        <v>2016</v>
      </c>
      <c r="D1242" t="n">
        <v>2016</v>
      </c>
      <c r="E1242" t="inlineStr">
        <is>
          <t>The Accountant</t>
        </is>
      </c>
      <c r="F1242" t="inlineStr">
        <is>
          <t>F0013</t>
        </is>
      </c>
    </row>
    <row r="1243">
      <c r="A1243" t="inlineStr">
        <is>
          <t>Malachi Malik</t>
        </is>
      </c>
      <c r="B1243" t="n">
        <v>1</v>
      </c>
      <c r="C1243" t="n">
        <v>2016</v>
      </c>
      <c r="D1243" t="n">
        <v>2016</v>
      </c>
      <c r="E1243" t="inlineStr">
        <is>
          <t>The Accountant</t>
        </is>
      </c>
      <c r="F1243" t="inlineStr">
        <is>
          <t>F0013</t>
        </is>
      </c>
    </row>
    <row r="1244">
      <c r="A1244" t="inlineStr">
        <is>
          <t>Gregory Alan Williams</t>
        </is>
      </c>
      <c r="B1244" t="n">
        <v>1</v>
      </c>
      <c r="C1244" t="n">
        <v>2016</v>
      </c>
      <c r="D1244" t="n">
        <v>2016</v>
      </c>
      <c r="E1244" t="inlineStr">
        <is>
          <t>The Accountant</t>
        </is>
      </c>
      <c r="F1244" t="inlineStr">
        <is>
          <t>F0013</t>
        </is>
      </c>
    </row>
    <row r="1245">
      <c r="A1245" t="inlineStr">
        <is>
          <t>Kelly Collins Lintz</t>
        </is>
      </c>
      <c r="B1245" t="n">
        <v>1</v>
      </c>
      <c r="C1245" t="n">
        <v>2016</v>
      </c>
      <c r="D1245" t="n">
        <v>2016</v>
      </c>
      <c r="E1245" t="inlineStr">
        <is>
          <t>The Accountant</t>
        </is>
      </c>
      <c r="F1245" t="inlineStr">
        <is>
          <t>F0013</t>
        </is>
      </c>
    </row>
    <row r="1246">
      <c r="A1246" t="inlineStr">
        <is>
          <t>Jason MacDonald</t>
        </is>
      </c>
      <c r="B1246" t="n">
        <v>1</v>
      </c>
      <c r="C1246" t="n">
        <v>2016</v>
      </c>
      <c r="D1246" t="n">
        <v>2016</v>
      </c>
      <c r="E1246" t="inlineStr">
        <is>
          <t>The Accountant</t>
        </is>
      </c>
      <c r="F1246" t="inlineStr">
        <is>
          <t>F0013</t>
        </is>
      </c>
    </row>
    <row r="1247">
      <c r="A1247" t="inlineStr">
        <is>
          <t>Darren Boyd</t>
        </is>
      </c>
      <c r="B1247" t="n">
        <v>2</v>
      </c>
      <c r="C1247" t="n">
        <v>2013</v>
      </c>
      <c r="D1247" t="n">
        <v>2013</v>
      </c>
      <c r="E1247" t="inlineStr">
        <is>
          <t>Alan Partridge: Alpha Papa, The World's End</t>
        </is>
      </c>
      <c r="F1247" t="inlineStr">
        <is>
          <t>F0014, F0072</t>
        </is>
      </c>
    </row>
    <row r="1248">
      <c r="A1248" t="inlineStr">
        <is>
          <t>Nigel Lindsay</t>
        </is>
      </c>
      <c r="B1248" t="n">
        <v>1</v>
      </c>
      <c r="C1248" t="n">
        <v>2013</v>
      </c>
      <c r="D1248" t="n">
        <v>2013</v>
      </c>
      <c r="E1248" t="inlineStr">
        <is>
          <t>Alan Partridge: Alpha Papa</t>
        </is>
      </c>
      <c r="F1248" t="inlineStr">
        <is>
          <t>F0014</t>
        </is>
      </c>
    </row>
    <row r="1249">
      <c r="A1249" t="inlineStr">
        <is>
          <t>Dustin Demri-Burns</t>
        </is>
      </c>
      <c r="B1249" t="n">
        <v>1</v>
      </c>
      <c r="C1249" t="n">
        <v>2013</v>
      </c>
      <c r="D1249" t="n">
        <v>2013</v>
      </c>
      <c r="E1249" t="inlineStr">
        <is>
          <t>Alan Partridge: Alpha Papa</t>
        </is>
      </c>
      <c r="F1249" t="inlineStr">
        <is>
          <t>F0014</t>
        </is>
      </c>
    </row>
    <row r="1250">
      <c r="A1250" t="inlineStr">
        <is>
          <t>Monica Dolan</t>
        </is>
      </c>
      <c r="B1250" t="n">
        <v>2</v>
      </c>
      <c r="C1250" t="n">
        <v>2013</v>
      </c>
      <c r="D1250" t="n">
        <v>2013</v>
      </c>
      <c r="E1250" t="inlineStr">
        <is>
          <t>Alan Partridge: Alpha Papa, Kick-Ass 2</t>
        </is>
      </c>
      <c r="F1250" t="inlineStr">
        <is>
          <t>F0014, F0186</t>
        </is>
      </c>
    </row>
    <row r="1251">
      <c r="A1251" t="inlineStr">
        <is>
          <t>Phil Cornwell</t>
        </is>
      </c>
      <c r="B1251" t="n">
        <v>1</v>
      </c>
      <c r="C1251" t="n">
        <v>2013</v>
      </c>
      <c r="D1251" t="n">
        <v>2013</v>
      </c>
      <c r="E1251" t="inlineStr">
        <is>
          <t>Alan Partridge: Alpha Papa</t>
        </is>
      </c>
      <c r="F1251" t="inlineStr">
        <is>
          <t>F0014</t>
        </is>
      </c>
    </row>
    <row r="1252">
      <c r="A1252" t="inlineStr">
        <is>
          <t>Tim Key</t>
        </is>
      </c>
      <c r="B1252" t="n">
        <v>1</v>
      </c>
      <c r="C1252" t="n">
        <v>2013</v>
      </c>
      <c r="D1252" t="n">
        <v>2013</v>
      </c>
      <c r="E1252" t="inlineStr">
        <is>
          <t>Alan Partridge: Alpha Papa</t>
        </is>
      </c>
      <c r="F1252" t="inlineStr">
        <is>
          <t>F0014</t>
        </is>
      </c>
    </row>
    <row r="1253">
      <c r="A1253" t="inlineStr">
        <is>
          <t>Simon Delaney</t>
        </is>
      </c>
      <c r="B1253" t="n">
        <v>2</v>
      </c>
      <c r="C1253" t="n">
        <v>2013</v>
      </c>
      <c r="D1253" t="n">
        <v>2013</v>
      </c>
      <c r="E1253" t="inlineStr">
        <is>
          <t>Alan Partridge: Alpha Papa, Delivery Man</t>
        </is>
      </c>
      <c r="F1253" t="inlineStr">
        <is>
          <t>F0014, F0080</t>
        </is>
      </c>
    </row>
    <row r="1254">
      <c r="A1254" t="inlineStr">
        <is>
          <t>Sean Pertwee</t>
        </is>
      </c>
      <c r="B1254" t="n">
        <v>1</v>
      </c>
      <c r="C1254" t="n">
        <v>2013</v>
      </c>
      <c r="D1254" t="n">
        <v>2013</v>
      </c>
      <c r="E1254" t="inlineStr">
        <is>
          <t>Alan Partridge: Alpha Papa</t>
        </is>
      </c>
      <c r="F1254" t="inlineStr">
        <is>
          <t>F0014</t>
        </is>
      </c>
    </row>
    <row r="1255">
      <c r="A1255" t="inlineStr">
        <is>
          <t>Karl Theobald</t>
        </is>
      </c>
      <c r="B1255" t="n">
        <v>1</v>
      </c>
      <c r="C1255" t="n">
        <v>2013</v>
      </c>
      <c r="D1255" t="n">
        <v>2013</v>
      </c>
      <c r="E1255" t="inlineStr">
        <is>
          <t>Alan Partridge: Alpha Papa</t>
        </is>
      </c>
      <c r="F1255" t="inlineStr">
        <is>
          <t>F0014</t>
        </is>
      </c>
    </row>
    <row r="1256">
      <c r="A1256" t="inlineStr">
        <is>
          <t>Elizabeth Berrington</t>
        </is>
      </c>
      <c r="B1256" t="n">
        <v>1</v>
      </c>
      <c r="C1256" t="n">
        <v>2013</v>
      </c>
      <c r="D1256" t="n">
        <v>2013</v>
      </c>
      <c r="E1256" t="inlineStr">
        <is>
          <t>Alan Partridge: Alpha Papa</t>
        </is>
      </c>
      <c r="F1256" t="inlineStr">
        <is>
          <t>F0014</t>
        </is>
      </c>
    </row>
    <row r="1257">
      <c r="A1257" t="inlineStr">
        <is>
          <t>Jessica Knappett</t>
        </is>
      </c>
      <c r="B1257" t="n">
        <v>2</v>
      </c>
      <c r="C1257" t="n">
        <v>2011</v>
      </c>
      <c r="D1257" t="n">
        <v>2013</v>
      </c>
      <c r="E1257" t="inlineStr">
        <is>
          <t>Alan Partridge: Alpha Papa, The Inbetweeners Movie</t>
        </is>
      </c>
      <c r="F1257" t="inlineStr">
        <is>
          <t>F0014, F0163</t>
        </is>
      </c>
    </row>
    <row r="1258">
      <c r="A1258" t="inlineStr">
        <is>
          <t>Simon Kunz</t>
        </is>
      </c>
      <c r="B1258" t="n">
        <v>2</v>
      </c>
      <c r="C1258" t="n">
        <v>2013</v>
      </c>
      <c r="D1258" t="n">
        <v>2025</v>
      </c>
      <c r="E1258" t="inlineStr">
        <is>
          <t>Alan Partridge: Alpha Papa, F1</t>
        </is>
      </c>
      <c r="F1258" t="inlineStr">
        <is>
          <t>F0014, F0098</t>
        </is>
      </c>
    </row>
    <row r="1259">
      <c r="A1259" t="inlineStr">
        <is>
          <t>Peter Singh</t>
        </is>
      </c>
      <c r="B1259" t="n">
        <v>1</v>
      </c>
      <c r="C1259" t="n">
        <v>2013</v>
      </c>
      <c r="D1259" t="n">
        <v>2013</v>
      </c>
      <c r="E1259" t="inlineStr">
        <is>
          <t>Alan Partridge: Alpha Papa</t>
        </is>
      </c>
      <c r="F1259" t="inlineStr">
        <is>
          <t>F0014</t>
        </is>
      </c>
    </row>
    <row r="1260">
      <c r="A1260" t="inlineStr">
        <is>
          <t>Lucy Briers</t>
        </is>
      </c>
      <c r="B1260" t="n">
        <v>1</v>
      </c>
      <c r="C1260" t="n">
        <v>2013</v>
      </c>
      <c r="D1260" t="n">
        <v>2013</v>
      </c>
      <c r="E1260" t="inlineStr">
        <is>
          <t>Alan Partridge: Alpha Papa</t>
        </is>
      </c>
      <c r="F1260" t="inlineStr">
        <is>
          <t>F0014</t>
        </is>
      </c>
    </row>
    <row r="1261">
      <c r="A1261" t="inlineStr">
        <is>
          <t>Eleanor Matsuura</t>
        </is>
      </c>
      <c r="B1261" t="n">
        <v>1</v>
      </c>
      <c r="C1261" t="n">
        <v>2013</v>
      </c>
      <c r="D1261" t="n">
        <v>2013</v>
      </c>
      <c r="E1261" t="inlineStr">
        <is>
          <t>Alan Partridge: Alpha Papa</t>
        </is>
      </c>
      <c r="F1261" t="inlineStr">
        <is>
          <t>F0014</t>
        </is>
      </c>
    </row>
    <row r="1262">
      <c r="A1262" t="inlineStr">
        <is>
          <t>Diane Morgan</t>
        </is>
      </c>
      <c r="B1262" t="n">
        <v>1</v>
      </c>
      <c r="C1262" t="n">
        <v>2013</v>
      </c>
      <c r="D1262" t="n">
        <v>2013</v>
      </c>
      <c r="E1262" t="inlineStr">
        <is>
          <t>Alan Partridge: Alpha Papa</t>
        </is>
      </c>
      <c r="F1262" t="inlineStr">
        <is>
          <t>F0014</t>
        </is>
      </c>
    </row>
    <row r="1263">
      <c r="A1263" t="inlineStr">
        <is>
          <t>Robert Whitelock</t>
        </is>
      </c>
      <c r="B1263" t="n">
        <v>1</v>
      </c>
      <c r="C1263" t="n">
        <v>2013</v>
      </c>
      <c r="D1263" t="n">
        <v>2013</v>
      </c>
      <c r="E1263" t="inlineStr">
        <is>
          <t>Alan Partridge: Alpha Papa</t>
        </is>
      </c>
      <c r="F1263" t="inlineStr">
        <is>
          <t>F0014</t>
        </is>
      </c>
    </row>
    <row r="1264">
      <c r="A1264" t="inlineStr">
        <is>
          <t>Martin Glyn Murray</t>
        </is>
      </c>
      <c r="B1264" t="n">
        <v>1</v>
      </c>
      <c r="C1264" t="n">
        <v>2013</v>
      </c>
      <c r="D1264" t="n">
        <v>2013</v>
      </c>
      <c r="E1264" t="inlineStr">
        <is>
          <t>Alan Partridge: Alpha Papa</t>
        </is>
      </c>
      <c r="F1264" t="inlineStr">
        <is>
          <t>F0014</t>
        </is>
      </c>
    </row>
    <row r="1265">
      <c r="A1265" t="inlineStr">
        <is>
          <t>Alan Rothwell</t>
        </is>
      </c>
      <c r="B1265" t="n">
        <v>1</v>
      </c>
      <c r="C1265" t="n">
        <v>2013</v>
      </c>
      <c r="D1265" t="n">
        <v>2013</v>
      </c>
      <c r="E1265" t="inlineStr">
        <is>
          <t>Alan Partridge: Alpha Papa</t>
        </is>
      </c>
      <c r="F1265" t="inlineStr">
        <is>
          <t>F0014</t>
        </is>
      </c>
    </row>
    <row r="1266">
      <c r="A1266" t="inlineStr">
        <is>
          <t>Rita Davies</t>
        </is>
      </c>
      <c r="B1266" t="n">
        <v>1</v>
      </c>
      <c r="C1266" t="n">
        <v>2013</v>
      </c>
      <c r="D1266" t="n">
        <v>2013</v>
      </c>
      <c r="E1266" t="inlineStr">
        <is>
          <t>Alan Partridge: Alpha Papa</t>
        </is>
      </c>
      <c r="F1266" t="inlineStr">
        <is>
          <t>F0014</t>
        </is>
      </c>
    </row>
    <row r="1267">
      <c r="A1267" t="inlineStr">
        <is>
          <t>Katie Males</t>
        </is>
      </c>
      <c r="B1267" t="n">
        <v>1</v>
      </c>
      <c r="C1267" t="n">
        <v>2013</v>
      </c>
      <c r="D1267" t="n">
        <v>2013</v>
      </c>
      <c r="E1267" t="inlineStr">
        <is>
          <t>Alan Partridge: Alpha Papa</t>
        </is>
      </c>
      <c r="F1267" t="inlineStr">
        <is>
          <t>F0014</t>
        </is>
      </c>
    </row>
    <row r="1268">
      <c r="A1268" t="inlineStr">
        <is>
          <t>Dan Mersh</t>
        </is>
      </c>
      <c r="B1268" t="n">
        <v>1</v>
      </c>
      <c r="C1268" t="n">
        <v>2013</v>
      </c>
      <c r="D1268" t="n">
        <v>2013</v>
      </c>
      <c r="E1268" t="inlineStr">
        <is>
          <t>Alan Partridge: Alpha Papa</t>
        </is>
      </c>
      <c r="F1268" t="inlineStr">
        <is>
          <t>F0014</t>
        </is>
      </c>
    </row>
    <row r="1269">
      <c r="A1269" t="inlineStr">
        <is>
          <t>Anna Stockton</t>
        </is>
      </c>
      <c r="B1269" t="n">
        <v>1</v>
      </c>
      <c r="C1269" t="n">
        <v>2013</v>
      </c>
      <c r="D1269" t="n">
        <v>2013</v>
      </c>
      <c r="E1269" t="inlineStr">
        <is>
          <t>Alan Partridge: Alpha Papa</t>
        </is>
      </c>
      <c r="F1269" t="inlineStr">
        <is>
          <t>F0014</t>
        </is>
      </c>
    </row>
    <row r="1270">
      <c r="A1270" t="inlineStr">
        <is>
          <t>Kieran Hodgson</t>
        </is>
      </c>
      <c r="B1270" t="n">
        <v>1</v>
      </c>
      <c r="C1270" t="n">
        <v>2013</v>
      </c>
      <c r="D1270" t="n">
        <v>2013</v>
      </c>
      <c r="E1270" t="inlineStr">
        <is>
          <t>Alan Partridge: Alpha Papa</t>
        </is>
      </c>
      <c r="F1270" t="inlineStr">
        <is>
          <t>F0014</t>
        </is>
      </c>
    </row>
    <row r="1271">
      <c r="A1271" t="inlineStr">
        <is>
          <t>Jayne Secker</t>
        </is>
      </c>
      <c r="B1271" t="n">
        <v>1</v>
      </c>
      <c r="C1271" t="n">
        <v>2013</v>
      </c>
      <c r="D1271" t="n">
        <v>2013</v>
      </c>
      <c r="E1271" t="inlineStr">
        <is>
          <t>Alan Partridge: Alpha Papa</t>
        </is>
      </c>
      <c r="F1271" t="inlineStr">
        <is>
          <t>F0014</t>
        </is>
      </c>
    </row>
    <row r="1272">
      <c r="A1272" t="inlineStr">
        <is>
          <t>Yaphet Kotto</t>
        </is>
      </c>
      <c r="B1272" t="n">
        <v>1</v>
      </c>
      <c r="C1272" t="n">
        <v>1979</v>
      </c>
      <c r="D1272" t="n">
        <v>1979</v>
      </c>
      <c r="E1272" t="inlineStr">
        <is>
          <t>Alien</t>
        </is>
      </c>
      <c r="F1272" t="inlineStr">
        <is>
          <t>F0015</t>
        </is>
      </c>
    </row>
    <row r="1273">
      <c r="A1273" t="inlineStr">
        <is>
          <t>Bolaji Badejo</t>
        </is>
      </c>
      <c r="B1273" t="n">
        <v>1</v>
      </c>
      <c r="C1273" t="n">
        <v>1979</v>
      </c>
      <c r="D1273" t="n">
        <v>1979</v>
      </c>
      <c r="E1273" t="inlineStr">
        <is>
          <t>Alien</t>
        </is>
      </c>
      <c r="F1273" t="inlineStr">
        <is>
          <t>F0015</t>
        </is>
      </c>
    </row>
    <row r="1274">
      <c r="A1274" t="inlineStr">
        <is>
          <t>Helen Horton</t>
        </is>
      </c>
      <c r="B1274" t="n">
        <v>1</v>
      </c>
      <c r="C1274" t="n">
        <v>1979</v>
      </c>
      <c r="D1274" t="n">
        <v>1979</v>
      </c>
      <c r="E1274" t="inlineStr">
        <is>
          <t>Alien</t>
        </is>
      </c>
      <c r="F1274" t="inlineStr">
        <is>
          <t>F0015</t>
        </is>
      </c>
    </row>
    <row r="1275">
      <c r="A1275" t="inlineStr">
        <is>
          <t>Bill Paxton</t>
        </is>
      </c>
      <c r="B1275" t="n">
        <v>1</v>
      </c>
      <c r="C1275" t="n">
        <v>1986</v>
      </c>
      <c r="D1275" t="n">
        <v>1986</v>
      </c>
      <c r="E1275" t="inlineStr">
        <is>
          <t>Aliens</t>
        </is>
      </c>
      <c r="F1275" t="inlineStr">
        <is>
          <t>F0016</t>
        </is>
      </c>
    </row>
    <row r="1276">
      <c r="A1276" t="inlineStr">
        <is>
          <t>William Hope</t>
        </is>
      </c>
      <c r="B1276" t="n">
        <v>2</v>
      </c>
      <c r="C1276" t="n">
        <v>1986</v>
      </c>
      <c r="D1276" t="n">
        <v>2009</v>
      </c>
      <c r="E1276" t="inlineStr">
        <is>
          <t>Aliens, Sherlock Holmes</t>
        </is>
      </c>
      <c r="F1276" t="inlineStr">
        <is>
          <t>F0016, F0278</t>
        </is>
      </c>
    </row>
    <row r="1277">
      <c r="A1277" t="inlineStr">
        <is>
          <t>Jenette Goldstein</t>
        </is>
      </c>
      <c r="B1277" t="n">
        <v>1</v>
      </c>
      <c r="C1277" t="n">
        <v>1986</v>
      </c>
      <c r="D1277" t="n">
        <v>1986</v>
      </c>
      <c r="E1277" t="inlineStr">
        <is>
          <t>Aliens</t>
        </is>
      </c>
      <c r="F1277" t="inlineStr">
        <is>
          <t>F0016</t>
        </is>
      </c>
    </row>
    <row r="1278">
      <c r="A1278" t="inlineStr">
        <is>
          <t>Al Matthews</t>
        </is>
      </c>
      <c r="B1278" t="n">
        <v>1</v>
      </c>
      <c r="C1278" t="n">
        <v>1986</v>
      </c>
      <c r="D1278" t="n">
        <v>1986</v>
      </c>
      <c r="E1278" t="inlineStr">
        <is>
          <t>Aliens</t>
        </is>
      </c>
      <c r="F1278" t="inlineStr">
        <is>
          <t>F0016</t>
        </is>
      </c>
    </row>
    <row r="1279">
      <c r="A1279" t="inlineStr">
        <is>
          <t>Mark Rolston</t>
        </is>
      </c>
      <c r="B1279" t="n">
        <v>2</v>
      </c>
      <c r="C1279" t="n">
        <v>1986</v>
      </c>
      <c r="D1279" t="n">
        <v>2006</v>
      </c>
      <c r="E1279" t="inlineStr">
        <is>
          <t>Aliens, The Departed</t>
        </is>
      </c>
      <c r="F1279" t="inlineStr">
        <is>
          <t>F0016, F0081</t>
        </is>
      </c>
    </row>
    <row r="1280">
      <c r="A1280" t="inlineStr">
        <is>
          <t>Ricco Ross</t>
        </is>
      </c>
      <c r="B1280" t="n">
        <v>2</v>
      </c>
      <c r="C1280" t="n">
        <v>1986</v>
      </c>
      <c r="D1280" t="n">
        <v>1996</v>
      </c>
      <c r="E1280" t="inlineStr">
        <is>
          <t>Aliens, Mission: Impossible</t>
        </is>
      </c>
      <c r="F1280" t="inlineStr">
        <is>
          <t>F0016, F0221</t>
        </is>
      </c>
    </row>
    <row r="1281">
      <c r="A1281" t="inlineStr">
        <is>
          <t>Colette Hiller</t>
        </is>
      </c>
      <c r="B1281" t="n">
        <v>1</v>
      </c>
      <c r="C1281" t="n">
        <v>1986</v>
      </c>
      <c r="D1281" t="n">
        <v>1986</v>
      </c>
      <c r="E1281" t="inlineStr">
        <is>
          <t>Aliens</t>
        </is>
      </c>
      <c r="F1281" t="inlineStr">
        <is>
          <t>F0016</t>
        </is>
      </c>
    </row>
    <row r="1282">
      <c r="A1282" t="inlineStr">
        <is>
          <t>Daniel Kash</t>
        </is>
      </c>
      <c r="B1282" t="n">
        <v>2</v>
      </c>
      <c r="C1282" t="n">
        <v>1986</v>
      </c>
      <c r="D1282" t="n">
        <v>1986</v>
      </c>
      <c r="E1282" t="inlineStr">
        <is>
          <t>Aliens, RoboCop</t>
        </is>
      </c>
      <c r="F1282" t="inlineStr">
        <is>
          <t>F0016, F0268</t>
        </is>
      </c>
    </row>
    <row r="1283">
      <c r="A1283" t="inlineStr">
        <is>
          <t>Cynthia Dale Scott</t>
        </is>
      </c>
      <c r="B1283" t="n">
        <v>1</v>
      </c>
      <c r="C1283" t="n">
        <v>1986</v>
      </c>
      <c r="D1283" t="n">
        <v>1986</v>
      </c>
      <c r="E1283" t="inlineStr">
        <is>
          <t>Aliens</t>
        </is>
      </c>
      <c r="F1283" t="inlineStr">
        <is>
          <t>F0016</t>
        </is>
      </c>
    </row>
    <row r="1284">
      <c r="A1284" t="inlineStr">
        <is>
          <t>Tip Tipping</t>
        </is>
      </c>
      <c r="B1284" t="n">
        <v>1</v>
      </c>
      <c r="C1284" t="n">
        <v>1986</v>
      </c>
      <c r="D1284" t="n">
        <v>1986</v>
      </c>
      <c r="E1284" t="inlineStr">
        <is>
          <t>Aliens</t>
        </is>
      </c>
      <c r="F1284" t="inlineStr">
        <is>
          <t>F0016</t>
        </is>
      </c>
    </row>
    <row r="1285">
      <c r="A1285" t="inlineStr">
        <is>
          <t>Trevor Steedman</t>
        </is>
      </c>
      <c r="B1285" t="n">
        <v>1</v>
      </c>
      <c r="C1285" t="n">
        <v>1986</v>
      </c>
      <c r="D1285" t="n">
        <v>1986</v>
      </c>
      <c r="E1285" t="inlineStr">
        <is>
          <t>Aliens</t>
        </is>
      </c>
      <c r="F1285" t="inlineStr">
        <is>
          <t>F0016</t>
        </is>
      </c>
    </row>
    <row r="1286">
      <c r="A1286" t="inlineStr">
        <is>
          <t>Paul Maxwell</t>
        </is>
      </c>
      <c r="B1286" t="n">
        <v>1</v>
      </c>
      <c r="C1286" t="n">
        <v>1986</v>
      </c>
      <c r="D1286" t="n">
        <v>1986</v>
      </c>
      <c r="E1286" t="inlineStr">
        <is>
          <t>Aliens</t>
        </is>
      </c>
      <c r="F1286" t="inlineStr">
        <is>
          <t>F0016</t>
        </is>
      </c>
    </row>
    <row r="1287">
      <c r="A1287" t="inlineStr">
        <is>
          <t>Valerie Colgan</t>
        </is>
      </c>
      <c r="B1287" t="n">
        <v>1</v>
      </c>
      <c r="C1287" t="n">
        <v>1986</v>
      </c>
      <c r="D1287" t="n">
        <v>1986</v>
      </c>
      <c r="E1287" t="inlineStr">
        <is>
          <t>Aliens</t>
        </is>
      </c>
      <c r="F1287" t="inlineStr">
        <is>
          <t>F0016</t>
        </is>
      </c>
    </row>
    <row r="1288">
      <c r="A1288" t="inlineStr">
        <is>
          <t>Alan Polonsky</t>
        </is>
      </c>
      <c r="B1288" t="n">
        <v>1</v>
      </c>
      <c r="C1288" t="n">
        <v>1986</v>
      </c>
      <c r="D1288" t="n">
        <v>1986</v>
      </c>
      <c r="E1288" t="inlineStr">
        <is>
          <t>Aliens</t>
        </is>
      </c>
      <c r="F1288" t="inlineStr">
        <is>
          <t>F0016</t>
        </is>
      </c>
    </row>
    <row r="1289">
      <c r="A1289" t="inlineStr">
        <is>
          <t>Alibe Parsons</t>
        </is>
      </c>
      <c r="B1289" t="n">
        <v>1</v>
      </c>
      <c r="C1289" t="n">
        <v>1986</v>
      </c>
      <c r="D1289" t="n">
        <v>1986</v>
      </c>
      <c r="E1289" t="inlineStr">
        <is>
          <t>Aliens</t>
        </is>
      </c>
      <c r="F1289" t="inlineStr">
        <is>
          <t>F0016</t>
        </is>
      </c>
    </row>
    <row r="1290">
      <c r="A1290" t="inlineStr">
        <is>
          <t>Blain Fairman</t>
        </is>
      </c>
      <c r="B1290" t="n">
        <v>1</v>
      </c>
      <c r="C1290" t="n">
        <v>1986</v>
      </c>
      <c r="D1290" t="n">
        <v>1986</v>
      </c>
      <c r="E1290" t="inlineStr">
        <is>
          <t>Aliens</t>
        </is>
      </c>
      <c r="F1290" t="inlineStr">
        <is>
          <t>F0016</t>
        </is>
      </c>
    </row>
    <row r="1291">
      <c r="A1291" t="inlineStr">
        <is>
          <t>Barbara Coles</t>
        </is>
      </c>
      <c r="B1291" t="n">
        <v>1</v>
      </c>
      <c r="C1291" t="n">
        <v>1986</v>
      </c>
      <c r="D1291" t="n">
        <v>1986</v>
      </c>
      <c r="E1291" t="inlineStr">
        <is>
          <t>Aliens</t>
        </is>
      </c>
      <c r="F1291" t="inlineStr">
        <is>
          <t>F0016</t>
        </is>
      </c>
    </row>
    <row r="1292">
      <c r="A1292" t="inlineStr">
        <is>
          <t>Carl Toop</t>
        </is>
      </c>
      <c r="B1292" t="n">
        <v>1</v>
      </c>
      <c r="C1292" t="n">
        <v>1986</v>
      </c>
      <c r="D1292" t="n">
        <v>1986</v>
      </c>
      <c r="E1292" t="inlineStr">
        <is>
          <t>Aliens</t>
        </is>
      </c>
      <c r="F1292" t="inlineStr">
        <is>
          <t>F0016</t>
        </is>
      </c>
    </row>
    <row r="1293">
      <c r="A1293" t="inlineStr">
        <is>
          <t>John Lees</t>
        </is>
      </c>
      <c r="B1293" t="n">
        <v>1</v>
      </c>
      <c r="C1293" t="n">
        <v>1986</v>
      </c>
      <c r="D1293" t="n">
        <v>1986</v>
      </c>
      <c r="E1293" t="inlineStr">
        <is>
          <t>Aliens</t>
        </is>
      </c>
      <c r="F1293" t="inlineStr">
        <is>
          <t>F0016</t>
        </is>
      </c>
    </row>
    <row r="1294">
      <c r="A1294" t="inlineStr">
        <is>
          <t>Eddie Powell</t>
        </is>
      </c>
      <c r="B1294" t="n">
        <v>1</v>
      </c>
      <c r="C1294" t="n">
        <v>1986</v>
      </c>
      <c r="D1294" t="n">
        <v>1986</v>
      </c>
      <c r="E1294" t="inlineStr">
        <is>
          <t>Aliens</t>
        </is>
      </c>
      <c r="F1294" t="inlineStr">
        <is>
          <t>F0016</t>
        </is>
      </c>
    </row>
    <row r="1295">
      <c r="A1295" t="inlineStr">
        <is>
          <t>Chris Webb</t>
        </is>
      </c>
      <c r="B1295" t="n">
        <v>1</v>
      </c>
      <c r="C1295" t="n">
        <v>1986</v>
      </c>
      <c r="D1295" t="n">
        <v>1986</v>
      </c>
      <c r="E1295" t="inlineStr">
        <is>
          <t>Aliens</t>
        </is>
      </c>
      <c r="F1295" t="inlineStr">
        <is>
          <t>F0016</t>
        </is>
      </c>
    </row>
    <row r="1296">
      <c r="A1296" t="inlineStr">
        <is>
          <t>Alec Gillis</t>
        </is>
      </c>
      <c r="B1296" t="n">
        <v>1</v>
      </c>
      <c r="C1296" t="n">
        <v>1986</v>
      </c>
      <c r="D1296" t="n">
        <v>1986</v>
      </c>
      <c r="E1296" t="inlineStr">
        <is>
          <t>Aliens</t>
        </is>
      </c>
      <c r="F1296" t="inlineStr">
        <is>
          <t>F0016</t>
        </is>
      </c>
    </row>
    <row r="1297">
      <c r="A1297" t="inlineStr">
        <is>
          <t>Ralph Brown</t>
        </is>
      </c>
      <c r="B1297" t="n">
        <v>2</v>
      </c>
      <c r="C1297" t="n">
        <v>1992</v>
      </c>
      <c r="D1297" t="n">
        <v>1999</v>
      </c>
      <c r="E1297" t="inlineStr">
        <is>
          <t>Alien³, Star Wars: Episode I – The Phantom Menace</t>
        </is>
      </c>
      <c r="F1297" t="inlineStr">
        <is>
          <t>F0017, F0292</t>
        </is>
      </c>
    </row>
    <row r="1298">
      <c r="A1298" t="inlineStr">
        <is>
          <t>Danny Webb</t>
        </is>
      </c>
      <c r="B1298" t="n">
        <v>2</v>
      </c>
      <c r="C1298" t="n">
        <v>1992</v>
      </c>
      <c r="D1298" t="n">
        <v>2013</v>
      </c>
      <c r="E1298" t="inlineStr">
        <is>
          <t>Alien³, Hummingbird</t>
        </is>
      </c>
      <c r="F1298" t="inlineStr">
        <is>
          <t>F0017, F0156</t>
        </is>
      </c>
    </row>
    <row r="1299">
      <c r="A1299" t="inlineStr">
        <is>
          <t>Christopher John Fields</t>
        </is>
      </c>
      <c r="B1299" t="n">
        <v>2</v>
      </c>
      <c r="C1299" t="n">
        <v>1992</v>
      </c>
      <c r="D1299" t="n">
        <v>1993</v>
      </c>
      <c r="E1299" t="inlineStr">
        <is>
          <t>Alien³, Jurassic Park</t>
        </is>
      </c>
      <c r="F1299" t="inlineStr">
        <is>
          <t>F0017, F0176</t>
        </is>
      </c>
    </row>
    <row r="1300">
      <c r="A1300" t="inlineStr">
        <is>
          <t>Holt McCallany</t>
        </is>
      </c>
      <c r="B1300" t="n">
        <v>3</v>
      </c>
      <c r="C1300" t="n">
        <v>1992</v>
      </c>
      <c r="D1300" t="n">
        <v>2025</v>
      </c>
      <c r="E1300" t="inlineStr">
        <is>
          <t>Alien³, Fight Club, Mission: Impossible - The Final Reckoning</t>
        </is>
      </c>
      <c r="F1300" t="inlineStr">
        <is>
          <t>F0017, F0112, F0228</t>
        </is>
      </c>
    </row>
    <row r="1301">
      <c r="A1301" t="inlineStr">
        <is>
          <t>Christopher Fairbank</t>
        </is>
      </c>
      <c r="B1301" t="n">
        <v>2</v>
      </c>
      <c r="C1301" t="n">
        <v>1992</v>
      </c>
      <c r="D1301" t="n">
        <v>2011</v>
      </c>
      <c r="E1301" t="inlineStr">
        <is>
          <t>Alien³, Pirates of the Caribbean: On Stranger Tides</t>
        </is>
      </c>
      <c r="F1301" t="inlineStr">
        <is>
          <t>F0017, F0249</t>
        </is>
      </c>
    </row>
    <row r="1302">
      <c r="A1302" t="inlineStr">
        <is>
          <t>Carl Chase</t>
        </is>
      </c>
      <c r="B1302" t="n">
        <v>1</v>
      </c>
      <c r="C1302" t="n">
        <v>1992</v>
      </c>
      <c r="D1302" t="n">
        <v>1992</v>
      </c>
      <c r="E1302" t="inlineStr">
        <is>
          <t>Alien³</t>
        </is>
      </c>
      <c r="F1302" t="inlineStr">
        <is>
          <t>F0017</t>
        </is>
      </c>
    </row>
    <row r="1303">
      <c r="A1303" t="inlineStr">
        <is>
          <t>Leon Herbert</t>
        </is>
      </c>
      <c r="B1303" t="n">
        <v>1</v>
      </c>
      <c r="C1303" t="n">
        <v>1992</v>
      </c>
      <c r="D1303" t="n">
        <v>1992</v>
      </c>
      <c r="E1303" t="inlineStr">
        <is>
          <t>Alien³</t>
        </is>
      </c>
      <c r="F1303" t="inlineStr">
        <is>
          <t>F0017</t>
        </is>
      </c>
    </row>
    <row r="1304">
      <c r="A1304" t="inlineStr">
        <is>
          <t>Vincenzo Nicoli</t>
        </is>
      </c>
      <c r="B1304" t="n">
        <v>2</v>
      </c>
      <c r="C1304" t="n">
        <v>1992</v>
      </c>
      <c r="D1304" t="n">
        <v>2013</v>
      </c>
      <c r="E1304" t="inlineStr">
        <is>
          <t>Alien³, Captain Phillips</t>
        </is>
      </c>
      <c r="F1304" t="inlineStr">
        <is>
          <t>F0017, F0062</t>
        </is>
      </c>
    </row>
    <row r="1305">
      <c r="A1305" t="inlineStr">
        <is>
          <t>Paul Brennen</t>
        </is>
      </c>
      <c r="B1305" t="n">
        <v>1</v>
      </c>
      <c r="C1305" t="n">
        <v>1992</v>
      </c>
      <c r="D1305" t="n">
        <v>1992</v>
      </c>
      <c r="E1305" t="inlineStr">
        <is>
          <t>Alien³</t>
        </is>
      </c>
      <c r="F1305" t="inlineStr">
        <is>
          <t>F0017</t>
        </is>
      </c>
    </row>
    <row r="1306">
      <c r="A1306" t="inlineStr">
        <is>
          <t>Clive Mantle</t>
        </is>
      </c>
      <c r="B1306" t="n">
        <v>1</v>
      </c>
      <c r="C1306" t="n">
        <v>1992</v>
      </c>
      <c r="D1306" t="n">
        <v>1992</v>
      </c>
      <c r="E1306" t="inlineStr">
        <is>
          <t>Alien³</t>
        </is>
      </c>
      <c r="F1306" t="inlineStr">
        <is>
          <t>F0017</t>
        </is>
      </c>
    </row>
    <row r="1307">
      <c r="A1307" t="inlineStr">
        <is>
          <t>Peter Guinness</t>
        </is>
      </c>
      <c r="B1307" t="n">
        <v>1</v>
      </c>
      <c r="C1307" t="n">
        <v>1992</v>
      </c>
      <c r="D1307" t="n">
        <v>1992</v>
      </c>
      <c r="E1307" t="inlineStr">
        <is>
          <t>Alien³</t>
        </is>
      </c>
      <c r="F1307" t="inlineStr">
        <is>
          <t>F0017</t>
        </is>
      </c>
    </row>
    <row r="1308">
      <c r="A1308" t="inlineStr">
        <is>
          <t>Deobia Oparei</t>
        </is>
      </c>
      <c r="B1308" t="n">
        <v>2</v>
      </c>
      <c r="C1308" t="n">
        <v>1992</v>
      </c>
      <c r="D1308" t="n">
        <v>2011</v>
      </c>
      <c r="E1308" t="inlineStr">
        <is>
          <t>Alien³, Pirates of the Caribbean: On Stranger Tides</t>
        </is>
      </c>
      <c r="F1308" t="inlineStr">
        <is>
          <t>F0017, F0249</t>
        </is>
      </c>
    </row>
    <row r="1309">
      <c r="A1309" t="inlineStr">
        <is>
          <t>Phil Davis</t>
        </is>
      </c>
      <c r="B1309" t="n">
        <v>1</v>
      </c>
      <c r="C1309" t="n">
        <v>1992</v>
      </c>
      <c r="D1309" t="n">
        <v>1992</v>
      </c>
      <c r="E1309" t="inlineStr">
        <is>
          <t>Alien³</t>
        </is>
      </c>
      <c r="F1309" t="inlineStr">
        <is>
          <t>F0017</t>
        </is>
      </c>
    </row>
    <row r="1310">
      <c r="A1310" t="inlineStr">
        <is>
          <t>Niall Buggy</t>
        </is>
      </c>
      <c r="B1310" t="n">
        <v>2</v>
      </c>
      <c r="C1310" t="n">
        <v>1992</v>
      </c>
      <c r="D1310" t="n">
        <v>2008</v>
      </c>
      <c r="E1310" t="inlineStr">
        <is>
          <t>Alien³, Mamma Mia!</t>
        </is>
      </c>
      <c r="F1310" t="inlineStr">
        <is>
          <t>F0017, F0209</t>
        </is>
      </c>
    </row>
    <row r="1311">
      <c r="A1311" t="inlineStr">
        <is>
          <t>Hi Ching</t>
        </is>
      </c>
      <c r="B1311" t="n">
        <v>1</v>
      </c>
      <c r="C1311" t="n">
        <v>1992</v>
      </c>
      <c r="D1311" t="n">
        <v>1992</v>
      </c>
      <c r="E1311" t="inlineStr">
        <is>
          <t>Alien³</t>
        </is>
      </c>
      <c r="F1311" t="inlineStr">
        <is>
          <t>F0017</t>
        </is>
      </c>
    </row>
    <row r="1312">
      <c r="A1312" t="inlineStr">
        <is>
          <t>Danielle Edmond</t>
        </is>
      </c>
      <c r="B1312" t="n">
        <v>1</v>
      </c>
      <c r="C1312" t="n">
        <v>1992</v>
      </c>
      <c r="D1312" t="n">
        <v>1992</v>
      </c>
      <c r="E1312" t="inlineStr">
        <is>
          <t>Alien³</t>
        </is>
      </c>
      <c r="F1312" t="inlineStr">
        <is>
          <t>F0017</t>
        </is>
      </c>
    </row>
    <row r="1313">
      <c r="A1313" t="inlineStr">
        <is>
          <t>Tom Woodruff Jr.</t>
        </is>
      </c>
      <c r="B1313" t="n">
        <v>2</v>
      </c>
      <c r="C1313" t="n">
        <v>1992</v>
      </c>
      <c r="D1313" t="n">
        <v>1997</v>
      </c>
      <c r="E1313" t="inlineStr">
        <is>
          <t>Alien³, Alien Resurrection</t>
        </is>
      </c>
      <c r="F1313" t="inlineStr">
        <is>
          <t>F0017, F0018</t>
        </is>
      </c>
    </row>
    <row r="1314">
      <c r="A1314" t="inlineStr">
        <is>
          <t>Michael Wincott</t>
        </is>
      </c>
      <c r="B1314" t="n">
        <v>1</v>
      </c>
      <c r="C1314" t="n">
        <v>1997</v>
      </c>
      <c r="D1314" t="n">
        <v>1997</v>
      </c>
      <c r="E1314" t="inlineStr">
        <is>
          <t>Alien Resurrection</t>
        </is>
      </c>
      <c r="F1314" t="inlineStr">
        <is>
          <t>F0018</t>
        </is>
      </c>
    </row>
    <row r="1315">
      <c r="A1315" t="inlineStr">
        <is>
          <t>Kim Flowers</t>
        </is>
      </c>
      <c r="B1315" t="n">
        <v>1</v>
      </c>
      <c r="C1315" t="n">
        <v>1997</v>
      </c>
      <c r="D1315" t="n">
        <v>1997</v>
      </c>
      <c r="E1315" t="inlineStr">
        <is>
          <t>Alien Resurrection</t>
        </is>
      </c>
      <c r="F1315" t="inlineStr">
        <is>
          <t>F0018</t>
        </is>
      </c>
    </row>
    <row r="1316">
      <c r="A1316" t="inlineStr">
        <is>
          <t>Dan Hedaya</t>
        </is>
      </c>
      <c r="B1316" t="n">
        <v>1</v>
      </c>
      <c r="C1316" t="n">
        <v>1997</v>
      </c>
      <c r="D1316" t="n">
        <v>1997</v>
      </c>
      <c r="E1316" t="inlineStr">
        <is>
          <t>Alien Resurrection</t>
        </is>
      </c>
      <c r="F1316" t="inlineStr">
        <is>
          <t>F0018</t>
        </is>
      </c>
    </row>
    <row r="1317">
      <c r="A1317" t="inlineStr">
        <is>
          <t>J.E. Freeman</t>
        </is>
      </c>
      <c r="B1317" t="n">
        <v>1</v>
      </c>
      <c r="C1317" t="n">
        <v>1997</v>
      </c>
      <c r="D1317" t="n">
        <v>1997</v>
      </c>
      <c r="E1317" t="inlineStr">
        <is>
          <t>Alien Resurrection</t>
        </is>
      </c>
      <c r="F1317" t="inlineStr">
        <is>
          <t>F0018</t>
        </is>
      </c>
    </row>
    <row r="1318">
      <c r="A1318" t="inlineStr">
        <is>
          <t>Brad Dourif</t>
        </is>
      </c>
      <c r="B1318" t="n">
        <v>3</v>
      </c>
      <c r="C1318" t="n">
        <v>1997</v>
      </c>
      <c r="D1318" t="n">
        <v>2011</v>
      </c>
      <c r="E1318" t="inlineStr">
        <is>
          <t>Alien Resurrection, Catch.44, The Lord of the Rings: The Two Towers</t>
        </is>
      </c>
      <c r="F1318" t="inlineStr">
        <is>
          <t>F0018, F0063, F0204</t>
        </is>
      </c>
    </row>
    <row r="1319">
      <c r="A1319" t="inlineStr">
        <is>
          <t>Raymond Cruz</t>
        </is>
      </c>
      <c r="B1319" t="n">
        <v>1</v>
      </c>
      <c r="C1319" t="n">
        <v>1997</v>
      </c>
      <c r="D1319" t="n">
        <v>1997</v>
      </c>
      <c r="E1319" t="inlineStr">
        <is>
          <t>Alien Resurrection</t>
        </is>
      </c>
      <c r="F1319" t="inlineStr">
        <is>
          <t>F0018</t>
        </is>
      </c>
    </row>
    <row r="1320">
      <c r="A1320" t="inlineStr">
        <is>
          <t>Carolyn Campbell</t>
        </is>
      </c>
      <c r="B1320" t="n">
        <v>1</v>
      </c>
      <c r="C1320" t="n">
        <v>1997</v>
      </c>
      <c r="D1320" t="n">
        <v>1997</v>
      </c>
      <c r="E1320" t="inlineStr">
        <is>
          <t>Alien Resurrection</t>
        </is>
      </c>
      <c r="F1320" t="inlineStr">
        <is>
          <t>F0018</t>
        </is>
      </c>
    </row>
    <row r="1321">
      <c r="A1321" t="inlineStr">
        <is>
          <t>Marlene Bush</t>
        </is>
      </c>
      <c r="B1321" t="n">
        <v>1</v>
      </c>
      <c r="C1321" t="n">
        <v>1997</v>
      </c>
      <c r="D1321" t="n">
        <v>1997</v>
      </c>
      <c r="E1321" t="inlineStr">
        <is>
          <t>Alien Resurrection</t>
        </is>
      </c>
      <c r="F1321" t="inlineStr">
        <is>
          <t>F0018</t>
        </is>
      </c>
    </row>
    <row r="1322">
      <c r="A1322" t="inlineStr">
        <is>
          <t>David St. James</t>
        </is>
      </c>
      <c r="B1322" t="n">
        <v>1</v>
      </c>
      <c r="C1322" t="n">
        <v>1997</v>
      </c>
      <c r="D1322" t="n">
        <v>1997</v>
      </c>
      <c r="E1322" t="inlineStr">
        <is>
          <t>Alien Resurrection</t>
        </is>
      </c>
      <c r="F1322" t="inlineStr">
        <is>
          <t>F0018</t>
        </is>
      </c>
    </row>
    <row r="1323">
      <c r="A1323" t="inlineStr">
        <is>
          <t>Rodney Mitchell</t>
        </is>
      </c>
      <c r="B1323" t="n">
        <v>1</v>
      </c>
      <c r="C1323" t="n">
        <v>1997</v>
      </c>
      <c r="D1323" t="n">
        <v>1997</v>
      </c>
      <c r="E1323" t="inlineStr">
        <is>
          <t>Alien Resurrection</t>
        </is>
      </c>
      <c r="F1323" t="inlineStr">
        <is>
          <t>F0018</t>
        </is>
      </c>
    </row>
    <row r="1324">
      <c r="A1324" t="inlineStr">
        <is>
          <t>Robert Faltisco</t>
        </is>
      </c>
      <c r="B1324" t="n">
        <v>1</v>
      </c>
      <c r="C1324" t="n">
        <v>1997</v>
      </c>
      <c r="D1324" t="n">
        <v>1997</v>
      </c>
      <c r="E1324" t="inlineStr">
        <is>
          <t>Alien Resurrection</t>
        </is>
      </c>
      <c r="F1324" t="inlineStr">
        <is>
          <t>F0018</t>
        </is>
      </c>
    </row>
    <row r="1325">
      <c r="A1325" t="inlineStr">
        <is>
          <t>David Rowe</t>
        </is>
      </c>
      <c r="B1325" t="n">
        <v>1</v>
      </c>
      <c r="C1325" t="n">
        <v>1997</v>
      </c>
      <c r="D1325" t="n">
        <v>1997</v>
      </c>
      <c r="E1325" t="inlineStr">
        <is>
          <t>Alien Resurrection</t>
        </is>
      </c>
      <c r="F1325" t="inlineStr">
        <is>
          <t>F0018</t>
        </is>
      </c>
    </row>
    <row r="1326">
      <c r="A1326" t="inlineStr">
        <is>
          <t>Garrett House</t>
        </is>
      </c>
      <c r="B1326" t="n">
        <v>1</v>
      </c>
      <c r="C1326" t="n">
        <v>1997</v>
      </c>
      <c r="D1326" t="n">
        <v>1997</v>
      </c>
      <c r="E1326" t="inlineStr">
        <is>
          <t>Alien Resurrection</t>
        </is>
      </c>
      <c r="F1326" t="inlineStr">
        <is>
          <t>F0018</t>
        </is>
      </c>
    </row>
    <row r="1327">
      <c r="A1327" t="inlineStr">
        <is>
          <t>Rod Damer</t>
        </is>
      </c>
      <c r="B1327" t="n">
        <v>1</v>
      </c>
      <c r="C1327" t="n">
        <v>1997</v>
      </c>
      <c r="D1327" t="n">
        <v>1997</v>
      </c>
      <c r="E1327" t="inlineStr">
        <is>
          <t>Alien Resurrection</t>
        </is>
      </c>
      <c r="F1327" t="inlineStr">
        <is>
          <t>F0018</t>
        </is>
      </c>
    </row>
    <row r="1328">
      <c r="A1328" t="inlineStr">
        <is>
          <t>Mark Mansfield</t>
        </is>
      </c>
      <c r="B1328" t="n">
        <v>1</v>
      </c>
      <c r="C1328" t="n">
        <v>1997</v>
      </c>
      <c r="D1328" t="n">
        <v>1997</v>
      </c>
      <c r="E1328" t="inlineStr">
        <is>
          <t>Alien Resurrection</t>
        </is>
      </c>
      <c r="F1328" t="inlineStr">
        <is>
          <t>F0018</t>
        </is>
      </c>
    </row>
    <row r="1329">
      <c r="A1329" t="inlineStr">
        <is>
          <t>Daniel Raymont</t>
        </is>
      </c>
      <c r="B1329" t="n">
        <v>1</v>
      </c>
      <c r="C1329" t="n">
        <v>1997</v>
      </c>
      <c r="D1329" t="n">
        <v>1997</v>
      </c>
      <c r="E1329" t="inlineStr">
        <is>
          <t>Alien Resurrection</t>
        </is>
      </c>
      <c r="F1329" t="inlineStr">
        <is>
          <t>F0018</t>
        </is>
      </c>
    </row>
    <row r="1330">
      <c r="A1330" t="inlineStr">
        <is>
          <t>Cris D'Annunzio</t>
        </is>
      </c>
      <c r="B1330" t="n">
        <v>1</v>
      </c>
      <c r="C1330" t="n">
        <v>1997</v>
      </c>
      <c r="D1330" t="n">
        <v>1997</v>
      </c>
      <c r="E1330" t="inlineStr">
        <is>
          <t>Alien Resurrection</t>
        </is>
      </c>
      <c r="F1330" t="inlineStr">
        <is>
          <t>F0018</t>
        </is>
      </c>
    </row>
    <row r="1331">
      <c r="A1331" t="inlineStr">
        <is>
          <t>Steven Gilborn</t>
        </is>
      </c>
      <c r="B1331" t="n">
        <v>1</v>
      </c>
      <c r="C1331" t="n">
        <v>1997</v>
      </c>
      <c r="D1331" t="n">
        <v>1997</v>
      </c>
      <c r="E1331" t="inlineStr">
        <is>
          <t>Alien Resurrection</t>
        </is>
      </c>
      <c r="F1331" t="inlineStr">
        <is>
          <t>F0018</t>
        </is>
      </c>
    </row>
    <row r="1332">
      <c r="A1332" t="inlineStr">
        <is>
          <t>Robert Bastens</t>
        </is>
      </c>
      <c r="B1332" t="n">
        <v>1</v>
      </c>
      <c r="C1332" t="n">
        <v>1997</v>
      </c>
      <c r="D1332" t="n">
        <v>1997</v>
      </c>
      <c r="E1332" t="inlineStr">
        <is>
          <t>Alien Resurrection</t>
        </is>
      </c>
      <c r="F1332" t="inlineStr">
        <is>
          <t>F0018</t>
        </is>
      </c>
    </row>
    <row r="1333">
      <c r="A1333" t="inlineStr">
        <is>
          <t>Rico Bueno</t>
        </is>
      </c>
      <c r="B1333" t="n">
        <v>1</v>
      </c>
      <c r="C1333" t="n">
        <v>1997</v>
      </c>
      <c r="D1333" t="n">
        <v>1997</v>
      </c>
      <c r="E1333" t="inlineStr">
        <is>
          <t>Alien Resurrection</t>
        </is>
      </c>
      <c r="F1333" t="inlineStr">
        <is>
          <t>F0018</t>
        </is>
      </c>
    </row>
    <row r="1334">
      <c r="A1334" t="inlineStr">
        <is>
          <t>Alex Lorre</t>
        </is>
      </c>
      <c r="B1334" t="n">
        <v>1</v>
      </c>
      <c r="C1334" t="n">
        <v>1997</v>
      </c>
      <c r="D1334" t="n">
        <v>1997</v>
      </c>
      <c r="E1334" t="inlineStr">
        <is>
          <t>Alien Resurrection</t>
        </is>
      </c>
      <c r="F1334" t="inlineStr">
        <is>
          <t>F0018</t>
        </is>
      </c>
    </row>
    <row r="1335">
      <c r="A1335" t="inlineStr">
        <is>
          <t>Ronald Ramessar</t>
        </is>
      </c>
      <c r="B1335" t="n">
        <v>1</v>
      </c>
      <c r="C1335" t="n">
        <v>1997</v>
      </c>
      <c r="D1335" t="n">
        <v>1997</v>
      </c>
      <c r="E1335" t="inlineStr">
        <is>
          <t>Alien Resurrection</t>
        </is>
      </c>
      <c r="F1335" t="inlineStr">
        <is>
          <t>F0018</t>
        </is>
      </c>
    </row>
    <row r="1336">
      <c r="A1336" t="inlineStr">
        <is>
          <t>Nicole Fellows</t>
        </is>
      </c>
      <c r="B1336" t="n">
        <v>1</v>
      </c>
      <c r="C1336" t="n">
        <v>1997</v>
      </c>
      <c r="D1336" t="n">
        <v>1997</v>
      </c>
      <c r="E1336" t="inlineStr">
        <is>
          <t>Alien Resurrection</t>
        </is>
      </c>
      <c r="F1336" t="inlineStr">
        <is>
          <t>F0018</t>
        </is>
      </c>
    </row>
    <row r="1337">
      <c r="A1337" t="inlineStr">
        <is>
          <t>Sally Field</t>
        </is>
      </c>
      <c r="B1337" t="n">
        <v>1</v>
      </c>
      <c r="C1337" t="n">
        <v>2012</v>
      </c>
      <c r="D1337" t="n">
        <v>2012</v>
      </c>
      <c r="E1337" t="inlineStr">
        <is>
          <t>The Amazing Spider-Man</t>
        </is>
      </c>
      <c r="F1337" t="inlineStr">
        <is>
          <t>F0019</t>
        </is>
      </c>
    </row>
    <row r="1338">
      <c r="A1338" t="inlineStr">
        <is>
          <t>Campbell Scott</t>
        </is>
      </c>
      <c r="B1338" t="n">
        <v>2</v>
      </c>
      <c r="C1338" t="n">
        <v>2012</v>
      </c>
      <c r="D1338" t="n">
        <v>2022</v>
      </c>
      <c r="E1338" t="inlineStr">
        <is>
          <t>The Amazing Spider-Man, Jurassic World Dominion</t>
        </is>
      </c>
      <c r="F1338" t="inlineStr">
        <is>
          <t>F0019, F0181</t>
        </is>
      </c>
    </row>
    <row r="1339">
      <c r="A1339" t="inlineStr">
        <is>
          <t>Embeth Davidtz</t>
        </is>
      </c>
      <c r="B1339" t="n">
        <v>1</v>
      </c>
      <c r="C1339" t="n">
        <v>2012</v>
      </c>
      <c r="D1339" t="n">
        <v>2012</v>
      </c>
      <c r="E1339" t="inlineStr">
        <is>
          <t>The Amazing Spider-Man</t>
        </is>
      </c>
      <c r="F1339" t="inlineStr">
        <is>
          <t>F0019</t>
        </is>
      </c>
    </row>
    <row r="1340">
      <c r="A1340" t="inlineStr">
        <is>
          <t>Chris Zylka</t>
        </is>
      </c>
      <c r="B1340" t="n">
        <v>1</v>
      </c>
      <c r="C1340" t="n">
        <v>2012</v>
      </c>
      <c r="D1340" t="n">
        <v>2012</v>
      </c>
      <c r="E1340" t="inlineStr">
        <is>
          <t>The Amazing Spider-Man</t>
        </is>
      </c>
      <c r="F1340" t="inlineStr">
        <is>
          <t>F0019</t>
        </is>
      </c>
    </row>
    <row r="1341">
      <c r="A1341" t="inlineStr">
        <is>
          <t>Max Charles</t>
        </is>
      </c>
      <c r="B1341" t="n">
        <v>1</v>
      </c>
      <c r="C1341" t="n">
        <v>2012</v>
      </c>
      <c r="D1341" t="n">
        <v>2012</v>
      </c>
      <c r="E1341" t="inlineStr">
        <is>
          <t>The Amazing Spider-Man</t>
        </is>
      </c>
      <c r="F1341" t="inlineStr">
        <is>
          <t>F0019</t>
        </is>
      </c>
    </row>
    <row r="1342">
      <c r="A1342" t="inlineStr">
        <is>
          <t>C. Thomas Howell</t>
        </is>
      </c>
      <c r="B1342" t="n">
        <v>1</v>
      </c>
      <c r="C1342" t="n">
        <v>2012</v>
      </c>
      <c r="D1342" t="n">
        <v>2012</v>
      </c>
      <c r="E1342" t="inlineStr">
        <is>
          <t>The Amazing Spider-Man</t>
        </is>
      </c>
      <c r="F1342" t="inlineStr">
        <is>
          <t>F0019</t>
        </is>
      </c>
    </row>
    <row r="1343">
      <c r="A1343" t="inlineStr">
        <is>
          <t>Jake Keiffer</t>
        </is>
      </c>
      <c r="B1343" t="n">
        <v>1</v>
      </c>
      <c r="C1343" t="n">
        <v>2012</v>
      </c>
      <c r="D1343" t="n">
        <v>2012</v>
      </c>
      <c r="E1343" t="inlineStr">
        <is>
          <t>The Amazing Spider-Man</t>
        </is>
      </c>
      <c r="F1343" t="inlineStr">
        <is>
          <t>F0019</t>
        </is>
      </c>
    </row>
    <row r="1344">
      <c r="A1344" t="inlineStr">
        <is>
          <t>Kari Coleman</t>
        </is>
      </c>
      <c r="B1344" t="n">
        <v>1</v>
      </c>
      <c r="C1344" t="n">
        <v>2012</v>
      </c>
      <c r="D1344" t="n">
        <v>2012</v>
      </c>
      <c r="E1344" t="inlineStr">
        <is>
          <t>The Amazing Spider-Man</t>
        </is>
      </c>
      <c r="F1344" t="inlineStr">
        <is>
          <t>F0019</t>
        </is>
      </c>
    </row>
    <row r="1345">
      <c r="A1345" t="inlineStr">
        <is>
          <t>Michael Barra</t>
        </is>
      </c>
      <c r="B1345" t="n">
        <v>1</v>
      </c>
      <c r="C1345" t="n">
        <v>2012</v>
      </c>
      <c r="D1345" t="n">
        <v>2012</v>
      </c>
      <c r="E1345" t="inlineStr">
        <is>
          <t>The Amazing Spider-Man</t>
        </is>
      </c>
      <c r="F1345" t="inlineStr">
        <is>
          <t>F0019</t>
        </is>
      </c>
    </row>
    <row r="1346">
      <c r="A1346" t="inlineStr">
        <is>
          <t>Leif Gantvoort</t>
        </is>
      </c>
      <c r="B1346" t="n">
        <v>1</v>
      </c>
      <c r="C1346" t="n">
        <v>2012</v>
      </c>
      <c r="D1346" t="n">
        <v>2012</v>
      </c>
      <c r="E1346" t="inlineStr">
        <is>
          <t>The Amazing Spider-Man</t>
        </is>
      </c>
      <c r="F1346" t="inlineStr">
        <is>
          <t>F0019</t>
        </is>
      </c>
    </row>
    <row r="1347">
      <c r="A1347" t="inlineStr">
        <is>
          <t>Andy Pessoa</t>
        </is>
      </c>
      <c r="B1347" t="n">
        <v>1</v>
      </c>
      <c r="C1347" t="n">
        <v>2012</v>
      </c>
      <c r="D1347" t="n">
        <v>2012</v>
      </c>
      <c r="E1347" t="inlineStr">
        <is>
          <t>The Amazing Spider-Man</t>
        </is>
      </c>
      <c r="F1347" t="inlineStr">
        <is>
          <t>F0019</t>
        </is>
      </c>
    </row>
    <row r="1348">
      <c r="A1348" t="inlineStr">
        <is>
          <t>Hannah Marks</t>
        </is>
      </c>
      <c r="B1348" t="n">
        <v>1</v>
      </c>
      <c r="C1348" t="n">
        <v>2012</v>
      </c>
      <c r="D1348" t="n">
        <v>2012</v>
      </c>
      <c r="E1348" t="inlineStr">
        <is>
          <t>The Amazing Spider-Man</t>
        </is>
      </c>
      <c r="F1348" t="inlineStr">
        <is>
          <t>F0019</t>
        </is>
      </c>
    </row>
    <row r="1349">
      <c r="A1349" t="inlineStr">
        <is>
          <t>Kelsey Asbille</t>
        </is>
      </c>
      <c r="B1349" t="n">
        <v>1</v>
      </c>
      <c r="C1349" t="n">
        <v>2012</v>
      </c>
      <c r="D1349" t="n">
        <v>2012</v>
      </c>
      <c r="E1349" t="inlineStr">
        <is>
          <t>The Amazing Spider-Man</t>
        </is>
      </c>
      <c r="F1349" t="inlineStr">
        <is>
          <t>F0019</t>
        </is>
      </c>
    </row>
    <row r="1350">
      <c r="A1350" t="inlineStr">
        <is>
          <t>Kevin McCorkle</t>
        </is>
      </c>
      <c r="B1350" t="n">
        <v>1</v>
      </c>
      <c r="C1350" t="n">
        <v>2012</v>
      </c>
      <c r="D1350" t="n">
        <v>2012</v>
      </c>
      <c r="E1350" t="inlineStr">
        <is>
          <t>The Amazing Spider-Man</t>
        </is>
      </c>
      <c r="F1350" t="inlineStr">
        <is>
          <t>F0019</t>
        </is>
      </c>
    </row>
    <row r="1351">
      <c r="A1351" t="inlineStr">
        <is>
          <t>Andy Gladbach</t>
        </is>
      </c>
      <c r="B1351" t="n">
        <v>1</v>
      </c>
      <c r="C1351" t="n">
        <v>2012</v>
      </c>
      <c r="D1351" t="n">
        <v>2012</v>
      </c>
      <c r="E1351" t="inlineStr">
        <is>
          <t>The Amazing Spider-Man</t>
        </is>
      </c>
      <c r="F1351" t="inlineStr">
        <is>
          <t>F0019</t>
        </is>
      </c>
    </row>
    <row r="1352">
      <c r="A1352" t="inlineStr">
        <is>
          <t>Ring Hendricks-Tellefsen</t>
        </is>
      </c>
      <c r="B1352" t="n">
        <v>1</v>
      </c>
      <c r="C1352" t="n">
        <v>2012</v>
      </c>
      <c r="D1352" t="n">
        <v>2012</v>
      </c>
      <c r="E1352" t="inlineStr">
        <is>
          <t>The Amazing Spider-Man</t>
        </is>
      </c>
      <c r="F1352" t="inlineStr">
        <is>
          <t>F0019</t>
        </is>
      </c>
    </row>
    <row r="1353">
      <c r="A1353" t="inlineStr">
        <is>
          <t>Barbara Eve Harris</t>
        </is>
      </c>
      <c r="B1353" t="n">
        <v>1</v>
      </c>
      <c r="C1353" t="n">
        <v>2012</v>
      </c>
      <c r="D1353" t="n">
        <v>2012</v>
      </c>
      <c r="E1353" t="inlineStr">
        <is>
          <t>The Amazing Spider-Man</t>
        </is>
      </c>
      <c r="F1353" t="inlineStr">
        <is>
          <t>F0019</t>
        </is>
      </c>
    </row>
    <row r="1354">
      <c r="A1354" t="inlineStr">
        <is>
          <t>Stan Lee</t>
        </is>
      </c>
      <c r="B1354" t="n">
        <v>7</v>
      </c>
      <c r="C1354" t="n">
        <v>2000</v>
      </c>
      <c r="D1354" t="n">
        <v>2016</v>
      </c>
      <c r="E1354" t="inlineStr">
        <is>
          <t>The Amazing Spider-Man, Big Hero 6, Deadpool, Spider-Man 2, Spider-Man 3, X-Men, X-Men: The Last Stand</t>
        </is>
      </c>
      <c r="F1354" t="inlineStr">
        <is>
          <t>F0019, F0048, F0076, F0288, F0289, F0344, F0346</t>
        </is>
      </c>
    </row>
    <row r="1355">
      <c r="A1355" t="inlineStr">
        <is>
          <t>Danielle Burgio</t>
        </is>
      </c>
      <c r="B1355" t="n">
        <v>2</v>
      </c>
      <c r="C1355" t="n">
        <v>2012</v>
      </c>
      <c r="D1355" t="n">
        <v>2012</v>
      </c>
      <c r="E1355" t="inlineStr">
        <is>
          <t>The Amazing Spider-Man, The Dictator</t>
        </is>
      </c>
      <c r="F1355" t="inlineStr">
        <is>
          <t>F0019, F0085</t>
        </is>
      </c>
    </row>
    <row r="1356">
      <c r="A1356" t="inlineStr">
        <is>
          <t>Tom Waite</t>
        </is>
      </c>
      <c r="B1356" t="n">
        <v>1</v>
      </c>
      <c r="C1356" t="n">
        <v>2012</v>
      </c>
      <c r="D1356" t="n">
        <v>2012</v>
      </c>
      <c r="E1356" t="inlineStr">
        <is>
          <t>The Amazing Spider-Man</t>
        </is>
      </c>
      <c r="F1356" t="inlineStr">
        <is>
          <t>F0019</t>
        </is>
      </c>
    </row>
    <row r="1357">
      <c r="A1357" t="inlineStr">
        <is>
          <t>Keith Campbell</t>
        </is>
      </c>
      <c r="B1357" t="n">
        <v>2</v>
      </c>
      <c r="C1357" t="n">
        <v>1997</v>
      </c>
      <c r="D1357" t="n">
        <v>2012</v>
      </c>
      <c r="E1357" t="inlineStr">
        <is>
          <t>The Amazing Spider-Man, Men in Black</t>
        </is>
      </c>
      <c r="F1357" t="inlineStr">
        <is>
          <t>F0019, F0218</t>
        </is>
      </c>
    </row>
    <row r="1358">
      <c r="A1358" t="inlineStr">
        <is>
          <t>Steve DeCastro</t>
        </is>
      </c>
      <c r="B1358" t="n">
        <v>1</v>
      </c>
      <c r="C1358" t="n">
        <v>2012</v>
      </c>
      <c r="D1358" t="n">
        <v>2012</v>
      </c>
      <c r="E1358" t="inlineStr">
        <is>
          <t>The Amazing Spider-Man</t>
        </is>
      </c>
      <c r="F1358" t="inlineStr">
        <is>
          <t>F0019</t>
        </is>
      </c>
    </row>
    <row r="1359">
      <c r="A1359" t="inlineStr">
        <is>
          <t>Jill Flint</t>
        </is>
      </c>
      <c r="B1359" t="n">
        <v>1</v>
      </c>
      <c r="C1359" t="n">
        <v>2012</v>
      </c>
      <c r="D1359" t="n">
        <v>2012</v>
      </c>
      <c r="E1359" t="inlineStr">
        <is>
          <t>The Amazing Spider-Man</t>
        </is>
      </c>
      <c r="F1359" t="inlineStr">
        <is>
          <t>F0019</t>
        </is>
      </c>
    </row>
    <row r="1360">
      <c r="A1360" t="inlineStr">
        <is>
          <t>Mark Daugherty</t>
        </is>
      </c>
      <c r="B1360" t="n">
        <v>1</v>
      </c>
      <c r="C1360" t="n">
        <v>2012</v>
      </c>
      <c r="D1360" t="n">
        <v>2012</v>
      </c>
      <c r="E1360" t="inlineStr">
        <is>
          <t>The Amazing Spider-Man</t>
        </is>
      </c>
      <c r="F1360" t="inlineStr">
        <is>
          <t>F0019</t>
        </is>
      </c>
    </row>
    <row r="1361">
      <c r="A1361" t="inlineStr">
        <is>
          <t>Jack Huston</t>
        </is>
      </c>
      <c r="B1361" t="n">
        <v>1</v>
      </c>
      <c r="C1361" t="n">
        <v>2013</v>
      </c>
      <c r="D1361" t="n">
        <v>2013</v>
      </c>
      <c r="E1361" t="inlineStr">
        <is>
          <t>American Hustle</t>
        </is>
      </c>
      <c r="F1361" t="inlineStr">
        <is>
          <t>F0020</t>
        </is>
      </c>
    </row>
    <row r="1362">
      <c r="A1362" t="inlineStr">
        <is>
          <t>Shea Whigham</t>
        </is>
      </c>
      <c r="B1362" t="n">
        <v>8</v>
      </c>
      <c r="C1362" t="n">
        <v>2011</v>
      </c>
      <c r="D1362" t="n">
        <v>2025</v>
      </c>
      <c r="E1362" t="inlineStr">
        <is>
          <t>American Hustle, Catch.44, F1, Fast &amp; Furious 6, F9: The Fast Saga, Kong: Skull Island, Mission: Impossible - Dead Reckoning Part One, Mission: Impossible - The Final Reckoning</t>
        </is>
      </c>
      <c r="F1362" t="inlineStr">
        <is>
          <t>F0020, F0063, F0098, F0106, F0109, F0190, F0227, F0228</t>
        </is>
      </c>
    </row>
    <row r="1363">
      <c r="A1363" t="inlineStr">
        <is>
          <t>Elisabeth Röhm</t>
        </is>
      </c>
      <c r="B1363" t="n">
        <v>1</v>
      </c>
      <c r="C1363" t="n">
        <v>2013</v>
      </c>
      <c r="D1363" t="n">
        <v>2013</v>
      </c>
      <c r="E1363" t="inlineStr">
        <is>
          <t>American Hustle</t>
        </is>
      </c>
      <c r="F1363" t="inlineStr">
        <is>
          <t>F0020</t>
        </is>
      </c>
    </row>
    <row r="1364">
      <c r="A1364" t="inlineStr">
        <is>
          <t>Paul Herman</t>
        </is>
      </c>
      <c r="B1364" t="n">
        <v>1</v>
      </c>
      <c r="C1364" t="n">
        <v>2013</v>
      </c>
      <c r="D1364" t="n">
        <v>2013</v>
      </c>
      <c r="E1364" t="inlineStr">
        <is>
          <t>American Hustle</t>
        </is>
      </c>
      <c r="F1364" t="inlineStr">
        <is>
          <t>F0020</t>
        </is>
      </c>
    </row>
    <row r="1365">
      <c r="A1365" t="inlineStr">
        <is>
          <t>Saïd Taghmaoui</t>
        </is>
      </c>
      <c r="B1365" t="n">
        <v>2</v>
      </c>
      <c r="C1365" t="n">
        <v>2009</v>
      </c>
      <c r="D1365" t="n">
        <v>2013</v>
      </c>
      <c r="E1365" t="inlineStr">
        <is>
          <t>American Hustle, G.I. Joe: The Rise of Cobra</t>
        </is>
      </c>
      <c r="F1365" t="inlineStr">
        <is>
          <t>F0020, F0118</t>
        </is>
      </c>
    </row>
    <row r="1366">
      <c r="A1366" t="inlineStr">
        <is>
          <t>Matthew Russell</t>
        </is>
      </c>
      <c r="B1366" t="n">
        <v>1</v>
      </c>
      <c r="C1366" t="n">
        <v>2013</v>
      </c>
      <c r="D1366" t="n">
        <v>2013</v>
      </c>
      <c r="E1366" t="inlineStr">
        <is>
          <t>American Hustle</t>
        </is>
      </c>
      <c r="F1366" t="inlineStr">
        <is>
          <t>F0020</t>
        </is>
      </c>
    </row>
    <row r="1367">
      <c r="A1367" t="inlineStr">
        <is>
          <t>Thomas Matthews</t>
        </is>
      </c>
      <c r="B1367" t="n">
        <v>1</v>
      </c>
      <c r="C1367" t="n">
        <v>2013</v>
      </c>
      <c r="D1367" t="n">
        <v>2013</v>
      </c>
      <c r="E1367" t="inlineStr">
        <is>
          <t>American Hustle</t>
        </is>
      </c>
      <c r="F1367" t="inlineStr">
        <is>
          <t>F0020</t>
        </is>
      </c>
    </row>
    <row r="1368">
      <c r="A1368" t="inlineStr">
        <is>
          <t>Adrian Martinez</t>
        </is>
      </c>
      <c r="B1368" t="n">
        <v>2</v>
      </c>
      <c r="C1368" t="n">
        <v>2010</v>
      </c>
      <c r="D1368" t="n">
        <v>2013</v>
      </c>
      <c r="E1368" t="inlineStr">
        <is>
          <t>American Hustle, Kick-Ass</t>
        </is>
      </c>
      <c r="F1368" t="inlineStr">
        <is>
          <t>F0020, F0185</t>
        </is>
      </c>
    </row>
    <row r="1369">
      <c r="A1369" t="inlineStr">
        <is>
          <t>Anthony Zerbe</t>
        </is>
      </c>
      <c r="B1369" t="n">
        <v>3</v>
      </c>
      <c r="C1369" t="n">
        <v>2003</v>
      </c>
      <c r="D1369" t="n">
        <v>2013</v>
      </c>
      <c r="E1369" t="inlineStr">
        <is>
          <t>American Hustle, The Matrix Reloaded, The Matrix Revolutions</t>
        </is>
      </c>
      <c r="F1369" t="inlineStr">
        <is>
          <t>F0020, F0215, F0216</t>
        </is>
      </c>
    </row>
    <row r="1370">
      <c r="A1370" t="inlineStr">
        <is>
          <t>Colleen Camp</t>
        </is>
      </c>
      <c r="B1370" t="n">
        <v>1</v>
      </c>
      <c r="C1370" t="n">
        <v>2013</v>
      </c>
      <c r="D1370" t="n">
        <v>2013</v>
      </c>
      <c r="E1370" t="inlineStr">
        <is>
          <t>American Hustle</t>
        </is>
      </c>
      <c r="F1370" t="inlineStr">
        <is>
          <t>F0020</t>
        </is>
      </c>
    </row>
    <row r="1371">
      <c r="A1371" t="inlineStr">
        <is>
          <t>Steve Gagliastro</t>
        </is>
      </c>
      <c r="B1371" t="n">
        <v>1</v>
      </c>
      <c r="C1371" t="n">
        <v>2013</v>
      </c>
      <c r="D1371" t="n">
        <v>2013</v>
      </c>
      <c r="E1371" t="inlineStr">
        <is>
          <t>American Hustle</t>
        </is>
      </c>
      <c r="F1371" t="inlineStr">
        <is>
          <t>F0020</t>
        </is>
      </c>
    </row>
    <row r="1372">
      <c r="A1372" t="inlineStr">
        <is>
          <t>Christopher Tarjan</t>
        </is>
      </c>
      <c r="B1372" t="n">
        <v>1</v>
      </c>
      <c r="C1372" t="n">
        <v>2013</v>
      </c>
      <c r="D1372" t="n">
        <v>2013</v>
      </c>
      <c r="E1372" t="inlineStr">
        <is>
          <t>American Hustle</t>
        </is>
      </c>
      <c r="F1372" t="inlineStr">
        <is>
          <t>F0020</t>
        </is>
      </c>
    </row>
    <row r="1373">
      <c r="A1373" t="inlineStr">
        <is>
          <t>Zachariah Supka</t>
        </is>
      </c>
      <c r="B1373" t="n">
        <v>1</v>
      </c>
      <c r="C1373" t="n">
        <v>2013</v>
      </c>
      <c r="D1373" t="n">
        <v>2013</v>
      </c>
      <c r="E1373" t="inlineStr">
        <is>
          <t>American Hustle</t>
        </is>
      </c>
      <c r="F1373" t="inlineStr">
        <is>
          <t>F0020</t>
        </is>
      </c>
    </row>
    <row r="1374">
      <c r="A1374" t="inlineStr">
        <is>
          <t>Christy Scott Cashman</t>
        </is>
      </c>
      <c r="B1374" t="n">
        <v>1</v>
      </c>
      <c r="C1374" t="n">
        <v>2013</v>
      </c>
      <c r="D1374" t="n">
        <v>2013</v>
      </c>
      <c r="E1374" t="inlineStr">
        <is>
          <t>American Hustle</t>
        </is>
      </c>
      <c r="F1374" t="inlineStr">
        <is>
          <t>F0020</t>
        </is>
      </c>
    </row>
    <row r="1375">
      <c r="A1375" t="inlineStr">
        <is>
          <t>Simon Hamlin</t>
        </is>
      </c>
      <c r="B1375" t="n">
        <v>1</v>
      </c>
      <c r="C1375" t="n">
        <v>2013</v>
      </c>
      <c r="D1375" t="n">
        <v>2013</v>
      </c>
      <c r="E1375" t="inlineStr">
        <is>
          <t>American Hustle</t>
        </is>
      </c>
      <c r="F1375" t="inlineStr">
        <is>
          <t>F0020</t>
        </is>
      </c>
    </row>
    <row r="1376">
      <c r="A1376" t="inlineStr">
        <is>
          <t>Martie Barylick</t>
        </is>
      </c>
      <c r="B1376" t="n">
        <v>1</v>
      </c>
      <c r="C1376" t="n">
        <v>2013</v>
      </c>
      <c r="D1376" t="n">
        <v>2013</v>
      </c>
      <c r="E1376" t="inlineStr">
        <is>
          <t>American Hustle</t>
        </is>
      </c>
      <c r="F1376" t="inlineStr">
        <is>
          <t>F0020</t>
        </is>
      </c>
    </row>
    <row r="1377">
      <c r="A1377" t="inlineStr">
        <is>
          <t>Dawn Olivieri</t>
        </is>
      </c>
      <c r="B1377" t="n">
        <v>1</v>
      </c>
      <c r="C1377" t="n">
        <v>2013</v>
      </c>
      <c r="D1377" t="n">
        <v>2013</v>
      </c>
      <c r="E1377" t="inlineStr">
        <is>
          <t>American Hustle</t>
        </is>
      </c>
      <c r="F1377" t="inlineStr">
        <is>
          <t>F0020</t>
        </is>
      </c>
    </row>
    <row r="1378">
      <c r="A1378" t="inlineStr">
        <is>
          <t>Becki Dennis</t>
        </is>
      </c>
      <c r="B1378" t="n">
        <v>1</v>
      </c>
      <c r="C1378" t="n">
        <v>2013</v>
      </c>
      <c r="D1378" t="n">
        <v>2013</v>
      </c>
      <c r="E1378" t="inlineStr">
        <is>
          <t>American Hustle</t>
        </is>
      </c>
      <c r="F1378" t="inlineStr">
        <is>
          <t>F0020</t>
        </is>
      </c>
    </row>
    <row r="1379">
      <c r="A1379" t="inlineStr">
        <is>
          <t>Jay Giannone</t>
        </is>
      </c>
      <c r="B1379" t="n">
        <v>1</v>
      </c>
      <c r="C1379" t="n">
        <v>2013</v>
      </c>
      <c r="D1379" t="n">
        <v>2013</v>
      </c>
      <c r="E1379" t="inlineStr">
        <is>
          <t>American Hustle</t>
        </is>
      </c>
      <c r="F1379" t="inlineStr">
        <is>
          <t>F0020</t>
        </is>
      </c>
    </row>
    <row r="1380">
      <c r="A1380" t="inlineStr">
        <is>
          <t>Arthur Birnbaum</t>
        </is>
      </c>
      <c r="B1380" t="n">
        <v>1</v>
      </c>
      <c r="C1380" t="n">
        <v>2013</v>
      </c>
      <c r="D1380" t="n">
        <v>2013</v>
      </c>
      <c r="E1380" t="inlineStr">
        <is>
          <t>American Hustle</t>
        </is>
      </c>
      <c r="F1380" t="inlineStr">
        <is>
          <t>F0020</t>
        </is>
      </c>
    </row>
    <row r="1381">
      <c r="A1381" t="inlineStr">
        <is>
          <t>Rob DiNinni</t>
        </is>
      </c>
      <c r="B1381" t="n">
        <v>1</v>
      </c>
      <c r="C1381" t="n">
        <v>2013</v>
      </c>
      <c r="D1381" t="n">
        <v>2013</v>
      </c>
      <c r="E1381" t="inlineStr">
        <is>
          <t>American Hustle</t>
        </is>
      </c>
      <c r="F1381" t="inlineStr">
        <is>
          <t>F0020</t>
        </is>
      </c>
    </row>
    <row r="1382">
      <c r="A1382" t="inlineStr">
        <is>
          <t>Michael Fennimore</t>
        </is>
      </c>
      <c r="B1382" t="n">
        <v>1</v>
      </c>
      <c r="C1382" t="n">
        <v>2013</v>
      </c>
      <c r="D1382" t="n">
        <v>2013</v>
      </c>
      <c r="E1382" t="inlineStr">
        <is>
          <t>American Hustle</t>
        </is>
      </c>
      <c r="F1382" t="inlineStr">
        <is>
          <t>F0020</t>
        </is>
      </c>
    </row>
    <row r="1383">
      <c r="A1383" t="inlineStr">
        <is>
          <t>Christopher Hagen</t>
        </is>
      </c>
      <c r="B1383" t="n">
        <v>1</v>
      </c>
      <c r="C1383" t="n">
        <v>2014</v>
      </c>
      <c r="D1383" t="n">
        <v>2014</v>
      </c>
      <c r="E1383" t="inlineStr">
        <is>
          <t>A Million Ways to Die in the West</t>
        </is>
      </c>
      <c r="F1383" t="inlineStr">
        <is>
          <t>F0021</t>
        </is>
      </c>
    </row>
    <row r="1384">
      <c r="A1384" t="inlineStr">
        <is>
          <t>Wes Studi</t>
        </is>
      </c>
      <c r="B1384" t="n">
        <v>2</v>
      </c>
      <c r="C1384" t="n">
        <v>2009</v>
      </c>
      <c r="D1384" t="n">
        <v>2014</v>
      </c>
      <c r="E1384" t="inlineStr">
        <is>
          <t>A Million Ways to Die in the West, Avatar</t>
        </is>
      </c>
      <c r="F1384" t="inlineStr">
        <is>
          <t>F0021, F0028</t>
        </is>
      </c>
    </row>
    <row r="1385">
      <c r="A1385" t="inlineStr">
        <is>
          <t>Matt Clark</t>
        </is>
      </c>
      <c r="B1385" t="n">
        <v>2</v>
      </c>
      <c r="C1385" t="n">
        <v>1990</v>
      </c>
      <c r="D1385" t="n">
        <v>2014</v>
      </c>
      <c r="E1385" t="inlineStr">
        <is>
          <t>A Million Ways to Die in the West, Back to the Future Part III</t>
        </is>
      </c>
      <c r="F1385" t="inlineStr">
        <is>
          <t>F0021, F0035</t>
        </is>
      </c>
    </row>
    <row r="1386">
      <c r="A1386" t="inlineStr">
        <is>
          <t>Evan Jones</t>
        </is>
      </c>
      <c r="B1386" t="n">
        <v>1</v>
      </c>
      <c r="C1386" t="n">
        <v>2014</v>
      </c>
      <c r="D1386" t="n">
        <v>2014</v>
      </c>
      <c r="E1386" t="inlineStr">
        <is>
          <t>A Million Ways to Die in the West</t>
        </is>
      </c>
      <c r="F1386" t="inlineStr">
        <is>
          <t>F0021</t>
        </is>
      </c>
    </row>
    <row r="1387">
      <c r="A1387" t="inlineStr">
        <is>
          <t>Aaron McPherson</t>
        </is>
      </c>
      <c r="B1387" t="n">
        <v>1</v>
      </c>
      <c r="C1387" t="n">
        <v>2014</v>
      </c>
      <c r="D1387" t="n">
        <v>2014</v>
      </c>
      <c r="E1387" t="inlineStr">
        <is>
          <t>A Million Ways to Die in the West</t>
        </is>
      </c>
      <c r="F1387" t="inlineStr">
        <is>
          <t>F0021</t>
        </is>
      </c>
    </row>
    <row r="1388">
      <c r="A1388" t="inlineStr">
        <is>
          <t>Rex Linn</t>
        </is>
      </c>
      <c r="B1388" t="n">
        <v>1</v>
      </c>
      <c r="C1388" t="n">
        <v>2014</v>
      </c>
      <c r="D1388" t="n">
        <v>2014</v>
      </c>
      <c r="E1388" t="inlineStr">
        <is>
          <t>A Million Ways to Die in the West</t>
        </is>
      </c>
      <c r="F1388" t="inlineStr">
        <is>
          <t>F0021</t>
        </is>
      </c>
    </row>
    <row r="1389">
      <c r="A1389" t="inlineStr">
        <is>
          <t>Brett Rickaby</t>
        </is>
      </c>
      <c r="B1389" t="n">
        <v>1</v>
      </c>
      <c r="C1389" t="n">
        <v>2014</v>
      </c>
      <c r="D1389" t="n">
        <v>2014</v>
      </c>
      <c r="E1389" t="inlineStr">
        <is>
          <t>A Million Ways to Die in the West</t>
        </is>
      </c>
      <c r="F1389" t="inlineStr">
        <is>
          <t>F0021</t>
        </is>
      </c>
    </row>
    <row r="1390">
      <c r="A1390" t="inlineStr">
        <is>
          <t>Alex Borstein</t>
        </is>
      </c>
      <c r="B1390" t="n">
        <v>2</v>
      </c>
      <c r="C1390" t="n">
        <v>2012</v>
      </c>
      <c r="D1390" t="n">
        <v>2014</v>
      </c>
      <c r="E1390" t="inlineStr">
        <is>
          <t>A Million Ways to Die in the West, Ted</t>
        </is>
      </c>
      <c r="F1390" t="inlineStr">
        <is>
          <t>F0021, F0308</t>
        </is>
      </c>
    </row>
    <row r="1391">
      <c r="A1391" t="inlineStr">
        <is>
          <t>Ralph Garman</t>
        </is>
      </c>
      <c r="B1391" t="n">
        <v>3</v>
      </c>
      <c r="C1391" t="n">
        <v>2012</v>
      </c>
      <c r="D1391" t="n">
        <v>2017</v>
      </c>
      <c r="E1391" t="inlineStr">
        <is>
          <t>A Million Ways to Die in the West, The Lego Batman Movie, Ted</t>
        </is>
      </c>
      <c r="F1391" t="inlineStr">
        <is>
          <t>F0021, F0193, F0308</t>
        </is>
      </c>
    </row>
    <row r="1392">
      <c r="A1392" t="inlineStr">
        <is>
          <t>John Aylward</t>
        </is>
      </c>
      <c r="B1392" t="n">
        <v>1</v>
      </c>
      <c r="C1392" t="n">
        <v>2014</v>
      </c>
      <c r="D1392" t="n">
        <v>2014</v>
      </c>
      <c r="E1392" t="inlineStr">
        <is>
          <t>A Million Ways to Die in the West</t>
        </is>
      </c>
      <c r="F1392" t="inlineStr">
        <is>
          <t>F0021</t>
        </is>
      </c>
    </row>
    <row r="1393">
      <c r="A1393" t="inlineStr">
        <is>
          <t>Jay Patterson</t>
        </is>
      </c>
      <c r="B1393" t="n">
        <v>1</v>
      </c>
      <c r="C1393" t="n">
        <v>2014</v>
      </c>
      <c r="D1393" t="n">
        <v>2014</v>
      </c>
      <c r="E1393" t="inlineStr">
        <is>
          <t>A Million Ways to Die in the West</t>
        </is>
      </c>
      <c r="F1393" t="inlineStr">
        <is>
          <t>F0021</t>
        </is>
      </c>
    </row>
    <row r="1394">
      <c r="A1394" t="inlineStr">
        <is>
          <t>Amick Byram</t>
        </is>
      </c>
      <c r="B1394" t="n">
        <v>1</v>
      </c>
      <c r="C1394" t="n">
        <v>2014</v>
      </c>
      <c r="D1394" t="n">
        <v>2014</v>
      </c>
      <c r="E1394" t="inlineStr">
        <is>
          <t>A Million Ways to Die in the West</t>
        </is>
      </c>
      <c r="F1394" t="inlineStr">
        <is>
          <t>F0021</t>
        </is>
      </c>
    </row>
    <row r="1395">
      <c r="A1395" t="inlineStr">
        <is>
          <t>Dennis Haskins</t>
        </is>
      </c>
      <c r="B1395" t="n">
        <v>1</v>
      </c>
      <c r="C1395" t="n">
        <v>2014</v>
      </c>
      <c r="D1395" t="n">
        <v>2014</v>
      </c>
      <c r="E1395" t="inlineStr">
        <is>
          <t>A Million Ways to Die in the West</t>
        </is>
      </c>
      <c r="F1395" t="inlineStr">
        <is>
          <t>F0021</t>
        </is>
      </c>
    </row>
    <row r="1396">
      <c r="A1396" t="inlineStr">
        <is>
          <t>Gilbert Gottfried</t>
        </is>
      </c>
      <c r="B1396" t="n">
        <v>1</v>
      </c>
      <c r="C1396" t="n">
        <v>2014</v>
      </c>
      <c r="D1396" t="n">
        <v>2014</v>
      </c>
      <c r="E1396" t="inlineStr">
        <is>
          <t>A Million Ways to Die in the West</t>
        </is>
      </c>
      <c r="F1396" t="inlineStr">
        <is>
          <t>F0021</t>
        </is>
      </c>
    </row>
    <row r="1397">
      <c r="A1397" t="inlineStr">
        <is>
          <t>Julius Sharpe</t>
        </is>
      </c>
      <c r="B1397" t="n">
        <v>1</v>
      </c>
      <c r="C1397" t="n">
        <v>2014</v>
      </c>
      <c r="D1397" t="n">
        <v>2014</v>
      </c>
      <c r="E1397" t="inlineStr">
        <is>
          <t>A Million Ways to Die in the West</t>
        </is>
      </c>
      <c r="F1397" t="inlineStr">
        <is>
          <t>F0021</t>
        </is>
      </c>
    </row>
    <row r="1398">
      <c r="A1398" t="inlineStr">
        <is>
          <t>Mike Miller</t>
        </is>
      </c>
      <c r="B1398" t="n">
        <v>2</v>
      </c>
      <c r="C1398" t="n">
        <v>2011</v>
      </c>
      <c r="D1398" t="n">
        <v>2014</v>
      </c>
      <c r="E1398" t="inlineStr">
        <is>
          <t>A Million Ways to Die in the West, Paul</t>
        </is>
      </c>
      <c r="F1398" t="inlineStr">
        <is>
          <t>F0021, F0245</t>
        </is>
      </c>
    </row>
    <row r="1399">
      <c r="A1399" t="inlineStr">
        <is>
          <t>Ardy Brent Carlson</t>
        </is>
      </c>
      <c r="B1399" t="n">
        <v>1</v>
      </c>
      <c r="C1399" t="n">
        <v>2014</v>
      </c>
      <c r="D1399" t="n">
        <v>2014</v>
      </c>
      <c r="E1399" t="inlineStr">
        <is>
          <t>A Million Ways to Die in the West</t>
        </is>
      </c>
      <c r="F1399" t="inlineStr">
        <is>
          <t>F0021</t>
        </is>
      </c>
    </row>
    <row r="1400">
      <c r="A1400" t="inlineStr">
        <is>
          <t>Alec Sulkin</t>
        </is>
      </c>
      <c r="B1400" t="n">
        <v>1</v>
      </c>
      <c r="C1400" t="n">
        <v>2014</v>
      </c>
      <c r="D1400" t="n">
        <v>2014</v>
      </c>
      <c r="E1400" t="inlineStr">
        <is>
          <t>A Million Ways to Die in the West</t>
        </is>
      </c>
      <c r="F1400" t="inlineStr">
        <is>
          <t>F0021</t>
        </is>
      </c>
    </row>
    <row r="1401">
      <c r="A1401" t="inlineStr">
        <is>
          <t>Tatanka Means</t>
        </is>
      </c>
      <c r="B1401" t="n">
        <v>1</v>
      </c>
      <c r="C1401" t="n">
        <v>2014</v>
      </c>
      <c r="D1401" t="n">
        <v>2014</v>
      </c>
      <c r="E1401" t="inlineStr">
        <is>
          <t>A Million Ways to Die in the West</t>
        </is>
      </c>
      <c r="F1401" t="inlineStr">
        <is>
          <t>F0021</t>
        </is>
      </c>
    </row>
    <row r="1402">
      <c r="A1402" t="inlineStr">
        <is>
          <t>Ivan Brutsche</t>
        </is>
      </c>
      <c r="B1402" t="n">
        <v>1</v>
      </c>
      <c r="C1402" t="n">
        <v>2014</v>
      </c>
      <c r="D1402" t="n">
        <v>2014</v>
      </c>
      <c r="E1402" t="inlineStr">
        <is>
          <t>A Million Ways to Die in the West</t>
        </is>
      </c>
      <c r="F1402" t="inlineStr">
        <is>
          <t>F0021</t>
        </is>
      </c>
    </row>
    <row r="1403">
      <c r="A1403" t="inlineStr">
        <is>
          <t>Fred Armisen</t>
        </is>
      </c>
      <c r="B1403" t="n">
        <v>3</v>
      </c>
      <c r="C1403" t="n">
        <v>2004</v>
      </c>
      <c r="D1403" t="n">
        <v>2023</v>
      </c>
      <c r="E1403" t="inlineStr">
        <is>
          <t>Anchorman: The Legend of Ron Burgundy, Cop Out, The Super Mario Bros. Movie</t>
        </is>
      </c>
      <c r="F1403" t="inlineStr">
        <is>
          <t>F0022, F0069, F0212</t>
        </is>
      </c>
    </row>
    <row r="1404">
      <c r="A1404" t="inlineStr">
        <is>
          <t>Paul F. Tompkins</t>
        </is>
      </c>
      <c r="B1404" t="n">
        <v>1</v>
      </c>
      <c r="C1404" t="n">
        <v>2004</v>
      </c>
      <c r="D1404" t="n">
        <v>2004</v>
      </c>
      <c r="E1404" t="inlineStr">
        <is>
          <t>Anchorman: The Legend of Ron Burgundy</t>
        </is>
      </c>
      <c r="F1404" t="inlineStr">
        <is>
          <t>F0022</t>
        </is>
      </c>
    </row>
    <row r="1405">
      <c r="A1405" t="inlineStr">
        <is>
          <t>Danny Trejo</t>
        </is>
      </c>
      <c r="B1405" t="n">
        <v>3</v>
      </c>
      <c r="C1405" t="n">
        <v>1997</v>
      </c>
      <c r="D1405" t="n">
        <v>2014</v>
      </c>
      <c r="E1405" t="inlineStr">
        <is>
          <t>Anchorman: The Legend of Ron Burgundy, Con Air, Muppets Most Wanted</t>
        </is>
      </c>
      <c r="F1405" t="inlineStr">
        <is>
          <t>F0022, F0068, F0232</t>
        </is>
      </c>
    </row>
    <row r="1406">
      <c r="A1406" t="inlineStr">
        <is>
          <t>Scot Robinson</t>
        </is>
      </c>
      <c r="B1406" t="n">
        <v>1</v>
      </c>
      <c r="C1406" t="n">
        <v>2004</v>
      </c>
      <c r="D1406" t="n">
        <v>2004</v>
      </c>
      <c r="E1406" t="inlineStr">
        <is>
          <t>Anchorman: The Legend of Ron Burgundy</t>
        </is>
      </c>
      <c r="F1406" t="inlineStr">
        <is>
          <t>F0022</t>
        </is>
      </c>
    </row>
    <row r="1407">
      <c r="A1407" t="inlineStr">
        <is>
          <t>Ian Roberts</t>
        </is>
      </c>
      <c r="B1407" t="n">
        <v>2</v>
      </c>
      <c r="C1407" t="n">
        <v>2004</v>
      </c>
      <c r="D1407" t="n">
        <v>2012</v>
      </c>
      <c r="E1407" t="inlineStr">
        <is>
          <t>Anchorman: The Legend of Ron Burgundy, The Dictator</t>
        </is>
      </c>
      <c r="F1407" t="inlineStr">
        <is>
          <t>F0022, F0085</t>
        </is>
      </c>
    </row>
    <row r="1408">
      <c r="A1408" t="inlineStr">
        <is>
          <t>Darcy Donavan</t>
        </is>
      </c>
      <c r="B1408" t="n">
        <v>1</v>
      </c>
      <c r="C1408" t="n">
        <v>2004</v>
      </c>
      <c r="D1408" t="n">
        <v>2004</v>
      </c>
      <c r="E1408" t="inlineStr">
        <is>
          <t>Anchorman: The Legend of Ron Burgundy</t>
        </is>
      </c>
      <c r="F1408" t="inlineStr">
        <is>
          <t>F0022</t>
        </is>
      </c>
    </row>
    <row r="1409">
      <c r="A1409" t="inlineStr">
        <is>
          <t>Renee Weldon</t>
        </is>
      </c>
      <c r="B1409" t="n">
        <v>1</v>
      </c>
      <c r="C1409" t="n">
        <v>2004</v>
      </c>
      <c r="D1409" t="n">
        <v>2004</v>
      </c>
      <c r="E1409" t="inlineStr">
        <is>
          <t>Anchorman: The Legend of Ron Burgundy</t>
        </is>
      </c>
      <c r="F1409" t="inlineStr">
        <is>
          <t>F0022</t>
        </is>
      </c>
    </row>
    <row r="1410">
      <c r="A1410" t="inlineStr">
        <is>
          <t>Jerry Minor</t>
        </is>
      </c>
      <c r="B1410" t="n">
        <v>1</v>
      </c>
      <c r="C1410" t="n">
        <v>2004</v>
      </c>
      <c r="D1410" t="n">
        <v>2004</v>
      </c>
      <c r="E1410" t="inlineStr">
        <is>
          <t>Anchorman: The Legend of Ron Burgundy</t>
        </is>
      </c>
      <c r="F1410" t="inlineStr">
        <is>
          <t>F0022</t>
        </is>
      </c>
    </row>
    <row r="1411">
      <c r="A1411" t="inlineStr">
        <is>
          <t>Holmes Osborne</t>
        </is>
      </c>
      <c r="B1411" t="n">
        <v>1</v>
      </c>
      <c r="C1411" t="n">
        <v>2004</v>
      </c>
      <c r="D1411" t="n">
        <v>2004</v>
      </c>
      <c r="E1411" t="inlineStr">
        <is>
          <t>Anchorman: The Legend of Ron Burgundy</t>
        </is>
      </c>
      <c r="F1411" t="inlineStr">
        <is>
          <t>F0022</t>
        </is>
      </c>
    </row>
    <row r="1412">
      <c r="A1412" t="inlineStr">
        <is>
          <t>Charles Walker</t>
        </is>
      </c>
      <c r="B1412" t="n">
        <v>1</v>
      </c>
      <c r="C1412" t="n">
        <v>2004</v>
      </c>
      <c r="D1412" t="n">
        <v>2004</v>
      </c>
      <c r="E1412" t="inlineStr">
        <is>
          <t>Anchorman: The Legend of Ron Burgundy</t>
        </is>
      </c>
      <c r="F1412" t="inlineStr">
        <is>
          <t>F0022</t>
        </is>
      </c>
    </row>
    <row r="1413">
      <c r="A1413" t="inlineStr">
        <is>
          <t>Shira Piven</t>
        </is>
      </c>
      <c r="B1413" t="n">
        <v>1</v>
      </c>
      <c r="C1413" t="n">
        <v>2004</v>
      </c>
      <c r="D1413" t="n">
        <v>2004</v>
      </c>
      <c r="E1413" t="inlineStr">
        <is>
          <t>Anchorman: The Legend of Ron Burgundy</t>
        </is>
      </c>
      <c r="F1413" t="inlineStr">
        <is>
          <t>F0022</t>
        </is>
      </c>
    </row>
    <row r="1414">
      <c r="A1414" t="inlineStr">
        <is>
          <t>Lili Rose McKay</t>
        </is>
      </c>
      <c r="B1414" t="n">
        <v>1</v>
      </c>
      <c r="C1414" t="n">
        <v>2004</v>
      </c>
      <c r="D1414" t="n">
        <v>2004</v>
      </c>
      <c r="E1414" t="inlineStr">
        <is>
          <t>Anchorman: The Legend of Ron Burgundy</t>
        </is>
      </c>
      <c r="F1414" t="inlineStr">
        <is>
          <t>F0022</t>
        </is>
      </c>
    </row>
    <row r="1415">
      <c r="A1415" t="inlineStr">
        <is>
          <t>Thomas E. Mastrolia</t>
        </is>
      </c>
      <c r="B1415" t="n">
        <v>1</v>
      </c>
      <c r="C1415" t="n">
        <v>2004</v>
      </c>
      <c r="D1415" t="n">
        <v>2004</v>
      </c>
      <c r="E1415" t="inlineStr">
        <is>
          <t>Anchorman: The Legend of Ron Burgundy</t>
        </is>
      </c>
      <c r="F1415" t="inlineStr">
        <is>
          <t>F0022</t>
        </is>
      </c>
    </row>
    <row r="1416">
      <c r="A1416" t="inlineStr">
        <is>
          <t>Jay Johnston</t>
        </is>
      </c>
      <c r="B1416" t="n">
        <v>1</v>
      </c>
      <c r="C1416" t="n">
        <v>2004</v>
      </c>
      <c r="D1416" t="n">
        <v>2004</v>
      </c>
      <c r="E1416" t="inlineStr">
        <is>
          <t>Anchorman: The Legend of Ron Burgundy</t>
        </is>
      </c>
      <c r="F1416" t="inlineStr">
        <is>
          <t>F0022</t>
        </is>
      </c>
    </row>
    <row r="1417">
      <c r="A1417" t="inlineStr">
        <is>
          <t>Peter A. Hulne</t>
        </is>
      </c>
      <c r="B1417" t="n">
        <v>2</v>
      </c>
      <c r="C1417" t="n">
        <v>2003</v>
      </c>
      <c r="D1417" t="n">
        <v>2004</v>
      </c>
      <c r="E1417" t="inlineStr">
        <is>
          <t>Anchorman: The Legend of Ron Burgundy, Elf</t>
        </is>
      </c>
      <c r="F1417" t="inlineStr">
        <is>
          <t>F0022, F0092</t>
        </is>
      </c>
    </row>
    <row r="1418">
      <c r="A1418" t="inlineStr">
        <is>
          <t>Laura Kightlinger</t>
        </is>
      </c>
      <c r="B1418" t="n">
        <v>2</v>
      </c>
      <c r="C1418" t="n">
        <v>2004</v>
      </c>
      <c r="D1418" t="n">
        <v>2017</v>
      </c>
      <c r="E1418" t="inlineStr">
        <is>
          <t>Anchorman: The Legend of Ron Burgundy, The Lego Batman Movie</t>
        </is>
      </c>
      <c r="F1418" t="inlineStr">
        <is>
          <t>F0022, F0193</t>
        </is>
      </c>
    </row>
    <row r="1419">
      <c r="A1419" t="inlineStr">
        <is>
          <t>Adam McKay</t>
        </is>
      </c>
      <c r="B1419" t="n">
        <v>1</v>
      </c>
      <c r="C1419" t="n">
        <v>2004</v>
      </c>
      <c r="D1419" t="n">
        <v>2004</v>
      </c>
      <c r="E1419" t="inlineStr">
        <is>
          <t>Anchorman: The Legend of Ron Burgundy</t>
        </is>
      </c>
      <c r="F1419" t="inlineStr">
        <is>
          <t>F0022</t>
        </is>
      </c>
    </row>
    <row r="1420">
      <c r="A1420" t="inlineStr">
        <is>
          <t>Joseph T. Mastrolia</t>
        </is>
      </c>
      <c r="B1420" t="n">
        <v>1</v>
      </c>
      <c r="C1420" t="n">
        <v>2004</v>
      </c>
      <c r="D1420" t="n">
        <v>2004</v>
      </c>
      <c r="E1420" t="inlineStr">
        <is>
          <t>Anchorman: The Legend of Ron Burgundy</t>
        </is>
      </c>
      <c r="F1420" t="inlineStr">
        <is>
          <t>F0022</t>
        </is>
      </c>
    </row>
    <row r="1421">
      <c r="A1421" t="inlineStr">
        <is>
          <t>Judd Apatow</t>
        </is>
      </c>
      <c r="B1421" t="n">
        <v>1</v>
      </c>
      <c r="C1421" t="n">
        <v>2004</v>
      </c>
      <c r="D1421" t="n">
        <v>2004</v>
      </c>
      <c r="E1421" t="inlineStr">
        <is>
          <t>Anchorman: The Legend of Ron Burgundy</t>
        </is>
      </c>
      <c r="F1421" t="inlineStr">
        <is>
          <t>F0022</t>
        </is>
      </c>
    </row>
    <row r="1422">
      <c r="A1422" t="inlineStr">
        <is>
          <t>Debra McGuire</t>
        </is>
      </c>
      <c r="B1422" t="n">
        <v>1</v>
      </c>
      <c r="C1422" t="n">
        <v>2004</v>
      </c>
      <c r="D1422" t="n">
        <v>2004</v>
      </c>
      <c r="E1422" t="inlineStr">
        <is>
          <t>Anchorman: The Legend of Ron Burgundy</t>
        </is>
      </c>
      <c r="F1422" t="inlineStr">
        <is>
          <t>F0022</t>
        </is>
      </c>
    </row>
    <row r="1423">
      <c r="A1423" t="inlineStr">
        <is>
          <t>Kent Shocknek</t>
        </is>
      </c>
      <c r="B1423" t="n">
        <v>1</v>
      </c>
      <c r="C1423" t="n">
        <v>2004</v>
      </c>
      <c r="D1423" t="n">
        <v>2004</v>
      </c>
      <c r="E1423" t="inlineStr">
        <is>
          <t>Anchorman: The Legend of Ron Burgundy</t>
        </is>
      </c>
      <c r="F1423" t="inlineStr">
        <is>
          <t>F0022</t>
        </is>
      </c>
    </row>
    <row r="1424">
      <c r="A1424" t="inlineStr">
        <is>
          <t>Nikolaj Lie Kaas</t>
        </is>
      </c>
      <c r="B1424" t="n">
        <v>1</v>
      </c>
      <c r="C1424" t="n">
        <v>2009</v>
      </c>
      <c r="D1424" t="n">
        <v>2009</v>
      </c>
      <c r="E1424" t="inlineStr">
        <is>
          <t>Angels &amp; Demons</t>
        </is>
      </c>
      <c r="F1424" t="inlineStr">
        <is>
          <t>F0023</t>
        </is>
      </c>
    </row>
    <row r="1425">
      <c r="A1425" t="inlineStr">
        <is>
          <t>Armin Mueller-Stahl</t>
        </is>
      </c>
      <c r="B1425" t="n">
        <v>1</v>
      </c>
      <c r="C1425" t="n">
        <v>2009</v>
      </c>
      <c r="D1425" t="n">
        <v>2009</v>
      </c>
      <c r="E1425" t="inlineStr">
        <is>
          <t>Angels &amp; Demons</t>
        </is>
      </c>
      <c r="F1425" t="inlineStr">
        <is>
          <t>F0023</t>
        </is>
      </c>
    </row>
    <row r="1426">
      <c r="A1426" t="inlineStr">
        <is>
          <t>Thure Lindhardt</t>
        </is>
      </c>
      <c r="B1426" t="n">
        <v>2</v>
      </c>
      <c r="C1426" t="n">
        <v>2009</v>
      </c>
      <c r="D1426" t="n">
        <v>2013</v>
      </c>
      <c r="E1426" t="inlineStr">
        <is>
          <t>Angels &amp; Demons, Fast &amp; Furious 6</t>
        </is>
      </c>
      <c r="F1426" t="inlineStr">
        <is>
          <t>F0023, F0106</t>
        </is>
      </c>
    </row>
    <row r="1427">
      <c r="A1427" t="inlineStr">
        <is>
          <t>David Pasquesi</t>
        </is>
      </c>
      <c r="B1427" t="n">
        <v>1</v>
      </c>
      <c r="C1427" t="n">
        <v>2009</v>
      </c>
      <c r="D1427" t="n">
        <v>2009</v>
      </c>
      <c r="E1427" t="inlineStr">
        <is>
          <t>Angels &amp; Demons</t>
        </is>
      </c>
      <c r="F1427" t="inlineStr">
        <is>
          <t>F0023</t>
        </is>
      </c>
    </row>
    <row r="1428">
      <c r="A1428" t="inlineStr">
        <is>
          <t>Cosimo Fusco</t>
        </is>
      </c>
      <c r="B1428" t="n">
        <v>1</v>
      </c>
      <c r="C1428" t="n">
        <v>2009</v>
      </c>
      <c r="D1428" t="n">
        <v>2009</v>
      </c>
      <c r="E1428" t="inlineStr">
        <is>
          <t>Angels &amp; Demons</t>
        </is>
      </c>
      <c r="F1428" t="inlineStr">
        <is>
          <t>F0023</t>
        </is>
      </c>
    </row>
    <row r="1429">
      <c r="A1429" t="inlineStr">
        <is>
          <t>Victor Alfieri</t>
        </is>
      </c>
      <c r="B1429" t="n">
        <v>1</v>
      </c>
      <c r="C1429" t="n">
        <v>2009</v>
      </c>
      <c r="D1429" t="n">
        <v>2009</v>
      </c>
      <c r="E1429" t="inlineStr">
        <is>
          <t>Angels &amp; Demons</t>
        </is>
      </c>
      <c r="F1429" t="inlineStr">
        <is>
          <t>F0023</t>
        </is>
      </c>
    </row>
    <row r="1430">
      <c r="A1430" t="inlineStr">
        <is>
          <t>Franklin Amobi</t>
        </is>
      </c>
      <c r="B1430" t="n">
        <v>1</v>
      </c>
      <c r="C1430" t="n">
        <v>2009</v>
      </c>
      <c r="D1430" t="n">
        <v>2009</v>
      </c>
      <c r="E1430" t="inlineStr">
        <is>
          <t>Angels &amp; Demons</t>
        </is>
      </c>
      <c r="F1430" t="inlineStr">
        <is>
          <t>F0023</t>
        </is>
      </c>
    </row>
    <row r="1431">
      <c r="A1431" t="inlineStr">
        <is>
          <t>Curt Lowens</t>
        </is>
      </c>
      <c r="B1431" t="n">
        <v>1</v>
      </c>
      <c r="C1431" t="n">
        <v>2009</v>
      </c>
      <c r="D1431" t="n">
        <v>2009</v>
      </c>
      <c r="E1431" t="inlineStr">
        <is>
          <t>Angels &amp; Demons</t>
        </is>
      </c>
      <c r="F1431" t="inlineStr">
        <is>
          <t>F0023</t>
        </is>
      </c>
    </row>
    <row r="1432">
      <c r="A1432" t="inlineStr">
        <is>
          <t>Bob Yerkes</t>
        </is>
      </c>
      <c r="B1432" t="n">
        <v>1</v>
      </c>
      <c r="C1432" t="n">
        <v>2009</v>
      </c>
      <c r="D1432" t="n">
        <v>2009</v>
      </c>
      <c r="E1432" t="inlineStr">
        <is>
          <t>Angels &amp; Demons</t>
        </is>
      </c>
      <c r="F1432" t="inlineStr">
        <is>
          <t>F0023</t>
        </is>
      </c>
    </row>
    <row r="1433">
      <c r="A1433" t="inlineStr">
        <is>
          <t>Marc Fiorini</t>
        </is>
      </c>
      <c r="B1433" t="n">
        <v>1</v>
      </c>
      <c r="C1433" t="n">
        <v>2009</v>
      </c>
      <c r="D1433" t="n">
        <v>2009</v>
      </c>
      <c r="E1433" t="inlineStr">
        <is>
          <t>Angels &amp; Demons</t>
        </is>
      </c>
      <c r="F1433" t="inlineStr">
        <is>
          <t>F0023</t>
        </is>
      </c>
    </row>
    <row r="1434">
      <c r="A1434" t="inlineStr">
        <is>
          <t>Carmen Argenziano</t>
        </is>
      </c>
      <c r="B1434" t="n">
        <v>1</v>
      </c>
      <c r="C1434" t="n">
        <v>2009</v>
      </c>
      <c r="D1434" t="n">
        <v>2009</v>
      </c>
      <c r="E1434" t="inlineStr">
        <is>
          <t>Angels &amp; Demons</t>
        </is>
      </c>
      <c r="F1434" t="inlineStr">
        <is>
          <t>F0023</t>
        </is>
      </c>
    </row>
    <row r="1435">
      <c r="A1435" t="inlineStr">
        <is>
          <t>Howard Mungo</t>
        </is>
      </c>
      <c r="B1435" t="n">
        <v>2</v>
      </c>
      <c r="C1435" t="n">
        <v>2001</v>
      </c>
      <c r="D1435" t="n">
        <v>2009</v>
      </c>
      <c r="E1435" t="inlineStr">
        <is>
          <t>Angels &amp; Demons, Pearl Harbor</t>
        </is>
      </c>
      <c r="F1435" t="inlineStr">
        <is>
          <t>F0023, F0246</t>
        </is>
      </c>
    </row>
    <row r="1436">
      <c r="A1436" t="inlineStr">
        <is>
          <t>Rance Howard</t>
        </is>
      </c>
      <c r="B1436" t="n">
        <v>1</v>
      </c>
      <c r="C1436" t="n">
        <v>2009</v>
      </c>
      <c r="D1436" t="n">
        <v>2009</v>
      </c>
      <c r="E1436" t="inlineStr">
        <is>
          <t>Angels &amp; Demons</t>
        </is>
      </c>
      <c r="F1436" t="inlineStr">
        <is>
          <t>F0023</t>
        </is>
      </c>
    </row>
    <row r="1437">
      <c r="A1437" t="inlineStr">
        <is>
          <t>Steve Franken</t>
        </is>
      </c>
      <c r="B1437" t="n">
        <v>1</v>
      </c>
      <c r="C1437" t="n">
        <v>2009</v>
      </c>
      <c r="D1437" t="n">
        <v>2009</v>
      </c>
      <c r="E1437" t="inlineStr">
        <is>
          <t>Angels &amp; Demons</t>
        </is>
      </c>
      <c r="F1437" t="inlineStr">
        <is>
          <t>F0023</t>
        </is>
      </c>
    </row>
    <row r="1438">
      <c r="A1438" t="inlineStr">
        <is>
          <t>Gino Conforti</t>
        </is>
      </c>
      <c r="B1438" t="n">
        <v>2</v>
      </c>
      <c r="C1438" t="n">
        <v>2001</v>
      </c>
      <c r="D1438" t="n">
        <v>2009</v>
      </c>
      <c r="E1438" t="inlineStr">
        <is>
          <t>Angels &amp; Demons, Monsters, Inc.</t>
        </is>
      </c>
      <c r="F1438" t="inlineStr">
        <is>
          <t>F0023, F0229</t>
        </is>
      </c>
    </row>
    <row r="1439">
      <c r="A1439" t="inlineStr">
        <is>
          <t>Elya Baskin</t>
        </is>
      </c>
      <c r="B1439" t="n">
        <v>3</v>
      </c>
      <c r="C1439" t="n">
        <v>2004</v>
      </c>
      <c r="D1439" t="n">
        <v>2009</v>
      </c>
      <c r="E1439" t="inlineStr">
        <is>
          <t>Angels &amp; Demons, Spider-Man 2, Spider-Man 3</t>
        </is>
      </c>
      <c r="F1439" t="inlineStr">
        <is>
          <t>F0023, F0288, F0289</t>
        </is>
      </c>
    </row>
    <row r="1440">
      <c r="A1440" t="inlineStr">
        <is>
          <t>Richard Rosetti</t>
        </is>
      </c>
      <c r="B1440" t="n">
        <v>1</v>
      </c>
      <c r="C1440" t="n">
        <v>2009</v>
      </c>
      <c r="D1440" t="n">
        <v>2009</v>
      </c>
      <c r="E1440" t="inlineStr">
        <is>
          <t>Angels &amp; Demons</t>
        </is>
      </c>
      <c r="F1440" t="inlineStr">
        <is>
          <t>F0023</t>
        </is>
      </c>
    </row>
    <row r="1441">
      <c r="A1441" t="inlineStr">
        <is>
          <t>Silvano Marchetto</t>
        </is>
      </c>
      <c r="B1441" t="n">
        <v>1</v>
      </c>
      <c r="C1441" t="n">
        <v>2009</v>
      </c>
      <c r="D1441" t="n">
        <v>2009</v>
      </c>
      <c r="E1441" t="inlineStr">
        <is>
          <t>Angels &amp; Demons</t>
        </is>
      </c>
      <c r="F1441" t="inlineStr">
        <is>
          <t>F0023</t>
        </is>
      </c>
    </row>
    <row r="1442">
      <c r="A1442" t="inlineStr">
        <is>
          <t>Thomas Morris</t>
        </is>
      </c>
      <c r="B1442" t="n">
        <v>1</v>
      </c>
      <c r="C1442" t="n">
        <v>2009</v>
      </c>
      <c r="D1442" t="n">
        <v>2009</v>
      </c>
      <c r="E1442" t="inlineStr">
        <is>
          <t>Angels &amp; Demons</t>
        </is>
      </c>
      <c r="F1442" t="inlineStr">
        <is>
          <t>F0023</t>
        </is>
      </c>
    </row>
    <row r="1443">
      <c r="A1443" t="inlineStr">
        <is>
          <t>Jonas Fisch</t>
        </is>
      </c>
      <c r="B1443" t="n">
        <v>1</v>
      </c>
      <c r="C1443" t="n">
        <v>2009</v>
      </c>
      <c r="D1443" t="n">
        <v>2009</v>
      </c>
      <c r="E1443" t="inlineStr">
        <is>
          <t>Angels &amp; Demons</t>
        </is>
      </c>
      <c r="F1443" t="inlineStr">
        <is>
          <t>F0023</t>
        </is>
      </c>
    </row>
    <row r="1444">
      <c r="A1444" t="inlineStr">
        <is>
          <t>August Wittgenstein</t>
        </is>
      </c>
      <c r="B1444" t="n">
        <v>1</v>
      </c>
      <c r="C1444" t="n">
        <v>2009</v>
      </c>
      <c r="D1444" t="n">
        <v>2009</v>
      </c>
      <c r="E1444" t="inlineStr">
        <is>
          <t>Angels &amp; Demons</t>
        </is>
      </c>
      <c r="F1444" t="inlineStr">
        <is>
          <t>F0023</t>
        </is>
      </c>
    </row>
    <row r="1445">
      <c r="A1445" t="inlineStr">
        <is>
          <t>Ben Bela Böhm</t>
        </is>
      </c>
      <c r="B1445" t="n">
        <v>1</v>
      </c>
      <c r="C1445" t="n">
        <v>2009</v>
      </c>
      <c r="D1445" t="n">
        <v>2009</v>
      </c>
      <c r="E1445" t="inlineStr">
        <is>
          <t>Angels &amp; Demons</t>
        </is>
      </c>
      <c r="F1445" t="inlineStr">
        <is>
          <t>F0023</t>
        </is>
      </c>
    </row>
    <row r="1446">
      <c r="A1446" t="inlineStr">
        <is>
          <t>Paul Schmitz</t>
        </is>
      </c>
      <c r="B1446" t="n">
        <v>1</v>
      </c>
      <c r="C1446" t="n">
        <v>2009</v>
      </c>
      <c r="D1446" t="n">
        <v>2009</v>
      </c>
      <c r="E1446" t="inlineStr">
        <is>
          <t>Angels &amp; Demons</t>
        </is>
      </c>
      <c r="F1446" t="inlineStr">
        <is>
          <t>F0023</t>
        </is>
      </c>
    </row>
    <row r="1447">
      <c r="A1447" t="inlineStr">
        <is>
          <t>Jeffrey Boehm</t>
        </is>
      </c>
      <c r="B1447" t="n">
        <v>1</v>
      </c>
      <c r="C1447" t="n">
        <v>2009</v>
      </c>
      <c r="D1447" t="n">
        <v>2009</v>
      </c>
      <c r="E1447" t="inlineStr">
        <is>
          <t>Angels &amp; Demons</t>
        </is>
      </c>
      <c r="F1447" t="inlineStr">
        <is>
          <t>F0023</t>
        </is>
      </c>
    </row>
    <row r="1448">
      <c r="A1448" t="inlineStr">
        <is>
          <t>Xavier J. Nathan</t>
        </is>
      </c>
      <c r="B1448" t="n">
        <v>1</v>
      </c>
      <c r="C1448" t="n">
        <v>2009</v>
      </c>
      <c r="D1448" t="n">
        <v>2009</v>
      </c>
      <c r="E1448" t="inlineStr">
        <is>
          <t>Angels &amp; Demons</t>
        </is>
      </c>
      <c r="F1448" t="inlineStr">
        <is>
          <t>F0023</t>
        </is>
      </c>
    </row>
    <row r="1449">
      <c r="A1449" t="inlineStr">
        <is>
          <t>Michael Vu</t>
        </is>
      </c>
      <c r="B1449" t="n">
        <v>1</v>
      </c>
      <c r="C1449" t="n">
        <v>2011</v>
      </c>
      <c r="D1449" t="n">
        <v>2011</v>
      </c>
      <c r="E1449" t="inlineStr">
        <is>
          <t>Anuvahood</t>
        </is>
      </c>
      <c r="F1449" t="inlineStr">
        <is>
          <t>F0024</t>
        </is>
      </c>
    </row>
    <row r="1450">
      <c r="A1450" t="inlineStr">
        <is>
          <t>Paul Kaye</t>
        </is>
      </c>
      <c r="B1450" t="n">
        <v>1</v>
      </c>
      <c r="C1450" t="n">
        <v>2011</v>
      </c>
      <c r="D1450" t="n">
        <v>2011</v>
      </c>
      <c r="E1450" t="inlineStr">
        <is>
          <t>Anuvahood</t>
        </is>
      </c>
      <c r="F1450" t="inlineStr">
        <is>
          <t>F0024</t>
        </is>
      </c>
    </row>
    <row r="1451">
      <c r="A1451" t="inlineStr">
        <is>
          <t>Ashley Walters</t>
        </is>
      </c>
      <c r="B1451" t="n">
        <v>1</v>
      </c>
      <c r="C1451" t="n">
        <v>2011</v>
      </c>
      <c r="D1451" t="n">
        <v>2011</v>
      </c>
      <c r="E1451" t="inlineStr">
        <is>
          <t>Anuvahood</t>
        </is>
      </c>
      <c r="F1451" t="inlineStr">
        <is>
          <t>F0024</t>
        </is>
      </c>
    </row>
    <row r="1452">
      <c r="A1452" t="inlineStr">
        <is>
          <t>Richard Blackwood</t>
        </is>
      </c>
      <c r="B1452" t="n">
        <v>1</v>
      </c>
      <c r="C1452" t="n">
        <v>2011</v>
      </c>
      <c r="D1452" t="n">
        <v>2011</v>
      </c>
      <c r="E1452" t="inlineStr">
        <is>
          <t>Anuvahood</t>
        </is>
      </c>
      <c r="F1452" t="inlineStr">
        <is>
          <t>F0024</t>
        </is>
      </c>
    </row>
    <row r="1453">
      <c r="A1453" t="inlineStr">
        <is>
          <t>Eddie Kadi</t>
        </is>
      </c>
      <c r="B1453" t="n">
        <v>1</v>
      </c>
      <c r="C1453" t="n">
        <v>2011</v>
      </c>
      <c r="D1453" t="n">
        <v>2011</v>
      </c>
      <c r="E1453" t="inlineStr">
        <is>
          <t>Anuvahood</t>
        </is>
      </c>
      <c r="F1453" t="inlineStr">
        <is>
          <t>F0024</t>
        </is>
      </c>
    </row>
    <row r="1454">
      <c r="A1454" t="inlineStr">
        <is>
          <t>Perry Benson</t>
        </is>
      </c>
      <c r="B1454" t="n">
        <v>1</v>
      </c>
      <c r="C1454" t="n">
        <v>2011</v>
      </c>
      <c r="D1454" t="n">
        <v>2011</v>
      </c>
      <c r="E1454" t="inlineStr">
        <is>
          <t>Anuvahood</t>
        </is>
      </c>
      <c r="F1454" t="inlineStr">
        <is>
          <t>F0024</t>
        </is>
      </c>
    </row>
    <row r="1455">
      <c r="A1455" t="inlineStr">
        <is>
          <t>Linda Robson</t>
        </is>
      </c>
      <c r="B1455" t="n">
        <v>1</v>
      </c>
      <c r="C1455" t="n">
        <v>2011</v>
      </c>
      <c r="D1455" t="n">
        <v>2011</v>
      </c>
      <c r="E1455" t="inlineStr">
        <is>
          <t>Anuvahood</t>
        </is>
      </c>
      <c r="F1455" t="inlineStr">
        <is>
          <t>F0024</t>
        </is>
      </c>
    </row>
    <row r="1456">
      <c r="A1456" t="inlineStr">
        <is>
          <t>Terry Stone</t>
        </is>
      </c>
      <c r="B1456" t="n">
        <v>1</v>
      </c>
      <c r="C1456" t="n">
        <v>2011</v>
      </c>
      <c r="D1456" t="n">
        <v>2011</v>
      </c>
      <c r="E1456" t="inlineStr">
        <is>
          <t>Anuvahood</t>
        </is>
      </c>
      <c r="F1456" t="inlineStr">
        <is>
          <t>F0024</t>
        </is>
      </c>
    </row>
    <row r="1457">
      <c r="A1457" t="inlineStr">
        <is>
          <t>Wil Johnson</t>
        </is>
      </c>
      <c r="B1457" t="n">
        <v>1</v>
      </c>
      <c r="C1457" t="n">
        <v>2011</v>
      </c>
      <c r="D1457" t="n">
        <v>2011</v>
      </c>
      <c r="E1457" t="inlineStr">
        <is>
          <t>Anuvahood</t>
        </is>
      </c>
      <c r="F1457" t="inlineStr">
        <is>
          <t>F0024</t>
        </is>
      </c>
    </row>
    <row r="1458">
      <c r="A1458" t="inlineStr">
        <is>
          <t>Femi Oyeniran</t>
        </is>
      </c>
      <c r="B1458" t="n">
        <v>1</v>
      </c>
      <c r="C1458" t="n">
        <v>2011</v>
      </c>
      <c r="D1458" t="n">
        <v>2011</v>
      </c>
      <c r="E1458" t="inlineStr">
        <is>
          <t>Anuvahood</t>
        </is>
      </c>
      <c r="F1458" t="inlineStr">
        <is>
          <t>F0024</t>
        </is>
      </c>
    </row>
    <row r="1459">
      <c r="A1459" t="inlineStr">
        <is>
          <t>Darwood Grace</t>
        </is>
      </c>
      <c r="B1459" t="n">
        <v>1</v>
      </c>
      <c r="C1459" t="n">
        <v>2011</v>
      </c>
      <c r="D1459" t="n">
        <v>2011</v>
      </c>
      <c r="E1459" t="inlineStr">
        <is>
          <t>Anuvahood</t>
        </is>
      </c>
      <c r="F1459" t="inlineStr">
        <is>
          <t>F0024</t>
        </is>
      </c>
    </row>
    <row r="1460">
      <c r="A1460" t="inlineStr">
        <is>
          <t>Leon Black</t>
        </is>
      </c>
      <c r="B1460" t="n">
        <v>1</v>
      </c>
      <c r="C1460" t="n">
        <v>2011</v>
      </c>
      <c r="D1460" t="n">
        <v>2011</v>
      </c>
      <c r="E1460" t="inlineStr">
        <is>
          <t>Anuvahood</t>
        </is>
      </c>
      <c r="F1460" t="inlineStr">
        <is>
          <t>F0024</t>
        </is>
      </c>
    </row>
    <row r="1461">
      <c r="A1461" t="inlineStr">
        <is>
          <t>Lethal Bizzle</t>
        </is>
      </c>
      <c r="B1461" t="n">
        <v>1</v>
      </c>
      <c r="C1461" t="n">
        <v>2011</v>
      </c>
      <c r="D1461" t="n">
        <v>2011</v>
      </c>
      <c r="E1461" t="inlineStr">
        <is>
          <t>Anuvahood</t>
        </is>
      </c>
      <c r="F1461" t="inlineStr">
        <is>
          <t>F0024</t>
        </is>
      </c>
    </row>
    <row r="1462">
      <c r="A1462" t="inlineStr">
        <is>
          <t>Big Narstie</t>
        </is>
      </c>
      <c r="B1462" t="n">
        <v>1</v>
      </c>
      <c r="C1462" t="n">
        <v>2011</v>
      </c>
      <c r="D1462" t="n">
        <v>2011</v>
      </c>
      <c r="E1462" t="inlineStr">
        <is>
          <t>Anuvahood</t>
        </is>
      </c>
      <c r="F1462" t="inlineStr">
        <is>
          <t>F0024</t>
        </is>
      </c>
    </row>
    <row r="1463">
      <c r="A1463" t="inlineStr">
        <is>
          <t>Alanna Flyn</t>
        </is>
      </c>
      <c r="B1463" t="n">
        <v>1</v>
      </c>
      <c r="C1463" t="n">
        <v>2011</v>
      </c>
      <c r="D1463" t="n">
        <v>2011</v>
      </c>
      <c r="E1463" t="inlineStr">
        <is>
          <t>Anuvahood</t>
        </is>
      </c>
      <c r="F1463" t="inlineStr">
        <is>
          <t>F0024</t>
        </is>
      </c>
    </row>
    <row r="1464">
      <c r="A1464" t="inlineStr">
        <is>
          <t>Sonic</t>
        </is>
      </c>
      <c r="B1464" t="n">
        <v>1</v>
      </c>
      <c r="C1464" t="n">
        <v>2011</v>
      </c>
      <c r="D1464" t="n">
        <v>2011</v>
      </c>
      <c r="E1464" t="inlineStr">
        <is>
          <t>Anuvahood</t>
        </is>
      </c>
      <c r="F1464" t="inlineStr">
        <is>
          <t>F0024</t>
        </is>
      </c>
    </row>
    <row r="1465">
      <c r="A1465" t="inlineStr">
        <is>
          <t>Bhasker Patel</t>
        </is>
      </c>
      <c r="B1465" t="n">
        <v>1</v>
      </c>
      <c r="C1465" t="n">
        <v>2011</v>
      </c>
      <c r="D1465" t="n">
        <v>2011</v>
      </c>
      <c r="E1465" t="inlineStr">
        <is>
          <t>Anuvahood</t>
        </is>
      </c>
      <c r="F1465" t="inlineStr">
        <is>
          <t>F0024</t>
        </is>
      </c>
    </row>
    <row r="1466">
      <c r="A1466" t="inlineStr">
        <is>
          <t>Levi Roots</t>
        </is>
      </c>
      <c r="B1466" t="n">
        <v>1</v>
      </c>
      <c r="C1466" t="n">
        <v>2011</v>
      </c>
      <c r="D1466" t="n">
        <v>2011</v>
      </c>
      <c r="E1466" t="inlineStr">
        <is>
          <t>Anuvahood</t>
        </is>
      </c>
      <c r="F1466" t="inlineStr">
        <is>
          <t>F0024</t>
        </is>
      </c>
    </row>
    <row r="1467">
      <c r="A1467" t="inlineStr">
        <is>
          <t>Carmel O'Connor</t>
        </is>
      </c>
      <c r="B1467" t="n">
        <v>1</v>
      </c>
      <c r="C1467" t="n">
        <v>2011</v>
      </c>
      <c r="D1467" t="n">
        <v>2011</v>
      </c>
      <c r="E1467" t="inlineStr">
        <is>
          <t>Anuvahood</t>
        </is>
      </c>
      <c r="F1467" t="inlineStr">
        <is>
          <t>F0024</t>
        </is>
      </c>
    </row>
    <row r="1468">
      <c r="A1468" t="inlineStr">
        <is>
          <t>Jason Maza</t>
        </is>
      </c>
      <c r="B1468" t="n">
        <v>1</v>
      </c>
      <c r="C1468" t="n">
        <v>2011</v>
      </c>
      <c r="D1468" t="n">
        <v>2011</v>
      </c>
      <c r="E1468" t="inlineStr">
        <is>
          <t>Anuvahood</t>
        </is>
      </c>
      <c r="F1468" t="inlineStr">
        <is>
          <t>F0024</t>
        </is>
      </c>
    </row>
    <row r="1469">
      <c r="A1469" t="inlineStr">
        <is>
          <t>Doon Mackichan</t>
        </is>
      </c>
      <c r="B1469" t="n">
        <v>1</v>
      </c>
      <c r="C1469" t="n">
        <v>2011</v>
      </c>
      <c r="D1469" t="n">
        <v>2011</v>
      </c>
      <c r="E1469" t="inlineStr">
        <is>
          <t>Anuvahood</t>
        </is>
      </c>
      <c r="F1469" t="inlineStr">
        <is>
          <t>F0024</t>
        </is>
      </c>
    </row>
    <row r="1470">
      <c r="A1470" t="inlineStr">
        <is>
          <t>Jammer</t>
        </is>
      </c>
      <c r="B1470" t="n">
        <v>1</v>
      </c>
      <c r="C1470" t="n">
        <v>2011</v>
      </c>
      <c r="D1470" t="n">
        <v>2011</v>
      </c>
      <c r="E1470" t="inlineStr">
        <is>
          <t>Anuvahood</t>
        </is>
      </c>
      <c r="F1470" t="inlineStr">
        <is>
          <t>F0024</t>
        </is>
      </c>
    </row>
    <row r="1471">
      <c r="A1471" t="inlineStr">
        <is>
          <t>Connor Donaghey</t>
        </is>
      </c>
      <c r="B1471" t="n">
        <v>1</v>
      </c>
      <c r="C1471" t="n">
        <v>2011</v>
      </c>
      <c r="D1471" t="n">
        <v>2011</v>
      </c>
      <c r="E1471" t="inlineStr">
        <is>
          <t>Anuvahood</t>
        </is>
      </c>
      <c r="F1471" t="inlineStr">
        <is>
          <t>F0024</t>
        </is>
      </c>
    </row>
    <row r="1472">
      <c r="A1472" t="inlineStr">
        <is>
          <t>Alex Macqueen</t>
        </is>
      </c>
      <c r="B1472" t="n">
        <v>3</v>
      </c>
      <c r="C1472" t="n">
        <v>2011</v>
      </c>
      <c r="D1472" t="n">
        <v>2014</v>
      </c>
      <c r="E1472" t="inlineStr">
        <is>
          <t>Anuvahood, The Inbetweeners Movie, The Inbetweeners 2</t>
        </is>
      </c>
      <c r="F1472" t="inlineStr">
        <is>
          <t>F0024, F0163, F0164</t>
        </is>
      </c>
    </row>
    <row r="1473">
      <c r="A1473" t="inlineStr">
        <is>
          <t>Ben Stylianou</t>
        </is>
      </c>
      <c r="B1473" t="n">
        <v>1</v>
      </c>
      <c r="C1473" t="n">
        <v>2011</v>
      </c>
      <c r="D1473" t="n">
        <v>2011</v>
      </c>
      <c r="E1473" t="inlineStr">
        <is>
          <t>Anuvahood</t>
        </is>
      </c>
      <c r="F1473" t="inlineStr">
        <is>
          <t>F0024</t>
        </is>
      </c>
    </row>
    <row r="1474">
      <c r="A1474" t="inlineStr">
        <is>
          <t>Tate Donovan</t>
        </is>
      </c>
      <c r="B1474" t="n">
        <v>3</v>
      </c>
      <c r="C1474" t="n">
        <v>2012</v>
      </c>
      <c r="D1474" t="n">
        <v>2019</v>
      </c>
      <c r="E1474" t="inlineStr">
        <is>
          <t>Argo, Hercules, Rocketman</t>
        </is>
      </c>
      <c r="F1474" t="inlineStr">
        <is>
          <t>F0025, F0147, F0269</t>
        </is>
      </c>
    </row>
    <row r="1475">
      <c r="A1475" t="inlineStr">
        <is>
          <t>Clea DuVall</t>
        </is>
      </c>
      <c r="B1475" t="n">
        <v>1</v>
      </c>
      <c r="C1475" t="n">
        <v>2012</v>
      </c>
      <c r="D1475" t="n">
        <v>2012</v>
      </c>
      <c r="E1475" t="inlineStr">
        <is>
          <t>Argo</t>
        </is>
      </c>
      <c r="F1475" t="inlineStr">
        <is>
          <t>F0025</t>
        </is>
      </c>
    </row>
    <row r="1476">
      <c r="A1476" t="inlineStr">
        <is>
          <t>Rory Cochrane</t>
        </is>
      </c>
      <c r="B1476" t="n">
        <v>1</v>
      </c>
      <c r="C1476" t="n">
        <v>2012</v>
      </c>
      <c r="D1476" t="n">
        <v>2012</v>
      </c>
      <c r="E1476" t="inlineStr">
        <is>
          <t>Argo</t>
        </is>
      </c>
      <c r="F1476" t="inlineStr">
        <is>
          <t>F0025</t>
        </is>
      </c>
    </row>
    <row r="1477">
      <c r="A1477" t="inlineStr">
        <is>
          <t>Christopher Denham</t>
        </is>
      </c>
      <c r="B1477" t="n">
        <v>1</v>
      </c>
      <c r="C1477" t="n">
        <v>2012</v>
      </c>
      <c r="D1477" t="n">
        <v>2012</v>
      </c>
      <c r="E1477" t="inlineStr">
        <is>
          <t>Argo</t>
        </is>
      </c>
      <c r="F1477" t="inlineStr">
        <is>
          <t>F0025</t>
        </is>
      </c>
    </row>
    <row r="1478">
      <c r="A1478" t="inlineStr">
        <is>
          <t>Kerry Bishé</t>
        </is>
      </c>
      <c r="B1478" t="n">
        <v>1</v>
      </c>
      <c r="C1478" t="n">
        <v>2012</v>
      </c>
      <c r="D1478" t="n">
        <v>2012</v>
      </c>
      <c r="E1478" t="inlineStr">
        <is>
          <t>Argo</t>
        </is>
      </c>
      <c r="F1478" t="inlineStr">
        <is>
          <t>F0025</t>
        </is>
      </c>
    </row>
    <row r="1479">
      <c r="A1479" t="inlineStr">
        <is>
          <t>Chris Messina</t>
        </is>
      </c>
      <c r="B1479" t="n">
        <v>1</v>
      </c>
      <c r="C1479" t="n">
        <v>2012</v>
      </c>
      <c r="D1479" t="n">
        <v>2012</v>
      </c>
      <c r="E1479" t="inlineStr">
        <is>
          <t>Argo</t>
        </is>
      </c>
      <c r="F1479" t="inlineStr">
        <is>
          <t>F0025</t>
        </is>
      </c>
    </row>
    <row r="1480">
      <c r="A1480" t="inlineStr">
        <is>
          <t>Željko Ivanek</t>
        </is>
      </c>
      <c r="B1480" t="n">
        <v>4</v>
      </c>
      <c r="C1480" t="n">
        <v>2001</v>
      </c>
      <c r="D1480" t="n">
        <v>2012</v>
      </c>
      <c r="E1480" t="inlineStr">
        <is>
          <t>Argo, Black Hawk Down, The Bourne Legacy, Live Free or Die Hard</t>
        </is>
      </c>
      <c r="F1480" t="inlineStr">
        <is>
          <t>F0025, F0050, F0056, F0086</t>
        </is>
      </c>
    </row>
    <row r="1481">
      <c r="A1481" t="inlineStr">
        <is>
          <t>Titus Welliver</t>
        </is>
      </c>
      <c r="B1481" t="n">
        <v>3</v>
      </c>
      <c r="C1481" t="n">
        <v>2012</v>
      </c>
      <c r="D1481" t="n">
        <v>2014</v>
      </c>
      <c r="E1481" t="inlineStr">
        <is>
          <t>Argo, Man on a Ledge, Transformers: Age of Extinction</t>
        </is>
      </c>
      <c r="F1481" t="inlineStr">
        <is>
          <t>F0025, F0210, F0319</t>
        </is>
      </c>
    </row>
    <row r="1482">
      <c r="A1482" t="inlineStr">
        <is>
          <t>Keith Szarabajka</t>
        </is>
      </c>
      <c r="B1482" t="n">
        <v>2</v>
      </c>
      <c r="C1482" t="n">
        <v>2008</v>
      </c>
      <c r="D1482" t="n">
        <v>2012</v>
      </c>
      <c r="E1482" t="inlineStr">
        <is>
          <t>Argo, The Dark Knight</t>
        </is>
      </c>
      <c r="F1482" t="inlineStr">
        <is>
          <t>F0025, F0044</t>
        </is>
      </c>
    </row>
    <row r="1483">
      <c r="A1483" t="inlineStr">
        <is>
          <t>Bob Gunton</t>
        </is>
      </c>
      <c r="B1483" t="n">
        <v>1</v>
      </c>
      <c r="C1483" t="n">
        <v>2012</v>
      </c>
      <c r="D1483" t="n">
        <v>2012</v>
      </c>
      <c r="E1483" t="inlineStr">
        <is>
          <t>Argo</t>
        </is>
      </c>
      <c r="F1483" t="inlineStr">
        <is>
          <t>F0025</t>
        </is>
      </c>
    </row>
    <row r="1484">
      <c r="A1484" t="inlineStr">
        <is>
          <t>Richard Dillane</t>
        </is>
      </c>
      <c r="B1484" t="n">
        <v>1</v>
      </c>
      <c r="C1484" t="n">
        <v>2012</v>
      </c>
      <c r="D1484" t="n">
        <v>2012</v>
      </c>
      <c r="E1484" t="inlineStr">
        <is>
          <t>Argo</t>
        </is>
      </c>
      <c r="F1484" t="inlineStr">
        <is>
          <t>F0025</t>
        </is>
      </c>
    </row>
    <row r="1485">
      <c r="A1485" t="inlineStr">
        <is>
          <t>Omid Abtahi</t>
        </is>
      </c>
      <c r="B1485" t="n">
        <v>1</v>
      </c>
      <c r="C1485" t="n">
        <v>2012</v>
      </c>
      <c r="D1485" t="n">
        <v>2012</v>
      </c>
      <c r="E1485" t="inlineStr">
        <is>
          <t>Argo</t>
        </is>
      </c>
      <c r="F1485" t="inlineStr">
        <is>
          <t>F0025</t>
        </is>
      </c>
    </row>
    <row r="1486">
      <c r="A1486" t="inlineStr">
        <is>
          <t>Page Leong</t>
        </is>
      </c>
      <c r="B1486" t="n">
        <v>1</v>
      </c>
      <c r="C1486" t="n">
        <v>2012</v>
      </c>
      <c r="D1486" t="n">
        <v>2012</v>
      </c>
      <c r="E1486" t="inlineStr">
        <is>
          <t>Argo</t>
        </is>
      </c>
      <c r="F1486" t="inlineStr">
        <is>
          <t>F0025</t>
        </is>
      </c>
    </row>
    <row r="1487">
      <c r="A1487" t="inlineStr">
        <is>
          <t>Farshad Farahat</t>
        </is>
      </c>
      <c r="B1487" t="n">
        <v>1</v>
      </c>
      <c r="C1487" t="n">
        <v>2012</v>
      </c>
      <c r="D1487" t="n">
        <v>2012</v>
      </c>
      <c r="E1487" t="inlineStr">
        <is>
          <t>Argo</t>
        </is>
      </c>
      <c r="F1487" t="inlineStr">
        <is>
          <t>F0025</t>
        </is>
      </c>
    </row>
    <row r="1488">
      <c r="A1488" t="inlineStr">
        <is>
          <t>Sheila Vand</t>
        </is>
      </c>
      <c r="B1488" t="n">
        <v>1</v>
      </c>
      <c r="C1488" t="n">
        <v>2012</v>
      </c>
      <c r="D1488" t="n">
        <v>2012</v>
      </c>
      <c r="E1488" t="inlineStr">
        <is>
          <t>Argo</t>
        </is>
      </c>
      <c r="F1488" t="inlineStr">
        <is>
          <t>F0025</t>
        </is>
      </c>
    </row>
    <row r="1489">
      <c r="A1489" t="inlineStr">
        <is>
          <t>Karina Logue</t>
        </is>
      </c>
      <c r="B1489" t="n">
        <v>1</v>
      </c>
      <c r="C1489" t="n">
        <v>2012</v>
      </c>
      <c r="D1489" t="n">
        <v>2012</v>
      </c>
      <c r="E1489" t="inlineStr">
        <is>
          <t>Argo</t>
        </is>
      </c>
      <c r="F1489" t="inlineStr">
        <is>
          <t>F0025</t>
        </is>
      </c>
    </row>
    <row r="1490">
      <c r="A1490" t="inlineStr">
        <is>
          <t>Ryan Ahern</t>
        </is>
      </c>
      <c r="B1490" t="n">
        <v>1</v>
      </c>
      <c r="C1490" t="n">
        <v>2012</v>
      </c>
      <c r="D1490" t="n">
        <v>2012</v>
      </c>
      <c r="E1490" t="inlineStr">
        <is>
          <t>Argo</t>
        </is>
      </c>
      <c r="F1490" t="inlineStr">
        <is>
          <t>F0025</t>
        </is>
      </c>
    </row>
    <row r="1491">
      <c r="A1491" t="inlineStr">
        <is>
          <t>Bill Tangradi</t>
        </is>
      </c>
      <c r="B1491" t="n">
        <v>1</v>
      </c>
      <c r="C1491" t="n">
        <v>2012</v>
      </c>
      <c r="D1491" t="n">
        <v>2012</v>
      </c>
      <c r="E1491" t="inlineStr">
        <is>
          <t>Argo</t>
        </is>
      </c>
      <c r="F1491" t="inlineStr">
        <is>
          <t>F0025</t>
        </is>
      </c>
    </row>
    <row r="1492">
      <c r="A1492" t="inlineStr">
        <is>
          <t>Jamie McShane</t>
        </is>
      </c>
      <c r="B1492" t="n">
        <v>1</v>
      </c>
      <c r="C1492" t="n">
        <v>2012</v>
      </c>
      <c r="D1492" t="n">
        <v>2012</v>
      </c>
      <c r="E1492" t="inlineStr">
        <is>
          <t>Argo</t>
        </is>
      </c>
      <c r="F1492" t="inlineStr">
        <is>
          <t>F0025</t>
        </is>
      </c>
    </row>
    <row r="1493">
      <c r="A1493" t="inlineStr">
        <is>
          <t>Matthew Glave</t>
        </is>
      </c>
      <c r="B1493" t="n">
        <v>1</v>
      </c>
      <c r="C1493" t="n">
        <v>2012</v>
      </c>
      <c r="D1493" t="n">
        <v>2012</v>
      </c>
      <c r="E1493" t="inlineStr">
        <is>
          <t>Argo</t>
        </is>
      </c>
      <c r="F1493" t="inlineStr">
        <is>
          <t>F0025</t>
        </is>
      </c>
    </row>
    <row r="1494">
      <c r="A1494" t="inlineStr">
        <is>
          <t>Roberto Garcia</t>
        </is>
      </c>
      <c r="B1494" t="n">
        <v>1</v>
      </c>
      <c r="C1494" t="n">
        <v>2012</v>
      </c>
      <c r="D1494" t="n">
        <v>2012</v>
      </c>
      <c r="E1494" t="inlineStr">
        <is>
          <t>Argo</t>
        </is>
      </c>
      <c r="F1494" t="inlineStr">
        <is>
          <t>F0025</t>
        </is>
      </c>
    </row>
    <row r="1495">
      <c r="A1495" t="inlineStr">
        <is>
          <t>Christopher Stanley</t>
        </is>
      </c>
      <c r="B1495" t="n">
        <v>1</v>
      </c>
      <c r="C1495" t="n">
        <v>2012</v>
      </c>
      <c r="D1495" t="n">
        <v>2012</v>
      </c>
      <c r="E1495" t="inlineStr">
        <is>
          <t>Argo</t>
        </is>
      </c>
      <c r="F1495" t="inlineStr">
        <is>
          <t>F0025</t>
        </is>
      </c>
    </row>
    <row r="1496">
      <c r="A1496" t="inlineStr">
        <is>
          <t>Patrick Wilson</t>
        </is>
      </c>
      <c r="B1496" t="n">
        <v>2</v>
      </c>
      <c r="C1496" t="n">
        <v>2010</v>
      </c>
      <c r="D1496" t="n">
        <v>2012</v>
      </c>
      <c r="E1496" t="inlineStr">
        <is>
          <t>The A-Team, Prometheus</t>
        </is>
      </c>
      <c r="F1496" t="inlineStr">
        <is>
          <t>F0026, F0259</t>
        </is>
      </c>
    </row>
    <row r="1497">
      <c r="A1497" t="inlineStr">
        <is>
          <t>Gerald McRaney</t>
        </is>
      </c>
      <c r="B1497" t="n">
        <v>1</v>
      </c>
      <c r="C1497" t="n">
        <v>2010</v>
      </c>
      <c r="D1497" t="n">
        <v>2010</v>
      </c>
      <c r="E1497" t="inlineStr">
        <is>
          <t>The A-Team</t>
        </is>
      </c>
      <c r="F1497" t="inlineStr">
        <is>
          <t>F0026</t>
        </is>
      </c>
    </row>
    <row r="1498">
      <c r="A1498" t="inlineStr">
        <is>
          <t>Yul Vazquez</t>
        </is>
      </c>
      <c r="B1498" t="n">
        <v>4</v>
      </c>
      <c r="C1498" t="n">
        <v>2003</v>
      </c>
      <c r="D1498" t="n">
        <v>2013</v>
      </c>
      <c r="E1498" t="inlineStr">
        <is>
          <t>The A-Team, Bad Boys II, Captain Phillips, War of the Worlds</t>
        </is>
      </c>
      <c r="F1498" t="inlineStr">
        <is>
          <t>F0026, F0037, F0062, F0332</t>
        </is>
      </c>
    </row>
    <row r="1499">
      <c r="A1499" t="inlineStr">
        <is>
          <t>Brian Bloom</t>
        </is>
      </c>
      <c r="B1499" t="n">
        <v>2</v>
      </c>
      <c r="C1499" t="n">
        <v>2010</v>
      </c>
      <c r="D1499" t="n">
        <v>2013</v>
      </c>
      <c r="E1499" t="inlineStr">
        <is>
          <t>The A-Team, Lego Batman: The Movie - DC Super Heroes Unite</t>
        </is>
      </c>
      <c r="F1499" t="inlineStr">
        <is>
          <t>F0026, F0194</t>
        </is>
      </c>
    </row>
    <row r="1500">
      <c r="A1500" t="inlineStr">
        <is>
          <t>Maury Sterling</t>
        </is>
      </c>
      <c r="B1500" t="n">
        <v>1</v>
      </c>
      <c r="C1500" t="n">
        <v>2010</v>
      </c>
      <c r="D1500" t="n">
        <v>2010</v>
      </c>
      <c r="E1500" t="inlineStr">
        <is>
          <t>The A-Team</t>
        </is>
      </c>
      <c r="F1500" t="inlineStr">
        <is>
          <t>F0026</t>
        </is>
      </c>
    </row>
    <row r="1501">
      <c r="A1501" t="inlineStr">
        <is>
          <t>Terry Chen</t>
        </is>
      </c>
      <c r="B1501" t="n">
        <v>3</v>
      </c>
      <c r="C1501" t="n">
        <v>2010</v>
      </c>
      <c r="D1501" t="n">
        <v>2014</v>
      </c>
      <c r="E1501" t="inlineStr">
        <is>
          <t>The A-Team, Elysium, Godzilla</t>
        </is>
      </c>
      <c r="F1501" t="inlineStr">
        <is>
          <t>F0026, F0093, F0121</t>
        </is>
      </c>
    </row>
    <row r="1502">
      <c r="A1502" t="inlineStr">
        <is>
          <t>Omari Hardwick</t>
        </is>
      </c>
      <c r="B1502" t="n">
        <v>2</v>
      </c>
      <c r="C1502" t="n">
        <v>2010</v>
      </c>
      <c r="D1502" t="n">
        <v>2010</v>
      </c>
      <c r="E1502" t="inlineStr">
        <is>
          <t>The A-Team, Kick-Ass</t>
        </is>
      </c>
      <c r="F1502" t="inlineStr">
        <is>
          <t>F0026, F0185</t>
        </is>
      </c>
    </row>
    <row r="1503">
      <c r="A1503" t="inlineStr">
        <is>
          <t>David Hugghins</t>
        </is>
      </c>
      <c r="B1503" t="n">
        <v>1</v>
      </c>
      <c r="C1503" t="n">
        <v>2010</v>
      </c>
      <c r="D1503" t="n">
        <v>2010</v>
      </c>
      <c r="E1503" t="inlineStr">
        <is>
          <t>The A-Team</t>
        </is>
      </c>
      <c r="F1503" t="inlineStr">
        <is>
          <t>F0026</t>
        </is>
      </c>
    </row>
    <row r="1504">
      <c r="A1504" t="inlineStr">
        <is>
          <t>Jacob Blair</t>
        </is>
      </c>
      <c r="B1504" t="n">
        <v>2</v>
      </c>
      <c r="C1504" t="n">
        <v>2010</v>
      </c>
      <c r="D1504" t="n">
        <v>2012</v>
      </c>
      <c r="E1504" t="inlineStr">
        <is>
          <t>The A-Team, Underworld: Awakening</t>
        </is>
      </c>
      <c r="F1504" t="inlineStr">
        <is>
          <t>F0026, F0328</t>
        </is>
      </c>
    </row>
    <row r="1505">
      <c r="A1505" t="inlineStr">
        <is>
          <t>Rad Daly</t>
        </is>
      </c>
      <c r="B1505" t="n">
        <v>1</v>
      </c>
      <c r="C1505" t="n">
        <v>2010</v>
      </c>
      <c r="D1505" t="n">
        <v>2010</v>
      </c>
      <c r="E1505" t="inlineStr">
        <is>
          <t>The A-Team</t>
        </is>
      </c>
      <c r="F1505" t="inlineStr">
        <is>
          <t>F0026</t>
        </is>
      </c>
    </row>
    <row r="1506">
      <c r="A1506" t="inlineStr">
        <is>
          <t>Kyle Riefsnyder</t>
        </is>
      </c>
      <c r="B1506" t="n">
        <v>2</v>
      </c>
      <c r="C1506" t="n">
        <v>2010</v>
      </c>
      <c r="D1506" t="n">
        <v>2011</v>
      </c>
      <c r="E1506" t="inlineStr">
        <is>
          <t>The A-Team, Rise of the Planet of the Apes</t>
        </is>
      </c>
      <c r="F1506" t="inlineStr">
        <is>
          <t>F0026, F0253</t>
        </is>
      </c>
    </row>
    <row r="1507">
      <c r="A1507" t="inlineStr">
        <is>
          <t>Andrew Coghlan</t>
        </is>
      </c>
      <c r="B1507" t="n">
        <v>1</v>
      </c>
      <c r="C1507" t="n">
        <v>2010</v>
      </c>
      <c r="D1507" t="n">
        <v>2010</v>
      </c>
      <c r="E1507" t="inlineStr">
        <is>
          <t>The A-Team</t>
        </is>
      </c>
      <c r="F1507" t="inlineStr">
        <is>
          <t>F0026</t>
        </is>
      </c>
    </row>
    <row r="1508">
      <c r="A1508" t="inlineStr">
        <is>
          <t>James O'Sullivan</t>
        </is>
      </c>
      <c r="B1508" t="n">
        <v>1</v>
      </c>
      <c r="C1508" t="n">
        <v>2010</v>
      </c>
      <c r="D1508" t="n">
        <v>2010</v>
      </c>
      <c r="E1508" t="inlineStr">
        <is>
          <t>The A-Team</t>
        </is>
      </c>
      <c r="F1508" t="inlineStr">
        <is>
          <t>F0026</t>
        </is>
      </c>
    </row>
    <row r="1509">
      <c r="A1509" t="inlineStr">
        <is>
          <t>C. Ernst Harth</t>
        </is>
      </c>
      <c r="B1509" t="n">
        <v>1</v>
      </c>
      <c r="C1509" t="n">
        <v>2010</v>
      </c>
      <c r="D1509" t="n">
        <v>2010</v>
      </c>
      <c r="E1509" t="inlineStr">
        <is>
          <t>The A-Team</t>
        </is>
      </c>
      <c r="F1509" t="inlineStr">
        <is>
          <t>F0026</t>
        </is>
      </c>
    </row>
    <row r="1510">
      <c r="A1510" t="inlineStr">
        <is>
          <t>Stefan Arngrim</t>
        </is>
      </c>
      <c r="B1510" t="n">
        <v>1</v>
      </c>
      <c r="C1510" t="n">
        <v>2010</v>
      </c>
      <c r="D1510" t="n">
        <v>2010</v>
      </c>
      <c r="E1510" t="inlineStr">
        <is>
          <t>The A-Team</t>
        </is>
      </c>
      <c r="F1510" t="inlineStr">
        <is>
          <t>F0026</t>
        </is>
      </c>
    </row>
    <row r="1511">
      <c r="A1511" t="inlineStr">
        <is>
          <t>Christian Tessier</t>
        </is>
      </c>
      <c r="B1511" t="n">
        <v>2</v>
      </c>
      <c r="C1511" t="n">
        <v>2010</v>
      </c>
      <c r="D1511" t="n">
        <v>2012</v>
      </c>
      <c r="E1511" t="inlineStr">
        <is>
          <t>The A-Team, Underworld: Awakening</t>
        </is>
      </c>
      <c r="F1511" t="inlineStr">
        <is>
          <t>F0026, F0328</t>
        </is>
      </c>
    </row>
    <row r="1512">
      <c r="A1512" t="inlineStr">
        <is>
          <t>William 'Big Sleeps' Stewart</t>
        </is>
      </c>
      <c r="B1512" t="n">
        <v>1</v>
      </c>
      <c r="C1512" t="n">
        <v>2010</v>
      </c>
      <c r="D1512" t="n">
        <v>2010</v>
      </c>
      <c r="E1512" t="inlineStr">
        <is>
          <t>The A-Team</t>
        </is>
      </c>
      <c r="F1512" t="inlineStr">
        <is>
          <t>F0026</t>
        </is>
      </c>
    </row>
    <row r="1513">
      <c r="A1513" t="inlineStr">
        <is>
          <t>Marc-Anthony Massiah</t>
        </is>
      </c>
      <c r="B1513" t="n">
        <v>1</v>
      </c>
      <c r="C1513" t="n">
        <v>2010</v>
      </c>
      <c r="D1513" t="n">
        <v>2010</v>
      </c>
      <c r="E1513" t="inlineStr">
        <is>
          <t>The A-Team</t>
        </is>
      </c>
      <c r="F1513" t="inlineStr">
        <is>
          <t>F0026</t>
        </is>
      </c>
    </row>
    <row r="1514">
      <c r="A1514" t="inlineStr">
        <is>
          <t>Kwesi Ameyaw</t>
        </is>
      </c>
      <c r="B1514" t="n">
        <v>1</v>
      </c>
      <c r="C1514" t="n">
        <v>2010</v>
      </c>
      <c r="D1514" t="n">
        <v>2010</v>
      </c>
      <c r="E1514" t="inlineStr">
        <is>
          <t>The A-Team</t>
        </is>
      </c>
      <c r="F1514" t="inlineStr">
        <is>
          <t>F0026</t>
        </is>
      </c>
    </row>
    <row r="1515">
      <c r="A1515" t="inlineStr">
        <is>
          <t>Robert Thomas Conway Jr.</t>
        </is>
      </c>
      <c r="B1515" t="n">
        <v>1</v>
      </c>
      <c r="C1515" t="n">
        <v>2010</v>
      </c>
      <c r="D1515" t="n">
        <v>2010</v>
      </c>
      <c r="E1515" t="inlineStr">
        <is>
          <t>The A-Team</t>
        </is>
      </c>
      <c r="F1515" t="inlineStr">
        <is>
          <t>F0026</t>
        </is>
      </c>
    </row>
    <row r="1516">
      <c r="A1516" t="inlineStr">
        <is>
          <t>Gardiner Millar</t>
        </is>
      </c>
      <c r="B1516" t="n">
        <v>1</v>
      </c>
      <c r="C1516" t="n">
        <v>2010</v>
      </c>
      <c r="D1516" t="n">
        <v>2010</v>
      </c>
      <c r="E1516" t="inlineStr">
        <is>
          <t>The A-Team</t>
        </is>
      </c>
      <c r="F1516" t="inlineStr">
        <is>
          <t>F0026</t>
        </is>
      </c>
    </row>
    <row r="1517">
      <c r="A1517" t="inlineStr">
        <is>
          <t>Anita Brown</t>
        </is>
      </c>
      <c r="B1517" t="n">
        <v>1</v>
      </c>
      <c r="C1517" t="n">
        <v>2010</v>
      </c>
      <c r="D1517" t="n">
        <v>2010</v>
      </c>
      <c r="E1517" t="inlineStr">
        <is>
          <t>The A-Team</t>
        </is>
      </c>
      <c r="F1517" t="inlineStr">
        <is>
          <t>F0026</t>
        </is>
      </c>
    </row>
    <row r="1518">
      <c r="A1518" t="inlineStr">
        <is>
          <t>Alex Madison</t>
        </is>
      </c>
      <c r="B1518" t="n">
        <v>1</v>
      </c>
      <c r="C1518" t="n">
        <v>2010</v>
      </c>
      <c r="D1518" t="n">
        <v>2010</v>
      </c>
      <c r="E1518" t="inlineStr">
        <is>
          <t>The A-Team</t>
        </is>
      </c>
      <c r="F1518" t="inlineStr">
        <is>
          <t>F0026</t>
        </is>
      </c>
    </row>
    <row r="1519">
      <c r="A1519" t="inlineStr">
        <is>
          <t>Ben Hernandez Bray</t>
        </is>
      </c>
      <c r="B1519" t="n">
        <v>1</v>
      </c>
      <c r="C1519" t="n">
        <v>2010</v>
      </c>
      <c r="D1519" t="n">
        <v>2010</v>
      </c>
      <c r="E1519" t="inlineStr">
        <is>
          <t>The A-Team</t>
        </is>
      </c>
      <c r="F1519" t="inlineStr">
        <is>
          <t>F0026</t>
        </is>
      </c>
    </row>
    <row r="1520">
      <c r="A1520" t="inlineStr">
        <is>
          <t>Selom Awadzi</t>
        </is>
      </c>
      <c r="B1520" t="n">
        <v>1</v>
      </c>
      <c r="C1520" t="n">
        <v>2011</v>
      </c>
      <c r="D1520" t="n">
        <v>2011</v>
      </c>
      <c r="E1520" t="inlineStr">
        <is>
          <t>Attack the Block</t>
        </is>
      </c>
      <c r="F1520" t="inlineStr">
        <is>
          <t>F0027</t>
        </is>
      </c>
    </row>
    <row r="1521">
      <c r="A1521" t="inlineStr">
        <is>
          <t>Franz Drameh</t>
        </is>
      </c>
      <c r="B1521" t="n">
        <v>2</v>
      </c>
      <c r="C1521" t="n">
        <v>2011</v>
      </c>
      <c r="D1521" t="n">
        <v>2020</v>
      </c>
      <c r="E1521" t="inlineStr">
        <is>
          <t>Attack the Block, The Gentlemen</t>
        </is>
      </c>
      <c r="F1521" t="inlineStr">
        <is>
          <t>F0027, F0119</t>
        </is>
      </c>
    </row>
    <row r="1522">
      <c r="A1522" t="inlineStr">
        <is>
          <t>Simon Howard</t>
        </is>
      </c>
      <c r="B1522" t="n">
        <v>1</v>
      </c>
      <c r="C1522" t="n">
        <v>2011</v>
      </c>
      <c r="D1522" t="n">
        <v>2011</v>
      </c>
      <c r="E1522" t="inlineStr">
        <is>
          <t>Attack the Block</t>
        </is>
      </c>
      <c r="F1522" t="inlineStr">
        <is>
          <t>F0027</t>
        </is>
      </c>
    </row>
    <row r="1523">
      <c r="A1523" t="inlineStr">
        <is>
          <t>Jumayn Hunter</t>
        </is>
      </c>
      <c r="B1523" t="n">
        <v>1</v>
      </c>
      <c r="C1523" t="n">
        <v>2011</v>
      </c>
      <c r="D1523" t="n">
        <v>2011</v>
      </c>
      <c r="E1523" t="inlineStr">
        <is>
          <t>Attack the Block</t>
        </is>
      </c>
      <c r="F1523" t="inlineStr">
        <is>
          <t>F0027</t>
        </is>
      </c>
    </row>
    <row r="1524">
      <c r="A1524" t="inlineStr">
        <is>
          <t>Leeon Jones</t>
        </is>
      </c>
      <c r="B1524" t="n">
        <v>1</v>
      </c>
      <c r="C1524" t="n">
        <v>2011</v>
      </c>
      <c r="D1524" t="n">
        <v>2011</v>
      </c>
      <c r="E1524" t="inlineStr">
        <is>
          <t>Attack the Block</t>
        </is>
      </c>
      <c r="F1524" t="inlineStr">
        <is>
          <t>F0027</t>
        </is>
      </c>
    </row>
    <row r="1525">
      <c r="A1525" t="inlineStr">
        <is>
          <t>Sammy Williams</t>
        </is>
      </c>
      <c r="B1525" t="n">
        <v>1</v>
      </c>
      <c r="C1525" t="n">
        <v>2011</v>
      </c>
      <c r="D1525" t="n">
        <v>2011</v>
      </c>
      <c r="E1525" t="inlineStr">
        <is>
          <t>Attack the Block</t>
        </is>
      </c>
      <c r="F1525" t="inlineStr">
        <is>
          <t>F0027</t>
        </is>
      </c>
    </row>
    <row r="1526">
      <c r="A1526" t="inlineStr">
        <is>
          <t>Michael Ajao</t>
        </is>
      </c>
      <c r="B1526" t="n">
        <v>1</v>
      </c>
      <c r="C1526" t="n">
        <v>2011</v>
      </c>
      <c r="D1526" t="n">
        <v>2011</v>
      </c>
      <c r="E1526" t="inlineStr">
        <is>
          <t>Attack the Block</t>
        </is>
      </c>
      <c r="F1526" t="inlineStr">
        <is>
          <t>F0027</t>
        </is>
      </c>
    </row>
    <row r="1527">
      <c r="A1527" t="inlineStr">
        <is>
          <t>Paige Meade</t>
        </is>
      </c>
      <c r="B1527" t="n">
        <v>1</v>
      </c>
      <c r="C1527" t="n">
        <v>2011</v>
      </c>
      <c r="D1527" t="n">
        <v>2011</v>
      </c>
      <c r="E1527" t="inlineStr">
        <is>
          <t>Attack the Block</t>
        </is>
      </c>
      <c r="F1527" t="inlineStr">
        <is>
          <t>F0027</t>
        </is>
      </c>
    </row>
    <row r="1528">
      <c r="A1528" t="inlineStr">
        <is>
          <t>Danielle Vitalis</t>
        </is>
      </c>
      <c r="B1528" t="n">
        <v>1</v>
      </c>
      <c r="C1528" t="n">
        <v>2011</v>
      </c>
      <c r="D1528" t="n">
        <v>2011</v>
      </c>
      <c r="E1528" t="inlineStr">
        <is>
          <t>Attack the Block</t>
        </is>
      </c>
      <c r="F1528" t="inlineStr">
        <is>
          <t>F0027</t>
        </is>
      </c>
    </row>
    <row r="1529">
      <c r="A1529" t="inlineStr">
        <is>
          <t>Gina Antwi</t>
        </is>
      </c>
      <c r="B1529" t="n">
        <v>1</v>
      </c>
      <c r="C1529" t="n">
        <v>2011</v>
      </c>
      <c r="D1529" t="n">
        <v>2011</v>
      </c>
      <c r="E1529" t="inlineStr">
        <is>
          <t>Attack the Block</t>
        </is>
      </c>
      <c r="F1529" t="inlineStr">
        <is>
          <t>F0027</t>
        </is>
      </c>
    </row>
    <row r="1530">
      <c r="A1530" t="inlineStr">
        <is>
          <t>Natasha Jonas</t>
        </is>
      </c>
      <c r="B1530" t="n">
        <v>1</v>
      </c>
      <c r="C1530" t="n">
        <v>2011</v>
      </c>
      <c r="D1530" t="n">
        <v>2011</v>
      </c>
      <c r="E1530" t="inlineStr">
        <is>
          <t>Attack the Block</t>
        </is>
      </c>
      <c r="F1530" t="inlineStr">
        <is>
          <t>F0027</t>
        </is>
      </c>
    </row>
    <row r="1531">
      <c r="A1531" t="inlineStr">
        <is>
          <t>Chris Wilson</t>
        </is>
      </c>
      <c r="B1531" t="n">
        <v>1</v>
      </c>
      <c r="C1531" t="n">
        <v>2011</v>
      </c>
      <c r="D1531" t="n">
        <v>2011</v>
      </c>
      <c r="E1531" t="inlineStr">
        <is>
          <t>Attack the Block</t>
        </is>
      </c>
      <c r="F1531" t="inlineStr">
        <is>
          <t>F0027</t>
        </is>
      </c>
    </row>
    <row r="1532">
      <c r="A1532" t="inlineStr">
        <is>
          <t>Joey Ansah</t>
        </is>
      </c>
      <c r="B1532" t="n">
        <v>3</v>
      </c>
      <c r="C1532" t="n">
        <v>2007</v>
      </c>
      <c r="D1532" t="n">
        <v>2018</v>
      </c>
      <c r="E1532" t="inlineStr">
        <is>
          <t>Attack the Block, The Bourne Ultimatum, Mission: Impossible - Fallout</t>
        </is>
      </c>
      <c r="F1532" t="inlineStr">
        <is>
          <t>F0027, F0055, F0226</t>
        </is>
      </c>
    </row>
    <row r="1533">
      <c r="A1533" t="inlineStr">
        <is>
          <t>Adam Leese</t>
        </is>
      </c>
      <c r="B1533" t="n">
        <v>1</v>
      </c>
      <c r="C1533" t="n">
        <v>2011</v>
      </c>
      <c r="D1533" t="n">
        <v>2011</v>
      </c>
      <c r="E1533" t="inlineStr">
        <is>
          <t>Attack the Block</t>
        </is>
      </c>
      <c r="F1533" t="inlineStr">
        <is>
          <t>F0027</t>
        </is>
      </c>
    </row>
    <row r="1534">
      <c r="A1534" t="inlineStr">
        <is>
          <t>Adam Buxton</t>
        </is>
      </c>
      <c r="B1534" t="n">
        <v>3</v>
      </c>
      <c r="C1534" t="n">
        <v>2007</v>
      </c>
      <c r="D1534" t="n">
        <v>2016</v>
      </c>
      <c r="E1534" t="inlineStr">
        <is>
          <t>Attack the Block, Hot Fuzz, Sing</t>
        </is>
      </c>
      <c r="F1534" t="inlineStr">
        <is>
          <t>F0027, F0071, F0280</t>
        </is>
      </c>
    </row>
    <row r="1535">
      <c r="A1535" t="inlineStr">
        <is>
          <t>Maggie McCarthy</t>
        </is>
      </c>
      <c r="B1535" t="n">
        <v>1</v>
      </c>
      <c r="C1535" t="n">
        <v>2011</v>
      </c>
      <c r="D1535" t="n">
        <v>2011</v>
      </c>
      <c r="E1535" t="inlineStr">
        <is>
          <t>Attack the Block</t>
        </is>
      </c>
      <c r="F1535" t="inlineStr">
        <is>
          <t>F0027</t>
        </is>
      </c>
    </row>
    <row r="1536">
      <c r="A1536" t="inlineStr">
        <is>
          <t>Flaminia Cinque</t>
        </is>
      </c>
      <c r="B1536" t="n">
        <v>1</v>
      </c>
      <c r="C1536" t="n">
        <v>2011</v>
      </c>
      <c r="D1536" t="n">
        <v>2011</v>
      </c>
      <c r="E1536" t="inlineStr">
        <is>
          <t>Attack the Block</t>
        </is>
      </c>
      <c r="F1536" t="inlineStr">
        <is>
          <t>F0027</t>
        </is>
      </c>
    </row>
    <row r="1537">
      <c r="A1537" t="inlineStr">
        <is>
          <t>Jacey Sallés</t>
        </is>
      </c>
      <c r="B1537" t="n">
        <v>1</v>
      </c>
      <c r="C1537" t="n">
        <v>2011</v>
      </c>
      <c r="D1537" t="n">
        <v>2011</v>
      </c>
      <c r="E1537" t="inlineStr">
        <is>
          <t>Attack the Block</t>
        </is>
      </c>
      <c r="F1537" t="inlineStr">
        <is>
          <t>F0027</t>
        </is>
      </c>
    </row>
    <row r="1538">
      <c r="A1538" t="inlineStr">
        <is>
          <t>Yvonne D'Alpra</t>
        </is>
      </c>
      <c r="B1538" t="n">
        <v>1</v>
      </c>
      <c r="C1538" t="n">
        <v>2011</v>
      </c>
      <c r="D1538" t="n">
        <v>2011</v>
      </c>
      <c r="E1538" t="inlineStr">
        <is>
          <t>Attack the Block</t>
        </is>
      </c>
      <c r="F1538" t="inlineStr">
        <is>
          <t>F0027</t>
        </is>
      </c>
    </row>
    <row r="1539">
      <c r="A1539" t="inlineStr">
        <is>
          <t>Karl Collins</t>
        </is>
      </c>
      <c r="B1539" t="n">
        <v>1</v>
      </c>
      <c r="C1539" t="n">
        <v>2011</v>
      </c>
      <c r="D1539" t="n">
        <v>2011</v>
      </c>
      <c r="E1539" t="inlineStr">
        <is>
          <t>Attack the Block</t>
        </is>
      </c>
      <c r="F1539" t="inlineStr">
        <is>
          <t>F0027</t>
        </is>
      </c>
    </row>
    <row r="1540">
      <c r="A1540" t="inlineStr">
        <is>
          <t>Jermaine Smith</t>
        </is>
      </c>
      <c r="B1540" t="n">
        <v>1</v>
      </c>
      <c r="C1540" t="n">
        <v>2011</v>
      </c>
      <c r="D1540" t="n">
        <v>2011</v>
      </c>
      <c r="E1540" t="inlineStr">
        <is>
          <t>Attack the Block</t>
        </is>
      </c>
      <c r="F1540" t="inlineStr">
        <is>
          <t>F0027</t>
        </is>
      </c>
    </row>
    <row r="1541">
      <c r="A1541" t="inlineStr">
        <is>
          <t>Lee Long</t>
        </is>
      </c>
      <c r="B1541" t="n">
        <v>1</v>
      </c>
      <c r="C1541" t="n">
        <v>2011</v>
      </c>
      <c r="D1541" t="n">
        <v>2011</v>
      </c>
      <c r="E1541" t="inlineStr">
        <is>
          <t>Attack the Block</t>
        </is>
      </c>
      <c r="F1541" t="inlineStr">
        <is>
          <t>F0027</t>
        </is>
      </c>
    </row>
    <row r="1542">
      <c r="A1542" t="inlineStr">
        <is>
          <t>David Cann</t>
        </is>
      </c>
      <c r="B1542" t="n">
        <v>1</v>
      </c>
      <c r="C1542" t="n">
        <v>2011</v>
      </c>
      <c r="D1542" t="n">
        <v>2011</v>
      </c>
      <c r="E1542" t="inlineStr">
        <is>
          <t>Attack the Block</t>
        </is>
      </c>
      <c r="F1542" t="inlineStr">
        <is>
          <t>F0027</t>
        </is>
      </c>
    </row>
    <row r="1543">
      <c r="A1543" t="inlineStr">
        <is>
          <t>Dylan Charles</t>
        </is>
      </c>
      <c r="B1543" t="n">
        <v>2</v>
      </c>
      <c r="C1543" t="n">
        <v>2008</v>
      </c>
      <c r="D1543" t="n">
        <v>2011</v>
      </c>
      <c r="E1543" t="inlineStr">
        <is>
          <t>Attack the Block, The Bank Job</t>
        </is>
      </c>
      <c r="F1543" t="inlineStr">
        <is>
          <t>F0027, F0040</t>
        </is>
      </c>
    </row>
    <row r="1544">
      <c r="A1544" t="inlineStr">
        <is>
          <t>Joel David Moore</t>
        </is>
      </c>
      <c r="B1544" t="n">
        <v>1</v>
      </c>
      <c r="C1544" t="n">
        <v>2009</v>
      </c>
      <c r="D1544" t="n">
        <v>2009</v>
      </c>
      <c r="E1544" t="inlineStr">
        <is>
          <t>Avatar</t>
        </is>
      </c>
      <c r="F1544" t="inlineStr">
        <is>
          <t>F0028</t>
        </is>
      </c>
    </row>
    <row r="1545">
      <c r="A1545" t="inlineStr">
        <is>
          <t>CCH Pounder</t>
        </is>
      </c>
      <c r="B1545" t="n">
        <v>2</v>
      </c>
      <c r="C1545" t="n">
        <v>2009</v>
      </c>
      <c r="D1545" t="n">
        <v>2019</v>
      </c>
      <c r="E1545" t="inlineStr">
        <is>
          <t>Avatar, Godzilla: King of the Monsters</t>
        </is>
      </c>
      <c r="F1545" t="inlineStr">
        <is>
          <t>F0028, F0122</t>
        </is>
      </c>
    </row>
    <row r="1546">
      <c r="A1546" t="inlineStr">
        <is>
          <t>Laz Alonso</t>
        </is>
      </c>
      <c r="B1546" t="n">
        <v>1</v>
      </c>
      <c r="C1546" t="n">
        <v>2009</v>
      </c>
      <c r="D1546" t="n">
        <v>2009</v>
      </c>
      <c r="E1546" t="inlineStr">
        <is>
          <t>Avatar</t>
        </is>
      </c>
      <c r="F1546" t="inlineStr">
        <is>
          <t>F0028</t>
        </is>
      </c>
    </row>
    <row r="1547">
      <c r="A1547" t="inlineStr">
        <is>
          <t>Dileep Rao</t>
        </is>
      </c>
      <c r="B1547" t="n">
        <v>2</v>
      </c>
      <c r="C1547" t="n">
        <v>2009</v>
      </c>
      <c r="D1547" t="n">
        <v>2010</v>
      </c>
      <c r="E1547" t="inlineStr">
        <is>
          <t>Avatar, Inception</t>
        </is>
      </c>
      <c r="F1547" t="inlineStr">
        <is>
          <t>F0028, F0165</t>
        </is>
      </c>
    </row>
    <row r="1548">
      <c r="A1548" t="inlineStr">
        <is>
          <t>Matt Gerald</t>
        </is>
      </c>
      <c r="B1548" t="n">
        <v>1</v>
      </c>
      <c r="C1548" t="n">
        <v>2009</v>
      </c>
      <c r="D1548" t="n">
        <v>2009</v>
      </c>
      <c r="E1548" t="inlineStr">
        <is>
          <t>Avatar</t>
        </is>
      </c>
      <c r="F1548" t="inlineStr">
        <is>
          <t>F0028</t>
        </is>
      </c>
    </row>
    <row r="1549">
      <c r="A1549" t="inlineStr">
        <is>
          <t>Sean Anthony Moran</t>
        </is>
      </c>
      <c r="B1549" t="n">
        <v>1</v>
      </c>
      <c r="C1549" t="n">
        <v>2009</v>
      </c>
      <c r="D1549" t="n">
        <v>2009</v>
      </c>
      <c r="E1549" t="inlineStr">
        <is>
          <t>Avatar</t>
        </is>
      </c>
      <c r="F1549" t="inlineStr">
        <is>
          <t>F0028</t>
        </is>
      </c>
    </row>
    <row r="1550">
      <c r="A1550" t="inlineStr">
        <is>
          <t>Jason Whyte</t>
        </is>
      </c>
      <c r="B1550" t="n">
        <v>1</v>
      </c>
      <c r="C1550" t="n">
        <v>2009</v>
      </c>
      <c r="D1550" t="n">
        <v>2009</v>
      </c>
      <c r="E1550" t="inlineStr">
        <is>
          <t>Avatar</t>
        </is>
      </c>
      <c r="F1550" t="inlineStr">
        <is>
          <t>F0028</t>
        </is>
      </c>
    </row>
    <row r="1551">
      <c r="A1551" t="inlineStr">
        <is>
          <t>Scott Lawrence</t>
        </is>
      </c>
      <c r="B1551" t="n">
        <v>1</v>
      </c>
      <c r="C1551" t="n">
        <v>2009</v>
      </c>
      <c r="D1551" t="n">
        <v>2009</v>
      </c>
      <c r="E1551" t="inlineStr">
        <is>
          <t>Avatar</t>
        </is>
      </c>
      <c r="F1551" t="inlineStr">
        <is>
          <t>F0028</t>
        </is>
      </c>
    </row>
    <row r="1552">
      <c r="A1552" t="inlineStr">
        <is>
          <t>Kelly Kilgour</t>
        </is>
      </c>
      <c r="B1552" t="n">
        <v>1</v>
      </c>
      <c r="C1552" t="n">
        <v>2009</v>
      </c>
      <c r="D1552" t="n">
        <v>2009</v>
      </c>
      <c r="E1552" t="inlineStr">
        <is>
          <t>Avatar</t>
        </is>
      </c>
      <c r="F1552" t="inlineStr">
        <is>
          <t>F0028</t>
        </is>
      </c>
    </row>
    <row r="1553">
      <c r="A1553" t="inlineStr">
        <is>
          <t>James Patrick Pitt</t>
        </is>
      </c>
      <c r="B1553" t="n">
        <v>1</v>
      </c>
      <c r="C1553" t="n">
        <v>2009</v>
      </c>
      <c r="D1553" t="n">
        <v>2009</v>
      </c>
      <c r="E1553" t="inlineStr">
        <is>
          <t>Avatar</t>
        </is>
      </c>
      <c r="F1553" t="inlineStr">
        <is>
          <t>F0028</t>
        </is>
      </c>
    </row>
    <row r="1554">
      <c r="A1554" t="inlineStr">
        <is>
          <t>Sean Patrick Murphy</t>
        </is>
      </c>
      <c r="B1554" t="n">
        <v>1</v>
      </c>
      <c r="C1554" t="n">
        <v>2009</v>
      </c>
      <c r="D1554" t="n">
        <v>2009</v>
      </c>
      <c r="E1554" t="inlineStr">
        <is>
          <t>Avatar</t>
        </is>
      </c>
      <c r="F1554" t="inlineStr">
        <is>
          <t>F0028</t>
        </is>
      </c>
    </row>
    <row r="1555">
      <c r="A1555" t="inlineStr">
        <is>
          <t>Peter Dillon</t>
        </is>
      </c>
      <c r="B1555" t="n">
        <v>1</v>
      </c>
      <c r="C1555" t="n">
        <v>2009</v>
      </c>
      <c r="D1555" t="n">
        <v>2009</v>
      </c>
      <c r="E1555" t="inlineStr">
        <is>
          <t>Avatar</t>
        </is>
      </c>
      <c r="F1555" t="inlineStr">
        <is>
          <t>F0028</t>
        </is>
      </c>
    </row>
    <row r="1556">
      <c r="A1556" t="inlineStr">
        <is>
          <t>Kevin Dorman</t>
        </is>
      </c>
      <c r="B1556" t="n">
        <v>1</v>
      </c>
      <c r="C1556" t="n">
        <v>2009</v>
      </c>
      <c r="D1556" t="n">
        <v>2009</v>
      </c>
      <c r="E1556" t="inlineStr">
        <is>
          <t>Avatar</t>
        </is>
      </c>
      <c r="F1556" t="inlineStr">
        <is>
          <t>F0028</t>
        </is>
      </c>
    </row>
    <row r="1557">
      <c r="A1557" t="inlineStr">
        <is>
          <t>Kelson Henderson</t>
        </is>
      </c>
      <c r="B1557" t="n">
        <v>1</v>
      </c>
      <c r="C1557" t="n">
        <v>2009</v>
      </c>
      <c r="D1557" t="n">
        <v>2009</v>
      </c>
      <c r="E1557" t="inlineStr">
        <is>
          <t>Avatar</t>
        </is>
      </c>
      <c r="F1557" t="inlineStr">
        <is>
          <t>F0028</t>
        </is>
      </c>
    </row>
    <row r="1558">
      <c r="A1558" t="inlineStr">
        <is>
          <t>David Van Horn</t>
        </is>
      </c>
      <c r="B1558" t="n">
        <v>1</v>
      </c>
      <c r="C1558" t="n">
        <v>2009</v>
      </c>
      <c r="D1558" t="n">
        <v>2009</v>
      </c>
      <c r="E1558" t="inlineStr">
        <is>
          <t>Avatar</t>
        </is>
      </c>
      <c r="F1558" t="inlineStr">
        <is>
          <t>F0028</t>
        </is>
      </c>
    </row>
    <row r="1559">
      <c r="A1559" t="inlineStr">
        <is>
          <t>Jacob Tomuri</t>
        </is>
      </c>
      <c r="B1559" t="n">
        <v>1</v>
      </c>
      <c r="C1559" t="n">
        <v>2009</v>
      </c>
      <c r="D1559" t="n">
        <v>2009</v>
      </c>
      <c r="E1559" t="inlineStr">
        <is>
          <t>Avatar</t>
        </is>
      </c>
      <c r="F1559" t="inlineStr">
        <is>
          <t>F0028</t>
        </is>
      </c>
    </row>
    <row r="1560">
      <c r="A1560" t="inlineStr">
        <is>
          <t>Michael Blain-Rozgay</t>
        </is>
      </c>
      <c r="B1560" t="n">
        <v>1</v>
      </c>
      <c r="C1560" t="n">
        <v>2009</v>
      </c>
      <c r="D1560" t="n">
        <v>2009</v>
      </c>
      <c r="E1560" t="inlineStr">
        <is>
          <t>Avatar</t>
        </is>
      </c>
      <c r="F1560" t="inlineStr">
        <is>
          <t>F0028</t>
        </is>
      </c>
    </row>
    <row r="1561">
      <c r="A1561" t="inlineStr">
        <is>
          <t>Jon Curry</t>
        </is>
      </c>
      <c r="B1561" t="n">
        <v>1</v>
      </c>
      <c r="C1561" t="n">
        <v>2009</v>
      </c>
      <c r="D1561" t="n">
        <v>2009</v>
      </c>
      <c r="E1561" t="inlineStr">
        <is>
          <t>Avatar</t>
        </is>
      </c>
      <c r="F1561" t="inlineStr">
        <is>
          <t>F0028</t>
        </is>
      </c>
    </row>
    <row r="1562">
      <c r="A1562" t="inlineStr">
        <is>
          <t>Julene Renee</t>
        </is>
      </c>
      <c r="B1562" t="n">
        <v>1</v>
      </c>
      <c r="C1562" t="n">
        <v>2009</v>
      </c>
      <c r="D1562" t="n">
        <v>2009</v>
      </c>
      <c r="E1562" t="inlineStr">
        <is>
          <t>Avatar</t>
        </is>
      </c>
      <c r="F1562" t="inlineStr">
        <is>
          <t>F0028</t>
        </is>
      </c>
    </row>
    <row r="1563">
      <c r="A1563" t="inlineStr">
        <is>
          <t>Luke Hawker</t>
        </is>
      </c>
      <c r="B1563" t="n">
        <v>1</v>
      </c>
      <c r="C1563" t="n">
        <v>2009</v>
      </c>
      <c r="D1563" t="n">
        <v>2009</v>
      </c>
      <c r="E1563" t="inlineStr">
        <is>
          <t>Avatar</t>
        </is>
      </c>
      <c r="F1563" t="inlineStr">
        <is>
          <t>F0028</t>
        </is>
      </c>
    </row>
    <row r="1564">
      <c r="A1564" t="inlineStr">
        <is>
          <t>Woody Schultz</t>
        </is>
      </c>
      <c r="B1564" t="n">
        <v>1</v>
      </c>
      <c r="C1564" t="n">
        <v>2009</v>
      </c>
      <c r="D1564" t="n">
        <v>2009</v>
      </c>
      <c r="E1564" t="inlineStr">
        <is>
          <t>Avatar</t>
        </is>
      </c>
      <c r="F1564" t="inlineStr">
        <is>
          <t>F0028</t>
        </is>
      </c>
    </row>
    <row r="1565">
      <c r="A1565" t="inlineStr">
        <is>
          <t>Peter Mensah</t>
        </is>
      </c>
      <c r="B1565" t="n">
        <v>1</v>
      </c>
      <c r="C1565" t="n">
        <v>2009</v>
      </c>
      <c r="D1565" t="n">
        <v>2009</v>
      </c>
      <c r="E1565" t="inlineStr">
        <is>
          <t>Avatar</t>
        </is>
      </c>
      <c r="F1565" t="inlineStr">
        <is>
          <t>F0028</t>
        </is>
      </c>
    </row>
    <row r="1566">
      <c r="A1566" t="inlineStr">
        <is>
          <t>Sonia Yee</t>
        </is>
      </c>
      <c r="B1566" t="n">
        <v>1</v>
      </c>
      <c r="C1566" t="n">
        <v>2009</v>
      </c>
      <c r="D1566" t="n">
        <v>2009</v>
      </c>
      <c r="E1566" t="inlineStr">
        <is>
          <t>Avatar</t>
        </is>
      </c>
      <c r="F1566" t="inlineStr">
        <is>
          <t>F0028</t>
        </is>
      </c>
    </row>
    <row r="1567">
      <c r="A1567" t="inlineStr">
        <is>
          <t>Clark Gregg</t>
        </is>
      </c>
      <c r="B1567" t="n">
        <v>1</v>
      </c>
      <c r="C1567" t="n">
        <v>2012</v>
      </c>
      <c r="D1567" t="n">
        <v>2012</v>
      </c>
      <c r="E1567" t="inlineStr">
        <is>
          <t>The Avengers</t>
        </is>
      </c>
      <c r="F1567" t="inlineStr">
        <is>
          <t>F0029</t>
        </is>
      </c>
    </row>
    <row r="1568">
      <c r="A1568" t="inlineStr">
        <is>
          <t>Alexis Denisof</t>
        </is>
      </c>
      <c r="B1568" t="n">
        <v>1</v>
      </c>
      <c r="C1568" t="n">
        <v>2012</v>
      </c>
      <c r="D1568" t="n">
        <v>2012</v>
      </c>
      <c r="E1568" t="inlineStr">
        <is>
          <t>The Avengers</t>
        </is>
      </c>
      <c r="F1568" t="inlineStr">
        <is>
          <t>F0029</t>
        </is>
      </c>
    </row>
    <row r="1569">
      <c r="A1569" t="inlineStr">
        <is>
          <t>Tina Benko</t>
        </is>
      </c>
      <c r="B1569" t="n">
        <v>2</v>
      </c>
      <c r="C1569" t="n">
        <v>2012</v>
      </c>
      <c r="D1569" t="n">
        <v>2017</v>
      </c>
      <c r="E1569" t="inlineStr">
        <is>
          <t>The Avengers, The Greatest Showman</t>
        </is>
      </c>
      <c r="F1569" t="inlineStr">
        <is>
          <t>F0029, F0127</t>
        </is>
      </c>
    </row>
    <row r="1570">
      <c r="A1570" t="inlineStr">
        <is>
          <t>Jerzy Skolimowski</t>
        </is>
      </c>
      <c r="B1570" t="n">
        <v>1</v>
      </c>
      <c r="C1570" t="n">
        <v>2012</v>
      </c>
      <c r="D1570" t="n">
        <v>2012</v>
      </c>
      <c r="E1570" t="inlineStr">
        <is>
          <t>The Avengers</t>
        </is>
      </c>
      <c r="F1570" t="inlineStr">
        <is>
          <t>F0029</t>
        </is>
      </c>
    </row>
    <row r="1571">
      <c r="A1571" t="inlineStr">
        <is>
          <t>Kirill Nikiforov</t>
        </is>
      </c>
      <c r="B1571" t="n">
        <v>1</v>
      </c>
      <c r="C1571" t="n">
        <v>2012</v>
      </c>
      <c r="D1571" t="n">
        <v>2012</v>
      </c>
      <c r="E1571" t="inlineStr">
        <is>
          <t>The Avengers</t>
        </is>
      </c>
      <c r="F1571" t="inlineStr">
        <is>
          <t>F0029</t>
        </is>
      </c>
    </row>
    <row r="1572">
      <c r="A1572" t="inlineStr">
        <is>
          <t>Jeff Wolfe</t>
        </is>
      </c>
      <c r="B1572" t="n">
        <v>2</v>
      </c>
      <c r="C1572" t="n">
        <v>2011</v>
      </c>
      <c r="D1572" t="n">
        <v>2012</v>
      </c>
      <c r="E1572" t="inlineStr">
        <is>
          <t>The Avengers, Green Lantern</t>
        </is>
      </c>
      <c r="F1572" t="inlineStr">
        <is>
          <t>F0029, F0128</t>
        </is>
      </c>
    </row>
    <row r="1573">
      <c r="A1573" t="inlineStr">
        <is>
          <t>M'laah Kaur Singh</t>
        </is>
      </c>
      <c r="B1573" t="n">
        <v>1</v>
      </c>
      <c r="C1573" t="n">
        <v>2012</v>
      </c>
      <c r="D1573" t="n">
        <v>2012</v>
      </c>
      <c r="E1573" t="inlineStr">
        <is>
          <t>The Avengers</t>
        </is>
      </c>
      <c r="F1573" t="inlineStr">
        <is>
          <t>F0029</t>
        </is>
      </c>
    </row>
    <row r="1574">
      <c r="A1574" t="inlineStr">
        <is>
          <t>Rashmi Rustagi</t>
        </is>
      </c>
      <c r="B1574" t="n">
        <v>1</v>
      </c>
      <c r="C1574" t="n">
        <v>2012</v>
      </c>
      <c r="D1574" t="n">
        <v>2012</v>
      </c>
      <c r="E1574" t="inlineStr">
        <is>
          <t>The Avengers</t>
        </is>
      </c>
      <c r="F1574" t="inlineStr">
        <is>
          <t>F0029</t>
        </is>
      </c>
    </row>
    <row r="1575">
      <c r="A1575" t="inlineStr">
        <is>
          <t>Powers Boothe</t>
        </is>
      </c>
      <c r="B1575" t="n">
        <v>1</v>
      </c>
      <c r="C1575" t="n">
        <v>2012</v>
      </c>
      <c r="D1575" t="n">
        <v>2012</v>
      </c>
      <c r="E1575" t="inlineStr">
        <is>
          <t>The Avengers</t>
        </is>
      </c>
      <c r="F1575" t="inlineStr">
        <is>
          <t>F0029</t>
        </is>
      </c>
    </row>
    <row r="1576">
      <c r="A1576" t="inlineStr">
        <is>
          <t>Jenny Agutter</t>
        </is>
      </c>
      <c r="B1576" t="n">
        <v>1</v>
      </c>
      <c r="C1576" t="n">
        <v>2012</v>
      </c>
      <c r="D1576" t="n">
        <v>2012</v>
      </c>
      <c r="E1576" t="inlineStr">
        <is>
          <t>The Avengers</t>
        </is>
      </c>
      <c r="F1576" t="inlineStr">
        <is>
          <t>F0029</t>
        </is>
      </c>
    </row>
    <row r="1577">
      <c r="A1577" t="inlineStr">
        <is>
          <t>Arthur Darbinyan</t>
        </is>
      </c>
      <c r="B1577" t="n">
        <v>1</v>
      </c>
      <c r="C1577" t="n">
        <v>2012</v>
      </c>
      <c r="D1577" t="n">
        <v>2012</v>
      </c>
      <c r="E1577" t="inlineStr">
        <is>
          <t>The Avengers</t>
        </is>
      </c>
      <c r="F1577" t="inlineStr">
        <is>
          <t>F0029</t>
        </is>
      </c>
    </row>
    <row r="1578">
      <c r="A1578" t="inlineStr">
        <is>
          <t>Donald Li</t>
        </is>
      </c>
      <c r="B1578" t="n">
        <v>1</v>
      </c>
      <c r="C1578" t="n">
        <v>2012</v>
      </c>
      <c r="D1578" t="n">
        <v>2012</v>
      </c>
      <c r="E1578" t="inlineStr">
        <is>
          <t>The Avengers</t>
        </is>
      </c>
      <c r="F1578" t="inlineStr">
        <is>
          <t>F0029</t>
        </is>
      </c>
    </row>
    <row r="1579">
      <c r="A1579" t="inlineStr">
        <is>
          <t>Warren Kole</t>
        </is>
      </c>
      <c r="B1579" t="n">
        <v>1</v>
      </c>
      <c r="C1579" t="n">
        <v>2012</v>
      </c>
      <c r="D1579" t="n">
        <v>2012</v>
      </c>
      <c r="E1579" t="inlineStr">
        <is>
          <t>The Avengers</t>
        </is>
      </c>
      <c r="F1579" t="inlineStr">
        <is>
          <t>F0029</t>
        </is>
      </c>
    </row>
    <row r="1580">
      <c r="A1580" t="inlineStr">
        <is>
          <t>Alicia Sixtos</t>
        </is>
      </c>
      <c r="B1580" t="n">
        <v>1</v>
      </c>
      <c r="C1580" t="n">
        <v>2012</v>
      </c>
      <c r="D1580" t="n">
        <v>2012</v>
      </c>
      <c r="E1580" t="inlineStr">
        <is>
          <t>The Avengers</t>
        </is>
      </c>
      <c r="F1580" t="inlineStr">
        <is>
          <t>F0029</t>
        </is>
      </c>
    </row>
    <row r="1581">
      <c r="A1581" t="inlineStr">
        <is>
          <t>Jesse Garcia</t>
        </is>
      </c>
      <c r="B1581" t="n">
        <v>1</v>
      </c>
      <c r="C1581" t="n">
        <v>2012</v>
      </c>
      <c r="D1581" t="n">
        <v>2012</v>
      </c>
      <c r="E1581" t="inlineStr">
        <is>
          <t>The Avengers</t>
        </is>
      </c>
      <c r="F1581" t="inlineStr">
        <is>
          <t>F0029</t>
        </is>
      </c>
    </row>
    <row r="1582">
      <c r="A1582" t="inlineStr">
        <is>
          <t>Maximiliano Hernández</t>
        </is>
      </c>
      <c r="B1582" t="n">
        <v>2</v>
      </c>
      <c r="C1582" t="n">
        <v>2011</v>
      </c>
      <c r="D1582" t="n">
        <v>2012</v>
      </c>
      <c r="E1582" t="inlineStr">
        <is>
          <t>The Avengers, Warrior</t>
        </is>
      </c>
      <c r="F1582" t="inlineStr">
        <is>
          <t>F0029, F0333</t>
        </is>
      </c>
    </row>
    <row r="1583">
      <c r="A1583" t="inlineStr">
        <is>
          <t>Dieter Riesle</t>
        </is>
      </c>
      <c r="B1583" t="n">
        <v>1</v>
      </c>
      <c r="C1583" t="n">
        <v>2012</v>
      </c>
      <c r="D1583" t="n">
        <v>2012</v>
      </c>
      <c r="E1583" t="inlineStr">
        <is>
          <t>The Avengers</t>
        </is>
      </c>
      <c r="F1583" t="inlineStr">
        <is>
          <t>F0029</t>
        </is>
      </c>
    </row>
    <row r="1584">
      <c r="A1584" t="inlineStr">
        <is>
          <t>Kenneth Tigar</t>
        </is>
      </c>
      <c r="B1584" t="n">
        <v>1</v>
      </c>
      <c r="C1584" t="n">
        <v>2012</v>
      </c>
      <c r="D1584" t="n">
        <v>2012</v>
      </c>
      <c r="E1584" t="inlineStr">
        <is>
          <t>The Avengers</t>
        </is>
      </c>
      <c r="F1584" t="inlineStr">
        <is>
          <t>F0029</t>
        </is>
      </c>
    </row>
    <row r="1585">
      <c r="A1585" t="inlineStr">
        <is>
          <t>Tom Holland</t>
        </is>
      </c>
      <c r="B1585" t="n">
        <v>2</v>
      </c>
      <c r="C1585" t="n">
        <v>2018</v>
      </c>
      <c r="D1585" t="n">
        <v>2019</v>
      </c>
      <c r="E1585" t="inlineStr">
        <is>
          <t>Avengers: Infinity War, Avengers: Endgame</t>
        </is>
      </c>
      <c r="F1585" t="inlineStr">
        <is>
          <t>F0030, F0031</t>
        </is>
      </c>
    </row>
    <row r="1586">
      <c r="A1586" t="inlineStr">
        <is>
          <t>Chadwick Boseman</t>
        </is>
      </c>
      <c r="B1586" t="n">
        <v>2</v>
      </c>
      <c r="C1586" t="n">
        <v>2018</v>
      </c>
      <c r="D1586" t="n">
        <v>2019</v>
      </c>
      <c r="E1586" t="inlineStr">
        <is>
          <t>Avengers: Infinity War, Avengers: Endgame</t>
        </is>
      </c>
      <c r="F1586" t="inlineStr">
        <is>
          <t>F0030, F0031</t>
        </is>
      </c>
    </row>
    <row r="1587">
      <c r="A1587" t="inlineStr">
        <is>
          <t>Karen Gillan</t>
        </is>
      </c>
      <c r="B1587" t="n">
        <v>2</v>
      </c>
      <c r="C1587" t="n">
        <v>2018</v>
      </c>
      <c r="D1587" t="n">
        <v>2019</v>
      </c>
      <c r="E1587" t="inlineStr">
        <is>
          <t>Avengers: Infinity War, Avengers: Endgame</t>
        </is>
      </c>
      <c r="F1587" t="inlineStr">
        <is>
          <t>F0030, F0031</t>
        </is>
      </c>
    </row>
    <row r="1588">
      <c r="A1588" t="inlineStr">
        <is>
          <t>Sebastian Stan</t>
        </is>
      </c>
      <c r="B1588" t="n">
        <v>3</v>
      </c>
      <c r="C1588" t="n">
        <v>2015</v>
      </c>
      <c r="D1588" t="n">
        <v>2019</v>
      </c>
      <c r="E1588" t="inlineStr">
        <is>
          <t>Avengers: Infinity War, Avengers: Endgame, The Martian</t>
        </is>
      </c>
      <c r="F1588" t="inlineStr">
        <is>
          <t>F0030, F0031, F0213</t>
        </is>
      </c>
    </row>
    <row r="1589">
      <c r="A1589" t="inlineStr">
        <is>
          <t>Danai Gurira</t>
        </is>
      </c>
      <c r="B1589" t="n">
        <v>2</v>
      </c>
      <c r="C1589" t="n">
        <v>2018</v>
      </c>
      <c r="D1589" t="n">
        <v>2019</v>
      </c>
      <c r="E1589" t="inlineStr">
        <is>
          <t>Avengers: Infinity War, Avengers: Endgame</t>
        </is>
      </c>
      <c r="F1589" t="inlineStr">
        <is>
          <t>F0030, F0031</t>
        </is>
      </c>
    </row>
    <row r="1590">
      <c r="A1590" t="inlineStr">
        <is>
          <t>Pom Klementieff</t>
        </is>
      </c>
      <c r="B1590" t="n">
        <v>5</v>
      </c>
      <c r="C1590" t="n">
        <v>2018</v>
      </c>
      <c r="D1590" t="n">
        <v>2025</v>
      </c>
      <c r="E1590" t="inlineStr">
        <is>
          <t>Avengers: Infinity War, Avengers: Endgame, Mission: Impossible - Dead Reckoning Part One, Mission: Impossible - The Final Reckoning, Superman</t>
        </is>
      </c>
      <c r="F1590" t="inlineStr">
        <is>
          <t>F0030, F0031, F0227, F0228, F0304</t>
        </is>
      </c>
    </row>
    <row r="1591">
      <c r="A1591" t="inlineStr">
        <is>
          <t>Benicio del Toro</t>
        </is>
      </c>
      <c r="B1591" t="n">
        <v>2</v>
      </c>
      <c r="C1591" t="n">
        <v>2017</v>
      </c>
      <c r="D1591" t="n">
        <v>2018</v>
      </c>
      <c r="E1591" t="inlineStr">
        <is>
          <t>Avengers: Infinity War, Star Wars: The Last Jedi</t>
        </is>
      </c>
      <c r="F1591" t="inlineStr">
        <is>
          <t>F0030, F0299</t>
        </is>
      </c>
    </row>
    <row r="1592">
      <c r="A1592" t="inlineStr">
        <is>
          <t>Sean Gunn</t>
        </is>
      </c>
      <c r="B1592" t="n">
        <v>1</v>
      </c>
      <c r="C1592" t="n">
        <v>2018</v>
      </c>
      <c r="D1592" t="n">
        <v>2018</v>
      </c>
      <c r="E1592" t="inlineStr">
        <is>
          <t>Avengers: Infinity War</t>
        </is>
      </c>
      <c r="F1592" t="inlineStr">
        <is>
          <t>F0030</t>
        </is>
      </c>
    </row>
    <row r="1593">
      <c r="A1593" t="inlineStr">
        <is>
          <t>Rene Russo</t>
        </is>
      </c>
      <c r="B1593" t="n">
        <v>1</v>
      </c>
      <c r="C1593" t="n">
        <v>2019</v>
      </c>
      <c r="D1593" t="n">
        <v>2019</v>
      </c>
      <c r="E1593" t="inlineStr">
        <is>
          <t>Avengers: Endgame</t>
        </is>
      </c>
      <c r="F1593" t="inlineStr">
        <is>
          <t>F0031</t>
        </is>
      </c>
    </row>
    <row r="1594">
      <c r="A1594" t="inlineStr">
        <is>
          <t>Letitia Wright</t>
        </is>
      </c>
      <c r="B1594" t="n">
        <v>1</v>
      </c>
      <c r="C1594" t="n">
        <v>2019</v>
      </c>
      <c r="D1594" t="n">
        <v>2019</v>
      </c>
      <c r="E1594" t="inlineStr">
        <is>
          <t>Avengers: Endgame</t>
        </is>
      </c>
      <c r="F1594" t="inlineStr">
        <is>
          <t>F0031</t>
        </is>
      </c>
    </row>
    <row r="1595">
      <c r="A1595" t="inlineStr">
        <is>
          <t>John Slattery</t>
        </is>
      </c>
      <c r="B1595" t="n">
        <v>1</v>
      </c>
      <c r="C1595" t="n">
        <v>2019</v>
      </c>
      <c r="D1595" t="n">
        <v>2019</v>
      </c>
      <c r="E1595" t="inlineStr">
        <is>
          <t>Avengers: Endgame</t>
        </is>
      </c>
      <c r="F1595" t="inlineStr">
        <is>
          <t>F0031</t>
        </is>
      </c>
    </row>
    <row r="1596">
      <c r="A1596" t="inlineStr">
        <is>
          <t>Eiza González</t>
        </is>
      </c>
      <c r="B1596" t="n">
        <v>3</v>
      </c>
      <c r="C1596" t="n">
        <v>2017</v>
      </c>
      <c r="D1596" t="n">
        <v>2021</v>
      </c>
      <c r="E1596" t="inlineStr">
        <is>
          <t>Baby Driver, Fast &amp; Furious Presents: Hobbs &amp; Shaw, Godzilla vs. Kong</t>
        </is>
      </c>
      <c r="F1596" t="inlineStr">
        <is>
          <t>F0032, F0111, F0123</t>
        </is>
      </c>
    </row>
    <row r="1597">
      <c r="A1597" t="inlineStr">
        <is>
          <t>Flea</t>
        </is>
      </c>
      <c r="B1597" t="n">
        <v>5</v>
      </c>
      <c r="C1597" t="n">
        <v>1989</v>
      </c>
      <c r="D1597" t="n">
        <v>2017</v>
      </c>
      <c r="E1597" t="inlineStr">
        <is>
          <t>Baby Driver, Back to the Future Part II, Back to the Future Part III, The Big Lebowski, Inside Out</t>
        </is>
      </c>
      <c r="F1597" t="inlineStr">
        <is>
          <t>F0032, F0034, F0035, F0049, F0167</t>
        </is>
      </c>
    </row>
    <row r="1598">
      <c r="A1598" t="inlineStr">
        <is>
          <t>CJ Jones</t>
        </is>
      </c>
      <c r="B1598" t="n">
        <v>1</v>
      </c>
      <c r="C1598" t="n">
        <v>2017</v>
      </c>
      <c r="D1598" t="n">
        <v>2017</v>
      </c>
      <c r="E1598" t="inlineStr">
        <is>
          <t>Baby Driver</t>
        </is>
      </c>
      <c r="F1598" t="inlineStr">
        <is>
          <t>F0032</t>
        </is>
      </c>
    </row>
    <row r="1599">
      <c r="A1599" t="inlineStr">
        <is>
          <t>Lanny Joon</t>
        </is>
      </c>
      <c r="B1599" t="n">
        <v>1</v>
      </c>
      <c r="C1599" t="n">
        <v>2017</v>
      </c>
      <c r="D1599" t="n">
        <v>2017</v>
      </c>
      <c r="E1599" t="inlineStr">
        <is>
          <t>Baby Driver</t>
        </is>
      </c>
      <c r="F1599" t="inlineStr">
        <is>
          <t>F0032</t>
        </is>
      </c>
    </row>
    <row r="1600">
      <c r="A1600" t="inlineStr">
        <is>
          <t>Micah Howard</t>
        </is>
      </c>
      <c r="B1600" t="n">
        <v>1</v>
      </c>
      <c r="C1600" t="n">
        <v>2017</v>
      </c>
      <c r="D1600" t="n">
        <v>2017</v>
      </c>
      <c r="E1600" t="inlineStr">
        <is>
          <t>Baby Driver</t>
        </is>
      </c>
      <c r="F1600" t="inlineStr">
        <is>
          <t>F0032</t>
        </is>
      </c>
    </row>
    <row r="1601">
      <c r="A1601" t="inlineStr">
        <is>
          <t>Morgan Brown</t>
        </is>
      </c>
      <c r="B1601" t="n">
        <v>1</v>
      </c>
      <c r="C1601" t="n">
        <v>2017</v>
      </c>
      <c r="D1601" t="n">
        <v>2017</v>
      </c>
      <c r="E1601" t="inlineStr">
        <is>
          <t>Baby Driver</t>
        </is>
      </c>
      <c r="F1601" t="inlineStr">
        <is>
          <t>F0032</t>
        </is>
      </c>
    </row>
    <row r="1602">
      <c r="A1602" t="inlineStr">
        <is>
          <t>Morse Diggs</t>
        </is>
      </c>
      <c r="B1602" t="n">
        <v>1</v>
      </c>
      <c r="C1602" t="n">
        <v>2017</v>
      </c>
      <c r="D1602" t="n">
        <v>2017</v>
      </c>
      <c r="E1602" t="inlineStr">
        <is>
          <t>Baby Driver</t>
        </is>
      </c>
      <c r="F1602" t="inlineStr">
        <is>
          <t>F0032</t>
        </is>
      </c>
    </row>
    <row r="1603">
      <c r="A1603" t="inlineStr">
        <is>
          <t>Sky Ferreira</t>
        </is>
      </c>
      <c r="B1603" t="n">
        <v>1</v>
      </c>
      <c r="C1603" t="n">
        <v>2017</v>
      </c>
      <c r="D1603" t="n">
        <v>2017</v>
      </c>
      <c r="E1603" t="inlineStr">
        <is>
          <t>Baby Driver</t>
        </is>
      </c>
      <c r="F1603" t="inlineStr">
        <is>
          <t>F0032</t>
        </is>
      </c>
    </row>
    <row r="1604">
      <c r="A1604" t="inlineStr">
        <is>
          <t>Lance Palmer</t>
        </is>
      </c>
      <c r="B1604" t="n">
        <v>1</v>
      </c>
      <c r="C1604" t="n">
        <v>2017</v>
      </c>
      <c r="D1604" t="n">
        <v>2017</v>
      </c>
      <c r="E1604" t="inlineStr">
        <is>
          <t>Baby Driver</t>
        </is>
      </c>
      <c r="F1604" t="inlineStr">
        <is>
          <t>F0032</t>
        </is>
      </c>
    </row>
    <row r="1605">
      <c r="A1605" t="inlineStr">
        <is>
          <t>Hudson Meek</t>
        </is>
      </c>
      <c r="B1605" t="n">
        <v>1</v>
      </c>
      <c r="C1605" t="n">
        <v>2017</v>
      </c>
      <c r="D1605" t="n">
        <v>2017</v>
      </c>
      <c r="E1605" t="inlineStr">
        <is>
          <t>Baby Driver</t>
        </is>
      </c>
      <c r="F1605" t="inlineStr">
        <is>
          <t>F0032</t>
        </is>
      </c>
    </row>
    <row r="1606">
      <c r="A1606" t="inlineStr">
        <is>
          <t>Viviana Chavez</t>
        </is>
      </c>
      <c r="B1606" t="n">
        <v>1</v>
      </c>
      <c r="C1606" t="n">
        <v>2017</v>
      </c>
      <c r="D1606" t="n">
        <v>2017</v>
      </c>
      <c r="E1606" t="inlineStr">
        <is>
          <t>Baby Driver</t>
        </is>
      </c>
      <c r="F1606" t="inlineStr">
        <is>
          <t>F0032</t>
        </is>
      </c>
    </row>
    <row r="1607">
      <c r="A1607" t="inlineStr">
        <is>
          <t>Hal Whiteside</t>
        </is>
      </c>
      <c r="B1607" t="n">
        <v>1</v>
      </c>
      <c r="C1607" t="n">
        <v>2017</v>
      </c>
      <c r="D1607" t="n">
        <v>2017</v>
      </c>
      <c r="E1607" t="inlineStr">
        <is>
          <t>Baby Driver</t>
        </is>
      </c>
      <c r="F1607" t="inlineStr">
        <is>
          <t>F0032</t>
        </is>
      </c>
    </row>
    <row r="1608">
      <c r="A1608" t="inlineStr">
        <is>
          <t>Clay Donahue Fontenot</t>
        </is>
      </c>
      <c r="B1608" t="n">
        <v>2</v>
      </c>
      <c r="C1608" t="n">
        <v>2012</v>
      </c>
      <c r="D1608" t="n">
        <v>2017</v>
      </c>
      <c r="E1608" t="inlineStr">
        <is>
          <t>Baby Driver, Django Unchained</t>
        </is>
      </c>
      <c r="F1608" t="inlineStr">
        <is>
          <t>F0032, F0090</t>
        </is>
      </c>
    </row>
    <row r="1609">
      <c r="A1609" t="inlineStr">
        <is>
          <t>Brigitte Kali Canales</t>
        </is>
      </c>
      <c r="B1609" t="n">
        <v>1</v>
      </c>
      <c r="C1609" t="n">
        <v>2017</v>
      </c>
      <c r="D1609" t="n">
        <v>2017</v>
      </c>
      <c r="E1609" t="inlineStr">
        <is>
          <t>Baby Driver</t>
        </is>
      </c>
      <c r="F1609" t="inlineStr">
        <is>
          <t>F0032</t>
        </is>
      </c>
    </row>
    <row r="1610">
      <c r="A1610" t="inlineStr">
        <is>
          <t>Patrick Walker</t>
        </is>
      </c>
      <c r="B1610" t="n">
        <v>1</v>
      </c>
      <c r="C1610" t="n">
        <v>2017</v>
      </c>
      <c r="D1610" t="n">
        <v>2017</v>
      </c>
      <c r="E1610" t="inlineStr">
        <is>
          <t>Baby Driver</t>
        </is>
      </c>
      <c r="F1610" t="inlineStr">
        <is>
          <t>F0032</t>
        </is>
      </c>
    </row>
    <row r="1611">
      <c r="A1611" t="inlineStr">
        <is>
          <t>Ben VanderMey</t>
        </is>
      </c>
      <c r="B1611" t="n">
        <v>1</v>
      </c>
      <c r="C1611" t="n">
        <v>2017</v>
      </c>
      <c r="D1611" t="n">
        <v>2017</v>
      </c>
      <c r="E1611" t="inlineStr">
        <is>
          <t>Baby Driver</t>
        </is>
      </c>
      <c r="F1611" t="inlineStr">
        <is>
          <t>F0032</t>
        </is>
      </c>
    </row>
    <row r="1612">
      <c r="A1612" t="inlineStr">
        <is>
          <t>David Robert Lewis</t>
        </is>
      </c>
      <c r="B1612" t="n">
        <v>1</v>
      </c>
      <c r="C1612" t="n">
        <v>2017</v>
      </c>
      <c r="D1612" t="n">
        <v>2017</v>
      </c>
      <c r="E1612" t="inlineStr">
        <is>
          <t>Baby Driver</t>
        </is>
      </c>
      <c r="F1612" t="inlineStr">
        <is>
          <t>F0032</t>
        </is>
      </c>
    </row>
    <row r="1613">
      <c r="A1613" t="inlineStr">
        <is>
          <t>Big Boi</t>
        </is>
      </c>
      <c r="B1613" t="n">
        <v>1</v>
      </c>
      <c r="C1613" t="n">
        <v>2017</v>
      </c>
      <c r="D1613" t="n">
        <v>2017</v>
      </c>
      <c r="E1613" t="inlineStr">
        <is>
          <t>Baby Driver</t>
        </is>
      </c>
      <c r="F1613" t="inlineStr">
        <is>
          <t>F0032</t>
        </is>
      </c>
    </row>
    <row r="1614">
      <c r="A1614" t="inlineStr">
        <is>
          <t>Killer Mike</t>
        </is>
      </c>
      <c r="B1614" t="n">
        <v>1</v>
      </c>
      <c r="C1614" t="n">
        <v>2017</v>
      </c>
      <c r="D1614" t="n">
        <v>2017</v>
      </c>
      <c r="E1614" t="inlineStr">
        <is>
          <t>Baby Driver</t>
        </is>
      </c>
      <c r="F1614" t="inlineStr">
        <is>
          <t>F0032</t>
        </is>
      </c>
    </row>
    <row r="1615">
      <c r="A1615" t="inlineStr">
        <is>
          <t>Brogan Hall</t>
        </is>
      </c>
      <c r="B1615" t="n">
        <v>1</v>
      </c>
      <c r="C1615" t="n">
        <v>2017</v>
      </c>
      <c r="D1615" t="n">
        <v>2017</v>
      </c>
      <c r="E1615" t="inlineStr">
        <is>
          <t>Baby Driver</t>
        </is>
      </c>
      <c r="F1615" t="inlineStr">
        <is>
          <t>F0032</t>
        </is>
      </c>
    </row>
    <row r="1616">
      <c r="A1616" t="inlineStr">
        <is>
          <t>Allison Gabriel</t>
        </is>
      </c>
      <c r="B1616" t="n">
        <v>1</v>
      </c>
      <c r="C1616" t="n">
        <v>2017</v>
      </c>
      <c r="D1616" t="n">
        <v>2017</v>
      </c>
      <c r="E1616" t="inlineStr">
        <is>
          <t>Baby Driver</t>
        </is>
      </c>
      <c r="F1616" t="inlineStr">
        <is>
          <t>F0032</t>
        </is>
      </c>
    </row>
    <row r="1617">
      <c r="A1617" t="inlineStr">
        <is>
          <t>R. Marcos Taylor</t>
        </is>
      </c>
      <c r="B1617" t="n">
        <v>2</v>
      </c>
      <c r="C1617" t="n">
        <v>2015</v>
      </c>
      <c r="D1617" t="n">
        <v>2017</v>
      </c>
      <c r="E1617" t="inlineStr">
        <is>
          <t>Baby Driver, Straight Outta Compton</t>
        </is>
      </c>
      <c r="F1617" t="inlineStr">
        <is>
          <t>F0032, F0301</t>
        </is>
      </c>
    </row>
    <row r="1618">
      <c r="A1618" t="inlineStr">
        <is>
          <t>Paul Williams</t>
        </is>
      </c>
      <c r="B1618" t="n">
        <v>1</v>
      </c>
      <c r="C1618" t="n">
        <v>2017</v>
      </c>
      <c r="D1618" t="n">
        <v>2017</v>
      </c>
      <c r="E1618" t="inlineStr">
        <is>
          <t>Baby Driver</t>
        </is>
      </c>
      <c r="F1618" t="inlineStr">
        <is>
          <t>F0032</t>
        </is>
      </c>
    </row>
    <row r="1619">
      <c r="A1619" t="inlineStr">
        <is>
          <t>Joe Loya</t>
        </is>
      </c>
      <c r="B1619" t="n">
        <v>1</v>
      </c>
      <c r="C1619" t="n">
        <v>2017</v>
      </c>
      <c r="D1619" t="n">
        <v>2017</v>
      </c>
      <c r="E1619" t="inlineStr">
        <is>
          <t>Baby Driver</t>
        </is>
      </c>
      <c r="F1619" t="inlineStr">
        <is>
          <t>F0032</t>
        </is>
      </c>
    </row>
    <row r="1620">
      <c r="A1620" t="inlineStr">
        <is>
          <t>Marc McClure</t>
        </is>
      </c>
      <c r="B1620" t="n">
        <v>2</v>
      </c>
      <c r="C1620" t="n">
        <v>1985</v>
      </c>
      <c r="D1620" t="n">
        <v>1990</v>
      </c>
      <c r="E1620" t="inlineStr">
        <is>
          <t>Back to the Future, Back to the Future Part III</t>
        </is>
      </c>
      <c r="F1620" t="inlineStr">
        <is>
          <t>F0033, F0035</t>
        </is>
      </c>
    </row>
    <row r="1621">
      <c r="A1621" t="inlineStr">
        <is>
          <t>Wendie Jo Sperber</t>
        </is>
      </c>
      <c r="B1621" t="n">
        <v>2</v>
      </c>
      <c r="C1621" t="n">
        <v>1985</v>
      </c>
      <c r="D1621" t="n">
        <v>1990</v>
      </c>
      <c r="E1621" t="inlineStr">
        <is>
          <t>Back to the Future, Back to the Future Part III</t>
        </is>
      </c>
      <c r="F1621" t="inlineStr">
        <is>
          <t>F0033, F0035</t>
        </is>
      </c>
    </row>
    <row r="1622">
      <c r="A1622" t="inlineStr">
        <is>
          <t>George DiCenzo</t>
        </is>
      </c>
      <c r="B1622" t="n">
        <v>1</v>
      </c>
      <c r="C1622" t="n">
        <v>1985</v>
      </c>
      <c r="D1622" t="n">
        <v>1985</v>
      </c>
      <c r="E1622" t="inlineStr">
        <is>
          <t>Back to the Future</t>
        </is>
      </c>
      <c r="F1622" t="inlineStr">
        <is>
          <t>F0033</t>
        </is>
      </c>
    </row>
    <row r="1623">
      <c r="A1623" t="inlineStr">
        <is>
          <t>Frances Lee McCain</t>
        </is>
      </c>
      <c r="B1623" t="n">
        <v>1</v>
      </c>
      <c r="C1623" t="n">
        <v>1985</v>
      </c>
      <c r="D1623" t="n">
        <v>1985</v>
      </c>
      <c r="E1623" t="inlineStr">
        <is>
          <t>Back to the Future</t>
        </is>
      </c>
      <c r="F1623" t="inlineStr">
        <is>
          <t>F0033</t>
        </is>
      </c>
    </row>
    <row r="1624">
      <c r="A1624" t="inlineStr">
        <is>
          <t>James Tolkan</t>
        </is>
      </c>
      <c r="B1624" t="n">
        <v>3</v>
      </c>
      <c r="C1624" t="n">
        <v>1985</v>
      </c>
      <c r="D1624" t="n">
        <v>1990</v>
      </c>
      <c r="E1624" t="inlineStr">
        <is>
          <t>Back to the Future, Back to the Future Part II, Back to the Future Part III</t>
        </is>
      </c>
      <c r="F1624" t="inlineStr">
        <is>
          <t>F0033, F0034, F0035</t>
        </is>
      </c>
    </row>
    <row r="1625">
      <c r="A1625" t="inlineStr">
        <is>
          <t>J.J. Cohen</t>
        </is>
      </c>
      <c r="B1625" t="n">
        <v>3</v>
      </c>
      <c r="C1625" t="n">
        <v>1985</v>
      </c>
      <c r="D1625" t="n">
        <v>1990</v>
      </c>
      <c r="E1625" t="inlineStr">
        <is>
          <t>Back to the Future, Back to the Future Part II, Back to the Future Part III</t>
        </is>
      </c>
      <c r="F1625" t="inlineStr">
        <is>
          <t>F0033, F0034, F0035</t>
        </is>
      </c>
    </row>
    <row r="1626">
      <c r="A1626" t="inlineStr">
        <is>
          <t>Casey Siemaszko</t>
        </is>
      </c>
      <c r="B1626" t="n">
        <v>2</v>
      </c>
      <c r="C1626" t="n">
        <v>1985</v>
      </c>
      <c r="D1626" t="n">
        <v>1989</v>
      </c>
      <c r="E1626" t="inlineStr">
        <is>
          <t>Back to the Future, Back to the Future Part II</t>
        </is>
      </c>
      <c r="F1626" t="inlineStr">
        <is>
          <t>F0033, F0034</t>
        </is>
      </c>
    </row>
    <row r="1627">
      <c r="A1627" t="inlineStr">
        <is>
          <t>Billy Zane</t>
        </is>
      </c>
      <c r="B1627" t="n">
        <v>2</v>
      </c>
      <c r="C1627" t="n">
        <v>1985</v>
      </c>
      <c r="D1627" t="n">
        <v>1989</v>
      </c>
      <c r="E1627" t="inlineStr">
        <is>
          <t>Back to the Future, Back to the Future Part II</t>
        </is>
      </c>
      <c r="F1627" t="inlineStr">
        <is>
          <t>F0033, F0034</t>
        </is>
      </c>
    </row>
    <row r="1628">
      <c r="A1628" t="inlineStr">
        <is>
          <t>Harry Waters, Jr.</t>
        </is>
      </c>
      <c r="B1628" t="n">
        <v>1</v>
      </c>
      <c r="C1628" t="n">
        <v>1985</v>
      </c>
      <c r="D1628" t="n">
        <v>1985</v>
      </c>
      <c r="E1628" t="inlineStr">
        <is>
          <t>Back to the Future</t>
        </is>
      </c>
      <c r="F1628" t="inlineStr">
        <is>
          <t>F0033</t>
        </is>
      </c>
    </row>
    <row r="1629">
      <c r="A1629" t="inlineStr">
        <is>
          <t>Donald Fullilove</t>
        </is>
      </c>
      <c r="B1629" t="n">
        <v>3</v>
      </c>
      <c r="C1629" t="n">
        <v>1985</v>
      </c>
      <c r="D1629" t="n">
        <v>2009</v>
      </c>
      <c r="E1629" t="inlineStr">
        <is>
          <t>Back to the Future, Up, WALL·E</t>
        </is>
      </c>
      <c r="F1629" t="inlineStr">
        <is>
          <t>F0033, F0330, F0331</t>
        </is>
      </c>
    </row>
    <row r="1630">
      <c r="A1630" t="inlineStr">
        <is>
          <t>Lisa Freeman</t>
        </is>
      </c>
      <c r="B1630" t="n">
        <v>1</v>
      </c>
      <c r="C1630" t="n">
        <v>1985</v>
      </c>
      <c r="D1630" t="n">
        <v>1985</v>
      </c>
      <c r="E1630" t="inlineStr">
        <is>
          <t>Back to the Future</t>
        </is>
      </c>
      <c r="F1630" t="inlineStr">
        <is>
          <t>F0033</t>
        </is>
      </c>
    </row>
    <row r="1631">
      <c r="A1631" t="inlineStr">
        <is>
          <t>Cristen Kauffman</t>
        </is>
      </c>
      <c r="B1631" t="n">
        <v>1</v>
      </c>
      <c r="C1631" t="n">
        <v>1985</v>
      </c>
      <c r="D1631" t="n">
        <v>1985</v>
      </c>
      <c r="E1631" t="inlineStr">
        <is>
          <t>Back to the Future</t>
        </is>
      </c>
      <c r="F1631" t="inlineStr">
        <is>
          <t>F0033</t>
        </is>
      </c>
    </row>
    <row r="1632">
      <c r="A1632" t="inlineStr">
        <is>
          <t>Elsa Raven</t>
        </is>
      </c>
      <c r="B1632" t="n">
        <v>1</v>
      </c>
      <c r="C1632" t="n">
        <v>1985</v>
      </c>
      <c r="D1632" t="n">
        <v>1985</v>
      </c>
      <c r="E1632" t="inlineStr">
        <is>
          <t>Back to the Future</t>
        </is>
      </c>
      <c r="F1632" t="inlineStr">
        <is>
          <t>F0033</t>
        </is>
      </c>
    </row>
    <row r="1633">
      <c r="A1633" t="inlineStr">
        <is>
          <t>Will Hare</t>
        </is>
      </c>
      <c r="B1633" t="n">
        <v>1</v>
      </c>
      <c r="C1633" t="n">
        <v>1985</v>
      </c>
      <c r="D1633" t="n">
        <v>1985</v>
      </c>
      <c r="E1633" t="inlineStr">
        <is>
          <t>Back to the Future</t>
        </is>
      </c>
      <c r="F1633" t="inlineStr">
        <is>
          <t>F0033</t>
        </is>
      </c>
    </row>
    <row r="1634">
      <c r="A1634" t="inlineStr">
        <is>
          <t>Ivy Bethune</t>
        </is>
      </c>
      <c r="B1634" t="n">
        <v>1</v>
      </c>
      <c r="C1634" t="n">
        <v>1985</v>
      </c>
      <c r="D1634" t="n">
        <v>1985</v>
      </c>
      <c r="E1634" t="inlineStr">
        <is>
          <t>Back to the Future</t>
        </is>
      </c>
      <c r="F1634" t="inlineStr">
        <is>
          <t>F0033</t>
        </is>
      </c>
    </row>
    <row r="1635">
      <c r="A1635" t="inlineStr">
        <is>
          <t>Jason Marin</t>
        </is>
      </c>
      <c r="B1635" t="n">
        <v>1</v>
      </c>
      <c r="C1635" t="n">
        <v>1985</v>
      </c>
      <c r="D1635" t="n">
        <v>1985</v>
      </c>
      <c r="E1635" t="inlineStr">
        <is>
          <t>Back to the Future</t>
        </is>
      </c>
      <c r="F1635" t="inlineStr">
        <is>
          <t>F0033</t>
        </is>
      </c>
    </row>
    <row r="1636">
      <c r="A1636" t="inlineStr">
        <is>
          <t>Katherine Britton</t>
        </is>
      </c>
      <c r="B1636" t="n">
        <v>1</v>
      </c>
      <c r="C1636" t="n">
        <v>1985</v>
      </c>
      <c r="D1636" t="n">
        <v>1985</v>
      </c>
      <c r="E1636" t="inlineStr">
        <is>
          <t>Back to the Future</t>
        </is>
      </c>
      <c r="F1636" t="inlineStr">
        <is>
          <t>F0033</t>
        </is>
      </c>
    </row>
    <row r="1637">
      <c r="A1637" t="inlineStr">
        <is>
          <t>Jason Hervey</t>
        </is>
      </c>
      <c r="B1637" t="n">
        <v>1</v>
      </c>
      <c r="C1637" t="n">
        <v>1985</v>
      </c>
      <c r="D1637" t="n">
        <v>1985</v>
      </c>
      <c r="E1637" t="inlineStr">
        <is>
          <t>Back to the Future</t>
        </is>
      </c>
      <c r="F1637" t="inlineStr">
        <is>
          <t>F0033</t>
        </is>
      </c>
    </row>
    <row r="1638">
      <c r="A1638" t="inlineStr">
        <is>
          <t>Maia Brewton</t>
        </is>
      </c>
      <c r="B1638" t="n">
        <v>1</v>
      </c>
      <c r="C1638" t="n">
        <v>1985</v>
      </c>
      <c r="D1638" t="n">
        <v>1985</v>
      </c>
      <c r="E1638" t="inlineStr">
        <is>
          <t>Back to the Future</t>
        </is>
      </c>
      <c r="F1638" t="inlineStr">
        <is>
          <t>F0033</t>
        </is>
      </c>
    </row>
    <row r="1639">
      <c r="A1639" t="inlineStr">
        <is>
          <t>Courtney Gains</t>
        </is>
      </c>
      <c r="B1639" t="n">
        <v>1</v>
      </c>
      <c r="C1639" t="n">
        <v>1985</v>
      </c>
      <c r="D1639" t="n">
        <v>1985</v>
      </c>
      <c r="E1639" t="inlineStr">
        <is>
          <t>Back to the Future</t>
        </is>
      </c>
      <c r="F1639" t="inlineStr">
        <is>
          <t>F0033</t>
        </is>
      </c>
    </row>
    <row r="1640">
      <c r="A1640" t="inlineStr">
        <is>
          <t>Richard L. Duran</t>
        </is>
      </c>
      <c r="B1640" t="n">
        <v>1</v>
      </c>
      <c r="C1640" t="n">
        <v>1985</v>
      </c>
      <c r="D1640" t="n">
        <v>1985</v>
      </c>
      <c r="E1640" t="inlineStr">
        <is>
          <t>Back to the Future</t>
        </is>
      </c>
      <c r="F1640" t="inlineStr">
        <is>
          <t>F0033</t>
        </is>
      </c>
    </row>
    <row r="1641">
      <c r="A1641" t="inlineStr">
        <is>
          <t>Jeff O'Haco</t>
        </is>
      </c>
      <c r="B1641" t="n">
        <v>1</v>
      </c>
      <c r="C1641" t="n">
        <v>1985</v>
      </c>
      <c r="D1641" t="n">
        <v>1985</v>
      </c>
      <c r="E1641" t="inlineStr">
        <is>
          <t>Back to the Future</t>
        </is>
      </c>
      <c r="F1641" t="inlineStr">
        <is>
          <t>F0033</t>
        </is>
      </c>
    </row>
    <row r="1642">
      <c r="A1642" t="inlineStr">
        <is>
          <t>Johnny Green</t>
        </is>
      </c>
      <c r="B1642" t="n">
        <v>1</v>
      </c>
      <c r="C1642" t="n">
        <v>1985</v>
      </c>
      <c r="D1642" t="n">
        <v>1985</v>
      </c>
      <c r="E1642" t="inlineStr">
        <is>
          <t>Back to the Future</t>
        </is>
      </c>
      <c r="F1642" t="inlineStr">
        <is>
          <t>F0033</t>
        </is>
      </c>
    </row>
    <row r="1643">
      <c r="A1643" t="inlineStr">
        <is>
          <t>Jamie Abbott</t>
        </is>
      </c>
      <c r="B1643" t="n">
        <v>1</v>
      </c>
      <c r="C1643" t="n">
        <v>1985</v>
      </c>
      <c r="D1643" t="n">
        <v>1985</v>
      </c>
      <c r="E1643" t="inlineStr">
        <is>
          <t>Back to the Future</t>
        </is>
      </c>
      <c r="F1643" t="inlineStr">
        <is>
          <t>F0033</t>
        </is>
      </c>
    </row>
    <row r="1644">
      <c r="A1644" t="inlineStr">
        <is>
          <t>Jeffrey Weissman</t>
        </is>
      </c>
      <c r="B1644" t="n">
        <v>2</v>
      </c>
      <c r="C1644" t="n">
        <v>1989</v>
      </c>
      <c r="D1644" t="n">
        <v>1990</v>
      </c>
      <c r="E1644" t="inlineStr">
        <is>
          <t>Back to the Future Part II, Back to the Future Part III</t>
        </is>
      </c>
      <c r="F1644" t="inlineStr">
        <is>
          <t>F0034, F0035</t>
        </is>
      </c>
    </row>
    <row r="1645">
      <c r="A1645" t="inlineStr">
        <is>
          <t>Charles Fleischer</t>
        </is>
      </c>
      <c r="B1645" t="n">
        <v>2</v>
      </c>
      <c r="C1645" t="n">
        <v>1989</v>
      </c>
      <c r="D1645" t="n">
        <v>2007</v>
      </c>
      <c r="E1645" t="inlineStr">
        <is>
          <t>Back to the Future Part II, Zodiac</t>
        </is>
      </c>
      <c r="F1645" t="inlineStr">
        <is>
          <t>F0034, F0350</t>
        </is>
      </c>
    </row>
    <row r="1646">
      <c r="A1646" t="inlineStr">
        <is>
          <t>E. Casanova Evans</t>
        </is>
      </c>
      <c r="B1646" t="n">
        <v>1</v>
      </c>
      <c r="C1646" t="n">
        <v>1989</v>
      </c>
      <c r="D1646" t="n">
        <v>1989</v>
      </c>
      <c r="E1646" t="inlineStr">
        <is>
          <t>Back to the Future Part II</t>
        </is>
      </c>
      <c r="F1646" t="inlineStr">
        <is>
          <t>F0034</t>
        </is>
      </c>
    </row>
    <row r="1647">
      <c r="A1647" t="inlineStr">
        <is>
          <t>Jay Koch</t>
        </is>
      </c>
      <c r="B1647" t="n">
        <v>1</v>
      </c>
      <c r="C1647" t="n">
        <v>1989</v>
      </c>
      <c r="D1647" t="n">
        <v>1989</v>
      </c>
      <c r="E1647" t="inlineStr">
        <is>
          <t>Back to the Future Part II</t>
        </is>
      </c>
      <c r="F1647" t="inlineStr">
        <is>
          <t>F0034</t>
        </is>
      </c>
    </row>
    <row r="1648">
      <c r="A1648" t="inlineStr">
        <is>
          <t>Charles Gherardi</t>
        </is>
      </c>
      <c r="B1648" t="n">
        <v>1</v>
      </c>
      <c r="C1648" t="n">
        <v>1989</v>
      </c>
      <c r="D1648" t="n">
        <v>1989</v>
      </c>
      <c r="E1648" t="inlineStr">
        <is>
          <t>Back to the Future Part II</t>
        </is>
      </c>
      <c r="F1648" t="inlineStr">
        <is>
          <t>F0034</t>
        </is>
      </c>
    </row>
    <row r="1649">
      <c r="A1649" t="inlineStr">
        <is>
          <t>Ricky Dean Logan</t>
        </is>
      </c>
      <c r="B1649" t="n">
        <v>2</v>
      </c>
      <c r="C1649" t="n">
        <v>1989</v>
      </c>
      <c r="D1649" t="n">
        <v>1990</v>
      </c>
      <c r="E1649" t="inlineStr">
        <is>
          <t>Back to the Future Part II, Back to the Future Part III</t>
        </is>
      </c>
      <c r="F1649" t="inlineStr">
        <is>
          <t>F0034, F0035</t>
        </is>
      </c>
    </row>
    <row r="1650">
      <c r="A1650" t="inlineStr">
        <is>
          <t>Darlene Vogel</t>
        </is>
      </c>
      <c r="B1650" t="n">
        <v>1</v>
      </c>
      <c r="C1650" t="n">
        <v>1989</v>
      </c>
      <c r="D1650" t="n">
        <v>1989</v>
      </c>
      <c r="E1650" t="inlineStr">
        <is>
          <t>Back to the Future Part II</t>
        </is>
      </c>
      <c r="F1650" t="inlineStr">
        <is>
          <t>F0034</t>
        </is>
      </c>
    </row>
    <row r="1651">
      <c r="A1651" t="inlineStr">
        <is>
          <t>Jason Scott Lee</t>
        </is>
      </c>
      <c r="B1651" t="n">
        <v>1</v>
      </c>
      <c r="C1651" t="n">
        <v>1989</v>
      </c>
      <c r="D1651" t="n">
        <v>1989</v>
      </c>
      <c r="E1651" t="inlineStr">
        <is>
          <t>Back to the Future Part II</t>
        </is>
      </c>
      <c r="F1651" t="inlineStr">
        <is>
          <t>F0034</t>
        </is>
      </c>
    </row>
    <row r="1652">
      <c r="A1652" t="inlineStr">
        <is>
          <t>John Thornton</t>
        </is>
      </c>
      <c r="B1652" t="n">
        <v>1</v>
      </c>
      <c r="C1652" t="n">
        <v>1989</v>
      </c>
      <c r="D1652" t="n">
        <v>1989</v>
      </c>
      <c r="E1652" t="inlineStr">
        <is>
          <t>Back to the Future Part II</t>
        </is>
      </c>
      <c r="F1652" t="inlineStr">
        <is>
          <t>F0034</t>
        </is>
      </c>
    </row>
    <row r="1653">
      <c r="A1653" t="inlineStr">
        <is>
          <t>Theo Schwartz</t>
        </is>
      </c>
      <c r="B1653" t="n">
        <v>1</v>
      </c>
      <c r="C1653" t="n">
        <v>1989</v>
      </c>
      <c r="D1653" t="n">
        <v>1989</v>
      </c>
      <c r="E1653" t="inlineStr">
        <is>
          <t>Back to the Future Part II</t>
        </is>
      </c>
      <c r="F1653" t="inlineStr">
        <is>
          <t>F0034</t>
        </is>
      </c>
    </row>
    <row r="1654">
      <c r="A1654" t="inlineStr">
        <is>
          <t>Lindsey Whitney Barry</t>
        </is>
      </c>
      <c r="B1654" t="n">
        <v>1</v>
      </c>
      <c r="C1654" t="n">
        <v>1989</v>
      </c>
      <c r="D1654" t="n">
        <v>1989</v>
      </c>
      <c r="E1654" t="inlineStr">
        <is>
          <t>Back to the Future Part II</t>
        </is>
      </c>
      <c r="F1654" t="inlineStr">
        <is>
          <t>F0034</t>
        </is>
      </c>
    </row>
    <row r="1655">
      <c r="A1655" t="inlineStr">
        <is>
          <t>Judy Ovitz</t>
        </is>
      </c>
      <c r="B1655" t="n">
        <v>1</v>
      </c>
      <c r="C1655" t="n">
        <v>1989</v>
      </c>
      <c r="D1655" t="n">
        <v>1989</v>
      </c>
      <c r="E1655" t="inlineStr">
        <is>
          <t>Back to the Future Part II</t>
        </is>
      </c>
      <c r="F1655" t="inlineStr">
        <is>
          <t>F0034</t>
        </is>
      </c>
    </row>
    <row r="1656">
      <c r="A1656" t="inlineStr">
        <is>
          <t>Stephanie Williams</t>
        </is>
      </c>
      <c r="B1656" t="n">
        <v>1</v>
      </c>
      <c r="C1656" t="n">
        <v>1989</v>
      </c>
      <c r="D1656" t="n">
        <v>1989</v>
      </c>
      <c r="E1656" t="inlineStr">
        <is>
          <t>Back to the Future Part II</t>
        </is>
      </c>
      <c r="F1656" t="inlineStr">
        <is>
          <t>F0034</t>
        </is>
      </c>
    </row>
    <row r="1657">
      <c r="A1657" t="inlineStr">
        <is>
          <t>Marty Levy</t>
        </is>
      </c>
      <c r="B1657" t="n">
        <v>1</v>
      </c>
      <c r="C1657" t="n">
        <v>1989</v>
      </c>
      <c r="D1657" t="n">
        <v>1989</v>
      </c>
      <c r="E1657" t="inlineStr">
        <is>
          <t>Back to the Future Part II</t>
        </is>
      </c>
      <c r="F1657" t="inlineStr">
        <is>
          <t>F0034</t>
        </is>
      </c>
    </row>
    <row r="1658">
      <c r="A1658" t="inlineStr">
        <is>
          <t>Jim Ishida</t>
        </is>
      </c>
      <c r="B1658" t="n">
        <v>1</v>
      </c>
      <c r="C1658" t="n">
        <v>1989</v>
      </c>
      <c r="D1658" t="n">
        <v>1989</v>
      </c>
      <c r="E1658" t="inlineStr">
        <is>
          <t>Back to the Future Part II</t>
        </is>
      </c>
      <c r="F1658" t="inlineStr">
        <is>
          <t>F0034</t>
        </is>
      </c>
    </row>
    <row r="1659">
      <c r="A1659" t="inlineStr">
        <is>
          <t>Nikki Birdsong</t>
        </is>
      </c>
      <c r="B1659" t="n">
        <v>1</v>
      </c>
      <c r="C1659" t="n">
        <v>1989</v>
      </c>
      <c r="D1659" t="n">
        <v>1989</v>
      </c>
      <c r="E1659" t="inlineStr">
        <is>
          <t>Back to the Future Part II</t>
        </is>
      </c>
      <c r="F1659" t="inlineStr">
        <is>
          <t>F0034</t>
        </is>
      </c>
    </row>
    <row r="1660">
      <c r="A1660" t="inlineStr">
        <is>
          <t>Al White</t>
        </is>
      </c>
      <c r="B1660" t="n">
        <v>1</v>
      </c>
      <c r="C1660" t="n">
        <v>1989</v>
      </c>
      <c r="D1660" t="n">
        <v>1989</v>
      </c>
      <c r="E1660" t="inlineStr">
        <is>
          <t>Back to the Future Part II</t>
        </is>
      </c>
      <c r="F1660" t="inlineStr">
        <is>
          <t>F0034</t>
        </is>
      </c>
    </row>
    <row r="1661">
      <c r="A1661" t="inlineStr">
        <is>
          <t>Junior Fann</t>
        </is>
      </c>
      <c r="B1661" t="n">
        <v>1</v>
      </c>
      <c r="C1661" t="n">
        <v>1989</v>
      </c>
      <c r="D1661" t="n">
        <v>1989</v>
      </c>
      <c r="E1661" t="inlineStr">
        <is>
          <t>Back to the Future Part II</t>
        </is>
      </c>
      <c r="F1661" t="inlineStr">
        <is>
          <t>F0034</t>
        </is>
      </c>
    </row>
    <row r="1662">
      <c r="A1662" t="inlineStr">
        <is>
          <t>Shaun Hunter</t>
        </is>
      </c>
      <c r="B1662" t="n">
        <v>1</v>
      </c>
      <c r="C1662" t="n">
        <v>1989</v>
      </c>
      <c r="D1662" t="n">
        <v>1989</v>
      </c>
      <c r="E1662" t="inlineStr">
        <is>
          <t>Back to the Future Part II</t>
        </is>
      </c>
      <c r="F1662" t="inlineStr">
        <is>
          <t>F0034</t>
        </is>
      </c>
    </row>
    <row r="1663">
      <c r="A1663" t="inlineStr">
        <is>
          <t>Richard Dysart</t>
        </is>
      </c>
      <c r="B1663" t="n">
        <v>1</v>
      </c>
      <c r="C1663" t="n">
        <v>1990</v>
      </c>
      <c r="D1663" t="n">
        <v>1990</v>
      </c>
      <c r="E1663" t="inlineStr">
        <is>
          <t>Back to the Future Part III</t>
        </is>
      </c>
      <c r="F1663" t="inlineStr">
        <is>
          <t>F0035</t>
        </is>
      </c>
    </row>
    <row r="1664">
      <c r="A1664" t="inlineStr">
        <is>
          <t>Pat Buttram</t>
        </is>
      </c>
      <c r="B1664" t="n">
        <v>1</v>
      </c>
      <c r="C1664" t="n">
        <v>1990</v>
      </c>
      <c r="D1664" t="n">
        <v>1990</v>
      </c>
      <c r="E1664" t="inlineStr">
        <is>
          <t>Back to the Future Part III</t>
        </is>
      </c>
      <c r="F1664" t="inlineStr">
        <is>
          <t>F0035</t>
        </is>
      </c>
    </row>
    <row r="1665">
      <c r="A1665" t="inlineStr">
        <is>
          <t>Harry Carey, Jr.</t>
        </is>
      </c>
      <c r="B1665" t="n">
        <v>1</v>
      </c>
      <c r="C1665" t="n">
        <v>1990</v>
      </c>
      <c r="D1665" t="n">
        <v>1990</v>
      </c>
      <c r="E1665" t="inlineStr">
        <is>
          <t>Back to the Future Part III</t>
        </is>
      </c>
      <c r="F1665" t="inlineStr">
        <is>
          <t>F0035</t>
        </is>
      </c>
    </row>
    <row r="1666">
      <c r="A1666" t="inlineStr">
        <is>
          <t>Dub Taylor</t>
        </is>
      </c>
      <c r="B1666" t="n">
        <v>1</v>
      </c>
      <c r="C1666" t="n">
        <v>1990</v>
      </c>
      <c r="D1666" t="n">
        <v>1990</v>
      </c>
      <c r="E1666" t="inlineStr">
        <is>
          <t>Back to the Future Part III</t>
        </is>
      </c>
      <c r="F1666" t="inlineStr">
        <is>
          <t>F0035</t>
        </is>
      </c>
    </row>
    <row r="1667">
      <c r="A1667" t="inlineStr">
        <is>
          <t>Christopher Wynne</t>
        </is>
      </c>
      <c r="B1667" t="n">
        <v>1</v>
      </c>
      <c r="C1667" t="n">
        <v>1990</v>
      </c>
      <c r="D1667" t="n">
        <v>1990</v>
      </c>
      <c r="E1667" t="inlineStr">
        <is>
          <t>Back to the Future Part III</t>
        </is>
      </c>
      <c r="F1667" t="inlineStr">
        <is>
          <t>F0035</t>
        </is>
      </c>
    </row>
    <row r="1668">
      <c r="A1668" t="inlineStr">
        <is>
          <t>Sean Sullivan</t>
        </is>
      </c>
      <c r="B1668" t="n">
        <v>1</v>
      </c>
      <c r="C1668" t="n">
        <v>1990</v>
      </c>
      <c r="D1668" t="n">
        <v>1990</v>
      </c>
      <c r="E1668" t="inlineStr">
        <is>
          <t>Back to the Future Part III</t>
        </is>
      </c>
      <c r="F1668" t="inlineStr">
        <is>
          <t>F0035</t>
        </is>
      </c>
    </row>
    <row r="1669">
      <c r="A1669" t="inlineStr">
        <is>
          <t>Mike Watson</t>
        </is>
      </c>
      <c r="B1669" t="n">
        <v>1</v>
      </c>
      <c r="C1669" t="n">
        <v>1990</v>
      </c>
      <c r="D1669" t="n">
        <v>1990</v>
      </c>
      <c r="E1669" t="inlineStr">
        <is>
          <t>Back to the Future Part III</t>
        </is>
      </c>
      <c r="F1669" t="inlineStr">
        <is>
          <t>F0035</t>
        </is>
      </c>
    </row>
    <row r="1670">
      <c r="A1670" t="inlineStr">
        <is>
          <t>Hugh Gillin</t>
        </is>
      </c>
      <c r="B1670" t="n">
        <v>1</v>
      </c>
      <c r="C1670" t="n">
        <v>1990</v>
      </c>
      <c r="D1670" t="n">
        <v>1990</v>
      </c>
      <c r="E1670" t="inlineStr">
        <is>
          <t>Back to the Future Part III</t>
        </is>
      </c>
      <c r="F1670" t="inlineStr">
        <is>
          <t>F0035</t>
        </is>
      </c>
    </row>
    <row r="1671">
      <c r="A1671" t="inlineStr">
        <is>
          <t>Burton Gilliam</t>
        </is>
      </c>
      <c r="B1671" t="n">
        <v>1</v>
      </c>
      <c r="C1671" t="n">
        <v>1990</v>
      </c>
      <c r="D1671" t="n">
        <v>1990</v>
      </c>
      <c r="E1671" t="inlineStr">
        <is>
          <t>Back to the Future Part III</t>
        </is>
      </c>
      <c r="F1671" t="inlineStr">
        <is>
          <t>F0035</t>
        </is>
      </c>
    </row>
    <row r="1672">
      <c r="A1672" t="inlineStr">
        <is>
          <t>Bill McKinney</t>
        </is>
      </c>
      <c r="B1672" t="n">
        <v>1</v>
      </c>
      <c r="C1672" t="n">
        <v>1990</v>
      </c>
      <c r="D1672" t="n">
        <v>1990</v>
      </c>
      <c r="E1672" t="inlineStr">
        <is>
          <t>Back to the Future Part III</t>
        </is>
      </c>
      <c r="F1672" t="inlineStr">
        <is>
          <t>F0035</t>
        </is>
      </c>
    </row>
    <row r="1673">
      <c r="A1673" t="inlineStr">
        <is>
          <t>Donovan Scott</t>
        </is>
      </c>
      <c r="B1673" t="n">
        <v>1</v>
      </c>
      <c r="C1673" t="n">
        <v>1990</v>
      </c>
      <c r="D1673" t="n">
        <v>1990</v>
      </c>
      <c r="E1673" t="inlineStr">
        <is>
          <t>Back to the Future Part III</t>
        </is>
      </c>
      <c r="F1673" t="inlineStr">
        <is>
          <t>F0035</t>
        </is>
      </c>
    </row>
    <row r="1674">
      <c r="A1674" t="inlineStr">
        <is>
          <t>Marvin J. McIntyre</t>
        </is>
      </c>
      <c r="B1674" t="n">
        <v>1</v>
      </c>
      <c r="C1674" t="n">
        <v>1990</v>
      </c>
      <c r="D1674" t="n">
        <v>1990</v>
      </c>
      <c r="E1674" t="inlineStr">
        <is>
          <t>Back to the Future Part III</t>
        </is>
      </c>
      <c r="F1674" t="inlineStr">
        <is>
          <t>F0035</t>
        </is>
      </c>
    </row>
    <row r="1675">
      <c r="A1675" t="inlineStr">
        <is>
          <t>Kaleb Henley</t>
        </is>
      </c>
      <c r="B1675" t="n">
        <v>1</v>
      </c>
      <c r="C1675" t="n">
        <v>1990</v>
      </c>
      <c r="D1675" t="n">
        <v>1990</v>
      </c>
      <c r="E1675" t="inlineStr">
        <is>
          <t>Back to the Future Part III</t>
        </is>
      </c>
      <c r="F1675" t="inlineStr">
        <is>
          <t>F0035</t>
        </is>
      </c>
    </row>
    <row r="1676">
      <c r="A1676" t="inlineStr">
        <is>
          <t>Todd Cameron Brown</t>
        </is>
      </c>
      <c r="B1676" t="n">
        <v>1</v>
      </c>
      <c r="C1676" t="n">
        <v>1990</v>
      </c>
      <c r="D1676" t="n">
        <v>1990</v>
      </c>
      <c r="E1676" t="inlineStr">
        <is>
          <t>Back to the Future Part III</t>
        </is>
      </c>
      <c r="F1676" t="inlineStr">
        <is>
          <t>F0035</t>
        </is>
      </c>
    </row>
    <row r="1677">
      <c r="A1677" t="inlineStr">
        <is>
          <t>Dannel Evans</t>
        </is>
      </c>
      <c r="B1677" t="n">
        <v>1</v>
      </c>
      <c r="C1677" t="n">
        <v>1990</v>
      </c>
      <c r="D1677" t="n">
        <v>1990</v>
      </c>
      <c r="E1677" t="inlineStr">
        <is>
          <t>Back to the Future Part III</t>
        </is>
      </c>
      <c r="F1677" t="inlineStr">
        <is>
          <t>F0035</t>
        </is>
      </c>
    </row>
    <row r="1678">
      <c r="A1678" t="inlineStr">
        <is>
          <t>Kevin Holloway</t>
        </is>
      </c>
      <c r="B1678" t="n">
        <v>1</v>
      </c>
      <c r="C1678" t="n">
        <v>1990</v>
      </c>
      <c r="D1678" t="n">
        <v>1990</v>
      </c>
      <c r="E1678" t="inlineStr">
        <is>
          <t>Back to the Future Part III</t>
        </is>
      </c>
      <c r="F1678" t="inlineStr">
        <is>
          <t>F0035</t>
        </is>
      </c>
    </row>
    <row r="1679">
      <c r="A1679" t="inlineStr">
        <is>
          <t>Theresa Randle</t>
        </is>
      </c>
      <c r="B1679" t="n">
        <v>2</v>
      </c>
      <c r="C1679" t="n">
        <v>1995</v>
      </c>
      <c r="D1679" t="n">
        <v>2003</v>
      </c>
      <c r="E1679" t="inlineStr">
        <is>
          <t>Bad Boys, Bad Boys II</t>
        </is>
      </c>
      <c r="F1679" t="inlineStr">
        <is>
          <t>F0036, F0037</t>
        </is>
      </c>
    </row>
    <row r="1680">
      <c r="A1680" t="inlineStr">
        <is>
          <t>Marg Helgenberger</t>
        </is>
      </c>
      <c r="B1680" t="n">
        <v>1</v>
      </c>
      <c r="C1680" t="n">
        <v>1995</v>
      </c>
      <c r="D1680" t="n">
        <v>1995</v>
      </c>
      <c r="E1680" t="inlineStr">
        <is>
          <t>Bad Boys</t>
        </is>
      </c>
      <c r="F1680" t="inlineStr">
        <is>
          <t>F0036</t>
        </is>
      </c>
    </row>
    <row r="1681">
      <c r="A1681" t="inlineStr">
        <is>
          <t>Nestor Serrano</t>
        </is>
      </c>
      <c r="B1681" t="n">
        <v>1</v>
      </c>
      <c r="C1681" t="n">
        <v>1995</v>
      </c>
      <c r="D1681" t="n">
        <v>1995</v>
      </c>
      <c r="E1681" t="inlineStr">
        <is>
          <t>Bad Boys</t>
        </is>
      </c>
      <c r="F1681" t="inlineStr">
        <is>
          <t>F0036</t>
        </is>
      </c>
    </row>
    <row r="1682">
      <c r="A1682" t="inlineStr">
        <is>
          <t>Julio Oscar Mechoso</t>
        </is>
      </c>
      <c r="B1682" t="n">
        <v>2</v>
      </c>
      <c r="C1682" t="n">
        <v>1995</v>
      </c>
      <c r="D1682" t="n">
        <v>2001</v>
      </c>
      <c r="E1682" t="inlineStr">
        <is>
          <t>Bad Boys, Jurassic Park III</t>
        </is>
      </c>
      <c r="F1682" t="inlineStr">
        <is>
          <t>F0036, F0178</t>
        </is>
      </c>
    </row>
    <row r="1683">
      <c r="A1683" t="inlineStr">
        <is>
          <t>Saverio Guerra</t>
        </is>
      </c>
      <c r="B1683" t="n">
        <v>1</v>
      </c>
      <c r="C1683" t="n">
        <v>1995</v>
      </c>
      <c r="D1683" t="n">
        <v>1995</v>
      </c>
      <c r="E1683" t="inlineStr">
        <is>
          <t>Bad Boys</t>
        </is>
      </c>
      <c r="F1683" t="inlineStr">
        <is>
          <t>F0036</t>
        </is>
      </c>
    </row>
    <row r="1684">
      <c r="A1684" t="inlineStr">
        <is>
          <t>Anna Thomson</t>
        </is>
      </c>
      <c r="B1684" t="n">
        <v>1</v>
      </c>
      <c r="C1684" t="n">
        <v>1995</v>
      </c>
      <c r="D1684" t="n">
        <v>1995</v>
      </c>
      <c r="E1684" t="inlineStr">
        <is>
          <t>Bad Boys</t>
        </is>
      </c>
      <c r="F1684" t="inlineStr">
        <is>
          <t>F0036</t>
        </is>
      </c>
    </row>
    <row r="1685">
      <c r="A1685" t="inlineStr">
        <is>
          <t>Kevin Corrigan</t>
        </is>
      </c>
      <c r="B1685" t="n">
        <v>4</v>
      </c>
      <c r="C1685" t="n">
        <v>1995</v>
      </c>
      <c r="D1685" t="n">
        <v>2008</v>
      </c>
      <c r="E1685" t="inlineStr">
        <is>
          <t>Bad Boys, The Departed, Pineapple Express, Superbad</t>
        </is>
      </c>
      <c r="F1685" t="inlineStr">
        <is>
          <t>F0036, F0081, F0247, F0303</t>
        </is>
      </c>
    </row>
    <row r="1686">
      <c r="A1686" t="inlineStr">
        <is>
          <t>Michael Imperioli</t>
        </is>
      </c>
      <c r="B1686" t="n">
        <v>1</v>
      </c>
      <c r="C1686" t="n">
        <v>1995</v>
      </c>
      <c r="D1686" t="n">
        <v>1995</v>
      </c>
      <c r="E1686" t="inlineStr">
        <is>
          <t>Bad Boys</t>
        </is>
      </c>
      <c r="F1686" t="inlineStr">
        <is>
          <t>F0036</t>
        </is>
      </c>
    </row>
    <row r="1687">
      <c r="A1687" t="inlineStr">
        <is>
          <t>Lisa Boyle</t>
        </is>
      </c>
      <c r="B1687" t="n">
        <v>1</v>
      </c>
      <c r="C1687" t="n">
        <v>1995</v>
      </c>
      <c r="D1687" t="n">
        <v>1995</v>
      </c>
      <c r="E1687" t="inlineStr">
        <is>
          <t>Bad Boys</t>
        </is>
      </c>
      <c r="F1687" t="inlineStr">
        <is>
          <t>F0036</t>
        </is>
      </c>
    </row>
    <row r="1688">
      <c r="A1688" t="inlineStr">
        <is>
          <t>Michael Taliferro</t>
        </is>
      </c>
      <c r="B1688" t="n">
        <v>1</v>
      </c>
      <c r="C1688" t="n">
        <v>1995</v>
      </c>
      <c r="D1688" t="n">
        <v>1995</v>
      </c>
      <c r="E1688" t="inlineStr">
        <is>
          <t>Bad Boys</t>
        </is>
      </c>
      <c r="F1688" t="inlineStr">
        <is>
          <t>F0036</t>
        </is>
      </c>
    </row>
    <row r="1689">
      <c r="A1689" t="inlineStr">
        <is>
          <t>Emmanuel Xuereb</t>
        </is>
      </c>
      <c r="B1689" t="n">
        <v>1</v>
      </c>
      <c r="C1689" t="n">
        <v>1995</v>
      </c>
      <c r="D1689" t="n">
        <v>1995</v>
      </c>
      <c r="E1689" t="inlineStr">
        <is>
          <t>Bad Boys</t>
        </is>
      </c>
      <c r="F1689" t="inlineStr">
        <is>
          <t>F0036</t>
        </is>
      </c>
    </row>
    <row r="1690">
      <c r="A1690" t="inlineStr">
        <is>
          <t>Marc Macaulay</t>
        </is>
      </c>
      <c r="B1690" t="n">
        <v>3</v>
      </c>
      <c r="C1690" t="n">
        <v>1995</v>
      </c>
      <c r="D1690" t="n">
        <v>2009</v>
      </c>
      <c r="E1690" t="inlineStr">
        <is>
          <t>Bad Boys, 2 Fast 2 Furious, Fast &amp; Furious</t>
        </is>
      </c>
      <c r="F1690" t="inlineStr">
        <is>
          <t>F0036, F0102, F0104</t>
        </is>
      </c>
    </row>
    <row r="1691">
      <c r="A1691" t="inlineStr">
        <is>
          <t>Ralph Gonzalez</t>
        </is>
      </c>
      <c r="B1691" t="n">
        <v>1</v>
      </c>
      <c r="C1691" t="n">
        <v>1995</v>
      </c>
      <c r="D1691" t="n">
        <v>1995</v>
      </c>
      <c r="E1691" t="inlineStr">
        <is>
          <t>Bad Boys</t>
        </is>
      </c>
      <c r="F1691" t="inlineStr">
        <is>
          <t>F0036</t>
        </is>
      </c>
    </row>
    <row r="1692">
      <c r="A1692" t="inlineStr">
        <is>
          <t>Vic Manni</t>
        </is>
      </c>
      <c r="B1692" t="n">
        <v>2</v>
      </c>
      <c r="C1692" t="n">
        <v>1995</v>
      </c>
      <c r="D1692" t="n">
        <v>1998</v>
      </c>
      <c r="E1692" t="inlineStr">
        <is>
          <t>Bad Boys, Enemy of the State</t>
        </is>
      </c>
      <c r="F1692" t="inlineStr">
        <is>
          <t>F0036, F0094</t>
        </is>
      </c>
    </row>
    <row r="1693">
      <c r="A1693" t="inlineStr">
        <is>
          <t>Frank John Hughes</t>
        </is>
      </c>
      <c r="B1693" t="n">
        <v>2</v>
      </c>
      <c r="C1693" t="n">
        <v>1995</v>
      </c>
      <c r="D1693" t="n">
        <v>2002</v>
      </c>
      <c r="E1693" t="inlineStr">
        <is>
          <t>Bad Boys, Catch Me If You Can</t>
        </is>
      </c>
      <c r="F1693" t="inlineStr">
        <is>
          <t>F0036, F0064</t>
        </is>
      </c>
    </row>
    <row r="1694">
      <c r="A1694" t="inlineStr">
        <is>
          <t>Mike Kirton</t>
        </is>
      </c>
      <c r="B1694" t="n">
        <v>1</v>
      </c>
      <c r="C1694" t="n">
        <v>1995</v>
      </c>
      <c r="D1694" t="n">
        <v>1995</v>
      </c>
      <c r="E1694" t="inlineStr">
        <is>
          <t>Bad Boys</t>
        </is>
      </c>
      <c r="F1694" t="inlineStr">
        <is>
          <t>F0036</t>
        </is>
      </c>
    </row>
    <row r="1695">
      <c r="A1695" t="inlineStr">
        <is>
          <t>Will Knickerbocker</t>
        </is>
      </c>
      <c r="B1695" t="n">
        <v>1</v>
      </c>
      <c r="C1695" t="n">
        <v>1995</v>
      </c>
      <c r="D1695" t="n">
        <v>1995</v>
      </c>
      <c r="E1695" t="inlineStr">
        <is>
          <t>Bad Boys</t>
        </is>
      </c>
      <c r="F1695" t="inlineStr">
        <is>
          <t>F0036</t>
        </is>
      </c>
    </row>
    <row r="1696">
      <c r="A1696" t="inlineStr">
        <is>
          <t>Tiffany Samuels</t>
        </is>
      </c>
      <c r="B1696" t="n">
        <v>1</v>
      </c>
      <c r="C1696" t="n">
        <v>1995</v>
      </c>
      <c r="D1696" t="n">
        <v>1995</v>
      </c>
      <c r="E1696" t="inlineStr">
        <is>
          <t>Bad Boys</t>
        </is>
      </c>
      <c r="F1696" t="inlineStr">
        <is>
          <t>F0036</t>
        </is>
      </c>
    </row>
    <row r="1697">
      <c r="A1697" t="inlineStr">
        <is>
          <t>Cory Hodges</t>
        </is>
      </c>
      <c r="B1697" t="n">
        <v>1</v>
      </c>
      <c r="C1697" t="n">
        <v>1995</v>
      </c>
      <c r="D1697" t="n">
        <v>1995</v>
      </c>
      <c r="E1697" t="inlineStr">
        <is>
          <t>Bad Boys</t>
        </is>
      </c>
      <c r="F1697" t="inlineStr">
        <is>
          <t>F0036</t>
        </is>
      </c>
    </row>
    <row r="1698">
      <c r="A1698" t="inlineStr">
        <is>
          <t>Scott Cumberbatch</t>
        </is>
      </c>
      <c r="B1698" t="n">
        <v>1</v>
      </c>
      <c r="C1698" t="n">
        <v>1995</v>
      </c>
      <c r="D1698" t="n">
        <v>1995</v>
      </c>
      <c r="E1698" t="inlineStr">
        <is>
          <t>Bad Boys</t>
        </is>
      </c>
      <c r="F1698" t="inlineStr">
        <is>
          <t>F0036</t>
        </is>
      </c>
    </row>
    <row r="1699">
      <c r="A1699" t="inlineStr">
        <is>
          <t>Joey Romano</t>
        </is>
      </c>
      <c r="B1699" t="n">
        <v>1</v>
      </c>
      <c r="C1699" t="n">
        <v>1995</v>
      </c>
      <c r="D1699" t="n">
        <v>1995</v>
      </c>
      <c r="E1699" t="inlineStr">
        <is>
          <t>Bad Boys</t>
        </is>
      </c>
      <c r="F1699" t="inlineStr">
        <is>
          <t>F0036</t>
        </is>
      </c>
    </row>
    <row r="1700">
      <c r="A1700" t="inlineStr">
        <is>
          <t>Sam Ayers</t>
        </is>
      </c>
      <c r="B1700" t="n">
        <v>1</v>
      </c>
      <c r="C1700" t="n">
        <v>1995</v>
      </c>
      <c r="D1700" t="n">
        <v>1995</v>
      </c>
      <c r="E1700" t="inlineStr">
        <is>
          <t>Bad Boys</t>
        </is>
      </c>
      <c r="F1700" t="inlineStr">
        <is>
          <t>F0036</t>
        </is>
      </c>
    </row>
    <row r="1701">
      <c r="A1701" t="inlineStr">
        <is>
          <t>Karen Alexander</t>
        </is>
      </c>
      <c r="B1701" t="n">
        <v>1</v>
      </c>
      <c r="C1701" t="n">
        <v>1995</v>
      </c>
      <c r="D1701" t="n">
        <v>1995</v>
      </c>
      <c r="E1701" t="inlineStr">
        <is>
          <t>Bad Boys</t>
        </is>
      </c>
      <c r="F1701" t="inlineStr">
        <is>
          <t>F0036</t>
        </is>
      </c>
    </row>
    <row r="1702">
      <c r="A1702" t="inlineStr">
        <is>
          <t>Fawn Reed</t>
        </is>
      </c>
      <c r="B1702" t="n">
        <v>1</v>
      </c>
      <c r="C1702" t="n">
        <v>1995</v>
      </c>
      <c r="D1702" t="n">
        <v>1995</v>
      </c>
      <c r="E1702" t="inlineStr">
        <is>
          <t>Bad Boys</t>
        </is>
      </c>
      <c r="F1702" t="inlineStr">
        <is>
          <t>F0036</t>
        </is>
      </c>
    </row>
    <row r="1703">
      <c r="A1703" t="inlineStr">
        <is>
          <t>Heather Davis</t>
        </is>
      </c>
      <c r="B1703" t="n">
        <v>1</v>
      </c>
      <c r="C1703" t="n">
        <v>1995</v>
      </c>
      <c r="D1703" t="n">
        <v>1995</v>
      </c>
      <c r="E1703" t="inlineStr">
        <is>
          <t>Bad Boys</t>
        </is>
      </c>
      <c r="F1703" t="inlineStr">
        <is>
          <t>F0036</t>
        </is>
      </c>
    </row>
    <row r="1704">
      <c r="A1704" t="inlineStr">
        <is>
          <t>Jon Seda</t>
        </is>
      </c>
      <c r="B1704" t="n">
        <v>1</v>
      </c>
      <c r="C1704" t="n">
        <v>2003</v>
      </c>
      <c r="D1704" t="n">
        <v>2003</v>
      </c>
      <c r="E1704" t="inlineStr">
        <is>
          <t>Bad Boys II</t>
        </is>
      </c>
      <c r="F1704" t="inlineStr">
        <is>
          <t>F0037</t>
        </is>
      </c>
    </row>
    <row r="1705">
      <c r="A1705" t="inlineStr">
        <is>
          <t>Jason Manuel Olazabal</t>
        </is>
      </c>
      <c r="B1705" t="n">
        <v>1</v>
      </c>
      <c r="C1705" t="n">
        <v>2003</v>
      </c>
      <c r="D1705" t="n">
        <v>2003</v>
      </c>
      <c r="E1705" t="inlineStr">
        <is>
          <t>Bad Boys II</t>
        </is>
      </c>
      <c r="F1705" t="inlineStr">
        <is>
          <t>F0037</t>
        </is>
      </c>
    </row>
    <row r="1706">
      <c r="A1706" t="inlineStr">
        <is>
          <t>Otto Sanchez</t>
        </is>
      </c>
      <c r="B1706" t="n">
        <v>1</v>
      </c>
      <c r="C1706" t="n">
        <v>2003</v>
      </c>
      <c r="D1706" t="n">
        <v>2003</v>
      </c>
      <c r="E1706" t="inlineStr">
        <is>
          <t>Bad Boys II</t>
        </is>
      </c>
      <c r="F1706" t="inlineStr">
        <is>
          <t>F0037</t>
        </is>
      </c>
    </row>
    <row r="1707">
      <c r="A1707" t="inlineStr">
        <is>
          <t>Henry Rollins</t>
        </is>
      </c>
      <c r="B1707" t="n">
        <v>1</v>
      </c>
      <c r="C1707" t="n">
        <v>2003</v>
      </c>
      <c r="D1707" t="n">
        <v>2003</v>
      </c>
      <c r="E1707" t="inlineStr">
        <is>
          <t>Bad Boys II</t>
        </is>
      </c>
      <c r="F1707" t="inlineStr">
        <is>
          <t>F0037</t>
        </is>
      </c>
    </row>
    <row r="1708">
      <c r="A1708" t="inlineStr">
        <is>
          <t>Antoni Corone</t>
        </is>
      </c>
      <c r="B1708" t="n">
        <v>3</v>
      </c>
      <c r="C1708" t="n">
        <v>2003</v>
      </c>
      <c r="D1708" t="n">
        <v>2014</v>
      </c>
      <c r="E1708" t="inlineStr">
        <is>
          <t>Bad Boys II, Green Zone, Need for Speed</t>
        </is>
      </c>
      <c r="F1708" t="inlineStr">
        <is>
          <t>F0037, F0129, F0234</t>
        </is>
      </c>
    </row>
    <row r="1709">
      <c r="A1709" t="inlineStr">
        <is>
          <t>Gary Nickens</t>
        </is>
      </c>
      <c r="B1709" t="n">
        <v>1</v>
      </c>
      <c r="C1709" t="n">
        <v>2003</v>
      </c>
      <c r="D1709" t="n">
        <v>2003</v>
      </c>
      <c r="E1709" t="inlineStr">
        <is>
          <t>Bad Boys II</t>
        </is>
      </c>
      <c r="F1709" t="inlineStr">
        <is>
          <t>F0037</t>
        </is>
      </c>
    </row>
    <row r="1710">
      <c r="A1710" t="inlineStr">
        <is>
          <t>Rey Hernandez</t>
        </is>
      </c>
      <c r="B1710" t="n">
        <v>1</v>
      </c>
      <c r="C1710" t="n">
        <v>2003</v>
      </c>
      <c r="D1710" t="n">
        <v>2003</v>
      </c>
      <c r="E1710" t="inlineStr">
        <is>
          <t>Bad Boys II</t>
        </is>
      </c>
      <c r="F1710" t="inlineStr">
        <is>
          <t>F0037</t>
        </is>
      </c>
    </row>
    <row r="1711">
      <c r="A1711" t="inlineStr">
        <is>
          <t>Charlie Johnson Jr.</t>
        </is>
      </c>
      <c r="B1711" t="n">
        <v>1</v>
      </c>
      <c r="C1711" t="n">
        <v>2003</v>
      </c>
      <c r="D1711" t="n">
        <v>2003</v>
      </c>
      <c r="E1711" t="inlineStr">
        <is>
          <t>Bad Boys II</t>
        </is>
      </c>
      <c r="F1711" t="inlineStr">
        <is>
          <t>F0037</t>
        </is>
      </c>
    </row>
    <row r="1712">
      <c r="A1712" t="inlineStr">
        <is>
          <t>Paul Villaverde</t>
        </is>
      </c>
      <c r="B1712" t="n">
        <v>1</v>
      </c>
      <c r="C1712" t="n">
        <v>2003</v>
      </c>
      <c r="D1712" t="n">
        <v>2003</v>
      </c>
      <c r="E1712" t="inlineStr">
        <is>
          <t>Bad Boys II</t>
        </is>
      </c>
      <c r="F1712" t="inlineStr">
        <is>
          <t>F0037</t>
        </is>
      </c>
    </row>
    <row r="1713">
      <c r="A1713" t="inlineStr">
        <is>
          <t>John Salley</t>
        </is>
      </c>
      <c r="B1713" t="n">
        <v>1</v>
      </c>
      <c r="C1713" t="n">
        <v>2003</v>
      </c>
      <c r="D1713" t="n">
        <v>2003</v>
      </c>
      <c r="E1713" t="inlineStr">
        <is>
          <t>Bad Boys II</t>
        </is>
      </c>
      <c r="F1713" t="inlineStr">
        <is>
          <t>F0037</t>
        </is>
      </c>
    </row>
    <row r="1714">
      <c r="A1714" t="inlineStr">
        <is>
          <t>Veryl Jones</t>
        </is>
      </c>
      <c r="B1714" t="n">
        <v>1</v>
      </c>
      <c r="C1714" t="n">
        <v>2003</v>
      </c>
      <c r="D1714" t="n">
        <v>2003</v>
      </c>
      <c r="E1714" t="inlineStr">
        <is>
          <t>Bad Boys II</t>
        </is>
      </c>
      <c r="F1714" t="inlineStr">
        <is>
          <t>F0037</t>
        </is>
      </c>
    </row>
    <row r="1715">
      <c r="A1715" t="inlineStr">
        <is>
          <t>Tim Powell</t>
        </is>
      </c>
      <c r="B1715" t="n">
        <v>1</v>
      </c>
      <c r="C1715" t="n">
        <v>2003</v>
      </c>
      <c r="D1715" t="n">
        <v>2003</v>
      </c>
      <c r="E1715" t="inlineStr">
        <is>
          <t>Bad Boys II</t>
        </is>
      </c>
      <c r="F1715" t="inlineStr">
        <is>
          <t>F0037</t>
        </is>
      </c>
    </row>
    <row r="1716">
      <c r="A1716" t="inlineStr">
        <is>
          <t>Phil Owens</t>
        </is>
      </c>
      <c r="B1716" t="n">
        <v>1</v>
      </c>
      <c r="C1716" t="n">
        <v>2003</v>
      </c>
      <c r="D1716" t="n">
        <v>2003</v>
      </c>
      <c r="E1716" t="inlineStr">
        <is>
          <t>Bad Boys II</t>
        </is>
      </c>
      <c r="F1716" t="inlineStr">
        <is>
          <t>F0037</t>
        </is>
      </c>
    </row>
    <row r="1717">
      <c r="A1717" t="inlineStr">
        <is>
          <t>Timothy Adams</t>
        </is>
      </c>
      <c r="B1717" t="n">
        <v>1</v>
      </c>
      <c r="C1717" t="n">
        <v>2003</v>
      </c>
      <c r="D1717" t="n">
        <v>2003</v>
      </c>
      <c r="E1717" t="inlineStr">
        <is>
          <t>Bad Boys II</t>
        </is>
      </c>
      <c r="F1717" t="inlineStr">
        <is>
          <t>F0037</t>
        </is>
      </c>
    </row>
    <row r="1718">
      <c r="A1718" t="inlineStr">
        <is>
          <t>Keith Hudson</t>
        </is>
      </c>
      <c r="B1718" t="n">
        <v>1</v>
      </c>
      <c r="C1718" t="n">
        <v>2003</v>
      </c>
      <c r="D1718" t="n">
        <v>2003</v>
      </c>
      <c r="E1718" t="inlineStr">
        <is>
          <t>Bad Boys II</t>
        </is>
      </c>
      <c r="F1718" t="inlineStr">
        <is>
          <t>F0037</t>
        </is>
      </c>
    </row>
    <row r="1719">
      <c r="A1719" t="inlineStr">
        <is>
          <t>Rich Kelley</t>
        </is>
      </c>
      <c r="B1719" t="n">
        <v>1</v>
      </c>
      <c r="C1719" t="n">
        <v>2003</v>
      </c>
      <c r="D1719" t="n">
        <v>2003</v>
      </c>
      <c r="E1719" t="inlineStr">
        <is>
          <t>Bad Boys II</t>
        </is>
      </c>
      <c r="F1719" t="inlineStr">
        <is>
          <t>F0037</t>
        </is>
      </c>
    </row>
    <row r="1720">
      <c r="A1720" t="inlineStr">
        <is>
          <t>Dave Corey</t>
        </is>
      </c>
      <c r="B1720" t="n">
        <v>1</v>
      </c>
      <c r="C1720" t="n">
        <v>2003</v>
      </c>
      <c r="D1720" t="n">
        <v>2003</v>
      </c>
      <c r="E1720" t="inlineStr">
        <is>
          <t>Bad Boys II</t>
        </is>
      </c>
      <c r="F1720" t="inlineStr">
        <is>
          <t>F0037</t>
        </is>
      </c>
    </row>
    <row r="1721">
      <c r="A1721" t="inlineStr">
        <is>
          <t>Bill Erfurth</t>
        </is>
      </c>
      <c r="B1721" t="n">
        <v>1</v>
      </c>
      <c r="C1721" t="n">
        <v>2003</v>
      </c>
      <c r="D1721" t="n">
        <v>2003</v>
      </c>
      <c r="E1721" t="inlineStr">
        <is>
          <t>Bad Boys II</t>
        </is>
      </c>
      <c r="F1721" t="inlineStr">
        <is>
          <t>F0037</t>
        </is>
      </c>
    </row>
    <row r="1722">
      <c r="A1722" t="inlineStr">
        <is>
          <t>Jennifer Diaz</t>
        </is>
      </c>
      <c r="B1722" t="n">
        <v>1</v>
      </c>
      <c r="C1722" t="n">
        <v>2003</v>
      </c>
      <c r="D1722" t="n">
        <v>2003</v>
      </c>
      <c r="E1722" t="inlineStr">
        <is>
          <t>Bad Boys II</t>
        </is>
      </c>
      <c r="F1722" t="inlineStr">
        <is>
          <t>F0037</t>
        </is>
      </c>
    </row>
    <row r="1723">
      <c r="A1723" t="inlineStr">
        <is>
          <t>R.E. Rodgers</t>
        </is>
      </c>
      <c r="B1723" t="n">
        <v>1</v>
      </c>
      <c r="C1723" t="n">
        <v>2003</v>
      </c>
      <c r="D1723" t="n">
        <v>2003</v>
      </c>
      <c r="E1723" t="inlineStr">
        <is>
          <t>Bad Boys II</t>
        </is>
      </c>
      <c r="F1723" t="inlineStr">
        <is>
          <t>F0037</t>
        </is>
      </c>
    </row>
    <row r="1724">
      <c r="A1724" t="inlineStr">
        <is>
          <t>Jay Hernandez</t>
        </is>
      </c>
      <c r="B1724" t="n">
        <v>2</v>
      </c>
      <c r="C1724" t="n">
        <v>2016</v>
      </c>
      <c r="D1724" t="n">
        <v>2019</v>
      </c>
      <c r="E1724" t="inlineStr">
        <is>
          <t>Bad Moms, Toy Story 4</t>
        </is>
      </c>
      <c r="F1724" t="inlineStr">
        <is>
          <t>F0038, F0315</t>
        </is>
      </c>
    </row>
    <row r="1725">
      <c r="A1725" t="inlineStr">
        <is>
          <t>Clark Duke</t>
        </is>
      </c>
      <c r="B1725" t="n">
        <v>4</v>
      </c>
      <c r="C1725" t="n">
        <v>2010</v>
      </c>
      <c r="D1725" t="n">
        <v>2016</v>
      </c>
      <c r="E1725" t="inlineStr">
        <is>
          <t>Bad Moms, The Croods, Kick-Ass, Kick-Ass 2</t>
        </is>
      </c>
      <c r="F1725" t="inlineStr">
        <is>
          <t>F0038, F0075, F0185, F0186</t>
        </is>
      </c>
    </row>
    <row r="1726">
      <c r="A1726" t="inlineStr">
        <is>
          <t>Annie Mumolo</t>
        </is>
      </c>
      <c r="B1726" t="n">
        <v>1</v>
      </c>
      <c r="C1726" t="n">
        <v>2016</v>
      </c>
      <c r="D1726" t="n">
        <v>2016</v>
      </c>
      <c r="E1726" t="inlineStr">
        <is>
          <t>Bad Moms</t>
        </is>
      </c>
      <c r="F1726" t="inlineStr">
        <is>
          <t>F0038</t>
        </is>
      </c>
    </row>
    <row r="1727">
      <c r="A1727" t="inlineStr">
        <is>
          <t>David Walton</t>
        </is>
      </c>
      <c r="B1727" t="n">
        <v>1</v>
      </c>
      <c r="C1727" t="n">
        <v>2016</v>
      </c>
      <c r="D1727" t="n">
        <v>2016</v>
      </c>
      <c r="E1727" t="inlineStr">
        <is>
          <t>Bad Moms</t>
        </is>
      </c>
      <c r="F1727" t="inlineStr">
        <is>
          <t>F0038</t>
        </is>
      </c>
    </row>
    <row r="1728">
      <c r="A1728" t="inlineStr">
        <is>
          <t>Wendell Pierce</t>
        </is>
      </c>
      <c r="B1728" t="n">
        <v>2</v>
      </c>
      <c r="C1728" t="n">
        <v>2016</v>
      </c>
      <c r="D1728" t="n">
        <v>2025</v>
      </c>
      <c r="E1728" t="inlineStr">
        <is>
          <t>Bad Moms, Superman</t>
        </is>
      </c>
      <c r="F1728" t="inlineStr">
        <is>
          <t>F0038, F0304</t>
        </is>
      </c>
    </row>
    <row r="1729">
      <c r="A1729" t="inlineStr">
        <is>
          <t>J.J. Watt</t>
        </is>
      </c>
      <c r="B1729" t="n">
        <v>1</v>
      </c>
      <c r="C1729" t="n">
        <v>2016</v>
      </c>
      <c r="D1729" t="n">
        <v>2016</v>
      </c>
      <c r="E1729" t="inlineStr">
        <is>
          <t>Bad Moms</t>
        </is>
      </c>
      <c r="F1729" t="inlineStr">
        <is>
          <t>F0038</t>
        </is>
      </c>
    </row>
    <row r="1730">
      <c r="A1730" t="inlineStr">
        <is>
          <t>Leah McKendrick</t>
        </is>
      </c>
      <c r="B1730" t="n">
        <v>1</v>
      </c>
      <c r="C1730" t="n">
        <v>2016</v>
      </c>
      <c r="D1730" t="n">
        <v>2016</v>
      </c>
      <c r="E1730" t="inlineStr">
        <is>
          <t>Bad Moms</t>
        </is>
      </c>
      <c r="F1730" t="inlineStr">
        <is>
          <t>F0038</t>
        </is>
      </c>
    </row>
    <row r="1731">
      <c r="A1731" t="inlineStr">
        <is>
          <t>Megan Ferguson</t>
        </is>
      </c>
      <c r="B1731" t="n">
        <v>1</v>
      </c>
      <c r="C1731" t="n">
        <v>2016</v>
      </c>
      <c r="D1731" t="n">
        <v>2016</v>
      </c>
      <c r="E1731" t="inlineStr">
        <is>
          <t>Bad Moms</t>
        </is>
      </c>
      <c r="F1731" t="inlineStr">
        <is>
          <t>F0038</t>
        </is>
      </c>
    </row>
    <row r="1732">
      <c r="A1732" t="inlineStr">
        <is>
          <t>Lyle Brocato</t>
        </is>
      </c>
      <c r="B1732" t="n">
        <v>2</v>
      </c>
      <c r="C1732" t="n">
        <v>2016</v>
      </c>
      <c r="D1732" t="n">
        <v>2019</v>
      </c>
      <c r="E1732" t="inlineStr">
        <is>
          <t>Bad Moms, Godzilla: King of the Monsters</t>
        </is>
      </c>
      <c r="F1732" t="inlineStr">
        <is>
          <t>F0038, F0122</t>
        </is>
      </c>
    </row>
    <row r="1733">
      <c r="A1733" t="inlineStr">
        <is>
          <t>Wanda Sykes</t>
        </is>
      </c>
      <c r="B1733" t="n">
        <v>2</v>
      </c>
      <c r="C1733" t="n">
        <v>2011</v>
      </c>
      <c r="D1733" t="n">
        <v>2016</v>
      </c>
      <c r="E1733" t="inlineStr">
        <is>
          <t>Bad Moms, Rio</t>
        </is>
      </c>
      <c r="F1733" t="inlineStr">
        <is>
          <t>F0038, F0265</t>
        </is>
      </c>
    </row>
    <row r="1734">
      <c r="A1734" t="inlineStr">
        <is>
          <t>Cade Mansfield Cooksey</t>
        </is>
      </c>
      <c r="B1734" t="n">
        <v>1</v>
      </c>
      <c r="C1734" t="n">
        <v>2016</v>
      </c>
      <c r="D1734" t="n">
        <v>2016</v>
      </c>
      <c r="E1734" t="inlineStr">
        <is>
          <t>Bad Moms</t>
        </is>
      </c>
      <c r="F1734" t="inlineStr">
        <is>
          <t>F0038</t>
        </is>
      </c>
    </row>
    <row r="1735">
      <c r="A1735" t="inlineStr">
        <is>
          <t>Ann Mahoney</t>
        </is>
      </c>
      <c r="B1735" t="n">
        <v>1</v>
      </c>
      <c r="C1735" t="n">
        <v>2016</v>
      </c>
      <c r="D1735" t="n">
        <v>2016</v>
      </c>
      <c r="E1735" t="inlineStr">
        <is>
          <t>Bad Moms</t>
        </is>
      </c>
      <c r="F1735" t="inlineStr">
        <is>
          <t>F0038</t>
        </is>
      </c>
    </row>
    <row r="1736">
      <c r="A1736" t="inlineStr">
        <is>
          <t>Samantha Beaulieu</t>
        </is>
      </c>
      <c r="B1736" t="n">
        <v>1</v>
      </c>
      <c r="C1736" t="n">
        <v>2016</v>
      </c>
      <c r="D1736" t="n">
        <v>2016</v>
      </c>
      <c r="E1736" t="inlineStr">
        <is>
          <t>Bad Moms</t>
        </is>
      </c>
      <c r="F1736" t="inlineStr">
        <is>
          <t>F0038</t>
        </is>
      </c>
    </row>
    <row r="1737">
      <c r="A1737" t="inlineStr">
        <is>
          <t>Yuka Takara</t>
        </is>
      </c>
      <c r="B1737" t="n">
        <v>1</v>
      </c>
      <c r="C1737" t="n">
        <v>2016</v>
      </c>
      <c r="D1737" t="n">
        <v>2016</v>
      </c>
      <c r="E1737" t="inlineStr">
        <is>
          <t>Bad Moms</t>
        </is>
      </c>
      <c r="F1737" t="inlineStr">
        <is>
          <t>F0038</t>
        </is>
      </c>
    </row>
    <row r="1738">
      <c r="A1738" t="inlineStr">
        <is>
          <t>Jackie Tuttle</t>
        </is>
      </c>
      <c r="B1738" t="n">
        <v>1</v>
      </c>
      <c r="C1738" t="n">
        <v>2016</v>
      </c>
      <c r="D1738" t="n">
        <v>2016</v>
      </c>
      <c r="E1738" t="inlineStr">
        <is>
          <t>Bad Moms</t>
        </is>
      </c>
      <c r="F1738" t="inlineStr">
        <is>
          <t>F0038</t>
        </is>
      </c>
    </row>
    <row r="1739">
      <c r="A1739" t="inlineStr">
        <is>
          <t>Adria Tennor</t>
        </is>
      </c>
      <c r="B1739" t="n">
        <v>1</v>
      </c>
      <c r="C1739" t="n">
        <v>2016</v>
      </c>
      <c r="D1739" t="n">
        <v>2016</v>
      </c>
      <c r="E1739" t="inlineStr">
        <is>
          <t>Bad Moms</t>
        </is>
      </c>
      <c r="F1739" t="inlineStr">
        <is>
          <t>F0038</t>
        </is>
      </c>
    </row>
    <row r="1740">
      <c r="A1740" t="inlineStr">
        <is>
          <t>Kelly Lind</t>
        </is>
      </c>
      <c r="B1740" t="n">
        <v>1</v>
      </c>
      <c r="C1740" t="n">
        <v>2016</v>
      </c>
      <c r="D1740" t="n">
        <v>2016</v>
      </c>
      <c r="E1740" t="inlineStr">
        <is>
          <t>Bad Moms</t>
        </is>
      </c>
      <c r="F1740" t="inlineStr">
        <is>
          <t>F0038</t>
        </is>
      </c>
    </row>
    <row r="1741">
      <c r="A1741" t="inlineStr">
        <is>
          <t>Lena Clark</t>
        </is>
      </c>
      <c r="B1741" t="n">
        <v>1</v>
      </c>
      <c r="C1741" t="n">
        <v>2016</v>
      </c>
      <c r="D1741" t="n">
        <v>2016</v>
      </c>
      <c r="E1741" t="inlineStr">
        <is>
          <t>Bad Moms</t>
        </is>
      </c>
      <c r="F1741" t="inlineStr">
        <is>
          <t>F0038</t>
        </is>
      </c>
    </row>
    <row r="1742">
      <c r="A1742" t="inlineStr">
        <is>
          <t>Amy Brassette</t>
        </is>
      </c>
      <c r="B1742" t="n">
        <v>1</v>
      </c>
      <c r="C1742" t="n">
        <v>2016</v>
      </c>
      <c r="D1742" t="n">
        <v>2016</v>
      </c>
      <c r="E1742" t="inlineStr">
        <is>
          <t>Bad Moms</t>
        </is>
      </c>
      <c r="F1742" t="inlineStr">
        <is>
          <t>F0038</t>
        </is>
      </c>
    </row>
    <row r="1743">
      <c r="A1743" t="inlineStr">
        <is>
          <t>Karmen Capella</t>
        </is>
      </c>
      <c r="B1743" t="n">
        <v>1</v>
      </c>
      <c r="C1743" t="n">
        <v>2016</v>
      </c>
      <c r="D1743" t="n">
        <v>2016</v>
      </c>
      <c r="E1743" t="inlineStr">
        <is>
          <t>Bad Moms</t>
        </is>
      </c>
      <c r="F1743" t="inlineStr">
        <is>
          <t>F0038</t>
        </is>
      </c>
    </row>
    <row r="1744">
      <c r="A1744" t="inlineStr">
        <is>
          <t>Donna DuPlantier</t>
        </is>
      </c>
      <c r="B1744" t="n">
        <v>1</v>
      </c>
      <c r="C1744" t="n">
        <v>2016</v>
      </c>
      <c r="D1744" t="n">
        <v>2016</v>
      </c>
      <c r="E1744" t="inlineStr">
        <is>
          <t>Bad Moms</t>
        </is>
      </c>
      <c r="F1744" t="inlineStr">
        <is>
          <t>F0038</t>
        </is>
      </c>
    </row>
    <row r="1745">
      <c r="A1745" t="inlineStr">
        <is>
          <t>Lindsey Garrett</t>
        </is>
      </c>
      <c r="B1745" t="n">
        <v>1</v>
      </c>
      <c r="C1745" t="n">
        <v>2016</v>
      </c>
      <c r="D1745" t="n">
        <v>2016</v>
      </c>
      <c r="E1745" t="inlineStr">
        <is>
          <t>Bad Moms</t>
        </is>
      </c>
      <c r="F1745" t="inlineStr">
        <is>
          <t>F0038</t>
        </is>
      </c>
    </row>
    <row r="1746">
      <c r="A1746" t="inlineStr">
        <is>
          <t>Angela Larson</t>
        </is>
      </c>
      <c r="B1746" t="n">
        <v>1</v>
      </c>
      <c r="C1746" t="n">
        <v>2016</v>
      </c>
      <c r="D1746" t="n">
        <v>2016</v>
      </c>
      <c r="E1746" t="inlineStr">
        <is>
          <t>Bad Moms</t>
        </is>
      </c>
      <c r="F1746" t="inlineStr">
        <is>
          <t>F0038</t>
        </is>
      </c>
    </row>
    <row r="1747">
      <c r="A1747" t="inlineStr">
        <is>
          <t>Kaitlyn Dever</t>
        </is>
      </c>
      <c r="B1747" t="n">
        <v>1</v>
      </c>
      <c r="C1747" t="n">
        <v>2011</v>
      </c>
      <c r="D1747" t="n">
        <v>2011</v>
      </c>
      <c r="E1747" t="inlineStr">
        <is>
          <t>Bad Teacher</t>
        </is>
      </c>
      <c r="F1747" t="inlineStr">
        <is>
          <t>F0039</t>
        </is>
      </c>
    </row>
    <row r="1748">
      <c r="A1748" t="inlineStr">
        <is>
          <t>Thomas Lennon</t>
        </is>
      </c>
      <c r="B1748" t="n">
        <v>2</v>
      </c>
      <c r="C1748" t="n">
        <v>2011</v>
      </c>
      <c r="D1748" t="n">
        <v>2014</v>
      </c>
      <c r="E1748" t="inlineStr">
        <is>
          <t>Bad Teacher, Transformers: Age of Extinction</t>
        </is>
      </c>
      <c r="F1748" t="inlineStr">
        <is>
          <t>F0039, F0319</t>
        </is>
      </c>
    </row>
    <row r="1749">
      <c r="A1749" t="inlineStr">
        <is>
          <t>Kathryn Newton</t>
        </is>
      </c>
      <c r="B1749" t="n">
        <v>1</v>
      </c>
      <c r="C1749" t="n">
        <v>2011</v>
      </c>
      <c r="D1749" t="n">
        <v>2011</v>
      </c>
      <c r="E1749" t="inlineStr">
        <is>
          <t>Bad Teacher</t>
        </is>
      </c>
      <c r="F1749" t="inlineStr">
        <is>
          <t>F0039</t>
        </is>
      </c>
    </row>
    <row r="1750">
      <c r="A1750" t="inlineStr">
        <is>
          <t>Molly Shannon</t>
        </is>
      </c>
      <c r="B1750" t="n">
        <v>1</v>
      </c>
      <c r="C1750" t="n">
        <v>2011</v>
      </c>
      <c r="D1750" t="n">
        <v>2011</v>
      </c>
      <c r="E1750" t="inlineStr">
        <is>
          <t>Bad Teacher</t>
        </is>
      </c>
      <c r="F1750" t="inlineStr">
        <is>
          <t>F0039</t>
        </is>
      </c>
    </row>
    <row r="1751">
      <c r="A1751" t="inlineStr">
        <is>
          <t>Matthew J. Evans</t>
        </is>
      </c>
      <c r="B1751" t="n">
        <v>1</v>
      </c>
      <c r="C1751" t="n">
        <v>2011</v>
      </c>
      <c r="D1751" t="n">
        <v>2011</v>
      </c>
      <c r="E1751" t="inlineStr">
        <is>
          <t>Bad Teacher</t>
        </is>
      </c>
      <c r="F1751" t="inlineStr">
        <is>
          <t>F0039</t>
        </is>
      </c>
    </row>
    <row r="1752">
      <c r="A1752" t="inlineStr">
        <is>
          <t>Dave Allen</t>
        </is>
      </c>
      <c r="B1752" t="n">
        <v>1</v>
      </c>
      <c r="C1752" t="n">
        <v>2011</v>
      </c>
      <c r="D1752" t="n">
        <v>2011</v>
      </c>
      <c r="E1752" t="inlineStr">
        <is>
          <t>Bad Teacher</t>
        </is>
      </c>
      <c r="F1752" t="inlineStr">
        <is>
          <t>F0039</t>
        </is>
      </c>
    </row>
    <row r="1753">
      <c r="A1753" t="inlineStr">
        <is>
          <t>Jillian Armenante</t>
        </is>
      </c>
      <c r="B1753" t="n">
        <v>1</v>
      </c>
      <c r="C1753" t="n">
        <v>2011</v>
      </c>
      <c r="D1753" t="n">
        <v>2011</v>
      </c>
      <c r="E1753" t="inlineStr">
        <is>
          <t>Bad Teacher</t>
        </is>
      </c>
      <c r="F1753" t="inlineStr">
        <is>
          <t>F0039</t>
        </is>
      </c>
    </row>
    <row r="1754">
      <c r="A1754" t="inlineStr">
        <is>
          <t>Igal Ben Yair</t>
        </is>
      </c>
      <c r="B1754" t="n">
        <v>1</v>
      </c>
      <c r="C1754" t="n">
        <v>2011</v>
      </c>
      <c r="D1754" t="n">
        <v>2011</v>
      </c>
      <c r="E1754" t="inlineStr">
        <is>
          <t>Bad Teacher</t>
        </is>
      </c>
      <c r="F1754" t="inlineStr">
        <is>
          <t>F0039</t>
        </is>
      </c>
    </row>
    <row r="1755">
      <c r="A1755" t="inlineStr">
        <is>
          <t>Aja Bair</t>
        </is>
      </c>
      <c r="B1755" t="n">
        <v>1</v>
      </c>
      <c r="C1755" t="n">
        <v>2011</v>
      </c>
      <c r="D1755" t="n">
        <v>2011</v>
      </c>
      <c r="E1755" t="inlineStr">
        <is>
          <t>Bad Teacher</t>
        </is>
      </c>
      <c r="F1755" t="inlineStr">
        <is>
          <t>F0039</t>
        </is>
      </c>
    </row>
    <row r="1756">
      <c r="A1756" t="inlineStr">
        <is>
          <t>Andra Nechita</t>
        </is>
      </c>
      <c r="B1756" t="n">
        <v>1</v>
      </c>
      <c r="C1756" t="n">
        <v>2011</v>
      </c>
      <c r="D1756" t="n">
        <v>2011</v>
      </c>
      <c r="E1756" t="inlineStr">
        <is>
          <t>Bad Teacher</t>
        </is>
      </c>
      <c r="F1756" t="inlineStr">
        <is>
          <t>F0039</t>
        </is>
      </c>
    </row>
    <row r="1757">
      <c r="A1757" t="inlineStr">
        <is>
          <t>Noah Munck</t>
        </is>
      </c>
      <c r="B1757" t="n">
        <v>1</v>
      </c>
      <c r="C1757" t="n">
        <v>2011</v>
      </c>
      <c r="D1757" t="n">
        <v>2011</v>
      </c>
      <c r="E1757" t="inlineStr">
        <is>
          <t>Bad Teacher</t>
        </is>
      </c>
      <c r="F1757" t="inlineStr">
        <is>
          <t>F0039</t>
        </is>
      </c>
    </row>
    <row r="1758">
      <c r="A1758" t="inlineStr">
        <is>
          <t>FINNEAS</t>
        </is>
      </c>
      <c r="B1758" t="n">
        <v>1</v>
      </c>
      <c r="C1758" t="n">
        <v>2011</v>
      </c>
      <c r="D1758" t="n">
        <v>2011</v>
      </c>
      <c r="E1758" t="inlineStr">
        <is>
          <t>Bad Teacher</t>
        </is>
      </c>
      <c r="F1758" t="inlineStr">
        <is>
          <t>F0039</t>
        </is>
      </c>
    </row>
    <row r="1759">
      <c r="A1759" t="inlineStr">
        <is>
          <t>Daniel Castro</t>
        </is>
      </c>
      <c r="B1759" t="n">
        <v>1</v>
      </c>
      <c r="C1759" t="n">
        <v>2011</v>
      </c>
      <c r="D1759" t="n">
        <v>2011</v>
      </c>
      <c r="E1759" t="inlineStr">
        <is>
          <t>Bad Teacher</t>
        </is>
      </c>
      <c r="F1759" t="inlineStr">
        <is>
          <t>F0039</t>
        </is>
      </c>
    </row>
    <row r="1760">
      <c r="A1760" t="inlineStr">
        <is>
          <t>Deirdre Lovejoy</t>
        </is>
      </c>
      <c r="B1760" t="n">
        <v>1</v>
      </c>
      <c r="C1760" t="n">
        <v>2011</v>
      </c>
      <c r="D1760" t="n">
        <v>2011</v>
      </c>
      <c r="E1760" t="inlineStr">
        <is>
          <t>Bad Teacher</t>
        </is>
      </c>
      <c r="F1760" t="inlineStr">
        <is>
          <t>F0039</t>
        </is>
      </c>
    </row>
    <row r="1761">
      <c r="A1761" t="inlineStr">
        <is>
          <t>Adrian Kali Turner</t>
        </is>
      </c>
      <c r="B1761" t="n">
        <v>1</v>
      </c>
      <c r="C1761" t="n">
        <v>2011</v>
      </c>
      <c r="D1761" t="n">
        <v>2011</v>
      </c>
      <c r="E1761" t="inlineStr">
        <is>
          <t>Bad Teacher</t>
        </is>
      </c>
      <c r="F1761" t="inlineStr">
        <is>
          <t>F0039</t>
        </is>
      </c>
    </row>
    <row r="1762">
      <c r="A1762" t="inlineStr">
        <is>
          <t>Paul Bates</t>
        </is>
      </c>
      <c r="B1762" t="n">
        <v>1</v>
      </c>
      <c r="C1762" t="n">
        <v>2011</v>
      </c>
      <c r="D1762" t="n">
        <v>2011</v>
      </c>
      <c r="E1762" t="inlineStr">
        <is>
          <t>Bad Teacher</t>
        </is>
      </c>
      <c r="F1762" t="inlineStr">
        <is>
          <t>F0039</t>
        </is>
      </c>
    </row>
    <row r="1763">
      <c r="A1763" t="inlineStr">
        <is>
          <t>Jeff Judah</t>
        </is>
      </c>
      <c r="B1763" t="n">
        <v>1</v>
      </c>
      <c r="C1763" t="n">
        <v>2011</v>
      </c>
      <c r="D1763" t="n">
        <v>2011</v>
      </c>
      <c r="E1763" t="inlineStr">
        <is>
          <t>Bad Teacher</t>
        </is>
      </c>
      <c r="F1763" t="inlineStr">
        <is>
          <t>F0039</t>
        </is>
      </c>
    </row>
    <row r="1764">
      <c r="A1764" t="inlineStr">
        <is>
          <t>Nat Faxon</t>
        </is>
      </c>
      <c r="B1764" t="n">
        <v>1</v>
      </c>
      <c r="C1764" t="n">
        <v>2011</v>
      </c>
      <c r="D1764" t="n">
        <v>2011</v>
      </c>
      <c r="E1764" t="inlineStr">
        <is>
          <t>Bad Teacher</t>
        </is>
      </c>
      <c r="F1764" t="inlineStr">
        <is>
          <t>F0039</t>
        </is>
      </c>
    </row>
    <row r="1765">
      <c r="A1765" t="inlineStr">
        <is>
          <t>Stephanie Faracy</t>
        </is>
      </c>
      <c r="B1765" t="n">
        <v>1</v>
      </c>
      <c r="C1765" t="n">
        <v>2011</v>
      </c>
      <c r="D1765" t="n">
        <v>2011</v>
      </c>
      <c r="E1765" t="inlineStr">
        <is>
          <t>Bad Teacher</t>
        </is>
      </c>
      <c r="F1765" t="inlineStr">
        <is>
          <t>F0039</t>
        </is>
      </c>
    </row>
    <row r="1766">
      <c r="A1766" t="inlineStr">
        <is>
          <t>David Paymer</t>
        </is>
      </c>
      <c r="B1766" t="n">
        <v>1</v>
      </c>
      <c r="C1766" t="n">
        <v>2011</v>
      </c>
      <c r="D1766" t="n">
        <v>2011</v>
      </c>
      <c r="E1766" t="inlineStr">
        <is>
          <t>Bad Teacher</t>
        </is>
      </c>
      <c r="F1766" t="inlineStr">
        <is>
          <t>F0039</t>
        </is>
      </c>
    </row>
    <row r="1767">
      <c r="A1767" t="inlineStr">
        <is>
          <t>Alanna Ubach</t>
        </is>
      </c>
      <c r="B1767" t="n">
        <v>1</v>
      </c>
      <c r="C1767" t="n">
        <v>2011</v>
      </c>
      <c r="D1767" t="n">
        <v>2011</v>
      </c>
      <c r="E1767" t="inlineStr">
        <is>
          <t>Bad Teacher</t>
        </is>
      </c>
      <c r="F1767" t="inlineStr">
        <is>
          <t>F0039</t>
        </is>
      </c>
    </row>
    <row r="1768">
      <c r="A1768" t="inlineStr">
        <is>
          <t>Christine Smith</t>
        </is>
      </c>
      <c r="B1768" t="n">
        <v>1</v>
      </c>
      <c r="C1768" t="n">
        <v>2011</v>
      </c>
      <c r="D1768" t="n">
        <v>2011</v>
      </c>
      <c r="E1768" t="inlineStr">
        <is>
          <t>Bad Teacher</t>
        </is>
      </c>
      <c r="F1768" t="inlineStr">
        <is>
          <t>F0039</t>
        </is>
      </c>
    </row>
    <row r="1769">
      <c r="A1769" t="inlineStr">
        <is>
          <t>Paul Feig</t>
        </is>
      </c>
      <c r="B1769" t="n">
        <v>1</v>
      </c>
      <c r="C1769" t="n">
        <v>2011</v>
      </c>
      <c r="D1769" t="n">
        <v>2011</v>
      </c>
      <c r="E1769" t="inlineStr">
        <is>
          <t>Bad Teacher</t>
        </is>
      </c>
      <c r="F1769" t="inlineStr">
        <is>
          <t>F0039</t>
        </is>
      </c>
    </row>
    <row r="1770">
      <c r="A1770" t="inlineStr">
        <is>
          <t>Andrew Brooke</t>
        </is>
      </c>
      <c r="B1770" t="n">
        <v>2</v>
      </c>
      <c r="C1770" t="n">
        <v>2008</v>
      </c>
      <c r="D1770" t="n">
        <v>2009</v>
      </c>
      <c r="E1770" t="inlineStr">
        <is>
          <t>The Bank Job, Sherlock Holmes</t>
        </is>
      </c>
      <c r="F1770" t="inlineStr">
        <is>
          <t>F0040, F0278</t>
        </is>
      </c>
    </row>
    <row r="1771">
      <c r="A1771" t="inlineStr">
        <is>
          <t>Michael Jibson</t>
        </is>
      </c>
      <c r="B1771" t="n">
        <v>2</v>
      </c>
      <c r="C1771" t="n">
        <v>2008</v>
      </c>
      <c r="D1771" t="n">
        <v>2012</v>
      </c>
      <c r="E1771" t="inlineStr">
        <is>
          <t>The Bank Job, Les Misérables</t>
        </is>
      </c>
      <c r="F1771" t="inlineStr">
        <is>
          <t>F0040, F0199</t>
        </is>
      </c>
    </row>
    <row r="1772">
      <c r="A1772" t="inlineStr">
        <is>
          <t>Georgia Taylor</t>
        </is>
      </c>
      <c r="B1772" t="n">
        <v>1</v>
      </c>
      <c r="C1772" t="n">
        <v>2008</v>
      </c>
      <c r="D1772" t="n">
        <v>2008</v>
      </c>
      <c r="E1772" t="inlineStr">
        <is>
          <t>The Bank Job</t>
        </is>
      </c>
      <c r="F1772" t="inlineStr">
        <is>
          <t>F0040</t>
        </is>
      </c>
    </row>
    <row r="1773">
      <c r="A1773" t="inlineStr">
        <is>
          <t>Richard Lintern</t>
        </is>
      </c>
      <c r="B1773" t="n">
        <v>1</v>
      </c>
      <c r="C1773" t="n">
        <v>2008</v>
      </c>
      <c r="D1773" t="n">
        <v>2008</v>
      </c>
      <c r="E1773" t="inlineStr">
        <is>
          <t>The Bank Job</t>
        </is>
      </c>
      <c r="F1773" t="inlineStr">
        <is>
          <t>F0040</t>
        </is>
      </c>
    </row>
    <row r="1774">
      <c r="A1774" t="inlineStr">
        <is>
          <t>Peter Bowles</t>
        </is>
      </c>
      <c r="B1774" t="n">
        <v>1</v>
      </c>
      <c r="C1774" t="n">
        <v>2008</v>
      </c>
      <c r="D1774" t="n">
        <v>2008</v>
      </c>
      <c r="E1774" t="inlineStr">
        <is>
          <t>The Bank Job</t>
        </is>
      </c>
      <c r="F1774" t="inlineStr">
        <is>
          <t>F0040</t>
        </is>
      </c>
    </row>
    <row r="1775">
      <c r="A1775" t="inlineStr">
        <is>
          <t>Alistair Petrie</t>
        </is>
      </c>
      <c r="B1775" t="n">
        <v>2</v>
      </c>
      <c r="C1775" t="n">
        <v>2008</v>
      </c>
      <c r="D1775" t="n">
        <v>2013</v>
      </c>
      <c r="E1775" t="inlineStr">
        <is>
          <t>The Bank Job, Rush</t>
        </is>
      </c>
      <c r="F1775" t="inlineStr">
        <is>
          <t>F0040, F0270</t>
        </is>
      </c>
    </row>
    <row r="1776">
      <c r="A1776" t="inlineStr">
        <is>
          <t>Alki David</t>
        </is>
      </c>
      <c r="B1776" t="n">
        <v>1</v>
      </c>
      <c r="C1776" t="n">
        <v>2008</v>
      </c>
      <c r="D1776" t="n">
        <v>2008</v>
      </c>
      <c r="E1776" t="inlineStr">
        <is>
          <t>The Bank Job</t>
        </is>
      </c>
      <c r="F1776" t="inlineStr">
        <is>
          <t>F0040</t>
        </is>
      </c>
    </row>
    <row r="1777">
      <c r="A1777" t="inlineStr">
        <is>
          <t>Hattie Morahan</t>
        </is>
      </c>
      <c r="B1777" t="n">
        <v>1</v>
      </c>
      <c r="C1777" t="n">
        <v>2008</v>
      </c>
      <c r="D1777" t="n">
        <v>2008</v>
      </c>
      <c r="E1777" t="inlineStr">
        <is>
          <t>The Bank Job</t>
        </is>
      </c>
      <c r="F1777" t="inlineStr">
        <is>
          <t>F0040</t>
        </is>
      </c>
    </row>
    <row r="1778">
      <c r="A1778" t="inlineStr">
        <is>
          <t>Julian Lewis Jones</t>
        </is>
      </c>
      <c r="B1778" t="n">
        <v>1</v>
      </c>
      <c r="C1778" t="n">
        <v>2008</v>
      </c>
      <c r="D1778" t="n">
        <v>2008</v>
      </c>
      <c r="E1778" t="inlineStr">
        <is>
          <t>The Bank Job</t>
        </is>
      </c>
      <c r="F1778" t="inlineStr">
        <is>
          <t>F0040</t>
        </is>
      </c>
    </row>
    <row r="1779">
      <c r="A1779" t="inlineStr">
        <is>
          <t>Rupert Frazer</t>
        </is>
      </c>
      <c r="B1779" t="n">
        <v>1</v>
      </c>
      <c r="C1779" t="n">
        <v>2008</v>
      </c>
      <c r="D1779" t="n">
        <v>2008</v>
      </c>
      <c r="E1779" t="inlineStr">
        <is>
          <t>The Bank Job</t>
        </is>
      </c>
      <c r="F1779" t="inlineStr">
        <is>
          <t>F0040</t>
        </is>
      </c>
    </row>
    <row r="1780">
      <c r="A1780" t="inlineStr">
        <is>
          <t>Keeley Hawes</t>
        </is>
      </c>
      <c r="B1780" t="n">
        <v>1</v>
      </c>
      <c r="C1780" t="n">
        <v>2008</v>
      </c>
      <c r="D1780" t="n">
        <v>2008</v>
      </c>
      <c r="E1780" t="inlineStr">
        <is>
          <t>The Bank Job</t>
        </is>
      </c>
      <c r="F1780" t="inlineStr">
        <is>
          <t>F0040</t>
        </is>
      </c>
    </row>
    <row r="1781">
      <c r="A1781" t="inlineStr">
        <is>
          <t>Don Gallagher</t>
        </is>
      </c>
      <c r="B1781" t="n">
        <v>1</v>
      </c>
      <c r="C1781" t="n">
        <v>2008</v>
      </c>
      <c r="D1781" t="n">
        <v>2008</v>
      </c>
      <c r="E1781" t="inlineStr">
        <is>
          <t>The Bank Job</t>
        </is>
      </c>
      <c r="F1781" t="inlineStr">
        <is>
          <t>F0040</t>
        </is>
      </c>
    </row>
    <row r="1782">
      <c r="A1782" t="inlineStr">
        <is>
          <t>Craig Fairbrass</t>
        </is>
      </c>
      <c r="B1782" t="n">
        <v>1</v>
      </c>
      <c r="C1782" t="n">
        <v>2008</v>
      </c>
      <c r="D1782" t="n">
        <v>2008</v>
      </c>
      <c r="E1782" t="inlineStr">
        <is>
          <t>The Bank Job</t>
        </is>
      </c>
      <c r="F1782" t="inlineStr">
        <is>
          <t>F0040</t>
        </is>
      </c>
    </row>
    <row r="1783">
      <c r="A1783" t="inlineStr">
        <is>
          <t>Gerard Horan</t>
        </is>
      </c>
      <c r="B1783" t="n">
        <v>1</v>
      </c>
      <c r="C1783" t="n">
        <v>2008</v>
      </c>
      <c r="D1783" t="n">
        <v>2008</v>
      </c>
      <c r="E1783" t="inlineStr">
        <is>
          <t>The Bank Job</t>
        </is>
      </c>
      <c r="F1783" t="inlineStr">
        <is>
          <t>F0040</t>
        </is>
      </c>
    </row>
    <row r="1784">
      <c r="A1784" t="inlineStr">
        <is>
          <t>David Suchet</t>
        </is>
      </c>
      <c r="B1784" t="n">
        <v>1</v>
      </c>
      <c r="C1784" t="n">
        <v>2008</v>
      </c>
      <c r="D1784" t="n">
        <v>2008</v>
      </c>
      <c r="E1784" t="inlineStr">
        <is>
          <t>The Bank Job</t>
        </is>
      </c>
      <c r="F1784" t="inlineStr">
        <is>
          <t>F0040</t>
        </is>
      </c>
    </row>
    <row r="1785">
      <c r="A1785" t="inlineStr">
        <is>
          <t>Peter de Jersey</t>
        </is>
      </c>
      <c r="B1785" t="n">
        <v>1</v>
      </c>
      <c r="C1785" t="n">
        <v>2008</v>
      </c>
      <c r="D1785" t="n">
        <v>2008</v>
      </c>
      <c r="E1785" t="inlineStr">
        <is>
          <t>The Bank Job</t>
        </is>
      </c>
      <c r="F1785" t="inlineStr">
        <is>
          <t>F0040</t>
        </is>
      </c>
    </row>
    <row r="1786">
      <c r="A1786" t="inlineStr">
        <is>
          <t>Colin Salmon</t>
        </is>
      </c>
      <c r="B1786" t="n">
        <v>1</v>
      </c>
      <c r="C1786" t="n">
        <v>2008</v>
      </c>
      <c r="D1786" t="n">
        <v>2008</v>
      </c>
      <c r="E1786" t="inlineStr">
        <is>
          <t>The Bank Job</t>
        </is>
      </c>
      <c r="F1786" t="inlineStr">
        <is>
          <t>F0040</t>
        </is>
      </c>
    </row>
    <row r="1787">
      <c r="A1787" t="inlineStr">
        <is>
          <t>Sharon Maughan</t>
        </is>
      </c>
      <c r="B1787" t="n">
        <v>1</v>
      </c>
      <c r="C1787" t="n">
        <v>2008</v>
      </c>
      <c r="D1787" t="n">
        <v>2008</v>
      </c>
      <c r="E1787" t="inlineStr">
        <is>
          <t>The Bank Job</t>
        </is>
      </c>
      <c r="F1787" t="inlineStr">
        <is>
          <t>F0040</t>
        </is>
      </c>
    </row>
    <row r="1788">
      <c r="A1788" t="inlineStr">
        <is>
          <t>Angus Wright</t>
        </is>
      </c>
      <c r="B1788" t="n">
        <v>2</v>
      </c>
      <c r="C1788" t="n">
        <v>2008</v>
      </c>
      <c r="D1788" t="n">
        <v>2014</v>
      </c>
      <c r="E1788" t="inlineStr">
        <is>
          <t>The Bank Job, Maleficent</t>
        </is>
      </c>
      <c r="F1788" t="inlineStr">
        <is>
          <t>F0040, F0208</t>
        </is>
      </c>
    </row>
    <row r="1789">
      <c r="A1789" t="inlineStr">
        <is>
          <t>Rupert Vansittart</t>
        </is>
      </c>
      <c r="B1789" t="n">
        <v>1</v>
      </c>
      <c r="C1789" t="n">
        <v>2008</v>
      </c>
      <c r="D1789" t="n">
        <v>2008</v>
      </c>
      <c r="E1789" t="inlineStr">
        <is>
          <t>The Bank Job</t>
        </is>
      </c>
      <c r="F1789" t="inlineStr">
        <is>
          <t>F0040</t>
        </is>
      </c>
    </row>
    <row r="1790">
      <c r="A1790" t="inlineStr">
        <is>
          <t>Bronson Webb</t>
        </is>
      </c>
      <c r="B1790" t="n">
        <v>3</v>
      </c>
      <c r="C1790" t="n">
        <v>2008</v>
      </c>
      <c r="D1790" t="n">
        <v>2011</v>
      </c>
      <c r="E1790" t="inlineStr">
        <is>
          <t>The Bank Job, Pirates of the Caribbean: On Stranger Tides, Robin Hood</t>
        </is>
      </c>
      <c r="F1790" t="inlineStr">
        <is>
          <t>F0040, F0249, F0267</t>
        </is>
      </c>
    </row>
    <row r="1791">
      <c r="A1791" t="inlineStr">
        <is>
          <t>Julian Firth</t>
        </is>
      </c>
      <c r="B1791" t="n">
        <v>1</v>
      </c>
      <c r="C1791" t="n">
        <v>2008</v>
      </c>
      <c r="D1791" t="n">
        <v>2008</v>
      </c>
      <c r="E1791" t="inlineStr">
        <is>
          <t>The Bank Job</t>
        </is>
      </c>
      <c r="F1791" t="inlineStr">
        <is>
          <t>F0040</t>
        </is>
      </c>
    </row>
    <row r="1792">
      <c r="A1792" t="inlineStr">
        <is>
          <t>Christopher Owen</t>
        </is>
      </c>
      <c r="B1792" t="n">
        <v>1</v>
      </c>
      <c r="C1792" t="n">
        <v>2008</v>
      </c>
      <c r="D1792" t="n">
        <v>2008</v>
      </c>
      <c r="E1792" t="inlineStr">
        <is>
          <t>The Bank Job</t>
        </is>
      </c>
      <c r="F1792" t="inlineStr">
        <is>
          <t>F0040</t>
        </is>
      </c>
    </row>
    <row r="1793">
      <c r="A1793" t="inlineStr">
        <is>
          <t>Antony Gabriel</t>
        </is>
      </c>
      <c r="B1793" t="n">
        <v>1</v>
      </c>
      <c r="C1793" t="n">
        <v>2008</v>
      </c>
      <c r="D1793" t="n">
        <v>2008</v>
      </c>
      <c r="E1793" t="inlineStr">
        <is>
          <t>The Bank Job</t>
        </is>
      </c>
      <c r="F1793" t="inlineStr">
        <is>
          <t>F0040</t>
        </is>
      </c>
    </row>
    <row r="1794">
      <c r="A1794" t="inlineStr">
        <is>
          <t>Kate McKinnon</t>
        </is>
      </c>
      <c r="B1794" t="n">
        <v>2</v>
      </c>
      <c r="C1794" t="n">
        <v>2016</v>
      </c>
      <c r="D1794" t="n">
        <v>2023</v>
      </c>
      <c r="E1794" t="inlineStr">
        <is>
          <t>Barbie, Finding Dory</t>
        </is>
      </c>
      <c r="F1794" t="inlineStr">
        <is>
          <t>F0041, F0113</t>
        </is>
      </c>
    </row>
    <row r="1795">
      <c r="A1795" t="inlineStr">
        <is>
          <t>Alexandra Shipp</t>
        </is>
      </c>
      <c r="B1795" t="n">
        <v>3</v>
      </c>
      <c r="C1795" t="n">
        <v>2015</v>
      </c>
      <c r="D1795" t="n">
        <v>2023</v>
      </c>
      <c r="E1795" t="inlineStr">
        <is>
          <t>Barbie, Straight Outta Compton, X-Men: Apocalypse</t>
        </is>
      </c>
      <c r="F1795" t="inlineStr">
        <is>
          <t>F0041, F0301, F0342</t>
        </is>
      </c>
    </row>
    <row r="1796">
      <c r="A1796" t="inlineStr">
        <is>
          <t>Emma Mackey</t>
        </is>
      </c>
      <c r="B1796" t="n">
        <v>1</v>
      </c>
      <c r="C1796" t="n">
        <v>2023</v>
      </c>
      <c r="D1796" t="n">
        <v>2023</v>
      </c>
      <c r="E1796" t="inlineStr">
        <is>
          <t>Barbie</t>
        </is>
      </c>
      <c r="F1796" t="inlineStr">
        <is>
          <t>F0041</t>
        </is>
      </c>
    </row>
    <row r="1797">
      <c r="A1797" t="inlineStr">
        <is>
          <t>Hari Nef</t>
        </is>
      </c>
      <c r="B1797" t="n">
        <v>1</v>
      </c>
      <c r="C1797" t="n">
        <v>2023</v>
      </c>
      <c r="D1797" t="n">
        <v>2023</v>
      </c>
      <c r="E1797" t="inlineStr">
        <is>
          <t>Barbie</t>
        </is>
      </c>
      <c r="F1797" t="inlineStr">
        <is>
          <t>F0041</t>
        </is>
      </c>
    </row>
    <row r="1798">
      <c r="A1798" t="inlineStr">
        <is>
          <t>Sharon Rooney</t>
        </is>
      </c>
      <c r="B1798" t="n">
        <v>1</v>
      </c>
      <c r="C1798" t="n">
        <v>2023</v>
      </c>
      <c r="D1798" t="n">
        <v>2023</v>
      </c>
      <c r="E1798" t="inlineStr">
        <is>
          <t>Barbie</t>
        </is>
      </c>
      <c r="F1798" t="inlineStr">
        <is>
          <t>F0041</t>
        </is>
      </c>
    </row>
    <row r="1799">
      <c r="A1799" t="inlineStr">
        <is>
          <t>Ana Cruz Kayne</t>
        </is>
      </c>
      <c r="B1799" t="n">
        <v>1</v>
      </c>
      <c r="C1799" t="n">
        <v>2023</v>
      </c>
      <c r="D1799" t="n">
        <v>2023</v>
      </c>
      <c r="E1799" t="inlineStr">
        <is>
          <t>Barbie</t>
        </is>
      </c>
      <c r="F1799" t="inlineStr">
        <is>
          <t>F0041</t>
        </is>
      </c>
    </row>
    <row r="1800">
      <c r="A1800" t="inlineStr">
        <is>
          <t>Ritu Arya</t>
        </is>
      </c>
      <c r="B1800" t="n">
        <v>1</v>
      </c>
      <c r="C1800" t="n">
        <v>2023</v>
      </c>
      <c r="D1800" t="n">
        <v>2023</v>
      </c>
      <c r="E1800" t="inlineStr">
        <is>
          <t>Barbie</t>
        </is>
      </c>
      <c r="F1800" t="inlineStr">
        <is>
          <t>F0041</t>
        </is>
      </c>
    </row>
    <row r="1801">
      <c r="A1801" t="inlineStr">
        <is>
          <t>Dua Lipa</t>
        </is>
      </c>
      <c r="B1801" t="n">
        <v>1</v>
      </c>
      <c r="C1801" t="n">
        <v>2023</v>
      </c>
      <c r="D1801" t="n">
        <v>2023</v>
      </c>
      <c r="E1801" t="inlineStr">
        <is>
          <t>Barbie</t>
        </is>
      </c>
      <c r="F1801" t="inlineStr">
        <is>
          <t>F0041</t>
        </is>
      </c>
    </row>
    <row r="1802">
      <c r="A1802" t="inlineStr">
        <is>
          <t>Nicola Coughlan</t>
        </is>
      </c>
      <c r="B1802" t="n">
        <v>1</v>
      </c>
      <c r="C1802" t="n">
        <v>2023</v>
      </c>
      <c r="D1802" t="n">
        <v>2023</v>
      </c>
      <c r="E1802" t="inlineStr">
        <is>
          <t>Barbie</t>
        </is>
      </c>
      <c r="F1802" t="inlineStr">
        <is>
          <t>F0041</t>
        </is>
      </c>
    </row>
    <row r="1803">
      <c r="A1803" t="inlineStr">
        <is>
          <t>Emerald Fennell</t>
        </is>
      </c>
      <c r="B1803" t="n">
        <v>1</v>
      </c>
      <c r="C1803" t="n">
        <v>2023</v>
      </c>
      <c r="D1803" t="n">
        <v>2023</v>
      </c>
      <c r="E1803" t="inlineStr">
        <is>
          <t>Barbie</t>
        </is>
      </c>
      <c r="F1803" t="inlineStr">
        <is>
          <t>F0041</t>
        </is>
      </c>
    </row>
    <row r="1804">
      <c r="A1804" t="inlineStr">
        <is>
          <t>Simu Liu</t>
        </is>
      </c>
      <c r="B1804" t="n">
        <v>1</v>
      </c>
      <c r="C1804" t="n">
        <v>2023</v>
      </c>
      <c r="D1804" t="n">
        <v>2023</v>
      </c>
      <c r="E1804" t="inlineStr">
        <is>
          <t>Barbie</t>
        </is>
      </c>
      <c r="F1804" t="inlineStr">
        <is>
          <t>F0041</t>
        </is>
      </c>
    </row>
    <row r="1805">
      <c r="A1805" t="inlineStr">
        <is>
          <t>Kingsley Ben-Adir</t>
        </is>
      </c>
      <c r="B1805" t="n">
        <v>1</v>
      </c>
      <c r="C1805" t="n">
        <v>2023</v>
      </c>
      <c r="D1805" t="n">
        <v>2023</v>
      </c>
      <c r="E1805" t="inlineStr">
        <is>
          <t>Barbie</t>
        </is>
      </c>
      <c r="F1805" t="inlineStr">
        <is>
          <t>F0041</t>
        </is>
      </c>
    </row>
    <row r="1806">
      <c r="A1806" t="inlineStr">
        <is>
          <t>Ncuti Gatwa</t>
        </is>
      </c>
      <c r="B1806" t="n">
        <v>1</v>
      </c>
      <c r="C1806" t="n">
        <v>2023</v>
      </c>
      <c r="D1806" t="n">
        <v>2023</v>
      </c>
      <c r="E1806" t="inlineStr">
        <is>
          <t>Barbie</t>
        </is>
      </c>
      <c r="F1806" t="inlineStr">
        <is>
          <t>F0041</t>
        </is>
      </c>
    </row>
    <row r="1807">
      <c r="A1807" t="inlineStr">
        <is>
          <t>Scott Evans</t>
        </is>
      </c>
      <c r="B1807" t="n">
        <v>1</v>
      </c>
      <c r="C1807" t="n">
        <v>2023</v>
      </c>
      <c r="D1807" t="n">
        <v>2023</v>
      </c>
      <c r="E1807" t="inlineStr">
        <is>
          <t>Barbie</t>
        </is>
      </c>
      <c r="F1807" t="inlineStr">
        <is>
          <t>F0041</t>
        </is>
      </c>
    </row>
    <row r="1808">
      <c r="A1808" t="inlineStr">
        <is>
          <t>Rhea Perlman</t>
        </is>
      </c>
      <c r="B1808" t="n">
        <v>2</v>
      </c>
      <c r="C1808" t="n">
        <v>2016</v>
      </c>
      <c r="D1808" t="n">
        <v>2023</v>
      </c>
      <c r="E1808" t="inlineStr">
        <is>
          <t>Barbie, Sing</t>
        </is>
      </c>
      <c r="F1808" t="inlineStr">
        <is>
          <t>F0041, F0280</t>
        </is>
      </c>
    </row>
    <row r="1809">
      <c r="A1809" t="inlineStr">
        <is>
          <t>Connor Swindells</t>
        </is>
      </c>
      <c r="B1809" t="n">
        <v>1</v>
      </c>
      <c r="C1809" t="n">
        <v>2023</v>
      </c>
      <c r="D1809" t="n">
        <v>2023</v>
      </c>
      <c r="E1809" t="inlineStr">
        <is>
          <t>Barbie</t>
        </is>
      </c>
      <c r="F1809" t="inlineStr">
        <is>
          <t>F0041</t>
        </is>
      </c>
    </row>
    <row r="1810">
      <c r="A1810" t="inlineStr">
        <is>
          <t>Jamie Demetriou</t>
        </is>
      </c>
      <c r="B1810" t="n">
        <v>1</v>
      </c>
      <c r="C1810" t="n">
        <v>2023</v>
      </c>
      <c r="D1810" t="n">
        <v>2023</v>
      </c>
      <c r="E1810" t="inlineStr">
        <is>
          <t>Barbie</t>
        </is>
      </c>
      <c r="F1810" t="inlineStr">
        <is>
          <t>F0041</t>
        </is>
      </c>
    </row>
    <row r="1811">
      <c r="A1811" t="inlineStr">
        <is>
          <t>Andrew Leung</t>
        </is>
      </c>
      <c r="B1811" t="n">
        <v>1</v>
      </c>
      <c r="C1811" t="n">
        <v>2023</v>
      </c>
      <c r="D1811" t="n">
        <v>2023</v>
      </c>
      <c r="E1811" t="inlineStr">
        <is>
          <t>Barbie</t>
        </is>
      </c>
      <c r="F1811" t="inlineStr">
        <is>
          <t>F0041</t>
        </is>
      </c>
    </row>
    <row r="1812">
      <c r="A1812" t="inlineStr">
        <is>
          <t>Will Merrick</t>
        </is>
      </c>
      <c r="B1812" t="n">
        <v>2</v>
      </c>
      <c r="C1812" t="n">
        <v>2023</v>
      </c>
      <c r="D1812" t="n">
        <v>2025</v>
      </c>
      <c r="E1812" t="inlineStr">
        <is>
          <t>Barbie, F1</t>
        </is>
      </c>
      <c r="F1812" t="inlineStr">
        <is>
          <t>F0041, F0098</t>
        </is>
      </c>
    </row>
    <row r="1813">
      <c r="A1813" t="inlineStr">
        <is>
          <t>Zheng Xi Yong</t>
        </is>
      </c>
      <c r="B1813" t="n">
        <v>1</v>
      </c>
      <c r="C1813" t="n">
        <v>2023</v>
      </c>
      <c r="D1813" t="n">
        <v>2023</v>
      </c>
      <c r="E1813" t="inlineStr">
        <is>
          <t>Barbie</t>
        </is>
      </c>
      <c r="F1813" t="inlineStr">
        <is>
          <t>F0041</t>
        </is>
      </c>
    </row>
    <row r="1814">
      <c r="A1814" t="inlineStr">
        <is>
          <t>Asim Chaudhry</t>
        </is>
      </c>
      <c r="B1814" t="n">
        <v>1</v>
      </c>
      <c r="C1814" t="n">
        <v>2023</v>
      </c>
      <c r="D1814" t="n">
        <v>2023</v>
      </c>
      <c r="E1814" t="inlineStr">
        <is>
          <t>Barbie</t>
        </is>
      </c>
      <c r="F1814" t="inlineStr">
        <is>
          <t>F0041</t>
        </is>
      </c>
    </row>
    <row r="1815">
      <c r="A1815" t="inlineStr">
        <is>
          <t>Barry Keoghan</t>
        </is>
      </c>
      <c r="B1815" t="n">
        <v>1</v>
      </c>
      <c r="C1815" t="n">
        <v>2022</v>
      </c>
      <c r="D1815" t="n">
        <v>2022</v>
      </c>
      <c r="E1815" t="inlineStr">
        <is>
          <t>The Batman</t>
        </is>
      </c>
      <c r="F1815" t="inlineStr">
        <is>
          <t>F0042</t>
        </is>
      </c>
    </row>
    <row r="1816">
      <c r="A1816" t="inlineStr">
        <is>
          <t>Jayme Lawson</t>
        </is>
      </c>
      <c r="B1816" t="n">
        <v>1</v>
      </c>
      <c r="C1816" t="n">
        <v>2022</v>
      </c>
      <c r="D1816" t="n">
        <v>2022</v>
      </c>
      <c r="E1816" t="inlineStr">
        <is>
          <t>The Batman</t>
        </is>
      </c>
      <c r="F1816" t="inlineStr">
        <is>
          <t>F0042</t>
        </is>
      </c>
    </row>
    <row r="1817">
      <c r="A1817" t="inlineStr">
        <is>
          <t>Gil Perez-Abraham</t>
        </is>
      </c>
      <c r="B1817" t="n">
        <v>1</v>
      </c>
      <c r="C1817" t="n">
        <v>2022</v>
      </c>
      <c r="D1817" t="n">
        <v>2022</v>
      </c>
      <c r="E1817" t="inlineStr">
        <is>
          <t>The Batman</t>
        </is>
      </c>
      <c r="F1817" t="inlineStr">
        <is>
          <t>F0042</t>
        </is>
      </c>
    </row>
    <row r="1818">
      <c r="A1818" t="inlineStr">
        <is>
          <t>Peter McDonald</t>
        </is>
      </c>
      <c r="B1818" t="n">
        <v>1</v>
      </c>
      <c r="C1818" t="n">
        <v>2022</v>
      </c>
      <c r="D1818" t="n">
        <v>2022</v>
      </c>
      <c r="E1818" t="inlineStr">
        <is>
          <t>The Batman</t>
        </is>
      </c>
      <c r="F1818" t="inlineStr">
        <is>
          <t>F0042</t>
        </is>
      </c>
    </row>
    <row r="1819">
      <c r="A1819" t="inlineStr">
        <is>
          <t>Con O'Neill</t>
        </is>
      </c>
      <c r="B1819" t="n">
        <v>1</v>
      </c>
      <c r="C1819" t="n">
        <v>2022</v>
      </c>
      <c r="D1819" t="n">
        <v>2022</v>
      </c>
      <c r="E1819" t="inlineStr">
        <is>
          <t>The Batman</t>
        </is>
      </c>
      <c r="F1819" t="inlineStr">
        <is>
          <t>F0042</t>
        </is>
      </c>
    </row>
    <row r="1820">
      <c r="A1820" t="inlineStr">
        <is>
          <t>Alex Ferns</t>
        </is>
      </c>
      <c r="B1820" t="n">
        <v>1</v>
      </c>
      <c r="C1820" t="n">
        <v>2022</v>
      </c>
      <c r="D1820" t="n">
        <v>2022</v>
      </c>
      <c r="E1820" t="inlineStr">
        <is>
          <t>The Batman</t>
        </is>
      </c>
      <c r="F1820" t="inlineStr">
        <is>
          <t>F0042</t>
        </is>
      </c>
    </row>
    <row r="1821">
      <c r="A1821" t="inlineStr">
        <is>
          <t>Rupert Penry-Jones</t>
        </is>
      </c>
      <c r="B1821" t="n">
        <v>1</v>
      </c>
      <c r="C1821" t="n">
        <v>2022</v>
      </c>
      <c r="D1821" t="n">
        <v>2022</v>
      </c>
      <c r="E1821" t="inlineStr">
        <is>
          <t>The Batman</t>
        </is>
      </c>
      <c r="F1821" t="inlineStr">
        <is>
          <t>F0042</t>
        </is>
      </c>
    </row>
    <row r="1822">
      <c r="A1822" t="inlineStr">
        <is>
          <t>Kosha Engler</t>
        </is>
      </c>
      <c r="B1822" t="n">
        <v>1</v>
      </c>
      <c r="C1822" t="n">
        <v>2022</v>
      </c>
      <c r="D1822" t="n">
        <v>2022</v>
      </c>
      <c r="E1822" t="inlineStr">
        <is>
          <t>The Batman</t>
        </is>
      </c>
      <c r="F1822" t="inlineStr">
        <is>
          <t>F0042</t>
        </is>
      </c>
    </row>
    <row r="1823">
      <c r="A1823" t="inlineStr">
        <is>
          <t>Archie Barnes</t>
        </is>
      </c>
      <c r="B1823" t="n">
        <v>1</v>
      </c>
      <c r="C1823" t="n">
        <v>2022</v>
      </c>
      <c r="D1823" t="n">
        <v>2022</v>
      </c>
      <c r="E1823" t="inlineStr">
        <is>
          <t>The Batman</t>
        </is>
      </c>
      <c r="F1823" t="inlineStr">
        <is>
          <t>F0042</t>
        </is>
      </c>
    </row>
    <row r="1824">
      <c r="A1824" t="inlineStr">
        <is>
          <t>Janine Harouni</t>
        </is>
      </c>
      <c r="B1824" t="n">
        <v>1</v>
      </c>
      <c r="C1824" t="n">
        <v>2022</v>
      </c>
      <c r="D1824" t="n">
        <v>2022</v>
      </c>
      <c r="E1824" t="inlineStr">
        <is>
          <t>The Batman</t>
        </is>
      </c>
      <c r="F1824" t="inlineStr">
        <is>
          <t>F0042</t>
        </is>
      </c>
    </row>
    <row r="1825">
      <c r="A1825" t="inlineStr">
        <is>
          <t>Hana Hrzic</t>
        </is>
      </c>
      <c r="B1825" t="n">
        <v>1</v>
      </c>
      <c r="C1825" t="n">
        <v>2022</v>
      </c>
      <c r="D1825" t="n">
        <v>2022</v>
      </c>
      <c r="E1825" t="inlineStr">
        <is>
          <t>The Batman</t>
        </is>
      </c>
      <c r="F1825" t="inlineStr">
        <is>
          <t>F0042</t>
        </is>
      </c>
    </row>
    <row r="1826">
      <c r="A1826" t="inlineStr">
        <is>
          <t>Joseph Walker</t>
        </is>
      </c>
      <c r="B1826" t="n">
        <v>1</v>
      </c>
      <c r="C1826" t="n">
        <v>2022</v>
      </c>
      <c r="D1826" t="n">
        <v>2022</v>
      </c>
      <c r="E1826" t="inlineStr">
        <is>
          <t>The Batman</t>
        </is>
      </c>
      <c r="F1826" t="inlineStr">
        <is>
          <t>F0042</t>
        </is>
      </c>
    </row>
    <row r="1827">
      <c r="A1827" t="inlineStr">
        <is>
          <t>Luke Roberts</t>
        </is>
      </c>
      <c r="B1827" t="n">
        <v>1</v>
      </c>
      <c r="C1827" t="n">
        <v>2022</v>
      </c>
      <c r="D1827" t="n">
        <v>2022</v>
      </c>
      <c r="E1827" t="inlineStr">
        <is>
          <t>The Batman</t>
        </is>
      </c>
      <c r="F1827" t="inlineStr">
        <is>
          <t>F0042</t>
        </is>
      </c>
    </row>
    <row r="1828">
      <c r="A1828" t="inlineStr">
        <is>
          <t>Oscar Novak</t>
        </is>
      </c>
      <c r="B1828" t="n">
        <v>1</v>
      </c>
      <c r="C1828" t="n">
        <v>2022</v>
      </c>
      <c r="D1828" t="n">
        <v>2022</v>
      </c>
      <c r="E1828" t="inlineStr">
        <is>
          <t>The Batman</t>
        </is>
      </c>
      <c r="F1828" t="inlineStr">
        <is>
          <t>F0042</t>
        </is>
      </c>
    </row>
    <row r="1829">
      <c r="A1829" t="inlineStr">
        <is>
          <t>Stella Stocker</t>
        </is>
      </c>
      <c r="B1829" t="n">
        <v>2</v>
      </c>
      <c r="C1829" t="n">
        <v>2014</v>
      </c>
      <c r="D1829" t="n">
        <v>2022</v>
      </c>
      <c r="E1829" t="inlineStr">
        <is>
          <t>The Batman, Fury</t>
        </is>
      </c>
      <c r="F1829" t="inlineStr">
        <is>
          <t>F0042, F0117</t>
        </is>
      </c>
    </row>
    <row r="1830">
      <c r="A1830" t="inlineStr">
        <is>
          <t>Sandra Dickinson</t>
        </is>
      </c>
      <c r="B1830" t="n">
        <v>1</v>
      </c>
      <c r="C1830" t="n">
        <v>2022</v>
      </c>
      <c r="D1830" t="n">
        <v>2022</v>
      </c>
      <c r="E1830" t="inlineStr">
        <is>
          <t>The Batman</t>
        </is>
      </c>
      <c r="F1830" t="inlineStr">
        <is>
          <t>F0042</t>
        </is>
      </c>
    </row>
    <row r="1831">
      <c r="A1831" t="inlineStr">
        <is>
          <t>Jack Bennett</t>
        </is>
      </c>
      <c r="B1831" t="n">
        <v>1</v>
      </c>
      <c r="C1831" t="n">
        <v>2022</v>
      </c>
      <c r="D1831" t="n">
        <v>2022</v>
      </c>
      <c r="E1831" t="inlineStr">
        <is>
          <t>The Batman</t>
        </is>
      </c>
      <c r="F1831" t="inlineStr">
        <is>
          <t>F0042</t>
        </is>
      </c>
    </row>
    <row r="1832">
      <c r="A1832" t="inlineStr">
        <is>
          <t>Andre Nightingale</t>
        </is>
      </c>
      <c r="B1832" t="n">
        <v>1</v>
      </c>
      <c r="C1832" t="n">
        <v>2022</v>
      </c>
      <c r="D1832" t="n">
        <v>2022</v>
      </c>
      <c r="E1832" t="inlineStr">
        <is>
          <t>The Batman</t>
        </is>
      </c>
      <c r="F1832" t="inlineStr">
        <is>
          <t>F0042</t>
        </is>
      </c>
    </row>
    <row r="1833">
      <c r="A1833" t="inlineStr">
        <is>
          <t>Richard James-Neale</t>
        </is>
      </c>
      <c r="B1833" t="n">
        <v>1</v>
      </c>
      <c r="C1833" t="n">
        <v>2022</v>
      </c>
      <c r="D1833" t="n">
        <v>2022</v>
      </c>
      <c r="E1833" t="inlineStr">
        <is>
          <t>The Batman</t>
        </is>
      </c>
      <c r="F1833" t="inlineStr">
        <is>
          <t>F0042</t>
        </is>
      </c>
    </row>
    <row r="1834">
      <c r="A1834" t="inlineStr">
        <is>
          <t>Lorraine Tai</t>
        </is>
      </c>
      <c r="B1834" t="n">
        <v>1</v>
      </c>
      <c r="C1834" t="n">
        <v>2022</v>
      </c>
      <c r="D1834" t="n">
        <v>2022</v>
      </c>
      <c r="E1834" t="inlineStr">
        <is>
          <t>The Batman</t>
        </is>
      </c>
      <c r="F1834" t="inlineStr">
        <is>
          <t>F0042</t>
        </is>
      </c>
    </row>
    <row r="1835">
      <c r="A1835" t="inlineStr">
        <is>
          <t>Joseph Balderrama</t>
        </is>
      </c>
      <c r="B1835" t="n">
        <v>2</v>
      </c>
      <c r="C1835" t="n">
        <v>2022</v>
      </c>
      <c r="D1835" t="n">
        <v>2025</v>
      </c>
      <c r="E1835" t="inlineStr">
        <is>
          <t>The Batman, F1</t>
        </is>
      </c>
      <c r="F1835" t="inlineStr">
        <is>
          <t>F0042, F0098</t>
        </is>
      </c>
    </row>
    <row r="1836">
      <c r="A1836" t="inlineStr">
        <is>
          <t>James Eeles</t>
        </is>
      </c>
      <c r="B1836" t="n">
        <v>1</v>
      </c>
      <c r="C1836" t="n">
        <v>2022</v>
      </c>
      <c r="D1836" t="n">
        <v>2022</v>
      </c>
      <c r="E1836" t="inlineStr">
        <is>
          <t>The Batman</t>
        </is>
      </c>
      <c r="F1836" t="inlineStr">
        <is>
          <t>F0042</t>
        </is>
      </c>
    </row>
    <row r="1837">
      <c r="A1837" t="inlineStr">
        <is>
          <t>Rutger Hauer</t>
        </is>
      </c>
      <c r="B1837" t="n">
        <v>1</v>
      </c>
      <c r="C1837" t="n">
        <v>2005</v>
      </c>
      <c r="D1837" t="n">
        <v>2005</v>
      </c>
      <c r="E1837" t="inlineStr">
        <is>
          <t>Batman Begins</t>
        </is>
      </c>
      <c r="F1837" t="inlineStr">
        <is>
          <t>F0043</t>
        </is>
      </c>
    </row>
    <row r="1838">
      <c r="A1838" t="inlineStr">
        <is>
          <t>Mark Boone Junior</t>
        </is>
      </c>
      <c r="B1838" t="n">
        <v>3</v>
      </c>
      <c r="C1838" t="n">
        <v>2003</v>
      </c>
      <c r="D1838" t="n">
        <v>2009</v>
      </c>
      <c r="E1838" t="inlineStr">
        <is>
          <t>Batman Begins, 2 Fast 2 Furious, Fast &amp; Furious</t>
        </is>
      </c>
      <c r="F1838" t="inlineStr">
        <is>
          <t>F0043, F0102, F0104</t>
        </is>
      </c>
    </row>
    <row r="1839">
      <c r="A1839" t="inlineStr">
        <is>
          <t>Linus Roache</t>
        </is>
      </c>
      <c r="B1839" t="n">
        <v>1</v>
      </c>
      <c r="C1839" t="n">
        <v>2005</v>
      </c>
      <c r="D1839" t="n">
        <v>2005</v>
      </c>
      <c r="E1839" t="inlineStr">
        <is>
          <t>Batman Begins</t>
        </is>
      </c>
      <c r="F1839" t="inlineStr">
        <is>
          <t>F0043</t>
        </is>
      </c>
    </row>
    <row r="1840">
      <c r="A1840" t="inlineStr">
        <is>
          <t>Larry Holden</t>
        </is>
      </c>
      <c r="B1840" t="n">
        <v>1</v>
      </c>
      <c r="C1840" t="n">
        <v>2005</v>
      </c>
      <c r="D1840" t="n">
        <v>2005</v>
      </c>
      <c r="E1840" t="inlineStr">
        <is>
          <t>Batman Begins</t>
        </is>
      </c>
      <c r="F1840" t="inlineStr">
        <is>
          <t>F0043</t>
        </is>
      </c>
    </row>
    <row r="1841">
      <c r="A1841" t="inlineStr">
        <is>
          <t>Gerard Murphy</t>
        </is>
      </c>
      <c r="B1841" t="n">
        <v>1</v>
      </c>
      <c r="C1841" t="n">
        <v>2005</v>
      </c>
      <c r="D1841" t="n">
        <v>2005</v>
      </c>
      <c r="E1841" t="inlineStr">
        <is>
          <t>Batman Begins</t>
        </is>
      </c>
      <c r="F1841" t="inlineStr">
        <is>
          <t>F0043</t>
        </is>
      </c>
    </row>
    <row r="1842">
      <c r="A1842" t="inlineStr">
        <is>
          <t>Colin McFarlane</t>
        </is>
      </c>
      <c r="B1842" t="n">
        <v>2</v>
      </c>
      <c r="C1842" t="n">
        <v>2005</v>
      </c>
      <c r="D1842" t="n">
        <v>2008</v>
      </c>
      <c r="E1842" t="inlineStr">
        <is>
          <t>Batman Begins, The Dark Knight</t>
        </is>
      </c>
      <c r="F1842" t="inlineStr">
        <is>
          <t>F0043, F0044</t>
        </is>
      </c>
    </row>
    <row r="1843">
      <c r="A1843" t="inlineStr">
        <is>
          <t>Sara Stewart</t>
        </is>
      </c>
      <c r="B1843" t="n">
        <v>2</v>
      </c>
      <c r="C1843" t="n">
        <v>2005</v>
      </c>
      <c r="D1843" t="n">
        <v>2017</v>
      </c>
      <c r="E1843" t="inlineStr">
        <is>
          <t>Batman Begins, Transformers: The Last Knight</t>
        </is>
      </c>
      <c r="F1843" t="inlineStr">
        <is>
          <t>F0043, F0320</t>
        </is>
      </c>
    </row>
    <row r="1844">
      <c r="A1844" t="inlineStr">
        <is>
          <t>Gus Lewis</t>
        </is>
      </c>
      <c r="B1844" t="n">
        <v>1</v>
      </c>
      <c r="C1844" t="n">
        <v>2005</v>
      </c>
      <c r="D1844" t="n">
        <v>2005</v>
      </c>
      <c r="E1844" t="inlineStr">
        <is>
          <t>Batman Begins</t>
        </is>
      </c>
      <c r="F1844" t="inlineStr">
        <is>
          <t>F0043</t>
        </is>
      </c>
    </row>
    <row r="1845">
      <c r="A1845" t="inlineStr">
        <is>
          <t>Richard Brake</t>
        </is>
      </c>
      <c r="B1845" t="n">
        <v>2</v>
      </c>
      <c r="C1845" t="n">
        <v>2005</v>
      </c>
      <c r="D1845" t="n">
        <v>2015</v>
      </c>
      <c r="E1845" t="inlineStr">
        <is>
          <t>Batman Begins, Spy</t>
        </is>
      </c>
      <c r="F1845" t="inlineStr">
        <is>
          <t>F0043, F0290</t>
        </is>
      </c>
    </row>
    <row r="1846">
      <c r="A1846" t="inlineStr">
        <is>
          <t>Rade Šerbedžija</t>
        </is>
      </c>
      <c r="B1846" t="n">
        <v>5</v>
      </c>
      <c r="C1846" t="n">
        <v>2000</v>
      </c>
      <c r="D1846" t="n">
        <v>2014</v>
      </c>
      <c r="E1846" t="inlineStr">
        <is>
          <t>Batman Begins, The Legend of Hercules, Mission: Impossible II, Taken 2, X-Men: First Class</t>
        </is>
      </c>
      <c r="F1846" t="inlineStr">
        <is>
          <t>F0043, F0148, F0222, F0307, F0340</t>
        </is>
      </c>
    </row>
    <row r="1847">
      <c r="A1847" t="inlineStr">
        <is>
          <t>Emma Lockhart</t>
        </is>
      </c>
      <c r="B1847" t="n">
        <v>1</v>
      </c>
      <c r="C1847" t="n">
        <v>2005</v>
      </c>
      <c r="D1847" t="n">
        <v>2005</v>
      </c>
      <c r="E1847" t="inlineStr">
        <is>
          <t>Batman Begins</t>
        </is>
      </c>
      <c r="F1847" t="inlineStr">
        <is>
          <t>F0043</t>
        </is>
      </c>
    </row>
    <row r="1848">
      <c r="A1848" t="inlineStr">
        <is>
          <t>Christine Adams</t>
        </is>
      </c>
      <c r="B1848" t="n">
        <v>1</v>
      </c>
      <c r="C1848" t="n">
        <v>2005</v>
      </c>
      <c r="D1848" t="n">
        <v>2005</v>
      </c>
      <c r="E1848" t="inlineStr">
        <is>
          <t>Batman Begins</t>
        </is>
      </c>
      <c r="F1848" t="inlineStr">
        <is>
          <t>F0043</t>
        </is>
      </c>
    </row>
    <row r="1849">
      <c r="A1849" t="inlineStr">
        <is>
          <t>Catherine Porter</t>
        </is>
      </c>
      <c r="B1849" t="n">
        <v>1</v>
      </c>
      <c r="C1849" t="n">
        <v>2005</v>
      </c>
      <c r="D1849" t="n">
        <v>2005</v>
      </c>
      <c r="E1849" t="inlineStr">
        <is>
          <t>Batman Begins</t>
        </is>
      </c>
      <c r="F1849" t="inlineStr">
        <is>
          <t>F0043</t>
        </is>
      </c>
    </row>
    <row r="1850">
      <c r="A1850" t="inlineStr">
        <is>
          <t>John Nolan</t>
        </is>
      </c>
      <c r="B1850" t="n">
        <v>1</v>
      </c>
      <c r="C1850" t="n">
        <v>2005</v>
      </c>
      <c r="D1850" t="n">
        <v>2005</v>
      </c>
      <c r="E1850" t="inlineStr">
        <is>
          <t>Batman Begins</t>
        </is>
      </c>
      <c r="F1850" t="inlineStr">
        <is>
          <t>F0043</t>
        </is>
      </c>
    </row>
    <row r="1851">
      <c r="A1851" t="inlineStr">
        <is>
          <t>Karen David</t>
        </is>
      </c>
      <c r="B1851" t="n">
        <v>1</v>
      </c>
      <c r="C1851" t="n">
        <v>2005</v>
      </c>
      <c r="D1851" t="n">
        <v>2005</v>
      </c>
      <c r="E1851" t="inlineStr">
        <is>
          <t>Batman Begins</t>
        </is>
      </c>
      <c r="F1851" t="inlineStr">
        <is>
          <t>F0043</t>
        </is>
      </c>
    </row>
    <row r="1852">
      <c r="A1852" t="inlineStr">
        <is>
          <t>Jonathan D. Ellis</t>
        </is>
      </c>
      <c r="B1852" t="n">
        <v>1</v>
      </c>
      <c r="C1852" t="n">
        <v>2005</v>
      </c>
      <c r="D1852" t="n">
        <v>2005</v>
      </c>
      <c r="E1852" t="inlineStr">
        <is>
          <t>Batman Begins</t>
        </is>
      </c>
      <c r="F1852" t="inlineStr">
        <is>
          <t>F0043</t>
        </is>
      </c>
    </row>
    <row r="1853">
      <c r="A1853" t="inlineStr">
        <is>
          <t>Tamer Hassan</t>
        </is>
      </c>
      <c r="B1853" t="n">
        <v>1</v>
      </c>
      <c r="C1853" t="n">
        <v>2005</v>
      </c>
      <c r="D1853" t="n">
        <v>2005</v>
      </c>
      <c r="E1853" t="inlineStr">
        <is>
          <t>Batman Begins</t>
        </is>
      </c>
      <c r="F1853" t="inlineStr">
        <is>
          <t>F0043</t>
        </is>
      </c>
    </row>
    <row r="1854">
      <c r="A1854" t="inlineStr">
        <is>
          <t>Ronan Leahy</t>
        </is>
      </c>
      <c r="B1854" t="n">
        <v>1</v>
      </c>
      <c r="C1854" t="n">
        <v>2005</v>
      </c>
      <c r="D1854" t="n">
        <v>2005</v>
      </c>
      <c r="E1854" t="inlineStr">
        <is>
          <t>Batman Begins</t>
        </is>
      </c>
      <c r="F1854" t="inlineStr">
        <is>
          <t>F0043</t>
        </is>
      </c>
    </row>
    <row r="1855">
      <c r="A1855" t="inlineStr">
        <is>
          <t>Vincent Wong</t>
        </is>
      </c>
      <c r="B1855" t="n">
        <v>1</v>
      </c>
      <c r="C1855" t="n">
        <v>2005</v>
      </c>
      <c r="D1855" t="n">
        <v>2005</v>
      </c>
      <c r="E1855" t="inlineStr">
        <is>
          <t>Batman Begins</t>
        </is>
      </c>
      <c r="F1855" t="inlineStr">
        <is>
          <t>F0043</t>
        </is>
      </c>
    </row>
    <row r="1856">
      <c r="A1856" t="inlineStr">
        <is>
          <t>Tom Wu</t>
        </is>
      </c>
      <c r="B1856" t="n">
        <v>4</v>
      </c>
      <c r="C1856" t="n">
        <v>2005</v>
      </c>
      <c r="D1856" t="n">
        <v>2020</v>
      </c>
      <c r="E1856" t="inlineStr">
        <is>
          <t>Batman Begins, Fast &amp; Furious Presents: Hobbs &amp; Shaw, The Gentlemen, Kick-Ass 2</t>
        </is>
      </c>
      <c r="F1856" t="inlineStr">
        <is>
          <t>F0043, F0111, F0119, F0186</t>
        </is>
      </c>
    </row>
    <row r="1857">
      <c r="A1857" t="inlineStr">
        <is>
          <t>Mark Chiu</t>
        </is>
      </c>
      <c r="B1857" t="n">
        <v>1</v>
      </c>
      <c r="C1857" t="n">
        <v>2005</v>
      </c>
      <c r="D1857" t="n">
        <v>2005</v>
      </c>
      <c r="E1857" t="inlineStr">
        <is>
          <t>Batman Begins</t>
        </is>
      </c>
      <c r="F1857" t="inlineStr">
        <is>
          <t>F0043</t>
        </is>
      </c>
    </row>
    <row r="1858">
      <c r="A1858" t="inlineStr">
        <is>
          <t>Monique Gabriela Curnen</t>
        </is>
      </c>
      <c r="B1858" t="n">
        <v>1</v>
      </c>
      <c r="C1858" t="n">
        <v>2008</v>
      </c>
      <c r="D1858" t="n">
        <v>2008</v>
      </c>
      <c r="E1858" t="inlineStr">
        <is>
          <t>The Dark Knight</t>
        </is>
      </c>
      <c r="F1858" t="inlineStr">
        <is>
          <t>F0044</t>
        </is>
      </c>
    </row>
    <row r="1859">
      <c r="A1859" t="inlineStr">
        <is>
          <t>Ron Dean</t>
        </is>
      </c>
      <c r="B1859" t="n">
        <v>2</v>
      </c>
      <c r="C1859" t="n">
        <v>1985</v>
      </c>
      <c r="D1859" t="n">
        <v>2008</v>
      </c>
      <c r="E1859" t="inlineStr">
        <is>
          <t>The Dark Knight, The Breakfast Club</t>
        </is>
      </c>
      <c r="F1859" t="inlineStr">
        <is>
          <t>F0044, F0057</t>
        </is>
      </c>
    </row>
    <row r="1860">
      <c r="A1860" t="inlineStr">
        <is>
          <t>Nestor Carbonell</t>
        </is>
      </c>
      <c r="B1860" t="n">
        <v>2</v>
      </c>
      <c r="C1860" t="n">
        <v>2008</v>
      </c>
      <c r="D1860" t="n">
        <v>2012</v>
      </c>
      <c r="E1860" t="inlineStr">
        <is>
          <t>The Dark Knight, The Dark Knight Rises</t>
        </is>
      </c>
      <c r="F1860" t="inlineStr">
        <is>
          <t>F0044, F0045</t>
        </is>
      </c>
    </row>
    <row r="1861">
      <c r="A1861" t="inlineStr">
        <is>
          <t>Ritchie Coster</t>
        </is>
      </c>
      <c r="B1861" t="n">
        <v>2</v>
      </c>
      <c r="C1861" t="n">
        <v>2008</v>
      </c>
      <c r="D1861" t="n">
        <v>2015</v>
      </c>
      <c r="E1861" t="inlineStr">
        <is>
          <t>The Dark Knight, Creed</t>
        </is>
      </c>
      <c r="F1861" t="inlineStr">
        <is>
          <t>F0044, F0074</t>
        </is>
      </c>
    </row>
    <row r="1862">
      <c r="A1862" t="inlineStr">
        <is>
          <t>Joshua Harto</t>
        </is>
      </c>
      <c r="B1862" t="n">
        <v>1</v>
      </c>
      <c r="C1862" t="n">
        <v>2008</v>
      </c>
      <c r="D1862" t="n">
        <v>2008</v>
      </c>
      <c r="E1862" t="inlineStr">
        <is>
          <t>The Dark Knight</t>
        </is>
      </c>
      <c r="F1862" t="inlineStr">
        <is>
          <t>F0044</t>
        </is>
      </c>
    </row>
    <row r="1863">
      <c r="A1863" t="inlineStr">
        <is>
          <t>Melinda McGraw</t>
        </is>
      </c>
      <c r="B1863" t="n">
        <v>1</v>
      </c>
      <c r="C1863" t="n">
        <v>2008</v>
      </c>
      <c r="D1863" t="n">
        <v>2008</v>
      </c>
      <c r="E1863" t="inlineStr">
        <is>
          <t>The Dark Knight</t>
        </is>
      </c>
      <c r="F1863" t="inlineStr">
        <is>
          <t>F0044</t>
        </is>
      </c>
    </row>
    <row r="1864">
      <c r="A1864" t="inlineStr">
        <is>
          <t>Nathan Gamble</t>
        </is>
      </c>
      <c r="B1864" t="n">
        <v>1</v>
      </c>
      <c r="C1864" t="n">
        <v>2008</v>
      </c>
      <c r="D1864" t="n">
        <v>2008</v>
      </c>
      <c r="E1864" t="inlineStr">
        <is>
          <t>The Dark Knight</t>
        </is>
      </c>
      <c r="F1864" t="inlineStr">
        <is>
          <t>F0044</t>
        </is>
      </c>
    </row>
    <row r="1865">
      <c r="A1865" t="inlineStr">
        <is>
          <t>Michael Vieau</t>
        </is>
      </c>
      <c r="B1865" t="n">
        <v>1</v>
      </c>
      <c r="C1865" t="n">
        <v>2008</v>
      </c>
      <c r="D1865" t="n">
        <v>2008</v>
      </c>
      <c r="E1865" t="inlineStr">
        <is>
          <t>The Dark Knight</t>
        </is>
      </c>
      <c r="F1865" t="inlineStr">
        <is>
          <t>F0044</t>
        </is>
      </c>
    </row>
    <row r="1866">
      <c r="A1866" t="inlineStr">
        <is>
          <t>Michael Stoyanov</t>
        </is>
      </c>
      <c r="B1866" t="n">
        <v>1</v>
      </c>
      <c r="C1866" t="n">
        <v>2008</v>
      </c>
      <c r="D1866" t="n">
        <v>2008</v>
      </c>
      <c r="E1866" t="inlineStr">
        <is>
          <t>The Dark Knight</t>
        </is>
      </c>
      <c r="F1866" t="inlineStr">
        <is>
          <t>F0044</t>
        </is>
      </c>
    </row>
    <row r="1867">
      <c r="A1867" t="inlineStr">
        <is>
          <t>William Smillie</t>
        </is>
      </c>
      <c r="B1867" t="n">
        <v>1</v>
      </c>
      <c r="C1867" t="n">
        <v>2008</v>
      </c>
      <c r="D1867" t="n">
        <v>2008</v>
      </c>
      <c r="E1867" t="inlineStr">
        <is>
          <t>The Dark Knight</t>
        </is>
      </c>
      <c r="F1867" t="inlineStr">
        <is>
          <t>F0044</t>
        </is>
      </c>
    </row>
    <row r="1868">
      <c r="A1868" t="inlineStr">
        <is>
          <t>Danny Goldring</t>
        </is>
      </c>
      <c r="B1868" t="n">
        <v>1</v>
      </c>
      <c r="C1868" t="n">
        <v>2008</v>
      </c>
      <c r="D1868" t="n">
        <v>2008</v>
      </c>
      <c r="E1868" t="inlineStr">
        <is>
          <t>The Dark Knight</t>
        </is>
      </c>
      <c r="F1868" t="inlineStr">
        <is>
          <t>F0044</t>
        </is>
      </c>
    </row>
    <row r="1869">
      <c r="A1869" t="inlineStr">
        <is>
          <t>Michael Jai White</t>
        </is>
      </c>
      <c r="B1869" t="n">
        <v>1</v>
      </c>
      <c r="C1869" t="n">
        <v>2008</v>
      </c>
      <c r="D1869" t="n">
        <v>2008</v>
      </c>
      <c r="E1869" t="inlineStr">
        <is>
          <t>The Dark Knight</t>
        </is>
      </c>
      <c r="F1869" t="inlineStr">
        <is>
          <t>F0044</t>
        </is>
      </c>
    </row>
    <row r="1870">
      <c r="A1870" t="inlineStr">
        <is>
          <t>Matthew O'Neill</t>
        </is>
      </c>
      <c r="B1870" t="n">
        <v>1</v>
      </c>
      <c r="C1870" t="n">
        <v>2008</v>
      </c>
      <c r="D1870" t="n">
        <v>2008</v>
      </c>
      <c r="E1870" t="inlineStr">
        <is>
          <t>The Dark Knight</t>
        </is>
      </c>
      <c r="F1870" t="inlineStr">
        <is>
          <t>F0044</t>
        </is>
      </c>
    </row>
    <row r="1871">
      <c r="A1871" t="inlineStr">
        <is>
          <t>Olumiji Olawumi</t>
        </is>
      </c>
      <c r="B1871" t="n">
        <v>1</v>
      </c>
      <c r="C1871" t="n">
        <v>2008</v>
      </c>
      <c r="D1871" t="n">
        <v>2008</v>
      </c>
      <c r="E1871" t="inlineStr">
        <is>
          <t>The Dark Knight</t>
        </is>
      </c>
      <c r="F1871" t="inlineStr">
        <is>
          <t>F0044</t>
        </is>
      </c>
    </row>
    <row r="1872">
      <c r="A1872" t="inlineStr">
        <is>
          <t>Greg Beam</t>
        </is>
      </c>
      <c r="B1872" t="n">
        <v>1</v>
      </c>
      <c r="C1872" t="n">
        <v>2008</v>
      </c>
      <c r="D1872" t="n">
        <v>2008</v>
      </c>
      <c r="E1872" t="inlineStr">
        <is>
          <t>The Dark Knight</t>
        </is>
      </c>
      <c r="F1872" t="inlineStr">
        <is>
          <t>F0044</t>
        </is>
      </c>
    </row>
    <row r="1873">
      <c r="A1873" t="inlineStr">
        <is>
          <t>Erik Hellman</t>
        </is>
      </c>
      <c r="B1873" t="n">
        <v>1</v>
      </c>
      <c r="C1873" t="n">
        <v>2008</v>
      </c>
      <c r="D1873" t="n">
        <v>2008</v>
      </c>
      <c r="E1873" t="inlineStr">
        <is>
          <t>The Dark Knight</t>
        </is>
      </c>
      <c r="F1873" t="inlineStr">
        <is>
          <t>F0044</t>
        </is>
      </c>
    </row>
    <row r="1874">
      <c r="A1874" t="inlineStr">
        <is>
          <t>Marion Cotillard</t>
        </is>
      </c>
      <c r="B1874" t="n">
        <v>2</v>
      </c>
      <c r="C1874" t="n">
        <v>2010</v>
      </c>
      <c r="D1874" t="n">
        <v>2012</v>
      </c>
      <c r="E1874" t="inlineStr">
        <is>
          <t>The Dark Knight Rises, Inception</t>
        </is>
      </c>
      <c r="F1874" t="inlineStr">
        <is>
          <t>F0045, F0165</t>
        </is>
      </c>
    </row>
    <row r="1875">
      <c r="A1875" t="inlineStr">
        <is>
          <t>Matthew Modine</t>
        </is>
      </c>
      <c r="B1875" t="n">
        <v>2</v>
      </c>
      <c r="C1875" t="n">
        <v>2012</v>
      </c>
      <c r="D1875" t="n">
        <v>2023</v>
      </c>
      <c r="E1875" t="inlineStr">
        <is>
          <t>The Dark Knight Rises, Oppenheimer</t>
        </is>
      </c>
      <c r="F1875" t="inlineStr">
        <is>
          <t>F0045, F0242</t>
        </is>
      </c>
    </row>
    <row r="1876">
      <c r="A1876" t="inlineStr">
        <is>
          <t>Alon Aboutboul</t>
        </is>
      </c>
      <c r="B1876" t="n">
        <v>3</v>
      </c>
      <c r="C1876" t="n">
        <v>2008</v>
      </c>
      <c r="D1876" t="n">
        <v>2012</v>
      </c>
      <c r="E1876" t="inlineStr">
        <is>
          <t>The Dark Knight Rises, Body of Lies, Rambo</t>
        </is>
      </c>
      <c r="F1876" t="inlineStr">
        <is>
          <t>F0045, F0051, F0261</t>
        </is>
      </c>
    </row>
    <row r="1877">
      <c r="A1877" t="inlineStr">
        <is>
          <t>Burn Gorman</t>
        </is>
      </c>
      <c r="B1877" t="n">
        <v>2</v>
      </c>
      <c r="C1877" t="n">
        <v>2012</v>
      </c>
      <c r="D1877" t="n">
        <v>2013</v>
      </c>
      <c r="E1877" t="inlineStr">
        <is>
          <t>The Dark Knight Rises, Pacific Rim</t>
        </is>
      </c>
      <c r="F1877" t="inlineStr">
        <is>
          <t>F0045, F0243</t>
        </is>
      </c>
    </row>
    <row r="1878">
      <c r="A1878" t="inlineStr">
        <is>
          <t>Daniel Sunjata</t>
        </is>
      </c>
      <c r="B1878" t="n">
        <v>1</v>
      </c>
      <c r="C1878" t="n">
        <v>2012</v>
      </c>
      <c r="D1878" t="n">
        <v>2012</v>
      </c>
      <c r="E1878" t="inlineStr">
        <is>
          <t>The Dark Knight Rises</t>
        </is>
      </c>
      <c r="F1878" t="inlineStr">
        <is>
          <t>F0045</t>
        </is>
      </c>
    </row>
    <row r="1879">
      <c r="A1879" t="inlineStr">
        <is>
          <t>Aidan Gillen</t>
        </is>
      </c>
      <c r="B1879" t="n">
        <v>2</v>
      </c>
      <c r="C1879" t="n">
        <v>2012</v>
      </c>
      <c r="D1879" t="n">
        <v>2018</v>
      </c>
      <c r="E1879" t="inlineStr">
        <is>
          <t>The Dark Knight Rises, Bohemian Rhapsody</t>
        </is>
      </c>
      <c r="F1879" t="inlineStr">
        <is>
          <t>F0045, F0052</t>
        </is>
      </c>
    </row>
    <row r="1880">
      <c r="A1880" t="inlineStr">
        <is>
          <t>Sam Kennard</t>
        </is>
      </c>
      <c r="B1880" t="n">
        <v>1</v>
      </c>
      <c r="C1880" t="n">
        <v>2012</v>
      </c>
      <c r="D1880" t="n">
        <v>2012</v>
      </c>
      <c r="E1880" t="inlineStr">
        <is>
          <t>The Dark Knight Rises</t>
        </is>
      </c>
      <c r="F1880" t="inlineStr">
        <is>
          <t>F0045</t>
        </is>
      </c>
    </row>
    <row r="1881">
      <c r="A1881" t="inlineStr">
        <is>
          <t>Aljaž Tepina</t>
        </is>
      </c>
      <c r="B1881" t="n">
        <v>1</v>
      </c>
      <c r="C1881" t="n">
        <v>2012</v>
      </c>
      <c r="D1881" t="n">
        <v>2012</v>
      </c>
      <c r="E1881" t="inlineStr">
        <is>
          <t>The Dark Knight Rises</t>
        </is>
      </c>
      <c r="F1881" t="inlineStr">
        <is>
          <t>F0045</t>
        </is>
      </c>
    </row>
    <row r="1882">
      <c r="A1882" t="inlineStr">
        <is>
          <t>Brett Cullen</t>
        </is>
      </c>
      <c r="B1882" t="n">
        <v>1</v>
      </c>
      <c r="C1882" t="n">
        <v>2012</v>
      </c>
      <c r="D1882" t="n">
        <v>2012</v>
      </c>
      <c r="E1882" t="inlineStr">
        <is>
          <t>The Dark Knight Rises</t>
        </is>
      </c>
      <c r="F1882" t="inlineStr">
        <is>
          <t>F0045</t>
        </is>
      </c>
    </row>
    <row r="1883">
      <c r="A1883" t="inlineStr">
        <is>
          <t>Nick Julian</t>
        </is>
      </c>
      <c r="B1883" t="n">
        <v>1</v>
      </c>
      <c r="C1883" t="n">
        <v>2012</v>
      </c>
      <c r="D1883" t="n">
        <v>2012</v>
      </c>
      <c r="E1883" t="inlineStr">
        <is>
          <t>The Dark Knight Rises</t>
        </is>
      </c>
      <c r="F1883" t="inlineStr">
        <is>
          <t>F0045</t>
        </is>
      </c>
    </row>
    <row r="1884">
      <c r="A1884" t="inlineStr">
        <is>
          <t>Miranda Nolan</t>
        </is>
      </c>
      <c r="B1884" t="n">
        <v>2</v>
      </c>
      <c r="C1884" t="n">
        <v>2010</v>
      </c>
      <c r="D1884" t="n">
        <v>2012</v>
      </c>
      <c r="E1884" t="inlineStr">
        <is>
          <t>The Dark Knight Rises, Inception</t>
        </is>
      </c>
      <c r="F1884" t="inlineStr">
        <is>
          <t>F0045, F0165</t>
        </is>
      </c>
    </row>
    <row r="1885">
      <c r="A1885" t="inlineStr">
        <is>
          <t>Claire Julien</t>
        </is>
      </c>
      <c r="B1885" t="n">
        <v>1</v>
      </c>
      <c r="C1885" t="n">
        <v>2012</v>
      </c>
      <c r="D1885" t="n">
        <v>2012</v>
      </c>
      <c r="E1885" t="inlineStr">
        <is>
          <t>The Dark Knight Rises</t>
        </is>
      </c>
      <c r="F1885" t="inlineStr">
        <is>
          <t>F0045</t>
        </is>
      </c>
    </row>
    <row r="1886">
      <c r="A1886" t="inlineStr">
        <is>
          <t>Reggie Lee</t>
        </is>
      </c>
      <c r="B1886" t="n">
        <v>3</v>
      </c>
      <c r="C1886" t="n">
        <v>2001</v>
      </c>
      <c r="D1886" t="n">
        <v>2012</v>
      </c>
      <c r="E1886" t="inlineStr">
        <is>
          <t>The Dark Knight Rises, The Fast and the Furious, Tropic Thunder</t>
        </is>
      </c>
      <c r="F1886" t="inlineStr">
        <is>
          <t>F0045, F0101, F0324</t>
        </is>
      </c>
    </row>
    <row r="1887">
      <c r="A1887" t="inlineStr">
        <is>
          <t>Joseph Lyle Taylor</t>
        </is>
      </c>
      <c r="B1887" t="n">
        <v>1</v>
      </c>
      <c r="C1887" t="n">
        <v>2012</v>
      </c>
      <c r="D1887" t="n">
        <v>2012</v>
      </c>
      <c r="E1887" t="inlineStr">
        <is>
          <t>The Dark Knight Rises</t>
        </is>
      </c>
      <c r="F1887" t="inlineStr">
        <is>
          <t>F0045</t>
        </is>
      </c>
    </row>
    <row r="1888">
      <c r="A1888" t="inlineStr">
        <is>
          <t>Chris Ellis</t>
        </is>
      </c>
      <c r="B1888" t="n">
        <v>3</v>
      </c>
      <c r="C1888" t="n">
        <v>2002</v>
      </c>
      <c r="D1888" t="n">
        <v>2012</v>
      </c>
      <c r="E1888" t="inlineStr">
        <is>
          <t>The Dark Knight Rises, Catch Me If You Can, Live Free or Die Hard</t>
        </is>
      </c>
      <c r="F1888" t="inlineStr">
        <is>
          <t>F0045, F0064, F0086</t>
        </is>
      </c>
    </row>
    <row r="1889">
      <c r="A1889" t="inlineStr">
        <is>
          <t>Tyler Dean Flores</t>
        </is>
      </c>
      <c r="B1889" t="n">
        <v>1</v>
      </c>
      <c r="C1889" t="n">
        <v>2012</v>
      </c>
      <c r="D1889" t="n">
        <v>2012</v>
      </c>
      <c r="E1889" t="inlineStr">
        <is>
          <t>The Dark Knight Rises</t>
        </is>
      </c>
      <c r="F1889" t="inlineStr">
        <is>
          <t>F0045</t>
        </is>
      </c>
    </row>
    <row r="1890">
      <c r="A1890" t="inlineStr">
        <is>
          <t>Juno Temple</t>
        </is>
      </c>
      <c r="B1890" t="n">
        <v>2</v>
      </c>
      <c r="C1890" t="n">
        <v>2012</v>
      </c>
      <c r="D1890" t="n">
        <v>2014</v>
      </c>
      <c r="E1890" t="inlineStr">
        <is>
          <t>The Dark Knight Rises, Maleficent</t>
        </is>
      </c>
      <c r="F1890" t="inlineStr">
        <is>
          <t>F0045, F0208</t>
        </is>
      </c>
    </row>
    <row r="1891">
      <c r="A1891" t="inlineStr">
        <is>
          <t>Duane Henry</t>
        </is>
      </c>
      <c r="B1891" t="n">
        <v>1</v>
      </c>
      <c r="C1891" t="n">
        <v>2012</v>
      </c>
      <c r="D1891" t="n">
        <v>2012</v>
      </c>
      <c r="E1891" t="inlineStr">
        <is>
          <t>The Dark Knight Rises</t>
        </is>
      </c>
      <c r="F1891" t="inlineStr">
        <is>
          <t>F0045</t>
        </is>
      </c>
    </row>
    <row r="1892">
      <c r="A1892" t="inlineStr">
        <is>
          <t>James Harvey Ward</t>
        </is>
      </c>
      <c r="B1892" t="n">
        <v>1</v>
      </c>
      <c r="C1892" t="n">
        <v>2012</v>
      </c>
      <c r="D1892" t="n">
        <v>2012</v>
      </c>
      <c r="E1892" t="inlineStr">
        <is>
          <t>The Dark Knight Rises</t>
        </is>
      </c>
      <c r="F1892" t="inlineStr">
        <is>
          <t>F0045</t>
        </is>
      </c>
    </row>
    <row r="1893">
      <c r="A1893" t="inlineStr">
        <is>
          <t>Gonzalo Menendez</t>
        </is>
      </c>
      <c r="B1893" t="n">
        <v>1</v>
      </c>
      <c r="C1893" t="n">
        <v>2012</v>
      </c>
      <c r="D1893" t="n">
        <v>2012</v>
      </c>
      <c r="E1893" t="inlineStr">
        <is>
          <t>The Dark Knight Rises</t>
        </is>
      </c>
      <c r="F1893" t="inlineStr">
        <is>
          <t>F0045</t>
        </is>
      </c>
    </row>
    <row r="1894">
      <c r="A1894" t="inlineStr">
        <is>
          <t>Cameron Jack</t>
        </is>
      </c>
      <c r="B1894" t="n">
        <v>1</v>
      </c>
      <c r="C1894" t="n">
        <v>2012</v>
      </c>
      <c r="D1894" t="n">
        <v>2012</v>
      </c>
      <c r="E1894" t="inlineStr">
        <is>
          <t>The Dark Knight Rises</t>
        </is>
      </c>
      <c r="F1894" t="inlineStr">
        <is>
          <t>F0045</t>
        </is>
      </c>
    </row>
    <row r="1895">
      <c r="A1895" t="inlineStr">
        <is>
          <t>Beth Keener</t>
        </is>
      </c>
      <c r="B1895" t="n">
        <v>1</v>
      </c>
      <c r="C1895" t="n">
        <v>2011</v>
      </c>
      <c r="D1895" t="n">
        <v>2011</v>
      </c>
      <c r="E1895" t="inlineStr">
        <is>
          <t>Battle: Los Angeles</t>
        </is>
      </c>
      <c r="F1895" t="inlineStr">
        <is>
          <t>F0046</t>
        </is>
      </c>
    </row>
    <row r="1896">
      <c r="A1896" t="inlineStr">
        <is>
          <t>Jessica Heap</t>
        </is>
      </c>
      <c r="B1896" t="n">
        <v>1</v>
      </c>
      <c r="C1896" t="n">
        <v>2011</v>
      </c>
      <c r="D1896" t="n">
        <v>2011</v>
      </c>
      <c r="E1896" t="inlineStr">
        <is>
          <t>Battle: Los Angeles</t>
        </is>
      </c>
      <c r="F1896" t="inlineStr">
        <is>
          <t>F0046</t>
        </is>
      </c>
    </row>
    <row r="1897">
      <c r="A1897" t="inlineStr">
        <is>
          <t>Cory Hardrict</t>
        </is>
      </c>
      <c r="B1897" t="n">
        <v>2</v>
      </c>
      <c r="C1897" t="n">
        <v>2008</v>
      </c>
      <c r="D1897" t="n">
        <v>2011</v>
      </c>
      <c r="E1897" t="inlineStr">
        <is>
          <t>Battle: Los Angeles, Gran Torino</t>
        </is>
      </c>
      <c r="F1897" t="inlineStr">
        <is>
          <t>F0046, F0125</t>
        </is>
      </c>
    </row>
    <row r="1898">
      <c r="A1898" t="inlineStr">
        <is>
          <t>Jim Parrack</t>
        </is>
      </c>
      <c r="B1898" t="n">
        <v>3</v>
      </c>
      <c r="C1898" t="n">
        <v>2011</v>
      </c>
      <c r="D1898" t="n">
        <v>2021</v>
      </c>
      <c r="E1898" t="inlineStr">
        <is>
          <t>Battle: Los Angeles, F9: The Fast Saga, Fury</t>
        </is>
      </c>
      <c r="F1898" t="inlineStr">
        <is>
          <t>F0046, F0109, F0117</t>
        </is>
      </c>
    </row>
    <row r="1899">
      <c r="A1899" t="inlineStr">
        <is>
          <t>Gino Anthony Pesi</t>
        </is>
      </c>
      <c r="B1899" t="n">
        <v>1</v>
      </c>
      <c r="C1899" t="n">
        <v>2011</v>
      </c>
      <c r="D1899" t="n">
        <v>2011</v>
      </c>
      <c r="E1899" t="inlineStr">
        <is>
          <t>Battle: Los Angeles</t>
        </is>
      </c>
      <c r="F1899" t="inlineStr">
        <is>
          <t>F0046</t>
        </is>
      </c>
    </row>
    <row r="1900">
      <c r="A1900" t="inlineStr">
        <is>
          <t>Ne-Yo</t>
        </is>
      </c>
      <c r="B1900" t="n">
        <v>1</v>
      </c>
      <c r="C1900" t="n">
        <v>2011</v>
      </c>
      <c r="D1900" t="n">
        <v>2011</v>
      </c>
      <c r="E1900" t="inlineStr">
        <is>
          <t>Battle: Los Angeles</t>
        </is>
      </c>
      <c r="F1900" t="inlineStr">
        <is>
          <t>F0046</t>
        </is>
      </c>
    </row>
    <row r="1901">
      <c r="A1901" t="inlineStr">
        <is>
          <t>James Hiroyuki Liao</t>
        </is>
      </c>
      <c r="B1901" t="n">
        <v>1</v>
      </c>
      <c r="C1901" t="n">
        <v>2011</v>
      </c>
      <c r="D1901" t="n">
        <v>2011</v>
      </c>
      <c r="E1901" t="inlineStr">
        <is>
          <t>Battle: Los Angeles</t>
        </is>
      </c>
      <c r="F1901" t="inlineStr">
        <is>
          <t>F0046</t>
        </is>
      </c>
    </row>
    <row r="1902">
      <c r="A1902" t="inlineStr">
        <is>
          <t>Adetokumboh M'Cormack</t>
        </is>
      </c>
      <c r="B1902" t="n">
        <v>1</v>
      </c>
      <c r="C1902" t="n">
        <v>2011</v>
      </c>
      <c r="D1902" t="n">
        <v>2011</v>
      </c>
      <c r="E1902" t="inlineStr">
        <is>
          <t>Battle: Los Angeles</t>
        </is>
      </c>
      <c r="F1902" t="inlineStr">
        <is>
          <t>F0046</t>
        </is>
      </c>
    </row>
    <row r="1903">
      <c r="A1903" t="inlineStr">
        <is>
          <t>Bryce Cass</t>
        </is>
      </c>
      <c r="B1903" t="n">
        <v>1</v>
      </c>
      <c r="C1903" t="n">
        <v>2011</v>
      </c>
      <c r="D1903" t="n">
        <v>2011</v>
      </c>
      <c r="E1903" t="inlineStr">
        <is>
          <t>Battle: Los Angeles</t>
        </is>
      </c>
      <c r="F1903" t="inlineStr">
        <is>
          <t>F0046</t>
        </is>
      </c>
    </row>
    <row r="1904">
      <c r="A1904" t="inlineStr">
        <is>
          <t>Taylor Handley</t>
        </is>
      </c>
      <c r="B1904" t="n">
        <v>1</v>
      </c>
      <c r="C1904" t="n">
        <v>2011</v>
      </c>
      <c r="D1904" t="n">
        <v>2011</v>
      </c>
      <c r="E1904" t="inlineStr">
        <is>
          <t>Battle: Los Angeles</t>
        </is>
      </c>
      <c r="F1904" t="inlineStr">
        <is>
          <t>F0046</t>
        </is>
      </c>
    </row>
    <row r="1905">
      <c r="A1905" t="inlineStr">
        <is>
          <t>Lucas Till</t>
        </is>
      </c>
      <c r="B1905" t="n">
        <v>4</v>
      </c>
      <c r="C1905" t="n">
        <v>2011</v>
      </c>
      <c r="D1905" t="n">
        <v>2016</v>
      </c>
      <c r="E1905" t="inlineStr">
        <is>
          <t>Battle: Los Angeles, X-Men: First Class, X-Men: Days of Future Past, X-Men: Apocalypse</t>
        </is>
      </c>
      <c r="F1905" t="inlineStr">
        <is>
          <t>F0046, F0340, F0341, F0342</t>
        </is>
      </c>
    </row>
    <row r="1906">
      <c r="A1906" t="inlineStr">
        <is>
          <t>Kenneth Brown Jr.</t>
        </is>
      </c>
      <c r="B1906" t="n">
        <v>2</v>
      </c>
      <c r="C1906" t="n">
        <v>2011</v>
      </c>
      <c r="D1906" t="n">
        <v>2012</v>
      </c>
      <c r="E1906" t="inlineStr">
        <is>
          <t>Battle: Los Angeles, Killing Them Softly</t>
        </is>
      </c>
      <c r="F1906" t="inlineStr">
        <is>
          <t>F0046, F0187</t>
        </is>
      </c>
    </row>
    <row r="1907">
      <c r="A1907" t="inlineStr">
        <is>
          <t>Jadin Gould</t>
        </is>
      </c>
      <c r="B1907" t="n">
        <v>2</v>
      </c>
      <c r="C1907" t="n">
        <v>2011</v>
      </c>
      <c r="D1907" t="n">
        <v>2013</v>
      </c>
      <c r="E1907" t="inlineStr">
        <is>
          <t>Battle: Los Angeles, Man of Steel</t>
        </is>
      </c>
      <c r="F1907" t="inlineStr">
        <is>
          <t>F0046, F0211</t>
        </is>
      </c>
    </row>
    <row r="1908">
      <c r="A1908" t="inlineStr">
        <is>
          <t>E. Roger Mitchell</t>
        </is>
      </c>
      <c r="B1908" t="n">
        <v>2</v>
      </c>
      <c r="C1908" t="n">
        <v>2011</v>
      </c>
      <c r="D1908" t="n">
        <v>2014</v>
      </c>
      <c r="E1908" t="inlineStr">
        <is>
          <t>Battle: Los Angeles, Need for Speed</t>
        </is>
      </c>
      <c r="F1908" t="inlineStr">
        <is>
          <t>F0046, F0234</t>
        </is>
      </c>
    </row>
    <row r="1909">
      <c r="A1909" t="inlineStr">
        <is>
          <t>Rus Blackwell</t>
        </is>
      </c>
      <c r="B1909" t="n">
        <v>1</v>
      </c>
      <c r="C1909" t="n">
        <v>2011</v>
      </c>
      <c r="D1909" t="n">
        <v>2011</v>
      </c>
      <c r="E1909" t="inlineStr">
        <is>
          <t>Battle: Los Angeles</t>
        </is>
      </c>
      <c r="F1909" t="inlineStr">
        <is>
          <t>F0046</t>
        </is>
      </c>
    </row>
    <row r="1910">
      <c r="A1910" t="inlineStr">
        <is>
          <t>Susie Abromeit</t>
        </is>
      </c>
      <c r="B1910" t="n">
        <v>1</v>
      </c>
      <c r="C1910" t="n">
        <v>2011</v>
      </c>
      <c r="D1910" t="n">
        <v>2011</v>
      </c>
      <c r="E1910" t="inlineStr">
        <is>
          <t>Battle: Los Angeles</t>
        </is>
      </c>
      <c r="F1910" t="inlineStr">
        <is>
          <t>F0046</t>
        </is>
      </c>
    </row>
    <row r="1911">
      <c r="A1911" t="inlineStr">
        <is>
          <t>Brandi Coleman</t>
        </is>
      </c>
      <c r="B1911" t="n">
        <v>1</v>
      </c>
      <c r="C1911" t="n">
        <v>2011</v>
      </c>
      <c r="D1911" t="n">
        <v>2011</v>
      </c>
      <c r="E1911" t="inlineStr">
        <is>
          <t>Battle: Los Angeles</t>
        </is>
      </c>
      <c r="F1911" t="inlineStr">
        <is>
          <t>F0046</t>
        </is>
      </c>
    </row>
    <row r="1912">
      <c r="A1912" t="inlineStr">
        <is>
          <t>David Jensen</t>
        </is>
      </c>
      <c r="B1912" t="n">
        <v>2</v>
      </c>
      <c r="C1912" t="n">
        <v>2010</v>
      </c>
      <c r="D1912" t="n">
        <v>2011</v>
      </c>
      <c r="E1912" t="inlineStr">
        <is>
          <t>Battle: Los Angeles, Jonah Hex</t>
        </is>
      </c>
      <c r="F1912" t="inlineStr">
        <is>
          <t>F0046, F0173</t>
        </is>
      </c>
    </row>
    <row r="1913">
      <c r="A1913" t="inlineStr">
        <is>
          <t>Stacey Turner</t>
        </is>
      </c>
      <c r="B1913" t="n">
        <v>1</v>
      </c>
      <c r="C1913" t="n">
        <v>2011</v>
      </c>
      <c r="D1913" t="n">
        <v>2011</v>
      </c>
      <c r="E1913" t="inlineStr">
        <is>
          <t>Battle: Los Angeles</t>
        </is>
      </c>
      <c r="F1913" t="inlineStr">
        <is>
          <t>F0046</t>
        </is>
      </c>
    </row>
    <row r="1914">
      <c r="A1914" t="inlineStr">
        <is>
          <t>Tom Hillmann</t>
        </is>
      </c>
      <c r="B1914" t="n">
        <v>1</v>
      </c>
      <c r="C1914" t="n">
        <v>2011</v>
      </c>
      <c r="D1914" t="n">
        <v>2011</v>
      </c>
      <c r="E1914" t="inlineStr">
        <is>
          <t>Battle: Los Angeles</t>
        </is>
      </c>
      <c r="F1914" t="inlineStr">
        <is>
          <t>F0046</t>
        </is>
      </c>
    </row>
    <row r="1915">
      <c r="A1915" t="inlineStr">
        <is>
          <t>Penelope Wilton</t>
        </is>
      </c>
      <c r="B1915" t="n">
        <v>2</v>
      </c>
      <c r="C1915" t="n">
        <v>2004</v>
      </c>
      <c r="D1915" t="n">
        <v>2016</v>
      </c>
      <c r="E1915" t="inlineStr">
        <is>
          <t>The BFG, Shaun of the Dead</t>
        </is>
      </c>
      <c r="F1915" t="inlineStr">
        <is>
          <t>F0047, F0070</t>
        </is>
      </c>
    </row>
    <row r="1916">
      <c r="A1916" t="inlineStr">
        <is>
          <t>Marilyn Norry</t>
        </is>
      </c>
      <c r="B1916" t="n">
        <v>1</v>
      </c>
      <c r="C1916" t="n">
        <v>2016</v>
      </c>
      <c r="D1916" t="n">
        <v>2016</v>
      </c>
      <c r="E1916" t="inlineStr">
        <is>
          <t>The BFG</t>
        </is>
      </c>
      <c r="F1916" t="inlineStr">
        <is>
          <t>F0047</t>
        </is>
      </c>
    </row>
    <row r="1917">
      <c r="A1917" t="inlineStr">
        <is>
          <t>Chris Shields</t>
        </is>
      </c>
      <c r="B1917" t="n">
        <v>2</v>
      </c>
      <c r="C1917" t="n">
        <v>2013</v>
      </c>
      <c r="D1917" t="n">
        <v>2016</v>
      </c>
      <c r="E1917" t="inlineStr">
        <is>
          <t>The BFG, Elysium</t>
        </is>
      </c>
      <c r="F1917" t="inlineStr">
        <is>
          <t>F0047, F0093</t>
        </is>
      </c>
    </row>
    <row r="1918">
      <c r="A1918" t="inlineStr">
        <is>
          <t>Geoffrey Wade</t>
        </is>
      </c>
      <c r="B1918" t="n">
        <v>1</v>
      </c>
      <c r="C1918" t="n">
        <v>2016</v>
      </c>
      <c r="D1918" t="n">
        <v>2016</v>
      </c>
      <c r="E1918" t="inlineStr">
        <is>
          <t>The BFG</t>
        </is>
      </c>
      <c r="F1918" t="inlineStr">
        <is>
          <t>F0047</t>
        </is>
      </c>
    </row>
    <row r="1919">
      <c r="A1919" t="inlineStr">
        <is>
          <t>Haig Sutherland</t>
        </is>
      </c>
      <c r="B1919" t="n">
        <v>1</v>
      </c>
      <c r="C1919" t="n">
        <v>2016</v>
      </c>
      <c r="D1919" t="n">
        <v>2016</v>
      </c>
      <c r="E1919" t="inlineStr">
        <is>
          <t>The BFG</t>
        </is>
      </c>
      <c r="F1919" t="inlineStr">
        <is>
          <t>F0047</t>
        </is>
      </c>
    </row>
    <row r="1920">
      <c r="A1920" t="inlineStr">
        <is>
          <t>John Emmet Tracy</t>
        </is>
      </c>
      <c r="B1920" t="n">
        <v>1</v>
      </c>
      <c r="C1920" t="n">
        <v>2016</v>
      </c>
      <c r="D1920" t="n">
        <v>2016</v>
      </c>
      <c r="E1920" t="inlineStr">
        <is>
          <t>The BFG</t>
        </is>
      </c>
      <c r="F1920" t="inlineStr">
        <is>
          <t>F0047</t>
        </is>
      </c>
    </row>
    <row r="1921">
      <c r="A1921" t="inlineStr">
        <is>
          <t>Adam Godley</t>
        </is>
      </c>
      <c r="B1921" t="n">
        <v>2</v>
      </c>
      <c r="C1921" t="n">
        <v>2014</v>
      </c>
      <c r="D1921" t="n">
        <v>2016</v>
      </c>
      <c r="E1921" t="inlineStr">
        <is>
          <t>The BFG, The Theory of Everything</t>
        </is>
      </c>
      <c r="F1921" t="inlineStr">
        <is>
          <t>F0047, F0311</t>
        </is>
      </c>
    </row>
    <row r="1922">
      <c r="A1922" t="inlineStr">
        <is>
          <t>Paul Moniz de Sa</t>
        </is>
      </c>
      <c r="B1922" t="n">
        <v>1</v>
      </c>
      <c r="C1922" t="n">
        <v>2016</v>
      </c>
      <c r="D1922" t="n">
        <v>2016</v>
      </c>
      <c r="E1922" t="inlineStr">
        <is>
          <t>The BFG</t>
        </is>
      </c>
      <c r="F1922" t="inlineStr">
        <is>
          <t>F0047</t>
        </is>
      </c>
    </row>
    <row r="1923">
      <c r="A1923" t="inlineStr">
        <is>
          <t>Ólafur Darri Ólafsson</t>
        </is>
      </c>
      <c r="B1923" t="n">
        <v>1</v>
      </c>
      <c r="C1923" t="n">
        <v>2016</v>
      </c>
      <c r="D1923" t="n">
        <v>2016</v>
      </c>
      <c r="E1923" t="inlineStr">
        <is>
          <t>The BFG</t>
        </is>
      </c>
      <c r="F1923" t="inlineStr">
        <is>
          <t>F0047</t>
        </is>
      </c>
    </row>
    <row r="1924">
      <c r="A1924" t="inlineStr">
        <is>
          <t>Michael Adamthwaite</t>
        </is>
      </c>
      <c r="B1924" t="n">
        <v>2</v>
      </c>
      <c r="C1924" t="n">
        <v>2016</v>
      </c>
      <c r="D1924" t="n">
        <v>2017</v>
      </c>
      <c r="E1924" t="inlineStr">
        <is>
          <t>The BFG, War for the Planet of the Apes</t>
        </is>
      </c>
      <c r="F1924" t="inlineStr">
        <is>
          <t>F0047, F0255</t>
        </is>
      </c>
    </row>
    <row r="1925">
      <c r="A1925" t="inlineStr">
        <is>
          <t>Gabrielle Rose</t>
        </is>
      </c>
      <c r="B1925" t="n">
        <v>1</v>
      </c>
      <c r="C1925" t="n">
        <v>2016</v>
      </c>
      <c r="D1925" t="n">
        <v>2016</v>
      </c>
      <c r="E1925" t="inlineStr">
        <is>
          <t>The BFG</t>
        </is>
      </c>
      <c r="F1925" t="inlineStr">
        <is>
          <t>F0047</t>
        </is>
      </c>
    </row>
    <row r="1926">
      <c r="A1926" t="inlineStr">
        <is>
          <t>Lucia Ryan</t>
        </is>
      </c>
      <c r="B1926" t="n">
        <v>1</v>
      </c>
      <c r="C1926" t="n">
        <v>2016</v>
      </c>
      <c r="D1926" t="n">
        <v>2016</v>
      </c>
      <c r="E1926" t="inlineStr">
        <is>
          <t>The BFG</t>
        </is>
      </c>
      <c r="F1926" t="inlineStr">
        <is>
          <t>F0047</t>
        </is>
      </c>
    </row>
    <row r="1927">
      <c r="A1927" t="inlineStr">
        <is>
          <t>Julia Torrance</t>
        </is>
      </c>
      <c r="B1927" t="n">
        <v>1</v>
      </c>
      <c r="C1927" t="n">
        <v>2016</v>
      </c>
      <c r="D1927" t="n">
        <v>2016</v>
      </c>
      <c r="E1927" t="inlineStr">
        <is>
          <t>The BFG</t>
        </is>
      </c>
      <c r="F1927" t="inlineStr">
        <is>
          <t>F0047</t>
        </is>
      </c>
    </row>
    <row r="1928">
      <c r="A1928" t="inlineStr">
        <is>
          <t>Graham Curry</t>
        </is>
      </c>
      <c r="B1928" t="n">
        <v>1</v>
      </c>
      <c r="C1928" t="n">
        <v>2016</v>
      </c>
      <c r="D1928" t="n">
        <v>2016</v>
      </c>
      <c r="E1928" t="inlineStr">
        <is>
          <t>The BFG</t>
        </is>
      </c>
      <c r="F1928" t="inlineStr">
        <is>
          <t>F0047</t>
        </is>
      </c>
    </row>
    <row r="1929">
      <c r="A1929" t="inlineStr">
        <is>
          <t>Jonathan Holmes</t>
        </is>
      </c>
      <c r="B1929" t="n">
        <v>1</v>
      </c>
      <c r="C1929" t="n">
        <v>2016</v>
      </c>
      <c r="D1929" t="n">
        <v>2016</v>
      </c>
      <c r="E1929" t="inlineStr">
        <is>
          <t>The BFG</t>
        </is>
      </c>
      <c r="F1929" t="inlineStr">
        <is>
          <t>F0047</t>
        </is>
      </c>
    </row>
    <row r="1930">
      <c r="A1930" t="inlineStr">
        <is>
          <t>Chris Gibbs</t>
        </is>
      </c>
      <c r="B1930" t="n">
        <v>1</v>
      </c>
      <c r="C1930" t="n">
        <v>2016</v>
      </c>
      <c r="D1930" t="n">
        <v>2016</v>
      </c>
      <c r="E1930" t="inlineStr">
        <is>
          <t>The BFG</t>
        </is>
      </c>
      <c r="F1930" t="inlineStr">
        <is>
          <t>F0047</t>
        </is>
      </c>
    </row>
    <row r="1931">
      <c r="A1931" t="inlineStr">
        <is>
          <t>Callum Seagram Airlie</t>
        </is>
      </c>
      <c r="B1931" t="n">
        <v>1</v>
      </c>
      <c r="C1931" t="n">
        <v>2016</v>
      </c>
      <c r="D1931" t="n">
        <v>2016</v>
      </c>
      <c r="E1931" t="inlineStr">
        <is>
          <t>The BFG</t>
        </is>
      </c>
      <c r="F1931" t="inlineStr">
        <is>
          <t>F0047</t>
        </is>
      </c>
    </row>
    <row r="1932">
      <c r="A1932" t="inlineStr">
        <is>
          <t>Shauna Hansen</t>
        </is>
      </c>
      <c r="B1932" t="n">
        <v>1</v>
      </c>
      <c r="C1932" t="n">
        <v>2016</v>
      </c>
      <c r="D1932" t="n">
        <v>2016</v>
      </c>
      <c r="E1932" t="inlineStr">
        <is>
          <t>The BFG</t>
        </is>
      </c>
      <c r="F1932" t="inlineStr">
        <is>
          <t>F0047</t>
        </is>
      </c>
    </row>
    <row r="1933">
      <c r="A1933" t="inlineStr">
        <is>
          <t>Denise Jones</t>
        </is>
      </c>
      <c r="B1933" t="n">
        <v>1</v>
      </c>
      <c r="C1933" t="n">
        <v>2016</v>
      </c>
      <c r="D1933" t="n">
        <v>2016</v>
      </c>
      <c r="E1933" t="inlineStr">
        <is>
          <t>The BFG</t>
        </is>
      </c>
      <c r="F1933" t="inlineStr">
        <is>
          <t>F0047</t>
        </is>
      </c>
    </row>
    <row r="1934">
      <c r="A1934" t="inlineStr">
        <is>
          <t>William Samples</t>
        </is>
      </c>
      <c r="B1934" t="n">
        <v>1</v>
      </c>
      <c r="C1934" t="n">
        <v>2016</v>
      </c>
      <c r="D1934" t="n">
        <v>2016</v>
      </c>
      <c r="E1934" t="inlineStr">
        <is>
          <t>The BFG</t>
        </is>
      </c>
      <c r="F1934" t="inlineStr">
        <is>
          <t>F0047</t>
        </is>
      </c>
    </row>
    <row r="1935">
      <c r="A1935" t="inlineStr">
        <is>
          <t>Andy Thompson</t>
        </is>
      </c>
      <c r="B1935" t="n">
        <v>1</v>
      </c>
      <c r="C1935" t="n">
        <v>2016</v>
      </c>
      <c r="D1935" t="n">
        <v>2016</v>
      </c>
      <c r="E1935" t="inlineStr">
        <is>
          <t>The BFG</t>
        </is>
      </c>
      <c r="F1935" t="inlineStr">
        <is>
          <t>F0047</t>
        </is>
      </c>
    </row>
    <row r="1936">
      <c r="A1936" t="inlineStr">
        <is>
          <t>Paul Barnhill</t>
        </is>
      </c>
      <c r="B1936" t="n">
        <v>1</v>
      </c>
      <c r="C1936" t="n">
        <v>2016</v>
      </c>
      <c r="D1936" t="n">
        <v>2016</v>
      </c>
      <c r="E1936" t="inlineStr">
        <is>
          <t>The BFG</t>
        </is>
      </c>
      <c r="F1936" t="inlineStr">
        <is>
          <t>F0047</t>
        </is>
      </c>
    </row>
    <row r="1937">
      <c r="A1937" t="inlineStr">
        <is>
          <t>Damon Wayans Jr.</t>
        </is>
      </c>
      <c r="B1937" t="n">
        <v>1</v>
      </c>
      <c r="C1937" t="n">
        <v>2014</v>
      </c>
      <c r="D1937" t="n">
        <v>2014</v>
      </c>
      <c r="E1937" t="inlineStr">
        <is>
          <t>Big Hero 6</t>
        </is>
      </c>
      <c r="F1937" t="inlineStr">
        <is>
          <t>F0048</t>
        </is>
      </c>
    </row>
    <row r="1938">
      <c r="A1938" t="inlineStr">
        <is>
          <t>Genesis Rodriguez</t>
        </is>
      </c>
      <c r="B1938" t="n">
        <v>2</v>
      </c>
      <c r="C1938" t="n">
        <v>2012</v>
      </c>
      <c r="D1938" t="n">
        <v>2014</v>
      </c>
      <c r="E1938" t="inlineStr">
        <is>
          <t>Big Hero 6, Man on a Ledge</t>
        </is>
      </c>
      <c r="F1938" t="inlineStr">
        <is>
          <t>F0048, F0210</t>
        </is>
      </c>
    </row>
    <row r="1939">
      <c r="A1939" t="inlineStr">
        <is>
          <t>James Cromwell</t>
        </is>
      </c>
      <c r="B1939" t="n">
        <v>3</v>
      </c>
      <c r="C1939" t="n">
        <v>2007</v>
      </c>
      <c r="D1939" t="n">
        <v>2018</v>
      </c>
      <c r="E1939" t="inlineStr">
        <is>
          <t>Big Hero 6, Jurassic World: Fallen Kingdom, Spider-Man 3</t>
        </is>
      </c>
      <c r="F1939" t="inlineStr">
        <is>
          <t>F0048, F0180, F0289</t>
        </is>
      </c>
    </row>
    <row r="1940">
      <c r="A1940" t="inlineStr">
        <is>
          <t>Abraham Benrubi</t>
        </is>
      </c>
      <c r="B1940" t="n">
        <v>1</v>
      </c>
      <c r="C1940" t="n">
        <v>2014</v>
      </c>
      <c r="D1940" t="n">
        <v>2014</v>
      </c>
      <c r="E1940" t="inlineStr">
        <is>
          <t>Big Hero 6</t>
        </is>
      </c>
      <c r="F1940" t="inlineStr">
        <is>
          <t>F0048</t>
        </is>
      </c>
    </row>
    <row r="1941">
      <c r="A1941" t="inlineStr">
        <is>
          <t>Katie Lowes</t>
        </is>
      </c>
      <c r="B1941" t="n">
        <v>4</v>
      </c>
      <c r="C1941" t="n">
        <v>2009</v>
      </c>
      <c r="D1941" t="n">
        <v>2018</v>
      </c>
      <c r="E1941" t="inlineStr">
        <is>
          <t>Big Hero 6, Transformers: Revenge of the Fallen, Wreck-It Ralph, Ralph Breaks the Internet</t>
        </is>
      </c>
      <c r="F1941" t="inlineStr">
        <is>
          <t>F0048, F0317, F0336, F0337</t>
        </is>
      </c>
    </row>
    <row r="1942">
      <c r="A1942" t="inlineStr">
        <is>
          <t>Billy Bush</t>
        </is>
      </c>
      <c r="B1942" t="n">
        <v>2</v>
      </c>
      <c r="C1942" t="n">
        <v>2008</v>
      </c>
      <c r="D1942" t="n">
        <v>2014</v>
      </c>
      <c r="E1942" t="inlineStr">
        <is>
          <t>Big Hero 6, Forgetting Sarah Marshall</t>
        </is>
      </c>
      <c r="F1942" t="inlineStr">
        <is>
          <t>F0048, F0115</t>
        </is>
      </c>
    </row>
    <row r="1943">
      <c r="A1943" t="inlineStr">
        <is>
          <t>Daniel Gerson</t>
        </is>
      </c>
      <c r="B1943" t="n">
        <v>2</v>
      </c>
      <c r="C1943" t="n">
        <v>2001</v>
      </c>
      <c r="D1943" t="n">
        <v>2014</v>
      </c>
      <c r="E1943" t="inlineStr">
        <is>
          <t>Big Hero 6, Monsters, Inc.</t>
        </is>
      </c>
      <c r="F1943" t="inlineStr">
        <is>
          <t>F0048, F0229</t>
        </is>
      </c>
    </row>
    <row r="1944">
      <c r="A1944" t="inlineStr">
        <is>
          <t>Paul Briggs</t>
        </is>
      </c>
      <c r="B1944" t="n">
        <v>2</v>
      </c>
      <c r="C1944" t="n">
        <v>2013</v>
      </c>
      <c r="D1944" t="n">
        <v>2014</v>
      </c>
      <c r="E1944" t="inlineStr">
        <is>
          <t>Big Hero 6, Frozen</t>
        </is>
      </c>
      <c r="F1944" t="inlineStr">
        <is>
          <t>F0048, F0116</t>
        </is>
      </c>
    </row>
    <row r="1945">
      <c r="A1945" t="inlineStr">
        <is>
          <t>Charlie Adler</t>
        </is>
      </c>
      <c r="B1945" t="n">
        <v>2</v>
      </c>
      <c r="C1945" t="n">
        <v>2007</v>
      </c>
      <c r="D1945" t="n">
        <v>2014</v>
      </c>
      <c r="E1945" t="inlineStr">
        <is>
          <t>Big Hero 6, Transformers</t>
        </is>
      </c>
      <c r="F1945" t="inlineStr">
        <is>
          <t>F0048, F0316</t>
        </is>
      </c>
    </row>
    <row r="1946">
      <c r="A1946" t="inlineStr">
        <is>
          <t>Marcella Lentz-Pope</t>
        </is>
      </c>
      <c r="B1946" t="n">
        <v>2</v>
      </c>
      <c r="C1946" t="n">
        <v>2007</v>
      </c>
      <c r="D1946" t="n">
        <v>2014</v>
      </c>
      <c r="E1946" t="inlineStr">
        <is>
          <t>Big Hero 6, Superbad</t>
        </is>
      </c>
      <c r="F1946" t="inlineStr">
        <is>
          <t>F0048, F0303</t>
        </is>
      </c>
    </row>
    <row r="1947">
      <c r="A1947" t="inlineStr">
        <is>
          <t>David Shaughnessy</t>
        </is>
      </c>
      <c r="B1947" t="n">
        <v>1</v>
      </c>
      <c r="C1947" t="n">
        <v>2014</v>
      </c>
      <c r="D1947" t="n">
        <v>2014</v>
      </c>
      <c r="E1947" t="inlineStr">
        <is>
          <t>Big Hero 6</t>
        </is>
      </c>
      <c r="F1947" t="inlineStr">
        <is>
          <t>F0048</t>
        </is>
      </c>
    </row>
    <row r="1948">
      <c r="A1948" t="inlineStr">
        <is>
          <t>Cam Clarke</t>
        </is>
      </c>
      <c r="B1948" t="n">
        <v>2</v>
      </c>
      <c r="C1948" t="n">
        <v>2013</v>
      </c>
      <c r="D1948" t="n">
        <v>2014</v>
      </c>
      <c r="E1948" t="inlineStr">
        <is>
          <t>Big Hero 6, Lego Batman: The Movie - DC Super Heroes Unite</t>
        </is>
      </c>
      <c r="F1948" t="inlineStr">
        <is>
          <t>F0048, F0194</t>
        </is>
      </c>
    </row>
    <row r="1949">
      <c r="A1949" t="inlineStr">
        <is>
          <t>Nicholas Guest</t>
        </is>
      </c>
      <c r="B1949" t="n">
        <v>1</v>
      </c>
      <c r="C1949" t="n">
        <v>2014</v>
      </c>
      <c r="D1949" t="n">
        <v>2014</v>
      </c>
      <c r="E1949" t="inlineStr">
        <is>
          <t>Big Hero 6</t>
        </is>
      </c>
      <c r="F1949" t="inlineStr">
        <is>
          <t>F0048</t>
        </is>
      </c>
    </row>
    <row r="1950">
      <c r="A1950" t="inlineStr">
        <is>
          <t>Terri Douglas</t>
        </is>
      </c>
      <c r="B1950" t="n">
        <v>1</v>
      </c>
      <c r="C1950" t="n">
        <v>2014</v>
      </c>
      <c r="D1950" t="n">
        <v>2014</v>
      </c>
      <c r="E1950" t="inlineStr">
        <is>
          <t>Big Hero 6</t>
        </is>
      </c>
      <c r="F1950" t="inlineStr">
        <is>
          <t>F0048</t>
        </is>
      </c>
    </row>
    <row r="1951">
      <c r="A1951" t="inlineStr">
        <is>
          <t>Tim Mertens</t>
        </is>
      </c>
      <c r="B1951" t="n">
        <v>1</v>
      </c>
      <c r="C1951" t="n">
        <v>2014</v>
      </c>
      <c r="D1951" t="n">
        <v>2014</v>
      </c>
      <c r="E1951" t="inlineStr">
        <is>
          <t>Big Hero 6</t>
        </is>
      </c>
      <c r="F1951" t="inlineStr">
        <is>
          <t>F0048</t>
        </is>
      </c>
    </row>
    <row r="1952">
      <c r="A1952" t="inlineStr">
        <is>
          <t>Yuri Lowenthal</t>
        </is>
      </c>
      <c r="B1952" t="n">
        <v>2</v>
      </c>
      <c r="C1952" t="n">
        <v>2014</v>
      </c>
      <c r="D1952" t="n">
        <v>2016</v>
      </c>
      <c r="E1952" t="inlineStr">
        <is>
          <t>Big Hero 6, Lego DC Comics Super Heroes: Justice League - Gotham City Breakout</t>
        </is>
      </c>
      <c r="F1952" t="inlineStr">
        <is>
          <t>F0048, F0198</t>
        </is>
      </c>
    </row>
    <row r="1953">
      <c r="A1953" t="inlineStr">
        <is>
          <t>Sundra Oakley</t>
        </is>
      </c>
      <c r="B1953" t="n">
        <v>1</v>
      </c>
      <c r="C1953" t="n">
        <v>2014</v>
      </c>
      <c r="D1953" t="n">
        <v>2014</v>
      </c>
      <c r="E1953" t="inlineStr">
        <is>
          <t>Big Hero 6</t>
        </is>
      </c>
      <c r="F1953" t="inlineStr">
        <is>
          <t>F0048</t>
        </is>
      </c>
    </row>
    <row r="1954">
      <c r="A1954" t="inlineStr">
        <is>
          <t>Brian R. Norris</t>
        </is>
      </c>
      <c r="B1954" t="n">
        <v>1</v>
      </c>
      <c r="C1954" t="n">
        <v>2014</v>
      </c>
      <c r="D1954" t="n">
        <v>2014</v>
      </c>
      <c r="E1954" t="inlineStr">
        <is>
          <t>Big Hero 6</t>
        </is>
      </c>
      <c r="F1954" t="inlineStr">
        <is>
          <t>F0048</t>
        </is>
      </c>
    </row>
    <row r="1955">
      <c r="A1955" t="inlineStr">
        <is>
          <t>Shane Sweet</t>
        </is>
      </c>
      <c r="B1955" t="n">
        <v>1</v>
      </c>
      <c r="C1955" t="n">
        <v>2014</v>
      </c>
      <c r="D1955" t="n">
        <v>2014</v>
      </c>
      <c r="E1955" t="inlineStr">
        <is>
          <t>Big Hero 6</t>
        </is>
      </c>
      <c r="F1955" t="inlineStr">
        <is>
          <t>F0048</t>
        </is>
      </c>
    </row>
    <row r="1956">
      <c r="A1956" t="inlineStr">
        <is>
          <t>David Cowgill</t>
        </is>
      </c>
      <c r="B1956" t="n">
        <v>2</v>
      </c>
      <c r="C1956" t="n">
        <v>2013</v>
      </c>
      <c r="D1956" t="n">
        <v>2014</v>
      </c>
      <c r="E1956" t="inlineStr">
        <is>
          <t>Big Hero 6, Cloudy with a Chance of Meatballs 2</t>
        </is>
      </c>
      <c r="F1956" t="inlineStr">
        <is>
          <t>F0048, F0067</t>
        </is>
      </c>
    </row>
    <row r="1957">
      <c r="A1957" t="inlineStr">
        <is>
          <t>Kirk Baily</t>
        </is>
      </c>
      <c r="B1957" t="n">
        <v>2</v>
      </c>
      <c r="C1957" t="n">
        <v>2013</v>
      </c>
      <c r="D1957" t="n">
        <v>2014</v>
      </c>
      <c r="E1957" t="inlineStr">
        <is>
          <t>Big Hero 6, Frozen</t>
        </is>
      </c>
      <c r="F1957" t="inlineStr">
        <is>
          <t>F0048, F0116</t>
        </is>
      </c>
    </row>
    <row r="1958">
      <c r="A1958" t="inlineStr">
        <is>
          <t>Tara Reid</t>
        </is>
      </c>
      <c r="B1958" t="n">
        <v>1</v>
      </c>
      <c r="C1958" t="n">
        <v>1998</v>
      </c>
      <c r="D1958" t="n">
        <v>1998</v>
      </c>
      <c r="E1958" t="inlineStr">
        <is>
          <t>The Big Lebowski</t>
        </is>
      </c>
      <c r="F1958" t="inlineStr">
        <is>
          <t>F0049</t>
        </is>
      </c>
    </row>
    <row r="1959">
      <c r="A1959" t="inlineStr">
        <is>
          <t>Philip Moon</t>
        </is>
      </c>
      <c r="B1959" t="n">
        <v>1</v>
      </c>
      <c r="C1959" t="n">
        <v>1998</v>
      </c>
      <c r="D1959" t="n">
        <v>1998</v>
      </c>
      <c r="E1959" t="inlineStr">
        <is>
          <t>The Big Lebowski</t>
        </is>
      </c>
      <c r="F1959" t="inlineStr">
        <is>
          <t>F0049</t>
        </is>
      </c>
    </row>
    <row r="1960">
      <c r="A1960" t="inlineStr">
        <is>
          <t>Mark Pellegrino</t>
        </is>
      </c>
      <c r="B1960" t="n">
        <v>1</v>
      </c>
      <c r="C1960" t="n">
        <v>1998</v>
      </c>
      <c r="D1960" t="n">
        <v>1998</v>
      </c>
      <c r="E1960" t="inlineStr">
        <is>
          <t>The Big Lebowski</t>
        </is>
      </c>
      <c r="F1960" t="inlineStr">
        <is>
          <t>F0049</t>
        </is>
      </c>
    </row>
    <row r="1961">
      <c r="A1961" t="inlineStr">
        <is>
          <t>Torsten Voges</t>
        </is>
      </c>
      <c r="B1961" t="n">
        <v>1</v>
      </c>
      <c r="C1961" t="n">
        <v>1998</v>
      </c>
      <c r="D1961" t="n">
        <v>1998</v>
      </c>
      <c r="E1961" t="inlineStr">
        <is>
          <t>The Big Lebowski</t>
        </is>
      </c>
      <c r="F1961" t="inlineStr">
        <is>
          <t>F0049</t>
        </is>
      </c>
    </row>
    <row r="1962">
      <c r="A1962" t="inlineStr">
        <is>
          <t>Jimmie Dale Gilmore</t>
        </is>
      </c>
      <c r="B1962" t="n">
        <v>1</v>
      </c>
      <c r="C1962" t="n">
        <v>1998</v>
      </c>
      <c r="D1962" t="n">
        <v>1998</v>
      </c>
      <c r="E1962" t="inlineStr">
        <is>
          <t>The Big Lebowski</t>
        </is>
      </c>
      <c r="F1962" t="inlineStr">
        <is>
          <t>F0049</t>
        </is>
      </c>
    </row>
    <row r="1963">
      <c r="A1963" t="inlineStr">
        <is>
          <t>Jack Kehler</t>
        </is>
      </c>
      <c r="B1963" t="n">
        <v>1</v>
      </c>
      <c r="C1963" t="n">
        <v>1998</v>
      </c>
      <c r="D1963" t="n">
        <v>1998</v>
      </c>
      <c r="E1963" t="inlineStr">
        <is>
          <t>The Big Lebowski</t>
        </is>
      </c>
      <c r="F1963" t="inlineStr">
        <is>
          <t>F0049</t>
        </is>
      </c>
    </row>
    <row r="1964">
      <c r="A1964" t="inlineStr">
        <is>
          <t>James G. Hoosier</t>
        </is>
      </c>
      <c r="B1964" t="n">
        <v>1</v>
      </c>
      <c r="C1964" t="n">
        <v>1998</v>
      </c>
      <c r="D1964" t="n">
        <v>1998</v>
      </c>
      <c r="E1964" t="inlineStr">
        <is>
          <t>The Big Lebowski</t>
        </is>
      </c>
      <c r="F1964" t="inlineStr">
        <is>
          <t>F0049</t>
        </is>
      </c>
    </row>
    <row r="1965">
      <c r="A1965" t="inlineStr">
        <is>
          <t>Carlos Leon</t>
        </is>
      </c>
      <c r="B1965" t="n">
        <v>1</v>
      </c>
      <c r="C1965" t="n">
        <v>1998</v>
      </c>
      <c r="D1965" t="n">
        <v>1998</v>
      </c>
      <c r="E1965" t="inlineStr">
        <is>
          <t>The Big Lebowski</t>
        </is>
      </c>
      <c r="F1965" t="inlineStr">
        <is>
          <t>F0049</t>
        </is>
      </c>
    </row>
    <row r="1966">
      <c r="A1966" t="inlineStr">
        <is>
          <t>Terrence Burton</t>
        </is>
      </c>
      <c r="B1966" t="n">
        <v>1</v>
      </c>
      <c r="C1966" t="n">
        <v>1998</v>
      </c>
      <c r="D1966" t="n">
        <v>1998</v>
      </c>
      <c r="E1966" t="inlineStr">
        <is>
          <t>The Big Lebowski</t>
        </is>
      </c>
      <c r="F1966" t="inlineStr">
        <is>
          <t>F0049</t>
        </is>
      </c>
    </row>
    <row r="1967">
      <c r="A1967" t="inlineStr">
        <is>
          <t>Richard Gant</t>
        </is>
      </c>
      <c r="B1967" t="n">
        <v>1</v>
      </c>
      <c r="C1967" t="n">
        <v>1998</v>
      </c>
      <c r="D1967" t="n">
        <v>1998</v>
      </c>
      <c r="E1967" t="inlineStr">
        <is>
          <t>The Big Lebowski</t>
        </is>
      </c>
      <c r="F1967" t="inlineStr">
        <is>
          <t>F0049</t>
        </is>
      </c>
    </row>
    <row r="1968">
      <c r="A1968" t="inlineStr">
        <is>
          <t>Christian Clemenson</t>
        </is>
      </c>
      <c r="B1968" t="n">
        <v>1</v>
      </c>
      <c r="C1968" t="n">
        <v>1998</v>
      </c>
      <c r="D1968" t="n">
        <v>1998</v>
      </c>
      <c r="E1968" t="inlineStr">
        <is>
          <t>The Big Lebowski</t>
        </is>
      </c>
      <c r="F1968" t="inlineStr">
        <is>
          <t>F0049</t>
        </is>
      </c>
    </row>
    <row r="1969">
      <c r="A1969" t="inlineStr">
        <is>
          <t>Dom Irrera</t>
        </is>
      </c>
      <c r="B1969" t="n">
        <v>1</v>
      </c>
      <c r="C1969" t="n">
        <v>1998</v>
      </c>
      <c r="D1969" t="n">
        <v>1998</v>
      </c>
      <c r="E1969" t="inlineStr">
        <is>
          <t>The Big Lebowski</t>
        </is>
      </c>
      <c r="F1969" t="inlineStr">
        <is>
          <t>F0049</t>
        </is>
      </c>
    </row>
    <row r="1970">
      <c r="A1970" t="inlineStr">
        <is>
          <t>Gérard L'Heureux</t>
        </is>
      </c>
      <c r="B1970" t="n">
        <v>1</v>
      </c>
      <c r="C1970" t="n">
        <v>1998</v>
      </c>
      <c r="D1970" t="n">
        <v>1998</v>
      </c>
      <c r="E1970" t="inlineStr">
        <is>
          <t>The Big Lebowski</t>
        </is>
      </c>
      <c r="F1970" t="inlineStr">
        <is>
          <t>F0049</t>
        </is>
      </c>
    </row>
    <row r="1971">
      <c r="A1971" t="inlineStr">
        <is>
          <t>David Thewlis</t>
        </is>
      </c>
      <c r="B1971" t="n">
        <v>7</v>
      </c>
      <c r="C1971" t="n">
        <v>1998</v>
      </c>
      <c r="D1971" t="n">
        <v>2014</v>
      </c>
      <c r="E1971" t="inlineStr">
        <is>
          <t>The Big Lebowski, Harry Potter and the Prisoner of Azkaban, Harry Potter and the Order of the Phoenix, Harry Potter and the Half-Blood Prince, Harry Potter and the Deathly Hallows: Part 1, Harry Potter and the Deathly Hallows: Part 2, The Theory of Everything</t>
        </is>
      </c>
      <c r="F1971" t="inlineStr">
        <is>
          <t>F0049, F0139, F0141, F0142, F0143, F0144, F0311</t>
        </is>
      </c>
    </row>
    <row r="1972">
      <c r="A1972" t="inlineStr">
        <is>
          <t>Lu Elrod</t>
        </is>
      </c>
      <c r="B1972" t="n">
        <v>1</v>
      </c>
      <c r="C1972" t="n">
        <v>1998</v>
      </c>
      <c r="D1972" t="n">
        <v>1998</v>
      </c>
      <c r="E1972" t="inlineStr">
        <is>
          <t>The Big Lebowski</t>
        </is>
      </c>
      <c r="F1972" t="inlineStr">
        <is>
          <t>F0049</t>
        </is>
      </c>
    </row>
    <row r="1973">
      <c r="A1973" t="inlineStr">
        <is>
          <t>Mike Gomez</t>
        </is>
      </c>
      <c r="B1973" t="n">
        <v>1</v>
      </c>
      <c r="C1973" t="n">
        <v>1998</v>
      </c>
      <c r="D1973" t="n">
        <v>1998</v>
      </c>
      <c r="E1973" t="inlineStr">
        <is>
          <t>The Big Lebowski</t>
        </is>
      </c>
      <c r="F1973" t="inlineStr">
        <is>
          <t>F0049</t>
        </is>
      </c>
    </row>
    <row r="1974">
      <c r="A1974" t="inlineStr">
        <is>
          <t>Peter Siragusa</t>
        </is>
      </c>
      <c r="B1974" t="n">
        <v>2</v>
      </c>
      <c r="C1974" t="n">
        <v>1998</v>
      </c>
      <c r="D1974" t="n">
        <v>2013</v>
      </c>
      <c r="E1974" t="inlineStr">
        <is>
          <t>The Big Lebowski, Cloudy with a Chance of Meatballs 2</t>
        </is>
      </c>
      <c r="F1974" t="inlineStr">
        <is>
          <t>F0049, F0067</t>
        </is>
      </c>
    </row>
    <row r="1975">
      <c r="A1975" t="inlineStr">
        <is>
          <t>Sam Elliott</t>
        </is>
      </c>
      <c r="B1975" t="n">
        <v>1</v>
      </c>
      <c r="C1975" t="n">
        <v>1998</v>
      </c>
      <c r="D1975" t="n">
        <v>1998</v>
      </c>
      <c r="E1975" t="inlineStr">
        <is>
          <t>The Big Lebowski</t>
        </is>
      </c>
      <c r="F1975" t="inlineStr">
        <is>
          <t>F0049</t>
        </is>
      </c>
    </row>
    <row r="1976">
      <c r="A1976" t="inlineStr">
        <is>
          <t>Marshall Manesh</t>
        </is>
      </c>
      <c r="B1976" t="n">
        <v>1</v>
      </c>
      <c r="C1976" t="n">
        <v>1998</v>
      </c>
      <c r="D1976" t="n">
        <v>1998</v>
      </c>
      <c r="E1976" t="inlineStr">
        <is>
          <t>The Big Lebowski</t>
        </is>
      </c>
      <c r="F1976" t="inlineStr">
        <is>
          <t>F0049</t>
        </is>
      </c>
    </row>
    <row r="1977">
      <c r="A1977" t="inlineStr">
        <is>
          <t>Harry Bugin</t>
        </is>
      </c>
      <c r="B1977" t="n">
        <v>1</v>
      </c>
      <c r="C1977" t="n">
        <v>1998</v>
      </c>
      <c r="D1977" t="n">
        <v>1998</v>
      </c>
      <c r="E1977" t="inlineStr">
        <is>
          <t>The Big Lebowski</t>
        </is>
      </c>
      <c r="F1977" t="inlineStr">
        <is>
          <t>F0049</t>
        </is>
      </c>
    </row>
    <row r="1978">
      <c r="A1978" t="inlineStr">
        <is>
          <t>Jesse Flanagan</t>
        </is>
      </c>
      <c r="B1978" t="n">
        <v>1</v>
      </c>
      <c r="C1978" t="n">
        <v>1998</v>
      </c>
      <c r="D1978" t="n">
        <v>1998</v>
      </c>
      <c r="E1978" t="inlineStr">
        <is>
          <t>The Big Lebowski</t>
        </is>
      </c>
      <c r="F1978" t="inlineStr">
        <is>
          <t>F0049</t>
        </is>
      </c>
    </row>
    <row r="1979">
      <c r="A1979" t="inlineStr">
        <is>
          <t>Jason Isaacs</t>
        </is>
      </c>
      <c r="B1979" t="n">
        <v>8</v>
      </c>
      <c r="C1979" t="n">
        <v>2001</v>
      </c>
      <c r="D1979" t="n">
        <v>2014</v>
      </c>
      <c r="E1979" t="inlineStr">
        <is>
          <t>Black Hawk Down, Fury, Green Zone, Harry Potter and the Chamber of Secrets, Harry Potter and the Goblet of Fire, Harry Potter and the Order of the Phoenix, Harry Potter and the Deathly Hallows: Part 1, Harry Potter and the Deathly Hallows: Part 2</t>
        </is>
      </c>
      <c r="F1979" t="inlineStr">
        <is>
          <t>F0050, F0117, F0129, F0138, F0140, F0141, F0143, F0144</t>
        </is>
      </c>
    </row>
    <row r="1980">
      <c r="A1980" t="inlineStr">
        <is>
          <t>Ewen Bremner</t>
        </is>
      </c>
      <c r="B1980" t="n">
        <v>3</v>
      </c>
      <c r="C1980" t="n">
        <v>2001</v>
      </c>
      <c r="D1980" t="n">
        <v>2013</v>
      </c>
      <c r="E1980" t="inlineStr">
        <is>
          <t>Black Hawk Down, Pearl Harbor, Snowpiercer</t>
        </is>
      </c>
      <c r="F1980" t="inlineStr">
        <is>
          <t>F0050, F0246, F0283</t>
        </is>
      </c>
    </row>
    <row r="1981">
      <c r="A1981" t="inlineStr">
        <is>
          <t>Charlie Hofheimer</t>
        </is>
      </c>
      <c r="B1981" t="n">
        <v>1</v>
      </c>
      <c r="C1981" t="n">
        <v>2001</v>
      </c>
      <c r="D1981" t="n">
        <v>2001</v>
      </c>
      <c r="E1981" t="inlineStr">
        <is>
          <t>Black Hawk Down</t>
        </is>
      </c>
      <c r="F1981" t="inlineStr">
        <is>
          <t>F0050</t>
        </is>
      </c>
    </row>
    <row r="1982">
      <c r="A1982" t="inlineStr">
        <is>
          <t>Hugh Dancy</t>
        </is>
      </c>
      <c r="B1982" t="n">
        <v>1</v>
      </c>
      <c r="C1982" t="n">
        <v>2001</v>
      </c>
      <c r="D1982" t="n">
        <v>2001</v>
      </c>
      <c r="E1982" t="inlineStr">
        <is>
          <t>Black Hawk Down</t>
        </is>
      </c>
      <c r="F1982" t="inlineStr">
        <is>
          <t>F0050</t>
        </is>
      </c>
    </row>
    <row r="1983">
      <c r="A1983" t="inlineStr">
        <is>
          <t>Tom Guiry</t>
        </is>
      </c>
      <c r="B1983" t="n">
        <v>1</v>
      </c>
      <c r="C1983" t="n">
        <v>2001</v>
      </c>
      <c r="D1983" t="n">
        <v>2001</v>
      </c>
      <c r="E1983" t="inlineStr">
        <is>
          <t>Black Hawk Down</t>
        </is>
      </c>
      <c r="F1983" t="inlineStr">
        <is>
          <t>F0050</t>
        </is>
      </c>
    </row>
    <row r="1984">
      <c r="A1984" t="inlineStr">
        <is>
          <t>Brian Van Holt</t>
        </is>
      </c>
      <c r="B1984" t="n">
        <v>1</v>
      </c>
      <c r="C1984" t="n">
        <v>2001</v>
      </c>
      <c r="D1984" t="n">
        <v>2001</v>
      </c>
      <c r="E1984" t="inlineStr">
        <is>
          <t>Black Hawk Down</t>
        </is>
      </c>
      <c r="F1984" t="inlineStr">
        <is>
          <t>F0050</t>
        </is>
      </c>
    </row>
    <row r="1985">
      <c r="A1985" t="inlineStr">
        <is>
          <t>Steven Ford</t>
        </is>
      </c>
      <c r="B1985" t="n">
        <v>1</v>
      </c>
      <c r="C1985" t="n">
        <v>2001</v>
      </c>
      <c r="D1985" t="n">
        <v>2001</v>
      </c>
      <c r="E1985" t="inlineStr">
        <is>
          <t>Black Hawk Down</t>
        </is>
      </c>
      <c r="F1985" t="inlineStr">
        <is>
          <t>F0050</t>
        </is>
      </c>
    </row>
    <row r="1986">
      <c r="A1986" t="inlineStr">
        <is>
          <t>Ron Eldard</t>
        </is>
      </c>
      <c r="B1986" t="n">
        <v>2</v>
      </c>
      <c r="C1986" t="n">
        <v>2001</v>
      </c>
      <c r="D1986" t="n">
        <v>2011</v>
      </c>
      <c r="E1986" t="inlineStr">
        <is>
          <t>Black Hawk Down, Super 8</t>
        </is>
      </c>
      <c r="F1986" t="inlineStr">
        <is>
          <t>F0050, F0302</t>
        </is>
      </c>
    </row>
    <row r="1987">
      <c r="A1987" t="inlineStr">
        <is>
          <t>Gregory Sporleder</t>
        </is>
      </c>
      <c r="B1987" t="n">
        <v>1</v>
      </c>
      <c r="C1987" t="n">
        <v>2001</v>
      </c>
      <c r="D1987" t="n">
        <v>2001</v>
      </c>
      <c r="E1987" t="inlineStr">
        <is>
          <t>Black Hawk Down</t>
        </is>
      </c>
      <c r="F1987" t="inlineStr">
        <is>
          <t>F0050</t>
        </is>
      </c>
    </row>
    <row r="1988">
      <c r="A1988" t="inlineStr">
        <is>
          <t>Johnny Strong</t>
        </is>
      </c>
      <c r="B1988" t="n">
        <v>2</v>
      </c>
      <c r="C1988" t="n">
        <v>2001</v>
      </c>
      <c r="D1988" t="n">
        <v>2001</v>
      </c>
      <c r="E1988" t="inlineStr">
        <is>
          <t>Black Hawk Down, The Fast and the Furious</t>
        </is>
      </c>
      <c r="F1988" t="inlineStr">
        <is>
          <t>F0050, F0101</t>
        </is>
      </c>
    </row>
    <row r="1989">
      <c r="A1989" t="inlineStr">
        <is>
          <t>Kim Coates</t>
        </is>
      </c>
      <c r="B1989" t="n">
        <v>1</v>
      </c>
      <c r="C1989" t="n">
        <v>2001</v>
      </c>
      <c r="D1989" t="n">
        <v>2001</v>
      </c>
      <c r="E1989" t="inlineStr">
        <is>
          <t>Black Hawk Down</t>
        </is>
      </c>
      <c r="F1989" t="inlineStr">
        <is>
          <t>F0050</t>
        </is>
      </c>
    </row>
    <row r="1990">
      <c r="A1990" t="inlineStr">
        <is>
          <t>Jeremy Piven</t>
        </is>
      </c>
      <c r="B1990" t="n">
        <v>1</v>
      </c>
      <c r="C1990" t="n">
        <v>2001</v>
      </c>
      <c r="D1990" t="n">
        <v>2001</v>
      </c>
      <c r="E1990" t="inlineStr">
        <is>
          <t>Black Hawk Down</t>
        </is>
      </c>
      <c r="F1990" t="inlineStr">
        <is>
          <t>F0050</t>
        </is>
      </c>
    </row>
    <row r="1991">
      <c r="A1991" t="inlineStr">
        <is>
          <t>Enrique Murciano</t>
        </is>
      </c>
      <c r="B1991" t="n">
        <v>2</v>
      </c>
      <c r="C1991" t="n">
        <v>2001</v>
      </c>
      <c r="D1991" t="n">
        <v>2014</v>
      </c>
      <c r="E1991" t="inlineStr">
        <is>
          <t>Black Hawk Down, Dawn of the Planet of the Apes</t>
        </is>
      </c>
      <c r="F1991" t="inlineStr">
        <is>
          <t>F0050, F0254</t>
        </is>
      </c>
    </row>
    <row r="1992">
      <c r="A1992" t="inlineStr">
        <is>
          <t>Glenn Morshower</t>
        </is>
      </c>
      <c r="B1992" t="n">
        <v>5</v>
      </c>
      <c r="C1992" t="n">
        <v>2001</v>
      </c>
      <c r="D1992" t="n">
        <v>2017</v>
      </c>
      <c r="E1992" t="inlineStr">
        <is>
          <t>Black Hawk Down, Transformers: Revenge of the Fallen, Transformers: Dark of the Moon, Transformers: The Last Knight, X-Men: First Class</t>
        </is>
      </c>
      <c r="F1992" t="inlineStr">
        <is>
          <t>F0050, F0317, F0318, F0320, F0340</t>
        </is>
      </c>
    </row>
    <row r="1993">
      <c r="A1993" t="inlineStr">
        <is>
          <t>Brendan Sexton III</t>
        </is>
      </c>
      <c r="B1993" t="n">
        <v>1</v>
      </c>
      <c r="C1993" t="n">
        <v>2001</v>
      </c>
      <c r="D1993" t="n">
        <v>2001</v>
      </c>
      <c r="E1993" t="inlineStr">
        <is>
          <t>Black Hawk Down</t>
        </is>
      </c>
      <c r="F1993" t="inlineStr">
        <is>
          <t>F0050</t>
        </is>
      </c>
    </row>
    <row r="1994">
      <c r="A1994" t="inlineStr">
        <is>
          <t>Carmine Giovinazzo</t>
        </is>
      </c>
      <c r="B1994" t="n">
        <v>1</v>
      </c>
      <c r="C1994" t="n">
        <v>2001</v>
      </c>
      <c r="D1994" t="n">
        <v>2001</v>
      </c>
      <c r="E1994" t="inlineStr">
        <is>
          <t>Black Hawk Down</t>
        </is>
      </c>
      <c r="F1994" t="inlineStr">
        <is>
          <t>F0050</t>
        </is>
      </c>
    </row>
    <row r="1995">
      <c r="A1995" t="inlineStr">
        <is>
          <t>George Harris</t>
        </is>
      </c>
      <c r="B1995" t="n">
        <v>2</v>
      </c>
      <c r="C1995" t="n">
        <v>2001</v>
      </c>
      <c r="D1995" t="n">
        <v>2007</v>
      </c>
      <c r="E1995" t="inlineStr">
        <is>
          <t>Black Hawk Down, Harry Potter and the Order of the Phoenix</t>
        </is>
      </c>
      <c r="F1995" t="inlineStr">
        <is>
          <t>F0050, F0141</t>
        </is>
      </c>
    </row>
    <row r="1996">
      <c r="A1996" t="inlineStr">
        <is>
          <t>Razaaq Adoti</t>
        </is>
      </c>
      <c r="B1996" t="n">
        <v>1</v>
      </c>
      <c r="C1996" t="n">
        <v>2001</v>
      </c>
      <c r="D1996" t="n">
        <v>2001</v>
      </c>
      <c r="E1996" t="inlineStr">
        <is>
          <t>Black Hawk Down</t>
        </is>
      </c>
      <c r="F1996" t="inlineStr">
        <is>
          <t>F0050</t>
        </is>
      </c>
    </row>
    <row r="1997">
      <c r="A1997" t="inlineStr">
        <is>
          <t>Treva Etienne</t>
        </is>
      </c>
      <c r="B1997" t="n">
        <v>2</v>
      </c>
      <c r="C1997" t="n">
        <v>2001</v>
      </c>
      <c r="D1997" t="n">
        <v>2009</v>
      </c>
      <c r="E1997" t="inlineStr">
        <is>
          <t>Black Hawk Down, Terminator Salvation</t>
        </is>
      </c>
      <c r="F1997" t="inlineStr">
        <is>
          <t>F0050, F0310</t>
        </is>
      </c>
    </row>
    <row r="1998">
      <c r="A1998" t="inlineStr">
        <is>
          <t>Golshifteh Farahani</t>
        </is>
      </c>
      <c r="B1998" t="n">
        <v>1</v>
      </c>
      <c r="C1998" t="n">
        <v>2008</v>
      </c>
      <c r="D1998" t="n">
        <v>2008</v>
      </c>
      <c r="E1998" t="inlineStr">
        <is>
          <t>Body of Lies</t>
        </is>
      </c>
      <c r="F1998" t="inlineStr">
        <is>
          <t>F0051</t>
        </is>
      </c>
    </row>
    <row r="1999">
      <c r="A1999" t="inlineStr">
        <is>
          <t>Lubna Azabal</t>
        </is>
      </c>
      <c r="B1999" t="n">
        <v>1</v>
      </c>
      <c r="C1999" t="n">
        <v>2008</v>
      </c>
      <c r="D1999" t="n">
        <v>2008</v>
      </c>
      <c r="E1999" t="inlineStr">
        <is>
          <t>Body of Lies</t>
        </is>
      </c>
      <c r="F1999" t="inlineStr">
        <is>
          <t>F0051</t>
        </is>
      </c>
    </row>
    <row r="2000">
      <c r="A2000" t="inlineStr">
        <is>
          <t>Michael Stuhlbarg</t>
        </is>
      </c>
      <c r="B2000" t="n">
        <v>2</v>
      </c>
      <c r="C2000" t="n">
        <v>2008</v>
      </c>
      <c r="D2000" t="n">
        <v>2012</v>
      </c>
      <c r="E2000" t="inlineStr">
        <is>
          <t>Body of Lies, Men in Black 3</t>
        </is>
      </c>
      <c r="F2000" t="inlineStr">
        <is>
          <t>F0051, F0219</t>
        </is>
      </c>
    </row>
    <row r="2001">
      <c r="A2001" t="inlineStr">
        <is>
          <t>Mehdi Nebbou</t>
        </is>
      </c>
      <c r="B2001" t="n">
        <v>1</v>
      </c>
      <c r="C2001" t="n">
        <v>2008</v>
      </c>
      <c r="D2001" t="n">
        <v>2008</v>
      </c>
      <c r="E2001" t="inlineStr">
        <is>
          <t>Body of Lies</t>
        </is>
      </c>
      <c r="F2001" t="inlineStr">
        <is>
          <t>F0051</t>
        </is>
      </c>
    </row>
    <row r="2002">
      <c r="A2002" t="inlineStr">
        <is>
          <t>Michael Gaston</t>
        </is>
      </c>
      <c r="B2002" t="n">
        <v>1</v>
      </c>
      <c r="C2002" t="n">
        <v>2008</v>
      </c>
      <c r="D2002" t="n">
        <v>2008</v>
      </c>
      <c r="E2002" t="inlineStr">
        <is>
          <t>Body of Lies</t>
        </is>
      </c>
      <c r="F2002" t="inlineStr">
        <is>
          <t>F0051</t>
        </is>
      </c>
    </row>
    <row r="2003">
      <c r="A2003" t="inlineStr">
        <is>
          <t>Vince Colosimo</t>
        </is>
      </c>
      <c r="B2003" t="n">
        <v>2</v>
      </c>
      <c r="C2003" t="n">
        <v>2008</v>
      </c>
      <c r="D2003" t="n">
        <v>2013</v>
      </c>
      <c r="E2003" t="inlineStr">
        <is>
          <t>Body of Lies, The Great Gatsby</t>
        </is>
      </c>
      <c r="F2003" t="inlineStr">
        <is>
          <t>F0051, F0126</t>
        </is>
      </c>
    </row>
    <row r="2004">
      <c r="A2004" t="inlineStr">
        <is>
          <t>Qais Nashif</t>
        </is>
      </c>
      <c r="B2004" t="n">
        <v>1</v>
      </c>
      <c r="C2004" t="n">
        <v>2008</v>
      </c>
      <c r="D2004" t="n">
        <v>2008</v>
      </c>
      <c r="E2004" t="inlineStr">
        <is>
          <t>Body of Lies</t>
        </is>
      </c>
      <c r="F2004" t="inlineStr">
        <is>
          <t>F0051</t>
        </is>
      </c>
    </row>
    <row r="2005">
      <c r="A2005" t="inlineStr">
        <is>
          <t>Ghali Benlafkih</t>
        </is>
      </c>
      <c r="B2005" t="n">
        <v>1</v>
      </c>
      <c r="C2005" t="n">
        <v>2008</v>
      </c>
      <c r="D2005" t="n">
        <v>2008</v>
      </c>
      <c r="E2005" t="inlineStr">
        <is>
          <t>Body of Lies</t>
        </is>
      </c>
      <c r="F2005" t="inlineStr">
        <is>
          <t>F0051</t>
        </is>
      </c>
    </row>
    <row r="2006">
      <c r="A2006" t="inlineStr">
        <is>
          <t>Clara Khoury</t>
        </is>
      </c>
      <c r="B2006" t="n">
        <v>1</v>
      </c>
      <c r="C2006" t="n">
        <v>2008</v>
      </c>
      <c r="D2006" t="n">
        <v>2008</v>
      </c>
      <c r="E2006" t="inlineStr">
        <is>
          <t>Body of Lies</t>
        </is>
      </c>
      <c r="F2006" t="inlineStr">
        <is>
          <t>F0051</t>
        </is>
      </c>
    </row>
    <row r="2007">
      <c r="A2007" t="inlineStr">
        <is>
          <t>Annabelle Wallis</t>
        </is>
      </c>
      <c r="B2007" t="n">
        <v>2</v>
      </c>
      <c r="C2007" t="n">
        <v>2008</v>
      </c>
      <c r="D2007" t="n">
        <v>2016</v>
      </c>
      <c r="E2007" t="inlineStr">
        <is>
          <t>Body of Lies, Grimsby</t>
        </is>
      </c>
      <c r="F2007" t="inlineStr">
        <is>
          <t>F0051, F0130</t>
        </is>
      </c>
    </row>
    <row r="2008">
      <c r="A2008" t="inlineStr">
        <is>
          <t>Giannina Facio</t>
        </is>
      </c>
      <c r="B2008" t="n">
        <v>2</v>
      </c>
      <c r="C2008" t="n">
        <v>2008</v>
      </c>
      <c r="D2008" t="n">
        <v>2012</v>
      </c>
      <c r="E2008" t="inlineStr">
        <is>
          <t>Body of Lies, Prometheus</t>
        </is>
      </c>
      <c r="F2008" t="inlineStr">
        <is>
          <t>F0051, F0259</t>
        </is>
      </c>
    </row>
    <row r="2009">
      <c r="A2009" t="inlineStr">
        <is>
          <t>Xanthe Elbrick</t>
        </is>
      </c>
      <c r="B2009" t="n">
        <v>1</v>
      </c>
      <c r="C2009" t="n">
        <v>2008</v>
      </c>
      <c r="D2009" t="n">
        <v>2008</v>
      </c>
      <c r="E2009" t="inlineStr">
        <is>
          <t>Body of Lies</t>
        </is>
      </c>
      <c r="F2009" t="inlineStr">
        <is>
          <t>F0051</t>
        </is>
      </c>
    </row>
    <row r="2010">
      <c r="A2010" t="inlineStr">
        <is>
          <t>Jameel Khoury</t>
        </is>
      </c>
      <c r="B2010" t="n">
        <v>1</v>
      </c>
      <c r="C2010" t="n">
        <v>2008</v>
      </c>
      <c r="D2010" t="n">
        <v>2008</v>
      </c>
      <c r="E2010" t="inlineStr">
        <is>
          <t>Body of Lies</t>
        </is>
      </c>
      <c r="F2010" t="inlineStr">
        <is>
          <t>F0051</t>
        </is>
      </c>
    </row>
    <row r="2011">
      <c r="A2011" t="inlineStr">
        <is>
          <t>Aaron Lee Wright</t>
        </is>
      </c>
      <c r="B2011" t="n">
        <v>1</v>
      </c>
      <c r="C2011" t="n">
        <v>2008</v>
      </c>
      <c r="D2011" t="n">
        <v>2008</v>
      </c>
      <c r="E2011" t="inlineStr">
        <is>
          <t>Body of Lies</t>
        </is>
      </c>
      <c r="F2011" t="inlineStr">
        <is>
          <t>F0051</t>
        </is>
      </c>
    </row>
    <row r="2012">
      <c r="A2012" t="inlineStr">
        <is>
          <t>Tom Hollander</t>
        </is>
      </c>
      <c r="B2012" t="n">
        <v>3</v>
      </c>
      <c r="C2012" t="n">
        <v>2014</v>
      </c>
      <c r="D2012" t="n">
        <v>2018</v>
      </c>
      <c r="E2012" t="inlineStr">
        <is>
          <t>Bohemian Rhapsody, Mission: Impossible - Rogue Nation, Muppets Most Wanted</t>
        </is>
      </c>
      <c r="F2012" t="inlineStr">
        <is>
          <t>F0052, F0225, F0232</t>
        </is>
      </c>
    </row>
    <row r="2013">
      <c r="A2013" t="inlineStr">
        <is>
          <t>Mike Myers</t>
        </is>
      </c>
      <c r="B2013" t="n">
        <v>2</v>
      </c>
      <c r="C2013" t="n">
        <v>2009</v>
      </c>
      <c r="D2013" t="n">
        <v>2018</v>
      </c>
      <c r="E2013" t="inlineStr">
        <is>
          <t>Bohemian Rhapsody, Inglourious Basterds</t>
        </is>
      </c>
      <c r="F2013" t="inlineStr">
        <is>
          <t>F0052, F0166</t>
        </is>
      </c>
    </row>
    <row r="2014">
      <c r="A2014" t="inlineStr">
        <is>
          <t>Aaron McCusker</t>
        </is>
      </c>
      <c r="B2014" t="n">
        <v>1</v>
      </c>
      <c r="C2014" t="n">
        <v>2018</v>
      </c>
      <c r="D2014" t="n">
        <v>2018</v>
      </c>
      <c r="E2014" t="inlineStr">
        <is>
          <t>Bohemian Rhapsody</t>
        </is>
      </c>
      <c r="F2014" t="inlineStr">
        <is>
          <t>F0052</t>
        </is>
      </c>
    </row>
    <row r="2015">
      <c r="A2015" t="inlineStr">
        <is>
          <t>Meneka Das</t>
        </is>
      </c>
      <c r="B2015" t="n">
        <v>1</v>
      </c>
      <c r="C2015" t="n">
        <v>2018</v>
      </c>
      <c r="D2015" t="n">
        <v>2018</v>
      </c>
      <c r="E2015" t="inlineStr">
        <is>
          <t>Bohemian Rhapsody</t>
        </is>
      </c>
      <c r="F2015" t="inlineStr">
        <is>
          <t>F0052</t>
        </is>
      </c>
    </row>
    <row r="2016">
      <c r="A2016" t="inlineStr">
        <is>
          <t>Ace Bhatti</t>
        </is>
      </c>
      <c r="B2016" t="n">
        <v>1</v>
      </c>
      <c r="C2016" t="n">
        <v>2018</v>
      </c>
      <c r="D2016" t="n">
        <v>2018</v>
      </c>
      <c r="E2016" t="inlineStr">
        <is>
          <t>Bohemian Rhapsody</t>
        </is>
      </c>
      <c r="F2016" t="inlineStr">
        <is>
          <t>F0052</t>
        </is>
      </c>
    </row>
    <row r="2017">
      <c r="A2017" t="inlineStr">
        <is>
          <t>Priya Blackburn</t>
        </is>
      </c>
      <c r="B2017" t="n">
        <v>1</v>
      </c>
      <c r="C2017" t="n">
        <v>2018</v>
      </c>
      <c r="D2017" t="n">
        <v>2018</v>
      </c>
      <c r="E2017" t="inlineStr">
        <is>
          <t>Bohemian Rhapsody</t>
        </is>
      </c>
      <c r="F2017" t="inlineStr">
        <is>
          <t>F0052</t>
        </is>
      </c>
    </row>
    <row r="2018">
      <c r="A2018" t="inlineStr">
        <is>
          <t>Max Bennett</t>
        </is>
      </c>
      <c r="B2018" t="n">
        <v>3</v>
      </c>
      <c r="C2018" t="n">
        <v>2012</v>
      </c>
      <c r="D2018" t="n">
        <v>2020</v>
      </c>
      <c r="E2018" t="inlineStr">
        <is>
          <t>Bohemian Rhapsody, The Gentlemen, The Sweeney</t>
        </is>
      </c>
      <c r="F2018" t="inlineStr">
        <is>
          <t>F0052, F0119, F0305</t>
        </is>
      </c>
    </row>
    <row r="2019">
      <c r="A2019" t="inlineStr">
        <is>
          <t>Dermot Murphy</t>
        </is>
      </c>
      <c r="B2019" t="n">
        <v>1</v>
      </c>
      <c r="C2019" t="n">
        <v>2018</v>
      </c>
      <c r="D2019" t="n">
        <v>2018</v>
      </c>
      <c r="E2019" t="inlineStr">
        <is>
          <t>Bohemian Rhapsody</t>
        </is>
      </c>
      <c r="F2019" t="inlineStr">
        <is>
          <t>F0052</t>
        </is>
      </c>
    </row>
    <row r="2020">
      <c r="A2020" t="inlineStr">
        <is>
          <t>Dickie Beau</t>
        </is>
      </c>
      <c r="B2020" t="n">
        <v>1</v>
      </c>
      <c r="C2020" t="n">
        <v>2018</v>
      </c>
      <c r="D2020" t="n">
        <v>2018</v>
      </c>
      <c r="E2020" t="inlineStr">
        <is>
          <t>Bohemian Rhapsody</t>
        </is>
      </c>
      <c r="F2020" t="inlineStr">
        <is>
          <t>F0052</t>
        </is>
      </c>
    </row>
    <row r="2021">
      <c r="A2021" t="inlineStr">
        <is>
          <t>Jack Roth</t>
        </is>
      </c>
      <c r="B2021" t="n">
        <v>1</v>
      </c>
      <c r="C2021" t="n">
        <v>2018</v>
      </c>
      <c r="D2021" t="n">
        <v>2018</v>
      </c>
      <c r="E2021" t="inlineStr">
        <is>
          <t>Bohemian Rhapsody</t>
        </is>
      </c>
      <c r="F2021" t="inlineStr">
        <is>
          <t>F0052</t>
        </is>
      </c>
    </row>
    <row r="2022">
      <c r="A2022" t="inlineStr">
        <is>
          <t>Neil Fox-Roberts</t>
        </is>
      </c>
      <c r="B2022" t="n">
        <v>1</v>
      </c>
      <c r="C2022" t="n">
        <v>2018</v>
      </c>
      <c r="D2022" t="n">
        <v>2018</v>
      </c>
      <c r="E2022" t="inlineStr">
        <is>
          <t>Bohemian Rhapsody</t>
        </is>
      </c>
      <c r="F2022" t="inlineStr">
        <is>
          <t>F0052</t>
        </is>
      </c>
    </row>
    <row r="2023">
      <c r="A2023" t="inlineStr">
        <is>
          <t>Jess Radomska</t>
        </is>
      </c>
      <c r="B2023" t="n">
        <v>1</v>
      </c>
      <c r="C2023" t="n">
        <v>2018</v>
      </c>
      <c r="D2023" t="n">
        <v>2018</v>
      </c>
      <c r="E2023" t="inlineStr">
        <is>
          <t>Bohemian Rhapsody</t>
        </is>
      </c>
      <c r="F2023" t="inlineStr">
        <is>
          <t>F0052</t>
        </is>
      </c>
    </row>
    <row r="2024">
      <c r="A2024" t="inlineStr">
        <is>
          <t>Michelle Duncan</t>
        </is>
      </c>
      <c r="B2024" t="n">
        <v>1</v>
      </c>
      <c r="C2024" t="n">
        <v>2018</v>
      </c>
      <c r="D2024" t="n">
        <v>2018</v>
      </c>
      <c r="E2024" t="inlineStr">
        <is>
          <t>Bohemian Rhapsody</t>
        </is>
      </c>
      <c r="F2024" t="inlineStr">
        <is>
          <t>F0052</t>
        </is>
      </c>
    </row>
    <row r="2025">
      <c r="A2025" t="inlineStr">
        <is>
          <t>Ross Green</t>
        </is>
      </c>
      <c r="B2025" t="n">
        <v>1</v>
      </c>
      <c r="C2025" t="n">
        <v>2018</v>
      </c>
      <c r="D2025" t="n">
        <v>2018</v>
      </c>
      <c r="E2025" t="inlineStr">
        <is>
          <t>Bohemian Rhapsody</t>
        </is>
      </c>
      <c r="F2025" t="inlineStr">
        <is>
          <t>F0052</t>
        </is>
      </c>
    </row>
    <row r="2026">
      <c r="A2026" t="inlineStr">
        <is>
          <t>Bruce Mackinnon</t>
        </is>
      </c>
      <c r="B2026" t="n">
        <v>1</v>
      </c>
      <c r="C2026" t="n">
        <v>2018</v>
      </c>
      <c r="D2026" t="n">
        <v>2018</v>
      </c>
      <c r="E2026" t="inlineStr">
        <is>
          <t>Bohemian Rhapsody</t>
        </is>
      </c>
      <c r="F2026" t="inlineStr">
        <is>
          <t>F0052</t>
        </is>
      </c>
    </row>
    <row r="2027">
      <c r="A2027" t="inlineStr">
        <is>
          <t>Joshua Higgott</t>
        </is>
      </c>
      <c r="B2027" t="n">
        <v>1</v>
      </c>
      <c r="C2027" t="n">
        <v>2018</v>
      </c>
      <c r="D2027" t="n">
        <v>2018</v>
      </c>
      <c r="E2027" t="inlineStr">
        <is>
          <t>Bohemian Rhapsody</t>
        </is>
      </c>
      <c r="F2027" t="inlineStr">
        <is>
          <t>F0052</t>
        </is>
      </c>
    </row>
    <row r="2028">
      <c r="A2028" t="inlineStr">
        <is>
          <t>Pat Lally</t>
        </is>
      </c>
      <c r="B2028" t="n">
        <v>1</v>
      </c>
      <c r="C2028" t="n">
        <v>2018</v>
      </c>
      <c r="D2028" t="n">
        <v>2018</v>
      </c>
      <c r="E2028" t="inlineStr">
        <is>
          <t>Bohemian Rhapsody</t>
        </is>
      </c>
      <c r="F2028" t="inlineStr">
        <is>
          <t>F0052</t>
        </is>
      </c>
    </row>
    <row r="2029">
      <c r="A2029" t="inlineStr">
        <is>
          <t>William Owen</t>
        </is>
      </c>
      <c r="B2029" t="n">
        <v>1</v>
      </c>
      <c r="C2029" t="n">
        <v>2018</v>
      </c>
      <c r="D2029" t="n">
        <v>2018</v>
      </c>
      <c r="E2029" t="inlineStr">
        <is>
          <t>Bohemian Rhapsody</t>
        </is>
      </c>
      <c r="F2029" t="inlineStr">
        <is>
          <t>F0052</t>
        </is>
      </c>
    </row>
    <row r="2030">
      <c r="A2030" t="inlineStr">
        <is>
          <t>Philip Andrew Truempi</t>
        </is>
      </c>
      <c r="B2030" t="n">
        <v>1</v>
      </c>
      <c r="C2030" t="n">
        <v>2018</v>
      </c>
      <c r="D2030" t="n">
        <v>2018</v>
      </c>
      <c r="E2030" t="inlineStr">
        <is>
          <t>Bohemian Rhapsody</t>
        </is>
      </c>
      <c r="F2030" t="inlineStr">
        <is>
          <t>F0052</t>
        </is>
      </c>
    </row>
    <row r="2031">
      <c r="A2031" t="inlineStr">
        <is>
          <t>Tim Plester</t>
        </is>
      </c>
      <c r="B2031" t="n">
        <v>1</v>
      </c>
      <c r="C2031" t="n">
        <v>2018</v>
      </c>
      <c r="D2031" t="n">
        <v>2018</v>
      </c>
      <c r="E2031" t="inlineStr">
        <is>
          <t>Bohemian Rhapsody</t>
        </is>
      </c>
      <c r="F2031" t="inlineStr">
        <is>
          <t>F0052</t>
        </is>
      </c>
    </row>
    <row r="2032">
      <c r="A2032" t="inlineStr">
        <is>
          <t>Felipe Bejarano</t>
        </is>
      </c>
      <c r="B2032" t="n">
        <v>1</v>
      </c>
      <c r="C2032" t="n">
        <v>2018</v>
      </c>
      <c r="D2032" t="n">
        <v>2018</v>
      </c>
      <c r="E2032" t="inlineStr">
        <is>
          <t>Bohemian Rhapsody</t>
        </is>
      </c>
      <c r="F2032" t="inlineStr">
        <is>
          <t>F0052</t>
        </is>
      </c>
    </row>
    <row r="2033">
      <c r="A2033" t="inlineStr">
        <is>
          <t>Kieran Hardcastle</t>
        </is>
      </c>
      <c r="B2033" t="n">
        <v>1</v>
      </c>
      <c r="C2033" t="n">
        <v>2018</v>
      </c>
      <c r="D2033" t="n">
        <v>2018</v>
      </c>
      <c r="E2033" t="inlineStr">
        <is>
          <t>Bohemian Rhapsody</t>
        </is>
      </c>
      <c r="F2033" t="inlineStr">
        <is>
          <t>F0052</t>
        </is>
      </c>
    </row>
    <row r="2034">
      <c r="A2034" t="inlineStr">
        <is>
          <t>Martin Oelbermann</t>
        </is>
      </c>
      <c r="B2034" t="n">
        <v>1</v>
      </c>
      <c r="C2034" t="n">
        <v>2018</v>
      </c>
      <c r="D2034" t="n">
        <v>2018</v>
      </c>
      <c r="E2034" t="inlineStr">
        <is>
          <t>Bohemian Rhapsody</t>
        </is>
      </c>
      <c r="F2034" t="inlineStr">
        <is>
          <t>F0052</t>
        </is>
      </c>
    </row>
    <row r="2035">
      <c r="A2035" t="inlineStr">
        <is>
          <t>Gabriel Mann</t>
        </is>
      </c>
      <c r="B2035" t="n">
        <v>2</v>
      </c>
      <c r="C2035" t="n">
        <v>2002</v>
      </c>
      <c r="D2035" t="n">
        <v>2004</v>
      </c>
      <c r="E2035" t="inlineStr">
        <is>
          <t>The Bourne Identity, The Bourne Supremacy</t>
        </is>
      </c>
      <c r="F2035" t="inlineStr">
        <is>
          <t>F0053, F0054</t>
        </is>
      </c>
    </row>
    <row r="2036">
      <c r="A2036" t="inlineStr">
        <is>
          <t>Walton Goggins</t>
        </is>
      </c>
      <c r="B2036" t="n">
        <v>3</v>
      </c>
      <c r="C2036" t="n">
        <v>2002</v>
      </c>
      <c r="D2036" t="n">
        <v>2012</v>
      </c>
      <c r="E2036" t="inlineStr">
        <is>
          <t>The Bourne Identity, Cowboys &amp; Aliens, Django Unchained</t>
        </is>
      </c>
      <c r="F2036" t="inlineStr">
        <is>
          <t>F0053, F0073, F0090</t>
        </is>
      </c>
    </row>
    <row r="2037">
      <c r="A2037" t="inlineStr">
        <is>
          <t>Josh Hamilton</t>
        </is>
      </c>
      <c r="B2037" t="n">
        <v>1</v>
      </c>
      <c r="C2037" t="n">
        <v>2002</v>
      </c>
      <c r="D2037" t="n">
        <v>2002</v>
      </c>
      <c r="E2037" t="inlineStr">
        <is>
          <t>The Bourne Identity</t>
        </is>
      </c>
      <c r="F2037" t="inlineStr">
        <is>
          <t>F0053</t>
        </is>
      </c>
    </row>
    <row r="2038">
      <c r="A2038" t="inlineStr">
        <is>
          <t>Orso Maria Guerrini</t>
        </is>
      </c>
      <c r="B2038" t="n">
        <v>1</v>
      </c>
      <c r="C2038" t="n">
        <v>2002</v>
      </c>
      <c r="D2038" t="n">
        <v>2002</v>
      </c>
      <c r="E2038" t="inlineStr">
        <is>
          <t>The Bourne Identity</t>
        </is>
      </c>
      <c r="F2038" t="inlineStr">
        <is>
          <t>F0053</t>
        </is>
      </c>
    </row>
    <row r="2039">
      <c r="A2039" t="inlineStr">
        <is>
          <t>Tim Dutton</t>
        </is>
      </c>
      <c r="B2039" t="n">
        <v>1</v>
      </c>
      <c r="C2039" t="n">
        <v>2002</v>
      </c>
      <c r="D2039" t="n">
        <v>2002</v>
      </c>
      <c r="E2039" t="inlineStr">
        <is>
          <t>The Bourne Identity</t>
        </is>
      </c>
      <c r="F2039" t="inlineStr">
        <is>
          <t>F0053</t>
        </is>
      </c>
    </row>
    <row r="2040">
      <c r="A2040" t="inlineStr">
        <is>
          <t>Denis Braccini</t>
        </is>
      </c>
      <c r="B2040" t="n">
        <v>1</v>
      </c>
      <c r="C2040" t="n">
        <v>2002</v>
      </c>
      <c r="D2040" t="n">
        <v>2002</v>
      </c>
      <c r="E2040" t="inlineStr">
        <is>
          <t>The Bourne Identity</t>
        </is>
      </c>
      <c r="F2040" t="inlineStr">
        <is>
          <t>F0053</t>
        </is>
      </c>
    </row>
    <row r="2041">
      <c r="A2041" t="inlineStr">
        <is>
          <t>Nicky Naudé</t>
        </is>
      </c>
      <c r="B2041" t="n">
        <v>1</v>
      </c>
      <c r="C2041" t="n">
        <v>2002</v>
      </c>
      <c r="D2041" t="n">
        <v>2002</v>
      </c>
      <c r="E2041" t="inlineStr">
        <is>
          <t>The Bourne Identity</t>
        </is>
      </c>
      <c r="F2041" t="inlineStr">
        <is>
          <t>F0053</t>
        </is>
      </c>
    </row>
    <row r="2042">
      <c r="A2042" t="inlineStr">
        <is>
          <t>David Selburg</t>
        </is>
      </c>
      <c r="B2042" t="n">
        <v>1</v>
      </c>
      <c r="C2042" t="n">
        <v>2002</v>
      </c>
      <c r="D2042" t="n">
        <v>2002</v>
      </c>
      <c r="E2042" t="inlineStr">
        <is>
          <t>The Bourne Identity</t>
        </is>
      </c>
      <c r="F2042" t="inlineStr">
        <is>
          <t>F0053</t>
        </is>
      </c>
    </row>
    <row r="2043">
      <c r="A2043" t="inlineStr">
        <is>
          <t>Demetri Goritsas</t>
        </is>
      </c>
      <c r="B2043" t="n">
        <v>2</v>
      </c>
      <c r="C2043" t="n">
        <v>2002</v>
      </c>
      <c r="D2043" t="n">
        <v>2011</v>
      </c>
      <c r="E2043" t="inlineStr">
        <is>
          <t>The Bourne Identity, X-Men: First Class</t>
        </is>
      </c>
      <c r="F2043" t="inlineStr">
        <is>
          <t>F0053, F0340</t>
        </is>
      </c>
    </row>
    <row r="2044">
      <c r="A2044" t="inlineStr">
        <is>
          <t>Russell Levy</t>
        </is>
      </c>
      <c r="B2044" t="n">
        <v>1</v>
      </c>
      <c r="C2044" t="n">
        <v>2002</v>
      </c>
      <c r="D2044" t="n">
        <v>2002</v>
      </c>
      <c r="E2044" t="inlineStr">
        <is>
          <t>The Bourne Identity</t>
        </is>
      </c>
      <c r="F2044" t="inlineStr">
        <is>
          <t>F0053</t>
        </is>
      </c>
    </row>
    <row r="2045">
      <c r="A2045" t="inlineStr">
        <is>
          <t>Anthony Green</t>
        </is>
      </c>
      <c r="B2045" t="n">
        <v>1</v>
      </c>
      <c r="C2045" t="n">
        <v>2002</v>
      </c>
      <c r="D2045" t="n">
        <v>2002</v>
      </c>
      <c r="E2045" t="inlineStr">
        <is>
          <t>The Bourne Identity</t>
        </is>
      </c>
      <c r="F2045" t="inlineStr">
        <is>
          <t>F0053</t>
        </is>
      </c>
    </row>
    <row r="2046">
      <c r="A2046" t="inlineStr">
        <is>
          <t>Hubert Saint-Macary</t>
        </is>
      </c>
      <c r="B2046" t="n">
        <v>1</v>
      </c>
      <c r="C2046" t="n">
        <v>2002</v>
      </c>
      <c r="D2046" t="n">
        <v>2002</v>
      </c>
      <c r="E2046" t="inlineStr">
        <is>
          <t>The Bourne Identity</t>
        </is>
      </c>
      <c r="F2046" t="inlineStr">
        <is>
          <t>F0053</t>
        </is>
      </c>
    </row>
    <row r="2047">
      <c r="A2047" t="inlineStr">
        <is>
          <t>David Bamber</t>
        </is>
      </c>
      <c r="B2047" t="n">
        <v>2</v>
      </c>
      <c r="C2047" t="n">
        <v>2002</v>
      </c>
      <c r="D2047" t="n">
        <v>2010</v>
      </c>
      <c r="E2047" t="inlineStr">
        <is>
          <t>The Bourne Identity, The King's Speech</t>
        </is>
      </c>
      <c r="F2047" t="inlineStr">
        <is>
          <t>F0053, F0189</t>
        </is>
      </c>
    </row>
    <row r="2048">
      <c r="A2048" t="inlineStr">
        <is>
          <t>Gwenaël Clause</t>
        </is>
      </c>
      <c r="B2048" t="n">
        <v>1</v>
      </c>
      <c r="C2048" t="n">
        <v>2002</v>
      </c>
      <c r="D2048" t="n">
        <v>2002</v>
      </c>
      <c r="E2048" t="inlineStr">
        <is>
          <t>The Bourne Identity</t>
        </is>
      </c>
      <c r="F2048" t="inlineStr">
        <is>
          <t>F0053</t>
        </is>
      </c>
    </row>
    <row r="2049">
      <c r="A2049" t="inlineStr">
        <is>
          <t>Emanuel Booz</t>
        </is>
      </c>
      <c r="B2049" t="n">
        <v>1</v>
      </c>
      <c r="C2049" t="n">
        <v>2002</v>
      </c>
      <c r="D2049" t="n">
        <v>2002</v>
      </c>
      <c r="E2049" t="inlineStr">
        <is>
          <t>The Bourne Identity</t>
        </is>
      </c>
      <c r="F2049" t="inlineStr">
        <is>
          <t>F0053</t>
        </is>
      </c>
    </row>
    <row r="2050">
      <c r="A2050" t="inlineStr">
        <is>
          <t>Philippe Durand</t>
        </is>
      </c>
      <c r="B2050" t="n">
        <v>1</v>
      </c>
      <c r="C2050" t="n">
        <v>2002</v>
      </c>
      <c r="D2050" t="n">
        <v>2002</v>
      </c>
      <c r="E2050" t="inlineStr">
        <is>
          <t>The Bourne Identity</t>
        </is>
      </c>
      <c r="F2050" t="inlineStr">
        <is>
          <t>F0053</t>
        </is>
      </c>
    </row>
    <row r="2051">
      <c r="A2051" t="inlineStr">
        <is>
          <t>Vincent Franklin</t>
        </is>
      </c>
      <c r="B2051" t="n">
        <v>1</v>
      </c>
      <c r="C2051" t="n">
        <v>2002</v>
      </c>
      <c r="D2051" t="n">
        <v>2002</v>
      </c>
      <c r="E2051" t="inlineStr">
        <is>
          <t>The Bourne Identity</t>
        </is>
      </c>
      <c r="F2051" t="inlineStr">
        <is>
          <t>F0053</t>
        </is>
      </c>
    </row>
    <row r="2052">
      <c r="A2052" t="inlineStr">
        <is>
          <t>Paulette Frantz</t>
        </is>
      </c>
      <c r="B2052" t="n">
        <v>1</v>
      </c>
      <c r="C2052" t="n">
        <v>2002</v>
      </c>
      <c r="D2052" t="n">
        <v>2002</v>
      </c>
      <c r="E2052" t="inlineStr">
        <is>
          <t>The Bourne Identity</t>
        </is>
      </c>
      <c r="F2052" t="inlineStr">
        <is>
          <t>F0053</t>
        </is>
      </c>
    </row>
    <row r="2053">
      <c r="A2053" t="inlineStr">
        <is>
          <t>Thierry René</t>
        </is>
      </c>
      <c r="B2053" t="n">
        <v>1</v>
      </c>
      <c r="C2053" t="n">
        <v>2002</v>
      </c>
      <c r="D2053" t="n">
        <v>2002</v>
      </c>
      <c r="E2053" t="inlineStr">
        <is>
          <t>The Bourne Identity</t>
        </is>
      </c>
      <c r="F2053" t="inlineStr">
        <is>
          <t>F0053</t>
        </is>
      </c>
    </row>
    <row r="2054">
      <c r="A2054" t="inlineStr">
        <is>
          <t>Roger Frost</t>
        </is>
      </c>
      <c r="B2054" t="n">
        <v>1</v>
      </c>
      <c r="C2054" t="n">
        <v>2002</v>
      </c>
      <c r="D2054" t="n">
        <v>2002</v>
      </c>
      <c r="E2054" t="inlineStr">
        <is>
          <t>The Bourne Identity</t>
        </is>
      </c>
      <c r="F2054" t="inlineStr">
        <is>
          <t>F0053</t>
        </is>
      </c>
    </row>
    <row r="2055">
      <c r="A2055" t="inlineStr">
        <is>
          <t>David Gasman</t>
        </is>
      </c>
      <c r="B2055" t="n">
        <v>1</v>
      </c>
      <c r="C2055" t="n">
        <v>2002</v>
      </c>
      <c r="D2055" t="n">
        <v>2002</v>
      </c>
      <c r="E2055" t="inlineStr">
        <is>
          <t>The Bourne Identity</t>
        </is>
      </c>
      <c r="F2055" t="inlineStr">
        <is>
          <t>F0053</t>
        </is>
      </c>
    </row>
    <row r="2056">
      <c r="A2056" t="inlineStr">
        <is>
          <t>Harry Gilbert</t>
        </is>
      </c>
      <c r="B2056" t="n">
        <v>1</v>
      </c>
      <c r="C2056" t="n">
        <v>2002</v>
      </c>
      <c r="D2056" t="n">
        <v>2002</v>
      </c>
      <c r="E2056" t="inlineStr">
        <is>
          <t>The Bourne Identity</t>
        </is>
      </c>
      <c r="F2056" t="inlineStr">
        <is>
          <t>F0053</t>
        </is>
      </c>
    </row>
    <row r="2057">
      <c r="A2057" t="inlineStr">
        <is>
          <t>Delphine Lanson</t>
        </is>
      </c>
      <c r="B2057" t="n">
        <v>1</v>
      </c>
      <c r="C2057" t="n">
        <v>2002</v>
      </c>
      <c r="D2057" t="n">
        <v>2002</v>
      </c>
      <c r="E2057" t="inlineStr">
        <is>
          <t>The Bourne Identity</t>
        </is>
      </c>
      <c r="F2057" t="inlineStr">
        <is>
          <t>F0053</t>
        </is>
      </c>
    </row>
    <row r="2058">
      <c r="A2058" t="inlineStr">
        <is>
          <t>Marton Csokas</t>
        </is>
      </c>
      <c r="B2058" t="n">
        <v>4</v>
      </c>
      <c r="C2058" t="n">
        <v>2001</v>
      </c>
      <c r="D2058" t="n">
        <v>2014</v>
      </c>
      <c r="E2058" t="inlineStr">
        <is>
          <t>The Bourne Supremacy, The Lord of the Rings: The Fellowship of the Ring, The Lord of the Rings: The Return of the King, Noah</t>
        </is>
      </c>
      <c r="F2058" t="inlineStr">
        <is>
          <t>F0054, F0203, F0205, F0238</t>
        </is>
      </c>
    </row>
    <row r="2059">
      <c r="A2059" t="inlineStr">
        <is>
          <t>Tom Gallop</t>
        </is>
      </c>
      <c r="B2059" t="n">
        <v>2</v>
      </c>
      <c r="C2059" t="n">
        <v>2004</v>
      </c>
      <c r="D2059" t="n">
        <v>2007</v>
      </c>
      <c r="E2059" t="inlineStr">
        <is>
          <t>The Bourne Supremacy, The Bourne Ultimatum</t>
        </is>
      </c>
      <c r="F2059" t="inlineStr">
        <is>
          <t>F0054, F0055</t>
        </is>
      </c>
    </row>
    <row r="2060">
      <c r="A2060" t="inlineStr">
        <is>
          <t>John Bedford Lloyd</t>
        </is>
      </c>
      <c r="B2060" t="n">
        <v>1</v>
      </c>
      <c r="C2060" t="n">
        <v>2004</v>
      </c>
      <c r="D2060" t="n">
        <v>2004</v>
      </c>
      <c r="E2060" t="inlineStr">
        <is>
          <t>The Bourne Supremacy</t>
        </is>
      </c>
      <c r="F2060" t="inlineStr">
        <is>
          <t>F0054</t>
        </is>
      </c>
    </row>
    <row r="2061">
      <c r="A2061" t="inlineStr">
        <is>
          <t>Ethan Sandler</t>
        </is>
      </c>
      <c r="B2061" t="n">
        <v>1</v>
      </c>
      <c r="C2061" t="n">
        <v>2004</v>
      </c>
      <c r="D2061" t="n">
        <v>2004</v>
      </c>
      <c r="E2061" t="inlineStr">
        <is>
          <t>The Bourne Supremacy</t>
        </is>
      </c>
      <c r="F2061" t="inlineStr">
        <is>
          <t>F0054</t>
        </is>
      </c>
    </row>
    <row r="2062">
      <c r="A2062" t="inlineStr">
        <is>
          <t>Karel Roden</t>
        </is>
      </c>
      <c r="B2062" t="n">
        <v>1</v>
      </c>
      <c r="C2062" t="n">
        <v>2004</v>
      </c>
      <c r="D2062" t="n">
        <v>2004</v>
      </c>
      <c r="E2062" t="inlineStr">
        <is>
          <t>The Bourne Supremacy</t>
        </is>
      </c>
      <c r="F2062" t="inlineStr">
        <is>
          <t>F0054</t>
        </is>
      </c>
    </row>
    <row r="2063">
      <c r="A2063" t="inlineStr">
        <is>
          <t>Tomas Arana</t>
        </is>
      </c>
      <c r="B2063" t="n">
        <v>1</v>
      </c>
      <c r="C2063" t="n">
        <v>2004</v>
      </c>
      <c r="D2063" t="n">
        <v>2004</v>
      </c>
      <c r="E2063" t="inlineStr">
        <is>
          <t>The Bourne Supremacy</t>
        </is>
      </c>
      <c r="F2063" t="inlineStr">
        <is>
          <t>F0054</t>
        </is>
      </c>
    </row>
    <row r="2064">
      <c r="A2064" t="inlineStr">
        <is>
          <t>Oksana Akinshina</t>
        </is>
      </c>
      <c r="B2064" t="n">
        <v>1</v>
      </c>
      <c r="C2064" t="n">
        <v>2004</v>
      </c>
      <c r="D2064" t="n">
        <v>2004</v>
      </c>
      <c r="E2064" t="inlineStr">
        <is>
          <t>The Bourne Supremacy</t>
        </is>
      </c>
      <c r="F2064" t="inlineStr">
        <is>
          <t>F0054</t>
        </is>
      </c>
    </row>
    <row r="2065">
      <c r="A2065" t="inlineStr">
        <is>
          <t>Yevgeni Sitokhin</t>
        </is>
      </c>
      <c r="B2065" t="n">
        <v>1</v>
      </c>
      <c r="C2065" t="n">
        <v>2004</v>
      </c>
      <c r="D2065" t="n">
        <v>2004</v>
      </c>
      <c r="E2065" t="inlineStr">
        <is>
          <t>The Bourne Supremacy</t>
        </is>
      </c>
      <c r="F2065" t="inlineStr">
        <is>
          <t>F0054</t>
        </is>
      </c>
    </row>
    <row r="2066">
      <c r="A2066" t="inlineStr">
        <is>
          <t>Marina Weis</t>
        </is>
      </c>
      <c r="B2066" t="n">
        <v>1</v>
      </c>
      <c r="C2066" t="n">
        <v>2004</v>
      </c>
      <c r="D2066" t="n">
        <v>2004</v>
      </c>
      <c r="E2066" t="inlineStr">
        <is>
          <t>The Bourne Supremacy</t>
        </is>
      </c>
      <c r="F2066" t="inlineStr">
        <is>
          <t>F0054</t>
        </is>
      </c>
    </row>
    <row r="2067">
      <c r="A2067" t="inlineStr">
        <is>
          <t>Tim Griffin</t>
        </is>
      </c>
      <c r="B2067" t="n">
        <v>2</v>
      </c>
      <c r="C2067" t="n">
        <v>2004</v>
      </c>
      <c r="D2067" t="n">
        <v>2009</v>
      </c>
      <c r="E2067" t="inlineStr">
        <is>
          <t>The Bourne Supremacy, Star Trek</t>
        </is>
      </c>
      <c r="F2067" t="inlineStr">
        <is>
          <t>F0054, F0291</t>
        </is>
      </c>
    </row>
    <row r="2068">
      <c r="A2068" t="inlineStr">
        <is>
          <t>Sean Smith</t>
        </is>
      </c>
      <c r="B2068" t="n">
        <v>1</v>
      </c>
      <c r="C2068" t="n">
        <v>2004</v>
      </c>
      <c r="D2068" t="n">
        <v>2004</v>
      </c>
      <c r="E2068" t="inlineStr">
        <is>
          <t>The Bourne Supremacy</t>
        </is>
      </c>
      <c r="F2068" t="inlineStr">
        <is>
          <t>F0054</t>
        </is>
      </c>
    </row>
    <row r="2069">
      <c r="A2069" t="inlineStr">
        <is>
          <t>Maxim Kovalevski</t>
        </is>
      </c>
      <c r="B2069" t="n">
        <v>1</v>
      </c>
      <c r="C2069" t="n">
        <v>2004</v>
      </c>
      <c r="D2069" t="n">
        <v>2004</v>
      </c>
      <c r="E2069" t="inlineStr">
        <is>
          <t>The Bourne Supremacy</t>
        </is>
      </c>
      <c r="F2069" t="inlineStr">
        <is>
          <t>F0054</t>
        </is>
      </c>
    </row>
    <row r="2070">
      <c r="A2070" t="inlineStr">
        <is>
          <t>Patrick Crowley</t>
        </is>
      </c>
      <c r="B2070" t="n">
        <v>3</v>
      </c>
      <c r="C2070" t="n">
        <v>2004</v>
      </c>
      <c r="D2070" t="n">
        <v>2018</v>
      </c>
      <c r="E2070" t="inlineStr">
        <is>
          <t>The Bourne Supremacy, Jurassic World, Jurassic World: Fallen Kingdom</t>
        </is>
      </c>
      <c r="F2070" t="inlineStr">
        <is>
          <t>F0054, F0179, F0180</t>
        </is>
      </c>
    </row>
    <row r="2071">
      <c r="A2071" t="inlineStr">
        <is>
          <t>Jon Collin Barclay</t>
        </is>
      </c>
      <c r="B2071" t="n">
        <v>1</v>
      </c>
      <c r="C2071" t="n">
        <v>2004</v>
      </c>
      <c r="D2071" t="n">
        <v>2004</v>
      </c>
      <c r="E2071" t="inlineStr">
        <is>
          <t>The Bourne Supremacy</t>
        </is>
      </c>
      <c r="F2071" t="inlineStr">
        <is>
          <t>F0054</t>
        </is>
      </c>
    </row>
    <row r="2072">
      <c r="A2072" t="inlineStr">
        <is>
          <t>Sam Brown</t>
        </is>
      </c>
      <c r="B2072" t="n">
        <v>1</v>
      </c>
      <c r="C2072" t="n">
        <v>2004</v>
      </c>
      <c r="D2072" t="n">
        <v>2004</v>
      </c>
      <c r="E2072" t="inlineStr">
        <is>
          <t>The Bourne Supremacy</t>
        </is>
      </c>
      <c r="F2072" t="inlineStr">
        <is>
          <t>F0054</t>
        </is>
      </c>
    </row>
    <row r="2073">
      <c r="A2073" t="inlineStr">
        <is>
          <t>Shane Sinutko</t>
        </is>
      </c>
      <c r="B2073" t="n">
        <v>1</v>
      </c>
      <c r="C2073" t="n">
        <v>2004</v>
      </c>
      <c r="D2073" t="n">
        <v>2004</v>
      </c>
      <c r="E2073" t="inlineStr">
        <is>
          <t>The Bourne Supremacy</t>
        </is>
      </c>
      <c r="F2073" t="inlineStr">
        <is>
          <t>F0054</t>
        </is>
      </c>
    </row>
    <row r="2074">
      <c r="A2074" t="inlineStr">
        <is>
          <t>Barnaby Smith</t>
        </is>
      </c>
      <c r="B2074" t="n">
        <v>1</v>
      </c>
      <c r="C2074" t="n">
        <v>2004</v>
      </c>
      <c r="D2074" t="n">
        <v>2004</v>
      </c>
      <c r="E2074" t="inlineStr">
        <is>
          <t>The Bourne Supremacy</t>
        </is>
      </c>
      <c r="F2074" t="inlineStr">
        <is>
          <t>F0054</t>
        </is>
      </c>
    </row>
    <row r="2075">
      <c r="A2075" t="inlineStr">
        <is>
          <t>Dominique Chiout</t>
        </is>
      </c>
      <c r="B2075" t="n">
        <v>1</v>
      </c>
      <c r="C2075" t="n">
        <v>2004</v>
      </c>
      <c r="D2075" t="n">
        <v>2004</v>
      </c>
      <c r="E2075" t="inlineStr">
        <is>
          <t>The Bourne Supremacy</t>
        </is>
      </c>
      <c r="F2075" t="inlineStr">
        <is>
          <t>F0054</t>
        </is>
      </c>
    </row>
    <row r="2076">
      <c r="A2076" t="inlineStr">
        <is>
          <t>Wanja Mues</t>
        </is>
      </c>
      <c r="B2076" t="n">
        <v>1</v>
      </c>
      <c r="C2076" t="n">
        <v>2004</v>
      </c>
      <c r="D2076" t="n">
        <v>2004</v>
      </c>
      <c r="E2076" t="inlineStr">
        <is>
          <t>The Bourne Supremacy</t>
        </is>
      </c>
      <c r="F2076" t="inlineStr">
        <is>
          <t>F0054</t>
        </is>
      </c>
    </row>
    <row r="2077">
      <c r="A2077" t="inlineStr">
        <is>
          <t>Aleksey Shmarinov</t>
        </is>
      </c>
      <c r="B2077" t="n">
        <v>1</v>
      </c>
      <c r="C2077" t="n">
        <v>2004</v>
      </c>
      <c r="D2077" t="n">
        <v>2004</v>
      </c>
      <c r="E2077" t="inlineStr">
        <is>
          <t>The Bourne Supremacy</t>
        </is>
      </c>
      <c r="F2077" t="inlineStr">
        <is>
          <t>F0054</t>
        </is>
      </c>
    </row>
    <row r="2078">
      <c r="A2078" t="inlineStr">
        <is>
          <t>Stephan Wolf-Schönburg</t>
        </is>
      </c>
      <c r="B2078" t="n">
        <v>1</v>
      </c>
      <c r="C2078" t="n">
        <v>2004</v>
      </c>
      <c r="D2078" t="n">
        <v>2004</v>
      </c>
      <c r="E2078" t="inlineStr">
        <is>
          <t>The Bourne Supremacy</t>
        </is>
      </c>
      <c r="F2078" t="inlineStr">
        <is>
          <t>F0054</t>
        </is>
      </c>
    </row>
    <row r="2079">
      <c r="A2079" t="inlineStr">
        <is>
          <t>Olov Ludwig</t>
        </is>
      </c>
      <c r="B2079" t="n">
        <v>1</v>
      </c>
      <c r="C2079" t="n">
        <v>2004</v>
      </c>
      <c r="D2079" t="n">
        <v>2004</v>
      </c>
      <c r="E2079" t="inlineStr">
        <is>
          <t>The Bourne Supremacy</t>
        </is>
      </c>
      <c r="F2079" t="inlineStr">
        <is>
          <t>F0054</t>
        </is>
      </c>
    </row>
    <row r="2080">
      <c r="A2080" t="inlineStr">
        <is>
          <t>Edgar Ramírez</t>
        </is>
      </c>
      <c r="B2080" t="n">
        <v>2</v>
      </c>
      <c r="C2080" t="n">
        <v>2007</v>
      </c>
      <c r="D2080" t="n">
        <v>2012</v>
      </c>
      <c r="E2080" t="inlineStr">
        <is>
          <t>The Bourne Ultimatum, Zero Dark Thirty</t>
        </is>
      </c>
      <c r="F2080" t="inlineStr">
        <is>
          <t>F0055, F0349</t>
        </is>
      </c>
    </row>
    <row r="2081">
      <c r="A2081" t="inlineStr">
        <is>
          <t>Corey Johnson</t>
        </is>
      </c>
      <c r="B2081" t="n">
        <v>5</v>
      </c>
      <c r="C2081" t="n">
        <v>2007</v>
      </c>
      <c r="D2081" t="n">
        <v>2013</v>
      </c>
      <c r="E2081" t="inlineStr">
        <is>
          <t>The Bourne Ultimatum, The Bourne Legacy, Captain Phillips, Kick-Ass, X-Men: First Class</t>
        </is>
      </c>
      <c r="F2081" t="inlineStr">
        <is>
          <t>F0055, F0056, F0062, F0185, F0340</t>
        </is>
      </c>
    </row>
    <row r="2082">
      <c r="A2082" t="inlineStr">
        <is>
          <t>Colin Stinton</t>
        </is>
      </c>
      <c r="B2082" t="n">
        <v>2</v>
      </c>
      <c r="C2082" t="n">
        <v>2007</v>
      </c>
      <c r="D2082" t="n">
        <v>2013</v>
      </c>
      <c r="E2082" t="inlineStr">
        <is>
          <t>The Bourne Ultimatum, Rush</t>
        </is>
      </c>
      <c r="F2082" t="inlineStr">
        <is>
          <t>F0055, F0270</t>
        </is>
      </c>
    </row>
    <row r="2083">
      <c r="A2083" t="inlineStr">
        <is>
          <t>Dan Fredenburgh</t>
        </is>
      </c>
      <c r="B2083" t="n">
        <v>1</v>
      </c>
      <c r="C2083" t="n">
        <v>2007</v>
      </c>
      <c r="D2083" t="n">
        <v>2007</v>
      </c>
      <c r="E2083" t="inlineStr">
        <is>
          <t>The Bourne Ultimatum</t>
        </is>
      </c>
      <c r="F2083" t="inlineStr">
        <is>
          <t>F0055</t>
        </is>
      </c>
    </row>
    <row r="2084">
      <c r="A2084" t="inlineStr">
        <is>
          <t>Lucy Liemann</t>
        </is>
      </c>
      <c r="B2084" t="n">
        <v>1</v>
      </c>
      <c r="C2084" t="n">
        <v>2007</v>
      </c>
      <c r="D2084" t="n">
        <v>2007</v>
      </c>
      <c r="E2084" t="inlineStr">
        <is>
          <t>The Bourne Ultimatum</t>
        </is>
      </c>
      <c r="F2084" t="inlineStr">
        <is>
          <t>F0055</t>
        </is>
      </c>
    </row>
    <row r="2085">
      <c r="A2085" t="inlineStr">
        <is>
          <t>Bryan Reents</t>
        </is>
      </c>
      <c r="B2085" t="n">
        <v>1</v>
      </c>
      <c r="C2085" t="n">
        <v>2007</v>
      </c>
      <c r="D2085" t="n">
        <v>2007</v>
      </c>
      <c r="E2085" t="inlineStr">
        <is>
          <t>The Bourne Ultimatum</t>
        </is>
      </c>
      <c r="F2085" t="inlineStr">
        <is>
          <t>F0055</t>
        </is>
      </c>
    </row>
    <row r="2086">
      <c r="A2086" t="inlineStr">
        <is>
          <t>Arkie Reece</t>
        </is>
      </c>
      <c r="B2086" t="n">
        <v>1</v>
      </c>
      <c r="C2086" t="n">
        <v>2007</v>
      </c>
      <c r="D2086" t="n">
        <v>2007</v>
      </c>
      <c r="E2086" t="inlineStr">
        <is>
          <t>The Bourne Ultimatum</t>
        </is>
      </c>
      <c r="F2086" t="inlineStr">
        <is>
          <t>F0055</t>
        </is>
      </c>
    </row>
    <row r="2087">
      <c r="A2087" t="inlineStr">
        <is>
          <t>John Roberson</t>
        </is>
      </c>
      <c r="B2087" t="n">
        <v>2</v>
      </c>
      <c r="C2087" t="n">
        <v>2007</v>
      </c>
      <c r="D2087" t="n">
        <v>2010</v>
      </c>
      <c r="E2087" t="inlineStr">
        <is>
          <t>The Bourne Ultimatum, Green Zone</t>
        </is>
      </c>
      <c r="F2087" t="inlineStr">
        <is>
          <t>F0055, F0129</t>
        </is>
      </c>
    </row>
    <row r="2088">
      <c r="A2088" t="inlineStr">
        <is>
          <t>Russ Huards</t>
        </is>
      </c>
      <c r="B2088" t="n">
        <v>1</v>
      </c>
      <c r="C2088" t="n">
        <v>2007</v>
      </c>
      <c r="D2088" t="n">
        <v>2007</v>
      </c>
      <c r="E2088" t="inlineStr">
        <is>
          <t>The Bourne Ultimatum</t>
        </is>
      </c>
      <c r="F2088" t="inlineStr">
        <is>
          <t>F0055</t>
        </is>
      </c>
    </row>
    <row r="2089">
      <c r="A2089" t="inlineStr">
        <is>
          <t>Mark Bazeley</t>
        </is>
      </c>
      <c r="B2089" t="n">
        <v>1</v>
      </c>
      <c r="C2089" t="n">
        <v>2007</v>
      </c>
      <c r="D2089" t="n">
        <v>2007</v>
      </c>
      <c r="E2089" t="inlineStr">
        <is>
          <t>The Bourne Ultimatum</t>
        </is>
      </c>
      <c r="F2089" t="inlineStr">
        <is>
          <t>F0055</t>
        </is>
      </c>
    </row>
    <row r="2090">
      <c r="A2090" t="inlineStr">
        <is>
          <t>Sinead O'Keeffe</t>
        </is>
      </c>
      <c r="B2090" t="n">
        <v>1</v>
      </c>
      <c r="C2090" t="n">
        <v>2007</v>
      </c>
      <c r="D2090" t="n">
        <v>2007</v>
      </c>
      <c r="E2090" t="inlineStr">
        <is>
          <t>The Bourne Ultimatum</t>
        </is>
      </c>
      <c r="F2090" t="inlineStr">
        <is>
          <t>F0055</t>
        </is>
      </c>
    </row>
    <row r="2091">
      <c r="A2091" t="inlineStr">
        <is>
          <t>Charles Venn</t>
        </is>
      </c>
      <c r="B2091" t="n">
        <v>1</v>
      </c>
      <c r="C2091" t="n">
        <v>2007</v>
      </c>
      <c r="D2091" t="n">
        <v>2007</v>
      </c>
      <c r="E2091" t="inlineStr">
        <is>
          <t>The Bourne Ultimatum</t>
        </is>
      </c>
      <c r="F2091" t="inlineStr">
        <is>
          <t>F0055</t>
        </is>
      </c>
    </row>
    <row r="2092">
      <c r="A2092" t="inlineStr">
        <is>
          <t>Branko Tomović</t>
        </is>
      </c>
      <c r="B2092" t="n">
        <v>2</v>
      </c>
      <c r="C2092" t="n">
        <v>2007</v>
      </c>
      <c r="D2092" t="n">
        <v>2014</v>
      </c>
      <c r="E2092" t="inlineStr">
        <is>
          <t>The Bourne Ultimatum, Fury</t>
        </is>
      </c>
      <c r="F2092" t="inlineStr">
        <is>
          <t>F0055, F0117</t>
        </is>
      </c>
    </row>
    <row r="2093">
      <c r="A2093" t="inlineStr">
        <is>
          <t>Laurentiu Possa</t>
        </is>
      </c>
      <c r="B2093" t="n">
        <v>1</v>
      </c>
      <c r="C2093" t="n">
        <v>2007</v>
      </c>
      <c r="D2093" t="n">
        <v>2007</v>
      </c>
      <c r="E2093" t="inlineStr">
        <is>
          <t>The Bourne Ultimatum</t>
        </is>
      </c>
      <c r="F2093" t="inlineStr">
        <is>
          <t>F0055</t>
        </is>
      </c>
    </row>
    <row r="2094">
      <c r="A2094" t="inlineStr">
        <is>
          <t>Trevor St. John</t>
        </is>
      </c>
      <c r="B2094" t="n">
        <v>1</v>
      </c>
      <c r="C2094" t="n">
        <v>2007</v>
      </c>
      <c r="D2094" t="n">
        <v>2007</v>
      </c>
      <c r="E2094" t="inlineStr">
        <is>
          <t>The Bourne Ultimatum</t>
        </is>
      </c>
      <c r="F2094" t="inlineStr">
        <is>
          <t>F0055</t>
        </is>
      </c>
    </row>
    <row r="2095">
      <c r="A2095" t="inlineStr">
        <is>
          <t>Albert Jones</t>
        </is>
      </c>
      <c r="B2095" t="n">
        <v>2</v>
      </c>
      <c r="C2095" t="n">
        <v>2007</v>
      </c>
      <c r="D2095" t="n">
        <v>2010</v>
      </c>
      <c r="E2095" t="inlineStr">
        <is>
          <t>The Bourne Ultimatum, Salt</t>
        </is>
      </c>
      <c r="F2095" t="inlineStr">
        <is>
          <t>F0055, F0273</t>
        </is>
      </c>
    </row>
    <row r="2096">
      <c r="A2096" t="inlineStr">
        <is>
          <t>Jeffrey Lee Gibson</t>
        </is>
      </c>
      <c r="B2096" t="n">
        <v>1</v>
      </c>
      <c r="C2096" t="n">
        <v>2007</v>
      </c>
      <c r="D2096" t="n">
        <v>2007</v>
      </c>
      <c r="E2096" t="inlineStr">
        <is>
          <t>The Bourne Ultimatum</t>
        </is>
      </c>
      <c r="F2096" t="inlineStr">
        <is>
          <t>F0055</t>
        </is>
      </c>
    </row>
    <row r="2097">
      <c r="A2097" t="inlineStr">
        <is>
          <t>Uriel Emil Pollack</t>
        </is>
      </c>
      <c r="B2097" t="n">
        <v>1</v>
      </c>
      <c r="C2097" t="n">
        <v>2007</v>
      </c>
      <c r="D2097" t="n">
        <v>2007</v>
      </c>
      <c r="E2097" t="inlineStr">
        <is>
          <t>The Bourne Ultimatum</t>
        </is>
      </c>
      <c r="F2097" t="inlineStr">
        <is>
          <t>F0055</t>
        </is>
      </c>
    </row>
    <row r="2098">
      <c r="A2098" t="inlineStr">
        <is>
          <t>Omar Hernández</t>
        </is>
      </c>
      <c r="B2098" t="n">
        <v>1</v>
      </c>
      <c r="C2098" t="n">
        <v>2007</v>
      </c>
      <c r="D2098" t="n">
        <v>2007</v>
      </c>
      <c r="E2098" t="inlineStr">
        <is>
          <t>The Bourne Ultimatum</t>
        </is>
      </c>
      <c r="F2098" t="inlineStr">
        <is>
          <t>F0055</t>
        </is>
      </c>
    </row>
    <row r="2099">
      <c r="A2099" t="inlineStr">
        <is>
          <t>Donna Murphy</t>
        </is>
      </c>
      <c r="B2099" t="n">
        <v>2</v>
      </c>
      <c r="C2099" t="n">
        <v>2004</v>
      </c>
      <c r="D2099" t="n">
        <v>2012</v>
      </c>
      <c r="E2099" t="inlineStr">
        <is>
          <t>The Bourne Legacy, Spider-Man 2</t>
        </is>
      </c>
      <c r="F2099" t="inlineStr">
        <is>
          <t>F0056, F0288</t>
        </is>
      </c>
    </row>
    <row r="2100">
      <c r="A2100" t="inlineStr">
        <is>
          <t>Michael Chernus</t>
        </is>
      </c>
      <c r="B2100" t="n">
        <v>3</v>
      </c>
      <c r="C2100" t="n">
        <v>2012</v>
      </c>
      <c r="D2100" t="n">
        <v>2013</v>
      </c>
      <c r="E2100" t="inlineStr">
        <is>
          <t>The Bourne Legacy, Captain Phillips, Men in Black 3</t>
        </is>
      </c>
      <c r="F2100" t="inlineStr">
        <is>
          <t>F0056, F0062, F0219</t>
        </is>
      </c>
    </row>
    <row r="2101">
      <c r="A2101" t="inlineStr">
        <is>
          <t>Corey Stoll</t>
        </is>
      </c>
      <c r="B2101" t="n">
        <v>2</v>
      </c>
      <c r="C2101" t="n">
        <v>2010</v>
      </c>
      <c r="D2101" t="n">
        <v>2012</v>
      </c>
      <c r="E2101" t="inlineStr">
        <is>
          <t>The Bourne Legacy, Salt</t>
        </is>
      </c>
      <c r="F2101" t="inlineStr">
        <is>
          <t>F0056, F0273</t>
        </is>
      </c>
    </row>
    <row r="2102">
      <c r="A2102" t="inlineStr">
        <is>
          <t>Shane Jacobson</t>
        </is>
      </c>
      <c r="B2102" t="n">
        <v>1</v>
      </c>
      <c r="C2102" t="n">
        <v>2012</v>
      </c>
      <c r="D2102" t="n">
        <v>2012</v>
      </c>
      <c r="E2102" t="inlineStr">
        <is>
          <t>The Bourne Legacy</t>
        </is>
      </c>
      <c r="F2102" t="inlineStr">
        <is>
          <t>F0056</t>
        </is>
      </c>
    </row>
    <row r="2103">
      <c r="A2103" t="inlineStr">
        <is>
          <t>Elizabeth Marvel</t>
        </is>
      </c>
      <c r="B2103" t="n">
        <v>2</v>
      </c>
      <c r="C2103" t="n">
        <v>2010</v>
      </c>
      <c r="D2103" t="n">
        <v>2012</v>
      </c>
      <c r="E2103" t="inlineStr">
        <is>
          <t>The Bourne Legacy, True Grit</t>
        </is>
      </c>
      <c r="F2103" t="inlineStr">
        <is>
          <t>F0056, F0325</t>
        </is>
      </c>
    </row>
    <row r="2104">
      <c r="A2104" t="inlineStr">
        <is>
          <t>John Douglas Thompson</t>
        </is>
      </c>
      <c r="B2104" t="n">
        <v>1</v>
      </c>
      <c r="C2104" t="n">
        <v>2012</v>
      </c>
      <c r="D2104" t="n">
        <v>2012</v>
      </c>
      <c r="E2104" t="inlineStr">
        <is>
          <t>The Bourne Legacy</t>
        </is>
      </c>
      <c r="F2104" t="inlineStr">
        <is>
          <t>F0056</t>
        </is>
      </c>
    </row>
    <row r="2105">
      <c r="A2105" t="inlineStr">
        <is>
          <t>Louis Ozawa</t>
        </is>
      </c>
      <c r="B2105" t="n">
        <v>1</v>
      </c>
      <c r="C2105" t="n">
        <v>2012</v>
      </c>
      <c r="D2105" t="n">
        <v>2012</v>
      </c>
      <c r="E2105" t="inlineStr">
        <is>
          <t>The Bourne Legacy</t>
        </is>
      </c>
      <c r="F2105" t="inlineStr">
        <is>
          <t>F0056</t>
        </is>
      </c>
    </row>
    <row r="2106">
      <c r="A2106" t="inlineStr">
        <is>
          <t>David Wilson Barnes</t>
        </is>
      </c>
      <c r="B2106" t="n">
        <v>1</v>
      </c>
      <c r="C2106" t="n">
        <v>2012</v>
      </c>
      <c r="D2106" t="n">
        <v>2012</v>
      </c>
      <c r="E2106" t="inlineStr">
        <is>
          <t>The Bourne Legacy</t>
        </is>
      </c>
      <c r="F2106" t="inlineStr">
        <is>
          <t>F0056</t>
        </is>
      </c>
    </row>
    <row r="2107">
      <c r="A2107" t="inlineStr">
        <is>
          <t>Neil Brooks Cunningham</t>
        </is>
      </c>
      <c r="B2107" t="n">
        <v>1</v>
      </c>
      <c r="C2107" t="n">
        <v>2012</v>
      </c>
      <c r="D2107" t="n">
        <v>2012</v>
      </c>
      <c r="E2107" t="inlineStr">
        <is>
          <t>The Bourne Legacy</t>
        </is>
      </c>
      <c r="F2107" t="inlineStr">
        <is>
          <t>F0056</t>
        </is>
      </c>
    </row>
    <row r="2108">
      <c r="A2108" t="inlineStr">
        <is>
          <t>Michael Berresse</t>
        </is>
      </c>
      <c r="B2108" t="n">
        <v>1</v>
      </c>
      <c r="C2108" t="n">
        <v>2012</v>
      </c>
      <c r="D2108" t="n">
        <v>2012</v>
      </c>
      <c r="E2108" t="inlineStr">
        <is>
          <t>The Bourne Legacy</t>
        </is>
      </c>
      <c r="F2108" t="inlineStr">
        <is>
          <t>F0056</t>
        </is>
      </c>
    </row>
    <row r="2109">
      <c r="A2109" t="inlineStr">
        <is>
          <t>Alice Gainer</t>
        </is>
      </c>
      <c r="B2109" t="n">
        <v>1</v>
      </c>
      <c r="C2109" t="n">
        <v>2012</v>
      </c>
      <c r="D2109" t="n">
        <v>2012</v>
      </c>
      <c r="E2109" t="inlineStr">
        <is>
          <t>The Bourne Legacy</t>
        </is>
      </c>
      <c r="F2109" t="inlineStr">
        <is>
          <t>F0056</t>
        </is>
      </c>
    </row>
    <row r="2110">
      <c r="A2110" t="inlineStr">
        <is>
          <t>Prue Lewarne</t>
        </is>
      </c>
      <c r="B2110" t="n">
        <v>1</v>
      </c>
      <c r="C2110" t="n">
        <v>2012</v>
      </c>
      <c r="D2110" t="n">
        <v>2012</v>
      </c>
      <c r="E2110" t="inlineStr">
        <is>
          <t>The Bourne Legacy</t>
        </is>
      </c>
      <c r="F2110" t="inlineStr">
        <is>
          <t>F0056</t>
        </is>
      </c>
    </row>
    <row r="2111">
      <c r="A2111" t="inlineStr">
        <is>
          <t>Howard Leader</t>
        </is>
      </c>
      <c r="B2111" t="n">
        <v>1</v>
      </c>
      <c r="C2111" t="n">
        <v>2012</v>
      </c>
      <c r="D2111" t="n">
        <v>2012</v>
      </c>
      <c r="E2111" t="inlineStr">
        <is>
          <t>The Bourne Legacy</t>
        </is>
      </c>
      <c r="F2111" t="inlineStr">
        <is>
          <t>F0056</t>
        </is>
      </c>
    </row>
    <row r="2112">
      <c r="A2112" t="inlineStr">
        <is>
          <t>James Joseph O'Neil</t>
        </is>
      </c>
      <c r="B2112" t="n">
        <v>1</v>
      </c>
      <c r="C2112" t="n">
        <v>2012</v>
      </c>
      <c r="D2112" t="n">
        <v>2012</v>
      </c>
      <c r="E2112" t="inlineStr">
        <is>
          <t>The Bourne Legacy</t>
        </is>
      </c>
      <c r="F2112" t="inlineStr">
        <is>
          <t>F0056</t>
        </is>
      </c>
    </row>
    <row r="2113">
      <c r="A2113" t="inlineStr">
        <is>
          <t>Tony Guida</t>
        </is>
      </c>
      <c r="B2113" t="n">
        <v>1</v>
      </c>
      <c r="C2113" t="n">
        <v>2012</v>
      </c>
      <c r="D2113" t="n">
        <v>2012</v>
      </c>
      <c r="E2113" t="inlineStr">
        <is>
          <t>The Bourne Legacy</t>
        </is>
      </c>
      <c r="F2113" t="inlineStr">
        <is>
          <t>F0056</t>
        </is>
      </c>
    </row>
    <row r="2114">
      <c r="A2114" t="inlineStr">
        <is>
          <t>Sonnie Brown</t>
        </is>
      </c>
      <c r="B2114" t="n">
        <v>1</v>
      </c>
      <c r="C2114" t="n">
        <v>2012</v>
      </c>
      <c r="D2114" t="n">
        <v>2012</v>
      </c>
      <c r="E2114" t="inlineStr">
        <is>
          <t>The Bourne Legacy</t>
        </is>
      </c>
      <c r="F2114" t="inlineStr">
        <is>
          <t>F0056</t>
        </is>
      </c>
    </row>
    <row r="2115">
      <c r="A2115" t="inlineStr">
        <is>
          <t>Robert Christopher Riley</t>
        </is>
      </c>
      <c r="B2115" t="n">
        <v>1</v>
      </c>
      <c r="C2115" t="n">
        <v>2012</v>
      </c>
      <c r="D2115" t="n">
        <v>2012</v>
      </c>
      <c r="E2115" t="inlineStr">
        <is>
          <t>The Bourne Legacy</t>
        </is>
      </c>
      <c r="F2115" t="inlineStr">
        <is>
          <t>F0056</t>
        </is>
      </c>
    </row>
    <row r="2116">
      <c r="A2116" t="inlineStr">
        <is>
          <t>Noel Wilson</t>
        </is>
      </c>
      <c r="B2116" t="n">
        <v>1</v>
      </c>
      <c r="C2116" t="n">
        <v>2012</v>
      </c>
      <c r="D2116" t="n">
        <v>2012</v>
      </c>
      <c r="E2116" t="inlineStr">
        <is>
          <t>The Bourne Legacy</t>
        </is>
      </c>
      <c r="F2116" t="inlineStr">
        <is>
          <t>F0056</t>
        </is>
      </c>
    </row>
    <row r="2117">
      <c r="A2117" t="inlineStr">
        <is>
          <t>Paul Gleason</t>
        </is>
      </c>
      <c r="B2117" t="n">
        <v>1</v>
      </c>
      <c r="C2117" t="n">
        <v>1985</v>
      </c>
      <c r="D2117" t="n">
        <v>1985</v>
      </c>
      <c r="E2117" t="inlineStr">
        <is>
          <t>The Breakfast Club</t>
        </is>
      </c>
      <c r="F2117" t="inlineStr">
        <is>
          <t>F0057</t>
        </is>
      </c>
    </row>
    <row r="2118">
      <c r="A2118" t="inlineStr">
        <is>
          <t>John Kapelos</t>
        </is>
      </c>
      <c r="B2118" t="n">
        <v>1</v>
      </c>
      <c r="C2118" t="n">
        <v>1985</v>
      </c>
      <c r="D2118" t="n">
        <v>1985</v>
      </c>
      <c r="E2118" t="inlineStr">
        <is>
          <t>The Breakfast Club</t>
        </is>
      </c>
      <c r="F2118" t="inlineStr">
        <is>
          <t>F0057</t>
        </is>
      </c>
    </row>
    <row r="2119">
      <c r="A2119" t="inlineStr">
        <is>
          <t>Perry Crawford</t>
        </is>
      </c>
      <c r="B2119" t="n">
        <v>1</v>
      </c>
      <c r="C2119" t="n">
        <v>1985</v>
      </c>
      <c r="D2119" t="n">
        <v>1985</v>
      </c>
      <c r="E2119" t="inlineStr">
        <is>
          <t>The Breakfast Club</t>
        </is>
      </c>
      <c r="F2119" t="inlineStr">
        <is>
          <t>F0057</t>
        </is>
      </c>
    </row>
    <row r="2120">
      <c r="A2120" t="inlineStr">
        <is>
          <t>Mary Christian</t>
        </is>
      </c>
      <c r="B2120" t="n">
        <v>1</v>
      </c>
      <c r="C2120" t="n">
        <v>1985</v>
      </c>
      <c r="D2120" t="n">
        <v>1985</v>
      </c>
      <c r="E2120" t="inlineStr">
        <is>
          <t>The Breakfast Club</t>
        </is>
      </c>
      <c r="F2120" t="inlineStr">
        <is>
          <t>F0057</t>
        </is>
      </c>
    </row>
    <row r="2121">
      <c r="A2121" t="inlineStr">
        <is>
          <t>Tim Gamble</t>
        </is>
      </c>
      <c r="B2121" t="n">
        <v>1</v>
      </c>
      <c r="C2121" t="n">
        <v>1985</v>
      </c>
      <c r="D2121" t="n">
        <v>1985</v>
      </c>
      <c r="E2121" t="inlineStr">
        <is>
          <t>The Breakfast Club</t>
        </is>
      </c>
      <c r="F2121" t="inlineStr">
        <is>
          <t>F0057</t>
        </is>
      </c>
    </row>
    <row r="2122">
      <c r="A2122" t="inlineStr">
        <is>
          <t>Fran Gargano</t>
        </is>
      </c>
      <c r="B2122" t="n">
        <v>1</v>
      </c>
      <c r="C2122" t="n">
        <v>1985</v>
      </c>
      <c r="D2122" t="n">
        <v>1985</v>
      </c>
      <c r="E2122" t="inlineStr">
        <is>
          <t>The Breakfast Club</t>
        </is>
      </c>
      <c r="F2122" t="inlineStr">
        <is>
          <t>F0057</t>
        </is>
      </c>
    </row>
    <row r="2123">
      <c r="A2123" t="inlineStr">
        <is>
          <t>Mercedes Hall</t>
        </is>
      </c>
      <c r="B2123" t="n">
        <v>1</v>
      </c>
      <c r="C2123" t="n">
        <v>1985</v>
      </c>
      <c r="D2123" t="n">
        <v>1985</v>
      </c>
      <c r="E2123" t="inlineStr">
        <is>
          <t>The Breakfast Club</t>
        </is>
      </c>
      <c r="F2123" t="inlineStr">
        <is>
          <t>F0057</t>
        </is>
      </c>
    </row>
    <row r="2124">
      <c r="A2124" t="inlineStr">
        <is>
          <t>John Hughes</t>
        </is>
      </c>
      <c r="B2124" t="n">
        <v>1</v>
      </c>
      <c r="C2124" t="n">
        <v>1985</v>
      </c>
      <c r="D2124" t="n">
        <v>1985</v>
      </c>
      <c r="E2124" t="inlineStr">
        <is>
          <t>The Breakfast Club</t>
        </is>
      </c>
      <c r="F2124" t="inlineStr">
        <is>
          <t>F0057</t>
        </is>
      </c>
    </row>
    <row r="2125">
      <c r="A2125" t="inlineStr">
        <is>
          <t>Jonathan Chapin</t>
        </is>
      </c>
      <c r="B2125" t="n">
        <v>1</v>
      </c>
      <c r="C2125" t="n">
        <v>1985</v>
      </c>
      <c r="D2125" t="n">
        <v>1985</v>
      </c>
      <c r="E2125" t="inlineStr">
        <is>
          <t>The Breakfast Club</t>
        </is>
      </c>
      <c r="F2125" t="inlineStr">
        <is>
          <t>F0057</t>
        </is>
      </c>
    </row>
    <row r="2126">
      <c r="A2126" t="inlineStr">
        <is>
          <t>Jill Clayburgh</t>
        </is>
      </c>
      <c r="B2126" t="n">
        <v>1</v>
      </c>
      <c r="C2126" t="n">
        <v>2011</v>
      </c>
      <c r="D2126" t="n">
        <v>2011</v>
      </c>
      <c r="E2126" t="inlineStr">
        <is>
          <t>Bridesmaids</t>
        </is>
      </c>
      <c r="F2126" t="inlineStr">
        <is>
          <t>F0058</t>
        </is>
      </c>
    </row>
    <row r="2127">
      <c r="A2127" t="inlineStr">
        <is>
          <t>Matt Lucas</t>
        </is>
      </c>
      <c r="B2127" t="n">
        <v>4</v>
      </c>
      <c r="C2127" t="n">
        <v>2004</v>
      </c>
      <c r="D2127" t="n">
        <v>2023</v>
      </c>
      <c r="E2127" t="inlineStr">
        <is>
          <t>Bridesmaids, Shaun of the Dead, Paddington, Wonka</t>
        </is>
      </c>
      <c r="F2127" t="inlineStr">
        <is>
          <t>F0058, F0070, F0244, F0338</t>
        </is>
      </c>
    </row>
    <row r="2128">
      <c r="A2128" t="inlineStr">
        <is>
          <t>Michael Hitchcock</t>
        </is>
      </c>
      <c r="B2128" t="n">
        <v>1</v>
      </c>
      <c r="C2128" t="n">
        <v>2011</v>
      </c>
      <c r="D2128" t="n">
        <v>2011</v>
      </c>
      <c r="E2128" t="inlineStr">
        <is>
          <t>Bridesmaids</t>
        </is>
      </c>
      <c r="F2128" t="inlineStr">
        <is>
          <t>F0058</t>
        </is>
      </c>
    </row>
    <row r="2129">
      <c r="A2129" t="inlineStr">
        <is>
          <t>Terry Crews</t>
        </is>
      </c>
      <c r="B2129" t="n">
        <v>7</v>
      </c>
      <c r="C2129" t="n">
        <v>2009</v>
      </c>
      <c r="D2129" t="n">
        <v>2018</v>
      </c>
      <c r="E2129" t="inlineStr">
        <is>
          <t>Bridesmaids, Cloudy with a Chance of Meatballs 2, Deadpool 2, The Expendables, The Expendables 2, The Expendables 3, Terminator Salvation</t>
        </is>
      </c>
      <c r="F2129" t="inlineStr">
        <is>
          <t>F0058, F0067, F0077, F0095, F0096, F0097, F0310</t>
        </is>
      </c>
    </row>
    <row r="2130">
      <c r="A2130" t="inlineStr">
        <is>
          <t>Tom Yi</t>
        </is>
      </c>
      <c r="B2130" t="n">
        <v>1</v>
      </c>
      <c r="C2130" t="n">
        <v>2011</v>
      </c>
      <c r="D2130" t="n">
        <v>2011</v>
      </c>
      <c r="E2130" t="inlineStr">
        <is>
          <t>Bridesmaids</t>
        </is>
      </c>
      <c r="F2130" t="inlineStr">
        <is>
          <t>F0058</t>
        </is>
      </c>
    </row>
    <row r="2131">
      <c r="A2131" t="inlineStr">
        <is>
          <t>Elaine Kao</t>
        </is>
      </c>
      <c r="B2131" t="n">
        <v>1</v>
      </c>
      <c r="C2131" t="n">
        <v>2011</v>
      </c>
      <c r="D2131" t="n">
        <v>2011</v>
      </c>
      <c r="E2131" t="inlineStr">
        <is>
          <t>Bridesmaids</t>
        </is>
      </c>
      <c r="F2131" t="inlineStr">
        <is>
          <t>F0058</t>
        </is>
      </c>
    </row>
    <row r="2132">
      <c r="A2132" t="inlineStr">
        <is>
          <t>Kali Hawk</t>
        </is>
      </c>
      <c r="B2132" t="n">
        <v>1</v>
      </c>
      <c r="C2132" t="n">
        <v>2011</v>
      </c>
      <c r="D2132" t="n">
        <v>2011</v>
      </c>
      <c r="E2132" t="inlineStr">
        <is>
          <t>Bridesmaids</t>
        </is>
      </c>
      <c r="F2132" t="inlineStr">
        <is>
          <t>F0058</t>
        </is>
      </c>
    </row>
    <row r="2133">
      <c r="A2133" t="inlineStr">
        <is>
          <t>Joe Nuñez</t>
        </is>
      </c>
      <c r="B2133" t="n">
        <v>3</v>
      </c>
      <c r="C2133" t="n">
        <v>2006</v>
      </c>
      <c r="D2133" t="n">
        <v>2011</v>
      </c>
      <c r="E2133" t="inlineStr">
        <is>
          <t>Bridesmaids, The Pursuit of Happyness, Superbad</t>
        </is>
      </c>
      <c r="F2133" t="inlineStr">
        <is>
          <t>F0058, F0260, F0303</t>
        </is>
      </c>
    </row>
    <row r="2134">
      <c r="A2134" t="inlineStr">
        <is>
          <t>Greg Tuculescu</t>
        </is>
      </c>
      <c r="B2134" t="n">
        <v>1</v>
      </c>
      <c r="C2134" t="n">
        <v>2011</v>
      </c>
      <c r="D2134" t="n">
        <v>2011</v>
      </c>
      <c r="E2134" t="inlineStr">
        <is>
          <t>Bridesmaids</t>
        </is>
      </c>
      <c r="F2134" t="inlineStr">
        <is>
          <t>F0058</t>
        </is>
      </c>
    </row>
    <row r="2135">
      <c r="A2135" t="inlineStr">
        <is>
          <t>Steve Bannos</t>
        </is>
      </c>
      <c r="B2135" t="n">
        <v>2</v>
      </c>
      <c r="C2135" t="n">
        <v>2011</v>
      </c>
      <c r="D2135" t="n">
        <v>2015</v>
      </c>
      <c r="E2135" t="inlineStr">
        <is>
          <t>Bridesmaids, Spy</t>
        </is>
      </c>
      <c r="F2135" t="inlineStr">
        <is>
          <t>F0058, F0290</t>
        </is>
      </c>
    </row>
    <row r="2136">
      <c r="A2136" t="inlineStr">
        <is>
          <t>Hugh Dane</t>
        </is>
      </c>
      <c r="B2136" t="n">
        <v>1</v>
      </c>
      <c r="C2136" t="n">
        <v>2011</v>
      </c>
      <c r="D2136" t="n">
        <v>2011</v>
      </c>
      <c r="E2136" t="inlineStr">
        <is>
          <t>Bridesmaids</t>
        </is>
      </c>
      <c r="F2136" t="inlineStr">
        <is>
          <t>F0058</t>
        </is>
      </c>
    </row>
    <row r="2137">
      <c r="A2137" t="inlineStr">
        <is>
          <t>Franklyn Ajaye</t>
        </is>
      </c>
      <c r="B2137" t="n">
        <v>1</v>
      </c>
      <c r="C2137" t="n">
        <v>2011</v>
      </c>
      <c r="D2137" t="n">
        <v>2011</v>
      </c>
      <c r="E2137" t="inlineStr">
        <is>
          <t>Bridesmaids</t>
        </is>
      </c>
      <c r="F2137" t="inlineStr">
        <is>
          <t>F0058</t>
        </is>
      </c>
    </row>
    <row r="2138">
      <c r="A2138" t="inlineStr">
        <is>
          <t>Tim Heidecker</t>
        </is>
      </c>
      <c r="B2138" t="n">
        <v>1</v>
      </c>
      <c r="C2138" t="n">
        <v>2011</v>
      </c>
      <c r="D2138" t="n">
        <v>2011</v>
      </c>
      <c r="E2138" t="inlineStr">
        <is>
          <t>Bridesmaids</t>
        </is>
      </c>
      <c r="F2138" t="inlineStr">
        <is>
          <t>F0058</t>
        </is>
      </c>
    </row>
    <row r="2139">
      <c r="A2139" t="inlineStr">
        <is>
          <t>Lynne Marie Stewart</t>
        </is>
      </c>
      <c r="B2139" t="n">
        <v>1</v>
      </c>
      <c r="C2139" t="n">
        <v>2011</v>
      </c>
      <c r="D2139" t="n">
        <v>2011</v>
      </c>
      <c r="E2139" t="inlineStr">
        <is>
          <t>Bridesmaids</t>
        </is>
      </c>
      <c r="F2139" t="inlineStr">
        <is>
          <t>F0058</t>
        </is>
      </c>
    </row>
    <row r="2140">
      <c r="A2140" t="inlineStr">
        <is>
          <t>Andy Buckley</t>
        </is>
      </c>
      <c r="B2140" t="n">
        <v>3</v>
      </c>
      <c r="C2140" t="n">
        <v>2011</v>
      </c>
      <c r="D2140" t="n">
        <v>2015</v>
      </c>
      <c r="E2140" t="inlineStr">
        <is>
          <t>Bridesmaids, The Heat, Jurassic World</t>
        </is>
      </c>
      <c r="F2140" t="inlineStr">
        <is>
          <t>F0058, F0146, F0179</t>
        </is>
      </c>
    </row>
    <row r="2141">
      <c r="A2141" t="inlineStr">
        <is>
          <t>Molly Buffington</t>
        </is>
      </c>
      <c r="B2141" t="n">
        <v>1</v>
      </c>
      <c r="C2141" t="n">
        <v>2011</v>
      </c>
      <c r="D2141" t="n">
        <v>2011</v>
      </c>
      <c r="E2141" t="inlineStr">
        <is>
          <t>Bridesmaids</t>
        </is>
      </c>
      <c r="F2141" t="inlineStr">
        <is>
          <t>F0058</t>
        </is>
      </c>
    </row>
    <row r="2142">
      <c r="A2142" t="inlineStr">
        <is>
          <t>Matt Bennett</t>
        </is>
      </c>
      <c r="B2142" t="n">
        <v>1</v>
      </c>
      <c r="C2142" t="n">
        <v>2011</v>
      </c>
      <c r="D2142" t="n">
        <v>2011</v>
      </c>
      <c r="E2142" t="inlineStr">
        <is>
          <t>Bridesmaids</t>
        </is>
      </c>
      <c r="F2142" t="inlineStr">
        <is>
          <t>F0058</t>
        </is>
      </c>
    </row>
    <row r="2143">
      <c r="A2143" t="inlineStr">
        <is>
          <t>Nancy Carell</t>
        </is>
      </c>
      <c r="B2143" t="n">
        <v>1</v>
      </c>
      <c r="C2143" t="n">
        <v>2011</v>
      </c>
      <c r="D2143" t="n">
        <v>2011</v>
      </c>
      <c r="E2143" t="inlineStr">
        <is>
          <t>Bridesmaids</t>
        </is>
      </c>
      <c r="F2143" t="inlineStr">
        <is>
          <t>F0058</t>
        </is>
      </c>
    </row>
    <row r="2144">
      <c r="A2144" t="inlineStr">
        <is>
          <t>Melanie Hutsell</t>
        </is>
      </c>
      <c r="B2144" t="n">
        <v>1</v>
      </c>
      <c r="C2144" t="n">
        <v>2011</v>
      </c>
      <c r="D2144" t="n">
        <v>2011</v>
      </c>
      <c r="E2144" t="inlineStr">
        <is>
          <t>Bridesmaids</t>
        </is>
      </c>
      <c r="F2144" t="inlineStr">
        <is>
          <t>F0058</t>
        </is>
      </c>
    </row>
    <row r="2145">
      <c r="A2145" t="inlineStr">
        <is>
          <t>Eloy Casados</t>
        </is>
      </c>
      <c r="B2145" t="n">
        <v>1</v>
      </c>
      <c r="C2145" t="n">
        <v>2011</v>
      </c>
      <c r="D2145" t="n">
        <v>2011</v>
      </c>
      <c r="E2145" t="inlineStr">
        <is>
          <t>Bridesmaids</t>
        </is>
      </c>
      <c r="F2145" t="inlineStr">
        <is>
          <t>F0058</t>
        </is>
      </c>
    </row>
    <row r="2146">
      <c r="A2146" t="inlineStr">
        <is>
          <t>Jessica St. Clair</t>
        </is>
      </c>
      <c r="B2146" t="n">
        <v>2</v>
      </c>
      <c r="C2146" t="n">
        <v>2011</v>
      </c>
      <c r="D2146" t="n">
        <v>2012</v>
      </c>
      <c r="E2146" t="inlineStr">
        <is>
          <t>Bridesmaids, The Dictator</t>
        </is>
      </c>
      <c r="F2146" t="inlineStr">
        <is>
          <t>F0058, F0085</t>
        </is>
      </c>
    </row>
    <row r="2147">
      <c r="A2147" t="inlineStr">
        <is>
          <t>Dana Powell</t>
        </is>
      </c>
      <c r="B2147" t="n">
        <v>1</v>
      </c>
      <c r="C2147" t="n">
        <v>2011</v>
      </c>
      <c r="D2147" t="n">
        <v>2011</v>
      </c>
      <c r="E2147" t="inlineStr">
        <is>
          <t>Bridesmaids</t>
        </is>
      </c>
      <c r="F2147" t="inlineStr">
        <is>
          <t>F0058</t>
        </is>
      </c>
    </row>
    <row r="2148">
      <c r="A2148" t="inlineStr">
        <is>
          <t>Toby Holguin</t>
        </is>
      </c>
      <c r="B2148" t="n">
        <v>1</v>
      </c>
      <c r="C2148" t="n">
        <v>2009</v>
      </c>
      <c r="D2148" t="n">
        <v>2009</v>
      </c>
      <c r="E2148" t="inlineStr">
        <is>
          <t>Brüno</t>
        </is>
      </c>
      <c r="F2148" t="inlineStr">
        <is>
          <t>F0059</t>
        </is>
      </c>
    </row>
    <row r="2149">
      <c r="A2149" t="inlineStr">
        <is>
          <t>Gilbert Rosales</t>
        </is>
      </c>
      <c r="B2149" t="n">
        <v>1</v>
      </c>
      <c r="C2149" t="n">
        <v>2009</v>
      </c>
      <c r="D2149" t="n">
        <v>2009</v>
      </c>
      <c r="E2149" t="inlineStr">
        <is>
          <t>Brüno</t>
        </is>
      </c>
      <c r="F2149" t="inlineStr">
        <is>
          <t>F0059</t>
        </is>
      </c>
    </row>
    <row r="2150">
      <c r="A2150" t="inlineStr">
        <is>
          <t>Thomas Rosales Jr.</t>
        </is>
      </c>
      <c r="B2150" t="n">
        <v>3</v>
      </c>
      <c r="C2150" t="n">
        <v>1997</v>
      </c>
      <c r="D2150" t="n">
        <v>2014</v>
      </c>
      <c r="E2150" t="inlineStr">
        <is>
          <t>Brüno, The Lost World: Jurassic Park, Dawn of the Planet of the Apes</t>
        </is>
      </c>
      <c r="F2150" t="inlineStr">
        <is>
          <t>F0059, F0177, F0254</t>
        </is>
      </c>
    </row>
    <row r="2151">
      <c r="A2151" t="inlineStr">
        <is>
          <t>Marco Xavier</t>
        </is>
      </c>
      <c r="B2151" t="n">
        <v>1</v>
      </c>
      <c r="C2151" t="n">
        <v>2009</v>
      </c>
      <c r="D2151" t="n">
        <v>2009</v>
      </c>
      <c r="E2151" t="inlineStr">
        <is>
          <t>Brüno</t>
        </is>
      </c>
      <c r="F2151" t="inlineStr">
        <is>
          <t>F0059</t>
        </is>
      </c>
    </row>
    <row r="2152">
      <c r="A2152" t="inlineStr">
        <is>
          <t>Bono</t>
        </is>
      </c>
      <c r="B2152" t="n">
        <v>1</v>
      </c>
      <c r="C2152" t="n">
        <v>2009</v>
      </c>
      <c r="D2152" t="n">
        <v>2009</v>
      </c>
      <c r="E2152" t="inlineStr">
        <is>
          <t>Brüno</t>
        </is>
      </c>
      <c r="F2152" t="inlineStr">
        <is>
          <t>F0059</t>
        </is>
      </c>
    </row>
    <row r="2153">
      <c r="A2153" t="inlineStr">
        <is>
          <t>Chris Martin</t>
        </is>
      </c>
      <c r="B2153" t="n">
        <v>2</v>
      </c>
      <c r="C2153" t="n">
        <v>2004</v>
      </c>
      <c r="D2153" t="n">
        <v>2009</v>
      </c>
      <c r="E2153" t="inlineStr">
        <is>
          <t>Brüno, Shaun of the Dead</t>
        </is>
      </c>
      <c r="F2153" t="inlineStr">
        <is>
          <t>F0059, F0070</t>
        </is>
      </c>
    </row>
    <row r="2154">
      <c r="A2154" t="inlineStr">
        <is>
          <t>Elton John</t>
        </is>
      </c>
      <c r="B2154" t="n">
        <v>1</v>
      </c>
      <c r="C2154" t="n">
        <v>2009</v>
      </c>
      <c r="D2154" t="n">
        <v>2009</v>
      </c>
      <c r="E2154" t="inlineStr">
        <is>
          <t>Brüno</t>
        </is>
      </c>
      <c r="F2154" t="inlineStr">
        <is>
          <t>F0059</t>
        </is>
      </c>
    </row>
    <row r="2155">
      <c r="A2155" t="inlineStr">
        <is>
          <t>Slash</t>
        </is>
      </c>
      <c r="B2155" t="n">
        <v>1</v>
      </c>
      <c r="C2155" t="n">
        <v>2009</v>
      </c>
      <c r="D2155" t="n">
        <v>2009</v>
      </c>
      <c r="E2155" t="inlineStr">
        <is>
          <t>Brüno</t>
        </is>
      </c>
      <c r="F2155" t="inlineStr">
        <is>
          <t>F0059</t>
        </is>
      </c>
    </row>
    <row r="2156">
      <c r="A2156" t="inlineStr">
        <is>
          <t>Snoop Dogg</t>
        </is>
      </c>
      <c r="B2156" t="n">
        <v>2</v>
      </c>
      <c r="C2156" t="n">
        <v>2009</v>
      </c>
      <c r="D2156" t="n">
        <v>2015</v>
      </c>
      <c r="E2156" t="inlineStr">
        <is>
          <t>Brüno, Pitch Perfect 2</t>
        </is>
      </c>
      <c r="F2156" t="inlineStr">
        <is>
          <t>F0059, F0251</t>
        </is>
      </c>
    </row>
    <row r="2157">
      <c r="A2157" t="inlineStr">
        <is>
          <t>Sting</t>
        </is>
      </c>
      <c r="B2157" t="n">
        <v>1</v>
      </c>
      <c r="C2157" t="n">
        <v>2009</v>
      </c>
      <c r="D2157" t="n">
        <v>2009</v>
      </c>
      <c r="E2157" t="inlineStr">
        <is>
          <t>Brüno</t>
        </is>
      </c>
      <c r="F2157" t="inlineStr">
        <is>
          <t>F0059</t>
        </is>
      </c>
    </row>
    <row r="2158">
      <c r="A2158" t="inlineStr">
        <is>
          <t>Kunal Nayyar</t>
        </is>
      </c>
      <c r="B2158" t="n">
        <v>1</v>
      </c>
      <c r="C2158" t="n">
        <v>2009</v>
      </c>
      <c r="D2158" t="n">
        <v>2009</v>
      </c>
      <c r="E2158" t="inlineStr">
        <is>
          <t>Brüno</t>
        </is>
      </c>
      <c r="F2158" t="inlineStr">
        <is>
          <t>F0059</t>
        </is>
      </c>
    </row>
    <row r="2159">
      <c r="A2159" t="inlineStr">
        <is>
          <t>Heather Hahn</t>
        </is>
      </c>
      <c r="B2159" t="n">
        <v>1</v>
      </c>
      <c r="C2159" t="n">
        <v>2009</v>
      </c>
      <c r="D2159" t="n">
        <v>2009</v>
      </c>
      <c r="E2159" t="inlineStr">
        <is>
          <t>Brüno</t>
        </is>
      </c>
      <c r="F2159" t="inlineStr">
        <is>
          <t>F0059</t>
        </is>
      </c>
    </row>
    <row r="2160">
      <c r="A2160" t="inlineStr">
        <is>
          <t>Filipa Beck</t>
        </is>
      </c>
      <c r="B2160" t="n">
        <v>1</v>
      </c>
      <c r="C2160" t="n">
        <v>2009</v>
      </c>
      <c r="D2160" t="n">
        <v>2009</v>
      </c>
      <c r="E2160" t="inlineStr">
        <is>
          <t>Brüno</t>
        </is>
      </c>
      <c r="F2160" t="inlineStr">
        <is>
          <t>F0059</t>
        </is>
      </c>
    </row>
    <row r="2161">
      <c r="A2161" t="inlineStr">
        <is>
          <t>Lloyd Robinson</t>
        </is>
      </c>
      <c r="B2161" t="n">
        <v>1</v>
      </c>
      <c r="C2161" t="n">
        <v>2009</v>
      </c>
      <c r="D2161" t="n">
        <v>2009</v>
      </c>
      <c r="E2161" t="inlineStr">
        <is>
          <t>Brüno</t>
        </is>
      </c>
      <c r="F2161" t="inlineStr">
        <is>
          <t>F0059</t>
        </is>
      </c>
    </row>
    <row r="2162">
      <c r="A2162" t="inlineStr">
        <is>
          <t>Paula Abdul</t>
        </is>
      </c>
      <c r="B2162" t="n">
        <v>1</v>
      </c>
      <c r="C2162" t="n">
        <v>2009</v>
      </c>
      <c r="D2162" t="n">
        <v>2009</v>
      </c>
      <c r="E2162" t="inlineStr">
        <is>
          <t>Brüno</t>
        </is>
      </c>
      <c r="F2162" t="inlineStr">
        <is>
          <t>F0059</t>
        </is>
      </c>
    </row>
    <row r="2163">
      <c r="A2163" t="inlineStr">
        <is>
          <t>Denny Bond</t>
        </is>
      </c>
      <c r="B2163" t="n">
        <v>1</v>
      </c>
      <c r="C2163" t="n">
        <v>2009</v>
      </c>
      <c r="D2163" t="n">
        <v>2009</v>
      </c>
      <c r="E2163" t="inlineStr">
        <is>
          <t>Brüno</t>
        </is>
      </c>
      <c r="F2163" t="inlineStr">
        <is>
          <t>F0059</t>
        </is>
      </c>
    </row>
    <row r="2164">
      <c r="A2164" t="inlineStr">
        <is>
          <t>Brittny Gastineau</t>
        </is>
      </c>
      <c r="B2164" t="n">
        <v>1</v>
      </c>
      <c r="C2164" t="n">
        <v>2009</v>
      </c>
      <c r="D2164" t="n">
        <v>2009</v>
      </c>
      <c r="E2164" t="inlineStr">
        <is>
          <t>Brüno</t>
        </is>
      </c>
      <c r="F2164" t="inlineStr">
        <is>
          <t>F0059</t>
        </is>
      </c>
    </row>
    <row r="2165">
      <c r="A2165" t="inlineStr">
        <is>
          <t>Ron Paul</t>
        </is>
      </c>
      <c r="B2165" t="n">
        <v>1</v>
      </c>
      <c r="C2165" t="n">
        <v>2009</v>
      </c>
      <c r="D2165" t="n">
        <v>2009</v>
      </c>
      <c r="E2165" t="inlineStr">
        <is>
          <t>Brüno</t>
        </is>
      </c>
      <c r="F2165" t="inlineStr">
        <is>
          <t>F0059</t>
        </is>
      </c>
    </row>
    <row r="2166">
      <c r="A2166" t="inlineStr">
        <is>
          <t>Gary Williams</t>
        </is>
      </c>
      <c r="B2166" t="n">
        <v>1</v>
      </c>
      <c r="C2166" t="n">
        <v>2009</v>
      </c>
      <c r="D2166" t="n">
        <v>2009</v>
      </c>
      <c r="E2166" t="inlineStr">
        <is>
          <t>Brüno</t>
        </is>
      </c>
      <c r="F2166" t="inlineStr">
        <is>
          <t>F0059</t>
        </is>
      </c>
    </row>
    <row r="2167">
      <c r="A2167" t="inlineStr">
        <is>
          <t>Nicole DeFosset</t>
        </is>
      </c>
      <c r="B2167" t="n">
        <v>1</v>
      </c>
      <c r="C2167" t="n">
        <v>2009</v>
      </c>
      <c r="D2167" t="n">
        <v>2009</v>
      </c>
      <c r="E2167" t="inlineStr">
        <is>
          <t>Brüno</t>
        </is>
      </c>
      <c r="F2167" t="inlineStr">
        <is>
          <t>F0059</t>
        </is>
      </c>
    </row>
    <row r="2168">
      <c r="A2168" t="inlineStr">
        <is>
          <t>Suzanne DeFosset</t>
        </is>
      </c>
      <c r="B2168" t="n">
        <v>1</v>
      </c>
      <c r="C2168" t="n">
        <v>2009</v>
      </c>
      <c r="D2168" t="n">
        <v>2009</v>
      </c>
      <c r="E2168" t="inlineStr">
        <is>
          <t>Brüno</t>
        </is>
      </c>
      <c r="F2168" t="inlineStr">
        <is>
          <t>F0059</t>
        </is>
      </c>
    </row>
    <row r="2169">
      <c r="A2169" t="inlineStr">
        <is>
          <t>Yossi Alpher</t>
        </is>
      </c>
      <c r="B2169" t="n">
        <v>1</v>
      </c>
      <c r="C2169" t="n">
        <v>2009</v>
      </c>
      <c r="D2169" t="n">
        <v>2009</v>
      </c>
      <c r="E2169" t="inlineStr">
        <is>
          <t>Brüno</t>
        </is>
      </c>
      <c r="F2169" t="inlineStr">
        <is>
          <t>F0059</t>
        </is>
      </c>
    </row>
    <row r="2170">
      <c r="A2170" t="inlineStr">
        <is>
          <t>Ghassan Khatib</t>
        </is>
      </c>
      <c r="B2170" t="n">
        <v>1</v>
      </c>
      <c r="C2170" t="n">
        <v>2009</v>
      </c>
      <c r="D2170" t="n">
        <v>2009</v>
      </c>
      <c r="E2170" t="inlineStr">
        <is>
          <t>Brüno</t>
        </is>
      </c>
      <c r="F2170" t="inlineStr">
        <is>
          <t>F0059</t>
        </is>
      </c>
    </row>
    <row r="2171">
      <c r="A2171" t="inlineStr">
        <is>
          <t>Avraham Sela</t>
        </is>
      </c>
      <c r="B2171" t="n">
        <v>1</v>
      </c>
      <c r="C2171" t="n">
        <v>2009</v>
      </c>
      <c r="D2171" t="n">
        <v>2009</v>
      </c>
      <c r="E2171" t="inlineStr">
        <is>
          <t>Brüno</t>
        </is>
      </c>
      <c r="F2171" t="inlineStr">
        <is>
          <t>F0059</t>
        </is>
      </c>
    </row>
    <row r="2172">
      <c r="A2172" t="inlineStr">
        <is>
          <t>Adnan Al-Husseini</t>
        </is>
      </c>
      <c r="B2172" t="n">
        <v>1</v>
      </c>
      <c r="C2172" t="n">
        <v>2009</v>
      </c>
      <c r="D2172" t="n">
        <v>2009</v>
      </c>
      <c r="E2172" t="inlineStr">
        <is>
          <t>Brüno</t>
        </is>
      </c>
      <c r="F2172" t="inlineStr">
        <is>
          <t>F0059</t>
        </is>
      </c>
    </row>
    <row r="2173">
      <c r="A2173" t="inlineStr">
        <is>
          <t>Dawn Lewis</t>
        </is>
      </c>
      <c r="B2173" t="n">
        <v>1</v>
      </c>
      <c r="C2173" t="n">
        <v>2007</v>
      </c>
      <c r="D2173" t="n">
        <v>2007</v>
      </c>
      <c r="E2173" t="inlineStr">
        <is>
          <t>The Bucket List</t>
        </is>
      </c>
      <c r="F2173" t="inlineStr">
        <is>
          <t>F0060</t>
        </is>
      </c>
    </row>
    <row r="2174">
      <c r="A2174" t="inlineStr">
        <is>
          <t>Rob Morrow</t>
        </is>
      </c>
      <c r="B2174" t="n">
        <v>1</v>
      </c>
      <c r="C2174" t="n">
        <v>2007</v>
      </c>
      <c r="D2174" t="n">
        <v>2007</v>
      </c>
      <c r="E2174" t="inlineStr">
        <is>
          <t>The Bucket List</t>
        </is>
      </c>
      <c r="F2174" t="inlineStr">
        <is>
          <t>F0060</t>
        </is>
      </c>
    </row>
    <row r="2175">
      <c r="A2175" t="inlineStr">
        <is>
          <t>Brian Copeland</t>
        </is>
      </c>
      <c r="B2175" t="n">
        <v>1</v>
      </c>
      <c r="C2175" t="n">
        <v>2007</v>
      </c>
      <c r="D2175" t="n">
        <v>2007</v>
      </c>
      <c r="E2175" t="inlineStr">
        <is>
          <t>The Bucket List</t>
        </is>
      </c>
      <c r="F2175" t="inlineStr">
        <is>
          <t>F0060</t>
        </is>
      </c>
    </row>
    <row r="2176">
      <c r="A2176" t="inlineStr">
        <is>
          <t>Rowena King</t>
        </is>
      </c>
      <c r="B2176" t="n">
        <v>1</v>
      </c>
      <c r="C2176" t="n">
        <v>2007</v>
      </c>
      <c r="D2176" t="n">
        <v>2007</v>
      </c>
      <c r="E2176" t="inlineStr">
        <is>
          <t>The Bucket List</t>
        </is>
      </c>
      <c r="F2176" t="inlineStr">
        <is>
          <t>F0060</t>
        </is>
      </c>
    </row>
    <row r="2177">
      <c r="A2177" t="inlineStr">
        <is>
          <t>Annton Berry Jr.</t>
        </is>
      </c>
      <c r="B2177" t="n">
        <v>1</v>
      </c>
      <c r="C2177" t="n">
        <v>2007</v>
      </c>
      <c r="D2177" t="n">
        <v>2007</v>
      </c>
      <c r="E2177" t="inlineStr">
        <is>
          <t>The Bucket List</t>
        </is>
      </c>
      <c r="F2177" t="inlineStr">
        <is>
          <t>F0060</t>
        </is>
      </c>
    </row>
    <row r="2178">
      <c r="A2178" t="inlineStr">
        <is>
          <t>Destiny Brownridge</t>
        </is>
      </c>
      <c r="B2178" t="n">
        <v>1</v>
      </c>
      <c r="C2178" t="n">
        <v>2007</v>
      </c>
      <c r="D2178" t="n">
        <v>2007</v>
      </c>
      <c r="E2178" t="inlineStr">
        <is>
          <t>The Bucket List</t>
        </is>
      </c>
      <c r="F2178" t="inlineStr">
        <is>
          <t>F0060</t>
        </is>
      </c>
    </row>
    <row r="2179">
      <c r="A2179" t="inlineStr">
        <is>
          <t>Verda Bridges</t>
        </is>
      </c>
      <c r="B2179" t="n">
        <v>1</v>
      </c>
      <c r="C2179" t="n">
        <v>2007</v>
      </c>
      <c r="D2179" t="n">
        <v>2007</v>
      </c>
      <c r="E2179" t="inlineStr">
        <is>
          <t>The Bucket List</t>
        </is>
      </c>
      <c r="F2179" t="inlineStr">
        <is>
          <t>F0060</t>
        </is>
      </c>
    </row>
    <row r="2180">
      <c r="A2180" t="inlineStr">
        <is>
          <t>Ian Anthony Dale</t>
        </is>
      </c>
      <c r="B2180" t="n">
        <v>2</v>
      </c>
      <c r="C2180" t="n">
        <v>2007</v>
      </c>
      <c r="D2180" t="n">
        <v>2009</v>
      </c>
      <c r="E2180" t="inlineStr">
        <is>
          <t>The Bucket List, The Hangover</t>
        </is>
      </c>
      <c r="F2180" t="inlineStr">
        <is>
          <t>F0060, F0134</t>
        </is>
      </c>
    </row>
    <row r="2181">
      <c r="A2181" t="inlineStr">
        <is>
          <t>Jennifer Defrancisco</t>
        </is>
      </c>
      <c r="B2181" t="n">
        <v>1</v>
      </c>
      <c r="C2181" t="n">
        <v>2007</v>
      </c>
      <c r="D2181" t="n">
        <v>2007</v>
      </c>
      <c r="E2181" t="inlineStr">
        <is>
          <t>The Bucket List</t>
        </is>
      </c>
      <c r="F2181" t="inlineStr">
        <is>
          <t>F0060</t>
        </is>
      </c>
    </row>
    <row r="2182">
      <c r="A2182" t="inlineStr">
        <is>
          <t>Angela Gardner</t>
        </is>
      </c>
      <c r="B2182" t="n">
        <v>1</v>
      </c>
      <c r="C2182" t="n">
        <v>2007</v>
      </c>
      <c r="D2182" t="n">
        <v>2007</v>
      </c>
      <c r="E2182" t="inlineStr">
        <is>
          <t>The Bucket List</t>
        </is>
      </c>
      <c r="F2182" t="inlineStr">
        <is>
          <t>F0060</t>
        </is>
      </c>
    </row>
    <row r="2183">
      <c r="A2183" t="inlineStr">
        <is>
          <t>Noel Gugliemi</t>
        </is>
      </c>
      <c r="B2183" t="n">
        <v>3</v>
      </c>
      <c r="C2183" t="n">
        <v>2001</v>
      </c>
      <c r="D2183" t="n">
        <v>2015</v>
      </c>
      <c r="E2183" t="inlineStr">
        <is>
          <t>The Bucket List, The Fast and the Furious, Furious 7</t>
        </is>
      </c>
      <c r="F2183" t="inlineStr">
        <is>
          <t>F0060, F0101, F0107</t>
        </is>
      </c>
    </row>
    <row r="2184">
      <c r="A2184" t="inlineStr">
        <is>
          <t>Jonathan Hernandez</t>
        </is>
      </c>
      <c r="B2184" t="n">
        <v>1</v>
      </c>
      <c r="C2184" t="n">
        <v>2007</v>
      </c>
      <c r="D2184" t="n">
        <v>2007</v>
      </c>
      <c r="E2184" t="inlineStr">
        <is>
          <t>The Bucket List</t>
        </is>
      </c>
      <c r="F2184" t="inlineStr">
        <is>
          <t>F0060</t>
        </is>
      </c>
    </row>
    <row r="2185">
      <c r="A2185" t="inlineStr">
        <is>
          <t>Karen Maruyama</t>
        </is>
      </c>
      <c r="B2185" t="n">
        <v>1</v>
      </c>
      <c r="C2185" t="n">
        <v>2007</v>
      </c>
      <c r="D2185" t="n">
        <v>2007</v>
      </c>
      <c r="E2185" t="inlineStr">
        <is>
          <t>The Bucket List</t>
        </is>
      </c>
      <c r="F2185" t="inlineStr">
        <is>
          <t>F0060</t>
        </is>
      </c>
    </row>
    <row r="2186">
      <c r="A2186" t="inlineStr">
        <is>
          <t>Amber Mead</t>
        </is>
      </c>
      <c r="B2186" t="n">
        <v>1</v>
      </c>
      <c r="C2186" t="n">
        <v>2007</v>
      </c>
      <c r="D2186" t="n">
        <v>2007</v>
      </c>
      <c r="E2186" t="inlineStr">
        <is>
          <t>The Bucket List</t>
        </is>
      </c>
      <c r="F2186" t="inlineStr">
        <is>
          <t>F0060</t>
        </is>
      </c>
    </row>
    <row r="2187">
      <c r="A2187" t="inlineStr">
        <is>
          <t>Serena Reeder</t>
        </is>
      </c>
      <c r="B2187" t="n">
        <v>1</v>
      </c>
      <c r="C2187" t="n">
        <v>2007</v>
      </c>
      <c r="D2187" t="n">
        <v>2007</v>
      </c>
      <c r="E2187" t="inlineStr">
        <is>
          <t>The Bucket List</t>
        </is>
      </c>
      <c r="F2187" t="inlineStr">
        <is>
          <t>F0060</t>
        </is>
      </c>
    </row>
    <row r="2188">
      <c r="A2188" t="inlineStr">
        <is>
          <t>Christopher Stapleton</t>
        </is>
      </c>
      <c r="B2188" t="n">
        <v>1</v>
      </c>
      <c r="C2188" t="n">
        <v>2007</v>
      </c>
      <c r="D2188" t="n">
        <v>2007</v>
      </c>
      <c r="E2188" t="inlineStr">
        <is>
          <t>The Bucket List</t>
        </is>
      </c>
      <c r="F2188" t="inlineStr">
        <is>
          <t>F0060</t>
        </is>
      </c>
    </row>
    <row r="2189">
      <c r="A2189" t="inlineStr">
        <is>
          <t>Taylor Ann Thompson</t>
        </is>
      </c>
      <c r="B2189" t="n">
        <v>1</v>
      </c>
      <c r="C2189" t="n">
        <v>2007</v>
      </c>
      <c r="D2189" t="n">
        <v>2007</v>
      </c>
      <c r="E2189" t="inlineStr">
        <is>
          <t>The Bucket List</t>
        </is>
      </c>
      <c r="F2189" t="inlineStr">
        <is>
          <t>F0060</t>
        </is>
      </c>
    </row>
    <row r="2190">
      <c r="A2190" t="inlineStr">
        <is>
          <t>Stephen Schneider</t>
        </is>
      </c>
      <c r="B2190" t="n">
        <v>1</v>
      </c>
      <c r="C2190" t="n">
        <v>2018</v>
      </c>
      <c r="D2190" t="n">
        <v>2018</v>
      </c>
      <c r="E2190" t="inlineStr">
        <is>
          <t>Bumblebee</t>
        </is>
      </c>
      <c r="F2190" t="inlineStr">
        <is>
          <t>F0061</t>
        </is>
      </c>
    </row>
    <row r="2191">
      <c r="A2191" t="inlineStr">
        <is>
          <t>Pamela Adlon</t>
        </is>
      </c>
      <c r="B2191" t="n">
        <v>1</v>
      </c>
      <c r="C2191" t="n">
        <v>2018</v>
      </c>
      <c r="D2191" t="n">
        <v>2018</v>
      </c>
      <c r="E2191" t="inlineStr">
        <is>
          <t>Bumblebee</t>
        </is>
      </c>
      <c r="F2191" t="inlineStr">
        <is>
          <t>F0061</t>
        </is>
      </c>
    </row>
    <row r="2192">
      <c r="A2192" t="inlineStr">
        <is>
          <t>Len Cariou</t>
        </is>
      </c>
      <c r="B2192" t="n">
        <v>2</v>
      </c>
      <c r="C2192" t="n">
        <v>2013</v>
      </c>
      <c r="D2192" t="n">
        <v>2018</v>
      </c>
      <c r="E2192" t="inlineStr">
        <is>
          <t>Bumblebee, Prisoners</t>
        </is>
      </c>
      <c r="F2192" t="inlineStr">
        <is>
          <t>F0061, F0258</t>
        </is>
      </c>
    </row>
    <row r="2193">
      <c r="A2193" t="inlineStr">
        <is>
          <t>Glynn Turman</t>
        </is>
      </c>
      <c r="B2193" t="n">
        <v>2</v>
      </c>
      <c r="C2193" t="n">
        <v>2011</v>
      </c>
      <c r="D2193" t="n">
        <v>2018</v>
      </c>
      <c r="E2193" t="inlineStr">
        <is>
          <t>Bumblebee, Super 8</t>
        </is>
      </c>
      <c r="F2193" t="inlineStr">
        <is>
          <t>F0061, F0302</t>
        </is>
      </c>
    </row>
    <row r="2194">
      <c r="A2194" t="inlineStr">
        <is>
          <t>Angela Bassett</t>
        </is>
      </c>
      <c r="B2194" t="n">
        <v>5</v>
      </c>
      <c r="C2194" t="n">
        <v>2011</v>
      </c>
      <c r="D2194" t="n">
        <v>2025</v>
      </c>
      <c r="E2194" t="inlineStr">
        <is>
          <t>Bumblebee, Green Lantern, Mission: Impossible - Fallout, Mission: Impossible - The Final Reckoning, Olympus Has Fallen</t>
        </is>
      </c>
      <c r="F2194" t="inlineStr">
        <is>
          <t>F0061, F0128, F0226, F0228, F0240</t>
        </is>
      </c>
    </row>
    <row r="2195">
      <c r="A2195" t="inlineStr">
        <is>
          <t>Justin Theroux</t>
        </is>
      </c>
      <c r="B2195" t="n">
        <v>2</v>
      </c>
      <c r="C2195" t="n">
        <v>2017</v>
      </c>
      <c r="D2195" t="n">
        <v>2018</v>
      </c>
      <c r="E2195" t="inlineStr">
        <is>
          <t>Bumblebee, Star Wars: The Last Jedi</t>
        </is>
      </c>
      <c r="F2195" t="inlineStr">
        <is>
          <t>F0061, F0299</t>
        </is>
      </c>
    </row>
    <row r="2196">
      <c r="A2196" t="inlineStr">
        <is>
          <t>Gracie Dzienny</t>
        </is>
      </c>
      <c r="B2196" t="n">
        <v>1</v>
      </c>
      <c r="C2196" t="n">
        <v>2018</v>
      </c>
      <c r="D2196" t="n">
        <v>2018</v>
      </c>
      <c r="E2196" t="inlineStr">
        <is>
          <t>Bumblebee</t>
        </is>
      </c>
      <c r="F2196" t="inlineStr">
        <is>
          <t>F0061</t>
        </is>
      </c>
    </row>
    <row r="2197">
      <c r="A2197" t="inlineStr">
        <is>
          <t>Ricardo Hoyos</t>
        </is>
      </c>
      <c r="B2197" t="n">
        <v>1</v>
      </c>
      <c r="C2197" t="n">
        <v>2018</v>
      </c>
      <c r="D2197" t="n">
        <v>2018</v>
      </c>
      <c r="E2197" t="inlineStr">
        <is>
          <t>Bumblebee</t>
        </is>
      </c>
      <c r="F2197" t="inlineStr">
        <is>
          <t>F0061</t>
        </is>
      </c>
    </row>
    <row r="2198">
      <c r="A2198" t="inlineStr">
        <is>
          <t>Lenny Jacobson</t>
        </is>
      </c>
      <c r="B2198" t="n">
        <v>1</v>
      </c>
      <c r="C2198" t="n">
        <v>2018</v>
      </c>
      <c r="D2198" t="n">
        <v>2018</v>
      </c>
      <c r="E2198" t="inlineStr">
        <is>
          <t>Bumblebee</t>
        </is>
      </c>
      <c r="F2198" t="inlineStr">
        <is>
          <t>F0061</t>
        </is>
      </c>
    </row>
    <row r="2199">
      <c r="A2199" t="inlineStr">
        <is>
          <t>Megyn Price</t>
        </is>
      </c>
      <c r="B2199" t="n">
        <v>1</v>
      </c>
      <c r="C2199" t="n">
        <v>2018</v>
      </c>
      <c r="D2199" t="n">
        <v>2018</v>
      </c>
      <c r="E2199" t="inlineStr">
        <is>
          <t>Bumblebee</t>
        </is>
      </c>
      <c r="F2199" t="inlineStr">
        <is>
          <t>F0061</t>
        </is>
      </c>
    </row>
    <row r="2200">
      <c r="A2200" t="inlineStr">
        <is>
          <t>Kollin Holtz</t>
        </is>
      </c>
      <c r="B2200" t="n">
        <v>1</v>
      </c>
      <c r="C2200" t="n">
        <v>2018</v>
      </c>
      <c r="D2200" t="n">
        <v>2018</v>
      </c>
      <c r="E2200" t="inlineStr">
        <is>
          <t>Bumblebee</t>
        </is>
      </c>
      <c r="F2200" t="inlineStr">
        <is>
          <t>F0061</t>
        </is>
      </c>
    </row>
    <row r="2201">
      <c r="A2201" t="inlineStr">
        <is>
          <t>Fred Dryer</t>
        </is>
      </c>
      <c r="B2201" t="n">
        <v>1</v>
      </c>
      <c r="C2201" t="n">
        <v>2018</v>
      </c>
      <c r="D2201" t="n">
        <v>2018</v>
      </c>
      <c r="E2201" t="inlineStr">
        <is>
          <t>Bumblebee</t>
        </is>
      </c>
      <c r="F2201" t="inlineStr">
        <is>
          <t>F0061</t>
        </is>
      </c>
    </row>
    <row r="2202">
      <c r="A2202" t="inlineStr">
        <is>
          <t>Isabelle Ellingson</t>
        </is>
      </c>
      <c r="B2202" t="n">
        <v>1</v>
      </c>
      <c r="C2202" t="n">
        <v>2018</v>
      </c>
      <c r="D2202" t="n">
        <v>2018</v>
      </c>
      <c r="E2202" t="inlineStr">
        <is>
          <t>Bumblebee</t>
        </is>
      </c>
      <c r="F2202" t="inlineStr">
        <is>
          <t>F0061</t>
        </is>
      </c>
    </row>
    <row r="2203">
      <c r="A2203" t="inlineStr">
        <is>
          <t>Mika Kubo</t>
        </is>
      </c>
      <c r="B2203" t="n">
        <v>1</v>
      </c>
      <c r="C2203" t="n">
        <v>2018</v>
      </c>
      <c r="D2203" t="n">
        <v>2018</v>
      </c>
      <c r="E2203" t="inlineStr">
        <is>
          <t>Bumblebee</t>
        </is>
      </c>
      <c r="F2203" t="inlineStr">
        <is>
          <t>F0061</t>
        </is>
      </c>
    </row>
    <row r="2204">
      <c r="A2204" t="inlineStr">
        <is>
          <t>Felicia Stiles</t>
        </is>
      </c>
      <c r="B2204" t="n">
        <v>1</v>
      </c>
      <c r="C2204" t="n">
        <v>2018</v>
      </c>
      <c r="D2204" t="n">
        <v>2018</v>
      </c>
      <c r="E2204" t="inlineStr">
        <is>
          <t>Bumblebee</t>
        </is>
      </c>
      <c r="F2204" t="inlineStr">
        <is>
          <t>F0061</t>
        </is>
      </c>
    </row>
    <row r="2205">
      <c r="A2205" t="inlineStr">
        <is>
          <t>George Anagnostou</t>
        </is>
      </c>
      <c r="B2205" t="n">
        <v>1</v>
      </c>
      <c r="C2205" t="n">
        <v>2018</v>
      </c>
      <c r="D2205" t="n">
        <v>2018</v>
      </c>
      <c r="E2205" t="inlineStr">
        <is>
          <t>Bumblebee</t>
        </is>
      </c>
      <c r="F2205" t="inlineStr">
        <is>
          <t>F0061</t>
        </is>
      </c>
    </row>
    <row r="2206">
      <c r="A2206" t="inlineStr">
        <is>
          <t>Brandon Wardle</t>
        </is>
      </c>
      <c r="B2206" t="n">
        <v>1</v>
      </c>
      <c r="C2206" t="n">
        <v>2018</v>
      </c>
      <c r="D2206" t="n">
        <v>2018</v>
      </c>
      <c r="E2206" t="inlineStr">
        <is>
          <t>Bumblebee</t>
        </is>
      </c>
      <c r="F2206" t="inlineStr">
        <is>
          <t>F0061</t>
        </is>
      </c>
    </row>
    <row r="2207">
      <c r="A2207" t="inlineStr">
        <is>
          <t>Krystin Goodwin</t>
        </is>
      </c>
      <c r="B2207" t="n">
        <v>1</v>
      </c>
      <c r="C2207" t="n">
        <v>2018</v>
      </c>
      <c r="D2207" t="n">
        <v>2018</v>
      </c>
      <c r="E2207" t="inlineStr">
        <is>
          <t>Bumblebee</t>
        </is>
      </c>
      <c r="F2207" t="inlineStr">
        <is>
          <t>F0061</t>
        </is>
      </c>
    </row>
    <row r="2208">
      <c r="A2208" t="inlineStr">
        <is>
          <t>Nick Pilla</t>
        </is>
      </c>
      <c r="B2208" t="n">
        <v>1</v>
      </c>
      <c r="C2208" t="n">
        <v>2018</v>
      </c>
      <c r="D2208" t="n">
        <v>2018</v>
      </c>
      <c r="E2208" t="inlineStr">
        <is>
          <t>Bumblebee</t>
        </is>
      </c>
      <c r="F2208" t="inlineStr">
        <is>
          <t>F0061</t>
        </is>
      </c>
    </row>
    <row r="2209">
      <c r="A2209" t="inlineStr">
        <is>
          <t>Sachin Bhatt</t>
        </is>
      </c>
      <c r="B2209" t="n">
        <v>1</v>
      </c>
      <c r="C2209" t="n">
        <v>2018</v>
      </c>
      <c r="D2209" t="n">
        <v>2018</v>
      </c>
      <c r="E2209" t="inlineStr">
        <is>
          <t>Bumblebee</t>
        </is>
      </c>
      <c r="F2209" t="inlineStr">
        <is>
          <t>F0061</t>
        </is>
      </c>
    </row>
    <row r="2210">
      <c r="A2210" t="inlineStr">
        <is>
          <t>Tim Martin Gleason</t>
        </is>
      </c>
      <c r="B2210" t="n">
        <v>1</v>
      </c>
      <c r="C2210" t="n">
        <v>2018</v>
      </c>
      <c r="D2210" t="n">
        <v>2018</v>
      </c>
      <c r="E2210" t="inlineStr">
        <is>
          <t>Bumblebee</t>
        </is>
      </c>
      <c r="F2210" t="inlineStr">
        <is>
          <t>F0061</t>
        </is>
      </c>
    </row>
    <row r="2211">
      <c r="A2211" t="inlineStr">
        <is>
          <t>David Waters</t>
        </is>
      </c>
      <c r="B2211" t="n">
        <v>1</v>
      </c>
      <c r="C2211" t="n">
        <v>2018</v>
      </c>
      <c r="D2211" t="n">
        <v>2018</v>
      </c>
      <c r="E2211" t="inlineStr">
        <is>
          <t>Bumblebee</t>
        </is>
      </c>
      <c r="F2211" t="inlineStr">
        <is>
          <t>F0061</t>
        </is>
      </c>
    </row>
    <row r="2212">
      <c r="A2212" t="inlineStr">
        <is>
          <t>Antonio D. Charity</t>
        </is>
      </c>
      <c r="B2212" t="n">
        <v>1</v>
      </c>
      <c r="C2212" t="n">
        <v>2018</v>
      </c>
      <c r="D2212" t="n">
        <v>2018</v>
      </c>
      <c r="E2212" t="inlineStr">
        <is>
          <t>Bumblebee</t>
        </is>
      </c>
      <c r="F2212" t="inlineStr">
        <is>
          <t>F0061</t>
        </is>
      </c>
    </row>
    <row r="2213">
      <c r="A2213" t="inlineStr">
        <is>
          <t>David Warshofsky</t>
        </is>
      </c>
      <c r="B2213" t="n">
        <v>2</v>
      </c>
      <c r="C2213" t="n">
        <v>2008</v>
      </c>
      <c r="D2213" t="n">
        <v>2013</v>
      </c>
      <c r="E2213" t="inlineStr">
        <is>
          <t>Captain Phillips, Taken</t>
        </is>
      </c>
      <c r="F2213" t="inlineStr">
        <is>
          <t>F0062, F0306</t>
        </is>
      </c>
    </row>
    <row r="2214">
      <c r="A2214" t="inlineStr">
        <is>
          <t>Chris Mulkey</t>
        </is>
      </c>
      <c r="B2214" t="n">
        <v>1</v>
      </c>
      <c r="C2214" t="n">
        <v>2013</v>
      </c>
      <c r="D2214" t="n">
        <v>2013</v>
      </c>
      <c r="E2214" t="inlineStr">
        <is>
          <t>Captain Phillips</t>
        </is>
      </c>
      <c r="F2214" t="inlineStr">
        <is>
          <t>F0062</t>
        </is>
      </c>
    </row>
    <row r="2215">
      <c r="A2215" t="inlineStr">
        <is>
          <t>Omar Berdouni</t>
        </is>
      </c>
      <c r="B2215" t="n">
        <v>1</v>
      </c>
      <c r="C2215" t="n">
        <v>2013</v>
      </c>
      <c r="D2215" t="n">
        <v>2013</v>
      </c>
      <c r="E2215" t="inlineStr">
        <is>
          <t>Captain Phillips</t>
        </is>
      </c>
      <c r="F2215" t="inlineStr">
        <is>
          <t>F0062</t>
        </is>
      </c>
    </row>
    <row r="2216">
      <c r="A2216" t="inlineStr">
        <is>
          <t>Mohamed Ali</t>
        </is>
      </c>
      <c r="B2216" t="n">
        <v>1</v>
      </c>
      <c r="C2216" t="n">
        <v>2013</v>
      </c>
      <c r="D2216" t="n">
        <v>2013</v>
      </c>
      <c r="E2216" t="inlineStr">
        <is>
          <t>Captain Phillips</t>
        </is>
      </c>
      <c r="F2216" t="inlineStr">
        <is>
          <t>F0062</t>
        </is>
      </c>
    </row>
    <row r="2217">
      <c r="A2217" t="inlineStr">
        <is>
          <t>Issak Farah Samatar</t>
        </is>
      </c>
      <c r="B2217" t="n">
        <v>1</v>
      </c>
      <c r="C2217" t="n">
        <v>2013</v>
      </c>
      <c r="D2217" t="n">
        <v>2013</v>
      </c>
      <c r="E2217" t="inlineStr">
        <is>
          <t>Captain Phillips</t>
        </is>
      </c>
      <c r="F2217" t="inlineStr">
        <is>
          <t>F0062</t>
        </is>
      </c>
    </row>
    <row r="2218">
      <c r="A2218" t="inlineStr">
        <is>
          <t>Thomas Grube</t>
        </is>
      </c>
      <c r="B2218" t="n">
        <v>1</v>
      </c>
      <c r="C2218" t="n">
        <v>2013</v>
      </c>
      <c r="D2218" t="n">
        <v>2013</v>
      </c>
      <c r="E2218" t="inlineStr">
        <is>
          <t>Captain Phillips</t>
        </is>
      </c>
      <c r="F2218" t="inlineStr">
        <is>
          <t>F0062</t>
        </is>
      </c>
    </row>
    <row r="2219">
      <c r="A2219" t="inlineStr">
        <is>
          <t>Mark Holden</t>
        </is>
      </c>
      <c r="B2219" t="n">
        <v>1</v>
      </c>
      <c r="C2219" t="n">
        <v>2013</v>
      </c>
      <c r="D2219" t="n">
        <v>2013</v>
      </c>
      <c r="E2219" t="inlineStr">
        <is>
          <t>Captain Phillips</t>
        </is>
      </c>
      <c r="F2219" t="inlineStr">
        <is>
          <t>F0062</t>
        </is>
      </c>
    </row>
    <row r="2220">
      <c r="A2220" t="inlineStr">
        <is>
          <t>San Shella</t>
        </is>
      </c>
      <c r="B2220" t="n">
        <v>1</v>
      </c>
      <c r="C2220" t="n">
        <v>2013</v>
      </c>
      <c r="D2220" t="n">
        <v>2013</v>
      </c>
      <c r="E2220" t="inlineStr">
        <is>
          <t>Captain Phillips</t>
        </is>
      </c>
      <c r="F2220" t="inlineStr">
        <is>
          <t>F0062</t>
        </is>
      </c>
    </row>
    <row r="2221">
      <c r="A2221" t="inlineStr">
        <is>
          <t>Terence Anderson</t>
        </is>
      </c>
      <c r="B2221" t="n">
        <v>1</v>
      </c>
      <c r="C2221" t="n">
        <v>2013</v>
      </c>
      <c r="D2221" t="n">
        <v>2013</v>
      </c>
      <c r="E2221" t="inlineStr">
        <is>
          <t>Captain Phillips</t>
        </is>
      </c>
      <c r="F2221" t="inlineStr">
        <is>
          <t>F0062</t>
        </is>
      </c>
    </row>
    <row r="2222">
      <c r="A2222" t="inlineStr">
        <is>
          <t>Marc Anwar</t>
        </is>
      </c>
      <c r="B2222" t="n">
        <v>1</v>
      </c>
      <c r="C2222" t="n">
        <v>2013</v>
      </c>
      <c r="D2222" t="n">
        <v>2013</v>
      </c>
      <c r="E2222" t="inlineStr">
        <is>
          <t>Captain Phillips</t>
        </is>
      </c>
      <c r="F2222" t="inlineStr">
        <is>
          <t>F0062</t>
        </is>
      </c>
    </row>
    <row r="2223">
      <c r="A2223" t="inlineStr">
        <is>
          <t>David Webber</t>
        </is>
      </c>
      <c r="B2223" t="n">
        <v>1</v>
      </c>
      <c r="C2223" t="n">
        <v>2013</v>
      </c>
      <c r="D2223" t="n">
        <v>2013</v>
      </c>
      <c r="E2223" t="inlineStr">
        <is>
          <t>Captain Phillips</t>
        </is>
      </c>
      <c r="F2223" t="inlineStr">
        <is>
          <t>F0062</t>
        </is>
      </c>
    </row>
    <row r="2224">
      <c r="A2224" t="inlineStr">
        <is>
          <t>Amr El-Bayoumi</t>
        </is>
      </c>
      <c r="B2224" t="n">
        <v>1</v>
      </c>
      <c r="C2224" t="n">
        <v>2013</v>
      </c>
      <c r="D2224" t="n">
        <v>2013</v>
      </c>
      <c r="E2224" t="inlineStr">
        <is>
          <t>Captain Phillips</t>
        </is>
      </c>
      <c r="F2224" t="inlineStr">
        <is>
          <t>F0062</t>
        </is>
      </c>
    </row>
    <row r="2225">
      <c r="A2225" t="inlineStr">
        <is>
          <t>Kapil Arun</t>
        </is>
      </c>
      <c r="B2225" t="n">
        <v>1</v>
      </c>
      <c r="C2225" t="n">
        <v>2013</v>
      </c>
      <c r="D2225" t="n">
        <v>2013</v>
      </c>
      <c r="E2225" t="inlineStr">
        <is>
          <t>Captain Phillips</t>
        </is>
      </c>
      <c r="F2225" t="inlineStr">
        <is>
          <t>F0062</t>
        </is>
      </c>
    </row>
    <row r="2226">
      <c r="A2226" t="inlineStr">
        <is>
          <t>Louis Mahoney</t>
        </is>
      </c>
      <c r="B2226" t="n">
        <v>1</v>
      </c>
      <c r="C2226" t="n">
        <v>2013</v>
      </c>
      <c r="D2226" t="n">
        <v>2013</v>
      </c>
      <c r="E2226" t="inlineStr">
        <is>
          <t>Captain Phillips</t>
        </is>
      </c>
      <c r="F2226" t="inlineStr">
        <is>
          <t>F0062</t>
        </is>
      </c>
    </row>
    <row r="2227">
      <c r="A2227" t="inlineStr">
        <is>
          <t>Peter Landi</t>
        </is>
      </c>
      <c r="B2227" t="n">
        <v>1</v>
      </c>
      <c r="C2227" t="n">
        <v>2013</v>
      </c>
      <c r="D2227" t="n">
        <v>2013</v>
      </c>
      <c r="E2227" t="inlineStr">
        <is>
          <t>Captain Phillips</t>
        </is>
      </c>
      <c r="F2227" t="inlineStr">
        <is>
          <t>F0062</t>
        </is>
      </c>
    </row>
    <row r="2228">
      <c r="A2228" t="inlineStr">
        <is>
          <t>Angus MacInnes</t>
        </is>
      </c>
      <c r="B2228" t="n">
        <v>2</v>
      </c>
      <c r="C2228" t="n">
        <v>1977</v>
      </c>
      <c r="D2228" t="n">
        <v>2013</v>
      </c>
      <c r="E2228" t="inlineStr">
        <is>
          <t>Captain Phillips, Star Wars: Episode IV – A New Hope</t>
        </is>
      </c>
      <c r="F2228" t="inlineStr">
        <is>
          <t>F0062, F0295</t>
        </is>
      </c>
    </row>
    <row r="2229">
      <c r="A2229" t="inlineStr">
        <is>
          <t>Ian Ralph</t>
        </is>
      </c>
      <c r="B2229" t="n">
        <v>1</v>
      </c>
      <c r="C2229" t="n">
        <v>2013</v>
      </c>
      <c r="D2229" t="n">
        <v>2013</v>
      </c>
      <c r="E2229" t="inlineStr">
        <is>
          <t>Captain Phillips</t>
        </is>
      </c>
      <c r="F2229" t="inlineStr">
        <is>
          <t>F0062</t>
        </is>
      </c>
    </row>
    <row r="2230">
      <c r="A2230" t="inlineStr">
        <is>
          <t>Kristian Hjordt Beck</t>
        </is>
      </c>
      <c r="B2230" t="n">
        <v>1</v>
      </c>
      <c r="C2230" t="n">
        <v>2013</v>
      </c>
      <c r="D2230" t="n">
        <v>2013</v>
      </c>
      <c r="E2230" t="inlineStr">
        <is>
          <t>Captain Phillips</t>
        </is>
      </c>
      <c r="F2230" t="inlineStr">
        <is>
          <t>F0062</t>
        </is>
      </c>
    </row>
    <row r="2231">
      <c r="A2231" t="inlineStr">
        <is>
          <t>Kurt Larsen</t>
        </is>
      </c>
      <c r="B2231" t="n">
        <v>1</v>
      </c>
      <c r="C2231" t="n">
        <v>2013</v>
      </c>
      <c r="D2231" t="n">
        <v>2013</v>
      </c>
      <c r="E2231" t="inlineStr">
        <is>
          <t>Captain Phillips</t>
        </is>
      </c>
      <c r="F2231" t="inlineStr">
        <is>
          <t>F0062</t>
        </is>
      </c>
    </row>
    <row r="2232">
      <c r="A2232" t="inlineStr">
        <is>
          <t>Malin Akerman</t>
        </is>
      </c>
      <c r="B2232" t="n">
        <v>1</v>
      </c>
      <c r="C2232" t="n">
        <v>2011</v>
      </c>
      <c r="D2232" t="n">
        <v>2011</v>
      </c>
      <c r="E2232" t="inlineStr">
        <is>
          <t>Catch.44</t>
        </is>
      </c>
      <c r="F2232" t="inlineStr">
        <is>
          <t>F0063</t>
        </is>
      </c>
    </row>
    <row r="2233">
      <c r="A2233" t="inlineStr">
        <is>
          <t>Michael Rosenbaum</t>
        </is>
      </c>
      <c r="B2233" t="n">
        <v>1</v>
      </c>
      <c r="C2233" t="n">
        <v>2011</v>
      </c>
      <c r="D2233" t="n">
        <v>2011</v>
      </c>
      <c r="E2233" t="inlineStr">
        <is>
          <t>Catch.44</t>
        </is>
      </c>
      <c r="F2233" t="inlineStr">
        <is>
          <t>F0063</t>
        </is>
      </c>
    </row>
    <row r="2234">
      <c r="A2234" t="inlineStr">
        <is>
          <t>Edrick Browne</t>
        </is>
      </c>
      <c r="B2234" t="n">
        <v>2</v>
      </c>
      <c r="C2234" t="n">
        <v>2011</v>
      </c>
      <c r="D2234" t="n">
        <v>2013</v>
      </c>
      <c r="E2234" t="inlineStr">
        <is>
          <t>Catch.44, Olympus Has Fallen</t>
        </is>
      </c>
      <c r="F2234" t="inlineStr">
        <is>
          <t>F0063, F0240</t>
        </is>
      </c>
    </row>
    <row r="2235">
      <c r="A2235" t="inlineStr">
        <is>
          <t>Jimmy Lee Jr.</t>
        </is>
      </c>
      <c r="B2235" t="n">
        <v>1</v>
      </c>
      <c r="C2235" t="n">
        <v>2011</v>
      </c>
      <c r="D2235" t="n">
        <v>2011</v>
      </c>
      <c r="E2235" t="inlineStr">
        <is>
          <t>Catch.44</t>
        </is>
      </c>
      <c r="F2235" t="inlineStr">
        <is>
          <t>F0063</t>
        </is>
      </c>
    </row>
    <row r="2236">
      <c r="A2236" t="inlineStr">
        <is>
          <t>PJ Marshall</t>
        </is>
      </c>
      <c r="B2236" t="n">
        <v>1</v>
      </c>
      <c r="C2236" t="n">
        <v>2011</v>
      </c>
      <c r="D2236" t="n">
        <v>2011</v>
      </c>
      <c r="E2236" t="inlineStr">
        <is>
          <t>Catch.44</t>
        </is>
      </c>
      <c r="F2236" t="inlineStr">
        <is>
          <t>F0063</t>
        </is>
      </c>
    </row>
    <row r="2237">
      <c r="A2237" t="inlineStr">
        <is>
          <t>Dan Silver</t>
        </is>
      </c>
      <c r="B2237" t="n">
        <v>1</v>
      </c>
      <c r="C2237" t="n">
        <v>2011</v>
      </c>
      <c r="D2237" t="n">
        <v>2011</v>
      </c>
      <c r="E2237" t="inlineStr">
        <is>
          <t>Catch.44</t>
        </is>
      </c>
      <c r="F2237" t="inlineStr">
        <is>
          <t>F0063</t>
        </is>
      </c>
    </row>
    <row r="2238">
      <c r="A2238" t="inlineStr">
        <is>
          <t>Jill Stokesberry</t>
        </is>
      </c>
      <c r="B2238" t="n">
        <v>1</v>
      </c>
      <c r="C2238" t="n">
        <v>2011</v>
      </c>
      <c r="D2238" t="n">
        <v>2011</v>
      </c>
      <c r="E2238" t="inlineStr">
        <is>
          <t>Catch.44</t>
        </is>
      </c>
      <c r="F2238" t="inlineStr">
        <is>
          <t>F0063</t>
        </is>
      </c>
    </row>
    <row r="2239">
      <c r="A2239" t="inlineStr">
        <is>
          <t>Amanda Bosley</t>
        </is>
      </c>
      <c r="B2239" t="n">
        <v>1</v>
      </c>
      <c r="C2239" t="n">
        <v>2011</v>
      </c>
      <c r="D2239" t="n">
        <v>2011</v>
      </c>
      <c r="E2239" t="inlineStr">
        <is>
          <t>Catch.44</t>
        </is>
      </c>
      <c r="F2239" t="inlineStr">
        <is>
          <t>F0063</t>
        </is>
      </c>
    </row>
    <row r="2240">
      <c r="A2240" t="inlineStr">
        <is>
          <t>Kevin Beard</t>
        </is>
      </c>
      <c r="B2240" t="n">
        <v>1</v>
      </c>
      <c r="C2240" t="n">
        <v>2011</v>
      </c>
      <c r="D2240" t="n">
        <v>2011</v>
      </c>
      <c r="E2240" t="inlineStr">
        <is>
          <t>Catch.44</t>
        </is>
      </c>
      <c r="F2240" t="inlineStr">
        <is>
          <t>F0063</t>
        </is>
      </c>
    </row>
    <row r="2241">
      <c r="A2241" t="inlineStr">
        <is>
          <t>James Brolin</t>
        </is>
      </c>
      <c r="B2241" t="n">
        <v>2</v>
      </c>
      <c r="C2241" t="n">
        <v>2002</v>
      </c>
      <c r="D2241" t="n">
        <v>2010</v>
      </c>
      <c r="E2241" t="inlineStr">
        <is>
          <t>Catch Me If You Can, True Grit</t>
        </is>
      </c>
      <c r="F2241" t="inlineStr">
        <is>
          <t>F0064, F0325</t>
        </is>
      </c>
    </row>
    <row r="2242">
      <c r="A2242" t="inlineStr">
        <is>
          <t>Steve Eastin</t>
        </is>
      </c>
      <c r="B2242" t="n">
        <v>2</v>
      </c>
      <c r="C2242" t="n">
        <v>1997</v>
      </c>
      <c r="D2242" t="n">
        <v>2002</v>
      </c>
      <c r="E2242" t="inlineStr">
        <is>
          <t>Catch Me If You Can, Con Air</t>
        </is>
      </c>
      <c r="F2242" t="inlineStr">
        <is>
          <t>F0064, F0068</t>
        </is>
      </c>
    </row>
    <row r="2243">
      <c r="A2243" t="inlineStr">
        <is>
          <t>John Finn</t>
        </is>
      </c>
      <c r="B2243" t="n">
        <v>1</v>
      </c>
      <c r="C2243" t="n">
        <v>2002</v>
      </c>
      <c r="D2243" t="n">
        <v>2002</v>
      </c>
      <c r="E2243" t="inlineStr">
        <is>
          <t>Catch Me If You Can</t>
        </is>
      </c>
      <c r="F2243" t="inlineStr">
        <is>
          <t>F0064</t>
        </is>
      </c>
    </row>
    <row r="2244">
      <c r="A2244" t="inlineStr">
        <is>
          <t>Jennifer Garner</t>
        </is>
      </c>
      <c r="B2244" t="n">
        <v>3</v>
      </c>
      <c r="C2244" t="n">
        <v>2001</v>
      </c>
      <c r="D2244" t="n">
        <v>2024</v>
      </c>
      <c r="E2244" t="inlineStr">
        <is>
          <t>Catch Me If You Can, Deadpool &amp; Wolverine, Pearl Harbor</t>
        </is>
      </c>
      <c r="F2244" t="inlineStr">
        <is>
          <t>F0064, F0078, F0246</t>
        </is>
      </c>
    </row>
    <row r="2245">
      <c r="A2245" t="inlineStr">
        <is>
          <t>Nancy Lenehan</t>
        </is>
      </c>
      <c r="B2245" t="n">
        <v>1</v>
      </c>
      <c r="C2245" t="n">
        <v>2002</v>
      </c>
      <c r="D2245" t="n">
        <v>2002</v>
      </c>
      <c r="E2245" t="inlineStr">
        <is>
          <t>Catch Me If You Can</t>
        </is>
      </c>
      <c r="F2245" t="inlineStr">
        <is>
          <t>F0064</t>
        </is>
      </c>
    </row>
    <row r="2246">
      <c r="A2246" t="inlineStr">
        <is>
          <t>Ellen Pompeo</t>
        </is>
      </c>
      <c r="B2246" t="n">
        <v>1</v>
      </c>
      <c r="C2246" t="n">
        <v>2002</v>
      </c>
      <c r="D2246" t="n">
        <v>2002</v>
      </c>
      <c r="E2246" t="inlineStr">
        <is>
          <t>Catch Me If You Can</t>
        </is>
      </c>
      <c r="F2246" t="inlineStr">
        <is>
          <t>F0064</t>
        </is>
      </c>
    </row>
    <row r="2247">
      <c r="A2247" t="inlineStr">
        <is>
          <t>Guy Thauvette</t>
        </is>
      </c>
      <c r="B2247" t="n">
        <v>1</v>
      </c>
      <c r="C2247" t="n">
        <v>2002</v>
      </c>
      <c r="D2247" t="n">
        <v>2002</v>
      </c>
      <c r="E2247" t="inlineStr">
        <is>
          <t>Catch Me If You Can</t>
        </is>
      </c>
      <c r="F2247" t="inlineStr">
        <is>
          <t>F0064</t>
        </is>
      </c>
    </row>
    <row r="2248">
      <c r="A2248" t="inlineStr">
        <is>
          <t>Candice Azzara</t>
        </is>
      </c>
      <c r="B2248" t="n">
        <v>1</v>
      </c>
      <c r="C2248" t="n">
        <v>2002</v>
      </c>
      <c r="D2248" t="n">
        <v>2002</v>
      </c>
      <c r="E2248" t="inlineStr">
        <is>
          <t>Catch Me If You Can</t>
        </is>
      </c>
      <c r="F2248" t="inlineStr">
        <is>
          <t>F0064</t>
        </is>
      </c>
    </row>
    <row r="2249">
      <c r="A2249" t="inlineStr">
        <is>
          <t>Matthew Kimbrough</t>
        </is>
      </c>
      <c r="B2249" t="n">
        <v>1</v>
      </c>
      <c r="C2249" t="n">
        <v>2002</v>
      </c>
      <c r="D2249" t="n">
        <v>2002</v>
      </c>
      <c r="E2249" t="inlineStr">
        <is>
          <t>Catch Me If You Can</t>
        </is>
      </c>
      <c r="F2249" t="inlineStr">
        <is>
          <t>F0064</t>
        </is>
      </c>
    </row>
    <row r="2250">
      <c r="A2250" t="inlineStr">
        <is>
          <t>Joshua Boyd</t>
        </is>
      </c>
      <c r="B2250" t="n">
        <v>1</v>
      </c>
      <c r="C2250" t="n">
        <v>2002</v>
      </c>
      <c r="D2250" t="n">
        <v>2002</v>
      </c>
      <c r="E2250" t="inlineStr">
        <is>
          <t>Catch Me If You Can</t>
        </is>
      </c>
      <c r="F2250" t="inlineStr">
        <is>
          <t>F0064</t>
        </is>
      </c>
    </row>
    <row r="2251">
      <c r="A2251" t="inlineStr">
        <is>
          <t>Kaitlin Doubleday</t>
        </is>
      </c>
      <c r="B2251" t="n">
        <v>1</v>
      </c>
      <c r="C2251" t="n">
        <v>2002</v>
      </c>
      <c r="D2251" t="n">
        <v>2002</v>
      </c>
      <c r="E2251" t="inlineStr">
        <is>
          <t>Catch Me If You Can</t>
        </is>
      </c>
      <c r="F2251" t="inlineStr">
        <is>
          <t>F0064</t>
        </is>
      </c>
    </row>
    <row r="2252">
      <c r="A2252" t="inlineStr">
        <is>
          <t>Kelly McNair</t>
        </is>
      </c>
      <c r="B2252" t="n">
        <v>1</v>
      </c>
      <c r="C2252" t="n">
        <v>2002</v>
      </c>
      <c r="D2252" t="n">
        <v>2002</v>
      </c>
      <c r="E2252" t="inlineStr">
        <is>
          <t>Catch Me If You Can</t>
        </is>
      </c>
      <c r="F2252" t="inlineStr">
        <is>
          <t>F0064</t>
        </is>
      </c>
    </row>
    <row r="2253">
      <c r="A2253" t="inlineStr">
        <is>
          <t>Jonathan Dankner</t>
        </is>
      </c>
      <c r="B2253" t="n">
        <v>1</v>
      </c>
      <c r="C2253" t="n">
        <v>2002</v>
      </c>
      <c r="D2253" t="n">
        <v>2002</v>
      </c>
      <c r="E2253" t="inlineStr">
        <is>
          <t>Catch Me If You Can</t>
        </is>
      </c>
      <c r="F2253" t="inlineStr">
        <is>
          <t>F0064</t>
        </is>
      </c>
    </row>
    <row r="2254">
      <c r="A2254" t="inlineStr">
        <is>
          <t>Maggie Mellin</t>
        </is>
      </c>
      <c r="B2254" t="n">
        <v>1</v>
      </c>
      <c r="C2254" t="n">
        <v>2002</v>
      </c>
      <c r="D2254" t="n">
        <v>2002</v>
      </c>
      <c r="E2254" t="inlineStr">
        <is>
          <t>Catch Me If You Can</t>
        </is>
      </c>
      <c r="F2254" t="inlineStr">
        <is>
          <t>F0064</t>
        </is>
      </c>
    </row>
    <row r="2255">
      <c r="A2255" t="inlineStr">
        <is>
          <t>Thomas Kopache</t>
        </is>
      </c>
      <c r="B2255" t="n">
        <v>1</v>
      </c>
      <c r="C2255" t="n">
        <v>2002</v>
      </c>
      <c r="D2255" t="n">
        <v>2002</v>
      </c>
      <c r="E2255" t="inlineStr">
        <is>
          <t>Catch Me If You Can</t>
        </is>
      </c>
      <c r="F2255" t="inlineStr">
        <is>
          <t>F0064</t>
        </is>
      </c>
    </row>
    <row r="2256">
      <c r="A2256" t="inlineStr">
        <is>
          <t>Margaret Travolta</t>
        </is>
      </c>
      <c r="B2256" t="n">
        <v>1</v>
      </c>
      <c r="C2256" t="n">
        <v>2002</v>
      </c>
      <c r="D2256" t="n">
        <v>2002</v>
      </c>
      <c r="E2256" t="inlineStr">
        <is>
          <t>Catch Me If You Can</t>
        </is>
      </c>
      <c r="F2256" t="inlineStr">
        <is>
          <t>F0064</t>
        </is>
      </c>
    </row>
    <row r="2257">
      <c r="A2257" t="inlineStr">
        <is>
          <t>Jimmie F. Skaggs</t>
        </is>
      </c>
      <c r="B2257" t="n">
        <v>1</v>
      </c>
      <c r="C2257" t="n">
        <v>2002</v>
      </c>
      <c r="D2257" t="n">
        <v>2002</v>
      </c>
      <c r="E2257" t="inlineStr">
        <is>
          <t>Catch Me If You Can</t>
        </is>
      </c>
      <c r="F2257" t="inlineStr">
        <is>
          <t>F0064</t>
        </is>
      </c>
    </row>
    <row r="2258">
      <c r="A2258" t="inlineStr">
        <is>
          <t>Alex Hyde-White</t>
        </is>
      </c>
      <c r="B2258" t="n">
        <v>1</v>
      </c>
      <c r="C2258" t="n">
        <v>2002</v>
      </c>
      <c r="D2258" t="n">
        <v>2002</v>
      </c>
      <c r="E2258" t="inlineStr">
        <is>
          <t>Catch Me If You Can</t>
        </is>
      </c>
      <c r="F2258" t="inlineStr">
        <is>
          <t>F0064</t>
        </is>
      </c>
    </row>
    <row r="2259">
      <c r="A2259" t="inlineStr">
        <is>
          <t>Lilyan Chauvin</t>
        </is>
      </c>
      <c r="B2259" t="n">
        <v>1</v>
      </c>
      <c r="C2259" t="n">
        <v>2002</v>
      </c>
      <c r="D2259" t="n">
        <v>2002</v>
      </c>
      <c r="E2259" t="inlineStr">
        <is>
          <t>Catch Me If You Can</t>
        </is>
      </c>
      <c r="F2259" t="inlineStr">
        <is>
          <t>F0064</t>
        </is>
      </c>
    </row>
    <row r="2260">
      <c r="A2260" t="inlineStr">
        <is>
          <t>Eugene Fleming</t>
        </is>
      </c>
      <c r="B2260" t="n">
        <v>1</v>
      </c>
      <c r="C2260" t="n">
        <v>2002</v>
      </c>
      <c r="D2260" t="n">
        <v>2002</v>
      </c>
      <c r="E2260" t="inlineStr">
        <is>
          <t>Catch Me If You Can</t>
        </is>
      </c>
      <c r="F2260" t="inlineStr">
        <is>
          <t>F0064</t>
        </is>
      </c>
    </row>
    <row r="2261">
      <c r="A2261" t="inlineStr">
        <is>
          <t>Dustin Hoffman</t>
        </is>
      </c>
      <c r="B2261" t="n">
        <v>1</v>
      </c>
      <c r="C2261" t="n">
        <v>2014</v>
      </c>
      <c r="D2261" t="n">
        <v>2014</v>
      </c>
      <c r="E2261" t="inlineStr">
        <is>
          <t>Chef</t>
        </is>
      </c>
      <c r="F2261" t="inlineStr">
        <is>
          <t>F0065</t>
        </is>
      </c>
    </row>
    <row r="2262">
      <c r="A2262" t="inlineStr">
        <is>
          <t>Sofía Vergara</t>
        </is>
      </c>
      <c r="B2262" t="n">
        <v>2</v>
      </c>
      <c r="C2262" t="n">
        <v>2011</v>
      </c>
      <c r="D2262" t="n">
        <v>2014</v>
      </c>
      <c r="E2262" t="inlineStr">
        <is>
          <t>Chef, Happy Feet Two</t>
        </is>
      </c>
      <c r="F2262" t="inlineStr">
        <is>
          <t>F0065, F0145</t>
        </is>
      </c>
    </row>
    <row r="2263">
      <c r="A2263" t="inlineStr">
        <is>
          <t>Amy Sedaris</t>
        </is>
      </c>
      <c r="B2263" t="n">
        <v>2</v>
      </c>
      <c r="C2263" t="n">
        <v>2003</v>
      </c>
      <c r="D2263" t="n">
        <v>2014</v>
      </c>
      <c r="E2263" t="inlineStr">
        <is>
          <t>Chef, Elf</t>
        </is>
      </c>
      <c r="F2263" t="inlineStr">
        <is>
          <t>F0065, F0092</t>
        </is>
      </c>
    </row>
    <row r="2264">
      <c r="A2264" t="inlineStr">
        <is>
          <t>Russell Peters</t>
        </is>
      </c>
      <c r="B2264" t="n">
        <v>2</v>
      </c>
      <c r="C2264" t="n">
        <v>2011</v>
      </c>
      <c r="D2264" t="n">
        <v>2014</v>
      </c>
      <c r="E2264" t="inlineStr">
        <is>
          <t>Chef, Source Code</t>
        </is>
      </c>
      <c r="F2264" t="inlineStr">
        <is>
          <t>F0065, F0285</t>
        </is>
      </c>
    </row>
    <row r="2265">
      <c r="A2265" t="inlineStr">
        <is>
          <t>Chase Grimm</t>
        </is>
      </c>
      <c r="B2265" t="n">
        <v>1</v>
      </c>
      <c r="C2265" t="n">
        <v>2014</v>
      </c>
      <c r="D2265" t="n">
        <v>2014</v>
      </c>
      <c r="E2265" t="inlineStr">
        <is>
          <t>Chef</t>
        </is>
      </c>
      <c r="F2265" t="inlineStr">
        <is>
          <t>F0065</t>
        </is>
      </c>
    </row>
    <row r="2266">
      <c r="A2266" t="inlineStr">
        <is>
          <t>Will Schutze</t>
        </is>
      </c>
      <c r="B2266" t="n">
        <v>1</v>
      </c>
      <c r="C2266" t="n">
        <v>2014</v>
      </c>
      <c r="D2266" t="n">
        <v>2014</v>
      </c>
      <c r="E2266" t="inlineStr">
        <is>
          <t>Chef</t>
        </is>
      </c>
      <c r="F2266" t="inlineStr">
        <is>
          <t>F0065</t>
        </is>
      </c>
    </row>
    <row r="2267">
      <c r="A2267" t="inlineStr">
        <is>
          <t>Gloria Sandoval</t>
        </is>
      </c>
      <c r="B2267" t="n">
        <v>1</v>
      </c>
      <c r="C2267" t="n">
        <v>2014</v>
      </c>
      <c r="D2267" t="n">
        <v>2014</v>
      </c>
      <c r="E2267" t="inlineStr">
        <is>
          <t>Chef</t>
        </is>
      </c>
      <c r="F2267" t="inlineStr">
        <is>
          <t>F0065</t>
        </is>
      </c>
    </row>
    <row r="2268">
      <c r="A2268" t="inlineStr">
        <is>
          <t>Jose C. Hernandez</t>
        </is>
      </c>
      <c r="B2268" t="n">
        <v>1</v>
      </c>
      <c r="C2268" t="n">
        <v>2014</v>
      </c>
      <c r="D2268" t="n">
        <v>2014</v>
      </c>
      <c r="E2268" t="inlineStr">
        <is>
          <t>Chef</t>
        </is>
      </c>
      <c r="F2268" t="inlineStr">
        <is>
          <t>F0065</t>
        </is>
      </c>
    </row>
    <row r="2269">
      <c r="A2269" t="inlineStr">
        <is>
          <t>Alberto Salas</t>
        </is>
      </c>
      <c r="B2269" t="n">
        <v>1</v>
      </c>
      <c r="C2269" t="n">
        <v>2014</v>
      </c>
      <c r="D2269" t="n">
        <v>2014</v>
      </c>
      <c r="E2269" t="inlineStr">
        <is>
          <t>Chef</t>
        </is>
      </c>
      <c r="F2269" t="inlineStr">
        <is>
          <t>F0065</t>
        </is>
      </c>
    </row>
    <row r="2270">
      <c r="A2270" t="inlineStr">
        <is>
          <t>Alfredo Ortiz</t>
        </is>
      </c>
      <c r="B2270" t="n">
        <v>1</v>
      </c>
      <c r="C2270" t="n">
        <v>2014</v>
      </c>
      <c r="D2270" t="n">
        <v>2014</v>
      </c>
      <c r="E2270" t="inlineStr">
        <is>
          <t>Chef</t>
        </is>
      </c>
      <c r="F2270" t="inlineStr">
        <is>
          <t>F0065</t>
        </is>
      </c>
    </row>
    <row r="2271">
      <c r="A2271" t="inlineStr">
        <is>
          <t>Daniel Palacio</t>
        </is>
      </c>
      <c r="B2271" t="n">
        <v>1</v>
      </c>
      <c r="C2271" t="n">
        <v>2014</v>
      </c>
      <c r="D2271" t="n">
        <v>2014</v>
      </c>
      <c r="E2271" t="inlineStr">
        <is>
          <t>Chef</t>
        </is>
      </c>
      <c r="F2271" t="inlineStr">
        <is>
          <t>F0065</t>
        </is>
      </c>
    </row>
    <row r="2272">
      <c r="A2272" t="inlineStr">
        <is>
          <t>Mauricio Del Monte</t>
        </is>
      </c>
      <c r="B2272" t="n">
        <v>1</v>
      </c>
      <c r="C2272" t="n">
        <v>2014</v>
      </c>
      <c r="D2272" t="n">
        <v>2014</v>
      </c>
      <c r="E2272" t="inlineStr">
        <is>
          <t>Chef</t>
        </is>
      </c>
      <c r="F2272" t="inlineStr">
        <is>
          <t>F0065</t>
        </is>
      </c>
    </row>
    <row r="2273">
      <c r="A2273" t="inlineStr">
        <is>
          <t>Leonardo Da Nilo</t>
        </is>
      </c>
      <c r="B2273" t="n">
        <v>1</v>
      </c>
      <c r="C2273" t="n">
        <v>2014</v>
      </c>
      <c r="D2273" t="n">
        <v>2014</v>
      </c>
      <c r="E2273" t="inlineStr">
        <is>
          <t>Chef</t>
        </is>
      </c>
      <c r="F2273" t="inlineStr">
        <is>
          <t>F0065</t>
        </is>
      </c>
    </row>
    <row r="2274">
      <c r="A2274" t="inlineStr">
        <is>
          <t>Nili Fuller</t>
        </is>
      </c>
      <c r="B2274" t="n">
        <v>1</v>
      </c>
      <c r="C2274" t="n">
        <v>2014</v>
      </c>
      <c r="D2274" t="n">
        <v>2014</v>
      </c>
      <c r="E2274" t="inlineStr">
        <is>
          <t>Chef</t>
        </is>
      </c>
      <c r="F2274" t="inlineStr">
        <is>
          <t>F0065</t>
        </is>
      </c>
    </row>
    <row r="2275">
      <c r="A2275" t="inlineStr">
        <is>
          <t>Charles Lao</t>
        </is>
      </c>
      <c r="B2275" t="n">
        <v>1</v>
      </c>
      <c r="C2275" t="n">
        <v>2014</v>
      </c>
      <c r="D2275" t="n">
        <v>2014</v>
      </c>
      <c r="E2275" t="inlineStr">
        <is>
          <t>Chef</t>
        </is>
      </c>
      <c r="F2275" t="inlineStr">
        <is>
          <t>F0065</t>
        </is>
      </c>
    </row>
    <row r="2276">
      <c r="A2276" t="inlineStr">
        <is>
          <t>Benjamin Jacob</t>
        </is>
      </c>
      <c r="B2276" t="n">
        <v>1</v>
      </c>
      <c r="C2276" t="n">
        <v>2014</v>
      </c>
      <c r="D2276" t="n">
        <v>2014</v>
      </c>
      <c r="E2276" t="inlineStr">
        <is>
          <t>Chef</t>
        </is>
      </c>
      <c r="F2276" t="inlineStr">
        <is>
          <t>F0065</t>
        </is>
      </c>
    </row>
    <row r="2277">
      <c r="A2277" t="inlineStr">
        <is>
          <t>Aaron Franklin</t>
        </is>
      </c>
      <c r="B2277" t="n">
        <v>1</v>
      </c>
      <c r="C2277" t="n">
        <v>2014</v>
      </c>
      <c r="D2277" t="n">
        <v>2014</v>
      </c>
      <c r="E2277" t="inlineStr">
        <is>
          <t>Chef</t>
        </is>
      </c>
      <c r="F2277" t="inlineStr">
        <is>
          <t>F0065</t>
        </is>
      </c>
    </row>
    <row r="2278">
      <c r="A2278" t="inlineStr">
        <is>
          <t>Gary Clark Jr.</t>
        </is>
      </c>
      <c r="B2278" t="n">
        <v>1</v>
      </c>
      <c r="C2278" t="n">
        <v>2014</v>
      </c>
      <c r="D2278" t="n">
        <v>2014</v>
      </c>
      <c r="E2278" t="inlineStr">
        <is>
          <t>Chef</t>
        </is>
      </c>
      <c r="F2278" t="inlineStr">
        <is>
          <t>F0065</t>
        </is>
      </c>
    </row>
    <row r="2279">
      <c r="A2279" t="inlineStr">
        <is>
          <t>Roy Choi</t>
        </is>
      </c>
      <c r="B2279" t="n">
        <v>1</v>
      </c>
      <c r="C2279" t="n">
        <v>2014</v>
      </c>
      <c r="D2279" t="n">
        <v>2014</v>
      </c>
      <c r="E2279" t="inlineStr">
        <is>
          <t>Chef</t>
        </is>
      </c>
      <c r="F2279" t="inlineStr">
        <is>
          <t>F0065</t>
        </is>
      </c>
    </row>
    <row r="2280">
      <c r="A2280" t="inlineStr">
        <is>
          <t>Americus Abesamis</t>
        </is>
      </c>
      <c r="B2280" t="n">
        <v>1</v>
      </c>
      <c r="C2280" t="n">
        <v>2014</v>
      </c>
      <c r="D2280" t="n">
        <v>2014</v>
      </c>
      <c r="E2280" t="inlineStr">
        <is>
          <t>Chef</t>
        </is>
      </c>
      <c r="F2280" t="inlineStr">
        <is>
          <t>F0065</t>
        </is>
      </c>
    </row>
    <row r="2281">
      <c r="A2281" t="inlineStr">
        <is>
          <t>Paul Aldanée</t>
        </is>
      </c>
      <c r="B2281" t="n">
        <v>1</v>
      </c>
      <c r="C2281" t="n">
        <v>2014</v>
      </c>
      <c r="D2281" t="n">
        <v>2014</v>
      </c>
      <c r="E2281" t="inlineStr">
        <is>
          <t>Chef</t>
        </is>
      </c>
      <c r="F2281" t="inlineStr">
        <is>
          <t>F0065</t>
        </is>
      </c>
    </row>
    <row r="2282">
      <c r="A2282" t="inlineStr">
        <is>
          <t>Andrew Anderson</t>
        </is>
      </c>
      <c r="B2282" t="n">
        <v>1</v>
      </c>
      <c r="C2282" t="n">
        <v>2014</v>
      </c>
      <c r="D2282" t="n">
        <v>2014</v>
      </c>
      <c r="E2282" t="inlineStr">
        <is>
          <t>Chef</t>
        </is>
      </c>
      <c r="F2282" t="inlineStr">
        <is>
          <t>F0065</t>
        </is>
      </c>
    </row>
    <row r="2283">
      <c r="A2283" t="inlineStr">
        <is>
          <t>Maria F. Blanco</t>
        </is>
      </c>
      <c r="B2283" t="n">
        <v>1</v>
      </c>
      <c r="C2283" t="n">
        <v>2014</v>
      </c>
      <c r="D2283" t="n">
        <v>2014</v>
      </c>
      <c r="E2283" t="inlineStr">
        <is>
          <t>Chef</t>
        </is>
      </c>
      <c r="F2283" t="inlineStr">
        <is>
          <t>F0065</t>
        </is>
      </c>
    </row>
    <row r="2284">
      <c r="A2284" t="inlineStr">
        <is>
          <t>Polly Walker</t>
        </is>
      </c>
      <c r="B2284" t="n">
        <v>1</v>
      </c>
      <c r="C2284" t="n">
        <v>2010</v>
      </c>
      <c r="D2284" t="n">
        <v>2010</v>
      </c>
      <c r="E2284" t="inlineStr">
        <is>
          <t>Clash of the Titans</t>
        </is>
      </c>
      <c r="F2284" t="inlineStr">
        <is>
          <t>F0066</t>
        </is>
      </c>
    </row>
    <row r="2285">
      <c r="A2285" t="inlineStr">
        <is>
          <t>Ashraf Barhom</t>
        </is>
      </c>
      <c r="B2285" t="n">
        <v>1</v>
      </c>
      <c r="C2285" t="n">
        <v>2010</v>
      </c>
      <c r="D2285" t="n">
        <v>2010</v>
      </c>
      <c r="E2285" t="inlineStr">
        <is>
          <t>Clash of the Titans</t>
        </is>
      </c>
      <c r="F2285" t="inlineStr">
        <is>
          <t>F0066</t>
        </is>
      </c>
    </row>
    <row r="2286">
      <c r="A2286" t="inlineStr">
        <is>
          <t>Elizabeth McGovern</t>
        </is>
      </c>
      <c r="B2286" t="n">
        <v>2</v>
      </c>
      <c r="C2286" t="n">
        <v>2010</v>
      </c>
      <c r="D2286" t="n">
        <v>2010</v>
      </c>
      <c r="E2286" t="inlineStr">
        <is>
          <t>Clash of the Titans, Kick-Ass</t>
        </is>
      </c>
      <c r="F2286" t="inlineStr">
        <is>
          <t>F0066, F0185</t>
        </is>
      </c>
    </row>
    <row r="2287">
      <c r="A2287" t="inlineStr">
        <is>
          <t>Liam Cunningham</t>
        </is>
      </c>
      <c r="B2287" t="n">
        <v>2</v>
      </c>
      <c r="C2287" t="n">
        <v>2010</v>
      </c>
      <c r="D2287" t="n">
        <v>2012</v>
      </c>
      <c r="E2287" t="inlineStr">
        <is>
          <t>Clash of the Titans, Safe House</t>
        </is>
      </c>
      <c r="F2287" t="inlineStr">
        <is>
          <t>F0066, F0272</t>
        </is>
      </c>
    </row>
    <row r="2288">
      <c r="A2288" t="inlineStr">
        <is>
          <t>Hans Matheson</t>
        </is>
      </c>
      <c r="B2288" t="n">
        <v>2</v>
      </c>
      <c r="C2288" t="n">
        <v>2009</v>
      </c>
      <c r="D2288" t="n">
        <v>2010</v>
      </c>
      <c r="E2288" t="inlineStr">
        <is>
          <t>Clash of the Titans, Sherlock Holmes</t>
        </is>
      </c>
      <c r="F2288" t="inlineStr">
        <is>
          <t>F0066, F0278</t>
        </is>
      </c>
    </row>
    <row r="2289">
      <c r="A2289" t="inlineStr">
        <is>
          <t>Vincent Regan</t>
        </is>
      </c>
      <c r="B2289" t="n">
        <v>2</v>
      </c>
      <c r="C2289" t="n">
        <v>2010</v>
      </c>
      <c r="D2289" t="n">
        <v>2012</v>
      </c>
      <c r="E2289" t="inlineStr">
        <is>
          <t>Clash of the Titans, Snow White and the Huntsman</t>
        </is>
      </c>
      <c r="F2289" t="inlineStr">
        <is>
          <t>F0066, F0284</t>
        </is>
      </c>
    </row>
    <row r="2290">
      <c r="A2290" t="inlineStr">
        <is>
          <t>Mouloud Achour</t>
        </is>
      </c>
      <c r="B2290" t="n">
        <v>1</v>
      </c>
      <c r="C2290" t="n">
        <v>2010</v>
      </c>
      <c r="D2290" t="n">
        <v>2010</v>
      </c>
      <c r="E2290" t="inlineStr">
        <is>
          <t>Clash of the Titans</t>
        </is>
      </c>
      <c r="F2290" t="inlineStr">
        <is>
          <t>F0066</t>
        </is>
      </c>
    </row>
    <row r="2291">
      <c r="A2291" t="inlineStr">
        <is>
          <t>Tine Stapelfeldt</t>
        </is>
      </c>
      <c r="B2291" t="n">
        <v>1</v>
      </c>
      <c r="C2291" t="n">
        <v>2010</v>
      </c>
      <c r="D2291" t="n">
        <v>2010</v>
      </c>
      <c r="E2291" t="inlineStr">
        <is>
          <t>Clash of the Titans</t>
        </is>
      </c>
      <c r="F2291" t="inlineStr">
        <is>
          <t>F0066</t>
        </is>
      </c>
    </row>
    <row r="2292">
      <c r="A2292" t="inlineStr">
        <is>
          <t>Luke Evans</t>
        </is>
      </c>
      <c r="B2292" t="n">
        <v>7</v>
      </c>
      <c r="C2292" t="n">
        <v>2010</v>
      </c>
      <c r="D2292" t="n">
        <v>2017</v>
      </c>
      <c r="E2292" t="inlineStr">
        <is>
          <t>Clash of the Titans, Fast &amp; Furious 6, Furious 7, The Fate of the Furious, The Hobbit: The Desolation of Smaug, The Hobbit: The Battle of the Five Armies, Sex &amp; Drugs &amp; Rock &amp; Roll</t>
        </is>
      </c>
      <c r="F2292" t="inlineStr">
        <is>
          <t>F0066, F0106, F0107, F0108, F0151, F0152, F0277</t>
        </is>
      </c>
    </row>
    <row r="2293">
      <c r="A2293" t="inlineStr">
        <is>
          <t>Izabella Miko</t>
        </is>
      </c>
      <c r="B2293" t="n">
        <v>1</v>
      </c>
      <c r="C2293" t="n">
        <v>2010</v>
      </c>
      <c r="D2293" t="n">
        <v>2010</v>
      </c>
      <c r="E2293" t="inlineStr">
        <is>
          <t>Clash of the Titans</t>
        </is>
      </c>
      <c r="F2293" t="inlineStr">
        <is>
          <t>F0066</t>
        </is>
      </c>
    </row>
    <row r="2294">
      <c r="A2294" t="inlineStr">
        <is>
          <t>Ian Whyte</t>
        </is>
      </c>
      <c r="B2294" t="n">
        <v>2</v>
      </c>
      <c r="C2294" t="n">
        <v>2010</v>
      </c>
      <c r="D2294" t="n">
        <v>2012</v>
      </c>
      <c r="E2294" t="inlineStr">
        <is>
          <t>Clash of the Titans, Prometheus</t>
        </is>
      </c>
      <c r="F2294" t="inlineStr">
        <is>
          <t>F0066, F0259</t>
        </is>
      </c>
    </row>
    <row r="2295">
      <c r="A2295" t="inlineStr">
        <is>
          <t>Katherine Loeppky</t>
        </is>
      </c>
      <c r="B2295" t="n">
        <v>1</v>
      </c>
      <c r="C2295" t="n">
        <v>2010</v>
      </c>
      <c r="D2295" t="n">
        <v>2010</v>
      </c>
      <c r="E2295" t="inlineStr">
        <is>
          <t>Clash of the Titans</t>
        </is>
      </c>
      <c r="F2295" t="inlineStr">
        <is>
          <t>F0066</t>
        </is>
      </c>
    </row>
    <row r="2296">
      <c r="A2296" t="inlineStr">
        <is>
          <t>Sinead Michael</t>
        </is>
      </c>
      <c r="B2296" t="n">
        <v>1</v>
      </c>
      <c r="C2296" t="n">
        <v>2010</v>
      </c>
      <c r="D2296" t="n">
        <v>2010</v>
      </c>
      <c r="E2296" t="inlineStr">
        <is>
          <t>Clash of the Titans</t>
        </is>
      </c>
      <c r="F2296" t="inlineStr">
        <is>
          <t>F0066</t>
        </is>
      </c>
    </row>
    <row r="2297">
      <c r="A2297" t="inlineStr">
        <is>
          <t>Ross Mullan</t>
        </is>
      </c>
      <c r="B2297" t="n">
        <v>1</v>
      </c>
      <c r="C2297" t="n">
        <v>2010</v>
      </c>
      <c r="D2297" t="n">
        <v>2010</v>
      </c>
      <c r="E2297" t="inlineStr">
        <is>
          <t>Clash of the Titans</t>
        </is>
      </c>
      <c r="F2297" t="inlineStr">
        <is>
          <t>F0066</t>
        </is>
      </c>
    </row>
    <row r="2298">
      <c r="A2298" t="inlineStr">
        <is>
          <t>Robin Berry</t>
        </is>
      </c>
      <c r="B2298" t="n">
        <v>1</v>
      </c>
      <c r="C2298" t="n">
        <v>2010</v>
      </c>
      <c r="D2298" t="n">
        <v>2010</v>
      </c>
      <c r="E2298" t="inlineStr">
        <is>
          <t>Clash of the Titans</t>
        </is>
      </c>
      <c r="F2298" t="inlineStr">
        <is>
          <t>F0066</t>
        </is>
      </c>
    </row>
    <row r="2299">
      <c r="A2299" t="inlineStr">
        <is>
          <t>Graham Hughes</t>
        </is>
      </c>
      <c r="B2299" t="n">
        <v>1</v>
      </c>
      <c r="C2299" t="n">
        <v>2010</v>
      </c>
      <c r="D2299" t="n">
        <v>2010</v>
      </c>
      <c r="E2299" t="inlineStr">
        <is>
          <t>Clash of the Titans</t>
        </is>
      </c>
      <c r="F2299" t="inlineStr">
        <is>
          <t>F0066</t>
        </is>
      </c>
    </row>
    <row r="2300">
      <c r="A2300" t="inlineStr">
        <is>
          <t>Martin McCann</t>
        </is>
      </c>
      <c r="B2300" t="n">
        <v>1</v>
      </c>
      <c r="C2300" t="n">
        <v>2010</v>
      </c>
      <c r="D2300" t="n">
        <v>2010</v>
      </c>
      <c r="E2300" t="inlineStr">
        <is>
          <t>Clash of the Titans</t>
        </is>
      </c>
      <c r="F2300" t="inlineStr">
        <is>
          <t>F0066</t>
        </is>
      </c>
    </row>
    <row r="2301">
      <c r="A2301" t="inlineStr">
        <is>
          <t>Rory McCann</t>
        </is>
      </c>
      <c r="B2301" t="n">
        <v>2</v>
      </c>
      <c r="C2301" t="n">
        <v>2007</v>
      </c>
      <c r="D2301" t="n">
        <v>2010</v>
      </c>
      <c r="E2301" t="inlineStr">
        <is>
          <t>Clash of the Titans, Hot Fuzz</t>
        </is>
      </c>
      <c r="F2301" t="inlineStr">
        <is>
          <t>F0066, F0071</t>
        </is>
      </c>
    </row>
    <row r="2302">
      <c r="A2302" t="inlineStr">
        <is>
          <t>Kristen Schaal</t>
        </is>
      </c>
      <c r="B2302" t="n">
        <v>4</v>
      </c>
      <c r="C2302" t="n">
        <v>2010</v>
      </c>
      <c r="D2302" t="n">
        <v>2019</v>
      </c>
      <c r="E2302" t="inlineStr">
        <is>
          <t>Cloudy with a Chance of Meatballs 2, Despicable Me 2, Toy Story 3, Toy Story 4</t>
        </is>
      </c>
      <c r="F2302" t="inlineStr">
        <is>
          <t>F0067, F0083, F0314, F0315</t>
        </is>
      </c>
    </row>
    <row r="2303">
      <c r="A2303" t="inlineStr">
        <is>
          <t>Cody Cameron</t>
        </is>
      </c>
      <c r="B2303" t="n">
        <v>1</v>
      </c>
      <c r="C2303" t="n">
        <v>2013</v>
      </c>
      <c r="D2303" t="n">
        <v>2013</v>
      </c>
      <c r="E2303" t="inlineStr">
        <is>
          <t>Cloudy with a Chance of Meatballs 2</t>
        </is>
      </c>
      <c r="F2303" t="inlineStr">
        <is>
          <t>F0067</t>
        </is>
      </c>
    </row>
    <row r="2304">
      <c r="A2304" t="inlineStr">
        <is>
          <t>Melissa Sturm</t>
        </is>
      </c>
      <c r="B2304" t="n">
        <v>1</v>
      </c>
      <c r="C2304" t="n">
        <v>2013</v>
      </c>
      <c r="D2304" t="n">
        <v>2013</v>
      </c>
      <c r="E2304" t="inlineStr">
        <is>
          <t>Cloudy with a Chance of Meatballs 2</t>
        </is>
      </c>
      <c r="F2304" t="inlineStr">
        <is>
          <t>F0067</t>
        </is>
      </c>
    </row>
    <row r="2305">
      <c r="A2305" t="inlineStr">
        <is>
          <t>Kris Pearn</t>
        </is>
      </c>
      <c r="B2305" t="n">
        <v>1</v>
      </c>
      <c r="C2305" t="n">
        <v>2013</v>
      </c>
      <c r="D2305" t="n">
        <v>2013</v>
      </c>
      <c r="E2305" t="inlineStr">
        <is>
          <t>Cloudy with a Chance of Meatballs 2</t>
        </is>
      </c>
      <c r="F2305" t="inlineStr">
        <is>
          <t>F0067</t>
        </is>
      </c>
    </row>
    <row r="2306">
      <c r="A2306" t="inlineStr">
        <is>
          <t>Craig Kellman</t>
        </is>
      </c>
      <c r="B2306" t="n">
        <v>1</v>
      </c>
      <c r="C2306" t="n">
        <v>2013</v>
      </c>
      <c r="D2306" t="n">
        <v>2013</v>
      </c>
      <c r="E2306" t="inlineStr">
        <is>
          <t>Cloudy with a Chance of Meatballs 2</t>
        </is>
      </c>
      <c r="F2306" t="inlineStr">
        <is>
          <t>F0067</t>
        </is>
      </c>
    </row>
    <row r="2307">
      <c r="A2307" t="inlineStr">
        <is>
          <t>Khamani Griffin</t>
        </is>
      </c>
      <c r="B2307" t="n">
        <v>1</v>
      </c>
      <c r="C2307" t="n">
        <v>2013</v>
      </c>
      <c r="D2307" t="n">
        <v>2013</v>
      </c>
      <c r="E2307" t="inlineStr">
        <is>
          <t>Cloudy with a Chance of Meatballs 2</t>
        </is>
      </c>
      <c r="F2307" t="inlineStr">
        <is>
          <t>F0067</t>
        </is>
      </c>
    </row>
    <row r="2308">
      <c r="A2308" t="inlineStr">
        <is>
          <t>Bridget Hoffman</t>
        </is>
      </c>
      <c r="B2308" t="n">
        <v>1</v>
      </c>
      <c r="C2308" t="n">
        <v>2013</v>
      </c>
      <c r="D2308" t="n">
        <v>2013</v>
      </c>
      <c r="E2308" t="inlineStr">
        <is>
          <t>Cloudy with a Chance of Meatballs 2</t>
        </is>
      </c>
      <c r="F2308" t="inlineStr">
        <is>
          <t>F0067</t>
        </is>
      </c>
    </row>
    <row r="2309">
      <c r="A2309" t="inlineStr">
        <is>
          <t>Al Roker</t>
        </is>
      </c>
      <c r="B2309" t="n">
        <v>1</v>
      </c>
      <c r="C2309" t="n">
        <v>2013</v>
      </c>
      <c r="D2309" t="n">
        <v>2013</v>
      </c>
      <c r="E2309" t="inlineStr">
        <is>
          <t>Cloudy with a Chance of Meatballs 2</t>
        </is>
      </c>
      <c r="F2309" t="inlineStr">
        <is>
          <t>F0067</t>
        </is>
      </c>
    </row>
    <row r="2310">
      <c r="A2310" t="inlineStr">
        <is>
          <t>Steve Alterman</t>
        </is>
      </c>
      <c r="B2310" t="n">
        <v>1</v>
      </c>
      <c r="C2310" t="n">
        <v>2013</v>
      </c>
      <c r="D2310" t="n">
        <v>2013</v>
      </c>
      <c r="E2310" t="inlineStr">
        <is>
          <t>Cloudy with a Chance of Meatballs 2</t>
        </is>
      </c>
      <c r="F2310" t="inlineStr">
        <is>
          <t>F0067</t>
        </is>
      </c>
    </row>
    <row r="2311">
      <c r="A2311" t="inlineStr">
        <is>
          <t>June Christopher</t>
        </is>
      </c>
      <c r="B2311" t="n">
        <v>1</v>
      </c>
      <c r="C2311" t="n">
        <v>2013</v>
      </c>
      <c r="D2311" t="n">
        <v>2013</v>
      </c>
      <c r="E2311" t="inlineStr">
        <is>
          <t>Cloudy with a Chance of Meatballs 2</t>
        </is>
      </c>
      <c r="F2311" t="inlineStr">
        <is>
          <t>F0067</t>
        </is>
      </c>
    </row>
    <row r="2312">
      <c r="A2312" t="inlineStr">
        <is>
          <t>Eddie Frierson</t>
        </is>
      </c>
      <c r="B2312" t="n">
        <v>1</v>
      </c>
      <c r="C2312" t="n">
        <v>2013</v>
      </c>
      <c r="D2312" t="n">
        <v>2013</v>
      </c>
      <c r="E2312" t="inlineStr">
        <is>
          <t>Cloudy with a Chance of Meatballs 2</t>
        </is>
      </c>
      <c r="F2312" t="inlineStr">
        <is>
          <t>F0067</t>
        </is>
      </c>
    </row>
    <row r="2313">
      <c r="A2313" t="inlineStr">
        <is>
          <t>Elisa Gabrielli</t>
        </is>
      </c>
      <c r="B2313" t="n">
        <v>1</v>
      </c>
      <c r="C2313" t="n">
        <v>2013</v>
      </c>
      <c r="D2313" t="n">
        <v>2013</v>
      </c>
      <c r="E2313" t="inlineStr">
        <is>
          <t>Cloudy with a Chance of Meatballs 2</t>
        </is>
      </c>
      <c r="F2313" t="inlineStr">
        <is>
          <t>F0067</t>
        </is>
      </c>
    </row>
    <row r="2314">
      <c r="A2314" t="inlineStr">
        <is>
          <t>Jackie Gonneau</t>
        </is>
      </c>
      <c r="B2314" t="n">
        <v>2</v>
      </c>
      <c r="C2314" t="n">
        <v>2010</v>
      </c>
      <c r="D2314" t="n">
        <v>2013</v>
      </c>
      <c r="E2314" t="inlineStr">
        <is>
          <t>Cloudy with a Chance of Meatballs 2, Despicable Me</t>
        </is>
      </c>
      <c r="F2314" t="inlineStr">
        <is>
          <t>F0067, F0082</t>
        </is>
      </c>
    </row>
    <row r="2315">
      <c r="A2315" t="inlineStr">
        <is>
          <t>Tania Gunadi</t>
        </is>
      </c>
      <c r="B2315" t="n">
        <v>1</v>
      </c>
      <c r="C2315" t="n">
        <v>2013</v>
      </c>
      <c r="D2315" t="n">
        <v>2013</v>
      </c>
      <c r="E2315" t="inlineStr">
        <is>
          <t>Cloudy with a Chance of Meatballs 2</t>
        </is>
      </c>
      <c r="F2315" t="inlineStr">
        <is>
          <t>F0067</t>
        </is>
      </c>
    </row>
    <row r="2316">
      <c r="A2316" t="inlineStr">
        <is>
          <t>Wendy Hoffmann</t>
        </is>
      </c>
      <c r="B2316" t="n">
        <v>2</v>
      </c>
      <c r="C2316" t="n">
        <v>2010</v>
      </c>
      <c r="D2316" t="n">
        <v>2013</v>
      </c>
      <c r="E2316" t="inlineStr">
        <is>
          <t>Cloudy with a Chance of Meatballs 2, Despicable Me</t>
        </is>
      </c>
      <c r="F2316" t="inlineStr">
        <is>
          <t>F0067, F0082</t>
        </is>
      </c>
    </row>
    <row r="2317">
      <c r="A2317" t="inlineStr">
        <is>
          <t>Walter Jones</t>
        </is>
      </c>
      <c r="B2317" t="n">
        <v>1</v>
      </c>
      <c r="C2317" t="n">
        <v>2013</v>
      </c>
      <c r="D2317" t="n">
        <v>2013</v>
      </c>
      <c r="E2317" t="inlineStr">
        <is>
          <t>Cloudy with a Chance of Meatballs 2</t>
        </is>
      </c>
      <c r="F2317" t="inlineStr">
        <is>
          <t>F0067</t>
        </is>
      </c>
    </row>
    <row r="2318">
      <c r="A2318" t="inlineStr">
        <is>
          <t>Ashley Lambert</t>
        </is>
      </c>
      <c r="B2318" t="n">
        <v>1</v>
      </c>
      <c r="C2318" t="n">
        <v>2013</v>
      </c>
      <c r="D2318" t="n">
        <v>2013</v>
      </c>
      <c r="E2318" t="inlineStr">
        <is>
          <t>Cloudy with a Chance of Meatballs 2</t>
        </is>
      </c>
      <c r="F2318" t="inlineStr">
        <is>
          <t>F0067</t>
        </is>
      </c>
    </row>
    <row r="2319">
      <c r="A2319" t="inlineStr">
        <is>
          <t>Scott Menville</t>
        </is>
      </c>
      <c r="B2319" t="n">
        <v>3</v>
      </c>
      <c r="C2319" t="n">
        <v>2010</v>
      </c>
      <c r="D2319" t="n">
        <v>2023</v>
      </c>
      <c r="E2319" t="inlineStr">
        <is>
          <t>Cloudy with a Chance of Meatballs 2, Despicable Me, The Super Mario Bros. Movie</t>
        </is>
      </c>
      <c r="F2319" t="inlineStr">
        <is>
          <t>F0067, F0082, F0212</t>
        </is>
      </c>
    </row>
    <row r="2320">
      <c r="A2320" t="inlineStr">
        <is>
          <t>David Sheinkopf</t>
        </is>
      </c>
      <c r="B2320" t="n">
        <v>1</v>
      </c>
      <c r="C2320" t="n">
        <v>2013</v>
      </c>
      <c r="D2320" t="n">
        <v>2013</v>
      </c>
      <c r="E2320" t="inlineStr">
        <is>
          <t>Cloudy with a Chance of Meatballs 2</t>
        </is>
      </c>
      <c r="F2320" t="inlineStr">
        <is>
          <t>F0067</t>
        </is>
      </c>
    </row>
    <row r="2321">
      <c r="A2321" t="inlineStr">
        <is>
          <t>Marina Squerciati</t>
        </is>
      </c>
      <c r="B2321" t="n">
        <v>1</v>
      </c>
      <c r="C2321" t="n">
        <v>2013</v>
      </c>
      <c r="D2321" t="n">
        <v>2013</v>
      </c>
      <c r="E2321" t="inlineStr">
        <is>
          <t>Cloudy with a Chance of Meatballs 2</t>
        </is>
      </c>
      <c r="F2321" t="inlineStr">
        <is>
          <t>F0067</t>
        </is>
      </c>
    </row>
    <row r="2322">
      <c r="A2322" t="inlineStr">
        <is>
          <t>Dave Chappelle</t>
        </is>
      </c>
      <c r="B2322" t="n">
        <v>1</v>
      </c>
      <c r="C2322" t="n">
        <v>1997</v>
      </c>
      <c r="D2322" t="n">
        <v>1997</v>
      </c>
      <c r="E2322" t="inlineStr">
        <is>
          <t>Con Air</t>
        </is>
      </c>
      <c r="F2322" t="inlineStr">
        <is>
          <t>F0068</t>
        </is>
      </c>
    </row>
    <row r="2323">
      <c r="A2323" t="inlineStr">
        <is>
          <t>Monica Potter</t>
        </is>
      </c>
      <c r="B2323" t="n">
        <v>1</v>
      </c>
      <c r="C2323" t="n">
        <v>1997</v>
      </c>
      <c r="D2323" t="n">
        <v>1997</v>
      </c>
      <c r="E2323" t="inlineStr">
        <is>
          <t>Con Air</t>
        </is>
      </c>
      <c r="F2323" t="inlineStr">
        <is>
          <t>F0068</t>
        </is>
      </c>
    </row>
    <row r="2324">
      <c r="A2324" t="inlineStr">
        <is>
          <t>Landry Allbright</t>
        </is>
      </c>
      <c r="B2324" t="n">
        <v>1</v>
      </c>
      <c r="C2324" t="n">
        <v>1997</v>
      </c>
      <c r="D2324" t="n">
        <v>1997</v>
      </c>
      <c r="E2324" t="inlineStr">
        <is>
          <t>Con Air</t>
        </is>
      </c>
      <c r="F2324" t="inlineStr">
        <is>
          <t>F0068</t>
        </is>
      </c>
    </row>
    <row r="2325">
      <c r="A2325" t="inlineStr">
        <is>
          <t>Rachel Ticotin</t>
        </is>
      </c>
      <c r="B2325" t="n">
        <v>1</v>
      </c>
      <c r="C2325" t="n">
        <v>1997</v>
      </c>
      <c r="D2325" t="n">
        <v>1997</v>
      </c>
      <c r="E2325" t="inlineStr">
        <is>
          <t>Con Air</t>
        </is>
      </c>
      <c r="F2325" t="inlineStr">
        <is>
          <t>F0068</t>
        </is>
      </c>
    </row>
    <row r="2326">
      <c r="A2326" t="inlineStr">
        <is>
          <t>Nick Chinlund</t>
        </is>
      </c>
      <c r="B2326" t="n">
        <v>2</v>
      </c>
      <c r="C2326" t="n">
        <v>1997</v>
      </c>
      <c r="D2326" t="n">
        <v>2014</v>
      </c>
      <c r="E2326" t="inlineStr">
        <is>
          <t>Con Air, Need for Speed</t>
        </is>
      </c>
      <c r="F2326" t="inlineStr">
        <is>
          <t>F0068, F0234</t>
        </is>
      </c>
    </row>
    <row r="2327">
      <c r="A2327" t="inlineStr">
        <is>
          <t>M.C. Gainey</t>
        </is>
      </c>
      <c r="B2327" t="n">
        <v>2</v>
      </c>
      <c r="C2327" t="n">
        <v>1997</v>
      </c>
      <c r="D2327" t="n">
        <v>2012</v>
      </c>
      <c r="E2327" t="inlineStr">
        <is>
          <t>Con Air, Django Unchained</t>
        </is>
      </c>
      <c r="F2327" t="inlineStr">
        <is>
          <t>F0068, F0090</t>
        </is>
      </c>
    </row>
    <row r="2328">
      <c r="A2328" t="inlineStr">
        <is>
          <t>Renoly Santiago</t>
        </is>
      </c>
      <c r="B2328" t="n">
        <v>1</v>
      </c>
      <c r="C2328" t="n">
        <v>1997</v>
      </c>
      <c r="D2328" t="n">
        <v>1997</v>
      </c>
      <c r="E2328" t="inlineStr">
        <is>
          <t>Con Air</t>
        </is>
      </c>
      <c r="F2328" t="inlineStr">
        <is>
          <t>F0068</t>
        </is>
      </c>
    </row>
    <row r="2329">
      <c r="A2329" t="inlineStr">
        <is>
          <t>Brendan Kelly</t>
        </is>
      </c>
      <c r="B2329" t="n">
        <v>1</v>
      </c>
      <c r="C2329" t="n">
        <v>1997</v>
      </c>
      <c r="D2329" t="n">
        <v>1997</v>
      </c>
      <c r="E2329" t="inlineStr">
        <is>
          <t>Con Air</t>
        </is>
      </c>
      <c r="F2329" t="inlineStr">
        <is>
          <t>F0068</t>
        </is>
      </c>
    </row>
    <row r="2330">
      <c r="A2330" t="inlineStr">
        <is>
          <t>Jesse Borrego</t>
        </is>
      </c>
      <c r="B2330" t="n">
        <v>1</v>
      </c>
      <c r="C2330" t="n">
        <v>1997</v>
      </c>
      <c r="D2330" t="n">
        <v>1997</v>
      </c>
      <c r="E2330" t="inlineStr">
        <is>
          <t>Con Air</t>
        </is>
      </c>
      <c r="F2330" t="inlineStr">
        <is>
          <t>F0068</t>
        </is>
      </c>
    </row>
    <row r="2331">
      <c r="A2331" t="inlineStr">
        <is>
          <t>Carl Ciarfalio</t>
        </is>
      </c>
      <c r="B2331" t="n">
        <v>1</v>
      </c>
      <c r="C2331" t="n">
        <v>1997</v>
      </c>
      <c r="D2331" t="n">
        <v>1997</v>
      </c>
      <c r="E2331" t="inlineStr">
        <is>
          <t>Con Air</t>
        </is>
      </c>
      <c r="F2331" t="inlineStr">
        <is>
          <t>F0068</t>
        </is>
      </c>
    </row>
    <row r="2332">
      <c r="A2332" t="inlineStr">
        <is>
          <t>Mongo Brownlee</t>
        </is>
      </c>
      <c r="B2332" t="n">
        <v>1</v>
      </c>
      <c r="C2332" t="n">
        <v>1997</v>
      </c>
      <c r="D2332" t="n">
        <v>1997</v>
      </c>
      <c r="E2332" t="inlineStr">
        <is>
          <t>Con Air</t>
        </is>
      </c>
      <c r="F2332" t="inlineStr">
        <is>
          <t>F0068</t>
        </is>
      </c>
    </row>
    <row r="2333">
      <c r="A2333" t="inlineStr">
        <is>
          <t>José Zúñiga</t>
        </is>
      </c>
      <c r="B2333" t="n">
        <v>1</v>
      </c>
      <c r="C2333" t="n">
        <v>1997</v>
      </c>
      <c r="D2333" t="n">
        <v>1997</v>
      </c>
      <c r="E2333" t="inlineStr">
        <is>
          <t>Con Air</t>
        </is>
      </c>
      <c r="F2333" t="inlineStr">
        <is>
          <t>F0068</t>
        </is>
      </c>
    </row>
    <row r="2334">
      <c r="A2334" t="inlineStr">
        <is>
          <t>Ned Bellamy</t>
        </is>
      </c>
      <c r="B2334" t="n">
        <v>1</v>
      </c>
      <c r="C2334" t="n">
        <v>1997</v>
      </c>
      <c r="D2334" t="n">
        <v>1997</v>
      </c>
      <c r="E2334" t="inlineStr">
        <is>
          <t>Con Air</t>
        </is>
      </c>
      <c r="F2334" t="inlineStr">
        <is>
          <t>F0068</t>
        </is>
      </c>
    </row>
    <row r="2335">
      <c r="A2335" t="inlineStr">
        <is>
          <t>John Marshall Jones</t>
        </is>
      </c>
      <c r="B2335" t="n">
        <v>1</v>
      </c>
      <c r="C2335" t="n">
        <v>1997</v>
      </c>
      <c r="D2335" t="n">
        <v>1997</v>
      </c>
      <c r="E2335" t="inlineStr">
        <is>
          <t>Con Air</t>
        </is>
      </c>
      <c r="F2335" t="inlineStr">
        <is>
          <t>F0068</t>
        </is>
      </c>
    </row>
    <row r="2336">
      <c r="A2336" t="inlineStr">
        <is>
          <t>John Roselius</t>
        </is>
      </c>
      <c r="B2336" t="n">
        <v>1</v>
      </c>
      <c r="C2336" t="n">
        <v>1997</v>
      </c>
      <c r="D2336" t="n">
        <v>1997</v>
      </c>
      <c r="E2336" t="inlineStr">
        <is>
          <t>Con Air</t>
        </is>
      </c>
      <c r="F2336" t="inlineStr">
        <is>
          <t>F0068</t>
        </is>
      </c>
    </row>
    <row r="2337">
      <c r="A2337" t="inlineStr">
        <is>
          <t>Fredric Lehne</t>
        </is>
      </c>
      <c r="B2337" t="n">
        <v>3</v>
      </c>
      <c r="C2337" t="n">
        <v>1997</v>
      </c>
      <c r="D2337" t="n">
        <v>2017</v>
      </c>
      <c r="E2337" t="inlineStr">
        <is>
          <t>Con Air, The Greatest Showman, Men in Black</t>
        </is>
      </c>
      <c r="F2337" t="inlineStr">
        <is>
          <t>F0068, F0127, F0218</t>
        </is>
      </c>
    </row>
    <row r="2338">
      <c r="A2338" t="inlineStr">
        <is>
          <t>Martin McSorley</t>
        </is>
      </c>
      <c r="B2338" t="n">
        <v>1</v>
      </c>
      <c r="C2338" t="n">
        <v>1997</v>
      </c>
      <c r="D2338" t="n">
        <v>1997</v>
      </c>
      <c r="E2338" t="inlineStr">
        <is>
          <t>Con Air</t>
        </is>
      </c>
      <c r="F2338" t="inlineStr">
        <is>
          <t>F0068</t>
        </is>
      </c>
    </row>
    <row r="2339">
      <c r="A2339" t="inlineStr">
        <is>
          <t>Dan Bell</t>
        </is>
      </c>
      <c r="B2339" t="n">
        <v>1</v>
      </c>
      <c r="C2339" t="n">
        <v>1997</v>
      </c>
      <c r="D2339" t="n">
        <v>1997</v>
      </c>
      <c r="E2339" t="inlineStr">
        <is>
          <t>Con Air</t>
        </is>
      </c>
      <c r="F2339" t="inlineStr">
        <is>
          <t>F0068</t>
        </is>
      </c>
    </row>
    <row r="2340">
      <c r="A2340" t="inlineStr">
        <is>
          <t>Bob Stephenson</t>
        </is>
      </c>
      <c r="B2340" t="n">
        <v>4</v>
      </c>
      <c r="C2340" t="n">
        <v>1995</v>
      </c>
      <c r="D2340" t="n">
        <v>2007</v>
      </c>
      <c r="E2340" t="inlineStr">
        <is>
          <t>Con Air, Fight Club, Se7en, Zodiac</t>
        </is>
      </c>
      <c r="F2340" t="inlineStr">
        <is>
          <t>F0068, F0112, F0276, F0350</t>
        </is>
      </c>
    </row>
    <row r="2341">
      <c r="A2341" t="inlineStr">
        <is>
          <t>Scott Ditty</t>
        </is>
      </c>
      <c r="B2341" t="n">
        <v>1</v>
      </c>
      <c r="C2341" t="n">
        <v>1997</v>
      </c>
      <c r="D2341" t="n">
        <v>1997</v>
      </c>
      <c r="E2341" t="inlineStr">
        <is>
          <t>Con Air</t>
        </is>
      </c>
      <c r="F2341" t="inlineStr">
        <is>
          <t>F0068</t>
        </is>
      </c>
    </row>
    <row r="2342">
      <c r="A2342" t="inlineStr">
        <is>
          <t>Tommy Bush</t>
        </is>
      </c>
      <c r="B2342" t="n">
        <v>1</v>
      </c>
      <c r="C2342" t="n">
        <v>1997</v>
      </c>
      <c r="D2342" t="n">
        <v>1997</v>
      </c>
      <c r="E2342" t="inlineStr">
        <is>
          <t>Con Air</t>
        </is>
      </c>
      <c r="F2342" t="inlineStr">
        <is>
          <t>F0068</t>
        </is>
      </c>
    </row>
    <row r="2343">
      <c r="A2343" t="inlineStr">
        <is>
          <t>Kevin Pollak</t>
        </is>
      </c>
      <c r="B2343" t="n">
        <v>1</v>
      </c>
      <c r="C2343" t="n">
        <v>2010</v>
      </c>
      <c r="D2343" t="n">
        <v>2010</v>
      </c>
      <c r="E2343" t="inlineStr">
        <is>
          <t>Cop Out</t>
        </is>
      </c>
      <c r="F2343" t="inlineStr">
        <is>
          <t>F0069</t>
        </is>
      </c>
    </row>
    <row r="2344">
      <c r="A2344" t="inlineStr">
        <is>
          <t>Guillermo Díaz</t>
        </is>
      </c>
      <c r="B2344" t="n">
        <v>1</v>
      </c>
      <c r="C2344" t="n">
        <v>2010</v>
      </c>
      <c r="D2344" t="n">
        <v>2010</v>
      </c>
      <c r="E2344" t="inlineStr">
        <is>
          <t>Cop Out</t>
        </is>
      </c>
      <c r="F2344" t="inlineStr">
        <is>
          <t>F0069</t>
        </is>
      </c>
    </row>
    <row r="2345">
      <c r="A2345" t="inlineStr">
        <is>
          <t>Rashida Jones</t>
        </is>
      </c>
      <c r="B2345" t="n">
        <v>2</v>
      </c>
      <c r="C2345" t="n">
        <v>2010</v>
      </c>
      <c r="D2345" t="n">
        <v>2015</v>
      </c>
      <c r="E2345" t="inlineStr">
        <is>
          <t>Cop Out, Inside Out</t>
        </is>
      </c>
      <c r="F2345" t="inlineStr">
        <is>
          <t>F0069, F0167</t>
        </is>
      </c>
    </row>
    <row r="2346">
      <c r="A2346" t="inlineStr">
        <is>
          <t>Susie Essman</t>
        </is>
      </c>
      <c r="B2346" t="n">
        <v>1</v>
      </c>
      <c r="C2346" t="n">
        <v>2010</v>
      </c>
      <c r="D2346" t="n">
        <v>2010</v>
      </c>
      <c r="E2346" t="inlineStr">
        <is>
          <t>Cop Out</t>
        </is>
      </c>
      <c r="F2346" t="inlineStr">
        <is>
          <t>F0069</t>
        </is>
      </c>
    </row>
    <row r="2347">
      <c r="A2347" t="inlineStr">
        <is>
          <t>Michelle Trachtenberg</t>
        </is>
      </c>
      <c r="B2347" t="n">
        <v>1</v>
      </c>
      <c r="C2347" t="n">
        <v>2010</v>
      </c>
      <c r="D2347" t="n">
        <v>2010</v>
      </c>
      <c r="E2347" t="inlineStr">
        <is>
          <t>Cop Out</t>
        </is>
      </c>
      <c r="F2347" t="inlineStr">
        <is>
          <t>F0069</t>
        </is>
      </c>
    </row>
    <row r="2348">
      <c r="A2348" t="inlineStr">
        <is>
          <t>Francie Swift</t>
        </is>
      </c>
      <c r="B2348" t="n">
        <v>1</v>
      </c>
      <c r="C2348" t="n">
        <v>2010</v>
      </c>
      <c r="D2348" t="n">
        <v>2010</v>
      </c>
      <c r="E2348" t="inlineStr">
        <is>
          <t>Cop Out</t>
        </is>
      </c>
      <c r="F2348" t="inlineStr">
        <is>
          <t>F0069</t>
        </is>
      </c>
    </row>
    <row r="2349">
      <c r="A2349" t="inlineStr">
        <is>
          <t>Sean Cullen</t>
        </is>
      </c>
      <c r="B2349" t="n">
        <v>1</v>
      </c>
      <c r="C2349" t="n">
        <v>2010</v>
      </c>
      <c r="D2349" t="n">
        <v>2010</v>
      </c>
      <c r="E2349" t="inlineStr">
        <is>
          <t>Cop Out</t>
        </is>
      </c>
      <c r="F2349" t="inlineStr">
        <is>
          <t>F0069</t>
        </is>
      </c>
    </row>
    <row r="2350">
      <c r="A2350" t="inlineStr">
        <is>
          <t>Cory Fernandez</t>
        </is>
      </c>
      <c r="B2350" t="n">
        <v>1</v>
      </c>
      <c r="C2350" t="n">
        <v>2010</v>
      </c>
      <c r="D2350" t="n">
        <v>2010</v>
      </c>
      <c r="E2350" t="inlineStr">
        <is>
          <t>Cop Out</t>
        </is>
      </c>
      <c r="F2350" t="inlineStr">
        <is>
          <t>F0069</t>
        </is>
      </c>
    </row>
    <row r="2351">
      <c r="A2351" t="inlineStr">
        <is>
          <t>Mark Consuelos</t>
        </is>
      </c>
      <c r="B2351" t="n">
        <v>1</v>
      </c>
      <c r="C2351" t="n">
        <v>2010</v>
      </c>
      <c r="D2351" t="n">
        <v>2010</v>
      </c>
      <c r="E2351" t="inlineStr">
        <is>
          <t>Cop Out</t>
        </is>
      </c>
      <c r="F2351" t="inlineStr">
        <is>
          <t>F0069</t>
        </is>
      </c>
    </row>
    <row r="2352">
      <c r="A2352" t="inlineStr">
        <is>
          <t>Marcus I. Morton</t>
        </is>
      </c>
      <c r="B2352" t="n">
        <v>1</v>
      </c>
      <c r="C2352" t="n">
        <v>2010</v>
      </c>
      <c r="D2352" t="n">
        <v>2010</v>
      </c>
      <c r="E2352" t="inlineStr">
        <is>
          <t>Cop Out</t>
        </is>
      </c>
      <c r="F2352" t="inlineStr">
        <is>
          <t>F0069</t>
        </is>
      </c>
    </row>
    <row r="2353">
      <c r="A2353" t="inlineStr">
        <is>
          <t>Jacinto Taras Riddick</t>
        </is>
      </c>
      <c r="B2353" t="n">
        <v>1</v>
      </c>
      <c r="C2353" t="n">
        <v>2010</v>
      </c>
      <c r="D2353" t="n">
        <v>2010</v>
      </c>
      <c r="E2353" t="inlineStr">
        <is>
          <t>Cop Out</t>
        </is>
      </c>
      <c r="F2353" t="inlineStr">
        <is>
          <t>F0069</t>
        </is>
      </c>
    </row>
    <row r="2354">
      <c r="A2354" t="inlineStr">
        <is>
          <t>Alberto Bonilla</t>
        </is>
      </c>
      <c r="B2354" t="n">
        <v>1</v>
      </c>
      <c r="C2354" t="n">
        <v>2010</v>
      </c>
      <c r="D2354" t="n">
        <v>2010</v>
      </c>
      <c r="E2354" t="inlineStr">
        <is>
          <t>Cop Out</t>
        </is>
      </c>
      <c r="F2354" t="inlineStr">
        <is>
          <t>F0069</t>
        </is>
      </c>
    </row>
    <row r="2355">
      <c r="A2355" t="inlineStr">
        <is>
          <t>Ernest O'Donnell</t>
        </is>
      </c>
      <c r="B2355" t="n">
        <v>1</v>
      </c>
      <c r="C2355" t="n">
        <v>2010</v>
      </c>
      <c r="D2355" t="n">
        <v>2010</v>
      </c>
      <c r="E2355" t="inlineStr">
        <is>
          <t>Cop Out</t>
        </is>
      </c>
      <c r="F2355" t="inlineStr">
        <is>
          <t>F0069</t>
        </is>
      </c>
    </row>
    <row r="2356">
      <c r="A2356" t="inlineStr">
        <is>
          <t>Juan Carlos Hernández</t>
        </is>
      </c>
      <c r="B2356" t="n">
        <v>1</v>
      </c>
      <c r="C2356" t="n">
        <v>2010</v>
      </c>
      <c r="D2356" t="n">
        <v>2010</v>
      </c>
      <c r="E2356" t="inlineStr">
        <is>
          <t>Cop Out</t>
        </is>
      </c>
      <c r="F2356" t="inlineStr">
        <is>
          <t>F0069</t>
        </is>
      </c>
    </row>
    <row r="2357">
      <c r="A2357" t="inlineStr">
        <is>
          <t>Jim Norton</t>
        </is>
      </c>
      <c r="B2357" t="n">
        <v>1</v>
      </c>
      <c r="C2357" t="n">
        <v>2010</v>
      </c>
      <c r="D2357" t="n">
        <v>2010</v>
      </c>
      <c r="E2357" t="inlineStr">
        <is>
          <t>Cop Out</t>
        </is>
      </c>
      <c r="F2357" t="inlineStr">
        <is>
          <t>F0069</t>
        </is>
      </c>
    </row>
    <row r="2358">
      <c r="A2358" t="inlineStr">
        <is>
          <t>Jayce Bartok</t>
        </is>
      </c>
      <c r="B2358" t="n">
        <v>1</v>
      </c>
      <c r="C2358" t="n">
        <v>2010</v>
      </c>
      <c r="D2358" t="n">
        <v>2010</v>
      </c>
      <c r="E2358" t="inlineStr">
        <is>
          <t>Cop Out</t>
        </is>
      </c>
      <c r="F2358" t="inlineStr">
        <is>
          <t>F0069</t>
        </is>
      </c>
    </row>
    <row r="2359">
      <c r="A2359" t="inlineStr">
        <is>
          <t>Ray Quinlan</t>
        </is>
      </c>
      <c r="B2359" t="n">
        <v>1</v>
      </c>
      <c r="C2359" t="n">
        <v>2010</v>
      </c>
      <c r="D2359" t="n">
        <v>2010</v>
      </c>
      <c r="E2359" t="inlineStr">
        <is>
          <t>Cop Out</t>
        </is>
      </c>
      <c r="F2359" t="inlineStr">
        <is>
          <t>F0069</t>
        </is>
      </c>
    </row>
    <row r="2360">
      <c r="A2360" t="inlineStr">
        <is>
          <t>Robb Cullen</t>
        </is>
      </c>
      <c r="B2360" t="n">
        <v>1</v>
      </c>
      <c r="C2360" t="n">
        <v>2010</v>
      </c>
      <c r="D2360" t="n">
        <v>2010</v>
      </c>
      <c r="E2360" t="inlineStr">
        <is>
          <t>Cop Out</t>
        </is>
      </c>
      <c r="F2360" t="inlineStr">
        <is>
          <t>F0069</t>
        </is>
      </c>
    </row>
    <row r="2361">
      <c r="A2361" t="inlineStr">
        <is>
          <t>Jordan Carlos</t>
        </is>
      </c>
      <c r="B2361" t="n">
        <v>1</v>
      </c>
      <c r="C2361" t="n">
        <v>2010</v>
      </c>
      <c r="D2361" t="n">
        <v>2010</v>
      </c>
      <c r="E2361" t="inlineStr">
        <is>
          <t>Cop Out</t>
        </is>
      </c>
      <c r="F2361" t="inlineStr">
        <is>
          <t>F0069</t>
        </is>
      </c>
    </row>
    <row r="2362">
      <c r="A2362" t="inlineStr">
        <is>
          <t>Keith Joe Dick</t>
        </is>
      </c>
      <c r="B2362" t="n">
        <v>1</v>
      </c>
      <c r="C2362" t="n">
        <v>2010</v>
      </c>
      <c r="D2362" t="n">
        <v>2010</v>
      </c>
      <c r="E2362" t="inlineStr">
        <is>
          <t>Cop Out</t>
        </is>
      </c>
      <c r="F2362" t="inlineStr">
        <is>
          <t>F0069</t>
        </is>
      </c>
    </row>
    <row r="2363">
      <c r="A2363" t="inlineStr">
        <is>
          <t>John D'Leo</t>
        </is>
      </c>
      <c r="B2363" t="n">
        <v>1</v>
      </c>
      <c r="C2363" t="n">
        <v>2010</v>
      </c>
      <c r="D2363" t="n">
        <v>2010</v>
      </c>
      <c r="E2363" t="inlineStr">
        <is>
          <t>Cop Out</t>
        </is>
      </c>
      <c r="F2363" t="inlineStr">
        <is>
          <t>F0069</t>
        </is>
      </c>
    </row>
    <row r="2364">
      <c r="A2364" t="inlineStr">
        <is>
          <t>Robinson Aponte</t>
        </is>
      </c>
      <c r="B2364" t="n">
        <v>1</v>
      </c>
      <c r="C2364" t="n">
        <v>2010</v>
      </c>
      <c r="D2364" t="n">
        <v>2010</v>
      </c>
      <c r="E2364" t="inlineStr">
        <is>
          <t>Cop Out</t>
        </is>
      </c>
      <c r="F2364" t="inlineStr">
        <is>
          <t>F0069</t>
        </is>
      </c>
    </row>
    <row r="2365">
      <c r="A2365" t="inlineStr">
        <is>
          <t>Jeremy Dash</t>
        </is>
      </c>
      <c r="B2365" t="n">
        <v>1</v>
      </c>
      <c r="C2365" t="n">
        <v>2010</v>
      </c>
      <c r="D2365" t="n">
        <v>2010</v>
      </c>
      <c r="E2365" t="inlineStr">
        <is>
          <t>Cop Out</t>
        </is>
      </c>
      <c r="F2365" t="inlineStr">
        <is>
          <t>F0069</t>
        </is>
      </c>
    </row>
    <row r="2366">
      <c r="A2366" t="inlineStr">
        <is>
          <t>Jessica Hynes</t>
        </is>
      </c>
      <c r="B2366" t="n">
        <v>1</v>
      </c>
      <c r="C2366" t="n">
        <v>2004</v>
      </c>
      <c r="D2366" t="n">
        <v>2004</v>
      </c>
      <c r="E2366" t="inlineStr">
        <is>
          <t>Shaun of the Dead</t>
        </is>
      </c>
      <c r="F2366" t="inlineStr">
        <is>
          <t>F0070</t>
        </is>
      </c>
    </row>
    <row r="2367">
      <c r="A2367" t="inlineStr">
        <is>
          <t>Peter Serafinowicz</t>
        </is>
      </c>
      <c r="B2367" t="n">
        <v>3</v>
      </c>
      <c r="C2367" t="n">
        <v>2004</v>
      </c>
      <c r="D2367" t="n">
        <v>2016</v>
      </c>
      <c r="E2367" t="inlineStr">
        <is>
          <t>Shaun of the Dead, Sing, Spy</t>
        </is>
      </c>
      <c r="F2367" t="inlineStr">
        <is>
          <t>F0070, F0280, F0290</t>
        </is>
      </c>
    </row>
    <row r="2368">
      <c r="A2368" t="inlineStr">
        <is>
          <t>Reece Shearsmith</t>
        </is>
      </c>
      <c r="B2368" t="n">
        <v>2</v>
      </c>
      <c r="C2368" t="n">
        <v>2004</v>
      </c>
      <c r="D2368" t="n">
        <v>2013</v>
      </c>
      <c r="E2368" t="inlineStr">
        <is>
          <t>Shaun of the Dead, The World's End</t>
        </is>
      </c>
      <c r="F2368" t="inlineStr">
        <is>
          <t>F0070, F0072</t>
        </is>
      </c>
    </row>
    <row r="2369">
      <c r="A2369" t="inlineStr">
        <is>
          <t>Tamsin Greig</t>
        </is>
      </c>
      <c r="B2369" t="n">
        <v>1</v>
      </c>
      <c r="C2369" t="n">
        <v>2004</v>
      </c>
      <c r="D2369" t="n">
        <v>2004</v>
      </c>
      <c r="E2369" t="inlineStr">
        <is>
          <t>Shaun of the Dead</t>
        </is>
      </c>
      <c r="F2369" t="inlineStr">
        <is>
          <t>F0070</t>
        </is>
      </c>
    </row>
    <row r="2370">
      <c r="A2370" t="inlineStr">
        <is>
          <t>Julia Deakin</t>
        </is>
      </c>
      <c r="B2370" t="n">
        <v>2</v>
      </c>
      <c r="C2370" t="n">
        <v>2004</v>
      </c>
      <c r="D2370" t="n">
        <v>2007</v>
      </c>
      <c r="E2370" t="inlineStr">
        <is>
          <t>Shaun of the Dead, Hot Fuzz</t>
        </is>
      </c>
      <c r="F2370" t="inlineStr">
        <is>
          <t>F0070, F0071</t>
        </is>
      </c>
    </row>
    <row r="2371">
      <c r="A2371" t="inlineStr">
        <is>
          <t>Steve Emerson</t>
        </is>
      </c>
      <c r="B2371" t="n">
        <v>1</v>
      </c>
      <c r="C2371" t="n">
        <v>2004</v>
      </c>
      <c r="D2371" t="n">
        <v>2004</v>
      </c>
      <c r="E2371" t="inlineStr">
        <is>
          <t>Shaun of the Dead</t>
        </is>
      </c>
      <c r="F2371" t="inlineStr">
        <is>
          <t>F0070</t>
        </is>
      </c>
    </row>
    <row r="2372">
      <c r="A2372" t="inlineStr">
        <is>
          <t>Nicola Cunningham</t>
        </is>
      </c>
      <c r="B2372" t="n">
        <v>1</v>
      </c>
      <c r="C2372" t="n">
        <v>2004</v>
      </c>
      <c r="D2372" t="n">
        <v>2004</v>
      </c>
      <c r="E2372" t="inlineStr">
        <is>
          <t>Shaun of the Dead</t>
        </is>
      </c>
      <c r="F2372" t="inlineStr">
        <is>
          <t>F0070</t>
        </is>
      </c>
    </row>
    <row r="2373">
      <c r="A2373" t="inlineStr">
        <is>
          <t>Arvind Doshi</t>
        </is>
      </c>
      <c r="B2373" t="n">
        <v>1</v>
      </c>
      <c r="C2373" t="n">
        <v>2004</v>
      </c>
      <c r="D2373" t="n">
        <v>2004</v>
      </c>
      <c r="E2373" t="inlineStr">
        <is>
          <t>Shaun of the Dead</t>
        </is>
      </c>
      <c r="F2373" t="inlineStr">
        <is>
          <t>F0070</t>
        </is>
      </c>
    </row>
    <row r="2374">
      <c r="A2374" t="inlineStr">
        <is>
          <t>Stuart Powell</t>
        </is>
      </c>
      <c r="B2374" t="n">
        <v>1</v>
      </c>
      <c r="C2374" t="n">
        <v>2004</v>
      </c>
      <c r="D2374" t="n">
        <v>2004</v>
      </c>
      <c r="E2374" t="inlineStr">
        <is>
          <t>Shaun of the Dead</t>
        </is>
      </c>
      <c r="F2374" t="inlineStr">
        <is>
          <t>F0070</t>
        </is>
      </c>
    </row>
    <row r="2375">
      <c r="A2375" t="inlineStr">
        <is>
          <t>Phyllis MacMahon</t>
        </is>
      </c>
      <c r="B2375" t="n">
        <v>1</v>
      </c>
      <c r="C2375" t="n">
        <v>2004</v>
      </c>
      <c r="D2375" t="n">
        <v>2004</v>
      </c>
      <c r="E2375" t="inlineStr">
        <is>
          <t>Shaun of the Dead</t>
        </is>
      </c>
      <c r="F2375" t="inlineStr">
        <is>
          <t>F0070</t>
        </is>
      </c>
    </row>
    <row r="2376">
      <c r="A2376" t="inlineStr">
        <is>
          <t>Patricia Franklin</t>
        </is>
      </c>
      <c r="B2376" t="n">
        <v>2</v>
      </c>
      <c r="C2376" t="n">
        <v>2004</v>
      </c>
      <c r="D2376" t="n">
        <v>2007</v>
      </c>
      <c r="E2376" t="inlineStr">
        <is>
          <t>Shaun of the Dead, Hot Fuzz</t>
        </is>
      </c>
      <c r="F2376" t="inlineStr">
        <is>
          <t>F0070, F0071</t>
        </is>
      </c>
    </row>
    <row r="2377">
      <c r="A2377" t="inlineStr">
        <is>
          <t>Mark Donovan</t>
        </is>
      </c>
      <c r="B2377" t="n">
        <v>1</v>
      </c>
      <c r="C2377" t="n">
        <v>2004</v>
      </c>
      <c r="D2377" t="n">
        <v>2004</v>
      </c>
      <c r="E2377" t="inlineStr">
        <is>
          <t>Shaun of the Dead</t>
        </is>
      </c>
      <c r="F2377" t="inlineStr">
        <is>
          <t>F0070</t>
        </is>
      </c>
    </row>
    <row r="2378">
      <c r="A2378" t="inlineStr">
        <is>
          <t>Jon Buckland</t>
        </is>
      </c>
      <c r="B2378" t="n">
        <v>1</v>
      </c>
      <c r="C2378" t="n">
        <v>2004</v>
      </c>
      <c r="D2378" t="n">
        <v>2004</v>
      </c>
      <c r="E2378" t="inlineStr">
        <is>
          <t>Shaun of the Dead</t>
        </is>
      </c>
      <c r="F2378" t="inlineStr">
        <is>
          <t>F0070</t>
        </is>
      </c>
    </row>
    <row r="2379">
      <c r="A2379" t="inlineStr">
        <is>
          <t>Vernon Kay</t>
        </is>
      </c>
      <c r="B2379" t="n">
        <v>1</v>
      </c>
      <c r="C2379" t="n">
        <v>2004</v>
      </c>
      <c r="D2379" t="n">
        <v>2004</v>
      </c>
      <c r="E2379" t="inlineStr">
        <is>
          <t>Shaun of the Dead</t>
        </is>
      </c>
      <c r="F2379" t="inlineStr">
        <is>
          <t>F0070</t>
        </is>
      </c>
    </row>
    <row r="2380">
      <c r="A2380" t="inlineStr">
        <is>
          <t>Trisha Goddard</t>
        </is>
      </c>
      <c r="B2380" t="n">
        <v>1</v>
      </c>
      <c r="C2380" t="n">
        <v>2004</v>
      </c>
      <c r="D2380" t="n">
        <v>2004</v>
      </c>
      <c r="E2380" t="inlineStr">
        <is>
          <t>Shaun of the Dead</t>
        </is>
      </c>
      <c r="F2380" t="inlineStr">
        <is>
          <t>F0070</t>
        </is>
      </c>
    </row>
    <row r="2381">
      <c r="A2381" t="inlineStr">
        <is>
          <t>Jeremy Thompson</t>
        </is>
      </c>
      <c r="B2381" t="n">
        <v>1</v>
      </c>
      <c r="C2381" t="n">
        <v>2004</v>
      </c>
      <c r="D2381" t="n">
        <v>2004</v>
      </c>
      <c r="E2381" t="inlineStr">
        <is>
          <t>Shaun of the Dead</t>
        </is>
      </c>
      <c r="F2381" t="inlineStr">
        <is>
          <t>F0070</t>
        </is>
      </c>
    </row>
    <row r="2382">
      <c r="A2382" t="inlineStr">
        <is>
          <t>Carol Barnes</t>
        </is>
      </c>
      <c r="B2382" t="n">
        <v>1</v>
      </c>
      <c r="C2382" t="n">
        <v>2004</v>
      </c>
      <c r="D2382" t="n">
        <v>2004</v>
      </c>
      <c r="E2382" t="inlineStr">
        <is>
          <t>Shaun of the Dead</t>
        </is>
      </c>
      <c r="F2382" t="inlineStr">
        <is>
          <t>F0070</t>
        </is>
      </c>
    </row>
    <row r="2383">
      <c r="A2383" t="inlineStr">
        <is>
          <t>Krishnan Guru-Murthy</t>
        </is>
      </c>
      <c r="B2383" t="n">
        <v>1</v>
      </c>
      <c r="C2383" t="n">
        <v>2004</v>
      </c>
      <c r="D2383" t="n">
        <v>2004</v>
      </c>
      <c r="E2383" t="inlineStr">
        <is>
          <t>Shaun of the Dead</t>
        </is>
      </c>
      <c r="F2383" t="inlineStr">
        <is>
          <t>F0070</t>
        </is>
      </c>
    </row>
    <row r="2384">
      <c r="A2384" t="inlineStr">
        <is>
          <t>Rob Butler</t>
        </is>
      </c>
      <c r="B2384" t="n">
        <v>1</v>
      </c>
      <c r="C2384" t="n">
        <v>2004</v>
      </c>
      <c r="D2384" t="n">
        <v>2004</v>
      </c>
      <c r="E2384" t="inlineStr">
        <is>
          <t>Shaun of the Dead</t>
        </is>
      </c>
      <c r="F2384" t="inlineStr">
        <is>
          <t>F0070</t>
        </is>
      </c>
    </row>
    <row r="2385">
      <c r="A2385" t="inlineStr">
        <is>
          <t>Kevin Eldon</t>
        </is>
      </c>
      <c r="B2385" t="n">
        <v>1</v>
      </c>
      <c r="C2385" t="n">
        <v>2007</v>
      </c>
      <c r="D2385" t="n">
        <v>2007</v>
      </c>
      <c r="E2385" t="inlineStr">
        <is>
          <t>Hot Fuzz</t>
        </is>
      </c>
      <c r="F2385" t="inlineStr">
        <is>
          <t>F0071</t>
        </is>
      </c>
    </row>
    <row r="2386">
      <c r="A2386" t="inlineStr">
        <is>
          <t>Olivia Colman</t>
        </is>
      </c>
      <c r="B2386" t="n">
        <v>2</v>
      </c>
      <c r="C2386" t="n">
        <v>2007</v>
      </c>
      <c r="D2386" t="n">
        <v>2023</v>
      </c>
      <c r="E2386" t="inlineStr">
        <is>
          <t>Hot Fuzz, Wonka</t>
        </is>
      </c>
      <c r="F2386" t="inlineStr">
        <is>
          <t>F0071, F0338</t>
        </is>
      </c>
    </row>
    <row r="2387">
      <c r="A2387" t="inlineStr">
        <is>
          <t>Bill Bailey</t>
        </is>
      </c>
      <c r="B2387" t="n">
        <v>1</v>
      </c>
      <c r="C2387" t="n">
        <v>2007</v>
      </c>
      <c r="D2387" t="n">
        <v>2007</v>
      </c>
      <c r="E2387" t="inlineStr">
        <is>
          <t>Hot Fuzz</t>
        </is>
      </c>
      <c r="F2387" t="inlineStr">
        <is>
          <t>F0071</t>
        </is>
      </c>
    </row>
    <row r="2388">
      <c r="A2388" t="inlineStr">
        <is>
          <t>Karl Johnson</t>
        </is>
      </c>
      <c r="B2388" t="n">
        <v>1</v>
      </c>
      <c r="C2388" t="n">
        <v>2007</v>
      </c>
      <c r="D2388" t="n">
        <v>2007</v>
      </c>
      <c r="E2388" t="inlineStr">
        <is>
          <t>Hot Fuzz</t>
        </is>
      </c>
      <c r="F2388" t="inlineStr">
        <is>
          <t>F0071</t>
        </is>
      </c>
    </row>
    <row r="2389">
      <c r="A2389" t="inlineStr">
        <is>
          <t>Timothy Dalton</t>
        </is>
      </c>
      <c r="B2389" t="n">
        <v>2</v>
      </c>
      <c r="C2389" t="n">
        <v>2007</v>
      </c>
      <c r="D2389" t="n">
        <v>2010</v>
      </c>
      <c r="E2389" t="inlineStr">
        <is>
          <t>Hot Fuzz, Toy Story 3</t>
        </is>
      </c>
      <c r="F2389" t="inlineStr">
        <is>
          <t>F0071, F0314</t>
        </is>
      </c>
    </row>
    <row r="2390">
      <c r="A2390" t="inlineStr">
        <is>
          <t>Edward Woodward</t>
        </is>
      </c>
      <c r="B2390" t="n">
        <v>1</v>
      </c>
      <c r="C2390" t="n">
        <v>2007</v>
      </c>
      <c r="D2390" t="n">
        <v>2007</v>
      </c>
      <c r="E2390" t="inlineStr">
        <is>
          <t>Hot Fuzz</t>
        </is>
      </c>
      <c r="F2390" t="inlineStr">
        <is>
          <t>F0071</t>
        </is>
      </c>
    </row>
    <row r="2391">
      <c r="A2391" t="inlineStr">
        <is>
          <t>Billie Whitelaw</t>
        </is>
      </c>
      <c r="B2391" t="n">
        <v>1</v>
      </c>
      <c r="C2391" t="n">
        <v>2007</v>
      </c>
      <c r="D2391" t="n">
        <v>2007</v>
      </c>
      <c r="E2391" t="inlineStr">
        <is>
          <t>Hot Fuzz</t>
        </is>
      </c>
      <c r="F2391" t="inlineStr">
        <is>
          <t>F0071</t>
        </is>
      </c>
    </row>
    <row r="2392">
      <c r="A2392" t="inlineStr">
        <is>
          <t>Stuart Wilson</t>
        </is>
      </c>
      <c r="B2392" t="n">
        <v>2</v>
      </c>
      <c r="C2392" t="n">
        <v>1998</v>
      </c>
      <c r="D2392" t="n">
        <v>2007</v>
      </c>
      <c r="E2392" t="inlineStr">
        <is>
          <t>Hot Fuzz, Enemy of the State</t>
        </is>
      </c>
      <c r="F2392" t="inlineStr">
        <is>
          <t>F0071, F0094</t>
        </is>
      </c>
    </row>
    <row r="2393">
      <c r="A2393" t="inlineStr">
        <is>
          <t>Paul Freeman</t>
        </is>
      </c>
      <c r="B2393" t="n">
        <v>1</v>
      </c>
      <c r="C2393" t="n">
        <v>2007</v>
      </c>
      <c r="D2393" t="n">
        <v>2007</v>
      </c>
      <c r="E2393" t="inlineStr">
        <is>
          <t>Hot Fuzz</t>
        </is>
      </c>
      <c r="F2393" t="inlineStr">
        <is>
          <t>F0071</t>
        </is>
      </c>
    </row>
    <row r="2394">
      <c r="A2394" t="inlineStr">
        <is>
          <t>Kenneth Cranham</t>
        </is>
      </c>
      <c r="B2394" t="n">
        <v>3</v>
      </c>
      <c r="C2394" t="n">
        <v>2007</v>
      </c>
      <c r="D2394" t="n">
        <v>2014</v>
      </c>
      <c r="E2394" t="inlineStr">
        <is>
          <t>Hot Fuzz, The Legend of Hercules, Maleficent</t>
        </is>
      </c>
      <c r="F2394" t="inlineStr">
        <is>
          <t>F0071, F0148, F0208</t>
        </is>
      </c>
    </row>
    <row r="2395">
      <c r="A2395" t="inlineStr">
        <is>
          <t>Maria Charles</t>
        </is>
      </c>
      <c r="B2395" t="n">
        <v>1</v>
      </c>
      <c r="C2395" t="n">
        <v>2007</v>
      </c>
      <c r="D2395" t="n">
        <v>2007</v>
      </c>
      <c r="E2395" t="inlineStr">
        <is>
          <t>Hot Fuzz</t>
        </is>
      </c>
      <c r="F2395" t="inlineStr">
        <is>
          <t>F0071</t>
        </is>
      </c>
    </row>
    <row r="2396">
      <c r="A2396" t="inlineStr">
        <is>
          <t>Peter Wight</t>
        </is>
      </c>
      <c r="B2396" t="n">
        <v>1</v>
      </c>
      <c r="C2396" t="n">
        <v>2007</v>
      </c>
      <c r="D2396" t="n">
        <v>2007</v>
      </c>
      <c r="E2396" t="inlineStr">
        <is>
          <t>Hot Fuzz</t>
        </is>
      </c>
      <c r="F2396" t="inlineStr">
        <is>
          <t>F0071</t>
        </is>
      </c>
    </row>
    <row r="2397">
      <c r="A2397" t="inlineStr">
        <is>
          <t>Eric Mason</t>
        </is>
      </c>
      <c r="B2397" t="n">
        <v>1</v>
      </c>
      <c r="C2397" t="n">
        <v>2007</v>
      </c>
      <c r="D2397" t="n">
        <v>2007</v>
      </c>
      <c r="E2397" t="inlineStr">
        <is>
          <t>Hot Fuzz</t>
        </is>
      </c>
      <c r="F2397" t="inlineStr">
        <is>
          <t>F0071</t>
        </is>
      </c>
    </row>
    <row r="2398">
      <c r="A2398" t="inlineStr">
        <is>
          <t>Trevor Nichols</t>
        </is>
      </c>
      <c r="B2398" t="n">
        <v>1</v>
      </c>
      <c r="C2398" t="n">
        <v>2007</v>
      </c>
      <c r="D2398" t="n">
        <v>2007</v>
      </c>
      <c r="E2398" t="inlineStr">
        <is>
          <t>Hot Fuzz</t>
        </is>
      </c>
      <c r="F2398" t="inlineStr">
        <is>
          <t>F0071</t>
        </is>
      </c>
    </row>
    <row r="2399">
      <c r="A2399" t="inlineStr">
        <is>
          <t>Elizabeth Elvin</t>
        </is>
      </c>
      <c r="B2399" t="n">
        <v>1</v>
      </c>
      <c r="C2399" t="n">
        <v>2007</v>
      </c>
      <c r="D2399" t="n">
        <v>2007</v>
      </c>
      <c r="E2399" t="inlineStr">
        <is>
          <t>Hot Fuzz</t>
        </is>
      </c>
      <c r="F2399" t="inlineStr">
        <is>
          <t>F0071</t>
        </is>
      </c>
    </row>
    <row r="2400">
      <c r="A2400" t="inlineStr">
        <is>
          <t>Lorraine Hilton</t>
        </is>
      </c>
      <c r="B2400" t="n">
        <v>1</v>
      </c>
      <c r="C2400" t="n">
        <v>2007</v>
      </c>
      <c r="D2400" t="n">
        <v>2007</v>
      </c>
      <c r="E2400" t="inlineStr">
        <is>
          <t>Hot Fuzz</t>
        </is>
      </c>
      <c r="F2400" t="inlineStr">
        <is>
          <t>F0071</t>
        </is>
      </c>
    </row>
    <row r="2401">
      <c r="A2401" t="inlineStr">
        <is>
          <t>Tim Barlow</t>
        </is>
      </c>
      <c r="B2401" t="n">
        <v>1</v>
      </c>
      <c r="C2401" t="n">
        <v>2007</v>
      </c>
      <c r="D2401" t="n">
        <v>2007</v>
      </c>
      <c r="E2401" t="inlineStr">
        <is>
          <t>Hot Fuzz</t>
        </is>
      </c>
      <c r="F2401" t="inlineStr">
        <is>
          <t>F0071</t>
        </is>
      </c>
    </row>
    <row r="2402">
      <c r="A2402" t="inlineStr">
        <is>
          <t>Anne Reid</t>
        </is>
      </c>
      <c r="B2402" t="n">
        <v>1</v>
      </c>
      <c r="C2402" t="n">
        <v>2007</v>
      </c>
      <c r="D2402" t="n">
        <v>2007</v>
      </c>
      <c r="E2402" t="inlineStr">
        <is>
          <t>Hot Fuzz</t>
        </is>
      </c>
      <c r="F2402" t="inlineStr">
        <is>
          <t>F0071</t>
        </is>
      </c>
    </row>
    <row r="2403">
      <c r="A2403" t="inlineStr">
        <is>
          <t>David Threlfall</t>
        </is>
      </c>
      <c r="B2403" t="n">
        <v>1</v>
      </c>
      <c r="C2403" t="n">
        <v>2007</v>
      </c>
      <c r="D2403" t="n">
        <v>2007</v>
      </c>
      <c r="E2403" t="inlineStr">
        <is>
          <t>Hot Fuzz</t>
        </is>
      </c>
      <c r="F2403" t="inlineStr">
        <is>
          <t>F0071</t>
        </is>
      </c>
    </row>
    <row r="2404">
      <c r="A2404" t="inlineStr">
        <is>
          <t>David Bradley</t>
        </is>
      </c>
      <c r="B2404" t="n">
        <v>10</v>
      </c>
      <c r="C2404" t="n">
        <v>2001</v>
      </c>
      <c r="D2404" t="n">
        <v>2013</v>
      </c>
      <c r="E2404" t="inlineStr">
        <is>
          <t>Hot Fuzz, The World's End, Harry Potter and the Philosopher's Stone, Harry Potter and the Chamber of Secrets, Harry Potter and the Prisoner of Azkaban, Harry Potter and the Goblet of Fire, Harry Potter and the Order of the Phoenix, Harry Potter and the Half-Blood Prince, Harry Potter and the Deathly Hallows: Part 2, Hummingbird</t>
        </is>
      </c>
      <c r="F2404" t="inlineStr">
        <is>
          <t>F0071, F0072, F0137, F0138, F0139, F0140, F0141, F0142, F0144, F0156</t>
        </is>
      </c>
    </row>
    <row r="2405">
      <c r="A2405" t="inlineStr">
        <is>
          <t>Michael Smiley</t>
        </is>
      </c>
      <c r="B2405" t="n">
        <v>1</v>
      </c>
      <c r="C2405" t="n">
        <v>2013</v>
      </c>
      <c r="D2405" t="n">
        <v>2013</v>
      </c>
      <c r="E2405" t="inlineStr">
        <is>
          <t>The World's End</t>
        </is>
      </c>
      <c r="F2405" t="inlineStr">
        <is>
          <t>F0072</t>
        </is>
      </c>
    </row>
    <row r="2406">
      <c r="A2406" t="inlineStr">
        <is>
          <t>Steve Oram</t>
        </is>
      </c>
      <c r="B2406" t="n">
        <v>1</v>
      </c>
      <c r="C2406" t="n">
        <v>2013</v>
      </c>
      <c r="D2406" t="n">
        <v>2013</v>
      </c>
      <c r="E2406" t="inlineStr">
        <is>
          <t>The World's End</t>
        </is>
      </c>
      <c r="F2406" t="inlineStr">
        <is>
          <t>F0072</t>
        </is>
      </c>
    </row>
    <row r="2407">
      <c r="A2407" t="inlineStr">
        <is>
          <t>Nicholas Burns</t>
        </is>
      </c>
      <c r="B2407" t="n">
        <v>1</v>
      </c>
      <c r="C2407" t="n">
        <v>2013</v>
      </c>
      <c r="D2407" t="n">
        <v>2013</v>
      </c>
      <c r="E2407" t="inlineStr">
        <is>
          <t>The World's End</t>
        </is>
      </c>
      <c r="F2407" t="inlineStr">
        <is>
          <t>F0072</t>
        </is>
      </c>
    </row>
    <row r="2408">
      <c r="A2408" t="inlineStr">
        <is>
          <t>Thomas Law</t>
        </is>
      </c>
      <c r="B2408" t="n">
        <v>1</v>
      </c>
      <c r="C2408" t="n">
        <v>2013</v>
      </c>
      <c r="D2408" t="n">
        <v>2013</v>
      </c>
      <c r="E2408" t="inlineStr">
        <is>
          <t>The World's End</t>
        </is>
      </c>
      <c r="F2408" t="inlineStr">
        <is>
          <t>F0072</t>
        </is>
      </c>
    </row>
    <row r="2409">
      <c r="A2409" t="inlineStr">
        <is>
          <t>Zachary Bailess</t>
        </is>
      </c>
      <c r="B2409" t="n">
        <v>1</v>
      </c>
      <c r="C2409" t="n">
        <v>2013</v>
      </c>
      <c r="D2409" t="n">
        <v>2013</v>
      </c>
      <c r="E2409" t="inlineStr">
        <is>
          <t>The World's End</t>
        </is>
      </c>
      <c r="F2409" t="inlineStr">
        <is>
          <t>F0072</t>
        </is>
      </c>
    </row>
    <row r="2410">
      <c r="A2410" t="inlineStr">
        <is>
          <t>Jasper Levine</t>
        </is>
      </c>
      <c r="B2410" t="n">
        <v>1</v>
      </c>
      <c r="C2410" t="n">
        <v>2013</v>
      </c>
      <c r="D2410" t="n">
        <v>2013</v>
      </c>
      <c r="E2410" t="inlineStr">
        <is>
          <t>The World's End</t>
        </is>
      </c>
      <c r="F2410" t="inlineStr">
        <is>
          <t>F0072</t>
        </is>
      </c>
    </row>
    <row r="2411">
      <c r="A2411" t="inlineStr">
        <is>
          <t>James Tarpey</t>
        </is>
      </c>
      <c r="B2411" t="n">
        <v>1</v>
      </c>
      <c r="C2411" t="n">
        <v>2013</v>
      </c>
      <c r="D2411" t="n">
        <v>2013</v>
      </c>
      <c r="E2411" t="inlineStr">
        <is>
          <t>The World's End</t>
        </is>
      </c>
      <c r="F2411" t="inlineStr">
        <is>
          <t>F0072</t>
        </is>
      </c>
    </row>
    <row r="2412">
      <c r="A2412" t="inlineStr">
        <is>
          <t>Luke Bromley</t>
        </is>
      </c>
      <c r="B2412" t="n">
        <v>1</v>
      </c>
      <c r="C2412" t="n">
        <v>2013</v>
      </c>
      <c r="D2412" t="n">
        <v>2013</v>
      </c>
      <c r="E2412" t="inlineStr">
        <is>
          <t>The World's End</t>
        </is>
      </c>
      <c r="F2412" t="inlineStr">
        <is>
          <t>F0072</t>
        </is>
      </c>
    </row>
    <row r="2413">
      <c r="A2413" t="inlineStr">
        <is>
          <t>Sophie Evans</t>
        </is>
      </c>
      <c r="B2413" t="n">
        <v>1</v>
      </c>
      <c r="C2413" t="n">
        <v>2013</v>
      </c>
      <c r="D2413" t="n">
        <v>2013</v>
      </c>
      <c r="E2413" t="inlineStr">
        <is>
          <t>The World's End</t>
        </is>
      </c>
      <c r="F2413" t="inlineStr">
        <is>
          <t>F0072</t>
        </is>
      </c>
    </row>
    <row r="2414">
      <c r="A2414" t="inlineStr">
        <is>
          <t>Samantha White</t>
        </is>
      </c>
      <c r="B2414" t="n">
        <v>1</v>
      </c>
      <c r="C2414" t="n">
        <v>2013</v>
      </c>
      <c r="D2414" t="n">
        <v>2013</v>
      </c>
      <c r="E2414" t="inlineStr">
        <is>
          <t>The World's End</t>
        </is>
      </c>
      <c r="F2414" t="inlineStr">
        <is>
          <t>F0072</t>
        </is>
      </c>
    </row>
    <row r="2415">
      <c r="A2415" t="inlineStr">
        <is>
          <t>Rose Reynolds</t>
        </is>
      </c>
      <c r="B2415" t="n">
        <v>1</v>
      </c>
      <c r="C2415" t="n">
        <v>2013</v>
      </c>
      <c r="D2415" t="n">
        <v>2013</v>
      </c>
      <c r="E2415" t="inlineStr">
        <is>
          <t>The World's End</t>
        </is>
      </c>
      <c r="F2415" t="inlineStr">
        <is>
          <t>F0072</t>
        </is>
      </c>
    </row>
    <row r="2416">
      <c r="A2416" t="inlineStr">
        <is>
          <t>Richard Hadfield</t>
        </is>
      </c>
      <c r="B2416" t="n">
        <v>1</v>
      </c>
      <c r="C2416" t="n">
        <v>2013</v>
      </c>
      <c r="D2416" t="n">
        <v>2013</v>
      </c>
      <c r="E2416" t="inlineStr">
        <is>
          <t>The World's End</t>
        </is>
      </c>
      <c r="F2416" t="inlineStr">
        <is>
          <t>F0072</t>
        </is>
      </c>
    </row>
    <row r="2417">
      <c r="A2417" t="inlineStr">
        <is>
          <t>Flora Slorach</t>
        </is>
      </c>
      <c r="B2417" t="n">
        <v>1</v>
      </c>
      <c r="C2417" t="n">
        <v>2013</v>
      </c>
      <c r="D2417" t="n">
        <v>2013</v>
      </c>
      <c r="E2417" t="inlineStr">
        <is>
          <t>The World's End</t>
        </is>
      </c>
      <c r="F2417" t="inlineStr">
        <is>
          <t>F0072</t>
        </is>
      </c>
    </row>
    <row r="2418">
      <c r="A2418" t="inlineStr">
        <is>
          <t>Francesca Reidie</t>
        </is>
      </c>
      <c r="B2418" t="n">
        <v>1</v>
      </c>
      <c r="C2418" t="n">
        <v>2013</v>
      </c>
      <c r="D2418" t="n">
        <v>2013</v>
      </c>
      <c r="E2418" t="inlineStr">
        <is>
          <t>The World's End</t>
        </is>
      </c>
      <c r="F2418" t="inlineStr">
        <is>
          <t>F0072</t>
        </is>
      </c>
    </row>
    <row r="2419">
      <c r="A2419" t="inlineStr">
        <is>
          <t>Charlotte Reidie</t>
        </is>
      </c>
      <c r="B2419" t="n">
        <v>1</v>
      </c>
      <c r="C2419" t="n">
        <v>2013</v>
      </c>
      <c r="D2419" t="n">
        <v>2013</v>
      </c>
      <c r="E2419" t="inlineStr">
        <is>
          <t>The World's End</t>
        </is>
      </c>
      <c r="F2419" t="inlineStr">
        <is>
          <t>F0072</t>
        </is>
      </c>
    </row>
    <row r="2420">
      <c r="A2420" t="inlineStr">
        <is>
          <t>Alex Austin</t>
        </is>
      </c>
      <c r="B2420" t="n">
        <v>1</v>
      </c>
      <c r="C2420" t="n">
        <v>2013</v>
      </c>
      <c r="D2420" t="n">
        <v>2013</v>
      </c>
      <c r="E2420" t="inlineStr">
        <is>
          <t>The World's End</t>
        </is>
      </c>
      <c r="F2420" t="inlineStr">
        <is>
          <t>F0072</t>
        </is>
      </c>
    </row>
    <row r="2421">
      <c r="A2421" t="inlineStr">
        <is>
          <t>Jonathan Aris</t>
        </is>
      </c>
      <c r="B2421" t="n">
        <v>2</v>
      </c>
      <c r="C2421" t="n">
        <v>2013</v>
      </c>
      <c r="D2421" t="n">
        <v>2015</v>
      </c>
      <c r="E2421" t="inlineStr">
        <is>
          <t>The World's End, The Martian</t>
        </is>
      </c>
      <c r="F2421" t="inlineStr">
        <is>
          <t>F0072, F0213</t>
        </is>
      </c>
    </row>
    <row r="2422">
      <c r="A2422" t="inlineStr">
        <is>
          <t>Jenny Bede</t>
        </is>
      </c>
      <c r="B2422" t="n">
        <v>1</v>
      </c>
      <c r="C2422" t="n">
        <v>2013</v>
      </c>
      <c r="D2422" t="n">
        <v>2013</v>
      </c>
      <c r="E2422" t="inlineStr">
        <is>
          <t>The World's End</t>
        </is>
      </c>
      <c r="F2422" t="inlineStr">
        <is>
          <t>F0072</t>
        </is>
      </c>
    </row>
    <row r="2423">
      <c r="A2423" t="inlineStr">
        <is>
          <t>Angie Wallis</t>
        </is>
      </c>
      <c r="B2423" t="n">
        <v>1</v>
      </c>
      <c r="C2423" t="n">
        <v>2013</v>
      </c>
      <c r="D2423" t="n">
        <v>2013</v>
      </c>
      <c r="E2423" t="inlineStr">
        <is>
          <t>The World's End</t>
        </is>
      </c>
      <c r="F2423" t="inlineStr">
        <is>
          <t>F0072</t>
        </is>
      </c>
    </row>
    <row r="2424">
      <c r="A2424" t="inlineStr">
        <is>
          <t>Noah Ringer</t>
        </is>
      </c>
      <c r="B2424" t="n">
        <v>1</v>
      </c>
      <c r="C2424" t="n">
        <v>2011</v>
      </c>
      <c r="D2424" t="n">
        <v>2011</v>
      </c>
      <c r="E2424" t="inlineStr">
        <is>
          <t>Cowboys &amp; Aliens</t>
        </is>
      </c>
      <c r="F2424" t="inlineStr">
        <is>
          <t>F0073</t>
        </is>
      </c>
    </row>
    <row r="2425">
      <c r="A2425" t="inlineStr">
        <is>
          <t>Keith Carradine</t>
        </is>
      </c>
      <c r="B2425" t="n">
        <v>1</v>
      </c>
      <c r="C2425" t="n">
        <v>2011</v>
      </c>
      <c r="D2425" t="n">
        <v>2011</v>
      </c>
      <c r="E2425" t="inlineStr">
        <is>
          <t>Cowboys &amp; Aliens</t>
        </is>
      </c>
      <c r="F2425" t="inlineStr">
        <is>
          <t>F0073</t>
        </is>
      </c>
    </row>
    <row r="2426">
      <c r="A2426" t="inlineStr">
        <is>
          <t>Abigail Spencer</t>
        </is>
      </c>
      <c r="B2426" t="n">
        <v>1</v>
      </c>
      <c r="C2426" t="n">
        <v>2011</v>
      </c>
      <c r="D2426" t="n">
        <v>2011</v>
      </c>
      <c r="E2426" t="inlineStr">
        <is>
          <t>Cowboys &amp; Aliens</t>
        </is>
      </c>
      <c r="F2426" t="inlineStr">
        <is>
          <t>F0073</t>
        </is>
      </c>
    </row>
    <row r="2427">
      <c r="A2427" t="inlineStr">
        <is>
          <t>Raoul Max Trujillo</t>
        </is>
      </c>
      <c r="B2427" t="n">
        <v>2</v>
      </c>
      <c r="C2427" t="n">
        <v>2011</v>
      </c>
      <c r="D2427" t="n">
        <v>2013</v>
      </c>
      <c r="E2427" t="inlineStr">
        <is>
          <t>Cowboys &amp; Aliens, Riddick</t>
        </is>
      </c>
      <c r="F2427" t="inlineStr">
        <is>
          <t>F0073, F0264</t>
        </is>
      </c>
    </row>
    <row r="2428">
      <c r="A2428" t="inlineStr">
        <is>
          <t>David O'Hara</t>
        </is>
      </c>
      <c r="B2428" t="n">
        <v>2</v>
      </c>
      <c r="C2428" t="n">
        <v>2006</v>
      </c>
      <c r="D2428" t="n">
        <v>2011</v>
      </c>
      <c r="E2428" t="inlineStr">
        <is>
          <t>Cowboys &amp; Aliens, The Departed</t>
        </is>
      </c>
      <c r="F2428" t="inlineStr">
        <is>
          <t>F0073, F0081</t>
        </is>
      </c>
    </row>
    <row r="2429">
      <c r="A2429" t="inlineStr">
        <is>
          <t>Buck Taylor</t>
        </is>
      </c>
      <c r="B2429" t="n">
        <v>1</v>
      </c>
      <c r="C2429" t="n">
        <v>2011</v>
      </c>
      <c r="D2429" t="n">
        <v>2011</v>
      </c>
      <c r="E2429" t="inlineStr">
        <is>
          <t>Cowboys &amp; Aliens</t>
        </is>
      </c>
      <c r="F2429" t="inlineStr">
        <is>
          <t>F0073</t>
        </is>
      </c>
    </row>
    <row r="2430">
      <c r="A2430" t="inlineStr">
        <is>
          <t>Matthew Taylor</t>
        </is>
      </c>
      <c r="B2430" t="n">
        <v>1</v>
      </c>
      <c r="C2430" t="n">
        <v>2011</v>
      </c>
      <c r="D2430" t="n">
        <v>2011</v>
      </c>
      <c r="E2430" t="inlineStr">
        <is>
          <t>Cowboys &amp; Aliens</t>
        </is>
      </c>
      <c r="F2430" t="inlineStr">
        <is>
          <t>F0073</t>
        </is>
      </c>
    </row>
    <row r="2431">
      <c r="A2431" t="inlineStr">
        <is>
          <t>Cooper Taylor</t>
        </is>
      </c>
      <c r="B2431" t="n">
        <v>1</v>
      </c>
      <c r="C2431" t="n">
        <v>2011</v>
      </c>
      <c r="D2431" t="n">
        <v>2011</v>
      </c>
      <c r="E2431" t="inlineStr">
        <is>
          <t>Cowboys &amp; Aliens</t>
        </is>
      </c>
      <c r="F2431" t="inlineStr">
        <is>
          <t>F0073</t>
        </is>
      </c>
    </row>
    <row r="2432">
      <c r="A2432" t="inlineStr">
        <is>
          <t>Chris Browning</t>
        </is>
      </c>
      <c r="B2432" t="n">
        <v>2</v>
      </c>
      <c r="C2432" t="n">
        <v>2009</v>
      </c>
      <c r="D2432" t="n">
        <v>2011</v>
      </c>
      <c r="E2432" t="inlineStr">
        <is>
          <t>Cowboys &amp; Aliens, Terminator Salvation</t>
        </is>
      </c>
      <c r="F2432" t="inlineStr">
        <is>
          <t>F0073, F0310</t>
        </is>
      </c>
    </row>
    <row r="2433">
      <c r="A2433" t="inlineStr">
        <is>
          <t>Brian Duffy</t>
        </is>
      </c>
      <c r="B2433" t="n">
        <v>1</v>
      </c>
      <c r="C2433" t="n">
        <v>2011</v>
      </c>
      <c r="D2433" t="n">
        <v>2011</v>
      </c>
      <c r="E2433" t="inlineStr">
        <is>
          <t>Cowboys &amp; Aliens</t>
        </is>
      </c>
      <c r="F2433" t="inlineStr">
        <is>
          <t>F0073</t>
        </is>
      </c>
    </row>
    <row r="2434">
      <c r="A2434" t="inlineStr">
        <is>
          <t>Brendan Wayne</t>
        </is>
      </c>
      <c r="B2434" t="n">
        <v>1</v>
      </c>
      <c r="C2434" t="n">
        <v>2011</v>
      </c>
      <c r="D2434" t="n">
        <v>2011</v>
      </c>
      <c r="E2434" t="inlineStr">
        <is>
          <t>Cowboys &amp; Aliens</t>
        </is>
      </c>
      <c r="F2434" t="inlineStr">
        <is>
          <t>F0073</t>
        </is>
      </c>
    </row>
    <row r="2435">
      <c r="A2435" t="inlineStr">
        <is>
          <t>Gavin Grazer</t>
        </is>
      </c>
      <c r="B2435" t="n">
        <v>1</v>
      </c>
      <c r="C2435" t="n">
        <v>2011</v>
      </c>
      <c r="D2435" t="n">
        <v>2011</v>
      </c>
      <c r="E2435" t="inlineStr">
        <is>
          <t>Cowboys &amp; Aliens</t>
        </is>
      </c>
      <c r="F2435" t="inlineStr">
        <is>
          <t>F0073</t>
        </is>
      </c>
    </row>
    <row r="2436">
      <c r="A2436" t="inlineStr">
        <is>
          <t>Toby Huss</t>
        </is>
      </c>
      <c r="B2436" t="n">
        <v>1</v>
      </c>
      <c r="C2436" t="n">
        <v>2011</v>
      </c>
      <c r="D2436" t="n">
        <v>2011</v>
      </c>
      <c r="E2436" t="inlineStr">
        <is>
          <t>Cowboys &amp; Aliens</t>
        </is>
      </c>
      <c r="F2436" t="inlineStr">
        <is>
          <t>F0073</t>
        </is>
      </c>
    </row>
    <row r="2437">
      <c r="A2437" t="inlineStr">
        <is>
          <t>Jimmy Jatho</t>
        </is>
      </c>
      <c r="B2437" t="n">
        <v>1</v>
      </c>
      <c r="C2437" t="n">
        <v>2011</v>
      </c>
      <c r="D2437" t="n">
        <v>2011</v>
      </c>
      <c r="E2437" t="inlineStr">
        <is>
          <t>Cowboys &amp; Aliens</t>
        </is>
      </c>
      <c r="F2437" t="inlineStr">
        <is>
          <t>F0073</t>
        </is>
      </c>
    </row>
    <row r="2438">
      <c r="A2438" t="inlineStr">
        <is>
          <t>Kenny Call</t>
        </is>
      </c>
      <c r="B2438" t="n">
        <v>1</v>
      </c>
      <c r="C2438" t="n">
        <v>2011</v>
      </c>
      <c r="D2438" t="n">
        <v>2011</v>
      </c>
      <c r="E2438" t="inlineStr">
        <is>
          <t>Cowboys &amp; Aliens</t>
        </is>
      </c>
      <c r="F2438" t="inlineStr">
        <is>
          <t>F0073</t>
        </is>
      </c>
    </row>
    <row r="2439">
      <c r="A2439" t="inlineStr">
        <is>
          <t>Julio Cesar Cedillo</t>
        </is>
      </c>
      <c r="B2439" t="n">
        <v>1</v>
      </c>
      <c r="C2439" t="n">
        <v>2011</v>
      </c>
      <c r="D2439" t="n">
        <v>2011</v>
      </c>
      <c r="E2439" t="inlineStr">
        <is>
          <t>Cowboys &amp; Aliens</t>
        </is>
      </c>
      <c r="F2439" t="inlineStr">
        <is>
          <t>F0073</t>
        </is>
      </c>
    </row>
    <row r="2440">
      <c r="A2440" t="inlineStr">
        <is>
          <t>Garret Noël</t>
        </is>
      </c>
      <c r="B2440" t="n">
        <v>1</v>
      </c>
      <c r="C2440" t="n">
        <v>2011</v>
      </c>
      <c r="D2440" t="n">
        <v>2011</v>
      </c>
      <c r="E2440" t="inlineStr">
        <is>
          <t>Cowboys &amp; Aliens</t>
        </is>
      </c>
      <c r="F2440" t="inlineStr">
        <is>
          <t>F0073</t>
        </is>
      </c>
    </row>
    <row r="2441">
      <c r="A2441" t="inlineStr">
        <is>
          <t>Troy Gilbert</t>
        </is>
      </c>
      <c r="B2441" t="n">
        <v>1</v>
      </c>
      <c r="C2441" t="n">
        <v>2011</v>
      </c>
      <c r="D2441" t="n">
        <v>2011</v>
      </c>
      <c r="E2441" t="inlineStr">
        <is>
          <t>Cowboys &amp; Aliens</t>
        </is>
      </c>
      <c r="F2441" t="inlineStr">
        <is>
          <t>F0073</t>
        </is>
      </c>
    </row>
    <row r="2442">
      <c r="A2442" t="inlineStr">
        <is>
          <t>Chad Randall</t>
        </is>
      </c>
      <c r="B2442" t="n">
        <v>4</v>
      </c>
      <c r="C2442" t="n">
        <v>2011</v>
      </c>
      <c r="D2442" t="n">
        <v>2015</v>
      </c>
      <c r="E2442" t="inlineStr">
        <is>
          <t>Cowboys &amp; Aliens, Jurassic World, Lawless, Need for Speed</t>
        </is>
      </c>
      <c r="F2442" t="inlineStr">
        <is>
          <t>F0073, F0179, F0192, F0234</t>
        </is>
      </c>
    </row>
    <row r="2443">
      <c r="A2443" t="inlineStr">
        <is>
          <t>Scout Hendrickson</t>
        </is>
      </c>
      <c r="B2443" t="n">
        <v>1</v>
      </c>
      <c r="C2443" t="n">
        <v>2011</v>
      </c>
      <c r="D2443" t="n">
        <v>2011</v>
      </c>
      <c r="E2443" t="inlineStr">
        <is>
          <t>Cowboys &amp; Aliens</t>
        </is>
      </c>
      <c r="F2443" t="inlineStr">
        <is>
          <t>F0073</t>
        </is>
      </c>
    </row>
    <row r="2444">
      <c r="A2444" t="inlineStr">
        <is>
          <t>Tony Bellew</t>
        </is>
      </c>
      <c r="B2444" t="n">
        <v>1</v>
      </c>
      <c r="C2444" t="n">
        <v>2015</v>
      </c>
      <c r="D2444" t="n">
        <v>2015</v>
      </c>
      <c r="E2444" t="inlineStr">
        <is>
          <t>Creed</t>
        </is>
      </c>
      <c r="F2444" t="inlineStr">
        <is>
          <t>F0074</t>
        </is>
      </c>
    </row>
    <row r="2445">
      <c r="A2445" t="inlineStr">
        <is>
          <t>Jacob 'Stitch' Duran</t>
        </is>
      </c>
      <c r="B2445" t="n">
        <v>1</v>
      </c>
      <c r="C2445" t="n">
        <v>2015</v>
      </c>
      <c r="D2445" t="n">
        <v>2015</v>
      </c>
      <c r="E2445" t="inlineStr">
        <is>
          <t>Creed</t>
        </is>
      </c>
      <c r="F2445" t="inlineStr">
        <is>
          <t>F0074</t>
        </is>
      </c>
    </row>
    <row r="2446">
      <c r="A2446" t="inlineStr">
        <is>
          <t>Malik Bazille</t>
        </is>
      </c>
      <c r="B2446" t="n">
        <v>1</v>
      </c>
      <c r="C2446" t="n">
        <v>2015</v>
      </c>
      <c r="D2446" t="n">
        <v>2015</v>
      </c>
      <c r="E2446" t="inlineStr">
        <is>
          <t>Creed</t>
        </is>
      </c>
      <c r="F2446" t="inlineStr">
        <is>
          <t>F0074</t>
        </is>
      </c>
    </row>
    <row r="2447">
      <c r="A2447" t="inlineStr">
        <is>
          <t>Ricardo 'Padman' McGill</t>
        </is>
      </c>
      <c r="B2447" t="n">
        <v>1</v>
      </c>
      <c r="C2447" t="n">
        <v>2015</v>
      </c>
      <c r="D2447" t="n">
        <v>2015</v>
      </c>
      <c r="E2447" t="inlineStr">
        <is>
          <t>Creed</t>
        </is>
      </c>
      <c r="F2447" t="inlineStr">
        <is>
          <t>F0074</t>
        </is>
      </c>
    </row>
    <row r="2448">
      <c r="A2448" t="inlineStr">
        <is>
          <t>Gabriel Rosado</t>
        </is>
      </c>
      <c r="B2448" t="n">
        <v>1</v>
      </c>
      <c r="C2448" t="n">
        <v>2015</v>
      </c>
      <c r="D2448" t="n">
        <v>2015</v>
      </c>
      <c r="E2448" t="inlineStr">
        <is>
          <t>Creed</t>
        </is>
      </c>
      <c r="F2448" t="inlineStr">
        <is>
          <t>F0074</t>
        </is>
      </c>
    </row>
    <row r="2449">
      <c r="A2449" t="inlineStr">
        <is>
          <t>Wood Harris</t>
        </is>
      </c>
      <c r="B2449" t="n">
        <v>1</v>
      </c>
      <c r="C2449" t="n">
        <v>2015</v>
      </c>
      <c r="D2449" t="n">
        <v>2015</v>
      </c>
      <c r="E2449" t="inlineStr">
        <is>
          <t>Creed</t>
        </is>
      </c>
      <c r="F2449" t="inlineStr">
        <is>
          <t>F0074</t>
        </is>
      </c>
    </row>
    <row r="2450">
      <c r="A2450" t="inlineStr">
        <is>
          <t>Buddy Osborn</t>
        </is>
      </c>
      <c r="B2450" t="n">
        <v>1</v>
      </c>
      <c r="C2450" t="n">
        <v>2015</v>
      </c>
      <c r="D2450" t="n">
        <v>2015</v>
      </c>
      <c r="E2450" t="inlineStr">
        <is>
          <t>Creed</t>
        </is>
      </c>
      <c r="F2450" t="inlineStr">
        <is>
          <t>F0074</t>
        </is>
      </c>
    </row>
    <row r="2451">
      <c r="A2451" t="inlineStr">
        <is>
          <t>Rupal Pujara</t>
        </is>
      </c>
      <c r="B2451" t="n">
        <v>1</v>
      </c>
      <c r="C2451" t="n">
        <v>2015</v>
      </c>
      <c r="D2451" t="n">
        <v>2015</v>
      </c>
      <c r="E2451" t="inlineStr">
        <is>
          <t>Creed</t>
        </is>
      </c>
      <c r="F2451" t="inlineStr">
        <is>
          <t>F0074</t>
        </is>
      </c>
    </row>
    <row r="2452">
      <c r="A2452" t="inlineStr">
        <is>
          <t>Brian Anthony Wilson</t>
        </is>
      </c>
      <c r="B2452" t="n">
        <v>1</v>
      </c>
      <c r="C2452" t="n">
        <v>2015</v>
      </c>
      <c r="D2452" t="n">
        <v>2015</v>
      </c>
      <c r="E2452" t="inlineStr">
        <is>
          <t>Creed</t>
        </is>
      </c>
      <c r="F2452" t="inlineStr">
        <is>
          <t>F0074</t>
        </is>
      </c>
    </row>
    <row r="2453">
      <c r="A2453" t="inlineStr">
        <is>
          <t>Joey Eye</t>
        </is>
      </c>
      <c r="B2453" t="n">
        <v>1</v>
      </c>
      <c r="C2453" t="n">
        <v>2015</v>
      </c>
      <c r="D2453" t="n">
        <v>2015</v>
      </c>
      <c r="E2453" t="inlineStr">
        <is>
          <t>Creed</t>
        </is>
      </c>
      <c r="F2453" t="inlineStr">
        <is>
          <t>F0074</t>
        </is>
      </c>
    </row>
    <row r="2454">
      <c r="A2454" t="inlineStr">
        <is>
          <t>Johanna Tolentino</t>
        </is>
      </c>
      <c r="B2454" t="n">
        <v>1</v>
      </c>
      <c r="C2454" t="n">
        <v>2015</v>
      </c>
      <c r="D2454" t="n">
        <v>2015</v>
      </c>
      <c r="E2454" t="inlineStr">
        <is>
          <t>Creed</t>
        </is>
      </c>
      <c r="F2454" t="inlineStr">
        <is>
          <t>F0074</t>
        </is>
      </c>
    </row>
    <row r="2455">
      <c r="A2455" t="inlineStr">
        <is>
          <t>Tony Brice</t>
        </is>
      </c>
      <c r="B2455" t="n">
        <v>1</v>
      </c>
      <c r="C2455" t="n">
        <v>2015</v>
      </c>
      <c r="D2455" t="n">
        <v>2015</v>
      </c>
      <c r="E2455" t="inlineStr">
        <is>
          <t>Creed</t>
        </is>
      </c>
      <c r="F2455" t="inlineStr">
        <is>
          <t>F0074</t>
        </is>
      </c>
    </row>
    <row r="2456">
      <c r="A2456" t="inlineStr">
        <is>
          <t>Kash Goins</t>
        </is>
      </c>
      <c r="B2456" t="n">
        <v>1</v>
      </c>
      <c r="C2456" t="n">
        <v>2015</v>
      </c>
      <c r="D2456" t="n">
        <v>2015</v>
      </c>
      <c r="E2456" t="inlineStr">
        <is>
          <t>Creed</t>
        </is>
      </c>
      <c r="F2456" t="inlineStr">
        <is>
          <t>F0074</t>
        </is>
      </c>
    </row>
    <row r="2457">
      <c r="A2457" t="inlineStr">
        <is>
          <t>Michael Barker</t>
        </is>
      </c>
      <c r="B2457" t="n">
        <v>1</v>
      </c>
      <c r="C2457" t="n">
        <v>2015</v>
      </c>
      <c r="D2457" t="n">
        <v>2015</v>
      </c>
      <c r="E2457" t="inlineStr">
        <is>
          <t>Creed</t>
        </is>
      </c>
      <c r="F2457" t="inlineStr">
        <is>
          <t>F0074</t>
        </is>
      </c>
    </row>
    <row r="2458">
      <c r="A2458" t="inlineStr">
        <is>
          <t>Clare O'Malley</t>
        </is>
      </c>
      <c r="B2458" t="n">
        <v>1</v>
      </c>
      <c r="C2458" t="n">
        <v>2015</v>
      </c>
      <c r="D2458" t="n">
        <v>2015</v>
      </c>
      <c r="E2458" t="inlineStr">
        <is>
          <t>Creed</t>
        </is>
      </c>
      <c r="F2458" t="inlineStr">
        <is>
          <t>F0074</t>
        </is>
      </c>
    </row>
    <row r="2459">
      <c r="A2459" t="inlineStr">
        <is>
          <t>Kevin King Templeton</t>
        </is>
      </c>
      <c r="B2459" t="n">
        <v>1</v>
      </c>
      <c r="C2459" t="n">
        <v>2015</v>
      </c>
      <c r="D2459" t="n">
        <v>2015</v>
      </c>
      <c r="E2459" t="inlineStr">
        <is>
          <t>Creed</t>
        </is>
      </c>
      <c r="F2459" t="inlineStr">
        <is>
          <t>F0074</t>
        </is>
      </c>
    </row>
    <row r="2460">
      <c r="A2460" t="inlineStr">
        <is>
          <t>Roy James Wilson</t>
        </is>
      </c>
      <c r="B2460" t="n">
        <v>1</v>
      </c>
      <c r="C2460" t="n">
        <v>2015</v>
      </c>
      <c r="D2460" t="n">
        <v>2015</v>
      </c>
      <c r="E2460" t="inlineStr">
        <is>
          <t>Creed</t>
        </is>
      </c>
      <c r="F2460" t="inlineStr">
        <is>
          <t>F0074</t>
        </is>
      </c>
    </row>
    <row r="2461">
      <c r="A2461" t="inlineStr">
        <is>
          <t>Mauricio Ovalle</t>
        </is>
      </c>
      <c r="B2461" t="n">
        <v>1</v>
      </c>
      <c r="C2461" t="n">
        <v>2015</v>
      </c>
      <c r="D2461" t="n">
        <v>2015</v>
      </c>
      <c r="E2461" t="inlineStr">
        <is>
          <t>Creed</t>
        </is>
      </c>
      <c r="F2461" t="inlineStr">
        <is>
          <t>F0074</t>
        </is>
      </c>
    </row>
    <row r="2462">
      <c r="A2462" t="inlineStr">
        <is>
          <t>Mark Rhino Smith</t>
        </is>
      </c>
      <c r="B2462" t="n">
        <v>1</v>
      </c>
      <c r="C2462" t="n">
        <v>2015</v>
      </c>
      <c r="D2462" t="n">
        <v>2015</v>
      </c>
      <c r="E2462" t="inlineStr">
        <is>
          <t>Creed</t>
        </is>
      </c>
      <c r="F2462" t="inlineStr">
        <is>
          <t>F0074</t>
        </is>
      </c>
    </row>
    <row r="2463">
      <c r="A2463" t="inlineStr">
        <is>
          <t>Josue Rivera</t>
        </is>
      </c>
      <c r="B2463" t="n">
        <v>1</v>
      </c>
      <c r="C2463" t="n">
        <v>2015</v>
      </c>
      <c r="D2463" t="n">
        <v>2015</v>
      </c>
      <c r="E2463" t="inlineStr">
        <is>
          <t>Creed</t>
        </is>
      </c>
      <c r="F2463" t="inlineStr">
        <is>
          <t>F0074</t>
        </is>
      </c>
    </row>
    <row r="2464">
      <c r="A2464" t="inlineStr">
        <is>
          <t>Hans Marrero</t>
        </is>
      </c>
      <c r="B2464" t="n">
        <v>1</v>
      </c>
      <c r="C2464" t="n">
        <v>2015</v>
      </c>
      <c r="D2464" t="n">
        <v>2015</v>
      </c>
      <c r="E2464" t="inlineStr">
        <is>
          <t>Creed</t>
        </is>
      </c>
      <c r="F2464" t="inlineStr">
        <is>
          <t>F0074</t>
        </is>
      </c>
    </row>
    <row r="2465">
      <c r="A2465" t="inlineStr">
        <is>
          <t>Derrick Webster</t>
        </is>
      </c>
      <c r="B2465" t="n">
        <v>1</v>
      </c>
      <c r="C2465" t="n">
        <v>2015</v>
      </c>
      <c r="D2465" t="n">
        <v>2015</v>
      </c>
      <c r="E2465" t="inlineStr">
        <is>
          <t>Creed</t>
        </is>
      </c>
      <c r="F2465" t="inlineStr">
        <is>
          <t>F0074</t>
        </is>
      </c>
    </row>
    <row r="2466">
      <c r="A2466" t="inlineStr">
        <is>
          <t>Manny Ayala</t>
        </is>
      </c>
      <c r="B2466" t="n">
        <v>1</v>
      </c>
      <c r="C2466" t="n">
        <v>2015</v>
      </c>
      <c r="D2466" t="n">
        <v>2015</v>
      </c>
      <c r="E2466" t="inlineStr">
        <is>
          <t>Creed</t>
        </is>
      </c>
      <c r="F2466" t="inlineStr">
        <is>
          <t>F0074</t>
        </is>
      </c>
    </row>
    <row r="2467">
      <c r="A2467" t="inlineStr">
        <is>
          <t>Chris Sanders</t>
        </is>
      </c>
      <c r="B2467" t="n">
        <v>1</v>
      </c>
      <c r="C2467" t="n">
        <v>2013</v>
      </c>
      <c r="D2467" t="n">
        <v>2013</v>
      </c>
      <c r="E2467" t="inlineStr">
        <is>
          <t>The Croods</t>
        </is>
      </c>
      <c r="F2467" t="inlineStr">
        <is>
          <t>F0075</t>
        </is>
      </c>
    </row>
    <row r="2468">
      <c r="A2468" t="inlineStr">
        <is>
          <t>Randy Thom</t>
        </is>
      </c>
      <c r="B2468" t="n">
        <v>3</v>
      </c>
      <c r="C2468" t="n">
        <v>2010</v>
      </c>
      <c r="D2468" t="n">
        <v>2014</v>
      </c>
      <c r="E2468" t="inlineStr">
        <is>
          <t>The Croods, How to Train Your Dragon, How to Train Your Dragon 2</t>
        </is>
      </c>
      <c r="F2468" t="inlineStr">
        <is>
          <t>F0075, F0154, F0155</t>
        </is>
      </c>
    </row>
    <row r="2469">
      <c r="A2469" t="inlineStr">
        <is>
          <t>Leslie Uggams</t>
        </is>
      </c>
      <c r="B2469" t="n">
        <v>3</v>
      </c>
      <c r="C2469" t="n">
        <v>2016</v>
      </c>
      <c r="D2469" t="n">
        <v>2024</v>
      </c>
      <c r="E2469" t="inlineStr">
        <is>
          <t>Deadpool, Deadpool 2, Deadpool &amp; Wolverine</t>
        </is>
      </c>
      <c r="F2469" t="inlineStr">
        <is>
          <t>F0076, F0077, F0078</t>
        </is>
      </c>
    </row>
    <row r="2470">
      <c r="A2470" t="inlineStr">
        <is>
          <t>Brianna Hildebrand</t>
        </is>
      </c>
      <c r="B2470" t="n">
        <v>3</v>
      </c>
      <c r="C2470" t="n">
        <v>2016</v>
      </c>
      <c r="D2470" t="n">
        <v>2024</v>
      </c>
      <c r="E2470" t="inlineStr">
        <is>
          <t>Deadpool, Deadpool 2, Deadpool &amp; Wolverine</t>
        </is>
      </c>
      <c r="F2470" t="inlineStr">
        <is>
          <t>F0076, F0077, F0078</t>
        </is>
      </c>
    </row>
    <row r="2471">
      <c r="A2471" t="inlineStr">
        <is>
          <t>Stefan Kapičić</t>
        </is>
      </c>
      <c r="B2471" t="n">
        <v>3</v>
      </c>
      <c r="C2471" t="n">
        <v>2016</v>
      </c>
      <c r="D2471" t="n">
        <v>2024</v>
      </c>
      <c r="E2471" t="inlineStr">
        <is>
          <t>Deadpool, Deadpool 2, Deadpool &amp; Wolverine</t>
        </is>
      </c>
      <c r="F2471" t="inlineStr">
        <is>
          <t>F0076, F0077, F0078</t>
        </is>
      </c>
    </row>
    <row r="2472">
      <c r="A2472" t="inlineStr">
        <is>
          <t>Karan Soni</t>
        </is>
      </c>
      <c r="B2472" t="n">
        <v>3</v>
      </c>
      <c r="C2472" t="n">
        <v>2016</v>
      </c>
      <c r="D2472" t="n">
        <v>2024</v>
      </c>
      <c r="E2472" t="inlineStr">
        <is>
          <t>Deadpool, Deadpool 2, Deadpool &amp; Wolverine</t>
        </is>
      </c>
      <c r="F2472" t="inlineStr">
        <is>
          <t>F0076, F0077, F0078</t>
        </is>
      </c>
    </row>
    <row r="2473">
      <c r="A2473" t="inlineStr">
        <is>
          <t>Michael Benyaer</t>
        </is>
      </c>
      <c r="B2473" t="n">
        <v>3</v>
      </c>
      <c r="C2473" t="n">
        <v>2009</v>
      </c>
      <c r="D2473" t="n">
        <v>2016</v>
      </c>
      <c r="E2473" t="inlineStr">
        <is>
          <t>Deadpool, G.I. Joe: The Rise of Cobra, Transformers: Revenge of the Fallen</t>
        </is>
      </c>
      <c r="F2473" t="inlineStr">
        <is>
          <t>F0076, F0118, F0317</t>
        </is>
      </c>
    </row>
    <row r="2474">
      <c r="A2474" t="inlineStr">
        <is>
          <t>Style Dayne</t>
        </is>
      </c>
      <c r="B2474" t="n">
        <v>1</v>
      </c>
      <c r="C2474" t="n">
        <v>2016</v>
      </c>
      <c r="D2474" t="n">
        <v>2016</v>
      </c>
      <c r="E2474" t="inlineStr">
        <is>
          <t>Deadpool</t>
        </is>
      </c>
      <c r="F2474" t="inlineStr">
        <is>
          <t>F0076</t>
        </is>
      </c>
    </row>
    <row r="2475">
      <c r="A2475" t="inlineStr">
        <is>
          <t>Kyle Cassie</t>
        </is>
      </c>
      <c r="B2475" t="n">
        <v>1</v>
      </c>
      <c r="C2475" t="n">
        <v>2016</v>
      </c>
      <c r="D2475" t="n">
        <v>2016</v>
      </c>
      <c r="E2475" t="inlineStr">
        <is>
          <t>Deadpool</t>
        </is>
      </c>
      <c r="F2475" t="inlineStr">
        <is>
          <t>F0076</t>
        </is>
      </c>
    </row>
    <row r="2476">
      <c r="A2476" t="inlineStr">
        <is>
          <t>Taylor Hickson</t>
        </is>
      </c>
      <c r="B2476" t="n">
        <v>1</v>
      </c>
      <c r="C2476" t="n">
        <v>2016</v>
      </c>
      <c r="D2476" t="n">
        <v>2016</v>
      </c>
      <c r="E2476" t="inlineStr">
        <is>
          <t>Deadpool</t>
        </is>
      </c>
      <c r="F2476" t="inlineStr">
        <is>
          <t>F0076</t>
        </is>
      </c>
    </row>
    <row r="2477">
      <c r="A2477" t="inlineStr">
        <is>
          <t>Ayzee</t>
        </is>
      </c>
      <c r="B2477" t="n">
        <v>1</v>
      </c>
      <c r="C2477" t="n">
        <v>2016</v>
      </c>
      <c r="D2477" t="n">
        <v>2016</v>
      </c>
      <c r="E2477" t="inlineStr">
        <is>
          <t>Deadpool</t>
        </is>
      </c>
      <c r="F2477" t="inlineStr">
        <is>
          <t>F0076</t>
        </is>
      </c>
    </row>
    <row r="2478">
      <c r="A2478" t="inlineStr">
        <is>
          <t>Naika Toussaint</t>
        </is>
      </c>
      <c r="B2478" t="n">
        <v>1</v>
      </c>
      <c r="C2478" t="n">
        <v>2016</v>
      </c>
      <c r="D2478" t="n">
        <v>2016</v>
      </c>
      <c r="E2478" t="inlineStr">
        <is>
          <t>Deadpool</t>
        </is>
      </c>
      <c r="F2478" t="inlineStr">
        <is>
          <t>F0076</t>
        </is>
      </c>
    </row>
    <row r="2479">
      <c r="A2479" t="inlineStr">
        <is>
          <t>Isaac C. Singleton, Jr.</t>
        </is>
      </c>
      <c r="B2479" t="n">
        <v>1</v>
      </c>
      <c r="C2479" t="n">
        <v>2016</v>
      </c>
      <c r="D2479" t="n">
        <v>2016</v>
      </c>
      <c r="E2479" t="inlineStr">
        <is>
          <t>Deadpool</t>
        </is>
      </c>
      <c r="F2479" t="inlineStr">
        <is>
          <t>F0076</t>
        </is>
      </c>
    </row>
    <row r="2480">
      <c r="A2480" t="inlineStr">
        <is>
          <t>Justyn Shippelt</t>
        </is>
      </c>
      <c r="B2480" t="n">
        <v>1</v>
      </c>
      <c r="C2480" t="n">
        <v>2016</v>
      </c>
      <c r="D2480" t="n">
        <v>2016</v>
      </c>
      <c r="E2480" t="inlineStr">
        <is>
          <t>Deadpool</t>
        </is>
      </c>
      <c r="F2480" t="inlineStr">
        <is>
          <t>F0076</t>
        </is>
      </c>
    </row>
    <row r="2481">
      <c r="A2481" t="inlineStr">
        <is>
          <t>Jed Rees</t>
        </is>
      </c>
      <c r="B2481" t="n">
        <v>1</v>
      </c>
      <c r="C2481" t="n">
        <v>2016</v>
      </c>
      <c r="D2481" t="n">
        <v>2016</v>
      </c>
      <c r="E2481" t="inlineStr">
        <is>
          <t>Deadpool</t>
        </is>
      </c>
      <c r="F2481" t="inlineStr">
        <is>
          <t>F0076</t>
        </is>
      </c>
    </row>
    <row r="2482">
      <c r="A2482" t="inlineStr">
        <is>
          <t>Hugh Scott</t>
        </is>
      </c>
      <c r="B2482" t="n">
        <v>1</v>
      </c>
      <c r="C2482" t="n">
        <v>2016</v>
      </c>
      <c r="D2482" t="n">
        <v>2016</v>
      </c>
      <c r="E2482" t="inlineStr">
        <is>
          <t>Deadpool</t>
        </is>
      </c>
      <c r="F2482" t="inlineStr">
        <is>
          <t>F0076</t>
        </is>
      </c>
    </row>
    <row r="2483">
      <c r="A2483" t="inlineStr">
        <is>
          <t>Cindy Piper</t>
        </is>
      </c>
      <c r="B2483" t="n">
        <v>1</v>
      </c>
      <c r="C2483" t="n">
        <v>2016</v>
      </c>
      <c r="D2483" t="n">
        <v>2016</v>
      </c>
      <c r="E2483" t="inlineStr">
        <is>
          <t>Deadpool</t>
        </is>
      </c>
      <c r="F2483" t="inlineStr">
        <is>
          <t>F0076</t>
        </is>
      </c>
    </row>
    <row r="2484">
      <c r="A2484" t="inlineStr">
        <is>
          <t>Em Haine</t>
        </is>
      </c>
      <c r="B2484" t="n">
        <v>1</v>
      </c>
      <c r="C2484" t="n">
        <v>2016</v>
      </c>
      <c r="D2484" t="n">
        <v>2016</v>
      </c>
      <c r="E2484" t="inlineStr">
        <is>
          <t>Deadpool</t>
        </is>
      </c>
      <c r="F2484" t="inlineStr">
        <is>
          <t>F0076</t>
        </is>
      </c>
    </row>
    <row r="2485">
      <c r="A2485" t="inlineStr">
        <is>
          <t>Aatash Amir</t>
        </is>
      </c>
      <c r="B2485" t="n">
        <v>1</v>
      </c>
      <c r="C2485" t="n">
        <v>2016</v>
      </c>
      <c r="D2485" t="n">
        <v>2016</v>
      </c>
      <c r="E2485" t="inlineStr">
        <is>
          <t>Deadpool</t>
        </is>
      </c>
      <c r="F2485" t="inlineStr">
        <is>
          <t>F0076</t>
        </is>
      </c>
    </row>
    <row r="2486">
      <c r="A2486" t="inlineStr">
        <is>
          <t>Chad Riley</t>
        </is>
      </c>
      <c r="B2486" t="n">
        <v>1</v>
      </c>
      <c r="C2486" t="n">
        <v>2016</v>
      </c>
      <c r="D2486" t="n">
        <v>2016</v>
      </c>
      <c r="E2486" t="inlineStr">
        <is>
          <t>Deadpool</t>
        </is>
      </c>
      <c r="F2486" t="inlineStr">
        <is>
          <t>F0076</t>
        </is>
      </c>
    </row>
    <row r="2487">
      <c r="A2487" t="inlineStr">
        <is>
          <t>Paul Belsito</t>
        </is>
      </c>
      <c r="B2487" t="n">
        <v>1</v>
      </c>
      <c r="C2487" t="n">
        <v>2016</v>
      </c>
      <c r="D2487" t="n">
        <v>2016</v>
      </c>
      <c r="E2487" t="inlineStr">
        <is>
          <t>Deadpool</t>
        </is>
      </c>
      <c r="F2487" t="inlineStr">
        <is>
          <t>F0076</t>
        </is>
      </c>
    </row>
    <row r="2488">
      <c r="A2488" t="inlineStr">
        <is>
          <t>Darcey Johnson</t>
        </is>
      </c>
      <c r="B2488" t="n">
        <v>1</v>
      </c>
      <c r="C2488" t="n">
        <v>2016</v>
      </c>
      <c r="D2488" t="n">
        <v>2016</v>
      </c>
      <c r="E2488" t="inlineStr">
        <is>
          <t>Deadpool</t>
        </is>
      </c>
      <c r="F2488" t="inlineStr">
        <is>
          <t>F0076</t>
        </is>
      </c>
    </row>
    <row r="2489">
      <c r="A2489" t="inlineStr">
        <is>
          <t>Kyle Rideout</t>
        </is>
      </c>
      <c r="B2489" t="n">
        <v>1</v>
      </c>
      <c r="C2489" t="n">
        <v>2016</v>
      </c>
      <c r="D2489" t="n">
        <v>2016</v>
      </c>
      <c r="E2489" t="inlineStr">
        <is>
          <t>Deadpool</t>
        </is>
      </c>
      <c r="F2489" t="inlineStr">
        <is>
          <t>F0076</t>
        </is>
      </c>
    </row>
    <row r="2490">
      <c r="A2490" t="inlineStr">
        <is>
          <t>Jason William Day</t>
        </is>
      </c>
      <c r="B2490" t="n">
        <v>1</v>
      </c>
      <c r="C2490" t="n">
        <v>2016</v>
      </c>
      <c r="D2490" t="n">
        <v>2016</v>
      </c>
      <c r="E2490" t="inlineStr">
        <is>
          <t>Deadpool</t>
        </is>
      </c>
      <c r="F2490" t="inlineStr">
        <is>
          <t>F0076</t>
        </is>
      </c>
    </row>
    <row r="2491">
      <c r="A2491" t="inlineStr">
        <is>
          <t>Jack Kesy</t>
        </is>
      </c>
      <c r="B2491" t="n">
        <v>1</v>
      </c>
      <c r="C2491" t="n">
        <v>2018</v>
      </c>
      <c r="D2491" t="n">
        <v>2018</v>
      </c>
      <c r="E2491" t="inlineStr">
        <is>
          <t>Deadpool 2</t>
        </is>
      </c>
      <c r="F2491" t="inlineStr">
        <is>
          <t>F0077</t>
        </is>
      </c>
    </row>
    <row r="2492">
      <c r="A2492" t="inlineStr">
        <is>
          <t>Shioli Kutsuna</t>
        </is>
      </c>
      <c r="B2492" t="n">
        <v>2</v>
      </c>
      <c r="C2492" t="n">
        <v>2018</v>
      </c>
      <c r="D2492" t="n">
        <v>2024</v>
      </c>
      <c r="E2492" t="inlineStr">
        <is>
          <t>Deadpool 2, Deadpool &amp; Wolverine</t>
        </is>
      </c>
      <c r="F2492" t="inlineStr">
        <is>
          <t>F0077, F0078</t>
        </is>
      </c>
    </row>
    <row r="2493">
      <c r="A2493" t="inlineStr">
        <is>
          <t>Nikolai Witschl</t>
        </is>
      </c>
      <c r="B2493" t="n">
        <v>1</v>
      </c>
      <c r="C2493" t="n">
        <v>2018</v>
      </c>
      <c r="D2493" t="n">
        <v>2018</v>
      </c>
      <c r="E2493" t="inlineStr">
        <is>
          <t>Deadpool 2</t>
        </is>
      </c>
      <c r="F2493" t="inlineStr">
        <is>
          <t>F0077</t>
        </is>
      </c>
    </row>
    <row r="2494">
      <c r="A2494" t="inlineStr">
        <is>
          <t>Thayr Harris</t>
        </is>
      </c>
      <c r="B2494" t="n">
        <v>1</v>
      </c>
      <c r="C2494" t="n">
        <v>2018</v>
      </c>
      <c r="D2494" t="n">
        <v>2018</v>
      </c>
      <c r="E2494" t="inlineStr">
        <is>
          <t>Deadpool 2</t>
        </is>
      </c>
      <c r="F2494" t="inlineStr">
        <is>
          <t>F0077</t>
        </is>
      </c>
    </row>
    <row r="2495">
      <c r="A2495" t="inlineStr">
        <is>
          <t>Rob Delaney</t>
        </is>
      </c>
      <c r="B2495" t="n">
        <v>4</v>
      </c>
      <c r="C2495" t="n">
        <v>2018</v>
      </c>
      <c r="D2495" t="n">
        <v>2024</v>
      </c>
      <c r="E2495" t="inlineStr">
        <is>
          <t>Deadpool 2, Deadpool &amp; Wolverine, Fast &amp; Furious Presents: Hobbs &amp; Shaw, Mission: Impossible - Dead Reckoning Part One</t>
        </is>
      </c>
      <c r="F2495" t="inlineStr">
        <is>
          <t>F0077, F0078, F0111, F0227</t>
        </is>
      </c>
    </row>
    <row r="2496">
      <c r="A2496" t="inlineStr">
        <is>
          <t>Lewis Tan</t>
        </is>
      </c>
      <c r="B2496" t="n">
        <v>2</v>
      </c>
      <c r="C2496" t="n">
        <v>2018</v>
      </c>
      <c r="D2496" t="n">
        <v>2024</v>
      </c>
      <c r="E2496" t="inlineStr">
        <is>
          <t>Deadpool 2, Deadpool &amp; Wolverine</t>
        </is>
      </c>
      <c r="F2496" t="inlineStr">
        <is>
          <t>F0077, F0078</t>
        </is>
      </c>
    </row>
    <row r="2497">
      <c r="A2497" t="inlineStr">
        <is>
          <t>Bill Skarsgård</t>
        </is>
      </c>
      <c r="B2497" t="n">
        <v>1</v>
      </c>
      <c r="C2497" t="n">
        <v>2018</v>
      </c>
      <c r="D2497" t="n">
        <v>2018</v>
      </c>
      <c r="E2497" t="inlineStr">
        <is>
          <t>Deadpool 2</t>
        </is>
      </c>
      <c r="F2497" t="inlineStr">
        <is>
          <t>F0077</t>
        </is>
      </c>
    </row>
    <row r="2498">
      <c r="A2498" t="inlineStr">
        <is>
          <t>Paul Wu</t>
        </is>
      </c>
      <c r="B2498" t="n">
        <v>1</v>
      </c>
      <c r="C2498" t="n">
        <v>2018</v>
      </c>
      <c r="D2498" t="n">
        <v>2018</v>
      </c>
      <c r="E2498" t="inlineStr">
        <is>
          <t>Deadpool 2</t>
        </is>
      </c>
      <c r="F2498" t="inlineStr">
        <is>
          <t>F0077</t>
        </is>
      </c>
    </row>
    <row r="2499">
      <c r="A2499" t="inlineStr">
        <is>
          <t>Robert Maillet</t>
        </is>
      </c>
      <c r="B2499" t="n">
        <v>3</v>
      </c>
      <c r="C2499" t="n">
        <v>2009</v>
      </c>
      <c r="D2499" t="n">
        <v>2018</v>
      </c>
      <c r="E2499" t="inlineStr">
        <is>
          <t>Deadpool 2, Pacific Rim, Sherlock Holmes</t>
        </is>
      </c>
      <c r="F2499" t="inlineStr">
        <is>
          <t>F0077, F0243, F0278</t>
        </is>
      </c>
    </row>
    <row r="2500">
      <c r="A2500" t="inlineStr">
        <is>
          <t>Michasha Armstrong</t>
        </is>
      </c>
      <c r="B2500" t="n">
        <v>2</v>
      </c>
      <c r="C2500" t="n">
        <v>2006</v>
      </c>
      <c r="D2500" t="n">
        <v>2018</v>
      </c>
      <c r="E2500" t="inlineStr">
        <is>
          <t>Deadpool 2, Underworld: Evolution</t>
        </is>
      </c>
      <c r="F2500" t="inlineStr">
        <is>
          <t>F0077, F0326</t>
        </is>
      </c>
    </row>
    <row r="2501">
      <c r="A2501" t="inlineStr">
        <is>
          <t>Joe Doserro</t>
        </is>
      </c>
      <c r="B2501" t="n">
        <v>1</v>
      </c>
      <c r="C2501" t="n">
        <v>2018</v>
      </c>
      <c r="D2501" t="n">
        <v>2018</v>
      </c>
      <c r="E2501" t="inlineStr">
        <is>
          <t>Deadpool 2</t>
        </is>
      </c>
      <c r="F2501" t="inlineStr">
        <is>
          <t>F0077</t>
        </is>
      </c>
    </row>
    <row r="2502">
      <c r="A2502" t="inlineStr">
        <is>
          <t>Hayley Sales</t>
        </is>
      </c>
      <c r="B2502" t="n">
        <v>1</v>
      </c>
      <c r="C2502" t="n">
        <v>2018</v>
      </c>
      <c r="D2502" t="n">
        <v>2018</v>
      </c>
      <c r="E2502" t="inlineStr">
        <is>
          <t>Deadpool 2</t>
        </is>
      </c>
      <c r="F2502" t="inlineStr">
        <is>
          <t>F0077</t>
        </is>
      </c>
    </row>
    <row r="2503">
      <c r="A2503" t="inlineStr">
        <is>
          <t>Islie Hirvonen</t>
        </is>
      </c>
      <c r="B2503" t="n">
        <v>1</v>
      </c>
      <c r="C2503" t="n">
        <v>2018</v>
      </c>
      <c r="D2503" t="n">
        <v>2018</v>
      </c>
      <c r="E2503" t="inlineStr">
        <is>
          <t>Deadpool 2</t>
        </is>
      </c>
      <c r="F2503" t="inlineStr">
        <is>
          <t>F0077</t>
        </is>
      </c>
    </row>
    <row r="2504">
      <c r="A2504" t="inlineStr">
        <is>
          <t>Jagua Arneja</t>
        </is>
      </c>
      <c r="B2504" t="n">
        <v>1</v>
      </c>
      <c r="C2504" t="n">
        <v>2018</v>
      </c>
      <c r="D2504" t="n">
        <v>2018</v>
      </c>
      <c r="E2504" t="inlineStr">
        <is>
          <t>Deadpool 2</t>
        </is>
      </c>
      <c r="F2504" t="inlineStr">
        <is>
          <t>F0077</t>
        </is>
      </c>
    </row>
    <row r="2505">
      <c r="A2505" t="inlineStr">
        <is>
          <t>Wesley Snipes</t>
        </is>
      </c>
      <c r="B2505" t="n">
        <v>2</v>
      </c>
      <c r="C2505" t="n">
        <v>2014</v>
      </c>
      <c r="D2505" t="n">
        <v>2024</v>
      </c>
      <c r="E2505" t="inlineStr">
        <is>
          <t>Deadpool &amp; Wolverine, The Expendables 3</t>
        </is>
      </c>
      <c r="F2505" t="inlineStr">
        <is>
          <t>F0078, F0097</t>
        </is>
      </c>
    </row>
    <row r="2506">
      <c r="A2506" t="inlineStr">
        <is>
          <t>Wunmi Mosaku</t>
        </is>
      </c>
      <c r="B2506" t="n">
        <v>1</v>
      </c>
      <c r="C2506" t="n">
        <v>2024</v>
      </c>
      <c r="D2506" t="n">
        <v>2024</v>
      </c>
      <c r="E2506" t="inlineStr">
        <is>
          <t>Deadpool &amp; Wolverine</t>
        </is>
      </c>
      <c r="F2506" t="inlineStr">
        <is>
          <t>F0078</t>
        </is>
      </c>
    </row>
    <row r="2507">
      <c r="A2507" t="inlineStr">
        <is>
          <t>Aaron Stanford</t>
        </is>
      </c>
      <c r="B2507" t="n">
        <v>3</v>
      </c>
      <c r="C2507" t="n">
        <v>2003</v>
      </c>
      <c r="D2507" t="n">
        <v>2024</v>
      </c>
      <c r="E2507" t="inlineStr">
        <is>
          <t>Deadpool &amp; Wolverine, X2: X-Men United, X-Men: The Last Stand</t>
        </is>
      </c>
      <c r="F2507" t="inlineStr">
        <is>
          <t>F0078, F0345, F0346</t>
        </is>
      </c>
    </row>
    <row r="2508">
      <c r="A2508" t="inlineStr">
        <is>
          <t>Tyler Mane</t>
        </is>
      </c>
      <c r="B2508" t="n">
        <v>2</v>
      </c>
      <c r="C2508" t="n">
        <v>2000</v>
      </c>
      <c r="D2508" t="n">
        <v>2024</v>
      </c>
      <c r="E2508" t="inlineStr">
        <is>
          <t>Deadpool &amp; Wolverine, X-Men</t>
        </is>
      </c>
      <c r="F2508" t="inlineStr">
        <is>
          <t>F0078, F0344</t>
        </is>
      </c>
    </row>
    <row r="2509">
      <c r="A2509" t="inlineStr">
        <is>
          <t>Nick Pauley</t>
        </is>
      </c>
      <c r="B2509" t="n">
        <v>1</v>
      </c>
      <c r="C2509" t="n">
        <v>2024</v>
      </c>
      <c r="D2509" t="n">
        <v>2024</v>
      </c>
      <c r="E2509" t="inlineStr">
        <is>
          <t>Deadpool &amp; Wolverine</t>
        </is>
      </c>
      <c r="F2509" t="inlineStr">
        <is>
          <t>F0078</t>
        </is>
      </c>
    </row>
    <row r="2510">
      <c r="A2510" t="inlineStr">
        <is>
          <t>Sonita Henry</t>
        </is>
      </c>
      <c r="B2510" t="n">
        <v>2</v>
      </c>
      <c r="C2510" t="n">
        <v>2009</v>
      </c>
      <c r="D2510" t="n">
        <v>2024</v>
      </c>
      <c r="E2510" t="inlineStr">
        <is>
          <t>Deadpool &amp; Wolverine, Star Trek</t>
        </is>
      </c>
      <c r="F2510" t="inlineStr">
        <is>
          <t>F0078, F0291</t>
        </is>
      </c>
    </row>
    <row r="2511">
      <c r="A2511" t="inlineStr">
        <is>
          <t>Ryan McKen</t>
        </is>
      </c>
      <c r="B2511" t="n">
        <v>1</v>
      </c>
      <c r="C2511" t="n">
        <v>2024</v>
      </c>
      <c r="D2511" t="n">
        <v>2024</v>
      </c>
      <c r="E2511" t="inlineStr">
        <is>
          <t>Deadpool &amp; Wolverine</t>
        </is>
      </c>
      <c r="F2511" t="inlineStr">
        <is>
          <t>F0078</t>
        </is>
      </c>
    </row>
    <row r="2512">
      <c r="A2512" t="inlineStr">
        <is>
          <t>Nanak Phlora</t>
        </is>
      </c>
      <c r="B2512" t="n">
        <v>1</v>
      </c>
      <c r="C2512" t="n">
        <v>2024</v>
      </c>
      <c r="D2512" t="n">
        <v>2024</v>
      </c>
      <c r="E2512" t="inlineStr">
        <is>
          <t>Deadpool &amp; Wolverine</t>
        </is>
      </c>
      <c r="F2512" t="inlineStr">
        <is>
          <t>F0078</t>
        </is>
      </c>
    </row>
    <row r="2513">
      <c r="A2513" t="inlineStr">
        <is>
          <t>Aydin Ahmed</t>
        </is>
      </c>
      <c r="B2513" t="n">
        <v>1</v>
      </c>
      <c r="C2513" t="n">
        <v>2024</v>
      </c>
      <c r="D2513" t="n">
        <v>2024</v>
      </c>
      <c r="E2513" t="inlineStr">
        <is>
          <t>Deadpool &amp; Wolverine</t>
        </is>
      </c>
      <c r="F2513" t="inlineStr">
        <is>
          <t>F0078</t>
        </is>
      </c>
    </row>
    <row r="2514">
      <c r="A2514" t="inlineStr">
        <is>
          <t>Leemore Marrett Jr.</t>
        </is>
      </c>
      <c r="B2514" t="n">
        <v>1</v>
      </c>
      <c r="C2514" t="n">
        <v>2024</v>
      </c>
      <c r="D2514" t="n">
        <v>2024</v>
      </c>
      <c r="E2514" t="inlineStr">
        <is>
          <t>Deadpool &amp; Wolverine</t>
        </is>
      </c>
      <c r="F2514" t="inlineStr">
        <is>
          <t>F0078</t>
        </is>
      </c>
    </row>
    <row r="2515">
      <c r="A2515" t="inlineStr">
        <is>
          <t>James Dryden</t>
        </is>
      </c>
      <c r="B2515" t="n">
        <v>1</v>
      </c>
      <c r="C2515" t="n">
        <v>2024</v>
      </c>
      <c r="D2515" t="n">
        <v>2024</v>
      </c>
      <c r="E2515" t="inlineStr">
        <is>
          <t>Deadpool &amp; Wolverine</t>
        </is>
      </c>
      <c r="F2515" t="inlineStr">
        <is>
          <t>F0078</t>
        </is>
      </c>
    </row>
    <row r="2516">
      <c r="A2516" t="inlineStr">
        <is>
          <t>Cullen Moss</t>
        </is>
      </c>
      <c r="B2516" t="n">
        <v>2</v>
      </c>
      <c r="C2516" t="n">
        <v>2004</v>
      </c>
      <c r="D2516" t="n">
        <v>2010</v>
      </c>
      <c r="E2516" t="inlineStr">
        <is>
          <t>Dear John, The Notebook</t>
        </is>
      </c>
      <c r="F2516" t="inlineStr">
        <is>
          <t>F0079, F0237</t>
        </is>
      </c>
    </row>
    <row r="2517">
      <c r="A2517" t="inlineStr">
        <is>
          <t>Gavin McCulley</t>
        </is>
      </c>
      <c r="B2517" t="n">
        <v>1</v>
      </c>
      <c r="C2517" t="n">
        <v>2010</v>
      </c>
      <c r="D2517" t="n">
        <v>2010</v>
      </c>
      <c r="E2517" t="inlineStr">
        <is>
          <t>Dear John</t>
        </is>
      </c>
      <c r="F2517" t="inlineStr">
        <is>
          <t>F0079</t>
        </is>
      </c>
    </row>
    <row r="2518">
      <c r="A2518" t="inlineStr">
        <is>
          <t>Jose Lucena Jr.</t>
        </is>
      </c>
      <c r="B2518" t="n">
        <v>1</v>
      </c>
      <c r="C2518" t="n">
        <v>2010</v>
      </c>
      <c r="D2518" t="n">
        <v>2010</v>
      </c>
      <c r="E2518" t="inlineStr">
        <is>
          <t>Dear John</t>
        </is>
      </c>
      <c r="F2518" t="inlineStr">
        <is>
          <t>F0079</t>
        </is>
      </c>
    </row>
    <row r="2519">
      <c r="A2519" t="inlineStr">
        <is>
          <t>Keith D. Robinson</t>
        </is>
      </c>
      <c r="B2519" t="n">
        <v>1</v>
      </c>
      <c r="C2519" t="n">
        <v>2010</v>
      </c>
      <c r="D2519" t="n">
        <v>2010</v>
      </c>
      <c r="E2519" t="inlineStr">
        <is>
          <t>Dear John</t>
        </is>
      </c>
      <c r="F2519" t="inlineStr">
        <is>
          <t>F0079</t>
        </is>
      </c>
    </row>
    <row r="2520">
      <c r="A2520" t="inlineStr">
        <is>
          <t>Scott Porter</t>
        </is>
      </c>
      <c r="B2520" t="n">
        <v>1</v>
      </c>
      <c r="C2520" t="n">
        <v>2010</v>
      </c>
      <c r="D2520" t="n">
        <v>2010</v>
      </c>
      <c r="E2520" t="inlineStr">
        <is>
          <t>Dear John</t>
        </is>
      </c>
      <c r="F2520" t="inlineStr">
        <is>
          <t>F0079</t>
        </is>
      </c>
    </row>
    <row r="2521">
      <c r="A2521" t="inlineStr">
        <is>
          <t>Leslea Fisher</t>
        </is>
      </c>
      <c r="B2521" t="n">
        <v>1</v>
      </c>
      <c r="C2521" t="n">
        <v>2010</v>
      </c>
      <c r="D2521" t="n">
        <v>2010</v>
      </c>
      <c r="E2521" t="inlineStr">
        <is>
          <t>Dear John</t>
        </is>
      </c>
      <c r="F2521" t="inlineStr">
        <is>
          <t>F0079</t>
        </is>
      </c>
    </row>
    <row r="2522">
      <c r="A2522" t="inlineStr">
        <is>
          <t>David Andrews</t>
        </is>
      </c>
      <c r="B2522" t="n">
        <v>2</v>
      </c>
      <c r="C2522" t="n">
        <v>1999</v>
      </c>
      <c r="D2522" t="n">
        <v>2010</v>
      </c>
      <c r="E2522" t="inlineStr">
        <is>
          <t>Dear John, Fight Club</t>
        </is>
      </c>
      <c r="F2522" t="inlineStr">
        <is>
          <t>F0079, F0112</t>
        </is>
      </c>
    </row>
    <row r="2523">
      <c r="A2523" t="inlineStr">
        <is>
          <t>Mary Rachel Quinn</t>
        </is>
      </c>
      <c r="B2523" t="n">
        <v>1</v>
      </c>
      <c r="C2523" t="n">
        <v>2010</v>
      </c>
      <c r="D2523" t="n">
        <v>2010</v>
      </c>
      <c r="E2523" t="inlineStr">
        <is>
          <t>Dear John</t>
        </is>
      </c>
      <c r="F2523" t="inlineStr">
        <is>
          <t>F0079</t>
        </is>
      </c>
    </row>
    <row r="2524">
      <c r="A2524" t="inlineStr">
        <is>
          <t>Bryce Hayes</t>
        </is>
      </c>
      <c r="B2524" t="n">
        <v>1</v>
      </c>
      <c r="C2524" t="n">
        <v>2010</v>
      </c>
      <c r="D2524" t="n">
        <v>2010</v>
      </c>
      <c r="E2524" t="inlineStr">
        <is>
          <t>Dear John</t>
        </is>
      </c>
      <c r="F2524" t="inlineStr">
        <is>
          <t>F0079</t>
        </is>
      </c>
    </row>
    <row r="2525">
      <c r="A2525" t="inlineStr">
        <is>
          <t>R. Braeden Reed</t>
        </is>
      </c>
      <c r="B2525" t="n">
        <v>1</v>
      </c>
      <c r="C2525" t="n">
        <v>2010</v>
      </c>
      <c r="D2525" t="n">
        <v>2010</v>
      </c>
      <c r="E2525" t="inlineStr">
        <is>
          <t>Dear John</t>
        </is>
      </c>
      <c r="F2525" t="inlineStr">
        <is>
          <t>F0079</t>
        </is>
      </c>
    </row>
    <row r="2526">
      <c r="A2526" t="inlineStr">
        <is>
          <t>Luke Benward</t>
        </is>
      </c>
      <c r="B2526" t="n">
        <v>1</v>
      </c>
      <c r="C2526" t="n">
        <v>2010</v>
      </c>
      <c r="D2526" t="n">
        <v>2010</v>
      </c>
      <c r="E2526" t="inlineStr">
        <is>
          <t>Dear John</t>
        </is>
      </c>
      <c r="F2526" t="inlineStr">
        <is>
          <t>F0079</t>
        </is>
      </c>
    </row>
    <row r="2527">
      <c r="A2527" t="inlineStr">
        <is>
          <t>Tom Stearns</t>
        </is>
      </c>
      <c r="B2527" t="n">
        <v>1</v>
      </c>
      <c r="C2527" t="n">
        <v>2010</v>
      </c>
      <c r="D2527" t="n">
        <v>2010</v>
      </c>
      <c r="E2527" t="inlineStr">
        <is>
          <t>Dear John</t>
        </is>
      </c>
      <c r="F2527" t="inlineStr">
        <is>
          <t>F0079</t>
        </is>
      </c>
    </row>
    <row r="2528">
      <c r="A2528" t="inlineStr">
        <is>
          <t>Michael Harding</t>
        </is>
      </c>
      <c r="B2528" t="n">
        <v>1</v>
      </c>
      <c r="C2528" t="n">
        <v>2010</v>
      </c>
      <c r="D2528" t="n">
        <v>2010</v>
      </c>
      <c r="E2528" t="inlineStr">
        <is>
          <t>Dear John</t>
        </is>
      </c>
      <c r="F2528" t="inlineStr">
        <is>
          <t>F0079</t>
        </is>
      </c>
    </row>
    <row r="2529">
      <c r="A2529" t="inlineStr">
        <is>
          <t>Brett Rice</t>
        </is>
      </c>
      <c r="B2529" t="n">
        <v>2</v>
      </c>
      <c r="C2529" t="n">
        <v>2010</v>
      </c>
      <c r="D2529" t="n">
        <v>2011</v>
      </c>
      <c r="E2529" t="inlineStr">
        <is>
          <t>Dear John, Super 8</t>
        </is>
      </c>
      <c r="F2529" t="inlineStr">
        <is>
          <t>F0079, F0302</t>
        </is>
      </c>
    </row>
    <row r="2530">
      <c r="A2530" t="inlineStr">
        <is>
          <t>David Dwyer</t>
        </is>
      </c>
      <c r="B2530" t="n">
        <v>1</v>
      </c>
      <c r="C2530" t="n">
        <v>2010</v>
      </c>
      <c r="D2530" t="n">
        <v>2010</v>
      </c>
      <c r="E2530" t="inlineStr">
        <is>
          <t>Dear John</t>
        </is>
      </c>
      <c r="F2530" t="inlineStr">
        <is>
          <t>F0079</t>
        </is>
      </c>
    </row>
    <row r="2531">
      <c r="A2531" t="inlineStr">
        <is>
          <t>Anthony Osment</t>
        </is>
      </c>
      <c r="B2531" t="n">
        <v>1</v>
      </c>
      <c r="C2531" t="n">
        <v>2010</v>
      </c>
      <c r="D2531" t="n">
        <v>2010</v>
      </c>
      <c r="E2531" t="inlineStr">
        <is>
          <t>Dear John</t>
        </is>
      </c>
      <c r="F2531" t="inlineStr">
        <is>
          <t>F0079</t>
        </is>
      </c>
    </row>
    <row r="2532">
      <c r="A2532" t="inlineStr">
        <is>
          <t>Jim Wenthe</t>
        </is>
      </c>
      <c r="B2532" t="n">
        <v>1</v>
      </c>
      <c r="C2532" t="n">
        <v>2010</v>
      </c>
      <c r="D2532" t="n">
        <v>2010</v>
      </c>
      <c r="E2532" t="inlineStr">
        <is>
          <t>Dear John</t>
        </is>
      </c>
      <c r="F2532" t="inlineStr">
        <is>
          <t>F0079</t>
        </is>
      </c>
    </row>
    <row r="2533">
      <c r="A2533" t="inlineStr">
        <is>
          <t>Matt Blue</t>
        </is>
      </c>
      <c r="B2533" t="n">
        <v>1</v>
      </c>
      <c r="C2533" t="n">
        <v>2010</v>
      </c>
      <c r="D2533" t="n">
        <v>2010</v>
      </c>
      <c r="E2533" t="inlineStr">
        <is>
          <t>Dear John</t>
        </is>
      </c>
      <c r="F2533" t="inlineStr">
        <is>
          <t>F0079</t>
        </is>
      </c>
    </row>
    <row r="2534">
      <c r="A2534" t="inlineStr">
        <is>
          <t>Lauree Bradway</t>
        </is>
      </c>
      <c r="B2534" t="n">
        <v>1</v>
      </c>
      <c r="C2534" t="n">
        <v>2010</v>
      </c>
      <c r="D2534" t="n">
        <v>2010</v>
      </c>
      <c r="E2534" t="inlineStr">
        <is>
          <t>Dear John</t>
        </is>
      </c>
      <c r="F2534" t="inlineStr">
        <is>
          <t>F0079</t>
        </is>
      </c>
    </row>
    <row r="2535">
      <c r="A2535" t="inlineStr">
        <is>
          <t>Glenn M. Tatum</t>
        </is>
      </c>
      <c r="B2535" t="n">
        <v>1</v>
      </c>
      <c r="C2535" t="n">
        <v>2010</v>
      </c>
      <c r="D2535" t="n">
        <v>2010</v>
      </c>
      <c r="E2535" t="inlineStr">
        <is>
          <t>Dear John</t>
        </is>
      </c>
      <c r="F2535" t="inlineStr">
        <is>
          <t>F0079</t>
        </is>
      </c>
    </row>
    <row r="2536">
      <c r="A2536" t="inlineStr">
        <is>
          <t>Martin Coleman Bowen</t>
        </is>
      </c>
      <c r="B2536" t="n">
        <v>1</v>
      </c>
      <c r="C2536" t="n">
        <v>2010</v>
      </c>
      <c r="D2536" t="n">
        <v>2010</v>
      </c>
      <c r="E2536" t="inlineStr">
        <is>
          <t>Dear John</t>
        </is>
      </c>
      <c r="F2536" t="inlineStr">
        <is>
          <t>F0079</t>
        </is>
      </c>
    </row>
    <row r="2537">
      <c r="A2537" t="inlineStr">
        <is>
          <t>Maxx Hennard</t>
        </is>
      </c>
      <c r="B2537" t="n">
        <v>1</v>
      </c>
      <c r="C2537" t="n">
        <v>2010</v>
      </c>
      <c r="D2537" t="n">
        <v>2010</v>
      </c>
      <c r="E2537" t="inlineStr">
        <is>
          <t>Dear John</t>
        </is>
      </c>
      <c r="F2537" t="inlineStr">
        <is>
          <t>F0079</t>
        </is>
      </c>
    </row>
    <row r="2538">
      <c r="A2538" t="inlineStr">
        <is>
          <t>Jay Phillips</t>
        </is>
      </c>
      <c r="B2538" t="n">
        <v>1</v>
      </c>
      <c r="C2538" t="n">
        <v>2010</v>
      </c>
      <c r="D2538" t="n">
        <v>2010</v>
      </c>
      <c r="E2538" t="inlineStr">
        <is>
          <t>Dear John</t>
        </is>
      </c>
      <c r="F2538" t="inlineStr">
        <is>
          <t>F0079</t>
        </is>
      </c>
    </row>
    <row r="2539">
      <c r="A2539" t="inlineStr">
        <is>
          <t>Steven Patrick O'Connor</t>
        </is>
      </c>
      <c r="B2539" t="n">
        <v>1</v>
      </c>
      <c r="C2539" t="n">
        <v>2010</v>
      </c>
      <c r="D2539" t="n">
        <v>2010</v>
      </c>
      <c r="E2539" t="inlineStr">
        <is>
          <t>Dear John</t>
        </is>
      </c>
      <c r="F2539" t="inlineStr">
        <is>
          <t>F0079</t>
        </is>
      </c>
    </row>
    <row r="2540">
      <c r="A2540" t="inlineStr">
        <is>
          <t>Jessica Lucas</t>
        </is>
      </c>
      <c r="B2540" t="n">
        <v>1</v>
      </c>
      <c r="C2540" t="n">
        <v>2010</v>
      </c>
      <c r="D2540" t="n">
        <v>2010</v>
      </c>
      <c r="E2540" t="inlineStr">
        <is>
          <t>Dear John</t>
        </is>
      </c>
      <c r="F2540" t="inlineStr">
        <is>
          <t>F0079</t>
        </is>
      </c>
    </row>
    <row r="2541">
      <c r="A2541" t="inlineStr">
        <is>
          <t>Bobby Moynihan</t>
        </is>
      </c>
      <c r="B2541" t="n">
        <v>4</v>
      </c>
      <c r="C2541" t="n">
        <v>2013</v>
      </c>
      <c r="D2541" t="n">
        <v>2016</v>
      </c>
      <c r="E2541" t="inlineStr">
        <is>
          <t>Delivery Man, Inside Out, Monsters University, The Secret Life of Pets</t>
        </is>
      </c>
      <c r="F2541" t="inlineStr">
        <is>
          <t>F0080, F0167, F0230, F0274</t>
        </is>
      </c>
    </row>
    <row r="2542">
      <c r="A2542" t="inlineStr">
        <is>
          <t>Andrzej Blumenfeld</t>
        </is>
      </c>
      <c r="B2542" t="n">
        <v>1</v>
      </c>
      <c r="C2542" t="n">
        <v>2013</v>
      </c>
      <c r="D2542" t="n">
        <v>2013</v>
      </c>
      <c r="E2542" t="inlineStr">
        <is>
          <t>Delivery Man</t>
        </is>
      </c>
      <c r="F2542" t="inlineStr">
        <is>
          <t>F0080</t>
        </is>
      </c>
    </row>
    <row r="2543">
      <c r="A2543" t="inlineStr">
        <is>
          <t>Dave Patten</t>
        </is>
      </c>
      <c r="B2543" t="n">
        <v>1</v>
      </c>
      <c r="C2543" t="n">
        <v>2013</v>
      </c>
      <c r="D2543" t="n">
        <v>2013</v>
      </c>
      <c r="E2543" t="inlineStr">
        <is>
          <t>Delivery Man</t>
        </is>
      </c>
      <c r="F2543" t="inlineStr">
        <is>
          <t>F0080</t>
        </is>
      </c>
    </row>
    <row r="2544">
      <c r="A2544" t="inlineStr">
        <is>
          <t>Adam Chanler-Berat</t>
        </is>
      </c>
      <c r="B2544" t="n">
        <v>1</v>
      </c>
      <c r="C2544" t="n">
        <v>2013</v>
      </c>
      <c r="D2544" t="n">
        <v>2013</v>
      </c>
      <c r="E2544" t="inlineStr">
        <is>
          <t>Delivery Man</t>
        </is>
      </c>
      <c r="F2544" t="inlineStr">
        <is>
          <t>F0080</t>
        </is>
      </c>
    </row>
    <row r="2545">
      <c r="A2545" t="inlineStr">
        <is>
          <t>Amos VanderPoel</t>
        </is>
      </c>
      <c r="B2545" t="n">
        <v>1</v>
      </c>
      <c r="C2545" t="n">
        <v>2013</v>
      </c>
      <c r="D2545" t="n">
        <v>2013</v>
      </c>
      <c r="E2545" t="inlineStr">
        <is>
          <t>Delivery Man</t>
        </is>
      </c>
      <c r="F2545" t="inlineStr">
        <is>
          <t>F0080</t>
        </is>
      </c>
    </row>
    <row r="2546">
      <c r="A2546" t="inlineStr">
        <is>
          <t>Matthew Daddario</t>
        </is>
      </c>
      <c r="B2546" t="n">
        <v>1</v>
      </c>
      <c r="C2546" t="n">
        <v>2013</v>
      </c>
      <c r="D2546" t="n">
        <v>2013</v>
      </c>
      <c r="E2546" t="inlineStr">
        <is>
          <t>Delivery Man</t>
        </is>
      </c>
      <c r="F2546" t="inlineStr">
        <is>
          <t>F0080</t>
        </is>
      </c>
    </row>
    <row r="2547">
      <c r="A2547" t="inlineStr">
        <is>
          <t>Jessica Williams</t>
        </is>
      </c>
      <c r="B2547" t="n">
        <v>1</v>
      </c>
      <c r="C2547" t="n">
        <v>2013</v>
      </c>
      <c r="D2547" t="n">
        <v>2013</v>
      </c>
      <c r="E2547" t="inlineStr">
        <is>
          <t>Delivery Man</t>
        </is>
      </c>
      <c r="F2547" t="inlineStr">
        <is>
          <t>F0080</t>
        </is>
      </c>
    </row>
    <row r="2548">
      <c r="A2548" t="inlineStr">
        <is>
          <t>Leslie Ann Glossner</t>
        </is>
      </c>
      <c r="B2548" t="n">
        <v>1</v>
      </c>
      <c r="C2548" t="n">
        <v>2013</v>
      </c>
      <c r="D2548" t="n">
        <v>2013</v>
      </c>
      <c r="E2548" t="inlineStr">
        <is>
          <t>Delivery Man</t>
        </is>
      </c>
      <c r="F2548" t="inlineStr">
        <is>
          <t>F0080</t>
        </is>
      </c>
    </row>
    <row r="2549">
      <c r="A2549" t="inlineStr">
        <is>
          <t>Derrick Arthur</t>
        </is>
      </c>
      <c r="B2549" t="n">
        <v>1</v>
      </c>
      <c r="C2549" t="n">
        <v>2013</v>
      </c>
      <c r="D2549" t="n">
        <v>2013</v>
      </c>
      <c r="E2549" t="inlineStr">
        <is>
          <t>Delivery Man</t>
        </is>
      </c>
      <c r="F2549" t="inlineStr">
        <is>
          <t>F0080</t>
        </is>
      </c>
    </row>
    <row r="2550">
      <c r="A2550" t="inlineStr">
        <is>
          <t>Michael Oberholtzer</t>
        </is>
      </c>
      <c r="B2550" t="n">
        <v>1</v>
      </c>
      <c r="C2550" t="n">
        <v>2013</v>
      </c>
      <c r="D2550" t="n">
        <v>2013</v>
      </c>
      <c r="E2550" t="inlineStr">
        <is>
          <t>Delivery Man</t>
        </is>
      </c>
      <c r="F2550" t="inlineStr">
        <is>
          <t>F0080</t>
        </is>
      </c>
    </row>
    <row r="2551">
      <c r="A2551" t="inlineStr">
        <is>
          <t>Sébastien René</t>
        </is>
      </c>
      <c r="B2551" t="n">
        <v>1</v>
      </c>
      <c r="C2551" t="n">
        <v>2013</v>
      </c>
      <c r="D2551" t="n">
        <v>2013</v>
      </c>
      <c r="E2551" t="inlineStr">
        <is>
          <t>Delivery Man</t>
        </is>
      </c>
      <c r="F2551" t="inlineStr">
        <is>
          <t>F0080</t>
        </is>
      </c>
    </row>
    <row r="2552">
      <c r="A2552" t="inlineStr">
        <is>
          <t>Kevin Hopkins</t>
        </is>
      </c>
      <c r="B2552" t="n">
        <v>1</v>
      </c>
      <c r="C2552" t="n">
        <v>2013</v>
      </c>
      <c r="D2552" t="n">
        <v>2013</v>
      </c>
      <c r="E2552" t="inlineStr">
        <is>
          <t>Delivery Man</t>
        </is>
      </c>
      <c r="F2552" t="inlineStr">
        <is>
          <t>F0080</t>
        </is>
      </c>
    </row>
    <row r="2553">
      <c r="A2553" t="inlineStr">
        <is>
          <t>Stephen Ellis</t>
        </is>
      </c>
      <c r="B2553" t="n">
        <v>1</v>
      </c>
      <c r="C2553" t="n">
        <v>2013</v>
      </c>
      <c r="D2553" t="n">
        <v>2013</v>
      </c>
      <c r="E2553" t="inlineStr">
        <is>
          <t>Delivery Man</t>
        </is>
      </c>
      <c r="F2553" t="inlineStr">
        <is>
          <t>F0080</t>
        </is>
      </c>
    </row>
    <row r="2554">
      <c r="A2554" t="inlineStr">
        <is>
          <t>Zachary Hernandez</t>
        </is>
      </c>
      <c r="B2554" t="n">
        <v>1</v>
      </c>
      <c r="C2554" t="n">
        <v>2013</v>
      </c>
      <c r="D2554" t="n">
        <v>2013</v>
      </c>
      <c r="E2554" t="inlineStr">
        <is>
          <t>Delivery Man</t>
        </is>
      </c>
      <c r="F2554" t="inlineStr">
        <is>
          <t>F0080</t>
        </is>
      </c>
    </row>
    <row r="2555">
      <c r="A2555" t="inlineStr">
        <is>
          <t>Erin Gerasimovich</t>
        </is>
      </c>
      <c r="B2555" t="n">
        <v>2</v>
      </c>
      <c r="C2555" t="n">
        <v>2013</v>
      </c>
      <c r="D2555" t="n">
        <v>2013</v>
      </c>
      <c r="E2555" t="inlineStr">
        <is>
          <t>Delivery Man, Prisoners</t>
        </is>
      </c>
      <c r="F2555" t="inlineStr">
        <is>
          <t>F0080, F0258</t>
        </is>
      </c>
    </row>
    <row r="2556">
      <c r="A2556" t="inlineStr">
        <is>
          <t>Kyle Sutton</t>
        </is>
      </c>
      <c r="B2556" t="n">
        <v>1</v>
      </c>
      <c r="C2556" t="n">
        <v>2013</v>
      </c>
      <c r="D2556" t="n">
        <v>2013</v>
      </c>
      <c r="E2556" t="inlineStr">
        <is>
          <t>Delivery Man</t>
        </is>
      </c>
      <c r="F2556" t="inlineStr">
        <is>
          <t>F0080</t>
        </is>
      </c>
    </row>
    <row r="2557">
      <c r="A2557" t="inlineStr">
        <is>
          <t>Lynda Gravatt</t>
        </is>
      </c>
      <c r="B2557" t="n">
        <v>1</v>
      </c>
      <c r="C2557" t="n">
        <v>2013</v>
      </c>
      <c r="D2557" t="n">
        <v>2013</v>
      </c>
      <c r="E2557" t="inlineStr">
        <is>
          <t>Delivery Man</t>
        </is>
      </c>
      <c r="F2557" t="inlineStr">
        <is>
          <t>F0080</t>
        </is>
      </c>
    </row>
    <row r="2558">
      <c r="A2558" t="inlineStr">
        <is>
          <t>Starla Benford</t>
        </is>
      </c>
      <c r="B2558" t="n">
        <v>1</v>
      </c>
      <c r="C2558" t="n">
        <v>2013</v>
      </c>
      <c r="D2558" t="n">
        <v>2013</v>
      </c>
      <c r="E2558" t="inlineStr">
        <is>
          <t>Delivery Man</t>
        </is>
      </c>
      <c r="F2558" t="inlineStr">
        <is>
          <t>F0080</t>
        </is>
      </c>
    </row>
    <row r="2559">
      <c r="A2559" t="inlineStr">
        <is>
          <t>Damian Young</t>
        </is>
      </c>
      <c r="B2559" t="n">
        <v>2</v>
      </c>
      <c r="C2559" t="n">
        <v>2013</v>
      </c>
      <c r="D2559" t="n">
        <v>2017</v>
      </c>
      <c r="E2559" t="inlineStr">
        <is>
          <t>Delivery Man, The Greatest Showman</t>
        </is>
      </c>
      <c r="F2559" t="inlineStr">
        <is>
          <t>F0080, F0127</t>
        </is>
      </c>
    </row>
    <row r="2560">
      <c r="A2560" t="inlineStr">
        <is>
          <t>Finnerty Steeves</t>
        </is>
      </c>
      <c r="B2560" t="n">
        <v>1</v>
      </c>
      <c r="C2560" t="n">
        <v>2013</v>
      </c>
      <c r="D2560" t="n">
        <v>2013</v>
      </c>
      <c r="E2560" t="inlineStr">
        <is>
          <t>Delivery Man</t>
        </is>
      </c>
      <c r="F2560" t="inlineStr">
        <is>
          <t>F0080</t>
        </is>
      </c>
    </row>
    <row r="2561">
      <c r="A2561" t="inlineStr">
        <is>
          <t>Don Guillory</t>
        </is>
      </c>
      <c r="B2561" t="n">
        <v>1</v>
      </c>
      <c r="C2561" t="n">
        <v>2013</v>
      </c>
      <c r="D2561" t="n">
        <v>2013</v>
      </c>
      <c r="E2561" t="inlineStr">
        <is>
          <t>Delivery Man</t>
        </is>
      </c>
      <c r="F2561" t="inlineStr">
        <is>
          <t>F0080</t>
        </is>
      </c>
    </row>
    <row r="2562">
      <c r="A2562" t="inlineStr">
        <is>
          <t>Richard Poe</t>
        </is>
      </c>
      <c r="B2562" t="n">
        <v>1</v>
      </c>
      <c r="C2562" t="n">
        <v>2013</v>
      </c>
      <c r="D2562" t="n">
        <v>2013</v>
      </c>
      <c r="E2562" t="inlineStr">
        <is>
          <t>Delivery Man</t>
        </is>
      </c>
      <c r="F2562" t="inlineStr">
        <is>
          <t>F0080</t>
        </is>
      </c>
    </row>
    <row r="2563">
      <c r="A2563" t="inlineStr">
        <is>
          <t>Jessica Abo</t>
        </is>
      </c>
      <c r="B2563" t="n">
        <v>1</v>
      </c>
      <c r="C2563" t="n">
        <v>2013</v>
      </c>
      <c r="D2563" t="n">
        <v>2013</v>
      </c>
      <c r="E2563" t="inlineStr">
        <is>
          <t>Delivery Man</t>
        </is>
      </c>
      <c r="F2563" t="inlineStr">
        <is>
          <t>F0080</t>
        </is>
      </c>
    </row>
    <row r="2564">
      <c r="A2564" t="inlineStr">
        <is>
          <t>Logan Crawford</t>
        </is>
      </c>
      <c r="B2564" t="n">
        <v>1</v>
      </c>
      <c r="C2564" t="n">
        <v>2013</v>
      </c>
      <c r="D2564" t="n">
        <v>2013</v>
      </c>
      <c r="E2564" t="inlineStr">
        <is>
          <t>Delivery Man</t>
        </is>
      </c>
      <c r="F2564" t="inlineStr">
        <is>
          <t>F0080</t>
        </is>
      </c>
    </row>
    <row r="2565">
      <c r="A2565" t="inlineStr">
        <is>
          <t>Anthony Anderson</t>
        </is>
      </c>
      <c r="B2565" t="n">
        <v>2</v>
      </c>
      <c r="C2565" t="n">
        <v>2006</v>
      </c>
      <c r="D2565" t="n">
        <v>2007</v>
      </c>
      <c r="E2565" t="inlineStr">
        <is>
          <t>The Departed, Transformers</t>
        </is>
      </c>
      <c r="F2565" t="inlineStr">
        <is>
          <t>F0081, F0316</t>
        </is>
      </c>
    </row>
    <row r="2566">
      <c r="A2566" t="inlineStr">
        <is>
          <t>Alec Baldwin</t>
        </is>
      </c>
      <c r="B2566" t="n">
        <v>4</v>
      </c>
      <c r="C2566" t="n">
        <v>2001</v>
      </c>
      <c r="D2566" t="n">
        <v>2018</v>
      </c>
      <c r="E2566" t="inlineStr">
        <is>
          <t>The Departed, Mission: Impossible - Rogue Nation, Mission: Impossible - Fallout, Pearl Harbor</t>
        </is>
      </c>
      <c r="F2566" t="inlineStr">
        <is>
          <t>F0081, F0225, F0226, F0246</t>
        </is>
      </c>
    </row>
    <row r="2567">
      <c r="A2567" t="inlineStr">
        <is>
          <t>James Badge Dale</t>
        </is>
      </c>
      <c r="B2567" t="n">
        <v>2</v>
      </c>
      <c r="C2567" t="n">
        <v>2006</v>
      </c>
      <c r="D2567" t="n">
        <v>2013</v>
      </c>
      <c r="E2567" t="inlineStr">
        <is>
          <t>The Departed, Iron Man 3</t>
        </is>
      </c>
      <c r="F2567" t="inlineStr">
        <is>
          <t>F0081, F0169</t>
        </is>
      </c>
    </row>
    <row r="2568">
      <c r="A2568" t="inlineStr">
        <is>
          <t>Robert Wahlberg</t>
        </is>
      </c>
      <c r="B2568" t="n">
        <v>1</v>
      </c>
      <c r="C2568" t="n">
        <v>2006</v>
      </c>
      <c r="D2568" t="n">
        <v>2006</v>
      </c>
      <c r="E2568" t="inlineStr">
        <is>
          <t>The Departed</t>
        </is>
      </c>
      <c r="F2568" t="inlineStr">
        <is>
          <t>F0081</t>
        </is>
      </c>
    </row>
    <row r="2569">
      <c r="A2569" t="inlineStr">
        <is>
          <t>Kristen Dalton</t>
        </is>
      </c>
      <c r="B2569" t="n">
        <v>1</v>
      </c>
      <c r="C2569" t="n">
        <v>2006</v>
      </c>
      <c r="D2569" t="n">
        <v>2006</v>
      </c>
      <c r="E2569" t="inlineStr">
        <is>
          <t>The Departed</t>
        </is>
      </c>
      <c r="F2569" t="inlineStr">
        <is>
          <t>F0081</t>
        </is>
      </c>
    </row>
    <row r="2570">
      <c r="A2570" t="inlineStr">
        <is>
          <t>Thomas B. Duffy</t>
        </is>
      </c>
      <c r="B2570" t="n">
        <v>1</v>
      </c>
      <c r="C2570" t="n">
        <v>2006</v>
      </c>
      <c r="D2570" t="n">
        <v>2006</v>
      </c>
      <c r="E2570" t="inlineStr">
        <is>
          <t>The Departed</t>
        </is>
      </c>
      <c r="F2570" t="inlineStr">
        <is>
          <t>F0081</t>
        </is>
      </c>
    </row>
    <row r="2571">
      <c r="A2571" t="inlineStr">
        <is>
          <t>Richard Hughes</t>
        </is>
      </c>
      <c r="B2571" t="n">
        <v>1</v>
      </c>
      <c r="C2571" t="n">
        <v>2006</v>
      </c>
      <c r="D2571" t="n">
        <v>2006</v>
      </c>
      <c r="E2571" t="inlineStr">
        <is>
          <t>The Departed</t>
        </is>
      </c>
      <c r="F2571" t="inlineStr">
        <is>
          <t>F0081</t>
        </is>
      </c>
    </row>
    <row r="2572">
      <c r="A2572" t="inlineStr">
        <is>
          <t>J.C. MacKenzie</t>
        </is>
      </c>
      <c r="B2572" t="n">
        <v>1</v>
      </c>
      <c r="C2572" t="n">
        <v>2006</v>
      </c>
      <c r="D2572" t="n">
        <v>2006</v>
      </c>
      <c r="E2572" t="inlineStr">
        <is>
          <t>The Departed</t>
        </is>
      </c>
      <c r="F2572" t="inlineStr">
        <is>
          <t>F0081</t>
        </is>
      </c>
    </row>
    <row r="2573">
      <c r="A2573" t="inlineStr">
        <is>
          <t>Mary Klug</t>
        </is>
      </c>
      <c r="B2573" t="n">
        <v>1</v>
      </c>
      <c r="C2573" t="n">
        <v>2006</v>
      </c>
      <c r="D2573" t="n">
        <v>2006</v>
      </c>
      <c r="E2573" t="inlineStr">
        <is>
          <t>The Departed</t>
        </is>
      </c>
      <c r="F2573" t="inlineStr">
        <is>
          <t>F0081</t>
        </is>
      </c>
    </row>
    <row r="2574">
      <c r="A2574" t="inlineStr">
        <is>
          <t>Peg Holzemer</t>
        </is>
      </c>
      <c r="B2574" t="n">
        <v>1</v>
      </c>
      <c r="C2574" t="n">
        <v>2006</v>
      </c>
      <c r="D2574" t="n">
        <v>2006</v>
      </c>
      <c r="E2574" t="inlineStr">
        <is>
          <t>The Departed</t>
        </is>
      </c>
      <c r="F2574" t="inlineStr">
        <is>
          <t>F0081</t>
        </is>
      </c>
    </row>
    <row r="2575">
      <c r="A2575" t="inlineStr">
        <is>
          <t>Robert 'Toshi' Kar Yuen Chan</t>
        </is>
      </c>
      <c r="B2575" t="n">
        <v>1</v>
      </c>
      <c r="C2575" t="n">
        <v>2006</v>
      </c>
      <c r="D2575" t="n">
        <v>2006</v>
      </c>
      <c r="E2575" t="inlineStr">
        <is>
          <t>The Departed</t>
        </is>
      </c>
      <c r="F2575" t="inlineStr">
        <is>
          <t>F0081</t>
        </is>
      </c>
    </row>
    <row r="2576">
      <c r="A2576" t="inlineStr">
        <is>
          <t>Gurdeep Singh</t>
        </is>
      </c>
      <c r="B2576" t="n">
        <v>1</v>
      </c>
      <c r="C2576" t="n">
        <v>2006</v>
      </c>
      <c r="D2576" t="n">
        <v>2006</v>
      </c>
      <c r="E2576" t="inlineStr">
        <is>
          <t>The Departed</t>
        </is>
      </c>
      <c r="F2576" t="inlineStr">
        <is>
          <t>F0081</t>
        </is>
      </c>
    </row>
    <row r="2577">
      <c r="A2577" t="inlineStr">
        <is>
          <t>Armen Garo</t>
        </is>
      </c>
      <c r="B2577" t="n">
        <v>1</v>
      </c>
      <c r="C2577" t="n">
        <v>2006</v>
      </c>
      <c r="D2577" t="n">
        <v>2006</v>
      </c>
      <c r="E2577" t="inlineStr">
        <is>
          <t>The Departed</t>
        </is>
      </c>
      <c r="F2577" t="inlineStr">
        <is>
          <t>F0081</t>
        </is>
      </c>
    </row>
    <row r="2578">
      <c r="A2578" t="inlineStr">
        <is>
          <t>John Cenatiempo</t>
        </is>
      </c>
      <c r="B2578" t="n">
        <v>3</v>
      </c>
      <c r="C2578" t="n">
        <v>2003</v>
      </c>
      <c r="D2578" t="n">
        <v>2009</v>
      </c>
      <c r="E2578" t="inlineStr">
        <is>
          <t>The Departed, 2 Fast 2 Furious, Fast &amp; Furious</t>
        </is>
      </c>
      <c r="F2578" t="inlineStr">
        <is>
          <t>F0081, F0102, F0104</t>
        </is>
      </c>
    </row>
    <row r="2579">
      <c r="A2579" t="inlineStr">
        <is>
          <t>Joseph Riccobene</t>
        </is>
      </c>
      <c r="B2579" t="n">
        <v>1</v>
      </c>
      <c r="C2579" t="n">
        <v>2006</v>
      </c>
      <c r="D2579" t="n">
        <v>2006</v>
      </c>
      <c r="E2579" t="inlineStr">
        <is>
          <t>The Departed</t>
        </is>
      </c>
      <c r="F2579" t="inlineStr">
        <is>
          <t>F0081</t>
        </is>
      </c>
    </row>
    <row r="2580">
      <c r="A2580" t="inlineStr">
        <is>
          <t>Billy Smith</t>
        </is>
      </c>
      <c r="B2580" t="n">
        <v>2</v>
      </c>
      <c r="C2580" t="n">
        <v>2006</v>
      </c>
      <c r="D2580" t="n">
        <v>2025</v>
      </c>
      <c r="E2580" t="inlineStr">
        <is>
          <t>The Departed, Jurassic World Rebirth</t>
        </is>
      </c>
      <c r="F2580" t="inlineStr">
        <is>
          <t>F0081, F0182</t>
        </is>
      </c>
    </row>
    <row r="2581">
      <c r="A2581" t="inlineStr">
        <is>
          <t>Lyman Chen</t>
        </is>
      </c>
      <c r="B2581" t="n">
        <v>1</v>
      </c>
      <c r="C2581" t="n">
        <v>2006</v>
      </c>
      <c r="D2581" t="n">
        <v>2006</v>
      </c>
      <c r="E2581" t="inlineStr">
        <is>
          <t>The Departed</t>
        </is>
      </c>
      <c r="F2581" t="inlineStr">
        <is>
          <t>F0081</t>
        </is>
      </c>
    </row>
    <row r="2582">
      <c r="A2582" t="inlineStr">
        <is>
          <t>Kevin P. McCarthy</t>
        </is>
      </c>
      <c r="B2582" t="n">
        <v>1</v>
      </c>
      <c r="C2582" t="n">
        <v>2006</v>
      </c>
      <c r="D2582" t="n">
        <v>2006</v>
      </c>
      <c r="E2582" t="inlineStr">
        <is>
          <t>The Departed</t>
        </is>
      </c>
      <c r="F2582" t="inlineStr">
        <is>
          <t>F0081</t>
        </is>
      </c>
    </row>
    <row r="2583">
      <c r="A2583" t="inlineStr">
        <is>
          <t>Chris Fischer</t>
        </is>
      </c>
      <c r="B2583" t="n">
        <v>1</v>
      </c>
      <c r="C2583" t="n">
        <v>2006</v>
      </c>
      <c r="D2583" t="n">
        <v>2006</v>
      </c>
      <c r="E2583" t="inlineStr">
        <is>
          <t>The Departed</t>
        </is>
      </c>
      <c r="F2583" t="inlineStr">
        <is>
          <t>F0081</t>
        </is>
      </c>
    </row>
    <row r="2584">
      <c r="A2584" t="inlineStr">
        <is>
          <t>Brian Smyj</t>
        </is>
      </c>
      <c r="B2584" t="n">
        <v>1</v>
      </c>
      <c r="C2584" t="n">
        <v>2006</v>
      </c>
      <c r="D2584" t="n">
        <v>2006</v>
      </c>
      <c r="E2584" t="inlineStr">
        <is>
          <t>The Departed</t>
        </is>
      </c>
      <c r="F2584" t="inlineStr">
        <is>
          <t>F0081</t>
        </is>
      </c>
    </row>
    <row r="2585">
      <c r="A2585" t="inlineStr">
        <is>
          <t>Julie Andrews</t>
        </is>
      </c>
      <c r="B2585" t="n">
        <v>2</v>
      </c>
      <c r="C2585" t="n">
        <v>2010</v>
      </c>
      <c r="D2585" t="n">
        <v>2017</v>
      </c>
      <c r="E2585" t="inlineStr">
        <is>
          <t>Despicable Me, Despicable Me 3</t>
        </is>
      </c>
      <c r="F2585" t="inlineStr">
        <is>
          <t>F0082, F0084</t>
        </is>
      </c>
    </row>
    <row r="2586">
      <c r="A2586" t="inlineStr">
        <is>
          <t>Dana Gaier Ellis</t>
        </is>
      </c>
      <c r="B2586" t="n">
        <v>3</v>
      </c>
      <c r="C2586" t="n">
        <v>2010</v>
      </c>
      <c r="D2586" t="n">
        <v>2017</v>
      </c>
      <c r="E2586" t="inlineStr">
        <is>
          <t>Despicable Me, Despicable Me 2, Despicable Me 3</t>
        </is>
      </c>
      <c r="F2586" t="inlineStr">
        <is>
          <t>F0082, F0083, F0084</t>
        </is>
      </c>
    </row>
    <row r="2587">
      <c r="A2587" t="inlineStr">
        <is>
          <t>Pierre Coffin</t>
        </is>
      </c>
      <c r="B2587" t="n">
        <v>4</v>
      </c>
      <c r="C2587" t="n">
        <v>2010</v>
      </c>
      <c r="D2587" t="n">
        <v>2017</v>
      </c>
      <c r="E2587" t="inlineStr">
        <is>
          <t>Despicable Me, Despicable Me 2, Despicable Me 3, Minions</t>
        </is>
      </c>
      <c r="F2587" t="inlineStr">
        <is>
          <t>F0082, F0083, F0084, F0220</t>
        </is>
      </c>
    </row>
    <row r="2588">
      <c r="A2588" t="inlineStr">
        <is>
          <t>Chris Renaud</t>
        </is>
      </c>
      <c r="B2588" t="n">
        <v>3</v>
      </c>
      <c r="C2588" t="n">
        <v>2010</v>
      </c>
      <c r="D2588" t="n">
        <v>2016</v>
      </c>
      <c r="E2588" t="inlineStr">
        <is>
          <t>Despicable Me, Despicable Me 2, The Secret Life of Pets</t>
        </is>
      </c>
      <c r="F2588" t="inlineStr">
        <is>
          <t>F0082, F0083, F0274</t>
        </is>
      </c>
    </row>
    <row r="2589">
      <c r="A2589" t="inlineStr">
        <is>
          <t>Mindy Kaling</t>
        </is>
      </c>
      <c r="B2589" t="n">
        <v>4</v>
      </c>
      <c r="C2589" t="n">
        <v>2009</v>
      </c>
      <c r="D2589" t="n">
        <v>2015</v>
      </c>
      <c r="E2589" t="inlineStr">
        <is>
          <t>Despicable Me, Inside Out, Night at the Museum: Battle of the Smithsonian, Wreck-It Ralph</t>
        </is>
      </c>
      <c r="F2589" t="inlineStr">
        <is>
          <t>F0082, F0167, F0236, F0336</t>
        </is>
      </c>
    </row>
    <row r="2590">
      <c r="A2590" t="inlineStr">
        <is>
          <t>Rob Huebel</t>
        </is>
      </c>
      <c r="B2590" t="n">
        <v>1</v>
      </c>
      <c r="C2590" t="n">
        <v>2010</v>
      </c>
      <c r="D2590" t="n">
        <v>2010</v>
      </c>
      <c r="E2590" t="inlineStr">
        <is>
          <t>Despicable Me</t>
        </is>
      </c>
      <c r="F2590" t="inlineStr">
        <is>
          <t>F0082</t>
        </is>
      </c>
    </row>
    <row r="2591">
      <c r="A2591" t="inlineStr">
        <is>
          <t>Ken Daurio</t>
        </is>
      </c>
      <c r="B2591" t="n">
        <v>2</v>
      </c>
      <c r="C2591" t="n">
        <v>2010</v>
      </c>
      <c r="D2591" t="n">
        <v>2017</v>
      </c>
      <c r="E2591" t="inlineStr">
        <is>
          <t>Despicable Me, Despicable Me 3</t>
        </is>
      </c>
      <c r="F2591" t="inlineStr">
        <is>
          <t>F0082, F0084</t>
        </is>
      </c>
    </row>
    <row r="2592">
      <c r="A2592" t="inlineStr">
        <is>
          <t>Charles Bright</t>
        </is>
      </c>
      <c r="B2592" t="n">
        <v>1</v>
      </c>
      <c r="C2592" t="n">
        <v>2010</v>
      </c>
      <c r="D2592" t="n">
        <v>2010</v>
      </c>
      <c r="E2592" t="inlineStr">
        <is>
          <t>Despicable Me</t>
        </is>
      </c>
      <c r="F2592" t="inlineStr">
        <is>
          <t>F0082</t>
        </is>
      </c>
    </row>
    <row r="2593">
      <c r="A2593" t="inlineStr">
        <is>
          <t>Katie Leigh</t>
        </is>
      </c>
      <c r="B2593" t="n">
        <v>1</v>
      </c>
      <c r="C2593" t="n">
        <v>2010</v>
      </c>
      <c r="D2593" t="n">
        <v>2010</v>
      </c>
      <c r="E2593" t="inlineStr">
        <is>
          <t>Despicable Me</t>
        </is>
      </c>
      <c r="F2593" t="inlineStr">
        <is>
          <t>F0082</t>
        </is>
      </c>
    </row>
    <row r="2594">
      <c r="A2594" t="inlineStr">
        <is>
          <t>Ranjani Brow</t>
        </is>
      </c>
      <c r="B2594" t="n">
        <v>1</v>
      </c>
      <c r="C2594" t="n">
        <v>2010</v>
      </c>
      <c r="D2594" t="n">
        <v>2010</v>
      </c>
      <c r="E2594" t="inlineStr">
        <is>
          <t>Despicable Me</t>
        </is>
      </c>
      <c r="F2594" t="inlineStr">
        <is>
          <t>F0082</t>
        </is>
      </c>
    </row>
    <row r="2595">
      <c r="A2595" t="inlineStr">
        <is>
          <t>Holly Dorff</t>
        </is>
      </c>
      <c r="B2595" t="n">
        <v>1</v>
      </c>
      <c r="C2595" t="n">
        <v>2010</v>
      </c>
      <c r="D2595" t="n">
        <v>2010</v>
      </c>
      <c r="E2595" t="inlineStr">
        <is>
          <t>Despicable Me</t>
        </is>
      </c>
      <c r="F2595" t="inlineStr">
        <is>
          <t>F0082</t>
        </is>
      </c>
    </row>
    <row r="2596">
      <c r="A2596" t="inlineStr">
        <is>
          <t>Edie Mirman</t>
        </is>
      </c>
      <c r="B2596" t="n">
        <v>1</v>
      </c>
      <c r="C2596" t="n">
        <v>2010</v>
      </c>
      <c r="D2596" t="n">
        <v>2010</v>
      </c>
      <c r="E2596" t="inlineStr">
        <is>
          <t>Despicable Me</t>
        </is>
      </c>
      <c r="F2596" t="inlineStr">
        <is>
          <t>F0082</t>
        </is>
      </c>
    </row>
    <row r="2597">
      <c r="A2597" t="inlineStr">
        <is>
          <t>Al Rodrigo</t>
        </is>
      </c>
      <c r="B2597" t="n">
        <v>1</v>
      </c>
      <c r="C2597" t="n">
        <v>2010</v>
      </c>
      <c r="D2597" t="n">
        <v>2010</v>
      </c>
      <c r="E2597" t="inlineStr">
        <is>
          <t>Despicable Me</t>
        </is>
      </c>
      <c r="F2597" t="inlineStr">
        <is>
          <t>F0082</t>
        </is>
      </c>
    </row>
    <row r="2598">
      <c r="A2598" t="inlineStr">
        <is>
          <t>Jakob Roston</t>
        </is>
      </c>
      <c r="B2598" t="n">
        <v>1</v>
      </c>
      <c r="C2598" t="n">
        <v>2010</v>
      </c>
      <c r="D2598" t="n">
        <v>2010</v>
      </c>
      <c r="E2598" t="inlineStr">
        <is>
          <t>Despicable Me</t>
        </is>
      </c>
      <c r="F2598" t="inlineStr">
        <is>
          <t>F0082</t>
        </is>
      </c>
    </row>
    <row r="2599">
      <c r="A2599" t="inlineStr">
        <is>
          <t>James Kyson</t>
        </is>
      </c>
      <c r="B2599" t="n">
        <v>1</v>
      </c>
      <c r="C2599" t="n">
        <v>2010</v>
      </c>
      <c r="D2599" t="n">
        <v>2010</v>
      </c>
      <c r="E2599" t="inlineStr">
        <is>
          <t>Despicable Me</t>
        </is>
      </c>
      <c r="F2599" t="inlineStr">
        <is>
          <t>F0082</t>
        </is>
      </c>
    </row>
    <row r="2600">
      <c r="A2600" t="inlineStr">
        <is>
          <t>John Hans Tester</t>
        </is>
      </c>
      <c r="B2600" t="n">
        <v>1</v>
      </c>
      <c r="C2600" t="n">
        <v>2010</v>
      </c>
      <c r="D2600" t="n">
        <v>2010</v>
      </c>
      <c r="E2600" t="inlineStr">
        <is>
          <t>Despicable Me</t>
        </is>
      </c>
      <c r="F2600" t="inlineStr">
        <is>
          <t>F0082</t>
        </is>
      </c>
    </row>
    <row r="2601">
      <c r="A2601" t="inlineStr">
        <is>
          <t>Moisés Arias</t>
        </is>
      </c>
      <c r="B2601" t="n">
        <v>2</v>
      </c>
      <c r="C2601" t="n">
        <v>2013</v>
      </c>
      <c r="D2601" t="n">
        <v>2017</v>
      </c>
      <c r="E2601" t="inlineStr">
        <is>
          <t>Despicable Me 2, Pitch Perfect 3</t>
        </is>
      </c>
      <c r="F2601" t="inlineStr">
        <is>
          <t>F0083, F0252</t>
        </is>
      </c>
    </row>
    <row r="2602">
      <c r="A2602" t="inlineStr">
        <is>
          <t>Nasim Pedrad</t>
        </is>
      </c>
      <c r="B2602" t="n">
        <v>1</v>
      </c>
      <c r="C2602" t="n">
        <v>2013</v>
      </c>
      <c r="D2602" t="n">
        <v>2013</v>
      </c>
      <c r="E2602" t="inlineStr">
        <is>
          <t>Despicable Me 2</t>
        </is>
      </c>
      <c r="F2602" t="inlineStr">
        <is>
          <t>F0083</t>
        </is>
      </c>
    </row>
    <row r="2603">
      <c r="A2603" t="inlineStr">
        <is>
          <t>Nickolai Stoilov</t>
        </is>
      </c>
      <c r="B2603" t="n">
        <v>1</v>
      </c>
      <c r="C2603" t="n">
        <v>2013</v>
      </c>
      <c r="D2603" t="n">
        <v>2013</v>
      </c>
      <c r="E2603" t="inlineStr">
        <is>
          <t>Despicable Me 2</t>
        </is>
      </c>
      <c r="F2603" t="inlineStr">
        <is>
          <t>F0083</t>
        </is>
      </c>
    </row>
    <row r="2604">
      <c r="A2604" t="inlineStr">
        <is>
          <t>Vanessa Bayer</t>
        </is>
      </c>
      <c r="B2604" t="n">
        <v>1</v>
      </c>
      <c r="C2604" t="n">
        <v>2013</v>
      </c>
      <c r="D2604" t="n">
        <v>2013</v>
      </c>
      <c r="E2604" t="inlineStr">
        <is>
          <t>Despicable Me 2</t>
        </is>
      </c>
      <c r="F2604" t="inlineStr">
        <is>
          <t>F0083</t>
        </is>
      </c>
    </row>
    <row r="2605">
      <c r="A2605" t="inlineStr">
        <is>
          <t>Ava Acres</t>
        </is>
      </c>
      <c r="B2605" t="n">
        <v>4</v>
      </c>
      <c r="C2605" t="n">
        <v>2011</v>
      </c>
      <c r="D2605" t="n">
        <v>2015</v>
      </c>
      <c r="E2605" t="inlineStr">
        <is>
          <t>Despicable Me 2, Frozen, Happy Feet Two, Minions</t>
        </is>
      </c>
      <c r="F2605" t="inlineStr">
        <is>
          <t>F0083, F0116, F0145, F0220</t>
        </is>
      </c>
    </row>
    <row r="2606">
      <c r="A2606" t="inlineStr">
        <is>
          <t>Lori Alan</t>
        </is>
      </c>
      <c r="B2606" t="n">
        <v>8</v>
      </c>
      <c r="C2606" t="n">
        <v>2008</v>
      </c>
      <c r="D2606" t="n">
        <v>2019</v>
      </c>
      <c r="E2606" t="inlineStr">
        <is>
          <t>Despicable Me 2, Despicable Me 3, Inside Out, Minions, Monsters University, Toy Story 3, Toy Story 4, WALL·E</t>
        </is>
      </c>
      <c r="F2606" t="inlineStr">
        <is>
          <t>F0083, F0084, F0167, F0220, F0230, F0314, F0315, F0331</t>
        </is>
      </c>
    </row>
    <row r="2607">
      <c r="A2607" t="inlineStr">
        <is>
          <t>Eva Bella</t>
        </is>
      </c>
      <c r="B2607" t="n">
        <v>2</v>
      </c>
      <c r="C2607" t="n">
        <v>2013</v>
      </c>
      <c r="D2607" t="n">
        <v>2013</v>
      </c>
      <c r="E2607" t="inlineStr">
        <is>
          <t>Despicable Me 2, Frozen</t>
        </is>
      </c>
      <c r="F2607" t="inlineStr">
        <is>
          <t>F0083, F0116</t>
        </is>
      </c>
    </row>
    <row r="2608">
      <c r="A2608" t="inlineStr">
        <is>
          <t>Georgia Cook</t>
        </is>
      </c>
      <c r="B2608" t="n">
        <v>1</v>
      </c>
      <c r="C2608" t="n">
        <v>2013</v>
      </c>
      <c r="D2608" t="n">
        <v>2013</v>
      </c>
      <c r="E2608" t="inlineStr">
        <is>
          <t>Despicable Me 2</t>
        </is>
      </c>
      <c r="F2608" t="inlineStr">
        <is>
          <t>F0083</t>
        </is>
      </c>
    </row>
    <row r="2609">
      <c r="A2609" t="inlineStr">
        <is>
          <t>John Cygan</t>
        </is>
      </c>
      <c r="B2609" t="n">
        <v>7</v>
      </c>
      <c r="C2609" t="n">
        <v>2008</v>
      </c>
      <c r="D2609" t="n">
        <v>2017</v>
      </c>
      <c r="E2609" t="inlineStr">
        <is>
          <t>Despicable Me 2, Despicable Me 3, Inside Out, Minions, Toy Story 3, Up, WALL·E</t>
        </is>
      </c>
      <c r="F2609" t="inlineStr">
        <is>
          <t>F0083, F0084, F0167, F0220, F0314, F0330, F0331</t>
        </is>
      </c>
    </row>
    <row r="2610">
      <c r="A2610" t="inlineStr">
        <is>
          <t>Jess Harnell</t>
        </is>
      </c>
      <c r="B2610" t="n">
        <v>7</v>
      </c>
      <c r="C2610" t="n">
        <v>2008</v>
      </c>
      <c r="D2610" t="n">
        <v>2017</v>
      </c>
      <c r="E2610" t="inlineStr">
        <is>
          <t>Despicable Me 2, Despicable Me 3, Minions, The Secret Life of Pets, Up, WALL·E, Wreck-It Ralph</t>
        </is>
      </c>
      <c r="F2610" t="inlineStr">
        <is>
          <t>F0083, F0084, F0220, F0274, F0330, F0331, F0336</t>
        </is>
      </c>
    </row>
    <row r="2611">
      <c r="A2611" t="inlineStr">
        <is>
          <t>Danny Mann</t>
        </is>
      </c>
      <c r="B2611" t="n">
        <v>5</v>
      </c>
      <c r="C2611" t="n">
        <v>2009</v>
      </c>
      <c r="D2611" t="n">
        <v>2017</v>
      </c>
      <c r="E2611" t="inlineStr">
        <is>
          <t>Despicable Me 2, Despicable Me 3, Happy Feet Two, The Secret Life of Pets, Up</t>
        </is>
      </c>
      <c r="F2611" t="inlineStr">
        <is>
          <t>F0083, F0084, F0145, F0274, F0330</t>
        </is>
      </c>
    </row>
    <row r="2612">
      <c r="A2612" t="inlineStr">
        <is>
          <t>Mona Marshall</t>
        </is>
      </c>
      <c r="B2612" t="n">
        <v>2</v>
      </c>
      <c r="C2612" t="n">
        <v>2013</v>
      </c>
      <c r="D2612" t="n">
        <v>2016</v>
      </c>
      <c r="E2612" t="inlineStr">
        <is>
          <t>Despicable Me 2, The Secret Life of Pets</t>
        </is>
      </c>
      <c r="F2612" t="inlineStr">
        <is>
          <t>F0083, F0274</t>
        </is>
      </c>
    </row>
    <row r="2613">
      <c r="A2613" t="inlineStr">
        <is>
          <t>Mickie McGowan</t>
        </is>
      </c>
      <c r="B2613" t="n">
        <v>6</v>
      </c>
      <c r="C2613" t="n">
        <v>1995</v>
      </c>
      <c r="D2613" t="n">
        <v>2015</v>
      </c>
      <c r="E2613" t="inlineStr">
        <is>
          <t>Despicable Me 2, Hercules, Minions, Toy Story, Up, WALL·E</t>
        </is>
      </c>
      <c r="F2613" t="inlineStr">
        <is>
          <t>F0083, F0147, F0220, F0312, F0330, F0331</t>
        </is>
      </c>
    </row>
    <row r="2614">
      <c r="A2614" t="inlineStr">
        <is>
          <t>Mason McNulty</t>
        </is>
      </c>
      <c r="B2614" t="n">
        <v>1</v>
      </c>
      <c r="C2614" t="n">
        <v>2013</v>
      </c>
      <c r="D2614" t="n">
        <v>2013</v>
      </c>
      <c r="E2614" t="inlineStr">
        <is>
          <t>Despicable Me 2</t>
        </is>
      </c>
      <c r="F2614" t="inlineStr">
        <is>
          <t>F0083</t>
        </is>
      </c>
    </row>
    <row r="2615">
      <c r="A2615" t="inlineStr">
        <is>
          <t>Alec Medlock</t>
        </is>
      </c>
      <c r="B2615" t="n">
        <v>1</v>
      </c>
      <c r="C2615" t="n">
        <v>2013</v>
      </c>
      <c r="D2615" t="n">
        <v>2013</v>
      </c>
      <c r="E2615" t="inlineStr">
        <is>
          <t>Despicable Me 2</t>
        </is>
      </c>
      <c r="F2615" t="inlineStr">
        <is>
          <t>F0083</t>
        </is>
      </c>
    </row>
    <row r="2616">
      <c r="A2616" t="inlineStr">
        <is>
          <t>Laraine Newman</t>
        </is>
      </c>
      <c r="B2616" t="n">
        <v>4</v>
      </c>
      <c r="C2616" t="n">
        <v>2008</v>
      </c>
      <c r="D2616" t="n">
        <v>2016</v>
      </c>
      <c r="E2616" t="inlineStr">
        <is>
          <t>Despicable Me 2, Sing, Up, WALL·E</t>
        </is>
      </c>
      <c r="F2616" t="inlineStr">
        <is>
          <t>F0083, F0280, F0330, F0331</t>
        </is>
      </c>
    </row>
    <row r="2617">
      <c r="A2617" t="inlineStr">
        <is>
          <t>Trey Parker</t>
        </is>
      </c>
      <c r="B2617" t="n">
        <v>1</v>
      </c>
      <c r="C2617" t="n">
        <v>2017</v>
      </c>
      <c r="D2617" t="n">
        <v>2017</v>
      </c>
      <c r="E2617" t="inlineStr">
        <is>
          <t>Despicable Me 3</t>
        </is>
      </c>
      <c r="F2617" t="inlineStr">
        <is>
          <t>F0084</t>
        </is>
      </c>
    </row>
    <row r="2618">
      <c r="A2618" t="inlineStr">
        <is>
          <t>Nhev Scharrel</t>
        </is>
      </c>
      <c r="B2618" t="n">
        <v>1</v>
      </c>
      <c r="C2618" t="n">
        <v>2017</v>
      </c>
      <c r="D2618" t="n">
        <v>2017</v>
      </c>
      <c r="E2618" t="inlineStr">
        <is>
          <t>Despicable Me 3</t>
        </is>
      </c>
      <c r="F2618" t="inlineStr">
        <is>
          <t>F0084</t>
        </is>
      </c>
    </row>
    <row r="2619">
      <c r="A2619" t="inlineStr">
        <is>
          <t>Michael Beattie</t>
        </is>
      </c>
      <c r="B2619" t="n">
        <v>3</v>
      </c>
      <c r="C2619" t="n">
        <v>2015</v>
      </c>
      <c r="D2619" t="n">
        <v>2017</v>
      </c>
      <c r="E2619" t="inlineStr">
        <is>
          <t>Despicable Me 3, Minions, The Secret Life of Pets</t>
        </is>
      </c>
      <c r="F2619" t="inlineStr">
        <is>
          <t>F0084, F0220, F0274</t>
        </is>
      </c>
    </row>
    <row r="2620">
      <c r="A2620" t="inlineStr">
        <is>
          <t>Andy Nyman</t>
        </is>
      </c>
      <c r="B2620" t="n">
        <v>2</v>
      </c>
      <c r="C2620" t="n">
        <v>2013</v>
      </c>
      <c r="D2620" t="n">
        <v>2017</v>
      </c>
      <c r="E2620" t="inlineStr">
        <is>
          <t>Despicable Me 3, Kick-Ass 2</t>
        </is>
      </c>
      <c r="F2620" t="inlineStr">
        <is>
          <t>F0084, F0186</t>
        </is>
      </c>
    </row>
    <row r="2621">
      <c r="A2621" t="inlineStr">
        <is>
          <t>Adrian Ciscato</t>
        </is>
      </c>
      <c r="B2621" t="n">
        <v>1</v>
      </c>
      <c r="C2621" t="n">
        <v>2017</v>
      </c>
      <c r="D2621" t="n">
        <v>2017</v>
      </c>
      <c r="E2621" t="inlineStr">
        <is>
          <t>Despicable Me 3</t>
        </is>
      </c>
      <c r="F2621" t="inlineStr">
        <is>
          <t>F0084</t>
        </is>
      </c>
    </row>
    <row r="2622">
      <c r="A2622" t="inlineStr">
        <is>
          <t>Brian T. Delaney</t>
        </is>
      </c>
      <c r="B2622" t="n">
        <v>3</v>
      </c>
      <c r="C2622" t="n">
        <v>2015</v>
      </c>
      <c r="D2622" t="n">
        <v>2017</v>
      </c>
      <c r="E2622" t="inlineStr">
        <is>
          <t>Despicable Me 3, Minions, The Secret Life of Pets</t>
        </is>
      </c>
      <c r="F2622" t="inlineStr">
        <is>
          <t>F0084, F0220, F0274</t>
        </is>
      </c>
    </row>
    <row r="2623">
      <c r="A2623" t="inlineStr">
        <is>
          <t>Katia Saponenko</t>
        </is>
      </c>
      <c r="B2623" t="n">
        <v>1</v>
      </c>
      <c r="C2623" t="n">
        <v>2017</v>
      </c>
      <c r="D2623" t="n">
        <v>2017</v>
      </c>
      <c r="E2623" t="inlineStr">
        <is>
          <t>Despicable Me 3</t>
        </is>
      </c>
      <c r="F2623" t="inlineStr">
        <is>
          <t>F0084</t>
        </is>
      </c>
    </row>
    <row r="2624">
      <c r="A2624" t="inlineStr">
        <is>
          <t>Jude Alpers</t>
        </is>
      </c>
      <c r="B2624" t="n">
        <v>1</v>
      </c>
      <c r="C2624" t="n">
        <v>2017</v>
      </c>
      <c r="D2624" t="n">
        <v>2017</v>
      </c>
      <c r="E2624" t="inlineStr">
        <is>
          <t>Despicable Me 3</t>
        </is>
      </c>
      <c r="F2624" t="inlineStr">
        <is>
          <t>F0084</t>
        </is>
      </c>
    </row>
    <row r="2625">
      <c r="A2625" t="inlineStr">
        <is>
          <t>Cory Walls</t>
        </is>
      </c>
      <c r="B2625" t="n">
        <v>1</v>
      </c>
      <c r="C2625" t="n">
        <v>2017</v>
      </c>
      <c r="D2625" t="n">
        <v>2017</v>
      </c>
      <c r="E2625" t="inlineStr">
        <is>
          <t>Despicable Me 3</t>
        </is>
      </c>
      <c r="F2625" t="inlineStr">
        <is>
          <t>F0084</t>
        </is>
      </c>
    </row>
    <row r="2626">
      <c r="A2626" t="inlineStr">
        <is>
          <t>Sophie M. Siadatpour</t>
        </is>
      </c>
      <c r="B2626" t="n">
        <v>1</v>
      </c>
      <c r="C2626" t="n">
        <v>2017</v>
      </c>
      <c r="D2626" t="n">
        <v>2017</v>
      </c>
      <c r="E2626" t="inlineStr">
        <is>
          <t>Despicable Me 3</t>
        </is>
      </c>
      <c r="F2626" t="inlineStr">
        <is>
          <t>F0084</t>
        </is>
      </c>
    </row>
    <row r="2627">
      <c r="A2627" t="inlineStr">
        <is>
          <t>Kyle Balda</t>
        </is>
      </c>
      <c r="B2627" t="n">
        <v>2</v>
      </c>
      <c r="C2627" t="n">
        <v>2015</v>
      </c>
      <c r="D2627" t="n">
        <v>2017</v>
      </c>
      <c r="E2627" t="inlineStr">
        <is>
          <t>Despicable Me 3, Minions</t>
        </is>
      </c>
      <c r="F2627" t="inlineStr">
        <is>
          <t>F0084, F0220</t>
        </is>
      </c>
    </row>
    <row r="2628">
      <c r="A2628" t="inlineStr">
        <is>
          <t>Bill Farmer</t>
        </is>
      </c>
      <c r="B2628" t="n">
        <v>7</v>
      </c>
      <c r="C2628" t="n">
        <v>1995</v>
      </c>
      <c r="D2628" t="n">
        <v>2017</v>
      </c>
      <c r="E2628" t="inlineStr">
        <is>
          <t>Despicable Me 3, Minions, Monsters, Inc., The Secret Life of Pets, Sing, Toy Story, Toy Story 2</t>
        </is>
      </c>
      <c r="F2628" t="inlineStr">
        <is>
          <t>F0084, F0220, F0229, F0274, F0280, F0312, F0313</t>
        </is>
      </c>
    </row>
    <row r="2629">
      <c r="A2629" t="inlineStr">
        <is>
          <t>Stephanie De Meautis</t>
        </is>
      </c>
      <c r="B2629" t="n">
        <v>1</v>
      </c>
      <c r="C2629" t="n">
        <v>2017</v>
      </c>
      <c r="D2629" t="n">
        <v>2017</v>
      </c>
      <c r="E2629" t="inlineStr">
        <is>
          <t>Despicable Me 3</t>
        </is>
      </c>
      <c r="F2629" t="inlineStr">
        <is>
          <t>F0084</t>
        </is>
      </c>
    </row>
    <row r="2630">
      <c r="A2630" t="inlineStr">
        <is>
          <t>Bruno Dequier</t>
        </is>
      </c>
      <c r="B2630" t="n">
        <v>1</v>
      </c>
      <c r="C2630" t="n">
        <v>2017</v>
      </c>
      <c r="D2630" t="n">
        <v>2017</v>
      </c>
      <c r="E2630" t="inlineStr">
        <is>
          <t>Despicable Me 3</t>
        </is>
      </c>
      <c r="F2630" t="inlineStr">
        <is>
          <t>F0084</t>
        </is>
      </c>
    </row>
    <row r="2631">
      <c r="A2631" t="inlineStr">
        <is>
          <t>Teresa Ganzel</t>
        </is>
      </c>
      <c r="B2631" t="n">
        <v>4</v>
      </c>
      <c r="C2631" t="n">
        <v>2001</v>
      </c>
      <c r="D2631" t="n">
        <v>2017</v>
      </c>
      <c r="E2631" t="inlineStr">
        <is>
          <t>Despicable Me 3, Monsters, Inc., Up, WALL·E</t>
        </is>
      </c>
      <c r="F2631" t="inlineStr">
        <is>
          <t>F0084, F0229, F0330, F0331</t>
        </is>
      </c>
    </row>
    <row r="2632">
      <c r="A2632" t="inlineStr">
        <is>
          <t>Adeel Akhtar</t>
        </is>
      </c>
      <c r="B2632" t="n">
        <v>1</v>
      </c>
      <c r="C2632" t="n">
        <v>2012</v>
      </c>
      <c r="D2632" t="n">
        <v>2012</v>
      </c>
      <c r="E2632" t="inlineStr">
        <is>
          <t>The Dictator</t>
        </is>
      </c>
      <c r="F2632" t="inlineStr">
        <is>
          <t>F0085</t>
        </is>
      </c>
    </row>
    <row r="2633">
      <c r="A2633" t="inlineStr">
        <is>
          <t>Aasif Mandvi</t>
        </is>
      </c>
      <c r="B2633" t="n">
        <v>2</v>
      </c>
      <c r="C2633" t="n">
        <v>2004</v>
      </c>
      <c r="D2633" t="n">
        <v>2012</v>
      </c>
      <c r="E2633" t="inlineStr">
        <is>
          <t>The Dictator, Spider-Man 2</t>
        </is>
      </c>
      <c r="F2633" t="inlineStr">
        <is>
          <t>F0085, F0288</t>
        </is>
      </c>
    </row>
    <row r="2634">
      <c r="A2634" t="inlineStr">
        <is>
          <t>Rizwan Manji</t>
        </is>
      </c>
      <c r="B2634" t="n">
        <v>2</v>
      </c>
      <c r="C2634" t="n">
        <v>2007</v>
      </c>
      <c r="D2634" t="n">
        <v>2012</v>
      </c>
      <c r="E2634" t="inlineStr">
        <is>
          <t>The Dictator, Transformers</t>
        </is>
      </c>
      <c r="F2634" t="inlineStr">
        <is>
          <t>F0085, F0316</t>
        </is>
      </c>
    </row>
    <row r="2635">
      <c r="A2635" t="inlineStr">
        <is>
          <t>Rocky Citron</t>
        </is>
      </c>
      <c r="B2635" t="n">
        <v>1</v>
      </c>
      <c r="C2635" t="n">
        <v>2012</v>
      </c>
      <c r="D2635" t="n">
        <v>2012</v>
      </c>
      <c r="E2635" t="inlineStr">
        <is>
          <t>The Dictator</t>
        </is>
      </c>
      <c r="F2635" t="inlineStr">
        <is>
          <t>F0085</t>
        </is>
      </c>
    </row>
    <row r="2636">
      <c r="A2636" t="inlineStr">
        <is>
          <t>Liam Campora</t>
        </is>
      </c>
      <c r="B2636" t="n">
        <v>1</v>
      </c>
      <c r="C2636" t="n">
        <v>2012</v>
      </c>
      <c r="D2636" t="n">
        <v>2012</v>
      </c>
      <c r="E2636" t="inlineStr">
        <is>
          <t>The Dictator</t>
        </is>
      </c>
      <c r="F2636" t="inlineStr">
        <is>
          <t>F0085</t>
        </is>
      </c>
    </row>
    <row r="2637">
      <c r="A2637" t="inlineStr">
        <is>
          <t>Rick Chambers</t>
        </is>
      </c>
      <c r="B2637" t="n">
        <v>2</v>
      </c>
      <c r="C2637" t="n">
        <v>2012</v>
      </c>
      <c r="D2637" t="n">
        <v>2014</v>
      </c>
      <c r="E2637" t="inlineStr">
        <is>
          <t>The Dictator, Teenage Mutant Ninja Turtles</t>
        </is>
      </c>
      <c r="F2637" t="inlineStr">
        <is>
          <t>F0085, F0309</t>
        </is>
      </c>
    </row>
    <row r="2638">
      <c r="A2638" t="inlineStr">
        <is>
          <t>Elsayed Mohamed</t>
        </is>
      </c>
      <c r="B2638" t="n">
        <v>1</v>
      </c>
      <c r="C2638" t="n">
        <v>2012</v>
      </c>
      <c r="D2638" t="n">
        <v>2012</v>
      </c>
      <c r="E2638" t="inlineStr">
        <is>
          <t>The Dictator</t>
        </is>
      </c>
      <c r="F2638" t="inlineStr">
        <is>
          <t>F0085</t>
        </is>
      </c>
    </row>
    <row r="2639">
      <c r="A2639" t="inlineStr">
        <is>
          <t>Horatio Sanz</t>
        </is>
      </c>
      <c r="B2639" t="n">
        <v>2</v>
      </c>
      <c r="C2639" t="n">
        <v>2012</v>
      </c>
      <c r="D2639" t="n">
        <v>2012</v>
      </c>
      <c r="E2639" t="inlineStr">
        <is>
          <t>The Dictator, Wreck-It Ralph</t>
        </is>
      </c>
      <c r="F2639" t="inlineStr">
        <is>
          <t>F0085, F0336</t>
        </is>
      </c>
    </row>
    <row r="2640">
      <c r="A2640" t="inlineStr">
        <is>
          <t>Elena Goode</t>
        </is>
      </c>
      <c r="B2640" t="n">
        <v>2</v>
      </c>
      <c r="C2640" t="n">
        <v>2012</v>
      </c>
      <c r="D2640" t="n">
        <v>2015</v>
      </c>
      <c r="E2640" t="inlineStr">
        <is>
          <t>The Dictator, Straight Outta Compton</t>
        </is>
      </c>
      <c r="F2640" t="inlineStr">
        <is>
          <t>F0085, F0301</t>
        </is>
      </c>
    </row>
    <row r="2641">
      <c r="A2641" t="inlineStr">
        <is>
          <t>Nazanin Homa</t>
        </is>
      </c>
      <c r="B2641" t="n">
        <v>1</v>
      </c>
      <c r="C2641" t="n">
        <v>2012</v>
      </c>
      <c r="D2641" t="n">
        <v>2012</v>
      </c>
      <c r="E2641" t="inlineStr">
        <is>
          <t>The Dictator</t>
        </is>
      </c>
      <c r="F2641" t="inlineStr">
        <is>
          <t>F0085</t>
        </is>
      </c>
    </row>
    <row r="2642">
      <c r="A2642" t="inlineStr">
        <is>
          <t>Dawn Jackson</t>
        </is>
      </c>
      <c r="B2642" t="n">
        <v>1</v>
      </c>
      <c r="C2642" t="n">
        <v>2012</v>
      </c>
      <c r="D2642" t="n">
        <v>2012</v>
      </c>
      <c r="E2642" t="inlineStr">
        <is>
          <t>The Dictator</t>
        </is>
      </c>
      <c r="F2642" t="inlineStr">
        <is>
          <t>F0085</t>
        </is>
      </c>
    </row>
    <row r="2643">
      <c r="A2643" t="inlineStr">
        <is>
          <t>Victoria Beltran</t>
        </is>
      </c>
      <c r="B2643" t="n">
        <v>1</v>
      </c>
      <c r="C2643" t="n">
        <v>2012</v>
      </c>
      <c r="D2643" t="n">
        <v>2012</v>
      </c>
      <c r="E2643" t="inlineStr">
        <is>
          <t>The Dictator</t>
        </is>
      </c>
      <c r="F2643" t="inlineStr">
        <is>
          <t>F0085</t>
        </is>
      </c>
    </row>
    <row r="2644">
      <c r="A2644" t="inlineStr">
        <is>
          <t>Dominique DiCaprio</t>
        </is>
      </c>
      <c r="B2644" t="n">
        <v>1</v>
      </c>
      <c r="C2644" t="n">
        <v>2012</v>
      </c>
      <c r="D2644" t="n">
        <v>2012</v>
      </c>
      <c r="E2644" t="inlineStr">
        <is>
          <t>The Dictator</t>
        </is>
      </c>
      <c r="F2644" t="inlineStr">
        <is>
          <t>F0085</t>
        </is>
      </c>
    </row>
    <row r="2645">
      <c r="A2645" t="inlineStr">
        <is>
          <t>Aja Frary</t>
        </is>
      </c>
      <c r="B2645" t="n">
        <v>1</v>
      </c>
      <c r="C2645" t="n">
        <v>2012</v>
      </c>
      <c r="D2645" t="n">
        <v>2012</v>
      </c>
      <c r="E2645" t="inlineStr">
        <is>
          <t>The Dictator</t>
        </is>
      </c>
      <c r="F2645" t="inlineStr">
        <is>
          <t>F0085</t>
        </is>
      </c>
    </row>
    <row r="2646">
      <c r="A2646" t="inlineStr">
        <is>
          <t>Fred Melamed</t>
        </is>
      </c>
      <c r="B2646" t="n">
        <v>1</v>
      </c>
      <c r="C2646" t="n">
        <v>2012</v>
      </c>
      <c r="D2646" t="n">
        <v>2012</v>
      </c>
      <c r="E2646" t="inlineStr">
        <is>
          <t>The Dictator</t>
        </is>
      </c>
      <c r="F2646" t="inlineStr">
        <is>
          <t>F0085</t>
        </is>
      </c>
    </row>
    <row r="2647">
      <c r="A2647" t="inlineStr">
        <is>
          <t>Cuco Usín</t>
        </is>
      </c>
      <c r="B2647" t="n">
        <v>1</v>
      </c>
      <c r="C2647" t="n">
        <v>2012</v>
      </c>
      <c r="D2647" t="n">
        <v>2012</v>
      </c>
      <c r="E2647" t="inlineStr">
        <is>
          <t>The Dictator</t>
        </is>
      </c>
      <c r="F2647" t="inlineStr">
        <is>
          <t>F0085</t>
        </is>
      </c>
    </row>
    <row r="2648">
      <c r="A2648" t="inlineStr">
        <is>
          <t>Joey Slotnick</t>
        </is>
      </c>
      <c r="B2648" t="n">
        <v>1</v>
      </c>
      <c r="C2648" t="n">
        <v>2012</v>
      </c>
      <c r="D2648" t="n">
        <v>2012</v>
      </c>
      <c r="E2648" t="inlineStr">
        <is>
          <t>The Dictator</t>
        </is>
      </c>
      <c r="F2648" t="inlineStr">
        <is>
          <t>F0085</t>
        </is>
      </c>
    </row>
    <row r="2649">
      <c r="A2649" t="inlineStr">
        <is>
          <t>David Fonteno</t>
        </is>
      </c>
      <c r="B2649" t="n">
        <v>1</v>
      </c>
      <c r="C2649" t="n">
        <v>2012</v>
      </c>
      <c r="D2649" t="n">
        <v>2012</v>
      </c>
      <c r="E2649" t="inlineStr">
        <is>
          <t>The Dictator</t>
        </is>
      </c>
      <c r="F2649" t="inlineStr">
        <is>
          <t>F0085</t>
        </is>
      </c>
    </row>
    <row r="2650">
      <c r="A2650" t="inlineStr">
        <is>
          <t>Anna Katarina</t>
        </is>
      </c>
      <c r="B2650" t="n">
        <v>1</v>
      </c>
      <c r="C2650" t="n">
        <v>2012</v>
      </c>
      <c r="D2650" t="n">
        <v>2012</v>
      </c>
      <c r="E2650" t="inlineStr">
        <is>
          <t>The Dictator</t>
        </is>
      </c>
      <c r="F2650" t="inlineStr">
        <is>
          <t>F0085</t>
        </is>
      </c>
    </row>
    <row r="2651">
      <c r="A2651" t="inlineStr">
        <is>
          <t>Michael Delaney</t>
        </is>
      </c>
      <c r="B2651" t="n">
        <v>1</v>
      </c>
      <c r="C2651" t="n">
        <v>2012</v>
      </c>
      <c r="D2651" t="n">
        <v>2012</v>
      </c>
      <c r="E2651" t="inlineStr">
        <is>
          <t>The Dictator</t>
        </is>
      </c>
      <c r="F2651" t="inlineStr">
        <is>
          <t>F0085</t>
        </is>
      </c>
    </row>
    <row r="2652">
      <c r="A2652" t="inlineStr">
        <is>
          <t>Mary Elizabeth Winstead</t>
        </is>
      </c>
      <c r="B2652" t="n">
        <v>1</v>
      </c>
      <c r="C2652" t="n">
        <v>2007</v>
      </c>
      <c r="D2652" t="n">
        <v>2007</v>
      </c>
      <c r="E2652" t="inlineStr">
        <is>
          <t>Live Free or Die Hard</t>
        </is>
      </c>
      <c r="F2652" t="inlineStr">
        <is>
          <t>F0086</t>
        </is>
      </c>
    </row>
    <row r="2653">
      <c r="A2653" t="inlineStr">
        <is>
          <t>Jonathan Sadowski</t>
        </is>
      </c>
      <c r="B2653" t="n">
        <v>1</v>
      </c>
      <c r="C2653" t="n">
        <v>2007</v>
      </c>
      <c r="D2653" t="n">
        <v>2007</v>
      </c>
      <c r="E2653" t="inlineStr">
        <is>
          <t>Live Free or Die Hard</t>
        </is>
      </c>
      <c r="F2653" t="inlineStr">
        <is>
          <t>F0086</t>
        </is>
      </c>
    </row>
    <row r="2654">
      <c r="A2654" t="inlineStr">
        <is>
          <t>Andrew Friedman</t>
        </is>
      </c>
      <c r="B2654" t="n">
        <v>1</v>
      </c>
      <c r="C2654" t="n">
        <v>2007</v>
      </c>
      <c r="D2654" t="n">
        <v>2007</v>
      </c>
      <c r="E2654" t="inlineStr">
        <is>
          <t>Live Free or Die Hard</t>
        </is>
      </c>
      <c r="F2654" t="inlineStr">
        <is>
          <t>F0086</t>
        </is>
      </c>
    </row>
    <row r="2655">
      <c r="A2655" t="inlineStr">
        <is>
          <t>Kevin Smith</t>
        </is>
      </c>
      <c r="B2655" t="n">
        <v>3</v>
      </c>
      <c r="C2655" t="n">
        <v>1999</v>
      </c>
      <c r="D2655" t="n">
        <v>2007</v>
      </c>
      <c r="E2655" t="inlineStr">
        <is>
          <t>Live Free or Die Hard, The Fast and the Furious, Dogma</t>
        </is>
      </c>
      <c r="F2655" t="inlineStr">
        <is>
          <t>F0086, F0101, F0351</t>
        </is>
      </c>
    </row>
    <row r="2656">
      <c r="A2656" t="inlineStr">
        <is>
          <t>Yorgo Constantine</t>
        </is>
      </c>
      <c r="B2656" t="n">
        <v>2</v>
      </c>
      <c r="C2656" t="n">
        <v>2007</v>
      </c>
      <c r="D2656" t="n">
        <v>2011</v>
      </c>
      <c r="E2656" t="inlineStr">
        <is>
          <t>Live Free or Die Hard, Fast Five</t>
        </is>
      </c>
      <c r="F2656" t="inlineStr">
        <is>
          <t>F0086, F0105</t>
        </is>
      </c>
    </row>
    <row r="2657">
      <c r="A2657" t="inlineStr">
        <is>
          <t>Cyril Raffaelli</t>
        </is>
      </c>
      <c r="B2657" t="n">
        <v>1</v>
      </c>
      <c r="C2657" t="n">
        <v>2007</v>
      </c>
      <c r="D2657" t="n">
        <v>2007</v>
      </c>
      <c r="E2657" t="inlineStr">
        <is>
          <t>Live Free or Die Hard</t>
        </is>
      </c>
      <c r="F2657" t="inlineStr">
        <is>
          <t>F0086</t>
        </is>
      </c>
    </row>
    <row r="2658">
      <c r="A2658" t="inlineStr">
        <is>
          <t>Chris Palermo</t>
        </is>
      </c>
      <c r="B2658" t="n">
        <v>2</v>
      </c>
      <c r="C2658" t="n">
        <v>2007</v>
      </c>
      <c r="D2658" t="n">
        <v>2017</v>
      </c>
      <c r="E2658" t="inlineStr">
        <is>
          <t>Live Free or Die Hard, Logan</t>
        </is>
      </c>
      <c r="F2658" t="inlineStr">
        <is>
          <t>F0086, F0201</t>
        </is>
      </c>
    </row>
    <row r="2659">
      <c r="A2659" t="inlineStr">
        <is>
          <t>Christina Chang</t>
        </is>
      </c>
      <c r="B2659" t="n">
        <v>1</v>
      </c>
      <c r="C2659" t="n">
        <v>2007</v>
      </c>
      <c r="D2659" t="n">
        <v>2007</v>
      </c>
      <c r="E2659" t="inlineStr">
        <is>
          <t>Live Free or Die Hard</t>
        </is>
      </c>
      <c r="F2659" t="inlineStr">
        <is>
          <t>F0086</t>
        </is>
      </c>
    </row>
    <row r="2660">
      <c r="A2660" t="inlineStr">
        <is>
          <t>Jake McDorman</t>
        </is>
      </c>
      <c r="B2660" t="n">
        <v>1</v>
      </c>
      <c r="C2660" t="n">
        <v>2007</v>
      </c>
      <c r="D2660" t="n">
        <v>2007</v>
      </c>
      <c r="E2660" t="inlineStr">
        <is>
          <t>Live Free or Die Hard</t>
        </is>
      </c>
      <c r="F2660" t="inlineStr">
        <is>
          <t>F0086</t>
        </is>
      </c>
    </row>
    <row r="2661">
      <c r="A2661" t="inlineStr">
        <is>
          <t>Rosemary Knower</t>
        </is>
      </c>
      <c r="B2661" t="n">
        <v>1</v>
      </c>
      <c r="C2661" t="n">
        <v>2007</v>
      </c>
      <c r="D2661" t="n">
        <v>2007</v>
      </c>
      <c r="E2661" t="inlineStr">
        <is>
          <t>Live Free or Die Hard</t>
        </is>
      </c>
      <c r="F2661" t="inlineStr">
        <is>
          <t>F0086</t>
        </is>
      </c>
    </row>
    <row r="2662">
      <c r="A2662" t="inlineStr">
        <is>
          <t>Gerald Downey</t>
        </is>
      </c>
      <c r="B2662" t="n">
        <v>1</v>
      </c>
      <c r="C2662" t="n">
        <v>2007</v>
      </c>
      <c r="D2662" t="n">
        <v>2007</v>
      </c>
      <c r="E2662" t="inlineStr">
        <is>
          <t>Live Free or Die Hard</t>
        </is>
      </c>
      <c r="F2662" t="inlineStr">
        <is>
          <t>F0086</t>
        </is>
      </c>
    </row>
    <row r="2663">
      <c r="A2663" t="inlineStr">
        <is>
          <t>Allen Maldonado</t>
        </is>
      </c>
      <c r="B2663" t="n">
        <v>1</v>
      </c>
      <c r="C2663" t="n">
        <v>2007</v>
      </c>
      <c r="D2663" t="n">
        <v>2007</v>
      </c>
      <c r="E2663" t="inlineStr">
        <is>
          <t>Live Free or Die Hard</t>
        </is>
      </c>
      <c r="F2663" t="inlineStr">
        <is>
          <t>F0086</t>
        </is>
      </c>
    </row>
    <row r="2664">
      <c r="A2664" t="inlineStr">
        <is>
          <t>Jim Cantafio</t>
        </is>
      </c>
      <c r="B2664" t="n">
        <v>1</v>
      </c>
      <c r="C2664" t="n">
        <v>2007</v>
      </c>
      <c r="D2664" t="n">
        <v>2007</v>
      </c>
      <c r="E2664" t="inlineStr">
        <is>
          <t>Live Free or Die Hard</t>
        </is>
      </c>
      <c r="F2664" t="inlineStr">
        <is>
          <t>F0086</t>
        </is>
      </c>
    </row>
    <row r="2665">
      <c r="A2665" t="inlineStr">
        <is>
          <t>Regina McKee Redwing</t>
        </is>
      </c>
      <c r="B2665" t="n">
        <v>1</v>
      </c>
      <c r="C2665" t="n">
        <v>2007</v>
      </c>
      <c r="D2665" t="n">
        <v>2007</v>
      </c>
      <c r="E2665" t="inlineStr">
        <is>
          <t>Live Free or Die Hard</t>
        </is>
      </c>
      <c r="F2665" t="inlineStr">
        <is>
          <t>F0086</t>
        </is>
      </c>
    </row>
    <row r="2666">
      <c r="A2666" t="inlineStr">
        <is>
          <t>Tony Colitti</t>
        </is>
      </c>
      <c r="B2666" t="n">
        <v>1</v>
      </c>
      <c r="C2666" t="n">
        <v>2007</v>
      </c>
      <c r="D2666" t="n">
        <v>2007</v>
      </c>
      <c r="E2666" t="inlineStr">
        <is>
          <t>Live Free or Die Hard</t>
        </is>
      </c>
      <c r="F2666" t="inlineStr">
        <is>
          <t>F0086</t>
        </is>
      </c>
    </row>
    <row r="2667">
      <c r="A2667" t="inlineStr">
        <is>
          <t>Tim DeZarn</t>
        </is>
      </c>
      <c r="B2667" t="n">
        <v>3</v>
      </c>
      <c r="C2667" t="n">
        <v>1999</v>
      </c>
      <c r="D2667" t="n">
        <v>2007</v>
      </c>
      <c r="E2667" t="inlineStr">
        <is>
          <t>Live Free or Die Hard, Fight Club, Spider-Man</t>
        </is>
      </c>
      <c r="F2667" t="inlineStr">
        <is>
          <t>F0086, F0112, F0287</t>
        </is>
      </c>
    </row>
    <row r="2668">
      <c r="A2668" t="inlineStr">
        <is>
          <t>Kurt David Anderson</t>
        </is>
      </c>
      <c r="B2668" t="n">
        <v>1</v>
      </c>
      <c r="C2668" t="n">
        <v>2007</v>
      </c>
      <c r="D2668" t="n">
        <v>2007</v>
      </c>
      <c r="E2668" t="inlineStr">
        <is>
          <t>Live Free or Die Hard</t>
        </is>
      </c>
      <c r="F2668" t="inlineStr">
        <is>
          <t>F0086</t>
        </is>
      </c>
    </row>
    <row r="2669">
      <c r="A2669" t="inlineStr">
        <is>
          <t>Matt O'Leary</t>
        </is>
      </c>
      <c r="B2669" t="n">
        <v>1</v>
      </c>
      <c r="C2669" t="n">
        <v>2007</v>
      </c>
      <c r="D2669" t="n">
        <v>2007</v>
      </c>
      <c r="E2669" t="inlineStr">
        <is>
          <t>Live Free or Die Hard</t>
        </is>
      </c>
      <c r="F2669" t="inlineStr">
        <is>
          <t>F0086</t>
        </is>
      </c>
    </row>
    <row r="2670">
      <c r="A2670" t="inlineStr">
        <is>
          <t>Nadine Ellis</t>
        </is>
      </c>
      <c r="B2670" t="n">
        <v>1</v>
      </c>
      <c r="C2670" t="n">
        <v>2007</v>
      </c>
      <c r="D2670" t="n">
        <v>2007</v>
      </c>
      <c r="E2670" t="inlineStr">
        <is>
          <t>Live Free or Die Hard</t>
        </is>
      </c>
      <c r="F2670" t="inlineStr">
        <is>
          <t>F0086</t>
        </is>
      </c>
    </row>
    <row r="2671">
      <c r="A2671" t="inlineStr">
        <is>
          <t>Ethan Flower</t>
        </is>
      </c>
      <c r="B2671" t="n">
        <v>1</v>
      </c>
      <c r="C2671" t="n">
        <v>2007</v>
      </c>
      <c r="D2671" t="n">
        <v>2007</v>
      </c>
      <c r="E2671" t="inlineStr">
        <is>
          <t>Live Free or Die Hard</t>
        </is>
      </c>
      <c r="F2671" t="inlineStr">
        <is>
          <t>F0086</t>
        </is>
      </c>
    </row>
    <row r="2672">
      <c r="A2672" t="inlineStr">
        <is>
          <t>Nick Jaine</t>
        </is>
      </c>
      <c r="B2672" t="n">
        <v>1</v>
      </c>
      <c r="C2672" t="n">
        <v>2007</v>
      </c>
      <c r="D2672" t="n">
        <v>2007</v>
      </c>
      <c r="E2672" t="inlineStr">
        <is>
          <t>Live Free or Die Hard</t>
        </is>
      </c>
      <c r="F2672" t="inlineStr">
        <is>
          <t>F0086</t>
        </is>
      </c>
    </row>
    <row r="2673">
      <c r="A2673" t="inlineStr">
        <is>
          <t>Tim Russ</t>
        </is>
      </c>
      <c r="B2673" t="n">
        <v>1</v>
      </c>
      <c r="C2673" t="n">
        <v>2007</v>
      </c>
      <c r="D2673" t="n">
        <v>2007</v>
      </c>
      <c r="E2673" t="inlineStr">
        <is>
          <t>Live Free or Die Hard</t>
        </is>
      </c>
      <c r="F2673" t="inlineStr">
        <is>
          <t>F0086</t>
        </is>
      </c>
    </row>
    <row r="2674">
      <c r="A2674" t="inlineStr">
        <is>
          <t>Dermot Mulroney</t>
        </is>
      </c>
      <c r="B2674" t="n">
        <v>2</v>
      </c>
      <c r="C2674" t="n">
        <v>2007</v>
      </c>
      <c r="D2674" t="n">
        <v>2016</v>
      </c>
      <c r="E2674" t="inlineStr">
        <is>
          <t>Dirty Grandpa, Zodiac</t>
        </is>
      </c>
      <c r="F2674" t="inlineStr">
        <is>
          <t>F0087, F0350</t>
        </is>
      </c>
    </row>
    <row r="2675">
      <c r="A2675" t="inlineStr">
        <is>
          <t>Adam Pally</t>
        </is>
      </c>
      <c r="B2675" t="n">
        <v>1</v>
      </c>
      <c r="C2675" t="n">
        <v>2016</v>
      </c>
      <c r="D2675" t="n">
        <v>2016</v>
      </c>
      <c r="E2675" t="inlineStr">
        <is>
          <t>Dirty Grandpa</t>
        </is>
      </c>
      <c r="F2675" t="inlineStr">
        <is>
          <t>F0087</t>
        </is>
      </c>
    </row>
    <row r="2676">
      <c r="A2676" t="inlineStr">
        <is>
          <t>Brandon Mychal Smith</t>
        </is>
      </c>
      <c r="B2676" t="n">
        <v>1</v>
      </c>
      <c r="C2676" t="n">
        <v>2016</v>
      </c>
      <c r="D2676" t="n">
        <v>2016</v>
      </c>
      <c r="E2676" t="inlineStr">
        <is>
          <t>Dirty Grandpa</t>
        </is>
      </c>
      <c r="F2676" t="inlineStr">
        <is>
          <t>F0087</t>
        </is>
      </c>
    </row>
    <row r="2677">
      <c r="A2677" t="inlineStr">
        <is>
          <t>Mo Collins</t>
        </is>
      </c>
      <c r="B2677" t="n">
        <v>1</v>
      </c>
      <c r="C2677" t="n">
        <v>2016</v>
      </c>
      <c r="D2677" t="n">
        <v>2016</v>
      </c>
      <c r="E2677" t="inlineStr">
        <is>
          <t>Dirty Grandpa</t>
        </is>
      </c>
      <c r="F2677" t="inlineStr">
        <is>
          <t>F0087</t>
        </is>
      </c>
    </row>
    <row r="2678">
      <c r="A2678" t="inlineStr">
        <is>
          <t>Henry Zebrowski</t>
        </is>
      </c>
      <c r="B2678" t="n">
        <v>1</v>
      </c>
      <c r="C2678" t="n">
        <v>2016</v>
      </c>
      <c r="D2678" t="n">
        <v>2016</v>
      </c>
      <c r="E2678" t="inlineStr">
        <is>
          <t>Dirty Grandpa</t>
        </is>
      </c>
      <c r="F2678" t="inlineStr">
        <is>
          <t>F0087</t>
        </is>
      </c>
    </row>
    <row r="2679">
      <c r="A2679" t="inlineStr">
        <is>
          <t>Michael Hudson</t>
        </is>
      </c>
      <c r="B2679" t="n">
        <v>1</v>
      </c>
      <c r="C2679" t="n">
        <v>2016</v>
      </c>
      <c r="D2679" t="n">
        <v>2016</v>
      </c>
      <c r="E2679" t="inlineStr">
        <is>
          <t>Dirty Grandpa</t>
        </is>
      </c>
      <c r="F2679" t="inlineStr">
        <is>
          <t>F0087</t>
        </is>
      </c>
    </row>
    <row r="2680">
      <c r="A2680" t="inlineStr">
        <is>
          <t>Jake Picking</t>
        </is>
      </c>
      <c r="B2680" t="n">
        <v>1</v>
      </c>
      <c r="C2680" t="n">
        <v>2016</v>
      </c>
      <c r="D2680" t="n">
        <v>2016</v>
      </c>
      <c r="E2680" t="inlineStr">
        <is>
          <t>Dirty Grandpa</t>
        </is>
      </c>
      <c r="F2680" t="inlineStr">
        <is>
          <t>F0087</t>
        </is>
      </c>
    </row>
    <row r="2681">
      <c r="A2681" t="inlineStr">
        <is>
          <t>Deena Dill</t>
        </is>
      </c>
      <c r="B2681" t="n">
        <v>1</v>
      </c>
      <c r="C2681" t="n">
        <v>2016</v>
      </c>
      <c r="D2681" t="n">
        <v>2016</v>
      </c>
      <c r="E2681" t="inlineStr">
        <is>
          <t>Dirty Grandpa</t>
        </is>
      </c>
      <c r="F2681" t="inlineStr">
        <is>
          <t>F0087</t>
        </is>
      </c>
    </row>
    <row r="2682">
      <c r="A2682" t="inlineStr">
        <is>
          <t>Lane Carlock</t>
        </is>
      </c>
      <c r="B2682" t="n">
        <v>1</v>
      </c>
      <c r="C2682" t="n">
        <v>2016</v>
      </c>
      <c r="D2682" t="n">
        <v>2016</v>
      </c>
      <c r="E2682" t="inlineStr">
        <is>
          <t>Dirty Grandpa</t>
        </is>
      </c>
      <c r="F2682" t="inlineStr">
        <is>
          <t>F0087</t>
        </is>
      </c>
    </row>
    <row r="2683">
      <c r="A2683" t="inlineStr">
        <is>
          <t>Eugenia Kuzmina</t>
        </is>
      </c>
      <c r="B2683" t="n">
        <v>2</v>
      </c>
      <c r="C2683" t="n">
        <v>2016</v>
      </c>
      <c r="D2683" t="n">
        <v>2020</v>
      </c>
      <c r="E2683" t="inlineStr">
        <is>
          <t>Dirty Grandpa, The Gentlemen</t>
        </is>
      </c>
      <c r="F2683" t="inlineStr">
        <is>
          <t>F0087, F0119</t>
        </is>
      </c>
    </row>
    <row r="2684">
      <c r="A2684" t="inlineStr">
        <is>
          <t>Joshua Mikel</t>
        </is>
      </c>
      <c r="B2684" t="n">
        <v>1</v>
      </c>
      <c r="C2684" t="n">
        <v>2016</v>
      </c>
      <c r="D2684" t="n">
        <v>2016</v>
      </c>
      <c r="E2684" t="inlineStr">
        <is>
          <t>Dirty Grandpa</t>
        </is>
      </c>
      <c r="F2684" t="inlineStr">
        <is>
          <t>F0087</t>
        </is>
      </c>
    </row>
    <row r="2685">
      <c r="A2685" t="inlineStr">
        <is>
          <t>Warren Steele</t>
        </is>
      </c>
      <c r="B2685" t="n">
        <v>1</v>
      </c>
      <c r="C2685" t="n">
        <v>2016</v>
      </c>
      <c r="D2685" t="n">
        <v>2016</v>
      </c>
      <c r="E2685" t="inlineStr">
        <is>
          <t>Dirty Grandpa</t>
        </is>
      </c>
      <c r="F2685" t="inlineStr">
        <is>
          <t>F0087</t>
        </is>
      </c>
    </row>
    <row r="2686">
      <c r="A2686" t="inlineStr">
        <is>
          <t>Catherine Dyer</t>
        </is>
      </c>
      <c r="B2686" t="n">
        <v>1</v>
      </c>
      <c r="C2686" t="n">
        <v>2016</v>
      </c>
      <c r="D2686" t="n">
        <v>2016</v>
      </c>
      <c r="E2686" t="inlineStr">
        <is>
          <t>Dirty Grandpa</t>
        </is>
      </c>
      <c r="F2686" t="inlineStr">
        <is>
          <t>F0087</t>
        </is>
      </c>
    </row>
    <row r="2687">
      <c r="A2687" t="inlineStr">
        <is>
          <t>Jeffrey Bowyer-Chapman</t>
        </is>
      </c>
      <c r="B2687" t="n">
        <v>1</v>
      </c>
      <c r="C2687" t="n">
        <v>2016</v>
      </c>
      <c r="D2687" t="n">
        <v>2016</v>
      </c>
      <c r="E2687" t="inlineStr">
        <is>
          <t>Dirty Grandpa</t>
        </is>
      </c>
      <c r="F2687" t="inlineStr">
        <is>
          <t>F0087</t>
        </is>
      </c>
    </row>
    <row r="2688">
      <c r="A2688" t="inlineStr">
        <is>
          <t>Amy Parrish</t>
        </is>
      </c>
      <c r="B2688" t="n">
        <v>1</v>
      </c>
      <c r="C2688" t="n">
        <v>2016</v>
      </c>
      <c r="D2688" t="n">
        <v>2016</v>
      </c>
      <c r="E2688" t="inlineStr">
        <is>
          <t>Dirty Grandpa</t>
        </is>
      </c>
      <c r="F2688" t="inlineStr">
        <is>
          <t>F0087</t>
        </is>
      </c>
    </row>
    <row r="2689">
      <c r="A2689" t="inlineStr">
        <is>
          <t>Chandler Darby</t>
        </is>
      </c>
      <c r="B2689" t="n">
        <v>1</v>
      </c>
      <c r="C2689" t="n">
        <v>2016</v>
      </c>
      <c r="D2689" t="n">
        <v>2016</v>
      </c>
      <c r="E2689" t="inlineStr">
        <is>
          <t>Dirty Grandpa</t>
        </is>
      </c>
      <c r="F2689" t="inlineStr">
        <is>
          <t>F0087</t>
        </is>
      </c>
    </row>
    <row r="2690">
      <c r="A2690" t="inlineStr">
        <is>
          <t>Nelson Bonilla</t>
        </is>
      </c>
      <c r="B2690" t="n">
        <v>1</v>
      </c>
      <c r="C2690" t="n">
        <v>2016</v>
      </c>
      <c r="D2690" t="n">
        <v>2016</v>
      </c>
      <c r="E2690" t="inlineStr">
        <is>
          <t>Dirty Grandpa</t>
        </is>
      </c>
      <c r="F2690" t="inlineStr">
        <is>
          <t>F0087</t>
        </is>
      </c>
    </row>
    <row r="2691">
      <c r="A2691" t="inlineStr">
        <is>
          <t>Eric Goins</t>
        </is>
      </c>
      <c r="B2691" t="n">
        <v>1</v>
      </c>
      <c r="C2691" t="n">
        <v>2016</v>
      </c>
      <c r="D2691" t="n">
        <v>2016</v>
      </c>
      <c r="E2691" t="inlineStr">
        <is>
          <t>Dirty Grandpa</t>
        </is>
      </c>
      <c r="F2691" t="inlineStr">
        <is>
          <t>F0087</t>
        </is>
      </c>
    </row>
    <row r="2692">
      <c r="A2692" t="inlineStr">
        <is>
          <t>Gavin Munn</t>
        </is>
      </c>
      <c r="B2692" t="n">
        <v>1</v>
      </c>
      <c r="C2692" t="n">
        <v>2016</v>
      </c>
      <c r="D2692" t="n">
        <v>2016</v>
      </c>
      <c r="E2692" t="inlineStr">
        <is>
          <t>Dirty Grandpa</t>
        </is>
      </c>
      <c r="F2692" t="inlineStr">
        <is>
          <t>F0087</t>
        </is>
      </c>
    </row>
    <row r="2693">
      <c r="A2693" t="inlineStr">
        <is>
          <t>Michael H. Cole</t>
        </is>
      </c>
      <c r="B2693" t="n">
        <v>1</v>
      </c>
      <c r="C2693" t="n">
        <v>2016</v>
      </c>
      <c r="D2693" t="n">
        <v>2016</v>
      </c>
      <c r="E2693" t="inlineStr">
        <is>
          <t>Dirty Grandpa</t>
        </is>
      </c>
      <c r="F2693" t="inlineStr">
        <is>
          <t>F0087</t>
        </is>
      </c>
    </row>
    <row r="2694">
      <c r="A2694" t="inlineStr">
        <is>
          <t>Blaque Fowler</t>
        </is>
      </c>
      <c r="B2694" t="n">
        <v>1</v>
      </c>
      <c r="C2694" t="n">
        <v>2016</v>
      </c>
      <c r="D2694" t="n">
        <v>2016</v>
      </c>
      <c r="E2694" t="inlineStr">
        <is>
          <t>Dirty Grandpa</t>
        </is>
      </c>
      <c r="F2694" t="inlineStr">
        <is>
          <t>F0087</t>
        </is>
      </c>
    </row>
    <row r="2695">
      <c r="A2695" t="inlineStr">
        <is>
          <t>Matthew Cornwell</t>
        </is>
      </c>
      <c r="B2695" t="n">
        <v>1</v>
      </c>
      <c r="C2695" t="n">
        <v>2016</v>
      </c>
      <c r="D2695" t="n">
        <v>2016</v>
      </c>
      <c r="E2695" t="inlineStr">
        <is>
          <t>Dirty Grandpa</t>
        </is>
      </c>
      <c r="F2695" t="inlineStr">
        <is>
          <t>F0087</t>
        </is>
      </c>
    </row>
    <row r="2696">
      <c r="A2696" t="inlineStr">
        <is>
          <t>Christopher Setticase</t>
        </is>
      </c>
      <c r="B2696" t="n">
        <v>1</v>
      </c>
      <c r="C2696" t="n">
        <v>2016</v>
      </c>
      <c r="D2696" t="n">
        <v>2016</v>
      </c>
      <c r="E2696" t="inlineStr">
        <is>
          <t>Dirty Grandpa</t>
        </is>
      </c>
      <c r="F2696" t="inlineStr">
        <is>
          <t>F0087</t>
        </is>
      </c>
    </row>
    <row r="2697">
      <c r="A2697" t="inlineStr">
        <is>
          <t>John Sumner</t>
        </is>
      </c>
      <c r="B2697" t="n">
        <v>2</v>
      </c>
      <c r="C2697" t="n">
        <v>2005</v>
      </c>
      <c r="D2697" t="n">
        <v>2009</v>
      </c>
      <c r="E2697" t="inlineStr">
        <is>
          <t>District 9, King Kong</t>
        </is>
      </c>
      <c r="F2697" t="inlineStr">
        <is>
          <t>F0088, F0188</t>
        </is>
      </c>
    </row>
    <row r="2698">
      <c r="A2698" t="inlineStr">
        <is>
          <t>William Allen Young</t>
        </is>
      </c>
      <c r="B2698" t="n">
        <v>1</v>
      </c>
      <c r="C2698" t="n">
        <v>2009</v>
      </c>
      <c r="D2698" t="n">
        <v>2009</v>
      </c>
      <c r="E2698" t="inlineStr">
        <is>
          <t>District 9</t>
        </is>
      </c>
      <c r="F2698" t="inlineStr">
        <is>
          <t>F0088</t>
        </is>
      </c>
    </row>
    <row r="2699">
      <c r="A2699" t="inlineStr">
        <is>
          <t>Nick Blake</t>
        </is>
      </c>
      <c r="B2699" t="n">
        <v>1</v>
      </c>
      <c r="C2699" t="n">
        <v>2009</v>
      </c>
      <c r="D2699" t="n">
        <v>2009</v>
      </c>
      <c r="E2699" t="inlineStr">
        <is>
          <t>District 9</t>
        </is>
      </c>
      <c r="F2699" t="inlineStr">
        <is>
          <t>F0088</t>
        </is>
      </c>
    </row>
    <row r="2700">
      <c r="A2700" t="inlineStr">
        <is>
          <t>Greg Melvill-Smith</t>
        </is>
      </c>
      <c r="B2700" t="n">
        <v>1</v>
      </c>
      <c r="C2700" t="n">
        <v>2009</v>
      </c>
      <c r="D2700" t="n">
        <v>2009</v>
      </c>
      <c r="E2700" t="inlineStr">
        <is>
          <t>District 9</t>
        </is>
      </c>
      <c r="F2700" t="inlineStr">
        <is>
          <t>F0088</t>
        </is>
      </c>
    </row>
    <row r="2701">
      <c r="A2701" t="inlineStr">
        <is>
          <t>Robert Hobbs</t>
        </is>
      </c>
      <c r="B2701" t="n">
        <v>1</v>
      </c>
      <c r="C2701" t="n">
        <v>2009</v>
      </c>
      <c r="D2701" t="n">
        <v>2009</v>
      </c>
      <c r="E2701" t="inlineStr">
        <is>
          <t>District 9</t>
        </is>
      </c>
      <c r="F2701" t="inlineStr">
        <is>
          <t>F0088</t>
        </is>
      </c>
    </row>
    <row r="2702">
      <c r="A2702" t="inlineStr">
        <is>
          <t>Vanessa Haywood</t>
        </is>
      </c>
      <c r="B2702" t="n">
        <v>1</v>
      </c>
      <c r="C2702" t="n">
        <v>2009</v>
      </c>
      <c r="D2702" t="n">
        <v>2009</v>
      </c>
      <c r="E2702" t="inlineStr">
        <is>
          <t>District 9</t>
        </is>
      </c>
      <c r="F2702" t="inlineStr">
        <is>
          <t>F0088</t>
        </is>
      </c>
    </row>
    <row r="2703">
      <c r="A2703" t="inlineStr">
        <is>
          <t>Morena Busa Sesatsa</t>
        </is>
      </c>
      <c r="B2703" t="n">
        <v>1</v>
      </c>
      <c r="C2703" t="n">
        <v>2009</v>
      </c>
      <c r="D2703" t="n">
        <v>2009</v>
      </c>
      <c r="E2703" t="inlineStr">
        <is>
          <t>District 9</t>
        </is>
      </c>
      <c r="F2703" t="inlineStr">
        <is>
          <t>F0088</t>
        </is>
      </c>
    </row>
    <row r="2704">
      <c r="A2704" t="inlineStr">
        <is>
          <t>Themba Nkosi</t>
        </is>
      </c>
      <c r="B2704" t="n">
        <v>1</v>
      </c>
      <c r="C2704" t="n">
        <v>2009</v>
      </c>
      <c r="D2704" t="n">
        <v>2009</v>
      </c>
      <c r="E2704" t="inlineStr">
        <is>
          <t>District 9</t>
        </is>
      </c>
      <c r="F2704" t="inlineStr">
        <is>
          <t>F0088</t>
        </is>
      </c>
    </row>
    <row r="2705">
      <c r="A2705" t="inlineStr">
        <is>
          <t>Mzwandile Nqoba</t>
        </is>
      </c>
      <c r="B2705" t="n">
        <v>1</v>
      </c>
      <c r="C2705" t="n">
        <v>2009</v>
      </c>
      <c r="D2705" t="n">
        <v>2009</v>
      </c>
      <c r="E2705" t="inlineStr">
        <is>
          <t>District 9</t>
        </is>
      </c>
      <c r="F2705" t="inlineStr">
        <is>
          <t>F0088</t>
        </is>
      </c>
    </row>
    <row r="2706">
      <c r="A2706" t="inlineStr">
        <is>
          <t>Barry Strydom</t>
        </is>
      </c>
      <c r="B2706" t="n">
        <v>1</v>
      </c>
      <c r="C2706" t="n">
        <v>2009</v>
      </c>
      <c r="D2706" t="n">
        <v>2009</v>
      </c>
      <c r="E2706" t="inlineStr">
        <is>
          <t>District 9</t>
        </is>
      </c>
      <c r="F2706" t="inlineStr">
        <is>
          <t>F0088</t>
        </is>
      </c>
    </row>
    <row r="2707">
      <c r="A2707" t="inlineStr">
        <is>
          <t>Jed Brophy</t>
        </is>
      </c>
      <c r="B2707" t="n">
        <v>6</v>
      </c>
      <c r="C2707" t="n">
        <v>2002</v>
      </c>
      <c r="D2707" t="n">
        <v>2014</v>
      </c>
      <c r="E2707" t="inlineStr">
        <is>
          <t>District 9, The Hobbit: An Unexpected Journey, The Hobbit: The Desolation of Smaug, The Hobbit: The Battle of the Five Armies, King Kong, The Lord of the Rings: The Two Towers</t>
        </is>
      </c>
      <c r="F2707" t="inlineStr">
        <is>
          <t>F0088, F0150, F0151, F0152, F0188, F0204</t>
        </is>
      </c>
    </row>
    <row r="2708">
      <c r="A2708" t="inlineStr">
        <is>
          <t>Louis Minnaar</t>
        </is>
      </c>
      <c r="B2708" t="n">
        <v>1</v>
      </c>
      <c r="C2708" t="n">
        <v>2009</v>
      </c>
      <c r="D2708" t="n">
        <v>2009</v>
      </c>
      <c r="E2708" t="inlineStr">
        <is>
          <t>District 9</t>
        </is>
      </c>
      <c r="F2708" t="inlineStr">
        <is>
          <t>F0088</t>
        </is>
      </c>
    </row>
    <row r="2709">
      <c r="A2709" t="inlineStr">
        <is>
          <t>Marian Hooman</t>
        </is>
      </c>
      <c r="B2709" t="n">
        <v>1</v>
      </c>
      <c r="C2709" t="n">
        <v>2009</v>
      </c>
      <c r="D2709" t="n">
        <v>2009</v>
      </c>
      <c r="E2709" t="inlineStr">
        <is>
          <t>District 9</t>
        </is>
      </c>
      <c r="F2709" t="inlineStr">
        <is>
          <t>F0088</t>
        </is>
      </c>
    </row>
    <row r="2710">
      <c r="A2710" t="inlineStr">
        <is>
          <t>Vittorio Leonardi</t>
        </is>
      </c>
      <c r="B2710" t="n">
        <v>1</v>
      </c>
      <c r="C2710" t="n">
        <v>2009</v>
      </c>
      <c r="D2710" t="n">
        <v>2009</v>
      </c>
      <c r="E2710" t="inlineStr">
        <is>
          <t>District 9</t>
        </is>
      </c>
      <c r="F2710" t="inlineStr">
        <is>
          <t>F0088</t>
        </is>
      </c>
    </row>
    <row r="2711">
      <c r="A2711" t="inlineStr">
        <is>
          <t>David Clatworthy</t>
        </is>
      </c>
      <c r="B2711" t="n">
        <v>1</v>
      </c>
      <c r="C2711" t="n">
        <v>2009</v>
      </c>
      <c r="D2711" t="n">
        <v>2009</v>
      </c>
      <c r="E2711" t="inlineStr">
        <is>
          <t>District 9</t>
        </is>
      </c>
      <c r="F2711" t="inlineStr">
        <is>
          <t>F0088</t>
        </is>
      </c>
    </row>
    <row r="2712">
      <c r="A2712" t="inlineStr">
        <is>
          <t>Michael Huff</t>
        </is>
      </c>
      <c r="B2712" t="n">
        <v>1</v>
      </c>
      <c r="C2712" t="n">
        <v>2009</v>
      </c>
      <c r="D2712" t="n">
        <v>2009</v>
      </c>
      <c r="E2712" t="inlineStr">
        <is>
          <t>District 9</t>
        </is>
      </c>
      <c r="F2712" t="inlineStr">
        <is>
          <t>F0088</t>
        </is>
      </c>
    </row>
    <row r="2713">
      <c r="A2713" t="inlineStr">
        <is>
          <t>David James</t>
        </is>
      </c>
      <c r="B2713" t="n">
        <v>1</v>
      </c>
      <c r="C2713" t="n">
        <v>2009</v>
      </c>
      <c r="D2713" t="n">
        <v>2009</v>
      </c>
      <c r="E2713" t="inlineStr">
        <is>
          <t>District 9</t>
        </is>
      </c>
      <c r="F2713" t="inlineStr">
        <is>
          <t>F0088</t>
        </is>
      </c>
    </row>
    <row r="2714">
      <c r="A2714" t="inlineStr">
        <is>
          <t>Tim Gordon</t>
        </is>
      </c>
      <c r="B2714" t="n">
        <v>1</v>
      </c>
      <c r="C2714" t="n">
        <v>2009</v>
      </c>
      <c r="D2714" t="n">
        <v>2009</v>
      </c>
      <c r="E2714" t="inlineStr">
        <is>
          <t>District 9</t>
        </is>
      </c>
      <c r="F2714" t="inlineStr">
        <is>
          <t>F0088</t>
        </is>
      </c>
    </row>
    <row r="2715">
      <c r="A2715" t="inlineStr">
        <is>
          <t>Anthony Bishop</t>
        </is>
      </c>
      <c r="B2715" t="n">
        <v>1</v>
      </c>
      <c r="C2715" t="n">
        <v>2009</v>
      </c>
      <c r="D2715" t="n">
        <v>2009</v>
      </c>
      <c r="E2715" t="inlineStr">
        <is>
          <t>District 9</t>
        </is>
      </c>
      <c r="F2715" t="inlineStr">
        <is>
          <t>F0088</t>
        </is>
      </c>
    </row>
    <row r="2716">
      <c r="A2716" t="inlineStr">
        <is>
          <t>Anthony Fridjhon</t>
        </is>
      </c>
      <c r="B2716" t="n">
        <v>1</v>
      </c>
      <c r="C2716" t="n">
        <v>2009</v>
      </c>
      <c r="D2716" t="n">
        <v>2009</v>
      </c>
      <c r="E2716" t="inlineStr">
        <is>
          <t>District 9</t>
        </is>
      </c>
      <c r="F2716" t="inlineStr">
        <is>
          <t>F0088</t>
        </is>
      </c>
    </row>
    <row r="2717">
      <c r="A2717" t="inlineStr">
        <is>
          <t>Eugene Khumbanyiwa</t>
        </is>
      </c>
      <c r="B2717" t="n">
        <v>1</v>
      </c>
      <c r="C2717" t="n">
        <v>2009</v>
      </c>
      <c r="D2717" t="n">
        <v>2009</v>
      </c>
      <c r="E2717" t="inlineStr">
        <is>
          <t>District 9</t>
        </is>
      </c>
      <c r="F2717" t="inlineStr">
        <is>
          <t>F0088</t>
        </is>
      </c>
    </row>
    <row r="2718">
      <c r="A2718" t="inlineStr">
        <is>
          <t>Melt Sieberhagen</t>
        </is>
      </c>
      <c r="B2718" t="n">
        <v>1</v>
      </c>
      <c r="C2718" t="n">
        <v>2009</v>
      </c>
      <c r="D2718" t="n">
        <v>2009</v>
      </c>
      <c r="E2718" t="inlineStr">
        <is>
          <t>District 9</t>
        </is>
      </c>
      <c r="F2718" t="inlineStr">
        <is>
          <t>F0088</t>
        </is>
      </c>
    </row>
    <row r="2719">
      <c r="A2719" t="inlineStr">
        <is>
          <t>Andre Odendaal</t>
        </is>
      </c>
      <c r="B2719" t="n">
        <v>1</v>
      </c>
      <c r="C2719" t="n">
        <v>2009</v>
      </c>
      <c r="D2719" t="n">
        <v>2009</v>
      </c>
      <c r="E2719" t="inlineStr">
        <is>
          <t>District 9</t>
        </is>
      </c>
      <c r="F2719" t="inlineStr">
        <is>
          <t>F0088</t>
        </is>
      </c>
    </row>
    <row r="2720">
      <c r="A2720" t="inlineStr">
        <is>
          <t>Louise Saint-Claire</t>
        </is>
      </c>
      <c r="B2720" t="n">
        <v>1</v>
      </c>
      <c r="C2720" t="n">
        <v>2009</v>
      </c>
      <c r="D2720" t="n">
        <v>2009</v>
      </c>
      <c r="E2720" t="inlineStr">
        <is>
          <t>District 9</t>
        </is>
      </c>
      <c r="F2720" t="inlineStr">
        <is>
          <t>F0088</t>
        </is>
      </c>
    </row>
    <row r="2721">
      <c r="A2721" t="inlineStr">
        <is>
          <t>Norman Anstey</t>
        </is>
      </c>
      <c r="B2721" t="n">
        <v>1</v>
      </c>
      <c r="C2721" t="n">
        <v>2009</v>
      </c>
      <c r="D2721" t="n">
        <v>2009</v>
      </c>
      <c r="E2721" t="inlineStr">
        <is>
          <t>District 9</t>
        </is>
      </c>
      <c r="F2721" t="inlineStr">
        <is>
          <t>F0088</t>
        </is>
      </c>
    </row>
    <row r="2722">
      <c r="A2722" t="inlineStr">
        <is>
          <t>Ashley Judd</t>
        </is>
      </c>
      <c r="B2722" t="n">
        <v>2</v>
      </c>
      <c r="C2722" t="n">
        <v>2013</v>
      </c>
      <c r="D2722" t="n">
        <v>2014</v>
      </c>
      <c r="E2722" t="inlineStr">
        <is>
          <t>Divergent, Olympus Has Fallen</t>
        </is>
      </c>
      <c r="F2722" t="inlineStr">
        <is>
          <t>F0089, F0240</t>
        </is>
      </c>
    </row>
    <row r="2723">
      <c r="A2723" t="inlineStr">
        <is>
          <t>Tony Goldwyn</t>
        </is>
      </c>
      <c r="B2723" t="n">
        <v>2</v>
      </c>
      <c r="C2723" t="n">
        <v>2014</v>
      </c>
      <c r="D2723" t="n">
        <v>2023</v>
      </c>
      <c r="E2723" t="inlineStr">
        <is>
          <t>Divergent, Oppenheimer</t>
        </is>
      </c>
      <c r="F2723" t="inlineStr">
        <is>
          <t>F0089, F0242</t>
        </is>
      </c>
    </row>
    <row r="2724">
      <c r="A2724" t="inlineStr">
        <is>
          <t>Mekhi Phifer</t>
        </is>
      </c>
      <c r="B2724" t="n">
        <v>1</v>
      </c>
      <c r="C2724" t="n">
        <v>2014</v>
      </c>
      <c r="D2724" t="n">
        <v>2014</v>
      </c>
      <c r="E2724" t="inlineStr">
        <is>
          <t>Divergent</t>
        </is>
      </c>
      <c r="F2724" t="inlineStr">
        <is>
          <t>F0089</t>
        </is>
      </c>
    </row>
    <row r="2725">
      <c r="A2725" t="inlineStr">
        <is>
          <t>Kate Winslet</t>
        </is>
      </c>
      <c r="B2725" t="n">
        <v>1</v>
      </c>
      <c r="C2725" t="n">
        <v>2014</v>
      </c>
      <c r="D2725" t="n">
        <v>2014</v>
      </c>
      <c r="E2725" t="inlineStr">
        <is>
          <t>Divergent</t>
        </is>
      </c>
      <c r="F2725" t="inlineStr">
        <is>
          <t>F0089</t>
        </is>
      </c>
    </row>
    <row r="2726">
      <c r="A2726" t="inlineStr">
        <is>
          <t>Ben Lloyd-Hughes</t>
        </is>
      </c>
      <c r="B2726" t="n">
        <v>1</v>
      </c>
      <c r="C2726" t="n">
        <v>2014</v>
      </c>
      <c r="D2726" t="n">
        <v>2014</v>
      </c>
      <c r="E2726" t="inlineStr">
        <is>
          <t>Divergent</t>
        </is>
      </c>
      <c r="F2726" t="inlineStr">
        <is>
          <t>F0089</t>
        </is>
      </c>
    </row>
    <row r="2727">
      <c r="A2727" t="inlineStr">
        <is>
          <t>Christian Madsen</t>
        </is>
      </c>
      <c r="B2727" t="n">
        <v>1</v>
      </c>
      <c r="C2727" t="n">
        <v>2014</v>
      </c>
      <c r="D2727" t="n">
        <v>2014</v>
      </c>
      <c r="E2727" t="inlineStr">
        <is>
          <t>Divergent</t>
        </is>
      </c>
      <c r="F2727" t="inlineStr">
        <is>
          <t>F0089</t>
        </is>
      </c>
    </row>
    <row r="2728">
      <c r="A2728" t="inlineStr">
        <is>
          <t>Amy Newbold</t>
        </is>
      </c>
      <c r="B2728" t="n">
        <v>1</v>
      </c>
      <c r="C2728" t="n">
        <v>2014</v>
      </c>
      <c r="D2728" t="n">
        <v>2014</v>
      </c>
      <c r="E2728" t="inlineStr">
        <is>
          <t>Divergent</t>
        </is>
      </c>
      <c r="F2728" t="inlineStr">
        <is>
          <t>F0089</t>
        </is>
      </c>
    </row>
    <row r="2729">
      <c r="A2729" t="inlineStr">
        <is>
          <t>Ben Lamb</t>
        </is>
      </c>
      <c r="B2729" t="n">
        <v>1</v>
      </c>
      <c r="C2729" t="n">
        <v>2014</v>
      </c>
      <c r="D2729" t="n">
        <v>2014</v>
      </c>
      <c r="E2729" t="inlineStr">
        <is>
          <t>Divergent</t>
        </is>
      </c>
      <c r="F2729" t="inlineStr">
        <is>
          <t>F0089</t>
        </is>
      </c>
    </row>
    <row r="2730">
      <c r="A2730" t="inlineStr">
        <is>
          <t>Janet Ulrich Brooks</t>
        </is>
      </c>
      <c r="B2730" t="n">
        <v>1</v>
      </c>
      <c r="C2730" t="n">
        <v>2014</v>
      </c>
      <c r="D2730" t="n">
        <v>2014</v>
      </c>
      <c r="E2730" t="inlineStr">
        <is>
          <t>Divergent</t>
        </is>
      </c>
      <c r="F2730" t="inlineStr">
        <is>
          <t>F0089</t>
        </is>
      </c>
    </row>
    <row r="2731">
      <c r="A2731" t="inlineStr">
        <is>
          <t>Clara Burger</t>
        </is>
      </c>
      <c r="B2731" t="n">
        <v>1</v>
      </c>
      <c r="C2731" t="n">
        <v>2014</v>
      </c>
      <c r="D2731" t="n">
        <v>2014</v>
      </c>
      <c r="E2731" t="inlineStr">
        <is>
          <t>Divergent</t>
        </is>
      </c>
      <c r="F2731" t="inlineStr">
        <is>
          <t>F0089</t>
        </is>
      </c>
    </row>
    <row r="2732">
      <c r="A2732" t="inlineStr">
        <is>
          <t>Anthony Fleming III</t>
        </is>
      </c>
      <c r="B2732" t="n">
        <v>1</v>
      </c>
      <c r="C2732" t="n">
        <v>2014</v>
      </c>
      <c r="D2732" t="n">
        <v>2014</v>
      </c>
      <c r="E2732" t="inlineStr">
        <is>
          <t>Divergent</t>
        </is>
      </c>
      <c r="F2732" t="inlineStr">
        <is>
          <t>F0089</t>
        </is>
      </c>
    </row>
    <row r="2733">
      <c r="A2733" t="inlineStr">
        <is>
          <t>Ryan Carr</t>
        </is>
      </c>
      <c r="B2733" t="n">
        <v>1</v>
      </c>
      <c r="C2733" t="n">
        <v>2014</v>
      </c>
      <c r="D2733" t="n">
        <v>2014</v>
      </c>
      <c r="E2733" t="inlineStr">
        <is>
          <t>Divergent</t>
        </is>
      </c>
      <c r="F2733" t="inlineStr">
        <is>
          <t>F0089</t>
        </is>
      </c>
    </row>
    <row r="2734">
      <c r="A2734" t="inlineStr">
        <is>
          <t>Alexander Hashioka Oatfield</t>
        </is>
      </c>
      <c r="B2734" t="n">
        <v>1</v>
      </c>
      <c r="C2734" t="n">
        <v>2014</v>
      </c>
      <c r="D2734" t="n">
        <v>2014</v>
      </c>
      <c r="E2734" t="inlineStr">
        <is>
          <t>Divergent</t>
        </is>
      </c>
      <c r="F2734" t="inlineStr">
        <is>
          <t>F0089</t>
        </is>
      </c>
    </row>
    <row r="2735">
      <c r="A2735" t="inlineStr">
        <is>
          <t>Will Blagrove</t>
        </is>
      </c>
      <c r="B2735" t="n">
        <v>1</v>
      </c>
      <c r="C2735" t="n">
        <v>2014</v>
      </c>
      <c r="D2735" t="n">
        <v>2014</v>
      </c>
      <c r="E2735" t="inlineStr">
        <is>
          <t>Divergent</t>
        </is>
      </c>
      <c r="F2735" t="inlineStr">
        <is>
          <t>F0089</t>
        </is>
      </c>
    </row>
    <row r="2736">
      <c r="A2736" t="inlineStr">
        <is>
          <t>Rotimi</t>
        </is>
      </c>
      <c r="B2736" t="n">
        <v>1</v>
      </c>
      <c r="C2736" t="n">
        <v>2014</v>
      </c>
      <c r="D2736" t="n">
        <v>2014</v>
      </c>
      <c r="E2736" t="inlineStr">
        <is>
          <t>Divergent</t>
        </is>
      </c>
      <c r="F2736" t="inlineStr">
        <is>
          <t>F0089</t>
        </is>
      </c>
    </row>
    <row r="2737">
      <c r="A2737" t="inlineStr">
        <is>
          <t>Justine Wachsberger</t>
        </is>
      </c>
      <c r="B2737" t="n">
        <v>2</v>
      </c>
      <c r="C2737" t="n">
        <v>2010</v>
      </c>
      <c r="D2737" t="n">
        <v>2014</v>
      </c>
      <c r="E2737" t="inlineStr">
        <is>
          <t>Divergent, RED</t>
        </is>
      </c>
      <c r="F2737" t="inlineStr">
        <is>
          <t>F0089, F0262</t>
        </is>
      </c>
    </row>
    <row r="2738">
      <c r="A2738" t="inlineStr">
        <is>
          <t>Michael Gideon Sherry</t>
        </is>
      </c>
      <c r="B2738" t="n">
        <v>1</v>
      </c>
      <c r="C2738" t="n">
        <v>2014</v>
      </c>
      <c r="D2738" t="n">
        <v>2014</v>
      </c>
      <c r="E2738" t="inlineStr">
        <is>
          <t>Divergent</t>
        </is>
      </c>
      <c r="F2738" t="inlineStr">
        <is>
          <t>F0089</t>
        </is>
      </c>
    </row>
    <row r="2739">
      <c r="A2739" t="inlineStr">
        <is>
          <t>Lukas Burger</t>
        </is>
      </c>
      <c r="B2739" t="n">
        <v>1</v>
      </c>
      <c r="C2739" t="n">
        <v>2014</v>
      </c>
      <c r="D2739" t="n">
        <v>2014</v>
      </c>
      <c r="E2739" t="inlineStr">
        <is>
          <t>Divergent</t>
        </is>
      </c>
      <c r="F2739" t="inlineStr">
        <is>
          <t>F0089</t>
        </is>
      </c>
    </row>
    <row r="2740">
      <c r="A2740" t="inlineStr">
        <is>
          <t>Austin Lyon</t>
        </is>
      </c>
      <c r="B2740" t="n">
        <v>1</v>
      </c>
      <c r="C2740" t="n">
        <v>2014</v>
      </c>
      <c r="D2740" t="n">
        <v>2014</v>
      </c>
      <c r="E2740" t="inlineStr">
        <is>
          <t>Divergent</t>
        </is>
      </c>
      <c r="F2740" t="inlineStr">
        <is>
          <t>F0089</t>
        </is>
      </c>
    </row>
    <row r="2741">
      <c r="A2741" t="inlineStr">
        <is>
          <t>Renee Morrison</t>
        </is>
      </c>
      <c r="B2741" t="n">
        <v>1</v>
      </c>
      <c r="C2741" t="n">
        <v>2014</v>
      </c>
      <c r="D2741" t="n">
        <v>2014</v>
      </c>
      <c r="E2741" t="inlineStr">
        <is>
          <t>Divergent</t>
        </is>
      </c>
      <c r="F2741" t="inlineStr">
        <is>
          <t>F0089</t>
        </is>
      </c>
    </row>
    <row r="2742">
      <c r="A2742" t="inlineStr">
        <is>
          <t>Lucas Ross</t>
        </is>
      </c>
      <c r="B2742" t="n">
        <v>1</v>
      </c>
      <c r="C2742" t="n">
        <v>2014</v>
      </c>
      <c r="D2742" t="n">
        <v>2014</v>
      </c>
      <c r="E2742" t="inlineStr">
        <is>
          <t>Divergent</t>
        </is>
      </c>
      <c r="F2742" t="inlineStr">
        <is>
          <t>F0089</t>
        </is>
      </c>
    </row>
    <row r="2743">
      <c r="A2743" t="inlineStr">
        <is>
          <t>Chris Hayes</t>
        </is>
      </c>
      <c r="B2743" t="n">
        <v>1</v>
      </c>
      <c r="C2743" t="n">
        <v>2014</v>
      </c>
      <c r="D2743" t="n">
        <v>2014</v>
      </c>
      <c r="E2743" t="inlineStr">
        <is>
          <t>Divergent</t>
        </is>
      </c>
      <c r="F2743" t="inlineStr">
        <is>
          <t>F0089</t>
        </is>
      </c>
    </row>
    <row r="2744">
      <c r="A2744" t="inlineStr">
        <is>
          <t>Dennis Christopher</t>
        </is>
      </c>
      <c r="B2744" t="n">
        <v>1</v>
      </c>
      <c r="C2744" t="n">
        <v>2012</v>
      </c>
      <c r="D2744" t="n">
        <v>2012</v>
      </c>
      <c r="E2744" t="inlineStr">
        <is>
          <t>Django Unchained</t>
        </is>
      </c>
      <c r="F2744" t="inlineStr">
        <is>
          <t>F0090</t>
        </is>
      </c>
    </row>
    <row r="2745">
      <c r="A2745" t="inlineStr">
        <is>
          <t>David Steen</t>
        </is>
      </c>
      <c r="B2745" t="n">
        <v>1</v>
      </c>
      <c r="C2745" t="n">
        <v>2012</v>
      </c>
      <c r="D2745" t="n">
        <v>2012</v>
      </c>
      <c r="E2745" t="inlineStr">
        <is>
          <t>Django Unchained</t>
        </is>
      </c>
      <c r="F2745" t="inlineStr">
        <is>
          <t>F0090</t>
        </is>
      </c>
    </row>
    <row r="2746">
      <c r="A2746" t="inlineStr">
        <is>
          <t>Dana Gourrier</t>
        </is>
      </c>
      <c r="B2746" t="n">
        <v>1</v>
      </c>
      <c r="C2746" t="n">
        <v>2012</v>
      </c>
      <c r="D2746" t="n">
        <v>2012</v>
      </c>
      <c r="E2746" t="inlineStr">
        <is>
          <t>Django Unchained</t>
        </is>
      </c>
      <c r="F2746" t="inlineStr">
        <is>
          <t>F0090</t>
        </is>
      </c>
    </row>
    <row r="2747">
      <c r="A2747" t="inlineStr">
        <is>
          <t>Nichole Galicia</t>
        </is>
      </c>
      <c r="B2747" t="n">
        <v>1</v>
      </c>
      <c r="C2747" t="n">
        <v>2012</v>
      </c>
      <c r="D2747" t="n">
        <v>2012</v>
      </c>
      <c r="E2747" t="inlineStr">
        <is>
          <t>Django Unchained</t>
        </is>
      </c>
      <c r="F2747" t="inlineStr">
        <is>
          <t>F0090</t>
        </is>
      </c>
    </row>
    <row r="2748">
      <c r="A2748" t="inlineStr">
        <is>
          <t>Laura Cayouette</t>
        </is>
      </c>
      <c r="B2748" t="n">
        <v>3</v>
      </c>
      <c r="C2748" t="n">
        <v>1998</v>
      </c>
      <c r="D2748" t="n">
        <v>2012</v>
      </c>
      <c r="E2748" t="inlineStr">
        <is>
          <t>Django Unchained, Enemy of the State, Green Lantern</t>
        </is>
      </c>
      <c r="F2748" t="inlineStr">
        <is>
          <t>F0090, F0094, F0128</t>
        </is>
      </c>
    </row>
    <row r="2749">
      <c r="A2749" t="inlineStr">
        <is>
          <t>Ato Essandoh</t>
        </is>
      </c>
      <c r="B2749" t="n">
        <v>1</v>
      </c>
      <c r="C2749" t="n">
        <v>2012</v>
      </c>
      <c r="D2749" t="n">
        <v>2012</v>
      </c>
      <c r="E2749" t="inlineStr">
        <is>
          <t>Django Unchained</t>
        </is>
      </c>
      <c r="F2749" t="inlineStr">
        <is>
          <t>F0090</t>
        </is>
      </c>
    </row>
    <row r="2750">
      <c r="A2750" t="inlineStr">
        <is>
          <t>Sammi Rotibi</t>
        </is>
      </c>
      <c r="B2750" t="n">
        <v>1</v>
      </c>
      <c r="C2750" t="n">
        <v>2012</v>
      </c>
      <c r="D2750" t="n">
        <v>2012</v>
      </c>
      <c r="E2750" t="inlineStr">
        <is>
          <t>Django Unchained</t>
        </is>
      </c>
      <c r="F2750" t="inlineStr">
        <is>
          <t>F0090</t>
        </is>
      </c>
    </row>
    <row r="2751">
      <c r="A2751" t="inlineStr">
        <is>
          <t>Escalante Lundy</t>
        </is>
      </c>
      <c r="B2751" t="n">
        <v>1</v>
      </c>
      <c r="C2751" t="n">
        <v>2012</v>
      </c>
      <c r="D2751" t="n">
        <v>2012</v>
      </c>
      <c r="E2751" t="inlineStr">
        <is>
          <t>Django Unchained</t>
        </is>
      </c>
      <c r="F2751" t="inlineStr">
        <is>
          <t>F0090</t>
        </is>
      </c>
    </row>
    <row r="2752">
      <c r="A2752" t="inlineStr">
        <is>
          <t>Miriam F. Glover</t>
        </is>
      </c>
      <c r="B2752" t="n">
        <v>1</v>
      </c>
      <c r="C2752" t="n">
        <v>2012</v>
      </c>
      <c r="D2752" t="n">
        <v>2012</v>
      </c>
      <c r="E2752" t="inlineStr">
        <is>
          <t>Django Unchained</t>
        </is>
      </c>
      <c r="F2752" t="inlineStr">
        <is>
          <t>F0090</t>
        </is>
      </c>
    </row>
    <row r="2753">
      <c r="A2753" t="inlineStr">
        <is>
          <t>Don Johnson</t>
        </is>
      </c>
      <c r="B2753" t="n">
        <v>1</v>
      </c>
      <c r="C2753" t="n">
        <v>2012</v>
      </c>
      <c r="D2753" t="n">
        <v>2012</v>
      </c>
      <c r="E2753" t="inlineStr">
        <is>
          <t>Django Unchained</t>
        </is>
      </c>
      <c r="F2753" t="inlineStr">
        <is>
          <t>F0090</t>
        </is>
      </c>
    </row>
    <row r="2754">
      <c r="A2754" t="inlineStr">
        <is>
          <t>Franco Nero</t>
        </is>
      </c>
      <c r="B2754" t="n">
        <v>1</v>
      </c>
      <c r="C2754" t="n">
        <v>2012</v>
      </c>
      <c r="D2754" t="n">
        <v>2012</v>
      </c>
      <c r="E2754" t="inlineStr">
        <is>
          <t>Django Unchained</t>
        </is>
      </c>
      <c r="F2754" t="inlineStr">
        <is>
          <t>F0090</t>
        </is>
      </c>
    </row>
    <row r="2755">
      <c r="A2755" t="inlineStr">
        <is>
          <t>James Russo</t>
        </is>
      </c>
      <c r="B2755" t="n">
        <v>1</v>
      </c>
      <c r="C2755" t="n">
        <v>2012</v>
      </c>
      <c r="D2755" t="n">
        <v>2012</v>
      </c>
      <c r="E2755" t="inlineStr">
        <is>
          <t>Django Unchained</t>
        </is>
      </c>
      <c r="F2755" t="inlineStr">
        <is>
          <t>F0090</t>
        </is>
      </c>
    </row>
    <row r="2756">
      <c r="A2756" t="inlineStr">
        <is>
          <t>Tom Wopat</t>
        </is>
      </c>
      <c r="B2756" t="n">
        <v>2</v>
      </c>
      <c r="C2756" t="n">
        <v>2010</v>
      </c>
      <c r="D2756" t="n">
        <v>2012</v>
      </c>
      <c r="E2756" t="inlineStr">
        <is>
          <t>Django Unchained, Jonah Hex</t>
        </is>
      </c>
      <c r="F2756" t="inlineStr">
        <is>
          <t>F0090, F0173</t>
        </is>
      </c>
    </row>
    <row r="2757">
      <c r="A2757" t="inlineStr">
        <is>
          <t>Don Stroud</t>
        </is>
      </c>
      <c r="B2757" t="n">
        <v>1</v>
      </c>
      <c r="C2757" t="n">
        <v>2012</v>
      </c>
      <c r="D2757" t="n">
        <v>2012</v>
      </c>
      <c r="E2757" t="inlineStr">
        <is>
          <t>Django Unchained</t>
        </is>
      </c>
      <c r="F2757" t="inlineStr">
        <is>
          <t>F0090</t>
        </is>
      </c>
    </row>
    <row r="2758">
      <c r="A2758" t="inlineStr">
        <is>
          <t>Russ Tamblyn</t>
        </is>
      </c>
      <c r="B2758" t="n">
        <v>1</v>
      </c>
      <c r="C2758" t="n">
        <v>2012</v>
      </c>
      <c r="D2758" t="n">
        <v>2012</v>
      </c>
      <c r="E2758" t="inlineStr">
        <is>
          <t>Django Unchained</t>
        </is>
      </c>
      <c r="F2758" t="inlineStr">
        <is>
          <t>F0090</t>
        </is>
      </c>
    </row>
    <row r="2759">
      <c r="A2759" t="inlineStr">
        <is>
          <t>Amber Tamblyn</t>
        </is>
      </c>
      <c r="B2759" t="n">
        <v>1</v>
      </c>
      <c r="C2759" t="n">
        <v>2012</v>
      </c>
      <c r="D2759" t="n">
        <v>2012</v>
      </c>
      <c r="E2759" t="inlineStr">
        <is>
          <t>Django Unchained</t>
        </is>
      </c>
      <c r="F2759" t="inlineStr">
        <is>
          <t>F0090</t>
        </is>
      </c>
    </row>
    <row r="2760">
      <c r="A2760" t="inlineStr">
        <is>
          <t>Bruce Dern</t>
        </is>
      </c>
      <c r="B2760" t="n">
        <v>2</v>
      </c>
      <c r="C2760" t="n">
        <v>2012</v>
      </c>
      <c r="D2760" t="n">
        <v>2019</v>
      </c>
      <c r="E2760" t="inlineStr">
        <is>
          <t>Django Unchained, Once Upon a Time… in Hollywood</t>
        </is>
      </c>
      <c r="F2760" t="inlineStr">
        <is>
          <t>F0090, F0241</t>
        </is>
      </c>
    </row>
    <row r="2761">
      <c r="A2761" t="inlineStr">
        <is>
          <t>Cooper Huckabee</t>
        </is>
      </c>
      <c r="B2761" t="n">
        <v>1</v>
      </c>
      <c r="C2761" t="n">
        <v>2012</v>
      </c>
      <c r="D2761" t="n">
        <v>2012</v>
      </c>
      <c r="E2761" t="inlineStr">
        <is>
          <t>Django Unchained</t>
        </is>
      </c>
      <c r="F2761" t="inlineStr">
        <is>
          <t>F0090</t>
        </is>
      </c>
    </row>
    <row r="2762">
      <c r="A2762" t="inlineStr">
        <is>
          <t>Doc Duhame</t>
        </is>
      </c>
      <c r="B2762" t="n">
        <v>1</v>
      </c>
      <c r="C2762" t="n">
        <v>2012</v>
      </c>
      <c r="D2762" t="n">
        <v>2012</v>
      </c>
      <c r="E2762" t="inlineStr">
        <is>
          <t>Django Unchained</t>
        </is>
      </c>
      <c r="F2762" t="inlineStr">
        <is>
          <t>F0090</t>
        </is>
      </c>
    </row>
    <row r="2763">
      <c r="A2763" t="inlineStr">
        <is>
          <t>Lee Horsley</t>
        </is>
      </c>
      <c r="B2763" t="n">
        <v>1</v>
      </c>
      <c r="C2763" t="n">
        <v>2012</v>
      </c>
      <c r="D2763" t="n">
        <v>2012</v>
      </c>
      <c r="E2763" t="inlineStr">
        <is>
          <t>Django Unchained</t>
        </is>
      </c>
      <c r="F2763" t="inlineStr">
        <is>
          <t>F0090</t>
        </is>
      </c>
    </row>
    <row r="2764">
      <c r="A2764" t="inlineStr">
        <is>
          <t>RZA</t>
        </is>
      </c>
      <c r="B2764" t="n">
        <v>1</v>
      </c>
      <c r="C2764" t="n">
        <v>2010</v>
      </c>
      <c r="D2764" t="n">
        <v>2010</v>
      </c>
      <c r="E2764" t="inlineStr">
        <is>
          <t>Due Date</t>
        </is>
      </c>
      <c r="F2764" t="inlineStr">
        <is>
          <t>F0091</t>
        </is>
      </c>
    </row>
    <row r="2765">
      <c r="A2765" t="inlineStr">
        <is>
          <t>Matt Walsh</t>
        </is>
      </c>
      <c r="B2765" t="n">
        <v>3</v>
      </c>
      <c r="C2765" t="n">
        <v>2009</v>
      </c>
      <c r="D2765" t="n">
        <v>2012</v>
      </c>
      <c r="E2765" t="inlineStr">
        <is>
          <t>Due Date, The Hangover, Ted</t>
        </is>
      </c>
      <c r="F2765" t="inlineStr">
        <is>
          <t>F0091, F0134, F0308</t>
        </is>
      </c>
    </row>
    <row r="2766">
      <c r="A2766" t="inlineStr">
        <is>
          <t>Brody Stevens</t>
        </is>
      </c>
      <c r="B2766" t="n">
        <v>3</v>
      </c>
      <c r="C2766" t="n">
        <v>2009</v>
      </c>
      <c r="D2766" t="n">
        <v>2011</v>
      </c>
      <c r="E2766" t="inlineStr">
        <is>
          <t>Due Date, The Hangover, The Hangover Part II</t>
        </is>
      </c>
      <c r="F2766" t="inlineStr">
        <is>
          <t>F0091, F0134, F0135</t>
        </is>
      </c>
    </row>
    <row r="2767">
      <c r="A2767" t="inlineStr">
        <is>
          <t>Jakob Ulrich</t>
        </is>
      </c>
      <c r="B2767" t="n">
        <v>1</v>
      </c>
      <c r="C2767" t="n">
        <v>2010</v>
      </c>
      <c r="D2767" t="n">
        <v>2010</v>
      </c>
      <c r="E2767" t="inlineStr">
        <is>
          <t>Due Date</t>
        </is>
      </c>
      <c r="F2767" t="inlineStr">
        <is>
          <t>F0091</t>
        </is>
      </c>
    </row>
    <row r="2768">
      <c r="A2768" t="inlineStr">
        <is>
          <t>Naiia Ulrich</t>
        </is>
      </c>
      <c r="B2768" t="n">
        <v>1</v>
      </c>
      <c r="C2768" t="n">
        <v>2010</v>
      </c>
      <c r="D2768" t="n">
        <v>2010</v>
      </c>
      <c r="E2768" t="inlineStr">
        <is>
          <t>Due Date</t>
        </is>
      </c>
      <c r="F2768" t="inlineStr">
        <is>
          <t>F0091</t>
        </is>
      </c>
    </row>
    <row r="2769">
      <c r="A2769" t="inlineStr">
        <is>
          <t>Todd Phillips</t>
        </is>
      </c>
      <c r="B2769" t="n">
        <v>2</v>
      </c>
      <c r="C2769" t="n">
        <v>2009</v>
      </c>
      <c r="D2769" t="n">
        <v>2010</v>
      </c>
      <c r="E2769" t="inlineStr">
        <is>
          <t>Due Date, The Hangover</t>
        </is>
      </c>
      <c r="F2769" t="inlineStr">
        <is>
          <t>F0091, F0134</t>
        </is>
      </c>
    </row>
    <row r="2770">
      <c r="A2770" t="inlineStr">
        <is>
          <t>Bobby Tisdale</t>
        </is>
      </c>
      <c r="B2770" t="n">
        <v>1</v>
      </c>
      <c r="C2770" t="n">
        <v>2010</v>
      </c>
      <c r="D2770" t="n">
        <v>2010</v>
      </c>
      <c r="E2770" t="inlineStr">
        <is>
          <t>Due Date</t>
        </is>
      </c>
      <c r="F2770" t="inlineStr">
        <is>
          <t>F0091</t>
        </is>
      </c>
    </row>
    <row r="2771">
      <c r="A2771" t="inlineStr">
        <is>
          <t>Sharon Conley</t>
        </is>
      </c>
      <c r="B2771" t="n">
        <v>1</v>
      </c>
      <c r="C2771" t="n">
        <v>2010</v>
      </c>
      <c r="D2771" t="n">
        <v>2010</v>
      </c>
      <c r="E2771" t="inlineStr">
        <is>
          <t>Due Date</t>
        </is>
      </c>
      <c r="F2771" t="inlineStr">
        <is>
          <t>F0091</t>
        </is>
      </c>
    </row>
    <row r="2772">
      <c r="A2772" t="inlineStr">
        <is>
          <t>Nathalie Fay</t>
        </is>
      </c>
      <c r="B2772" t="n">
        <v>2</v>
      </c>
      <c r="C2772" t="n">
        <v>2009</v>
      </c>
      <c r="D2772" t="n">
        <v>2010</v>
      </c>
      <c r="E2772" t="inlineStr">
        <is>
          <t>Due Date, The Hangover</t>
        </is>
      </c>
      <c r="F2772" t="inlineStr">
        <is>
          <t>F0091, F0134</t>
        </is>
      </c>
    </row>
    <row r="2773">
      <c r="A2773" t="inlineStr">
        <is>
          <t>Emily Wagner</t>
        </is>
      </c>
      <c r="B2773" t="n">
        <v>1</v>
      </c>
      <c r="C2773" t="n">
        <v>2010</v>
      </c>
      <c r="D2773" t="n">
        <v>2010</v>
      </c>
      <c r="E2773" t="inlineStr">
        <is>
          <t>Due Date</t>
        </is>
      </c>
      <c r="F2773" t="inlineStr">
        <is>
          <t>F0091</t>
        </is>
      </c>
    </row>
    <row r="2774">
      <c r="A2774" t="inlineStr">
        <is>
          <t>Steven M. Gagnon</t>
        </is>
      </c>
      <c r="B2774" t="n">
        <v>1</v>
      </c>
      <c r="C2774" t="n">
        <v>2010</v>
      </c>
      <c r="D2774" t="n">
        <v>2010</v>
      </c>
      <c r="E2774" t="inlineStr">
        <is>
          <t>Due Date</t>
        </is>
      </c>
      <c r="F2774" t="inlineStr">
        <is>
          <t>F0091</t>
        </is>
      </c>
    </row>
    <row r="2775">
      <c r="A2775" t="inlineStr">
        <is>
          <t>Paul Renteria</t>
        </is>
      </c>
      <c r="B2775" t="n">
        <v>1</v>
      </c>
      <c r="C2775" t="n">
        <v>2010</v>
      </c>
      <c r="D2775" t="n">
        <v>2010</v>
      </c>
      <c r="E2775" t="inlineStr">
        <is>
          <t>Due Date</t>
        </is>
      </c>
      <c r="F2775" t="inlineStr">
        <is>
          <t>F0091</t>
        </is>
      </c>
    </row>
    <row r="2776">
      <c r="A2776" t="inlineStr">
        <is>
          <t>Marco Rodríguez</t>
        </is>
      </c>
      <c r="B2776" t="n">
        <v>1</v>
      </c>
      <c r="C2776" t="n">
        <v>2010</v>
      </c>
      <c r="D2776" t="n">
        <v>2010</v>
      </c>
      <c r="E2776" t="inlineStr">
        <is>
          <t>Due Date</t>
        </is>
      </c>
      <c r="F2776" t="inlineStr">
        <is>
          <t>F0091</t>
        </is>
      </c>
    </row>
    <row r="2777">
      <c r="A2777" t="inlineStr">
        <is>
          <t>Mimi Kennedy</t>
        </is>
      </c>
      <c r="B2777" t="n">
        <v>1</v>
      </c>
      <c r="C2777" t="n">
        <v>2010</v>
      </c>
      <c r="D2777" t="n">
        <v>2010</v>
      </c>
      <c r="E2777" t="inlineStr">
        <is>
          <t>Due Date</t>
        </is>
      </c>
      <c r="F2777" t="inlineStr">
        <is>
          <t>F0091</t>
        </is>
      </c>
    </row>
    <row r="2778">
      <c r="A2778" t="inlineStr">
        <is>
          <t>Tymberlee Hill</t>
        </is>
      </c>
      <c r="B2778" t="n">
        <v>1</v>
      </c>
      <c r="C2778" t="n">
        <v>2010</v>
      </c>
      <c r="D2778" t="n">
        <v>2010</v>
      </c>
      <c r="E2778" t="inlineStr">
        <is>
          <t>Due Date</t>
        </is>
      </c>
      <c r="F2778" t="inlineStr">
        <is>
          <t>F0091</t>
        </is>
      </c>
    </row>
    <row r="2779">
      <c r="A2779" t="inlineStr">
        <is>
          <t>Aaron Lustig</t>
        </is>
      </c>
      <c r="B2779" t="n">
        <v>1</v>
      </c>
      <c r="C2779" t="n">
        <v>2010</v>
      </c>
      <c r="D2779" t="n">
        <v>2010</v>
      </c>
      <c r="E2779" t="inlineStr">
        <is>
          <t>Due Date</t>
        </is>
      </c>
      <c r="F2779" t="inlineStr">
        <is>
          <t>F0091</t>
        </is>
      </c>
    </row>
    <row r="2780">
      <c r="A2780" t="inlineStr">
        <is>
          <t>Charlie Sheen</t>
        </is>
      </c>
      <c r="B2780" t="n">
        <v>1</v>
      </c>
      <c r="C2780" t="n">
        <v>2010</v>
      </c>
      <c r="D2780" t="n">
        <v>2010</v>
      </c>
      <c r="E2780" t="inlineStr">
        <is>
          <t>Due Date</t>
        </is>
      </c>
      <c r="F2780" t="inlineStr">
        <is>
          <t>F0091</t>
        </is>
      </c>
    </row>
    <row r="2781">
      <c r="A2781" t="inlineStr">
        <is>
          <t>Jon Cryer</t>
        </is>
      </c>
      <c r="B2781" t="n">
        <v>1</v>
      </c>
      <c r="C2781" t="n">
        <v>2010</v>
      </c>
      <c r="D2781" t="n">
        <v>2010</v>
      </c>
      <c r="E2781" t="inlineStr">
        <is>
          <t>Due Date</t>
        </is>
      </c>
      <c r="F2781" t="inlineStr">
        <is>
          <t>F0091</t>
        </is>
      </c>
    </row>
    <row r="2782">
      <c r="A2782" t="inlineStr">
        <is>
          <t>Haji Abdullah</t>
        </is>
      </c>
      <c r="B2782" t="n">
        <v>1</v>
      </c>
      <c r="C2782" t="n">
        <v>2010</v>
      </c>
      <c r="D2782" t="n">
        <v>2010</v>
      </c>
      <c r="E2782" t="inlineStr">
        <is>
          <t>Due Date</t>
        </is>
      </c>
      <c r="F2782" t="inlineStr">
        <is>
          <t>F0091</t>
        </is>
      </c>
    </row>
    <row r="2783">
      <c r="A2783" t="inlineStr">
        <is>
          <t>Jeremy Ambler</t>
        </is>
      </c>
      <c r="B2783" t="n">
        <v>1</v>
      </c>
      <c r="C2783" t="n">
        <v>2010</v>
      </c>
      <c r="D2783" t="n">
        <v>2010</v>
      </c>
      <c r="E2783" t="inlineStr">
        <is>
          <t>Due Date</t>
        </is>
      </c>
      <c r="F2783" t="inlineStr">
        <is>
          <t>F0091</t>
        </is>
      </c>
    </row>
    <row r="2784">
      <c r="A2784" t="inlineStr">
        <is>
          <t>Madeline Brumby</t>
        </is>
      </c>
      <c r="B2784" t="n">
        <v>1</v>
      </c>
      <c r="C2784" t="n">
        <v>2010</v>
      </c>
      <c r="D2784" t="n">
        <v>2010</v>
      </c>
      <c r="E2784" t="inlineStr">
        <is>
          <t>Due Date</t>
        </is>
      </c>
      <c r="F2784" t="inlineStr">
        <is>
          <t>F0091</t>
        </is>
      </c>
    </row>
    <row r="2785">
      <c r="A2785" t="inlineStr">
        <is>
          <t>Joseph Harold</t>
        </is>
      </c>
      <c r="B2785" t="n">
        <v>1</v>
      </c>
      <c r="C2785" t="n">
        <v>2010</v>
      </c>
      <c r="D2785" t="n">
        <v>2010</v>
      </c>
      <c r="E2785" t="inlineStr">
        <is>
          <t>Due Date</t>
        </is>
      </c>
      <c r="F2785" t="inlineStr">
        <is>
          <t>F0091</t>
        </is>
      </c>
    </row>
    <row r="2786">
      <c r="A2786" t="inlineStr">
        <is>
          <t>Sarah Reagin Clemmensen</t>
        </is>
      </c>
      <c r="B2786" t="n">
        <v>1</v>
      </c>
      <c r="C2786" t="n">
        <v>2010</v>
      </c>
      <c r="D2786" t="n">
        <v>2010</v>
      </c>
      <c r="E2786" t="inlineStr">
        <is>
          <t>Due Date</t>
        </is>
      </c>
      <c r="F2786" t="inlineStr">
        <is>
          <t>F0091</t>
        </is>
      </c>
    </row>
    <row r="2787">
      <c r="A2787" t="inlineStr">
        <is>
          <t>Zooey Deschanel</t>
        </is>
      </c>
      <c r="B2787" t="n">
        <v>1</v>
      </c>
      <c r="C2787" t="n">
        <v>2003</v>
      </c>
      <c r="D2787" t="n">
        <v>2003</v>
      </c>
      <c r="E2787" t="inlineStr">
        <is>
          <t>Elf</t>
        </is>
      </c>
      <c r="F2787" t="inlineStr">
        <is>
          <t>F0092</t>
        </is>
      </c>
    </row>
    <row r="2788">
      <c r="A2788" t="inlineStr">
        <is>
          <t>Daniel Tay</t>
        </is>
      </c>
      <c r="B2788" t="n">
        <v>1</v>
      </c>
      <c r="C2788" t="n">
        <v>2003</v>
      </c>
      <c r="D2788" t="n">
        <v>2003</v>
      </c>
      <c r="E2788" t="inlineStr">
        <is>
          <t>Elf</t>
        </is>
      </c>
      <c r="F2788" t="inlineStr">
        <is>
          <t>F0092</t>
        </is>
      </c>
    </row>
    <row r="2789">
      <c r="A2789" t="inlineStr">
        <is>
          <t>Faizon Love</t>
        </is>
      </c>
      <c r="B2789" t="n">
        <v>1</v>
      </c>
      <c r="C2789" t="n">
        <v>2003</v>
      </c>
      <c r="D2789" t="n">
        <v>2003</v>
      </c>
      <c r="E2789" t="inlineStr">
        <is>
          <t>Elf</t>
        </is>
      </c>
      <c r="F2789" t="inlineStr">
        <is>
          <t>F0092</t>
        </is>
      </c>
    </row>
    <row r="2790">
      <c r="A2790" t="inlineStr">
        <is>
          <t>Michael Lerner</t>
        </is>
      </c>
      <c r="B2790" t="n">
        <v>1</v>
      </c>
      <c r="C2790" t="n">
        <v>2003</v>
      </c>
      <c r="D2790" t="n">
        <v>2003</v>
      </c>
      <c r="E2790" t="inlineStr">
        <is>
          <t>Elf</t>
        </is>
      </c>
      <c r="F2790" t="inlineStr">
        <is>
          <t>F0092</t>
        </is>
      </c>
    </row>
    <row r="2791">
      <c r="A2791" t="inlineStr">
        <is>
          <t>Andy Richter</t>
        </is>
      </c>
      <c r="B2791" t="n">
        <v>1</v>
      </c>
      <c r="C2791" t="n">
        <v>2003</v>
      </c>
      <c r="D2791" t="n">
        <v>2003</v>
      </c>
      <c r="E2791" t="inlineStr">
        <is>
          <t>Elf</t>
        </is>
      </c>
      <c r="F2791" t="inlineStr">
        <is>
          <t>F0092</t>
        </is>
      </c>
    </row>
    <row r="2792">
      <c r="A2792" t="inlineStr">
        <is>
          <t>Kyle Gass</t>
        </is>
      </c>
      <c r="B2792" t="n">
        <v>1</v>
      </c>
      <c r="C2792" t="n">
        <v>2003</v>
      </c>
      <c r="D2792" t="n">
        <v>2003</v>
      </c>
      <c r="E2792" t="inlineStr">
        <is>
          <t>Elf</t>
        </is>
      </c>
      <c r="F2792" t="inlineStr">
        <is>
          <t>F0092</t>
        </is>
      </c>
    </row>
    <row r="2793">
      <c r="A2793" t="inlineStr">
        <is>
          <t>Artie Lange</t>
        </is>
      </c>
      <c r="B2793" t="n">
        <v>1</v>
      </c>
      <c r="C2793" t="n">
        <v>2003</v>
      </c>
      <c r="D2793" t="n">
        <v>2003</v>
      </c>
      <c r="E2793" t="inlineStr">
        <is>
          <t>Elf</t>
        </is>
      </c>
      <c r="F2793" t="inlineStr">
        <is>
          <t>F0092</t>
        </is>
      </c>
    </row>
    <row r="2794">
      <c r="A2794" t="inlineStr">
        <is>
          <t>Leon Redbone</t>
        </is>
      </c>
      <c r="B2794" t="n">
        <v>1</v>
      </c>
      <c r="C2794" t="n">
        <v>2003</v>
      </c>
      <c r="D2794" t="n">
        <v>2003</v>
      </c>
      <c r="E2794" t="inlineStr">
        <is>
          <t>Elf</t>
        </is>
      </c>
      <c r="F2794" t="inlineStr">
        <is>
          <t>F0092</t>
        </is>
      </c>
    </row>
    <row r="2795">
      <c r="A2795" t="inlineStr">
        <is>
          <t>Ray Harryhausen</t>
        </is>
      </c>
      <c r="B2795" t="n">
        <v>1</v>
      </c>
      <c r="C2795" t="n">
        <v>2003</v>
      </c>
      <c r="D2795" t="n">
        <v>2003</v>
      </c>
      <c r="E2795" t="inlineStr">
        <is>
          <t>Elf</t>
        </is>
      </c>
      <c r="F2795" t="inlineStr">
        <is>
          <t>F0092</t>
        </is>
      </c>
    </row>
    <row r="2796">
      <c r="A2796" t="inlineStr">
        <is>
          <t>Claire Lautier</t>
        </is>
      </c>
      <c r="B2796" t="n">
        <v>1</v>
      </c>
      <c r="C2796" t="n">
        <v>2003</v>
      </c>
      <c r="D2796" t="n">
        <v>2003</v>
      </c>
      <c r="E2796" t="inlineStr">
        <is>
          <t>Elf</t>
        </is>
      </c>
      <c r="F2796" t="inlineStr">
        <is>
          <t>F0092</t>
        </is>
      </c>
    </row>
    <row r="2797">
      <c r="A2797" t="inlineStr">
        <is>
          <t>Ted Friend</t>
        </is>
      </c>
      <c r="B2797" t="n">
        <v>1</v>
      </c>
      <c r="C2797" t="n">
        <v>2003</v>
      </c>
      <c r="D2797" t="n">
        <v>2003</v>
      </c>
      <c r="E2797" t="inlineStr">
        <is>
          <t>Elf</t>
        </is>
      </c>
      <c r="F2797" t="inlineStr">
        <is>
          <t>F0092</t>
        </is>
      </c>
    </row>
    <row r="2798">
      <c r="A2798" t="inlineStr">
        <is>
          <t>Patrick Ferrell</t>
        </is>
      </c>
      <c r="B2798" t="n">
        <v>1</v>
      </c>
      <c r="C2798" t="n">
        <v>2003</v>
      </c>
      <c r="D2798" t="n">
        <v>2003</v>
      </c>
      <c r="E2798" t="inlineStr">
        <is>
          <t>Elf</t>
        </is>
      </c>
      <c r="F2798" t="inlineStr">
        <is>
          <t>F0092</t>
        </is>
      </c>
    </row>
    <row r="2799">
      <c r="A2799" t="inlineStr">
        <is>
          <t>Patrick McCartney</t>
        </is>
      </c>
      <c r="B2799" t="n">
        <v>1</v>
      </c>
      <c r="C2799" t="n">
        <v>2003</v>
      </c>
      <c r="D2799" t="n">
        <v>2003</v>
      </c>
      <c r="E2799" t="inlineStr">
        <is>
          <t>Elf</t>
        </is>
      </c>
      <c r="F2799" t="inlineStr">
        <is>
          <t>F0092</t>
        </is>
      </c>
    </row>
    <row r="2800">
      <c r="A2800" t="inlineStr">
        <is>
          <t>Lydia Lawson-Baird</t>
        </is>
      </c>
      <c r="B2800" t="n">
        <v>1</v>
      </c>
      <c r="C2800" t="n">
        <v>2003</v>
      </c>
      <c r="D2800" t="n">
        <v>2003</v>
      </c>
      <c r="E2800" t="inlineStr">
        <is>
          <t>Elf</t>
        </is>
      </c>
      <c r="F2800" t="inlineStr">
        <is>
          <t>F0092</t>
        </is>
      </c>
    </row>
    <row r="2801">
      <c r="A2801" t="inlineStr">
        <is>
          <t>Brenda McDonald</t>
        </is>
      </c>
      <c r="B2801" t="n">
        <v>1</v>
      </c>
      <c r="C2801" t="n">
        <v>2003</v>
      </c>
      <c r="D2801" t="n">
        <v>2003</v>
      </c>
      <c r="E2801" t="inlineStr">
        <is>
          <t>Elf</t>
        </is>
      </c>
      <c r="F2801" t="inlineStr">
        <is>
          <t>F0092</t>
        </is>
      </c>
    </row>
    <row r="2802">
      <c r="A2802" t="inlineStr">
        <is>
          <t>Annie Brebner</t>
        </is>
      </c>
      <c r="B2802" t="n">
        <v>1</v>
      </c>
      <c r="C2802" t="n">
        <v>2003</v>
      </c>
      <c r="D2802" t="n">
        <v>2003</v>
      </c>
      <c r="E2802" t="inlineStr">
        <is>
          <t>Elf</t>
        </is>
      </c>
      <c r="F2802" t="inlineStr">
        <is>
          <t>F0092</t>
        </is>
      </c>
    </row>
    <row r="2803">
      <c r="A2803" t="inlineStr">
        <is>
          <t>Luke Pohl</t>
        </is>
      </c>
      <c r="B2803" t="n">
        <v>1</v>
      </c>
      <c r="C2803" t="n">
        <v>2003</v>
      </c>
      <c r="D2803" t="n">
        <v>2003</v>
      </c>
      <c r="E2803" t="inlineStr">
        <is>
          <t>Elf</t>
        </is>
      </c>
      <c r="F2803" t="inlineStr">
        <is>
          <t>F0092</t>
        </is>
      </c>
    </row>
    <row r="2804">
      <c r="A2804" t="inlineStr">
        <is>
          <t>Meghan Black</t>
        </is>
      </c>
      <c r="B2804" t="n">
        <v>1</v>
      </c>
      <c r="C2804" t="n">
        <v>2003</v>
      </c>
      <c r="D2804" t="n">
        <v>2003</v>
      </c>
      <c r="E2804" t="inlineStr">
        <is>
          <t>Elf</t>
        </is>
      </c>
      <c r="F2804" t="inlineStr">
        <is>
          <t>F0092</t>
        </is>
      </c>
    </row>
    <row r="2805">
      <c r="A2805" t="inlineStr">
        <is>
          <t>Patrick Baynham</t>
        </is>
      </c>
      <c r="B2805" t="n">
        <v>1</v>
      </c>
      <c r="C2805" t="n">
        <v>2003</v>
      </c>
      <c r="D2805" t="n">
        <v>2003</v>
      </c>
      <c r="E2805" t="inlineStr">
        <is>
          <t>Elf</t>
        </is>
      </c>
      <c r="F2805" t="inlineStr">
        <is>
          <t>F0092</t>
        </is>
      </c>
    </row>
    <row r="2806">
      <c r="A2806" t="inlineStr">
        <is>
          <t>Michael Roberds</t>
        </is>
      </c>
      <c r="B2806" t="n">
        <v>1</v>
      </c>
      <c r="C2806" t="n">
        <v>2003</v>
      </c>
      <c r="D2806" t="n">
        <v>2003</v>
      </c>
      <c r="E2806" t="inlineStr">
        <is>
          <t>Elf</t>
        </is>
      </c>
      <c r="F2806" t="inlineStr">
        <is>
          <t>F0092</t>
        </is>
      </c>
    </row>
    <row r="2807">
      <c r="A2807" t="inlineStr">
        <is>
          <t>Patrick Hulne</t>
        </is>
      </c>
      <c r="B2807" t="n">
        <v>1</v>
      </c>
      <c r="C2807" t="n">
        <v>2003</v>
      </c>
      <c r="D2807" t="n">
        <v>2003</v>
      </c>
      <c r="E2807" t="inlineStr">
        <is>
          <t>Elf</t>
        </is>
      </c>
      <c r="F2807" t="inlineStr">
        <is>
          <t>F0092</t>
        </is>
      </c>
    </row>
    <row r="2808">
      <c r="A2808" t="inlineStr">
        <is>
          <t>Alice Braga</t>
        </is>
      </c>
      <c r="B2808" t="n">
        <v>1</v>
      </c>
      <c r="C2808" t="n">
        <v>2013</v>
      </c>
      <c r="D2808" t="n">
        <v>2013</v>
      </c>
      <c r="E2808" t="inlineStr">
        <is>
          <t>Elysium</t>
        </is>
      </c>
      <c r="F2808" t="inlineStr">
        <is>
          <t>F0093</t>
        </is>
      </c>
    </row>
    <row r="2809">
      <c r="A2809" t="inlineStr">
        <is>
          <t>Jose Pablo Cantillo</t>
        </is>
      </c>
      <c r="B2809" t="n">
        <v>1</v>
      </c>
      <c r="C2809" t="n">
        <v>2013</v>
      </c>
      <c r="D2809" t="n">
        <v>2013</v>
      </c>
      <c r="E2809" t="inlineStr">
        <is>
          <t>Elysium</t>
        </is>
      </c>
      <c r="F2809" t="inlineStr">
        <is>
          <t>F0093</t>
        </is>
      </c>
    </row>
    <row r="2810">
      <c r="A2810" t="inlineStr">
        <is>
          <t>Faran Tahir</t>
        </is>
      </c>
      <c r="B2810" t="n">
        <v>2</v>
      </c>
      <c r="C2810" t="n">
        <v>2009</v>
      </c>
      <c r="D2810" t="n">
        <v>2013</v>
      </c>
      <c r="E2810" t="inlineStr">
        <is>
          <t>Elysium, Star Trek</t>
        </is>
      </c>
      <c r="F2810" t="inlineStr">
        <is>
          <t>F0093, F0291</t>
        </is>
      </c>
    </row>
    <row r="2811">
      <c r="A2811" t="inlineStr">
        <is>
          <t>Maxwell Perry Cotton</t>
        </is>
      </c>
      <c r="B2811" t="n">
        <v>1</v>
      </c>
      <c r="C2811" t="n">
        <v>2013</v>
      </c>
      <c r="D2811" t="n">
        <v>2013</v>
      </c>
      <c r="E2811" t="inlineStr">
        <is>
          <t>Elysium</t>
        </is>
      </c>
      <c r="F2811" t="inlineStr">
        <is>
          <t>F0093</t>
        </is>
      </c>
    </row>
    <row r="2812">
      <c r="A2812" t="inlineStr">
        <is>
          <t>Brandon Auret</t>
        </is>
      </c>
      <c r="B2812" t="n">
        <v>1</v>
      </c>
      <c r="C2812" t="n">
        <v>2013</v>
      </c>
      <c r="D2812" t="n">
        <v>2013</v>
      </c>
      <c r="E2812" t="inlineStr">
        <is>
          <t>Elysium</t>
        </is>
      </c>
      <c r="F2812" t="inlineStr">
        <is>
          <t>F0093</t>
        </is>
      </c>
    </row>
    <row r="2813">
      <c r="A2813" t="inlineStr">
        <is>
          <t>Josh Blacker</t>
        </is>
      </c>
      <c r="B2813" t="n">
        <v>1</v>
      </c>
      <c r="C2813" t="n">
        <v>2013</v>
      </c>
      <c r="D2813" t="n">
        <v>2013</v>
      </c>
      <c r="E2813" t="inlineStr">
        <is>
          <t>Elysium</t>
        </is>
      </c>
      <c r="F2813" t="inlineStr">
        <is>
          <t>F0093</t>
        </is>
      </c>
    </row>
    <row r="2814">
      <c r="A2814" t="inlineStr">
        <is>
          <t>Emma Tremblay</t>
        </is>
      </c>
      <c r="B2814" t="n">
        <v>1</v>
      </c>
      <c r="C2814" t="n">
        <v>2013</v>
      </c>
      <c r="D2814" t="n">
        <v>2013</v>
      </c>
      <c r="E2814" t="inlineStr">
        <is>
          <t>Elysium</t>
        </is>
      </c>
      <c r="F2814" t="inlineStr">
        <is>
          <t>F0093</t>
        </is>
      </c>
    </row>
    <row r="2815">
      <c r="A2815" t="inlineStr">
        <is>
          <t>Adrian Holmes</t>
        </is>
      </c>
      <c r="B2815" t="n">
        <v>1</v>
      </c>
      <c r="C2815" t="n">
        <v>2013</v>
      </c>
      <c r="D2815" t="n">
        <v>2013</v>
      </c>
      <c r="E2815" t="inlineStr">
        <is>
          <t>Elysium</t>
        </is>
      </c>
      <c r="F2815" t="inlineStr">
        <is>
          <t>F0093</t>
        </is>
      </c>
    </row>
    <row r="2816">
      <c r="A2816" t="inlineStr">
        <is>
          <t>Jared Keeso</t>
        </is>
      </c>
      <c r="B2816" t="n">
        <v>2</v>
      </c>
      <c r="C2816" t="n">
        <v>2013</v>
      </c>
      <c r="D2816" t="n">
        <v>2014</v>
      </c>
      <c r="E2816" t="inlineStr">
        <is>
          <t>Elysium, Godzilla</t>
        </is>
      </c>
      <c r="F2816" t="inlineStr">
        <is>
          <t>F0093, F0121</t>
        </is>
      </c>
    </row>
    <row r="2817">
      <c r="A2817" t="inlineStr">
        <is>
          <t>Michael Shanks</t>
        </is>
      </c>
      <c r="B2817" t="n">
        <v>1</v>
      </c>
      <c r="C2817" t="n">
        <v>2013</v>
      </c>
      <c r="D2817" t="n">
        <v>2013</v>
      </c>
      <c r="E2817" t="inlineStr">
        <is>
          <t>Elysium</t>
        </is>
      </c>
      <c r="F2817" t="inlineStr">
        <is>
          <t>F0093</t>
        </is>
      </c>
    </row>
    <row r="2818">
      <c r="A2818" t="inlineStr">
        <is>
          <t>Carly Pope</t>
        </is>
      </c>
      <c r="B2818" t="n">
        <v>1</v>
      </c>
      <c r="C2818" t="n">
        <v>2013</v>
      </c>
      <c r="D2818" t="n">
        <v>2013</v>
      </c>
      <c r="E2818" t="inlineStr">
        <is>
          <t>Elysium</t>
        </is>
      </c>
      <c r="F2818" t="inlineStr">
        <is>
          <t>F0093</t>
        </is>
      </c>
    </row>
    <row r="2819">
      <c r="A2819" t="inlineStr">
        <is>
          <t>Ona Grauer</t>
        </is>
      </c>
      <c r="B2819" t="n">
        <v>2</v>
      </c>
      <c r="C2819" t="n">
        <v>2006</v>
      </c>
      <c r="D2819" t="n">
        <v>2013</v>
      </c>
      <c r="E2819" t="inlineStr">
        <is>
          <t>Elysium, Firewall</t>
        </is>
      </c>
      <c r="F2819" t="inlineStr">
        <is>
          <t>F0093, F0114</t>
        </is>
      </c>
    </row>
    <row r="2820">
      <c r="A2820" t="inlineStr">
        <is>
          <t>Christina Cox</t>
        </is>
      </c>
      <c r="B2820" t="n">
        <v>1</v>
      </c>
      <c r="C2820" t="n">
        <v>2013</v>
      </c>
      <c r="D2820" t="n">
        <v>2013</v>
      </c>
      <c r="E2820" t="inlineStr">
        <is>
          <t>Elysium</t>
        </is>
      </c>
      <c r="F2820" t="inlineStr">
        <is>
          <t>F0093</t>
        </is>
      </c>
    </row>
    <row r="2821">
      <c r="A2821" t="inlineStr">
        <is>
          <t>Derek Gilroy</t>
        </is>
      </c>
      <c r="B2821" t="n">
        <v>1</v>
      </c>
      <c r="C2821" t="n">
        <v>2013</v>
      </c>
      <c r="D2821" t="n">
        <v>2013</v>
      </c>
      <c r="E2821" t="inlineStr">
        <is>
          <t>Elysium</t>
        </is>
      </c>
      <c r="F2821" t="inlineStr">
        <is>
          <t>F0093</t>
        </is>
      </c>
    </row>
    <row r="2822">
      <c r="A2822" t="inlineStr">
        <is>
          <t>Yolanda Abbud L.</t>
        </is>
      </c>
      <c r="B2822" t="n">
        <v>1</v>
      </c>
      <c r="C2822" t="n">
        <v>2013</v>
      </c>
      <c r="D2822" t="n">
        <v>2013</v>
      </c>
      <c r="E2822" t="inlineStr">
        <is>
          <t>Elysium</t>
        </is>
      </c>
      <c r="F2822" t="inlineStr">
        <is>
          <t>F0093</t>
        </is>
      </c>
    </row>
    <row r="2823">
      <c r="A2823" t="inlineStr">
        <is>
          <t>Claire Smithies</t>
        </is>
      </c>
      <c r="B2823" t="n">
        <v>1</v>
      </c>
      <c r="C2823" t="n">
        <v>2013</v>
      </c>
      <c r="D2823" t="n">
        <v>2013</v>
      </c>
      <c r="E2823" t="inlineStr">
        <is>
          <t>Elysium</t>
        </is>
      </c>
      <c r="F2823" t="inlineStr">
        <is>
          <t>F0093</t>
        </is>
      </c>
    </row>
    <row r="2824">
      <c r="A2824" t="inlineStr">
        <is>
          <t>Tiffani Timms</t>
        </is>
      </c>
      <c r="B2824" t="n">
        <v>1</v>
      </c>
      <c r="C2824" t="n">
        <v>2013</v>
      </c>
      <c r="D2824" t="n">
        <v>2013</v>
      </c>
      <c r="E2824" t="inlineStr">
        <is>
          <t>Elysium</t>
        </is>
      </c>
      <c r="F2824" t="inlineStr">
        <is>
          <t>F0093</t>
        </is>
      </c>
    </row>
    <row r="2825">
      <c r="A2825" t="inlineStr">
        <is>
          <t>Stephen Chang</t>
        </is>
      </c>
      <c r="B2825" t="n">
        <v>1</v>
      </c>
      <c r="C2825" t="n">
        <v>2013</v>
      </c>
      <c r="D2825" t="n">
        <v>2013</v>
      </c>
      <c r="E2825" t="inlineStr">
        <is>
          <t>Elysium</t>
        </is>
      </c>
      <c r="F2825" t="inlineStr">
        <is>
          <t>F0093</t>
        </is>
      </c>
    </row>
    <row r="2826">
      <c r="A2826" t="inlineStr">
        <is>
          <t>Fraser Aitcheson</t>
        </is>
      </c>
      <c r="B2826" t="n">
        <v>2</v>
      </c>
      <c r="C2826" t="n">
        <v>2013</v>
      </c>
      <c r="D2826" t="n">
        <v>2016</v>
      </c>
      <c r="E2826" t="inlineStr">
        <is>
          <t>Elysium, X-Men: Apocalypse</t>
        </is>
      </c>
      <c r="F2826" t="inlineStr">
        <is>
          <t>F0093, F0342</t>
        </is>
      </c>
    </row>
    <row r="2827">
      <c r="A2827" t="inlineStr">
        <is>
          <t>Angelina Pratap</t>
        </is>
      </c>
      <c r="B2827" t="n">
        <v>1</v>
      </c>
      <c r="C2827" t="n">
        <v>2013</v>
      </c>
      <c r="D2827" t="n">
        <v>2013</v>
      </c>
      <c r="E2827" t="inlineStr">
        <is>
          <t>Elysium</t>
        </is>
      </c>
      <c r="F2827" t="inlineStr">
        <is>
          <t>F0093</t>
        </is>
      </c>
    </row>
    <row r="2828">
      <c r="A2828" t="inlineStr">
        <is>
          <t>Valentina Girón</t>
        </is>
      </c>
      <c r="B2828" t="n">
        <v>1</v>
      </c>
      <c r="C2828" t="n">
        <v>2013</v>
      </c>
      <c r="D2828" t="n">
        <v>2013</v>
      </c>
      <c r="E2828" t="inlineStr">
        <is>
          <t>Elysium</t>
        </is>
      </c>
      <c r="F2828" t="inlineStr">
        <is>
          <t>F0093</t>
        </is>
      </c>
    </row>
    <row r="2829">
      <c r="A2829" t="inlineStr">
        <is>
          <t>Tracy Waterhouse</t>
        </is>
      </c>
      <c r="B2829" t="n">
        <v>1</v>
      </c>
      <c r="C2829" t="n">
        <v>2013</v>
      </c>
      <c r="D2829" t="n">
        <v>2013</v>
      </c>
      <c r="E2829" t="inlineStr">
        <is>
          <t>Elysium</t>
        </is>
      </c>
      <c r="F2829" t="inlineStr">
        <is>
          <t>F0093</t>
        </is>
      </c>
    </row>
    <row r="2830">
      <c r="A2830" t="inlineStr">
        <is>
          <t>Jake Busey</t>
        </is>
      </c>
      <c r="B2830" t="n">
        <v>1</v>
      </c>
      <c r="C2830" t="n">
        <v>1998</v>
      </c>
      <c r="D2830" t="n">
        <v>1998</v>
      </c>
      <c r="E2830" t="inlineStr">
        <is>
          <t>Enemy of the State</t>
        </is>
      </c>
      <c r="F2830" t="inlineStr">
        <is>
          <t>F0094</t>
        </is>
      </c>
    </row>
    <row r="2831">
      <c r="A2831" t="inlineStr">
        <is>
          <t>Gabriel Byrne</t>
        </is>
      </c>
      <c r="B2831" t="n">
        <v>1</v>
      </c>
      <c r="C2831" t="n">
        <v>1998</v>
      </c>
      <c r="D2831" t="n">
        <v>1998</v>
      </c>
      <c r="E2831" t="inlineStr">
        <is>
          <t>Enemy of the State</t>
        </is>
      </c>
      <c r="F2831" t="inlineStr">
        <is>
          <t>F0094</t>
        </is>
      </c>
    </row>
    <row r="2832">
      <c r="A2832" t="inlineStr">
        <is>
          <t>Lisa Bonet</t>
        </is>
      </c>
      <c r="B2832" t="n">
        <v>1</v>
      </c>
      <c r="C2832" t="n">
        <v>1998</v>
      </c>
      <c r="D2832" t="n">
        <v>1998</v>
      </c>
      <c r="E2832" t="inlineStr">
        <is>
          <t>Enemy of the State</t>
        </is>
      </c>
      <c r="F2832" t="inlineStr">
        <is>
          <t>F0094</t>
        </is>
      </c>
    </row>
    <row r="2833">
      <c r="A2833" t="inlineStr">
        <is>
          <t>Ian Hart</t>
        </is>
      </c>
      <c r="B2833" t="n">
        <v>2</v>
      </c>
      <c r="C2833" t="n">
        <v>1998</v>
      </c>
      <c r="D2833" t="n">
        <v>2001</v>
      </c>
      <c r="E2833" t="inlineStr">
        <is>
          <t>Enemy of the State, Harry Potter and the Philosopher's Stone</t>
        </is>
      </c>
      <c r="F2833" t="inlineStr">
        <is>
          <t>F0094, F0137</t>
        </is>
      </c>
    </row>
    <row r="2834">
      <c r="A2834" t="inlineStr">
        <is>
          <t>Scott Caan</t>
        </is>
      </c>
      <c r="B2834" t="n">
        <v>1</v>
      </c>
      <c r="C2834" t="n">
        <v>1998</v>
      </c>
      <c r="D2834" t="n">
        <v>1998</v>
      </c>
      <c r="E2834" t="inlineStr">
        <is>
          <t>Enemy of the State</t>
        </is>
      </c>
      <c r="F2834" t="inlineStr">
        <is>
          <t>F0094</t>
        </is>
      </c>
    </row>
    <row r="2835">
      <c r="A2835" t="inlineStr">
        <is>
          <t>James Le Gros</t>
        </is>
      </c>
      <c r="B2835" t="n">
        <v>2</v>
      </c>
      <c r="C2835" t="n">
        <v>1998</v>
      </c>
      <c r="D2835" t="n">
        <v>2007</v>
      </c>
      <c r="E2835" t="inlineStr">
        <is>
          <t>Enemy of the State, Zodiac</t>
        </is>
      </c>
      <c r="F2835" t="inlineStr">
        <is>
          <t>F0094, F0350</t>
        </is>
      </c>
    </row>
    <row r="2836">
      <c r="A2836" t="inlineStr">
        <is>
          <t>Dan Butler</t>
        </is>
      </c>
      <c r="B2836" t="n">
        <v>1</v>
      </c>
      <c r="C2836" t="n">
        <v>1998</v>
      </c>
      <c r="D2836" t="n">
        <v>1998</v>
      </c>
      <c r="E2836" t="inlineStr">
        <is>
          <t>Enemy of the State</t>
        </is>
      </c>
      <c r="F2836" t="inlineStr">
        <is>
          <t>F0094</t>
        </is>
      </c>
    </row>
    <row r="2837">
      <c r="A2837" t="inlineStr">
        <is>
          <t>Jamie Kennedy</t>
        </is>
      </c>
      <c r="B2837" t="n">
        <v>1</v>
      </c>
      <c r="C2837" t="n">
        <v>1998</v>
      </c>
      <c r="D2837" t="n">
        <v>1998</v>
      </c>
      <c r="E2837" t="inlineStr">
        <is>
          <t>Enemy of the State</t>
        </is>
      </c>
      <c r="F2837" t="inlineStr">
        <is>
          <t>F0094</t>
        </is>
      </c>
    </row>
    <row r="2838">
      <c r="A2838" t="inlineStr">
        <is>
          <t>Bodhi Elfman</t>
        </is>
      </c>
      <c r="B2838" t="n">
        <v>1</v>
      </c>
      <c r="C2838" t="n">
        <v>1998</v>
      </c>
      <c r="D2838" t="n">
        <v>1998</v>
      </c>
      <c r="E2838" t="inlineStr">
        <is>
          <t>Enemy of the State</t>
        </is>
      </c>
      <c r="F2838" t="inlineStr">
        <is>
          <t>F0094</t>
        </is>
      </c>
    </row>
    <row r="2839">
      <c r="A2839" t="inlineStr">
        <is>
          <t>Jacob Chambers</t>
        </is>
      </c>
      <c r="B2839" t="n">
        <v>1</v>
      </c>
      <c r="C2839" t="n">
        <v>1998</v>
      </c>
      <c r="D2839" t="n">
        <v>1998</v>
      </c>
      <c r="E2839" t="inlineStr">
        <is>
          <t>Enemy of the State</t>
        </is>
      </c>
      <c r="F2839" t="inlineStr">
        <is>
          <t>F0094</t>
        </is>
      </c>
    </row>
    <row r="2840">
      <c r="A2840" t="inlineStr">
        <is>
          <t>Alexandra Balahoutis</t>
        </is>
      </c>
      <c r="B2840" t="n">
        <v>1</v>
      </c>
      <c r="C2840" t="n">
        <v>1998</v>
      </c>
      <c r="D2840" t="n">
        <v>1998</v>
      </c>
      <c r="E2840" t="inlineStr">
        <is>
          <t>Enemy of the State</t>
        </is>
      </c>
      <c r="F2840" t="inlineStr">
        <is>
          <t>F0094</t>
        </is>
      </c>
    </row>
    <row r="2841">
      <c r="A2841" t="inlineStr">
        <is>
          <t>Anna Gunn</t>
        </is>
      </c>
      <c r="B2841" t="n">
        <v>1</v>
      </c>
      <c r="C2841" t="n">
        <v>1998</v>
      </c>
      <c r="D2841" t="n">
        <v>1998</v>
      </c>
      <c r="E2841" t="inlineStr">
        <is>
          <t>Enemy of the State</t>
        </is>
      </c>
      <c r="F2841" t="inlineStr">
        <is>
          <t>F0094</t>
        </is>
      </c>
    </row>
    <row r="2842">
      <c r="A2842" t="inlineStr">
        <is>
          <t>Jascha Washington</t>
        </is>
      </c>
      <c r="B2842" t="n">
        <v>1</v>
      </c>
      <c r="C2842" t="n">
        <v>1998</v>
      </c>
      <c r="D2842" t="n">
        <v>1998</v>
      </c>
      <c r="E2842" t="inlineStr">
        <is>
          <t>Enemy of the State</t>
        </is>
      </c>
      <c r="F2842" t="inlineStr">
        <is>
          <t>F0094</t>
        </is>
      </c>
    </row>
    <row r="2843">
      <c r="A2843" t="inlineStr">
        <is>
          <t>Rebeca Silva</t>
        </is>
      </c>
      <c r="B2843" t="n">
        <v>1</v>
      </c>
      <c r="C2843" t="n">
        <v>1998</v>
      </c>
      <c r="D2843" t="n">
        <v>1998</v>
      </c>
      <c r="E2843" t="inlineStr">
        <is>
          <t>Enemy of the State</t>
        </is>
      </c>
      <c r="F2843" t="inlineStr">
        <is>
          <t>F0094</t>
        </is>
      </c>
    </row>
    <row r="2844">
      <c r="A2844" t="inlineStr">
        <is>
          <t>Bobby Boriello</t>
        </is>
      </c>
      <c r="B2844" t="n">
        <v>1</v>
      </c>
      <c r="C2844" t="n">
        <v>1998</v>
      </c>
      <c r="D2844" t="n">
        <v>1998</v>
      </c>
      <c r="E2844" t="inlineStr">
        <is>
          <t>Enemy of the State</t>
        </is>
      </c>
      <c r="F2844" t="inlineStr">
        <is>
          <t>F0094</t>
        </is>
      </c>
    </row>
    <row r="2845">
      <c r="A2845" t="inlineStr">
        <is>
          <t>Carl Mergenthaler</t>
        </is>
      </c>
      <c r="B2845" t="n">
        <v>1</v>
      </c>
      <c r="C2845" t="n">
        <v>1998</v>
      </c>
      <c r="D2845" t="n">
        <v>1998</v>
      </c>
      <c r="E2845" t="inlineStr">
        <is>
          <t>Enemy of the State</t>
        </is>
      </c>
      <c r="F2845" t="inlineStr">
        <is>
          <t>F0094</t>
        </is>
      </c>
    </row>
    <row r="2846">
      <c r="A2846" t="inlineStr">
        <is>
          <t>Mattias Kraemer</t>
        </is>
      </c>
      <c r="B2846" t="n">
        <v>1</v>
      </c>
      <c r="C2846" t="n">
        <v>1998</v>
      </c>
      <c r="D2846" t="n">
        <v>1998</v>
      </c>
      <c r="E2846" t="inlineStr">
        <is>
          <t>Enemy of the State</t>
        </is>
      </c>
      <c r="F2846" t="inlineStr">
        <is>
          <t>F0094</t>
        </is>
      </c>
    </row>
    <row r="2847">
      <c r="A2847" t="inlineStr">
        <is>
          <t>Lillo Brancato</t>
        </is>
      </c>
      <c r="B2847" t="n">
        <v>1</v>
      </c>
      <c r="C2847" t="n">
        <v>1998</v>
      </c>
      <c r="D2847" t="n">
        <v>1998</v>
      </c>
      <c r="E2847" t="inlineStr">
        <is>
          <t>Enemy of the State</t>
        </is>
      </c>
      <c r="F2847" t="inlineStr">
        <is>
          <t>F0094</t>
        </is>
      </c>
    </row>
    <row r="2848">
      <c r="A2848" t="inlineStr">
        <is>
          <t>John Capodice</t>
        </is>
      </c>
      <c r="B2848" t="n">
        <v>1</v>
      </c>
      <c r="C2848" t="n">
        <v>1998</v>
      </c>
      <c r="D2848" t="n">
        <v>1998</v>
      </c>
      <c r="E2848" t="inlineStr">
        <is>
          <t>Enemy of the State</t>
        </is>
      </c>
      <c r="F2848" t="inlineStr">
        <is>
          <t>F0094</t>
        </is>
      </c>
    </row>
    <row r="2849">
      <c r="A2849" t="inlineStr">
        <is>
          <t>Randy Couture</t>
        </is>
      </c>
      <c r="B2849" t="n">
        <v>3</v>
      </c>
      <c r="C2849" t="n">
        <v>2010</v>
      </c>
      <c r="D2849" t="n">
        <v>2014</v>
      </c>
      <c r="E2849" t="inlineStr">
        <is>
          <t>The Expendables, The Expendables 2, The Expendables 3</t>
        </is>
      </c>
      <c r="F2849" t="inlineStr">
        <is>
          <t>F0095, F0096, F0097</t>
        </is>
      </c>
    </row>
    <row r="2850">
      <c r="A2850" t="inlineStr">
        <is>
          <t>Steve Austin</t>
        </is>
      </c>
      <c r="B2850" t="n">
        <v>2</v>
      </c>
      <c r="C2850" t="n">
        <v>2010</v>
      </c>
      <c r="D2850" t="n">
        <v>2013</v>
      </c>
      <c r="E2850" t="inlineStr">
        <is>
          <t>The Expendables, Grown Ups 2</t>
        </is>
      </c>
      <c r="F2850" t="inlineStr">
        <is>
          <t>F0095, F0132</t>
        </is>
      </c>
    </row>
    <row r="2851">
      <c r="A2851" t="inlineStr">
        <is>
          <t>David Zayas</t>
        </is>
      </c>
      <c r="B2851" t="n">
        <v>1</v>
      </c>
      <c r="C2851" t="n">
        <v>2010</v>
      </c>
      <c r="D2851" t="n">
        <v>2010</v>
      </c>
      <c r="E2851" t="inlineStr">
        <is>
          <t>The Expendables</t>
        </is>
      </c>
      <c r="F2851" t="inlineStr">
        <is>
          <t>F0095</t>
        </is>
      </c>
    </row>
    <row r="2852">
      <c r="A2852" t="inlineStr">
        <is>
          <t>Giselle Itié</t>
        </is>
      </c>
      <c r="B2852" t="n">
        <v>1</v>
      </c>
      <c r="C2852" t="n">
        <v>2010</v>
      </c>
      <c r="D2852" t="n">
        <v>2010</v>
      </c>
      <c r="E2852" t="inlineStr">
        <is>
          <t>The Expendables</t>
        </is>
      </c>
      <c r="F2852" t="inlineStr">
        <is>
          <t>F0095</t>
        </is>
      </c>
    </row>
    <row r="2853">
      <c r="A2853" t="inlineStr">
        <is>
          <t>Charisma Carpenter</t>
        </is>
      </c>
      <c r="B2853" t="n">
        <v>2</v>
      </c>
      <c r="C2853" t="n">
        <v>2010</v>
      </c>
      <c r="D2853" t="n">
        <v>2012</v>
      </c>
      <c r="E2853" t="inlineStr">
        <is>
          <t>The Expendables, The Expendables 2</t>
        </is>
      </c>
      <c r="F2853" t="inlineStr">
        <is>
          <t>F0095, F0096</t>
        </is>
      </c>
    </row>
    <row r="2854">
      <c r="A2854" t="inlineStr">
        <is>
          <t>Gary Daniels</t>
        </is>
      </c>
      <c r="B2854" t="n">
        <v>1</v>
      </c>
      <c r="C2854" t="n">
        <v>2010</v>
      </c>
      <c r="D2854" t="n">
        <v>2010</v>
      </c>
      <c r="E2854" t="inlineStr">
        <is>
          <t>The Expendables</t>
        </is>
      </c>
      <c r="F2854" t="inlineStr">
        <is>
          <t>F0095</t>
        </is>
      </c>
    </row>
    <row r="2855">
      <c r="A2855" t="inlineStr">
        <is>
          <t>Mickey Rourke</t>
        </is>
      </c>
      <c r="B2855" t="n">
        <v>1</v>
      </c>
      <c r="C2855" t="n">
        <v>2010</v>
      </c>
      <c r="D2855" t="n">
        <v>2010</v>
      </c>
      <c r="E2855" t="inlineStr">
        <is>
          <t>The Expendables</t>
        </is>
      </c>
      <c r="F2855" t="inlineStr">
        <is>
          <t>F0095</t>
        </is>
      </c>
    </row>
    <row r="2856">
      <c r="A2856" t="inlineStr">
        <is>
          <t>Hank Amos</t>
        </is>
      </c>
      <c r="B2856" t="n">
        <v>1</v>
      </c>
      <c r="C2856" t="n">
        <v>2010</v>
      </c>
      <c r="D2856" t="n">
        <v>2010</v>
      </c>
      <c r="E2856" t="inlineStr">
        <is>
          <t>The Expendables</t>
        </is>
      </c>
      <c r="F2856" t="inlineStr">
        <is>
          <t>F0095</t>
        </is>
      </c>
    </row>
    <row r="2857">
      <c r="A2857" t="inlineStr">
        <is>
          <t>Amin Joseph</t>
        </is>
      </c>
      <c r="B2857" t="n">
        <v>1</v>
      </c>
      <c r="C2857" t="n">
        <v>2010</v>
      </c>
      <c r="D2857" t="n">
        <v>2010</v>
      </c>
      <c r="E2857" t="inlineStr">
        <is>
          <t>The Expendables</t>
        </is>
      </c>
      <c r="F2857" t="inlineStr">
        <is>
          <t>F0095</t>
        </is>
      </c>
    </row>
    <row r="2858">
      <c r="A2858" t="inlineStr">
        <is>
          <t>Grifon Aldren</t>
        </is>
      </c>
      <c r="B2858" t="n">
        <v>1</v>
      </c>
      <c r="C2858" t="n">
        <v>2010</v>
      </c>
      <c r="D2858" t="n">
        <v>2010</v>
      </c>
      <c r="E2858" t="inlineStr">
        <is>
          <t>The Expendables</t>
        </is>
      </c>
      <c r="F2858" t="inlineStr">
        <is>
          <t>F0095</t>
        </is>
      </c>
    </row>
    <row r="2859">
      <c r="A2859" t="inlineStr">
        <is>
          <t>Antonio Rodrigo Nogueira</t>
        </is>
      </c>
      <c r="B2859" t="n">
        <v>1</v>
      </c>
      <c r="C2859" t="n">
        <v>2010</v>
      </c>
      <c r="D2859" t="n">
        <v>2010</v>
      </c>
      <c r="E2859" t="inlineStr">
        <is>
          <t>The Expendables</t>
        </is>
      </c>
      <c r="F2859" t="inlineStr">
        <is>
          <t>F0095</t>
        </is>
      </c>
    </row>
    <row r="2860">
      <c r="A2860" t="inlineStr">
        <is>
          <t>Antônio Rogério Nogueira</t>
        </is>
      </c>
      <c r="B2860" t="n">
        <v>1</v>
      </c>
      <c r="C2860" t="n">
        <v>2010</v>
      </c>
      <c r="D2860" t="n">
        <v>2010</v>
      </c>
      <c r="E2860" t="inlineStr">
        <is>
          <t>The Expendables</t>
        </is>
      </c>
      <c r="F2860" t="inlineStr">
        <is>
          <t>F0095</t>
        </is>
      </c>
    </row>
    <row r="2861">
      <c r="A2861" t="inlineStr">
        <is>
          <t>Sassa Nacimento</t>
        </is>
      </c>
      <c r="B2861" t="n">
        <v>1</v>
      </c>
      <c r="C2861" t="n">
        <v>2010</v>
      </c>
      <c r="D2861" t="n">
        <v>2010</v>
      </c>
      <c r="E2861" t="inlineStr">
        <is>
          <t>The Expendables</t>
        </is>
      </c>
      <c r="F2861" t="inlineStr">
        <is>
          <t>F0095</t>
        </is>
      </c>
    </row>
    <row r="2862">
      <c r="A2862" t="inlineStr">
        <is>
          <t>R.A. Rondell</t>
        </is>
      </c>
      <c r="B2862" t="n">
        <v>1</v>
      </c>
      <c r="C2862" t="n">
        <v>2010</v>
      </c>
      <c r="D2862" t="n">
        <v>2010</v>
      </c>
      <c r="E2862" t="inlineStr">
        <is>
          <t>The Expendables</t>
        </is>
      </c>
      <c r="F2862" t="inlineStr">
        <is>
          <t>F0095</t>
        </is>
      </c>
    </row>
    <row r="2863">
      <c r="A2863" t="inlineStr">
        <is>
          <t>Tze Yep</t>
        </is>
      </c>
      <c r="B2863" t="n">
        <v>1</v>
      </c>
      <c r="C2863" t="n">
        <v>2010</v>
      </c>
      <c r="D2863" t="n">
        <v>2010</v>
      </c>
      <c r="E2863" t="inlineStr">
        <is>
          <t>The Expendables</t>
        </is>
      </c>
      <c r="F2863" t="inlineStr">
        <is>
          <t>F0095</t>
        </is>
      </c>
    </row>
    <row r="2864">
      <c r="A2864" t="inlineStr">
        <is>
          <t>Precious Jenkins</t>
        </is>
      </c>
      <c r="B2864" t="n">
        <v>1</v>
      </c>
      <c r="C2864" t="n">
        <v>2010</v>
      </c>
      <c r="D2864" t="n">
        <v>2010</v>
      </c>
      <c r="E2864" t="inlineStr">
        <is>
          <t>The Expendables</t>
        </is>
      </c>
      <c r="F2864" t="inlineStr">
        <is>
          <t>F0095</t>
        </is>
      </c>
    </row>
    <row r="2865">
      <c r="A2865" t="inlineStr">
        <is>
          <t>Ronn Surels</t>
        </is>
      </c>
      <c r="B2865" t="n">
        <v>1</v>
      </c>
      <c r="C2865" t="n">
        <v>2010</v>
      </c>
      <c r="D2865" t="n">
        <v>2010</v>
      </c>
      <c r="E2865" t="inlineStr">
        <is>
          <t>The Expendables</t>
        </is>
      </c>
      <c r="F2865" t="inlineStr">
        <is>
          <t>F0095</t>
        </is>
      </c>
    </row>
    <row r="2866">
      <c r="A2866" t="inlineStr">
        <is>
          <t>Lauren Jones</t>
        </is>
      </c>
      <c r="B2866" t="n">
        <v>1</v>
      </c>
      <c r="C2866" t="n">
        <v>2010</v>
      </c>
      <c r="D2866" t="n">
        <v>2010</v>
      </c>
      <c r="E2866" t="inlineStr">
        <is>
          <t>The Expendables</t>
        </is>
      </c>
      <c r="F2866" t="inlineStr">
        <is>
          <t>F0095</t>
        </is>
      </c>
    </row>
    <row r="2867">
      <c r="A2867" t="inlineStr">
        <is>
          <t>Prazeres Barbosa</t>
        </is>
      </c>
      <c r="B2867" t="n">
        <v>1</v>
      </c>
      <c r="C2867" t="n">
        <v>2010</v>
      </c>
      <c r="D2867" t="n">
        <v>2010</v>
      </c>
      <c r="E2867" t="inlineStr">
        <is>
          <t>The Expendables</t>
        </is>
      </c>
      <c r="F2867" t="inlineStr">
        <is>
          <t>F0095</t>
        </is>
      </c>
    </row>
    <row r="2868">
      <c r="A2868" t="inlineStr">
        <is>
          <t>Jose Vasquez</t>
        </is>
      </c>
      <c r="B2868" t="n">
        <v>1</v>
      </c>
      <c r="C2868" t="n">
        <v>2010</v>
      </c>
      <c r="D2868" t="n">
        <v>2010</v>
      </c>
      <c r="E2868" t="inlineStr">
        <is>
          <t>The Expendables</t>
        </is>
      </c>
      <c r="F2868" t="inlineStr">
        <is>
          <t>F0095</t>
        </is>
      </c>
    </row>
    <row r="2869">
      <c r="A2869" t="inlineStr">
        <is>
          <t>Daniel Arrias</t>
        </is>
      </c>
      <c r="B2869" t="n">
        <v>1</v>
      </c>
      <c r="C2869" t="n">
        <v>2010</v>
      </c>
      <c r="D2869" t="n">
        <v>2010</v>
      </c>
      <c r="E2869" t="inlineStr">
        <is>
          <t>The Expendables</t>
        </is>
      </c>
      <c r="F2869" t="inlineStr">
        <is>
          <t>F0095</t>
        </is>
      </c>
    </row>
    <row r="2870">
      <c r="A2870" t="inlineStr">
        <is>
          <t>Antonio Gullo</t>
        </is>
      </c>
      <c r="B2870" t="n">
        <v>1</v>
      </c>
      <c r="C2870" t="n">
        <v>2010</v>
      </c>
      <c r="D2870" t="n">
        <v>2010</v>
      </c>
      <c r="E2870" t="inlineStr">
        <is>
          <t>The Expendables</t>
        </is>
      </c>
      <c r="F2870" t="inlineStr">
        <is>
          <t>F0095</t>
        </is>
      </c>
    </row>
    <row r="2871">
      <c r="A2871" t="inlineStr">
        <is>
          <t>Javier Lambert</t>
        </is>
      </c>
      <c r="B2871" t="n">
        <v>1</v>
      </c>
      <c r="C2871" t="n">
        <v>2010</v>
      </c>
      <c r="D2871" t="n">
        <v>2010</v>
      </c>
      <c r="E2871" t="inlineStr">
        <is>
          <t>The Expendables</t>
        </is>
      </c>
      <c r="F2871" t="inlineStr">
        <is>
          <t>F0095</t>
        </is>
      </c>
    </row>
    <row r="2872">
      <c r="A2872" t="inlineStr">
        <is>
          <t>Tatsu Carvalho</t>
        </is>
      </c>
      <c r="B2872" t="n">
        <v>1</v>
      </c>
      <c r="C2872" t="n">
        <v>2010</v>
      </c>
      <c r="D2872" t="n">
        <v>2010</v>
      </c>
      <c r="E2872" t="inlineStr">
        <is>
          <t>The Expendables</t>
        </is>
      </c>
      <c r="F2872" t="inlineStr">
        <is>
          <t>F0095</t>
        </is>
      </c>
    </row>
    <row r="2873">
      <c r="A2873" t="inlineStr">
        <is>
          <t>Jean-Claude Van Damme</t>
        </is>
      </c>
      <c r="B2873" t="n">
        <v>1</v>
      </c>
      <c r="C2873" t="n">
        <v>2012</v>
      </c>
      <c r="D2873" t="n">
        <v>2012</v>
      </c>
      <c r="E2873" t="inlineStr">
        <is>
          <t>The Expendables 2</t>
        </is>
      </c>
      <c r="F2873" t="inlineStr">
        <is>
          <t>F0096</t>
        </is>
      </c>
    </row>
    <row r="2874">
      <c r="A2874" t="inlineStr">
        <is>
          <t>Yu Nan</t>
        </is>
      </c>
      <c r="B2874" t="n">
        <v>1</v>
      </c>
      <c r="C2874" t="n">
        <v>2012</v>
      </c>
      <c r="D2874" t="n">
        <v>2012</v>
      </c>
      <c r="E2874" t="inlineStr">
        <is>
          <t>The Expendables 2</t>
        </is>
      </c>
      <c r="F2874" t="inlineStr">
        <is>
          <t>F0096</t>
        </is>
      </c>
    </row>
    <row r="2875">
      <c r="A2875" t="inlineStr">
        <is>
          <t>Amanda Ooms</t>
        </is>
      </c>
      <c r="B2875" t="n">
        <v>1</v>
      </c>
      <c r="C2875" t="n">
        <v>2012</v>
      </c>
      <c r="D2875" t="n">
        <v>2012</v>
      </c>
      <c r="E2875" t="inlineStr">
        <is>
          <t>The Expendables 2</t>
        </is>
      </c>
      <c r="F2875" t="inlineStr">
        <is>
          <t>F0096</t>
        </is>
      </c>
    </row>
    <row r="2876">
      <c r="A2876" t="inlineStr">
        <is>
          <t>Nikolette Noel</t>
        </is>
      </c>
      <c r="B2876" t="n">
        <v>1</v>
      </c>
      <c r="C2876" t="n">
        <v>2012</v>
      </c>
      <c r="D2876" t="n">
        <v>2012</v>
      </c>
      <c r="E2876" t="inlineStr">
        <is>
          <t>The Expendables 2</t>
        </is>
      </c>
      <c r="F2876" t="inlineStr">
        <is>
          <t>F0096</t>
        </is>
      </c>
    </row>
    <row r="2877">
      <c r="A2877" t="inlineStr">
        <is>
          <t>George Zlatarev</t>
        </is>
      </c>
      <c r="B2877" t="n">
        <v>1</v>
      </c>
      <c r="C2877" t="n">
        <v>2012</v>
      </c>
      <c r="D2877" t="n">
        <v>2012</v>
      </c>
      <c r="E2877" t="inlineStr">
        <is>
          <t>The Expendables 2</t>
        </is>
      </c>
      <c r="F2877" t="inlineStr">
        <is>
          <t>F0096</t>
        </is>
      </c>
    </row>
    <row r="2878">
      <c r="A2878" t="inlineStr">
        <is>
          <t>Alexander Moskov</t>
        </is>
      </c>
      <c r="B2878" t="n">
        <v>1</v>
      </c>
      <c r="C2878" t="n">
        <v>2012</v>
      </c>
      <c r="D2878" t="n">
        <v>2012</v>
      </c>
      <c r="E2878" t="inlineStr">
        <is>
          <t>The Expendables 2</t>
        </is>
      </c>
      <c r="F2878" t="inlineStr">
        <is>
          <t>F0096</t>
        </is>
      </c>
    </row>
    <row r="2879">
      <c r="A2879" t="inlineStr">
        <is>
          <t>Nikola Dodov</t>
        </is>
      </c>
      <c r="B2879" t="n">
        <v>1</v>
      </c>
      <c r="C2879" t="n">
        <v>2012</v>
      </c>
      <c r="D2879" t="n">
        <v>2012</v>
      </c>
      <c r="E2879" t="inlineStr">
        <is>
          <t>The Expendables 2</t>
        </is>
      </c>
      <c r="F2879" t="inlineStr">
        <is>
          <t>F0096</t>
        </is>
      </c>
    </row>
    <row r="2880">
      <c r="A2880" t="inlineStr">
        <is>
          <t>Wenbo Li</t>
        </is>
      </c>
      <c r="B2880" t="n">
        <v>1</v>
      </c>
      <c r="C2880" t="n">
        <v>2012</v>
      </c>
      <c r="D2880" t="n">
        <v>2012</v>
      </c>
      <c r="E2880" t="inlineStr">
        <is>
          <t>The Expendables 2</t>
        </is>
      </c>
      <c r="F2880" t="inlineStr">
        <is>
          <t>F0096</t>
        </is>
      </c>
    </row>
    <row r="2881">
      <c r="A2881" t="inlineStr">
        <is>
          <t>Borislav Zahariev</t>
        </is>
      </c>
      <c r="B2881" t="n">
        <v>1</v>
      </c>
      <c r="C2881" t="n">
        <v>2012</v>
      </c>
      <c r="D2881" t="n">
        <v>2012</v>
      </c>
      <c r="E2881" t="inlineStr">
        <is>
          <t>The Expendables 2</t>
        </is>
      </c>
      <c r="F2881" t="inlineStr">
        <is>
          <t>F0096</t>
        </is>
      </c>
    </row>
    <row r="2882">
      <c r="A2882" t="inlineStr">
        <is>
          <t>Penka Kodova</t>
        </is>
      </c>
      <c r="B2882" t="n">
        <v>1</v>
      </c>
      <c r="C2882" t="n">
        <v>2012</v>
      </c>
      <c r="D2882" t="n">
        <v>2012</v>
      </c>
      <c r="E2882" t="inlineStr">
        <is>
          <t>The Expendables 2</t>
        </is>
      </c>
      <c r="F2882" t="inlineStr">
        <is>
          <t>F0096</t>
        </is>
      </c>
    </row>
    <row r="2883">
      <c r="A2883" t="inlineStr">
        <is>
          <t>Arkanay Boonsong</t>
        </is>
      </c>
      <c r="B2883" t="n">
        <v>1</v>
      </c>
      <c r="C2883" t="n">
        <v>2012</v>
      </c>
      <c r="D2883" t="n">
        <v>2012</v>
      </c>
      <c r="E2883" t="inlineStr">
        <is>
          <t>The Expendables 2</t>
        </is>
      </c>
      <c r="F2883" t="inlineStr">
        <is>
          <t>F0096</t>
        </is>
      </c>
    </row>
    <row r="2884">
      <c r="A2884" t="inlineStr">
        <is>
          <t>Dimo Alexiev</t>
        </is>
      </c>
      <c r="B2884" t="n">
        <v>2</v>
      </c>
      <c r="C2884" t="n">
        <v>2012</v>
      </c>
      <c r="D2884" t="n">
        <v>2014</v>
      </c>
      <c r="E2884" t="inlineStr">
        <is>
          <t>The Expendables 2, The Legend of Hercules</t>
        </is>
      </c>
      <c r="F2884" t="inlineStr">
        <is>
          <t>F0096, F0148</t>
        </is>
      </c>
    </row>
    <row r="2885">
      <c r="A2885" t="inlineStr">
        <is>
          <t>Velislav Pavlov</t>
        </is>
      </c>
      <c r="B2885" t="n">
        <v>1</v>
      </c>
      <c r="C2885" t="n">
        <v>2012</v>
      </c>
      <c r="D2885" t="n">
        <v>2012</v>
      </c>
      <c r="E2885" t="inlineStr">
        <is>
          <t>The Expendables 2</t>
        </is>
      </c>
      <c r="F2885" t="inlineStr">
        <is>
          <t>F0096</t>
        </is>
      </c>
    </row>
    <row r="2886">
      <c r="A2886" t="inlineStr">
        <is>
          <t>Liubomir Simeonov</t>
        </is>
      </c>
      <c r="B2886" t="n">
        <v>3</v>
      </c>
      <c r="C2886" t="n">
        <v>2012</v>
      </c>
      <c r="D2886" t="n">
        <v>2014</v>
      </c>
      <c r="E2886" t="inlineStr">
        <is>
          <t>The Expendables 2, The Expendables 3, The Legend of Hercules</t>
        </is>
      </c>
      <c r="F2886" t="inlineStr">
        <is>
          <t>F0096, F0097, F0148</t>
        </is>
      </c>
    </row>
    <row r="2887">
      <c r="A2887" t="inlineStr">
        <is>
          <t>Anton Trendafilov</t>
        </is>
      </c>
      <c r="B2887" t="n">
        <v>1</v>
      </c>
      <c r="C2887" t="n">
        <v>2012</v>
      </c>
      <c r="D2887" t="n">
        <v>2012</v>
      </c>
      <c r="E2887" t="inlineStr">
        <is>
          <t>The Expendables 2</t>
        </is>
      </c>
      <c r="F2887" t="inlineStr">
        <is>
          <t>F0096</t>
        </is>
      </c>
    </row>
    <row r="2888">
      <c r="A2888" t="inlineStr">
        <is>
          <t>Mariy Rosen</t>
        </is>
      </c>
      <c r="B2888" t="n">
        <v>1</v>
      </c>
      <c r="C2888" t="n">
        <v>2012</v>
      </c>
      <c r="D2888" t="n">
        <v>2012</v>
      </c>
      <c r="E2888" t="inlineStr">
        <is>
          <t>The Expendables 2</t>
        </is>
      </c>
      <c r="F2888" t="inlineStr">
        <is>
          <t>F0096</t>
        </is>
      </c>
    </row>
    <row r="2889">
      <c r="A2889" t="inlineStr">
        <is>
          <t>Julian Stanishkov</t>
        </is>
      </c>
      <c r="B2889" t="n">
        <v>1</v>
      </c>
      <c r="C2889" t="n">
        <v>2012</v>
      </c>
      <c r="D2889" t="n">
        <v>2012</v>
      </c>
      <c r="E2889" t="inlineStr">
        <is>
          <t>The Expendables 2</t>
        </is>
      </c>
      <c r="F2889" t="inlineStr">
        <is>
          <t>F0096</t>
        </is>
      </c>
    </row>
    <row r="2890">
      <c r="A2890" t="inlineStr">
        <is>
          <t>Velimir Velev</t>
        </is>
      </c>
      <c r="B2890" t="n">
        <v>1</v>
      </c>
      <c r="C2890" t="n">
        <v>2012</v>
      </c>
      <c r="D2890" t="n">
        <v>2012</v>
      </c>
      <c r="E2890" t="inlineStr">
        <is>
          <t>The Expendables 2</t>
        </is>
      </c>
      <c r="F2890" t="inlineStr">
        <is>
          <t>F0096</t>
        </is>
      </c>
    </row>
    <row r="2891">
      <c r="A2891" t="inlineStr">
        <is>
          <t>Glen Powell</t>
        </is>
      </c>
      <c r="B2891" t="n">
        <v>1</v>
      </c>
      <c r="C2891" t="n">
        <v>2014</v>
      </c>
      <c r="D2891" t="n">
        <v>2014</v>
      </c>
      <c r="E2891" t="inlineStr">
        <is>
          <t>The Expendables 3</t>
        </is>
      </c>
      <c r="F2891" t="inlineStr">
        <is>
          <t>F0097</t>
        </is>
      </c>
    </row>
    <row r="2892">
      <c r="A2892" t="inlineStr">
        <is>
          <t>Antonio Banderas</t>
        </is>
      </c>
      <c r="B2892" t="n">
        <v>1</v>
      </c>
      <c r="C2892" t="n">
        <v>2014</v>
      </c>
      <c r="D2892" t="n">
        <v>2014</v>
      </c>
      <c r="E2892" t="inlineStr">
        <is>
          <t>The Expendables 3</t>
        </is>
      </c>
      <c r="F2892" t="inlineStr">
        <is>
          <t>F0097</t>
        </is>
      </c>
    </row>
    <row r="2893">
      <c r="A2893" t="inlineStr">
        <is>
          <t>Victor Ortiz</t>
        </is>
      </c>
      <c r="B2893" t="n">
        <v>2</v>
      </c>
      <c r="C2893" t="n">
        <v>2014</v>
      </c>
      <c r="D2893" t="n">
        <v>2015</v>
      </c>
      <c r="E2893" t="inlineStr">
        <is>
          <t>The Expendables 3, Southpaw</t>
        </is>
      </c>
      <c r="F2893" t="inlineStr">
        <is>
          <t>F0097, F0286</t>
        </is>
      </c>
    </row>
    <row r="2894">
      <c r="A2894" t="inlineStr">
        <is>
          <t>Ronda Rousey</t>
        </is>
      </c>
      <c r="B2894" t="n">
        <v>2</v>
      </c>
      <c r="C2894" t="n">
        <v>2014</v>
      </c>
      <c r="D2894" t="n">
        <v>2015</v>
      </c>
      <c r="E2894" t="inlineStr">
        <is>
          <t>The Expendables 3, Furious 7</t>
        </is>
      </c>
      <c r="F2894" t="inlineStr">
        <is>
          <t>F0097, F0107</t>
        </is>
      </c>
    </row>
    <row r="2895">
      <c r="A2895" t="inlineStr">
        <is>
          <t>Ivan Kostadinov</t>
        </is>
      </c>
      <c r="B2895" t="n">
        <v>1</v>
      </c>
      <c r="C2895" t="n">
        <v>2014</v>
      </c>
      <c r="D2895" t="n">
        <v>2014</v>
      </c>
      <c r="E2895" t="inlineStr">
        <is>
          <t>The Expendables 3</t>
        </is>
      </c>
      <c r="F2895" t="inlineStr">
        <is>
          <t>F0097</t>
        </is>
      </c>
    </row>
    <row r="2896">
      <c r="A2896" t="inlineStr">
        <is>
          <t>Robert Davi</t>
        </is>
      </c>
      <c r="B2896" t="n">
        <v>1</v>
      </c>
      <c r="C2896" t="n">
        <v>2014</v>
      </c>
      <c r="D2896" t="n">
        <v>2014</v>
      </c>
      <c r="E2896" t="inlineStr">
        <is>
          <t>The Expendables 3</t>
        </is>
      </c>
      <c r="F2896" t="inlineStr">
        <is>
          <t>F0097</t>
        </is>
      </c>
    </row>
    <row r="2897">
      <c r="A2897" t="inlineStr">
        <is>
          <t>Nikolay Stoyanov Ilchev</t>
        </is>
      </c>
      <c r="B2897" t="n">
        <v>1</v>
      </c>
      <c r="C2897" t="n">
        <v>2014</v>
      </c>
      <c r="D2897" t="n">
        <v>2014</v>
      </c>
      <c r="E2897" t="inlineStr">
        <is>
          <t>The Expendables 3</t>
        </is>
      </c>
      <c r="F2897" t="inlineStr">
        <is>
          <t>F0097</t>
        </is>
      </c>
    </row>
    <row r="2898">
      <c r="A2898" t="inlineStr">
        <is>
          <t>Daniel Angelov</t>
        </is>
      </c>
      <c r="B2898" t="n">
        <v>1</v>
      </c>
      <c r="C2898" t="n">
        <v>2014</v>
      </c>
      <c r="D2898" t="n">
        <v>2014</v>
      </c>
      <c r="E2898" t="inlineStr">
        <is>
          <t>The Expendables 3</t>
        </is>
      </c>
      <c r="F2898" t="inlineStr">
        <is>
          <t>F0097</t>
        </is>
      </c>
    </row>
    <row r="2899">
      <c r="A2899" t="inlineStr">
        <is>
          <t>Slavi Slavov</t>
        </is>
      </c>
      <c r="B2899" t="n">
        <v>1</v>
      </c>
      <c r="C2899" t="n">
        <v>2014</v>
      </c>
      <c r="D2899" t="n">
        <v>2014</v>
      </c>
      <c r="E2899" t="inlineStr">
        <is>
          <t>The Expendables 3</t>
        </is>
      </c>
      <c r="F2899" t="inlineStr">
        <is>
          <t>F0097</t>
        </is>
      </c>
    </row>
    <row r="2900">
      <c r="A2900" t="inlineStr">
        <is>
          <t>Dimiter Doichinov</t>
        </is>
      </c>
      <c r="B2900" t="n">
        <v>2</v>
      </c>
      <c r="C2900" t="n">
        <v>2014</v>
      </c>
      <c r="D2900" t="n">
        <v>2014</v>
      </c>
      <c r="E2900" t="inlineStr">
        <is>
          <t>The Expendables 3, The Legend of Hercules</t>
        </is>
      </c>
      <c r="F2900" t="inlineStr">
        <is>
          <t>F0097, F0148</t>
        </is>
      </c>
    </row>
    <row r="2901">
      <c r="A2901" t="inlineStr">
        <is>
          <t>Nikolay Stanoev</t>
        </is>
      </c>
      <c r="B2901" t="n">
        <v>2</v>
      </c>
      <c r="C2901" t="n">
        <v>2014</v>
      </c>
      <c r="D2901" t="n">
        <v>2017</v>
      </c>
      <c r="E2901" t="inlineStr">
        <is>
          <t>The Expendables 3, The Hitman's Bodyguard</t>
        </is>
      </c>
      <c r="F2901" t="inlineStr">
        <is>
          <t>F0097, F0149</t>
        </is>
      </c>
    </row>
    <row r="2902">
      <c r="A2902" t="inlineStr">
        <is>
          <t>Harry Anichkin</t>
        </is>
      </c>
      <c r="B2902" t="n">
        <v>1</v>
      </c>
      <c r="C2902" t="n">
        <v>2014</v>
      </c>
      <c r="D2902" t="n">
        <v>2014</v>
      </c>
      <c r="E2902" t="inlineStr">
        <is>
          <t>The Expendables 3</t>
        </is>
      </c>
      <c r="F2902" t="inlineStr">
        <is>
          <t>F0097</t>
        </is>
      </c>
    </row>
    <row r="2903">
      <c r="A2903" t="inlineStr">
        <is>
          <t>Boswell Maloka</t>
        </is>
      </c>
      <c r="B2903" t="n">
        <v>1</v>
      </c>
      <c r="C2903" t="n">
        <v>2014</v>
      </c>
      <c r="D2903" t="n">
        <v>2014</v>
      </c>
      <c r="E2903" t="inlineStr">
        <is>
          <t>The Expendables 3</t>
        </is>
      </c>
      <c r="F2903" t="inlineStr">
        <is>
          <t>F0097</t>
        </is>
      </c>
    </row>
    <row r="2904">
      <c r="A2904" t="inlineStr">
        <is>
          <t>Natalie Burn</t>
        </is>
      </c>
      <c r="B2904" t="n">
        <v>1</v>
      </c>
      <c r="C2904" t="n">
        <v>2014</v>
      </c>
      <c r="D2904" t="n">
        <v>2014</v>
      </c>
      <c r="E2904" t="inlineStr">
        <is>
          <t>The Expendables 3</t>
        </is>
      </c>
      <c r="F2904" t="inlineStr">
        <is>
          <t>F0097</t>
        </is>
      </c>
    </row>
    <row r="2905">
      <c r="A2905" t="inlineStr">
        <is>
          <t>Velizar Binev</t>
        </is>
      </c>
      <c r="B2905" t="n">
        <v>1</v>
      </c>
      <c r="C2905" t="n">
        <v>2014</v>
      </c>
      <c r="D2905" t="n">
        <v>2014</v>
      </c>
      <c r="E2905" t="inlineStr">
        <is>
          <t>The Expendables 3</t>
        </is>
      </c>
      <c r="F2905" t="inlineStr">
        <is>
          <t>F0097</t>
        </is>
      </c>
    </row>
    <row r="2906">
      <c r="A2906" t="inlineStr">
        <is>
          <t>Sarai Givaty</t>
        </is>
      </c>
      <c r="B2906" t="n">
        <v>2</v>
      </c>
      <c r="C2906" t="n">
        <v>2014</v>
      </c>
      <c r="D2906" t="n">
        <v>2014</v>
      </c>
      <c r="E2906" t="inlineStr">
        <is>
          <t>The Expendables 3, The Legend of Hercules</t>
        </is>
      </c>
      <c r="F2906" t="inlineStr">
        <is>
          <t>F0097, F0148</t>
        </is>
      </c>
    </row>
    <row r="2907">
      <c r="A2907" t="inlineStr">
        <is>
          <t>Frank Pesce</t>
        </is>
      </c>
      <c r="B2907" t="n">
        <v>1</v>
      </c>
      <c r="C2907" t="n">
        <v>2014</v>
      </c>
      <c r="D2907" t="n">
        <v>2014</v>
      </c>
      <c r="E2907" t="inlineStr">
        <is>
          <t>The Expendables 3</t>
        </is>
      </c>
      <c r="F2907" t="inlineStr">
        <is>
          <t>F0097</t>
        </is>
      </c>
    </row>
    <row r="2908">
      <c r="A2908" t="inlineStr">
        <is>
          <t>Kim Bodnia</t>
        </is>
      </c>
      <c r="B2908" t="n">
        <v>1</v>
      </c>
      <c r="C2908" t="n">
        <v>2025</v>
      </c>
      <c r="D2908" t="n">
        <v>2025</v>
      </c>
      <c r="E2908" t="inlineStr">
        <is>
          <t>F1</t>
        </is>
      </c>
      <c r="F2908" t="inlineStr">
        <is>
          <t>F0098</t>
        </is>
      </c>
    </row>
    <row r="2909">
      <c r="A2909" t="inlineStr">
        <is>
          <t>Sarah Niles</t>
        </is>
      </c>
      <c r="B2909" t="n">
        <v>1</v>
      </c>
      <c r="C2909" t="n">
        <v>2025</v>
      </c>
      <c r="D2909" t="n">
        <v>2025</v>
      </c>
      <c r="E2909" t="inlineStr">
        <is>
          <t>F1</t>
        </is>
      </c>
      <c r="F2909" t="inlineStr">
        <is>
          <t>F0098</t>
        </is>
      </c>
    </row>
    <row r="2910">
      <c r="A2910" t="inlineStr">
        <is>
          <t>Abdul Salis</t>
        </is>
      </c>
      <c r="B2910" t="n">
        <v>1</v>
      </c>
      <c r="C2910" t="n">
        <v>2025</v>
      </c>
      <c r="D2910" t="n">
        <v>2025</v>
      </c>
      <c r="E2910" t="inlineStr">
        <is>
          <t>F1</t>
        </is>
      </c>
      <c r="F2910" t="inlineStr">
        <is>
          <t>F0098</t>
        </is>
      </c>
    </row>
    <row r="2911">
      <c r="A2911" t="inlineStr">
        <is>
          <t>Callie Cooke</t>
        </is>
      </c>
      <c r="B2911" t="n">
        <v>1</v>
      </c>
      <c r="C2911" t="n">
        <v>2025</v>
      </c>
      <c r="D2911" t="n">
        <v>2025</v>
      </c>
      <c r="E2911" t="inlineStr">
        <is>
          <t>F1</t>
        </is>
      </c>
      <c r="F2911" t="inlineStr">
        <is>
          <t>F0098</t>
        </is>
      </c>
    </row>
    <row r="2912">
      <c r="A2912" t="inlineStr">
        <is>
          <t>Samson Kayo</t>
        </is>
      </c>
      <c r="B2912" t="n">
        <v>1</v>
      </c>
      <c r="C2912" t="n">
        <v>2025</v>
      </c>
      <c r="D2912" t="n">
        <v>2025</v>
      </c>
      <c r="E2912" t="inlineStr">
        <is>
          <t>F1</t>
        </is>
      </c>
      <c r="F2912" t="inlineStr">
        <is>
          <t>F0098</t>
        </is>
      </c>
    </row>
    <row r="2913">
      <c r="A2913" t="inlineStr">
        <is>
          <t>Liz Kingsman</t>
        </is>
      </c>
      <c r="B2913" t="n">
        <v>1</v>
      </c>
      <c r="C2913" t="n">
        <v>2025</v>
      </c>
      <c r="D2913" t="n">
        <v>2025</v>
      </c>
      <c r="E2913" t="inlineStr">
        <is>
          <t>F1</t>
        </is>
      </c>
      <c r="F2913" t="inlineStr">
        <is>
          <t>F0098</t>
        </is>
      </c>
    </row>
    <row r="2914">
      <c r="A2914" t="inlineStr">
        <is>
          <t>Simone Ashley</t>
        </is>
      </c>
      <c r="B2914" t="n">
        <v>1</v>
      </c>
      <c r="C2914" t="n">
        <v>2025</v>
      </c>
      <c r="D2914" t="n">
        <v>2025</v>
      </c>
      <c r="E2914" t="inlineStr">
        <is>
          <t>F1</t>
        </is>
      </c>
      <c r="F2914" t="inlineStr">
        <is>
          <t>F0098</t>
        </is>
      </c>
    </row>
    <row r="2915">
      <c r="A2915" t="inlineStr">
        <is>
          <t>Ramona Von Pusch</t>
        </is>
      </c>
      <c r="B2915" t="n">
        <v>1</v>
      </c>
      <c r="C2915" t="n">
        <v>2025</v>
      </c>
      <c r="D2915" t="n">
        <v>2025</v>
      </c>
      <c r="E2915" t="inlineStr">
        <is>
          <t>F1</t>
        </is>
      </c>
      <c r="F2915" t="inlineStr">
        <is>
          <t>F0098</t>
        </is>
      </c>
    </row>
    <row r="2916">
      <c r="A2916" t="inlineStr">
        <is>
          <t>Barney Smith</t>
        </is>
      </c>
      <c r="B2916" t="n">
        <v>1</v>
      </c>
      <c r="C2916" t="n">
        <v>2025</v>
      </c>
      <c r="D2916" t="n">
        <v>2025</v>
      </c>
      <c r="E2916" t="inlineStr">
        <is>
          <t>F1</t>
        </is>
      </c>
      <c r="F2916" t="inlineStr">
        <is>
          <t>F0098</t>
        </is>
      </c>
    </row>
    <row r="2917">
      <c r="A2917" t="inlineStr">
        <is>
          <t>Poppy Smith</t>
        </is>
      </c>
      <c r="B2917" t="n">
        <v>1</v>
      </c>
      <c r="C2917" t="n">
        <v>2025</v>
      </c>
      <c r="D2917" t="n">
        <v>2025</v>
      </c>
      <c r="E2917" t="inlineStr">
        <is>
          <t>F1</t>
        </is>
      </c>
      <c r="F2917" t="inlineStr">
        <is>
          <t>F0098</t>
        </is>
      </c>
    </row>
    <row r="2918">
      <c r="A2918" t="inlineStr">
        <is>
          <t>Luciano Bacheta</t>
        </is>
      </c>
      <c r="B2918" t="n">
        <v>1</v>
      </c>
      <c r="C2918" t="n">
        <v>2025</v>
      </c>
      <c r="D2918" t="n">
        <v>2025</v>
      </c>
      <c r="E2918" t="inlineStr">
        <is>
          <t>F1</t>
        </is>
      </c>
      <c r="F2918" t="inlineStr">
        <is>
          <t>F0098</t>
        </is>
      </c>
    </row>
    <row r="2919">
      <c r="A2919" t="inlineStr">
        <is>
          <t>Rosie Dwyer</t>
        </is>
      </c>
      <c r="B2919" t="n">
        <v>1</v>
      </c>
      <c r="C2919" t="n">
        <v>2025</v>
      </c>
      <c r="D2919" t="n">
        <v>2025</v>
      </c>
      <c r="E2919" t="inlineStr">
        <is>
          <t>F1</t>
        </is>
      </c>
      <c r="F2919" t="inlineStr">
        <is>
          <t>F0098</t>
        </is>
      </c>
    </row>
    <row r="2920">
      <c r="A2920" t="inlineStr">
        <is>
          <t>Martin Brundle</t>
        </is>
      </c>
      <c r="B2920" t="n">
        <v>1</v>
      </c>
      <c r="C2920" t="n">
        <v>2025</v>
      </c>
      <c r="D2920" t="n">
        <v>2025</v>
      </c>
      <c r="E2920" t="inlineStr">
        <is>
          <t>F1</t>
        </is>
      </c>
      <c r="F2920" t="inlineStr">
        <is>
          <t>F0098</t>
        </is>
      </c>
    </row>
    <row r="2921">
      <c r="A2921" t="inlineStr">
        <is>
          <t>David Croft</t>
        </is>
      </c>
      <c r="B2921" t="n">
        <v>1</v>
      </c>
      <c r="C2921" t="n">
        <v>2025</v>
      </c>
      <c r="D2921" t="n">
        <v>2025</v>
      </c>
      <c r="E2921" t="inlineStr">
        <is>
          <t>F1</t>
        </is>
      </c>
      <c r="F2921" t="inlineStr">
        <is>
          <t>F0098</t>
        </is>
      </c>
    </row>
    <row r="2922">
      <c r="A2922" t="inlineStr">
        <is>
          <t>Leigh Diffey</t>
        </is>
      </c>
      <c r="B2922" t="n">
        <v>1</v>
      </c>
      <c r="C2922" t="n">
        <v>2025</v>
      </c>
      <c r="D2922" t="n">
        <v>2025</v>
      </c>
      <c r="E2922" t="inlineStr">
        <is>
          <t>F1</t>
        </is>
      </c>
      <c r="F2922" t="inlineStr">
        <is>
          <t>F0098</t>
        </is>
      </c>
    </row>
    <row r="2923">
      <c r="A2923" t="inlineStr">
        <is>
          <t>Patrick Long</t>
        </is>
      </c>
      <c r="B2923" t="n">
        <v>1</v>
      </c>
      <c r="C2923" t="n">
        <v>2025</v>
      </c>
      <c r="D2923" t="n">
        <v>2025</v>
      </c>
      <c r="E2923" t="inlineStr">
        <is>
          <t>F1</t>
        </is>
      </c>
      <c r="F2923" t="inlineStr">
        <is>
          <t>F0098</t>
        </is>
      </c>
    </row>
    <row r="2924">
      <c r="A2924" t="inlineStr">
        <is>
          <t>Will Redmond</t>
        </is>
      </c>
      <c r="B2924" t="n">
        <v>1</v>
      </c>
      <c r="C2924" t="n">
        <v>2025</v>
      </c>
      <c r="D2924" t="n">
        <v>2025</v>
      </c>
      <c r="E2924" t="inlineStr">
        <is>
          <t>F1</t>
        </is>
      </c>
      <c r="F2924" t="inlineStr">
        <is>
          <t>F0098</t>
        </is>
      </c>
    </row>
    <row r="2925">
      <c r="A2925" t="inlineStr">
        <is>
          <t>Michael Aaron Milligan</t>
        </is>
      </c>
      <c r="B2925" t="n">
        <v>1</v>
      </c>
      <c r="C2925" t="n">
        <v>2025</v>
      </c>
      <c r="D2925" t="n">
        <v>2025</v>
      </c>
      <c r="E2925" t="inlineStr">
        <is>
          <t>F1</t>
        </is>
      </c>
      <c r="F2925" t="inlineStr">
        <is>
          <t>F0098</t>
        </is>
      </c>
    </row>
    <row r="2926">
      <c r="A2926" t="inlineStr">
        <is>
          <t>Kyle Rankin</t>
        </is>
      </c>
      <c r="B2926" t="n">
        <v>1</v>
      </c>
      <c r="C2926" t="n">
        <v>2025</v>
      </c>
      <c r="D2926" t="n">
        <v>2025</v>
      </c>
      <c r="E2926" t="inlineStr">
        <is>
          <t>F1</t>
        </is>
      </c>
      <c r="F2926" t="inlineStr">
        <is>
          <t>F0098</t>
        </is>
      </c>
    </row>
    <row r="2927">
      <c r="A2927" t="inlineStr">
        <is>
          <t>Rachel Walters</t>
        </is>
      </c>
      <c r="B2927" t="n">
        <v>1</v>
      </c>
      <c r="C2927" t="n">
        <v>2025</v>
      </c>
      <c r="D2927" t="n">
        <v>2025</v>
      </c>
      <c r="E2927" t="inlineStr">
        <is>
          <t>F1</t>
        </is>
      </c>
      <c r="F2927" t="inlineStr">
        <is>
          <t>F0098</t>
        </is>
      </c>
    </row>
    <row r="2928">
      <c r="A2928" t="inlineStr">
        <is>
          <t>Steven Sean Garland</t>
        </is>
      </c>
      <c r="B2928" t="n">
        <v>1</v>
      </c>
      <c r="C2928" t="n">
        <v>2025</v>
      </c>
      <c r="D2928" t="n">
        <v>2025</v>
      </c>
      <c r="E2928" t="inlineStr">
        <is>
          <t>F1</t>
        </is>
      </c>
      <c r="F2928" t="inlineStr">
        <is>
          <t>F0098</t>
        </is>
      </c>
    </row>
    <row r="2929">
      <c r="A2929" t="inlineStr">
        <is>
          <t>Stephanie Hsu</t>
        </is>
      </c>
      <c r="B2929" t="n">
        <v>1</v>
      </c>
      <c r="C2929" t="n">
        <v>2024</v>
      </c>
      <c r="D2929" t="n">
        <v>2024</v>
      </c>
      <c r="E2929" t="inlineStr">
        <is>
          <t>The Fall Guy</t>
        </is>
      </c>
      <c r="F2929" t="inlineStr">
        <is>
          <t>F0099</t>
        </is>
      </c>
    </row>
    <row r="2930">
      <c r="A2930" t="inlineStr">
        <is>
          <t>Winston Duke</t>
        </is>
      </c>
      <c r="B2930" t="n">
        <v>1</v>
      </c>
      <c r="C2930" t="n">
        <v>2024</v>
      </c>
      <c r="D2930" t="n">
        <v>2024</v>
      </c>
      <c r="E2930" t="inlineStr">
        <is>
          <t>The Fall Guy</t>
        </is>
      </c>
      <c r="F2930" t="inlineStr">
        <is>
          <t>F0099</t>
        </is>
      </c>
    </row>
    <row r="2931">
      <c r="A2931" t="inlineStr">
        <is>
          <t>Ben Knight</t>
        </is>
      </c>
      <c r="B2931" t="n">
        <v>1</v>
      </c>
      <c r="C2931" t="n">
        <v>2024</v>
      </c>
      <c r="D2931" t="n">
        <v>2024</v>
      </c>
      <c r="E2931" t="inlineStr">
        <is>
          <t>The Fall Guy</t>
        </is>
      </c>
      <c r="F2931" t="inlineStr">
        <is>
          <t>F0099</t>
        </is>
      </c>
    </row>
    <row r="2932">
      <c r="A2932" t="inlineStr">
        <is>
          <t>Matuse</t>
        </is>
      </c>
      <c r="B2932" t="n">
        <v>1</v>
      </c>
      <c r="C2932" t="n">
        <v>2024</v>
      </c>
      <c r="D2932" t="n">
        <v>2024</v>
      </c>
      <c r="E2932" t="inlineStr">
        <is>
          <t>The Fall Guy</t>
        </is>
      </c>
      <c r="F2932" t="inlineStr">
        <is>
          <t>F0099</t>
        </is>
      </c>
    </row>
    <row r="2933">
      <c r="A2933" t="inlineStr">
        <is>
          <t>Adam Dunn</t>
        </is>
      </c>
      <c r="B2933" t="n">
        <v>1</v>
      </c>
      <c r="C2933" t="n">
        <v>2024</v>
      </c>
      <c r="D2933" t="n">
        <v>2024</v>
      </c>
      <c r="E2933" t="inlineStr">
        <is>
          <t>The Fall Guy</t>
        </is>
      </c>
      <c r="F2933" t="inlineStr">
        <is>
          <t>F0099</t>
        </is>
      </c>
    </row>
    <row r="2934">
      <c r="A2934" t="inlineStr">
        <is>
          <t>Zara Michales</t>
        </is>
      </c>
      <c r="B2934" t="n">
        <v>1</v>
      </c>
      <c r="C2934" t="n">
        <v>2024</v>
      </c>
      <c r="D2934" t="n">
        <v>2024</v>
      </c>
      <c r="E2934" t="inlineStr">
        <is>
          <t>The Fall Guy</t>
        </is>
      </c>
      <c r="F2934" t="inlineStr">
        <is>
          <t>F0099</t>
        </is>
      </c>
    </row>
    <row r="2935">
      <c r="A2935" t="inlineStr">
        <is>
          <t>Ioane Sa'ula</t>
        </is>
      </c>
      <c r="B2935" t="n">
        <v>1</v>
      </c>
      <c r="C2935" t="n">
        <v>2024</v>
      </c>
      <c r="D2935" t="n">
        <v>2024</v>
      </c>
      <c r="E2935" t="inlineStr">
        <is>
          <t>The Fall Guy</t>
        </is>
      </c>
      <c r="F2935" t="inlineStr">
        <is>
          <t>F0099</t>
        </is>
      </c>
    </row>
    <row r="2936">
      <c r="A2936" t="inlineStr">
        <is>
          <t>Gregory J. Fryer</t>
        </is>
      </c>
      <c r="B2936" t="n">
        <v>1</v>
      </c>
      <c r="C2936" t="n">
        <v>2024</v>
      </c>
      <c r="D2936" t="n">
        <v>2024</v>
      </c>
      <c r="E2936" t="inlineStr">
        <is>
          <t>The Fall Guy</t>
        </is>
      </c>
      <c r="F2936" t="inlineStr">
        <is>
          <t>F0099</t>
        </is>
      </c>
    </row>
    <row r="2937">
      <c r="A2937" t="inlineStr">
        <is>
          <t>Madeleine Wilson</t>
        </is>
      </c>
      <c r="B2937" t="n">
        <v>1</v>
      </c>
      <c r="C2937" t="n">
        <v>2024</v>
      </c>
      <c r="D2937" t="n">
        <v>2024</v>
      </c>
      <c r="E2937" t="inlineStr">
        <is>
          <t>The Fall Guy</t>
        </is>
      </c>
      <c r="F2937" t="inlineStr">
        <is>
          <t>F0099</t>
        </is>
      </c>
    </row>
    <row r="2938">
      <c r="A2938" t="inlineStr">
        <is>
          <t>Kalkidan China</t>
        </is>
      </c>
      <c r="B2938" t="n">
        <v>1</v>
      </c>
      <c r="C2938" t="n">
        <v>2024</v>
      </c>
      <c r="D2938" t="n">
        <v>2024</v>
      </c>
      <c r="E2938" t="inlineStr">
        <is>
          <t>The Fall Guy</t>
        </is>
      </c>
      <c r="F2938" t="inlineStr">
        <is>
          <t>F0099</t>
        </is>
      </c>
    </row>
    <row r="2939">
      <c r="A2939" t="inlineStr">
        <is>
          <t>Angela Nica Sullen</t>
        </is>
      </c>
      <c r="B2939" t="n">
        <v>1</v>
      </c>
      <c r="C2939" t="n">
        <v>2024</v>
      </c>
      <c r="D2939" t="n">
        <v>2024</v>
      </c>
      <c r="E2939" t="inlineStr">
        <is>
          <t>The Fall Guy</t>
        </is>
      </c>
      <c r="F2939" t="inlineStr">
        <is>
          <t>F0099</t>
        </is>
      </c>
    </row>
    <row r="2940">
      <c r="A2940" t="inlineStr">
        <is>
          <t>Di Smith</t>
        </is>
      </c>
      <c r="B2940" t="n">
        <v>1</v>
      </c>
      <c r="C2940" t="n">
        <v>2024</v>
      </c>
      <c r="D2940" t="n">
        <v>2024</v>
      </c>
      <c r="E2940" t="inlineStr">
        <is>
          <t>The Fall Guy</t>
        </is>
      </c>
      <c r="F2940" t="inlineStr">
        <is>
          <t>F0099</t>
        </is>
      </c>
    </row>
    <row r="2941">
      <c r="A2941" t="inlineStr">
        <is>
          <t>Megan O'Connell</t>
        </is>
      </c>
      <c r="B2941" t="n">
        <v>1</v>
      </c>
      <c r="C2941" t="n">
        <v>2024</v>
      </c>
      <c r="D2941" t="n">
        <v>2024</v>
      </c>
      <c r="E2941" t="inlineStr">
        <is>
          <t>The Fall Guy</t>
        </is>
      </c>
      <c r="F2941" t="inlineStr">
        <is>
          <t>F0099</t>
        </is>
      </c>
    </row>
    <row r="2942">
      <c r="A2942" t="inlineStr">
        <is>
          <t>Jack Doherty</t>
        </is>
      </c>
      <c r="B2942" t="n">
        <v>1</v>
      </c>
      <c r="C2942" t="n">
        <v>2024</v>
      </c>
      <c r="D2942" t="n">
        <v>2024</v>
      </c>
      <c r="E2942" t="inlineStr">
        <is>
          <t>The Fall Guy</t>
        </is>
      </c>
      <c r="F2942" t="inlineStr">
        <is>
          <t>F0099</t>
        </is>
      </c>
    </row>
    <row r="2943">
      <c r="A2943" t="inlineStr">
        <is>
          <t>Tony Lynch</t>
        </is>
      </c>
      <c r="B2943" t="n">
        <v>1</v>
      </c>
      <c r="C2943" t="n">
        <v>2024</v>
      </c>
      <c r="D2943" t="n">
        <v>2024</v>
      </c>
      <c r="E2943" t="inlineStr">
        <is>
          <t>The Fall Guy</t>
        </is>
      </c>
      <c r="F2943" t="inlineStr">
        <is>
          <t>F0099</t>
        </is>
      </c>
    </row>
    <row r="2944">
      <c r="A2944" t="inlineStr">
        <is>
          <t>Georgia Nottage</t>
        </is>
      </c>
      <c r="B2944" t="n">
        <v>1</v>
      </c>
      <c r="C2944" t="n">
        <v>2024</v>
      </c>
      <c r="D2944" t="n">
        <v>2024</v>
      </c>
      <c r="E2944" t="inlineStr">
        <is>
          <t>The Fall Guy</t>
        </is>
      </c>
      <c r="F2944" t="inlineStr">
        <is>
          <t>F0099</t>
        </is>
      </c>
    </row>
    <row r="2945">
      <c r="A2945" t="inlineStr">
        <is>
          <t>David Collins</t>
        </is>
      </c>
      <c r="B2945" t="n">
        <v>1</v>
      </c>
      <c r="C2945" t="n">
        <v>2024</v>
      </c>
      <c r="D2945" t="n">
        <v>2024</v>
      </c>
      <c r="E2945" t="inlineStr">
        <is>
          <t>The Fall Guy</t>
        </is>
      </c>
      <c r="F2945" t="inlineStr">
        <is>
          <t>F0099</t>
        </is>
      </c>
    </row>
    <row r="2946">
      <c r="A2946" t="inlineStr">
        <is>
          <t>Semu Filipo</t>
        </is>
      </c>
      <c r="B2946" t="n">
        <v>1</v>
      </c>
      <c r="C2946" t="n">
        <v>2024</v>
      </c>
      <c r="D2946" t="n">
        <v>2024</v>
      </c>
      <c r="E2946" t="inlineStr">
        <is>
          <t>The Fall Guy</t>
        </is>
      </c>
      <c r="F2946" t="inlineStr">
        <is>
          <t>F0099</t>
        </is>
      </c>
    </row>
    <row r="2947">
      <c r="A2947" t="inlineStr">
        <is>
          <t>Andrew Owen</t>
        </is>
      </c>
      <c r="B2947" t="n">
        <v>1</v>
      </c>
      <c r="C2947" t="n">
        <v>2024</v>
      </c>
      <c r="D2947" t="n">
        <v>2024</v>
      </c>
      <c r="E2947" t="inlineStr">
        <is>
          <t>The Fall Guy</t>
        </is>
      </c>
      <c r="F2947" t="inlineStr">
        <is>
          <t>F0099</t>
        </is>
      </c>
    </row>
    <row r="2948">
      <c r="A2948" t="inlineStr">
        <is>
          <t>Dan Reardon</t>
        </is>
      </c>
      <c r="B2948" t="n">
        <v>1</v>
      </c>
      <c r="C2948" t="n">
        <v>2024</v>
      </c>
      <c r="D2948" t="n">
        <v>2024</v>
      </c>
      <c r="E2948" t="inlineStr">
        <is>
          <t>The Fall Guy</t>
        </is>
      </c>
      <c r="F2948" t="inlineStr">
        <is>
          <t>F0099</t>
        </is>
      </c>
    </row>
    <row r="2949">
      <c r="A2949" t="inlineStr">
        <is>
          <t>Marky Lee Campbell</t>
        </is>
      </c>
      <c r="B2949" t="n">
        <v>1</v>
      </c>
      <c r="C2949" t="n">
        <v>2024</v>
      </c>
      <c r="D2949" t="n">
        <v>2024</v>
      </c>
      <c r="E2949" t="inlineStr">
        <is>
          <t>The Fall Guy</t>
        </is>
      </c>
      <c r="F2949" t="inlineStr">
        <is>
          <t>F0099</t>
        </is>
      </c>
    </row>
    <row r="2950">
      <c r="A2950" t="inlineStr">
        <is>
          <t>Chris Matheson</t>
        </is>
      </c>
      <c r="B2950" t="n">
        <v>1</v>
      </c>
      <c r="C2950" t="n">
        <v>2024</v>
      </c>
      <c r="D2950" t="n">
        <v>2024</v>
      </c>
      <c r="E2950" t="inlineStr">
        <is>
          <t>The Fall Guy</t>
        </is>
      </c>
      <c r="F2950" t="inlineStr">
        <is>
          <t>F0099</t>
        </is>
      </c>
    </row>
    <row r="2951">
      <c r="A2951" t="inlineStr">
        <is>
          <t>Nathan Langworthy</t>
        </is>
      </c>
      <c r="B2951" t="n">
        <v>1</v>
      </c>
      <c r="C2951" t="n">
        <v>2024</v>
      </c>
      <c r="D2951" t="n">
        <v>2024</v>
      </c>
      <c r="E2951" t="inlineStr">
        <is>
          <t>The Fall Guy</t>
        </is>
      </c>
      <c r="F2951" t="inlineStr">
        <is>
          <t>F0099</t>
        </is>
      </c>
    </row>
    <row r="2952">
      <c r="A2952" t="inlineStr">
        <is>
          <t>Tim Franklin</t>
        </is>
      </c>
      <c r="B2952" t="n">
        <v>1</v>
      </c>
      <c r="C2952" t="n">
        <v>2024</v>
      </c>
      <c r="D2952" t="n">
        <v>2024</v>
      </c>
      <c r="E2952" t="inlineStr">
        <is>
          <t>The Fall Guy</t>
        </is>
      </c>
      <c r="F2952" t="inlineStr">
        <is>
          <t>F0099</t>
        </is>
      </c>
    </row>
    <row r="2953">
      <c r="A2953" t="inlineStr">
        <is>
          <t>Scott Johnson</t>
        </is>
      </c>
      <c r="B2953" t="n">
        <v>1</v>
      </c>
      <c r="C2953" t="n">
        <v>2024</v>
      </c>
      <c r="D2953" t="n">
        <v>2024</v>
      </c>
      <c r="E2953" t="inlineStr">
        <is>
          <t>The Fall Guy</t>
        </is>
      </c>
      <c r="F2953" t="inlineStr">
        <is>
          <t>F0099</t>
        </is>
      </c>
    </row>
    <row r="2954">
      <c r="A2954" t="inlineStr">
        <is>
          <t>Ezra Miller</t>
        </is>
      </c>
      <c r="B2954" t="n">
        <v>1</v>
      </c>
      <c r="C2954" t="n">
        <v>2016</v>
      </c>
      <c r="D2954" t="n">
        <v>2016</v>
      </c>
      <c r="E2954" t="inlineStr">
        <is>
          <t>Fantastic Beasts and Where to Find Them</t>
        </is>
      </c>
      <c r="F2954" t="inlineStr">
        <is>
          <t>F0100</t>
        </is>
      </c>
    </row>
    <row r="2955">
      <c r="A2955" t="inlineStr">
        <is>
          <t>Samantha Morton</t>
        </is>
      </c>
      <c r="B2955" t="n">
        <v>1</v>
      </c>
      <c r="C2955" t="n">
        <v>2016</v>
      </c>
      <c r="D2955" t="n">
        <v>2016</v>
      </c>
      <c r="E2955" t="inlineStr">
        <is>
          <t>Fantastic Beasts and Where to Find Them</t>
        </is>
      </c>
      <c r="F2955" t="inlineStr">
        <is>
          <t>F0100</t>
        </is>
      </c>
    </row>
    <row r="2956">
      <c r="A2956" t="inlineStr">
        <is>
          <t>Carmen Ejogo</t>
        </is>
      </c>
      <c r="B2956" t="n">
        <v>1</v>
      </c>
      <c r="C2956" t="n">
        <v>2016</v>
      </c>
      <c r="D2956" t="n">
        <v>2016</v>
      </c>
      <c r="E2956" t="inlineStr">
        <is>
          <t>Fantastic Beasts and Where to Find Them</t>
        </is>
      </c>
      <c r="F2956" t="inlineStr">
        <is>
          <t>F0100</t>
        </is>
      </c>
    </row>
    <row r="2957">
      <c r="A2957" t="inlineStr">
        <is>
          <t>Josh Cowdery</t>
        </is>
      </c>
      <c r="B2957" t="n">
        <v>1</v>
      </c>
      <c r="C2957" t="n">
        <v>2016</v>
      </c>
      <c r="D2957" t="n">
        <v>2016</v>
      </c>
      <c r="E2957" t="inlineStr">
        <is>
          <t>Fantastic Beasts and Where to Find Them</t>
        </is>
      </c>
      <c r="F2957" t="inlineStr">
        <is>
          <t>F0100</t>
        </is>
      </c>
    </row>
    <row r="2958">
      <c r="A2958" t="inlineStr">
        <is>
          <t>Ronan Raftery</t>
        </is>
      </c>
      <c r="B2958" t="n">
        <v>1</v>
      </c>
      <c r="C2958" t="n">
        <v>2016</v>
      </c>
      <c r="D2958" t="n">
        <v>2016</v>
      </c>
      <c r="E2958" t="inlineStr">
        <is>
          <t>Fantastic Beasts and Where to Find Them</t>
        </is>
      </c>
      <c r="F2958" t="inlineStr">
        <is>
          <t>F0100</t>
        </is>
      </c>
    </row>
    <row r="2959">
      <c r="A2959" t="inlineStr">
        <is>
          <t>Faith Wood-Blagrove</t>
        </is>
      </c>
      <c r="B2959" t="n">
        <v>1</v>
      </c>
      <c r="C2959" t="n">
        <v>2016</v>
      </c>
      <c r="D2959" t="n">
        <v>2016</v>
      </c>
      <c r="E2959" t="inlineStr">
        <is>
          <t>Fantastic Beasts and Where to Find Them</t>
        </is>
      </c>
      <c r="F2959" t="inlineStr">
        <is>
          <t>F0100</t>
        </is>
      </c>
    </row>
    <row r="2960">
      <c r="A2960" t="inlineStr">
        <is>
          <t>Jenn Murray</t>
        </is>
      </c>
      <c r="B2960" t="n">
        <v>1</v>
      </c>
      <c r="C2960" t="n">
        <v>2016</v>
      </c>
      <c r="D2960" t="n">
        <v>2016</v>
      </c>
      <c r="E2960" t="inlineStr">
        <is>
          <t>Fantastic Beasts and Where to Find Them</t>
        </is>
      </c>
      <c r="F2960" t="inlineStr">
        <is>
          <t>F0100</t>
        </is>
      </c>
    </row>
    <row r="2961">
      <c r="A2961" t="inlineStr">
        <is>
          <t>Gemma Chan</t>
        </is>
      </c>
      <c r="B2961" t="n">
        <v>2</v>
      </c>
      <c r="C2961" t="n">
        <v>2016</v>
      </c>
      <c r="D2961" t="n">
        <v>2017</v>
      </c>
      <c r="E2961" t="inlineStr">
        <is>
          <t>Fantastic Beasts and Where to Find Them, Transformers: The Last Knight</t>
        </is>
      </c>
      <c r="F2961" t="inlineStr">
        <is>
          <t>F0100, F0320</t>
        </is>
      </c>
    </row>
    <row r="2962">
      <c r="A2962" t="inlineStr">
        <is>
          <t>Peter Breitmayer</t>
        </is>
      </c>
      <c r="B2962" t="n">
        <v>2</v>
      </c>
      <c r="C2962" t="n">
        <v>2009</v>
      </c>
      <c r="D2962" t="n">
        <v>2016</v>
      </c>
      <c r="E2962" t="inlineStr">
        <is>
          <t>Fantastic Beasts and Where to Find Them, G.I. Joe: The Rise of Cobra</t>
        </is>
      </c>
      <c r="F2962" t="inlineStr">
        <is>
          <t>F0100, F0118</t>
        </is>
      </c>
    </row>
    <row r="2963">
      <c r="A2963" t="inlineStr">
        <is>
          <t>Kevin Guthrie</t>
        </is>
      </c>
      <c r="B2963" t="n">
        <v>1</v>
      </c>
      <c r="C2963" t="n">
        <v>2016</v>
      </c>
      <c r="D2963" t="n">
        <v>2016</v>
      </c>
      <c r="E2963" t="inlineStr">
        <is>
          <t>Fantastic Beasts and Where to Find Them</t>
        </is>
      </c>
      <c r="F2963" t="inlineStr">
        <is>
          <t>F0100</t>
        </is>
      </c>
    </row>
    <row r="2964">
      <c r="A2964" t="inlineStr">
        <is>
          <t>Sean Cronin</t>
        </is>
      </c>
      <c r="B2964" t="n">
        <v>1</v>
      </c>
      <c r="C2964" t="n">
        <v>2016</v>
      </c>
      <c r="D2964" t="n">
        <v>2016</v>
      </c>
      <c r="E2964" t="inlineStr">
        <is>
          <t>Fantastic Beasts and Where to Find Them</t>
        </is>
      </c>
      <c r="F2964" t="inlineStr">
        <is>
          <t>F0100</t>
        </is>
      </c>
    </row>
    <row r="2965">
      <c r="A2965" t="inlineStr">
        <is>
          <t>Sam Redford</t>
        </is>
      </c>
      <c r="B2965" t="n">
        <v>3</v>
      </c>
      <c r="C2965" t="n">
        <v>2016</v>
      </c>
      <c r="D2965" t="n">
        <v>2018</v>
      </c>
      <c r="E2965" t="inlineStr">
        <is>
          <t>Fantastic Beasts and Where to Find Them, Grimsby, Jurassic World: Fallen Kingdom</t>
        </is>
      </c>
      <c r="F2965" t="inlineStr">
        <is>
          <t>F0100, F0130, F0180</t>
        </is>
      </c>
    </row>
    <row r="2966">
      <c r="A2966" t="inlineStr">
        <is>
          <t>Akin Gazi</t>
        </is>
      </c>
      <c r="B2966" t="n">
        <v>1</v>
      </c>
      <c r="C2966" t="n">
        <v>2016</v>
      </c>
      <c r="D2966" t="n">
        <v>2016</v>
      </c>
      <c r="E2966" t="inlineStr">
        <is>
          <t>Fantastic Beasts and Where to Find Them</t>
        </is>
      </c>
      <c r="F2966" t="inlineStr">
        <is>
          <t>F0100</t>
        </is>
      </c>
    </row>
    <row r="2967">
      <c r="A2967" t="inlineStr">
        <is>
          <t>Todd Boyce</t>
        </is>
      </c>
      <c r="B2967" t="n">
        <v>1</v>
      </c>
      <c r="C2967" t="n">
        <v>2016</v>
      </c>
      <c r="D2967" t="n">
        <v>2016</v>
      </c>
      <c r="E2967" t="inlineStr">
        <is>
          <t>Fantastic Beasts and Where to Find Them</t>
        </is>
      </c>
      <c r="F2967" t="inlineStr">
        <is>
          <t>F0100</t>
        </is>
      </c>
    </row>
    <row r="2968">
      <c r="A2968" t="inlineStr">
        <is>
          <t>Anne Wittman</t>
        </is>
      </c>
      <c r="B2968" t="n">
        <v>1</v>
      </c>
      <c r="C2968" t="n">
        <v>2016</v>
      </c>
      <c r="D2968" t="n">
        <v>2016</v>
      </c>
      <c r="E2968" t="inlineStr">
        <is>
          <t>Fantastic Beasts and Where to Find Them</t>
        </is>
      </c>
      <c r="F2968" t="inlineStr">
        <is>
          <t>F0100</t>
        </is>
      </c>
    </row>
    <row r="2969">
      <c r="A2969" t="inlineStr">
        <is>
          <t>Andreea Păduraru</t>
        </is>
      </c>
      <c r="B2969" t="n">
        <v>1</v>
      </c>
      <c r="C2969" t="n">
        <v>2016</v>
      </c>
      <c r="D2969" t="n">
        <v>2016</v>
      </c>
      <c r="E2969" t="inlineStr">
        <is>
          <t>Fantastic Beasts and Where to Find Them</t>
        </is>
      </c>
      <c r="F2969" t="inlineStr">
        <is>
          <t>F0100</t>
        </is>
      </c>
    </row>
    <row r="2970">
      <c r="A2970" t="inlineStr">
        <is>
          <t>Matthew Sim</t>
        </is>
      </c>
      <c r="B2970" t="n">
        <v>1</v>
      </c>
      <c r="C2970" t="n">
        <v>2016</v>
      </c>
      <c r="D2970" t="n">
        <v>2016</v>
      </c>
      <c r="E2970" t="inlineStr">
        <is>
          <t>Fantastic Beasts and Where to Find Them</t>
        </is>
      </c>
      <c r="F2970" t="inlineStr">
        <is>
          <t>F0100</t>
        </is>
      </c>
    </row>
    <row r="2971">
      <c r="A2971" t="inlineStr">
        <is>
          <t>Elizabeth Moynihan</t>
        </is>
      </c>
      <c r="B2971" t="n">
        <v>1</v>
      </c>
      <c r="C2971" t="n">
        <v>2016</v>
      </c>
      <c r="D2971" t="n">
        <v>2016</v>
      </c>
      <c r="E2971" t="inlineStr">
        <is>
          <t>Fantastic Beasts and Where to Find Them</t>
        </is>
      </c>
      <c r="F2971" t="inlineStr">
        <is>
          <t>F0100</t>
        </is>
      </c>
    </row>
    <row r="2972">
      <c r="A2972" t="inlineStr">
        <is>
          <t>Adam Lazarus</t>
        </is>
      </c>
      <c r="B2972" t="n">
        <v>1</v>
      </c>
      <c r="C2972" t="n">
        <v>2016</v>
      </c>
      <c r="D2972" t="n">
        <v>2016</v>
      </c>
      <c r="E2972" t="inlineStr">
        <is>
          <t>Fantastic Beasts and Where to Find Them</t>
        </is>
      </c>
      <c r="F2972" t="inlineStr">
        <is>
          <t>F0100</t>
        </is>
      </c>
    </row>
    <row r="2973">
      <c r="A2973" t="inlineStr">
        <is>
          <t>Lucie Pohl</t>
        </is>
      </c>
      <c r="B2973" t="n">
        <v>1</v>
      </c>
      <c r="C2973" t="n">
        <v>2016</v>
      </c>
      <c r="D2973" t="n">
        <v>2016</v>
      </c>
      <c r="E2973" t="inlineStr">
        <is>
          <t>Fantastic Beasts and Where to Find Them</t>
        </is>
      </c>
      <c r="F2973" t="inlineStr">
        <is>
          <t>F0100</t>
        </is>
      </c>
    </row>
    <row r="2974">
      <c r="A2974" t="inlineStr">
        <is>
          <t>Tim Bentinck</t>
        </is>
      </c>
      <c r="B2974" t="n">
        <v>1</v>
      </c>
      <c r="C2974" t="n">
        <v>2016</v>
      </c>
      <c r="D2974" t="n">
        <v>2016</v>
      </c>
      <c r="E2974" t="inlineStr">
        <is>
          <t>Fantastic Beasts and Where to Find Them</t>
        </is>
      </c>
      <c r="F2974" t="inlineStr">
        <is>
          <t>F0100</t>
        </is>
      </c>
    </row>
    <row r="2975">
      <c r="A2975" t="inlineStr">
        <is>
          <t>Chad Lindberg</t>
        </is>
      </c>
      <c r="B2975" t="n">
        <v>1</v>
      </c>
      <c r="C2975" t="n">
        <v>2001</v>
      </c>
      <c r="D2975" t="n">
        <v>2001</v>
      </c>
      <c r="E2975" t="inlineStr">
        <is>
          <t>The Fast and the Furious</t>
        </is>
      </c>
      <c r="F2975" t="inlineStr">
        <is>
          <t>F0101</t>
        </is>
      </c>
    </row>
    <row r="2976">
      <c r="A2976" t="inlineStr">
        <is>
          <t>Matt Schulze</t>
        </is>
      </c>
      <c r="B2976" t="n">
        <v>2</v>
      </c>
      <c r="C2976" t="n">
        <v>2001</v>
      </c>
      <c r="D2976" t="n">
        <v>2011</v>
      </c>
      <c r="E2976" t="inlineStr">
        <is>
          <t>The Fast and the Furious, Fast Five</t>
        </is>
      </c>
      <c r="F2976" t="inlineStr">
        <is>
          <t>F0101, F0105</t>
        </is>
      </c>
    </row>
    <row r="2977">
      <c r="A2977" t="inlineStr">
        <is>
          <t>Ja Rule</t>
        </is>
      </c>
      <c r="B2977" t="n">
        <v>1</v>
      </c>
      <c r="C2977" t="n">
        <v>2001</v>
      </c>
      <c r="D2977" t="n">
        <v>2001</v>
      </c>
      <c r="E2977" t="inlineStr">
        <is>
          <t>The Fast and the Furious</t>
        </is>
      </c>
      <c r="F2977" t="inlineStr">
        <is>
          <t>F0101</t>
        </is>
      </c>
    </row>
    <row r="2978">
      <c r="A2978" t="inlineStr">
        <is>
          <t>Ted Levine</t>
        </is>
      </c>
      <c r="B2978" t="n">
        <v>2</v>
      </c>
      <c r="C2978" t="n">
        <v>2001</v>
      </c>
      <c r="D2978" t="n">
        <v>2018</v>
      </c>
      <c r="E2978" t="inlineStr">
        <is>
          <t>The Fast and the Furious, Jurassic World: Fallen Kingdom</t>
        </is>
      </c>
      <c r="F2978" t="inlineStr">
        <is>
          <t>F0101, F0180</t>
        </is>
      </c>
    </row>
    <row r="2979">
      <c r="A2979" t="inlineStr">
        <is>
          <t>Thom Barry</t>
        </is>
      </c>
      <c r="B2979" t="n">
        <v>3</v>
      </c>
      <c r="C2979" t="n">
        <v>2001</v>
      </c>
      <c r="D2979" t="n">
        <v>2009</v>
      </c>
      <c r="E2979" t="inlineStr">
        <is>
          <t>The Fast and the Furious, 2 Fast 2 Furious, Fast &amp; Furious</t>
        </is>
      </c>
      <c r="F2979" t="inlineStr">
        <is>
          <t>F0101, F0102, F0104</t>
        </is>
      </c>
    </row>
    <row r="2980">
      <c r="A2980" t="inlineStr">
        <is>
          <t>Vyto Ruginis</t>
        </is>
      </c>
      <c r="B2980" t="n">
        <v>1</v>
      </c>
      <c r="C2980" t="n">
        <v>2001</v>
      </c>
      <c r="D2980" t="n">
        <v>2001</v>
      </c>
      <c r="E2980" t="inlineStr">
        <is>
          <t>The Fast and the Furious</t>
        </is>
      </c>
      <c r="F2980" t="inlineStr">
        <is>
          <t>F0101</t>
        </is>
      </c>
    </row>
    <row r="2981">
      <c r="A2981" t="inlineStr">
        <is>
          <t>Stanton Rutledge</t>
        </is>
      </c>
      <c r="B2981" t="n">
        <v>1</v>
      </c>
      <c r="C2981" t="n">
        <v>2001</v>
      </c>
      <c r="D2981" t="n">
        <v>2001</v>
      </c>
      <c r="E2981" t="inlineStr">
        <is>
          <t>The Fast and the Furious</t>
        </is>
      </c>
      <c r="F2981" t="inlineStr">
        <is>
          <t>F0101</t>
        </is>
      </c>
    </row>
    <row r="2982">
      <c r="A2982" t="inlineStr">
        <is>
          <t>R.J. de Vera</t>
        </is>
      </c>
      <c r="B2982" t="n">
        <v>1</v>
      </c>
      <c r="C2982" t="n">
        <v>2001</v>
      </c>
      <c r="D2982" t="n">
        <v>2001</v>
      </c>
      <c r="E2982" t="inlineStr">
        <is>
          <t>The Fast and the Furious</t>
        </is>
      </c>
      <c r="F2982" t="inlineStr">
        <is>
          <t>F0101</t>
        </is>
      </c>
    </row>
    <row r="2983">
      <c r="A2983" t="inlineStr">
        <is>
          <t>Beau Holden</t>
        </is>
      </c>
      <c r="B2983" t="n">
        <v>1</v>
      </c>
      <c r="C2983" t="n">
        <v>2001</v>
      </c>
      <c r="D2983" t="n">
        <v>2001</v>
      </c>
      <c r="E2983" t="inlineStr">
        <is>
          <t>The Fast and the Furious</t>
        </is>
      </c>
      <c r="F2983" t="inlineStr">
        <is>
          <t>F0101</t>
        </is>
      </c>
    </row>
    <row r="2984">
      <c r="A2984" t="inlineStr">
        <is>
          <t>David Douglas</t>
        </is>
      </c>
      <c r="B2984" t="n">
        <v>1</v>
      </c>
      <c r="C2984" t="n">
        <v>2001</v>
      </c>
      <c r="D2984" t="n">
        <v>2001</v>
      </c>
      <c r="E2984" t="inlineStr">
        <is>
          <t>The Fast and the Furious</t>
        </is>
      </c>
      <c r="F2984" t="inlineStr">
        <is>
          <t>F0101</t>
        </is>
      </c>
    </row>
    <row r="2985">
      <c r="A2985" t="inlineStr">
        <is>
          <t>Peter Navy Tuiasosopo</t>
        </is>
      </c>
      <c r="B2985" t="n">
        <v>1</v>
      </c>
      <c r="C2985" t="n">
        <v>2001</v>
      </c>
      <c r="D2985" t="n">
        <v>2001</v>
      </c>
      <c r="E2985" t="inlineStr">
        <is>
          <t>The Fast and the Furious</t>
        </is>
      </c>
      <c r="F2985" t="inlineStr">
        <is>
          <t>F0101</t>
        </is>
      </c>
    </row>
    <row r="2986">
      <c r="A2986" t="inlineStr">
        <is>
          <t>Neal H. Moritz</t>
        </is>
      </c>
      <c r="B2986" t="n">
        <v>3</v>
      </c>
      <c r="C2986" t="n">
        <v>2001</v>
      </c>
      <c r="D2986" t="n">
        <v>2009</v>
      </c>
      <c r="E2986" t="inlineStr">
        <is>
          <t>The Fast and the Furious, 2 Fast 2 Furious, Fast &amp; Furious</t>
        </is>
      </c>
      <c r="F2986" t="inlineStr">
        <is>
          <t>F0101, F0102, F0104</t>
        </is>
      </c>
    </row>
    <row r="2987">
      <c r="A2987" t="inlineStr">
        <is>
          <t>Doria Anselmo</t>
        </is>
      </c>
      <c r="B2987" t="n">
        <v>1</v>
      </c>
      <c r="C2987" t="n">
        <v>2001</v>
      </c>
      <c r="D2987" t="n">
        <v>2001</v>
      </c>
      <c r="E2987" t="inlineStr">
        <is>
          <t>The Fast and the Furious</t>
        </is>
      </c>
      <c r="F2987" t="inlineStr">
        <is>
          <t>F0101</t>
        </is>
      </c>
    </row>
    <row r="2988">
      <c r="A2988" t="inlineStr">
        <is>
          <t>Glenn K. Ota</t>
        </is>
      </c>
      <c r="B2988" t="n">
        <v>1</v>
      </c>
      <c r="C2988" t="n">
        <v>2001</v>
      </c>
      <c r="D2988" t="n">
        <v>2001</v>
      </c>
      <c r="E2988" t="inlineStr">
        <is>
          <t>The Fast and the Furious</t>
        </is>
      </c>
      <c r="F2988" t="inlineStr">
        <is>
          <t>F0101</t>
        </is>
      </c>
    </row>
    <row r="2989">
      <c r="A2989" t="inlineStr">
        <is>
          <t>F. Valentino Morales</t>
        </is>
      </c>
      <c r="B2989" t="n">
        <v>1</v>
      </c>
      <c r="C2989" t="n">
        <v>2001</v>
      </c>
      <c r="D2989" t="n">
        <v>2001</v>
      </c>
      <c r="E2989" t="inlineStr">
        <is>
          <t>The Fast and the Furious</t>
        </is>
      </c>
      <c r="F2989" t="inlineStr">
        <is>
          <t>F0101</t>
        </is>
      </c>
    </row>
    <row r="2990">
      <c r="A2990" t="inlineStr">
        <is>
          <t>Mike White</t>
        </is>
      </c>
      <c r="B2990" t="n">
        <v>1</v>
      </c>
      <c r="C2990" t="n">
        <v>2001</v>
      </c>
      <c r="D2990" t="n">
        <v>2001</v>
      </c>
      <c r="E2990" t="inlineStr">
        <is>
          <t>The Fast and the Furious</t>
        </is>
      </c>
      <c r="F2990" t="inlineStr">
        <is>
          <t>F0101</t>
        </is>
      </c>
    </row>
    <row r="2991">
      <c r="A2991" t="inlineStr">
        <is>
          <t>Delphine Pacific</t>
        </is>
      </c>
      <c r="B2991" t="n">
        <v>1</v>
      </c>
      <c r="C2991" t="n">
        <v>2001</v>
      </c>
      <c r="D2991" t="n">
        <v>2001</v>
      </c>
      <c r="E2991" t="inlineStr">
        <is>
          <t>The Fast and the Furious</t>
        </is>
      </c>
      <c r="F2991" t="inlineStr">
        <is>
          <t>F0101</t>
        </is>
      </c>
    </row>
    <row r="2992">
      <c r="A2992" t="inlineStr">
        <is>
          <t>Monica Tamayo</t>
        </is>
      </c>
      <c r="B2992" t="n">
        <v>1</v>
      </c>
      <c r="C2992" t="n">
        <v>2001</v>
      </c>
      <c r="D2992" t="n">
        <v>2001</v>
      </c>
      <c r="E2992" t="inlineStr">
        <is>
          <t>The Fast and the Furious</t>
        </is>
      </c>
      <c r="F2992" t="inlineStr">
        <is>
          <t>F0101</t>
        </is>
      </c>
    </row>
    <row r="2993">
      <c r="A2993" t="inlineStr">
        <is>
          <t>Megan Baker</t>
        </is>
      </c>
      <c r="B2993" t="n">
        <v>1</v>
      </c>
      <c r="C2993" t="n">
        <v>2001</v>
      </c>
      <c r="D2993" t="n">
        <v>2001</v>
      </c>
      <c r="E2993" t="inlineStr">
        <is>
          <t>The Fast and the Furious</t>
        </is>
      </c>
      <c r="F2993" t="inlineStr">
        <is>
          <t>F0101</t>
        </is>
      </c>
    </row>
    <row r="2994">
      <c r="A2994" t="inlineStr">
        <is>
          <t>Tammy Monica Gegamian</t>
        </is>
      </c>
      <c r="B2994" t="n">
        <v>1</v>
      </c>
      <c r="C2994" t="n">
        <v>2001</v>
      </c>
      <c r="D2994" t="n">
        <v>2001</v>
      </c>
      <c r="E2994" t="inlineStr">
        <is>
          <t>The Fast and the Furious</t>
        </is>
      </c>
      <c r="F2994" t="inlineStr">
        <is>
          <t>F0101</t>
        </is>
      </c>
    </row>
    <row r="2995">
      <c r="A2995" t="inlineStr">
        <is>
          <t>Rob Cohen</t>
        </is>
      </c>
      <c r="B2995" t="n">
        <v>1</v>
      </c>
      <c r="C2995" t="n">
        <v>2001</v>
      </c>
      <c r="D2995" t="n">
        <v>2001</v>
      </c>
      <c r="E2995" t="inlineStr">
        <is>
          <t>The Fast and the Furious</t>
        </is>
      </c>
      <c r="F2995" t="inlineStr">
        <is>
          <t>F0101</t>
        </is>
      </c>
    </row>
    <row r="2996">
      <c r="A2996" t="inlineStr">
        <is>
          <t>Devon Aoki</t>
        </is>
      </c>
      <c r="B2996" t="n">
        <v>2</v>
      </c>
      <c r="C2996" t="n">
        <v>2003</v>
      </c>
      <c r="D2996" t="n">
        <v>2009</v>
      </c>
      <c r="E2996" t="inlineStr">
        <is>
          <t>2 Fast 2 Furious, Fast &amp; Furious</t>
        </is>
      </c>
      <c r="F2996" t="inlineStr">
        <is>
          <t>F0102, F0104</t>
        </is>
      </c>
    </row>
    <row r="2997">
      <c r="A2997" t="inlineStr">
        <is>
          <t>Roberto Sanchez</t>
        </is>
      </c>
      <c r="B2997" t="n">
        <v>2</v>
      </c>
      <c r="C2997" t="n">
        <v>2003</v>
      </c>
      <c r="D2997" t="n">
        <v>2009</v>
      </c>
      <c r="E2997" t="inlineStr">
        <is>
          <t>2 Fast 2 Furious, Fast &amp; Furious</t>
        </is>
      </c>
      <c r="F2997" t="inlineStr">
        <is>
          <t>F0102, F0104</t>
        </is>
      </c>
    </row>
    <row r="2998">
      <c r="A2998" t="inlineStr">
        <is>
          <t>Mo Gallini</t>
        </is>
      </c>
      <c r="B2998" t="n">
        <v>2</v>
      </c>
      <c r="C2998" t="n">
        <v>2003</v>
      </c>
      <c r="D2998" t="n">
        <v>2009</v>
      </c>
      <c r="E2998" t="inlineStr">
        <is>
          <t>2 Fast 2 Furious, Fast &amp; Furious</t>
        </is>
      </c>
      <c r="F2998" t="inlineStr">
        <is>
          <t>F0102, F0104</t>
        </is>
      </c>
    </row>
    <row r="2999">
      <c r="A2999" t="inlineStr">
        <is>
          <t>Edward Finlay</t>
        </is>
      </c>
      <c r="B2999" t="n">
        <v>2</v>
      </c>
      <c r="C2999" t="n">
        <v>2003</v>
      </c>
      <c r="D2999" t="n">
        <v>2009</v>
      </c>
      <c r="E2999" t="inlineStr">
        <is>
          <t>2 Fast 2 Furious, Fast &amp; Furious</t>
        </is>
      </c>
      <c r="F2999" t="inlineStr">
        <is>
          <t>F0102, F0104</t>
        </is>
      </c>
    </row>
    <row r="3000">
      <c r="A3000" t="inlineStr">
        <is>
          <t>Jin Au-Yeung</t>
        </is>
      </c>
      <c r="B3000" t="n">
        <v>2</v>
      </c>
      <c r="C3000" t="n">
        <v>2003</v>
      </c>
      <c r="D3000" t="n">
        <v>2009</v>
      </c>
      <c r="E3000" t="inlineStr">
        <is>
          <t>2 Fast 2 Furious, Fast &amp; Furious</t>
        </is>
      </c>
      <c r="F3000" t="inlineStr">
        <is>
          <t>F0102, F0104</t>
        </is>
      </c>
    </row>
    <row r="3001">
      <c r="A3001" t="inlineStr">
        <is>
          <t>Amaury Nolasco</t>
        </is>
      </c>
      <c r="B3001" t="n">
        <v>3</v>
      </c>
      <c r="C3001" t="n">
        <v>2003</v>
      </c>
      <c r="D3001" t="n">
        <v>2009</v>
      </c>
      <c r="E3001" t="inlineStr">
        <is>
          <t>2 Fast 2 Furious, Fast &amp; Furious, Transformers</t>
        </is>
      </c>
      <c r="F3001" t="inlineStr">
        <is>
          <t>F0102, F0104, F0316</t>
        </is>
      </c>
    </row>
    <row r="3002">
      <c r="A3002" t="inlineStr">
        <is>
          <t>Eric Etebari</t>
        </is>
      </c>
      <c r="B3002" t="n">
        <v>2</v>
      </c>
      <c r="C3002" t="n">
        <v>2003</v>
      </c>
      <c r="D3002" t="n">
        <v>2009</v>
      </c>
      <c r="E3002" t="inlineStr">
        <is>
          <t>2 Fast 2 Furious, Fast &amp; Furious</t>
        </is>
      </c>
      <c r="F3002" t="inlineStr">
        <is>
          <t>F0102, F0104</t>
        </is>
      </c>
    </row>
    <row r="3003">
      <c r="A3003" t="inlineStr">
        <is>
          <t>Troy Brown</t>
        </is>
      </c>
      <c r="B3003" t="n">
        <v>2</v>
      </c>
      <c r="C3003" t="n">
        <v>2003</v>
      </c>
      <c r="D3003" t="n">
        <v>2009</v>
      </c>
      <c r="E3003" t="inlineStr">
        <is>
          <t>2 Fast 2 Furious, Fast &amp; Furious</t>
        </is>
      </c>
      <c r="F3003" t="inlineStr">
        <is>
          <t>F0102, F0104</t>
        </is>
      </c>
    </row>
    <row r="3004">
      <c r="A3004" t="inlineStr">
        <is>
          <t>Corey Michael Eubanks</t>
        </is>
      </c>
      <c r="B3004" t="n">
        <v>3</v>
      </c>
      <c r="C3004" t="n">
        <v>2003</v>
      </c>
      <c r="D3004" t="n">
        <v>2011</v>
      </c>
      <c r="E3004" t="inlineStr">
        <is>
          <t>2 Fast 2 Furious, Fast &amp; Furious, Fast Five</t>
        </is>
      </c>
      <c r="F3004" t="inlineStr">
        <is>
          <t>F0102, F0104, F0105</t>
        </is>
      </c>
    </row>
    <row r="3005">
      <c r="A3005" t="inlineStr">
        <is>
          <t>Sammy Maloof</t>
        </is>
      </c>
      <c r="B3005" t="n">
        <v>2</v>
      </c>
      <c r="C3005" t="n">
        <v>2003</v>
      </c>
      <c r="D3005" t="n">
        <v>2009</v>
      </c>
      <c r="E3005" t="inlineStr">
        <is>
          <t>2 Fast 2 Furious, Fast &amp; Furious</t>
        </is>
      </c>
      <c r="F3005" t="inlineStr">
        <is>
          <t>F0102, F0104</t>
        </is>
      </c>
    </row>
    <row r="3006">
      <c r="A3006" t="inlineStr">
        <is>
          <t>Troy Robinson</t>
        </is>
      </c>
      <c r="B3006" t="n">
        <v>2</v>
      </c>
      <c r="C3006" t="n">
        <v>2003</v>
      </c>
      <c r="D3006" t="n">
        <v>2009</v>
      </c>
      <c r="E3006" t="inlineStr">
        <is>
          <t>2 Fast 2 Furious, Fast &amp; Furious</t>
        </is>
      </c>
      <c r="F3006" t="inlineStr">
        <is>
          <t>F0102, F0104</t>
        </is>
      </c>
    </row>
    <row r="3007">
      <c r="A3007" t="inlineStr">
        <is>
          <t>Sincerely A. Ward</t>
        </is>
      </c>
      <c r="B3007" t="n">
        <v>2</v>
      </c>
      <c r="C3007" t="n">
        <v>2003</v>
      </c>
      <c r="D3007" t="n">
        <v>2009</v>
      </c>
      <c r="E3007" t="inlineStr">
        <is>
          <t>2 Fast 2 Furious, Fast &amp; Furious</t>
        </is>
      </c>
      <c r="F3007" t="inlineStr">
        <is>
          <t>F0102, F0104</t>
        </is>
      </c>
    </row>
    <row r="3008">
      <c r="A3008" t="inlineStr">
        <is>
          <t>Nievecita Dubuque</t>
        </is>
      </c>
      <c r="B3008" t="n">
        <v>2</v>
      </c>
      <c r="C3008" t="n">
        <v>2003</v>
      </c>
      <c r="D3008" t="n">
        <v>2009</v>
      </c>
      <c r="E3008" t="inlineStr">
        <is>
          <t>2 Fast 2 Furious, Fast &amp; Furious</t>
        </is>
      </c>
      <c r="F3008" t="inlineStr">
        <is>
          <t>F0102, F0104</t>
        </is>
      </c>
    </row>
    <row r="3009">
      <c r="A3009" t="inlineStr">
        <is>
          <t>Mateo Herreros</t>
        </is>
      </c>
      <c r="B3009" t="n">
        <v>2</v>
      </c>
      <c r="C3009" t="n">
        <v>2003</v>
      </c>
      <c r="D3009" t="n">
        <v>2009</v>
      </c>
      <c r="E3009" t="inlineStr">
        <is>
          <t>2 Fast 2 Furious, Fast &amp; Furious</t>
        </is>
      </c>
      <c r="F3009" t="inlineStr">
        <is>
          <t>F0102, F0104</t>
        </is>
      </c>
    </row>
    <row r="3010">
      <c r="A3010" t="inlineStr">
        <is>
          <t>Kerry Rossall</t>
        </is>
      </c>
      <c r="B3010" t="n">
        <v>2</v>
      </c>
      <c r="C3010" t="n">
        <v>2003</v>
      </c>
      <c r="D3010" t="n">
        <v>2009</v>
      </c>
      <c r="E3010" t="inlineStr">
        <is>
          <t>2 Fast 2 Furious, Fast &amp; Furious</t>
        </is>
      </c>
      <c r="F3010" t="inlineStr">
        <is>
          <t>F0102, F0104</t>
        </is>
      </c>
    </row>
    <row r="3011">
      <c r="A3011" t="inlineStr">
        <is>
          <t>Tony Bolano</t>
        </is>
      </c>
      <c r="B3011" t="n">
        <v>2</v>
      </c>
      <c r="C3011" t="n">
        <v>2003</v>
      </c>
      <c r="D3011" t="n">
        <v>2009</v>
      </c>
      <c r="E3011" t="inlineStr">
        <is>
          <t>2 Fast 2 Furious, Fast &amp; Furious</t>
        </is>
      </c>
      <c r="F3011" t="inlineStr">
        <is>
          <t>F0102, F0104</t>
        </is>
      </c>
    </row>
    <row r="3012">
      <c r="A3012" t="inlineStr">
        <is>
          <t>Marianne M. Arreaga</t>
        </is>
      </c>
      <c r="B3012" t="n">
        <v>2</v>
      </c>
      <c r="C3012" t="n">
        <v>2003</v>
      </c>
      <c r="D3012" t="n">
        <v>2009</v>
      </c>
      <c r="E3012" t="inlineStr">
        <is>
          <t>2 Fast 2 Furious, Fast &amp; Furious</t>
        </is>
      </c>
      <c r="F3012" t="inlineStr">
        <is>
          <t>F0102, F0104</t>
        </is>
      </c>
    </row>
    <row r="3013">
      <c r="A3013" t="inlineStr">
        <is>
          <t>Tara Carroll</t>
        </is>
      </c>
      <c r="B3013" t="n">
        <v>2</v>
      </c>
      <c r="C3013" t="n">
        <v>2003</v>
      </c>
      <c r="D3013" t="n">
        <v>2009</v>
      </c>
      <c r="E3013" t="inlineStr">
        <is>
          <t>2 Fast 2 Furious, Fast &amp; Furious</t>
        </is>
      </c>
      <c r="F3013" t="inlineStr">
        <is>
          <t>F0102, F0104</t>
        </is>
      </c>
    </row>
    <row r="3014">
      <c r="A3014" t="inlineStr">
        <is>
          <t>Leonardo Nam</t>
        </is>
      </c>
      <c r="B3014" t="n">
        <v>1</v>
      </c>
      <c r="C3014" t="n">
        <v>2006</v>
      </c>
      <c r="D3014" t="n">
        <v>2006</v>
      </c>
      <c r="E3014" t="inlineStr">
        <is>
          <t>The Fast and the Furious: Tokyo Drift</t>
        </is>
      </c>
      <c r="F3014" t="inlineStr">
        <is>
          <t>F0103</t>
        </is>
      </c>
    </row>
    <row r="3015">
      <c r="A3015" t="inlineStr">
        <is>
          <t>Brian Goodman</t>
        </is>
      </c>
      <c r="B3015" t="n">
        <v>1</v>
      </c>
      <c r="C3015" t="n">
        <v>2006</v>
      </c>
      <c r="D3015" t="n">
        <v>2006</v>
      </c>
      <c r="E3015" t="inlineStr">
        <is>
          <t>The Fast and the Furious: Tokyo Drift</t>
        </is>
      </c>
      <c r="F3015" t="inlineStr">
        <is>
          <t>F0103</t>
        </is>
      </c>
    </row>
    <row r="3016">
      <c r="A3016" t="inlineStr">
        <is>
          <t>Zachery Ty Bryan</t>
        </is>
      </c>
      <c r="B3016" t="n">
        <v>1</v>
      </c>
      <c r="C3016" t="n">
        <v>2006</v>
      </c>
      <c r="D3016" t="n">
        <v>2006</v>
      </c>
      <c r="E3016" t="inlineStr">
        <is>
          <t>The Fast and the Furious: Tokyo Drift</t>
        </is>
      </c>
      <c r="F3016" t="inlineStr">
        <is>
          <t>F0103</t>
        </is>
      </c>
    </row>
    <row r="3017">
      <c r="A3017" t="inlineStr">
        <is>
          <t>Nikki Griffin</t>
        </is>
      </c>
      <c r="B3017" t="n">
        <v>1</v>
      </c>
      <c r="C3017" t="n">
        <v>2006</v>
      </c>
      <c r="D3017" t="n">
        <v>2006</v>
      </c>
      <c r="E3017" t="inlineStr">
        <is>
          <t>The Fast and the Furious: Tokyo Drift</t>
        </is>
      </c>
      <c r="F3017" t="inlineStr">
        <is>
          <t>F0103</t>
        </is>
      </c>
    </row>
    <row r="3018">
      <c r="A3018" t="inlineStr">
        <is>
          <t>Jason Tobin</t>
        </is>
      </c>
      <c r="B3018" t="n">
        <v>1</v>
      </c>
      <c r="C3018" t="n">
        <v>2006</v>
      </c>
      <c r="D3018" t="n">
        <v>2006</v>
      </c>
      <c r="E3018" t="inlineStr">
        <is>
          <t>The Fast and the Furious: Tokyo Drift</t>
        </is>
      </c>
      <c r="F3018" t="inlineStr">
        <is>
          <t>F0103</t>
        </is>
      </c>
    </row>
    <row r="3019">
      <c r="A3019" t="inlineStr">
        <is>
          <t>Keiko Kitagawa</t>
        </is>
      </c>
      <c r="B3019" t="n">
        <v>1</v>
      </c>
      <c r="C3019" t="n">
        <v>2006</v>
      </c>
      <c r="D3019" t="n">
        <v>2006</v>
      </c>
      <c r="E3019" t="inlineStr">
        <is>
          <t>The Fast and the Furious: Tokyo Drift</t>
        </is>
      </c>
      <c r="F3019" t="inlineStr">
        <is>
          <t>F0103</t>
        </is>
      </c>
    </row>
    <row r="3020">
      <c r="A3020" t="inlineStr">
        <is>
          <t>Lynda Boyd</t>
        </is>
      </c>
      <c r="B3020" t="n">
        <v>1</v>
      </c>
      <c r="C3020" t="n">
        <v>2006</v>
      </c>
      <c r="D3020" t="n">
        <v>2006</v>
      </c>
      <c r="E3020" t="inlineStr">
        <is>
          <t>The Fast and the Furious: Tokyo Drift</t>
        </is>
      </c>
      <c r="F3020" t="inlineStr">
        <is>
          <t>F0103</t>
        </is>
      </c>
    </row>
    <row r="3021">
      <c r="A3021" t="inlineStr">
        <is>
          <t>Sonny Chiba</t>
        </is>
      </c>
      <c r="B3021" t="n">
        <v>1</v>
      </c>
      <c r="C3021" t="n">
        <v>2006</v>
      </c>
      <c r="D3021" t="n">
        <v>2006</v>
      </c>
      <c r="E3021" t="inlineStr">
        <is>
          <t>The Fast and the Furious: Tokyo Drift</t>
        </is>
      </c>
      <c r="F3021" t="inlineStr">
        <is>
          <t>F0103</t>
        </is>
      </c>
    </row>
    <row r="3022">
      <c r="A3022" t="inlineStr">
        <is>
          <t>Damien Marzette</t>
        </is>
      </c>
      <c r="B3022" t="n">
        <v>1</v>
      </c>
      <c r="C3022" t="n">
        <v>2006</v>
      </c>
      <c r="D3022" t="n">
        <v>2006</v>
      </c>
      <c r="E3022" t="inlineStr">
        <is>
          <t>The Fast and the Furious: Tokyo Drift</t>
        </is>
      </c>
      <c r="F3022" t="inlineStr">
        <is>
          <t>F0103</t>
        </is>
      </c>
    </row>
    <row r="3023">
      <c r="A3023" t="inlineStr">
        <is>
          <t>Trula M. Marcus</t>
        </is>
      </c>
      <c r="B3023" t="n">
        <v>2</v>
      </c>
      <c r="C3023" t="n">
        <v>2006</v>
      </c>
      <c r="D3023" t="n">
        <v>2008</v>
      </c>
      <c r="E3023" t="inlineStr">
        <is>
          <t>The Fast and the Furious: Tokyo Drift, Forgetting Sarah Marshall</t>
        </is>
      </c>
      <c r="F3023" t="inlineStr">
        <is>
          <t>F0103, F0115</t>
        </is>
      </c>
    </row>
    <row r="3024">
      <c r="A3024" t="inlineStr">
        <is>
          <t>Brandon Brendel</t>
        </is>
      </c>
      <c r="B3024" t="n">
        <v>1</v>
      </c>
      <c r="C3024" t="n">
        <v>2006</v>
      </c>
      <c r="D3024" t="n">
        <v>2006</v>
      </c>
      <c r="E3024" t="inlineStr">
        <is>
          <t>The Fast and the Furious: Tokyo Drift</t>
        </is>
      </c>
      <c r="F3024" t="inlineStr">
        <is>
          <t>F0103</t>
        </is>
      </c>
    </row>
    <row r="3025">
      <c r="A3025" t="inlineStr">
        <is>
          <t>Daniel Booko</t>
        </is>
      </c>
      <c r="B3025" t="n">
        <v>1</v>
      </c>
      <c r="C3025" t="n">
        <v>2006</v>
      </c>
      <c r="D3025" t="n">
        <v>2006</v>
      </c>
      <c r="E3025" t="inlineStr">
        <is>
          <t>The Fast and the Furious: Tokyo Drift</t>
        </is>
      </c>
      <c r="F3025" t="inlineStr">
        <is>
          <t>F0103</t>
        </is>
      </c>
    </row>
    <row r="3026">
      <c r="A3026" t="inlineStr">
        <is>
          <t>David V. Thomas</t>
        </is>
      </c>
      <c r="B3026" t="n">
        <v>1</v>
      </c>
      <c r="C3026" t="n">
        <v>2006</v>
      </c>
      <c r="D3026" t="n">
        <v>2006</v>
      </c>
      <c r="E3026" t="inlineStr">
        <is>
          <t>The Fast and the Furious: Tokyo Drift</t>
        </is>
      </c>
      <c r="F3026" t="inlineStr">
        <is>
          <t>F0103</t>
        </is>
      </c>
    </row>
    <row r="3027">
      <c r="A3027" t="inlineStr">
        <is>
          <t>Ashika Gogna</t>
        </is>
      </c>
      <c r="B3027" t="n">
        <v>1</v>
      </c>
      <c r="C3027" t="n">
        <v>2006</v>
      </c>
      <c r="D3027" t="n">
        <v>2006</v>
      </c>
      <c r="E3027" t="inlineStr">
        <is>
          <t>The Fast and the Furious: Tokyo Drift</t>
        </is>
      </c>
      <c r="F3027" t="inlineStr">
        <is>
          <t>F0103</t>
        </is>
      </c>
    </row>
    <row r="3028">
      <c r="A3028" t="inlineStr">
        <is>
          <t>Vincent Laresca</t>
        </is>
      </c>
      <c r="B3028" t="n">
        <v>1</v>
      </c>
      <c r="C3028" t="n">
        <v>2006</v>
      </c>
      <c r="D3028" t="n">
        <v>2006</v>
      </c>
      <c r="E3028" t="inlineStr">
        <is>
          <t>The Fast and the Furious: Tokyo Drift</t>
        </is>
      </c>
      <c r="F3028" t="inlineStr">
        <is>
          <t>F0103</t>
        </is>
      </c>
    </row>
    <row r="3029">
      <c r="A3029" t="inlineStr">
        <is>
          <t>Yoko Maki</t>
        </is>
      </c>
      <c r="B3029" t="n">
        <v>1</v>
      </c>
      <c r="C3029" t="n">
        <v>2006</v>
      </c>
      <c r="D3029" t="n">
        <v>2006</v>
      </c>
      <c r="E3029" t="inlineStr">
        <is>
          <t>The Fast and the Furious: Tokyo Drift</t>
        </is>
      </c>
      <c r="F3029" t="inlineStr">
        <is>
          <t>F0103</t>
        </is>
      </c>
    </row>
    <row r="3030">
      <c r="A3030" t="inlineStr">
        <is>
          <t>Toshi Hayama</t>
        </is>
      </c>
      <c r="B3030" t="n">
        <v>1</v>
      </c>
      <c r="C3030" t="n">
        <v>2006</v>
      </c>
      <c r="D3030" t="n">
        <v>2006</v>
      </c>
      <c r="E3030" t="inlineStr">
        <is>
          <t>The Fast and the Furious: Tokyo Drift</t>
        </is>
      </c>
      <c r="F3030" t="inlineStr">
        <is>
          <t>F0103</t>
        </is>
      </c>
    </row>
    <row r="3031">
      <c r="A3031" t="inlineStr">
        <is>
          <t>Atley Siauw</t>
        </is>
      </c>
      <c r="B3031" t="n">
        <v>1</v>
      </c>
      <c r="C3031" t="n">
        <v>2006</v>
      </c>
      <c r="D3031" t="n">
        <v>2006</v>
      </c>
      <c r="E3031" t="inlineStr">
        <is>
          <t>The Fast and the Furious: Tokyo Drift</t>
        </is>
      </c>
      <c r="F3031" t="inlineStr">
        <is>
          <t>F0103</t>
        </is>
      </c>
    </row>
    <row r="3032">
      <c r="A3032" t="inlineStr">
        <is>
          <t>Kaila Yu</t>
        </is>
      </c>
      <c r="B3032" t="n">
        <v>1</v>
      </c>
      <c r="C3032" t="n">
        <v>2006</v>
      </c>
      <c r="D3032" t="n">
        <v>2006</v>
      </c>
      <c r="E3032" t="inlineStr">
        <is>
          <t>The Fast and the Furious: Tokyo Drift</t>
        </is>
      </c>
      <c r="F3032" t="inlineStr">
        <is>
          <t>F0103</t>
        </is>
      </c>
    </row>
    <row r="3033">
      <c r="A3033" t="inlineStr">
        <is>
          <t>Aiko Tanaka</t>
        </is>
      </c>
      <c r="B3033" t="n">
        <v>1</v>
      </c>
      <c r="C3033" t="n">
        <v>2006</v>
      </c>
      <c r="D3033" t="n">
        <v>2006</v>
      </c>
      <c r="E3033" t="inlineStr">
        <is>
          <t>The Fast and the Furious: Tokyo Drift</t>
        </is>
      </c>
      <c r="F3033" t="inlineStr">
        <is>
          <t>F0103</t>
        </is>
      </c>
    </row>
    <row r="3034">
      <c r="A3034" t="inlineStr">
        <is>
          <t>Satoshi Tsumabuki</t>
        </is>
      </c>
      <c r="B3034" t="n">
        <v>1</v>
      </c>
      <c r="C3034" t="n">
        <v>2006</v>
      </c>
      <c r="D3034" t="n">
        <v>2006</v>
      </c>
      <c r="E3034" t="inlineStr">
        <is>
          <t>The Fast and the Furious: Tokyo Drift</t>
        </is>
      </c>
      <c r="F3034" t="inlineStr">
        <is>
          <t>F0103</t>
        </is>
      </c>
    </row>
    <row r="3035">
      <c r="A3035" t="inlineStr">
        <is>
          <t>Alden Ray</t>
        </is>
      </c>
      <c r="B3035" t="n">
        <v>1</v>
      </c>
      <c r="C3035" t="n">
        <v>2006</v>
      </c>
      <c r="D3035" t="n">
        <v>2006</v>
      </c>
      <c r="E3035" t="inlineStr">
        <is>
          <t>The Fast and the Furious: Tokyo Drift</t>
        </is>
      </c>
      <c r="F3035" t="inlineStr">
        <is>
          <t>F0103</t>
        </is>
      </c>
    </row>
    <row r="3036">
      <c r="A3036" t="inlineStr">
        <is>
          <t>Konishiki</t>
        </is>
      </c>
      <c r="B3036" t="n">
        <v>1</v>
      </c>
      <c r="C3036" t="n">
        <v>2006</v>
      </c>
      <c r="D3036" t="n">
        <v>2006</v>
      </c>
      <c r="E3036" t="inlineStr">
        <is>
          <t>The Fast and the Furious: Tokyo Drift</t>
        </is>
      </c>
      <c r="F3036" t="inlineStr">
        <is>
          <t>F0103</t>
        </is>
      </c>
    </row>
    <row r="3037">
      <c r="A3037" t="inlineStr">
        <is>
          <t>Caroline de Souza Correa</t>
        </is>
      </c>
      <c r="B3037" t="n">
        <v>1</v>
      </c>
      <c r="C3037" t="n">
        <v>2006</v>
      </c>
      <c r="D3037" t="n">
        <v>2006</v>
      </c>
      <c r="E3037" t="inlineStr">
        <is>
          <t>The Fast and the Furious: Tokyo Drift</t>
        </is>
      </c>
      <c r="F3037" t="inlineStr">
        <is>
          <t>F0103</t>
        </is>
      </c>
    </row>
    <row r="3038">
      <c r="A3038" t="inlineStr">
        <is>
          <t>Tego Calderon</t>
        </is>
      </c>
      <c r="B3038" t="n">
        <v>2</v>
      </c>
      <c r="C3038" t="n">
        <v>2011</v>
      </c>
      <c r="D3038" t="n">
        <v>2017</v>
      </c>
      <c r="E3038" t="inlineStr">
        <is>
          <t>Fast Five, The Fate of the Furious</t>
        </is>
      </c>
      <c r="F3038" t="inlineStr">
        <is>
          <t>F0105, F0108</t>
        </is>
      </c>
    </row>
    <row r="3039">
      <c r="A3039" t="inlineStr">
        <is>
          <t>Don Omar</t>
        </is>
      </c>
      <c r="B3039" t="n">
        <v>3</v>
      </c>
      <c r="C3039" t="n">
        <v>2011</v>
      </c>
      <c r="D3039" t="n">
        <v>2021</v>
      </c>
      <c r="E3039" t="inlineStr">
        <is>
          <t>Fast Five, The Fate of the Furious, F9: The Fast Saga</t>
        </is>
      </c>
      <c r="F3039" t="inlineStr">
        <is>
          <t>F0105, F0108, F0109</t>
        </is>
      </c>
    </row>
    <row r="3040">
      <c r="A3040" t="inlineStr">
        <is>
          <t>Joaquim de Almeida</t>
        </is>
      </c>
      <c r="B3040" t="n">
        <v>3</v>
      </c>
      <c r="C3040" t="n">
        <v>2011</v>
      </c>
      <c r="D3040" t="n">
        <v>2023</v>
      </c>
      <c r="E3040" t="inlineStr">
        <is>
          <t>Fast Five, Fast X, The Hitman's Bodyguard</t>
        </is>
      </c>
      <c r="F3040" t="inlineStr">
        <is>
          <t>F0105, F0110, F0149</t>
        </is>
      </c>
    </row>
    <row r="3041">
      <c r="A3041" t="inlineStr">
        <is>
          <t>Elsa Pataky</t>
        </is>
      </c>
      <c r="B3041" t="n">
        <v>4</v>
      </c>
      <c r="C3041" t="n">
        <v>2011</v>
      </c>
      <c r="D3041" t="n">
        <v>2017</v>
      </c>
      <c r="E3041" t="inlineStr">
        <is>
          <t>Fast Five, Fast &amp; Furious 6, Furious 7, The Fate of the Furious</t>
        </is>
      </c>
      <c r="F3041" t="inlineStr">
        <is>
          <t>F0105, F0106, F0107, F0108</t>
        </is>
      </c>
    </row>
    <row r="3042">
      <c r="A3042" t="inlineStr">
        <is>
          <t>Michael Irby</t>
        </is>
      </c>
      <c r="B3042" t="n">
        <v>3</v>
      </c>
      <c r="C3042" t="n">
        <v>2009</v>
      </c>
      <c r="D3042" t="n">
        <v>2023</v>
      </c>
      <c r="E3042" t="inlineStr">
        <is>
          <t>Fast Five, Fast X, Law Abiding Citizen</t>
        </is>
      </c>
      <c r="F3042" t="inlineStr">
        <is>
          <t>F0105, F0110, F0191</t>
        </is>
      </c>
    </row>
    <row r="3043">
      <c r="A3043" t="inlineStr">
        <is>
          <t>Alimi Ballard</t>
        </is>
      </c>
      <c r="B3043" t="n">
        <v>1</v>
      </c>
      <c r="C3043" t="n">
        <v>2011</v>
      </c>
      <c r="D3043" t="n">
        <v>2011</v>
      </c>
      <c r="E3043" t="inlineStr">
        <is>
          <t>Fast Five</t>
        </is>
      </c>
      <c r="F3043" t="inlineStr">
        <is>
          <t>F0105</t>
        </is>
      </c>
    </row>
    <row r="3044">
      <c r="A3044" t="inlineStr">
        <is>
          <t>Geoff Meed</t>
        </is>
      </c>
      <c r="B3044" t="n">
        <v>1</v>
      </c>
      <c r="C3044" t="n">
        <v>2011</v>
      </c>
      <c r="D3044" t="n">
        <v>2011</v>
      </c>
      <c r="E3044" t="inlineStr">
        <is>
          <t>Fast Five</t>
        </is>
      </c>
      <c r="F3044" t="inlineStr">
        <is>
          <t>F0105</t>
        </is>
      </c>
    </row>
    <row r="3045">
      <c r="A3045" t="inlineStr">
        <is>
          <t>Joseph Melendez</t>
        </is>
      </c>
      <c r="B3045" t="n">
        <v>1</v>
      </c>
      <c r="C3045" t="n">
        <v>2011</v>
      </c>
      <c r="D3045" t="n">
        <v>2011</v>
      </c>
      <c r="E3045" t="inlineStr">
        <is>
          <t>Fast Five</t>
        </is>
      </c>
      <c r="F3045" t="inlineStr">
        <is>
          <t>F0105</t>
        </is>
      </c>
    </row>
    <row r="3046">
      <c r="A3046" t="inlineStr">
        <is>
          <t>Jeirmarie Osorio</t>
        </is>
      </c>
      <c r="B3046" t="n">
        <v>1</v>
      </c>
      <c r="C3046" t="n">
        <v>2011</v>
      </c>
      <c r="D3046" t="n">
        <v>2011</v>
      </c>
      <c r="E3046" t="inlineStr">
        <is>
          <t>Fast Five</t>
        </is>
      </c>
      <c r="F3046" t="inlineStr">
        <is>
          <t>F0105</t>
        </is>
      </c>
    </row>
    <row r="3047">
      <c r="A3047" t="inlineStr">
        <is>
          <t>Mark Hicks</t>
        </is>
      </c>
      <c r="B3047" t="n">
        <v>1</v>
      </c>
      <c r="C3047" t="n">
        <v>2011</v>
      </c>
      <c r="D3047" t="n">
        <v>2011</v>
      </c>
      <c r="E3047" t="inlineStr">
        <is>
          <t>Fast Five</t>
        </is>
      </c>
      <c r="F3047" t="inlineStr">
        <is>
          <t>F0105</t>
        </is>
      </c>
    </row>
    <row r="3048">
      <c r="A3048" t="inlineStr">
        <is>
          <t>Esteban Cueto</t>
        </is>
      </c>
      <c r="B3048" t="n">
        <v>1</v>
      </c>
      <c r="C3048" t="n">
        <v>2011</v>
      </c>
      <c r="D3048" t="n">
        <v>2011</v>
      </c>
      <c r="E3048" t="inlineStr">
        <is>
          <t>Fast Five</t>
        </is>
      </c>
      <c r="F3048" t="inlineStr">
        <is>
          <t>F0105</t>
        </is>
      </c>
    </row>
    <row r="3049">
      <c r="A3049" t="inlineStr">
        <is>
          <t>Luis Da Silva, Jr.</t>
        </is>
      </c>
      <c r="B3049" t="n">
        <v>2</v>
      </c>
      <c r="C3049" t="n">
        <v>2011</v>
      </c>
      <c r="D3049" t="n">
        <v>2023</v>
      </c>
      <c r="E3049" t="inlineStr">
        <is>
          <t>Fast Five, Fast X</t>
        </is>
      </c>
      <c r="F3049" t="inlineStr">
        <is>
          <t>F0105, F0110</t>
        </is>
      </c>
    </row>
    <row r="3050">
      <c r="A3050" t="inlineStr">
        <is>
          <t>Luis Gonzaga</t>
        </is>
      </c>
      <c r="B3050" t="n">
        <v>1</v>
      </c>
      <c r="C3050" t="n">
        <v>2011</v>
      </c>
      <c r="D3050" t="n">
        <v>2011</v>
      </c>
      <c r="E3050" t="inlineStr">
        <is>
          <t>Fast Five</t>
        </is>
      </c>
      <c r="F3050" t="inlineStr">
        <is>
          <t>F0105</t>
        </is>
      </c>
    </row>
    <row r="3051">
      <c r="A3051" t="inlineStr">
        <is>
          <t>Carlos Sanchez</t>
        </is>
      </c>
      <c r="B3051" t="n">
        <v>1</v>
      </c>
      <c r="C3051" t="n">
        <v>2011</v>
      </c>
      <c r="D3051" t="n">
        <v>2011</v>
      </c>
      <c r="E3051" t="inlineStr">
        <is>
          <t>Fast Five</t>
        </is>
      </c>
      <c r="F3051" t="inlineStr">
        <is>
          <t>F0105</t>
        </is>
      </c>
    </row>
    <row r="3052">
      <c r="A3052" t="inlineStr">
        <is>
          <t>Benjamin Blankenship</t>
        </is>
      </c>
      <c r="B3052" t="n">
        <v>1</v>
      </c>
      <c r="C3052" t="n">
        <v>2011</v>
      </c>
      <c r="D3052" t="n">
        <v>2011</v>
      </c>
      <c r="E3052" t="inlineStr">
        <is>
          <t>Fast Five</t>
        </is>
      </c>
      <c r="F3052" t="inlineStr">
        <is>
          <t>F0105</t>
        </is>
      </c>
    </row>
    <row r="3053">
      <c r="A3053" t="inlineStr">
        <is>
          <t>Pedro García</t>
        </is>
      </c>
      <c r="B3053" t="n">
        <v>1</v>
      </c>
      <c r="C3053" t="n">
        <v>2011</v>
      </c>
      <c r="D3053" t="n">
        <v>2011</v>
      </c>
      <c r="E3053" t="inlineStr">
        <is>
          <t>Fast Five</t>
        </is>
      </c>
      <c r="F3053" t="inlineStr">
        <is>
          <t>F0105</t>
        </is>
      </c>
    </row>
    <row r="3054">
      <c r="A3054" t="inlineStr">
        <is>
          <t>Jay Jackson</t>
        </is>
      </c>
      <c r="B3054" t="n">
        <v>1</v>
      </c>
      <c r="C3054" t="n">
        <v>2011</v>
      </c>
      <c r="D3054" t="n">
        <v>2011</v>
      </c>
      <c r="E3054" t="inlineStr">
        <is>
          <t>Fast Five</t>
        </is>
      </c>
      <c r="F3054" t="inlineStr">
        <is>
          <t>F0105</t>
        </is>
      </c>
    </row>
    <row r="3055">
      <c r="A3055" t="inlineStr">
        <is>
          <t>Arlene Santana</t>
        </is>
      </c>
      <c r="B3055" t="n">
        <v>1</v>
      </c>
      <c r="C3055" t="n">
        <v>2011</v>
      </c>
      <c r="D3055" t="n">
        <v>2011</v>
      </c>
      <c r="E3055" t="inlineStr">
        <is>
          <t>Fast Five</t>
        </is>
      </c>
      <c r="F3055" t="inlineStr">
        <is>
          <t>F0105</t>
        </is>
      </c>
    </row>
    <row r="3056">
      <c r="A3056" t="inlineStr">
        <is>
          <t>Clara Paget</t>
        </is>
      </c>
      <c r="B3056" t="n">
        <v>1</v>
      </c>
      <c r="C3056" t="n">
        <v>2013</v>
      </c>
      <c r="D3056" t="n">
        <v>2013</v>
      </c>
      <c r="E3056" t="inlineStr">
        <is>
          <t>Fast &amp; Furious 6</t>
        </is>
      </c>
      <c r="F3056" t="inlineStr">
        <is>
          <t>F0106</t>
        </is>
      </c>
    </row>
    <row r="3057">
      <c r="A3057" t="inlineStr">
        <is>
          <t>Kim Kold</t>
        </is>
      </c>
      <c r="B3057" t="n">
        <v>1</v>
      </c>
      <c r="C3057" t="n">
        <v>2013</v>
      </c>
      <c r="D3057" t="n">
        <v>2013</v>
      </c>
      <c r="E3057" t="inlineStr">
        <is>
          <t>Fast &amp; Furious 6</t>
        </is>
      </c>
      <c r="F3057" t="inlineStr">
        <is>
          <t>F0106</t>
        </is>
      </c>
    </row>
    <row r="3058">
      <c r="A3058" t="inlineStr">
        <is>
          <t>Joe Taslim</t>
        </is>
      </c>
      <c r="B3058" t="n">
        <v>1</v>
      </c>
      <c r="C3058" t="n">
        <v>2013</v>
      </c>
      <c r="D3058" t="n">
        <v>2013</v>
      </c>
      <c r="E3058" t="inlineStr">
        <is>
          <t>Fast &amp; Furious 6</t>
        </is>
      </c>
      <c r="F3058" t="inlineStr">
        <is>
          <t>F0106</t>
        </is>
      </c>
    </row>
    <row r="3059">
      <c r="A3059" t="inlineStr">
        <is>
          <t>Samuel M. Stewart</t>
        </is>
      </c>
      <c r="B3059" t="n">
        <v>1</v>
      </c>
      <c r="C3059" t="n">
        <v>2013</v>
      </c>
      <c r="D3059" t="n">
        <v>2013</v>
      </c>
      <c r="E3059" t="inlineStr">
        <is>
          <t>Fast &amp; Furious 6</t>
        </is>
      </c>
      <c r="F3059" t="inlineStr">
        <is>
          <t>F0106</t>
        </is>
      </c>
    </row>
    <row r="3060">
      <c r="A3060" t="inlineStr">
        <is>
          <t>Benjamin Davies</t>
        </is>
      </c>
      <c r="B3060" t="n">
        <v>1</v>
      </c>
      <c r="C3060" t="n">
        <v>2013</v>
      </c>
      <c r="D3060" t="n">
        <v>2013</v>
      </c>
      <c r="E3060" t="inlineStr">
        <is>
          <t>Fast &amp; Furious 6</t>
        </is>
      </c>
      <c r="F3060" t="inlineStr">
        <is>
          <t>F0106</t>
        </is>
      </c>
    </row>
    <row r="3061">
      <c r="A3061" t="inlineStr">
        <is>
          <t>Matthew Stirling</t>
        </is>
      </c>
      <c r="B3061" t="n">
        <v>1</v>
      </c>
      <c r="C3061" t="n">
        <v>2013</v>
      </c>
      <c r="D3061" t="n">
        <v>2013</v>
      </c>
      <c r="E3061" t="inlineStr">
        <is>
          <t>Fast &amp; Furious 6</t>
        </is>
      </c>
      <c r="F3061" t="inlineStr">
        <is>
          <t>F0106</t>
        </is>
      </c>
    </row>
    <row r="3062">
      <c r="A3062" t="inlineStr">
        <is>
          <t>David Ajala</t>
        </is>
      </c>
      <c r="B3062" t="n">
        <v>1</v>
      </c>
      <c r="C3062" t="n">
        <v>2013</v>
      </c>
      <c r="D3062" t="n">
        <v>2013</v>
      </c>
      <c r="E3062" t="inlineStr">
        <is>
          <t>Fast &amp; Furious 6</t>
        </is>
      </c>
      <c r="F3062" t="inlineStr">
        <is>
          <t>F0106</t>
        </is>
      </c>
    </row>
    <row r="3063">
      <c r="A3063" t="inlineStr">
        <is>
          <t>Andrei Zayats</t>
        </is>
      </c>
      <c r="B3063" t="n">
        <v>2</v>
      </c>
      <c r="C3063" t="n">
        <v>2011</v>
      </c>
      <c r="D3063" t="n">
        <v>2013</v>
      </c>
      <c r="E3063" t="inlineStr">
        <is>
          <t>Fast &amp; Furious 6, X-Men: First Class</t>
        </is>
      </c>
      <c r="F3063" t="inlineStr">
        <is>
          <t>F0106, F0340</t>
        </is>
      </c>
    </row>
    <row r="3064">
      <c r="A3064" t="inlineStr">
        <is>
          <t>Jason Thorpe</t>
        </is>
      </c>
      <c r="B3064" t="n">
        <v>1</v>
      </c>
      <c r="C3064" t="n">
        <v>2013</v>
      </c>
      <c r="D3064" t="n">
        <v>2013</v>
      </c>
      <c r="E3064" t="inlineStr">
        <is>
          <t>Fast &amp; Furious 6</t>
        </is>
      </c>
      <c r="F3064" t="inlineStr">
        <is>
          <t>F0106</t>
        </is>
      </c>
    </row>
    <row r="3065">
      <c r="A3065" t="inlineStr">
        <is>
          <t>Alexander Vegh</t>
        </is>
      </c>
      <c r="B3065" t="n">
        <v>1</v>
      </c>
      <c r="C3065" t="n">
        <v>2013</v>
      </c>
      <c r="D3065" t="n">
        <v>2013</v>
      </c>
      <c r="E3065" t="inlineStr">
        <is>
          <t>Fast &amp; Furious 6</t>
        </is>
      </c>
      <c r="F3065" t="inlineStr">
        <is>
          <t>F0106</t>
        </is>
      </c>
    </row>
    <row r="3066">
      <c r="A3066" t="inlineStr">
        <is>
          <t>Stephen Marcus</t>
        </is>
      </c>
      <c r="B3066" t="n">
        <v>1</v>
      </c>
      <c r="C3066" t="n">
        <v>2013</v>
      </c>
      <c r="D3066" t="n">
        <v>2013</v>
      </c>
      <c r="E3066" t="inlineStr">
        <is>
          <t>Fast &amp; Furious 6</t>
        </is>
      </c>
      <c r="F3066" t="inlineStr">
        <is>
          <t>F0106</t>
        </is>
      </c>
    </row>
    <row r="3067">
      <c r="A3067" t="inlineStr">
        <is>
          <t>Magda Rodriguez</t>
        </is>
      </c>
      <c r="B3067" t="n">
        <v>1</v>
      </c>
      <c r="C3067" t="n">
        <v>2013</v>
      </c>
      <c r="D3067" t="n">
        <v>2013</v>
      </c>
      <c r="E3067" t="inlineStr">
        <is>
          <t>Fast &amp; Furious 6</t>
        </is>
      </c>
      <c r="F3067" t="inlineStr">
        <is>
          <t>F0106</t>
        </is>
      </c>
    </row>
    <row r="3068">
      <c r="A3068" t="inlineStr">
        <is>
          <t>Andy Pointon</t>
        </is>
      </c>
      <c r="B3068" t="n">
        <v>1</v>
      </c>
      <c r="C3068" t="n">
        <v>2013</v>
      </c>
      <c r="D3068" t="n">
        <v>2013</v>
      </c>
      <c r="E3068" t="inlineStr">
        <is>
          <t>Fast &amp; Furious 6</t>
        </is>
      </c>
      <c r="F3068" t="inlineStr">
        <is>
          <t>F0106</t>
        </is>
      </c>
    </row>
    <row r="3069">
      <c r="A3069" t="inlineStr">
        <is>
          <t>Victor Gardener</t>
        </is>
      </c>
      <c r="B3069" t="n">
        <v>2</v>
      </c>
      <c r="C3069" t="n">
        <v>2013</v>
      </c>
      <c r="D3069" t="n">
        <v>2018</v>
      </c>
      <c r="E3069" t="inlineStr">
        <is>
          <t>Fast &amp; Furious 6, Jurassic World: Fallen Kingdom</t>
        </is>
      </c>
      <c r="F3069" t="inlineStr">
        <is>
          <t>F0106, F0180</t>
        </is>
      </c>
    </row>
    <row r="3070">
      <c r="A3070" t="inlineStr">
        <is>
          <t>Sol de la Barreda</t>
        </is>
      </c>
      <c r="B3070" t="n">
        <v>1</v>
      </c>
      <c r="C3070" t="n">
        <v>2013</v>
      </c>
      <c r="D3070" t="n">
        <v>2013</v>
      </c>
      <c r="E3070" t="inlineStr">
        <is>
          <t>Fast &amp; Furious 6</t>
        </is>
      </c>
      <c r="F3070" t="inlineStr">
        <is>
          <t>F0106</t>
        </is>
      </c>
    </row>
    <row r="3071">
      <c r="A3071" t="inlineStr">
        <is>
          <t>Kurt Russell</t>
        </is>
      </c>
      <c r="B3071" t="n">
        <v>3</v>
      </c>
      <c r="C3071" t="n">
        <v>2015</v>
      </c>
      <c r="D3071" t="n">
        <v>2021</v>
      </c>
      <c r="E3071" t="inlineStr">
        <is>
          <t>Furious 7, The Fate of the Furious, F9: The Fast Saga</t>
        </is>
      </c>
      <c r="F3071" t="inlineStr">
        <is>
          <t>F0107, F0108, F0109</t>
        </is>
      </c>
    </row>
    <row r="3072">
      <c r="A3072" t="inlineStr">
        <is>
          <t>Nathalie Emmanuel</t>
        </is>
      </c>
      <c r="B3072" t="n">
        <v>4</v>
      </c>
      <c r="C3072" t="n">
        <v>2015</v>
      </c>
      <c r="D3072" t="n">
        <v>2023</v>
      </c>
      <c r="E3072" t="inlineStr">
        <is>
          <t>Furious 7, The Fate of the Furious, F9: The Fast Saga, Fast X</t>
        </is>
      </c>
      <c r="F3072" t="inlineStr">
        <is>
          <t>F0107, F0108, F0109, F0110</t>
        </is>
      </c>
    </row>
    <row r="3073">
      <c r="A3073" t="inlineStr">
        <is>
          <t>Djimon Hounsou</t>
        </is>
      </c>
      <c r="B3073" t="n">
        <v>2</v>
      </c>
      <c r="C3073" t="n">
        <v>2014</v>
      </c>
      <c r="D3073" t="n">
        <v>2015</v>
      </c>
      <c r="E3073" t="inlineStr">
        <is>
          <t>Furious 7, How to Train Your Dragon 2</t>
        </is>
      </c>
      <c r="F3073" t="inlineStr">
        <is>
          <t>F0107, F0155</t>
        </is>
      </c>
    </row>
    <row r="3074">
      <c r="A3074" t="inlineStr">
        <is>
          <t>Tony Jaa</t>
        </is>
      </c>
      <c r="B3074" t="n">
        <v>1</v>
      </c>
      <c r="C3074" t="n">
        <v>2015</v>
      </c>
      <c r="D3074" t="n">
        <v>2015</v>
      </c>
      <c r="E3074" t="inlineStr">
        <is>
          <t>Furious 7</t>
        </is>
      </c>
      <c r="F3074" t="inlineStr">
        <is>
          <t>F0107</t>
        </is>
      </c>
    </row>
    <row r="3075">
      <c r="A3075" t="inlineStr">
        <is>
          <t>Iggy Azalea</t>
        </is>
      </c>
      <c r="B3075" t="n">
        <v>1</v>
      </c>
      <c r="C3075" t="n">
        <v>2015</v>
      </c>
      <c r="D3075" t="n">
        <v>2015</v>
      </c>
      <c r="E3075" t="inlineStr">
        <is>
          <t>Furious 7</t>
        </is>
      </c>
      <c r="F3075" t="inlineStr">
        <is>
          <t>F0107</t>
        </is>
      </c>
    </row>
    <row r="3076">
      <c r="A3076" t="inlineStr">
        <is>
          <t>John Brotherton</t>
        </is>
      </c>
      <c r="B3076" t="n">
        <v>1</v>
      </c>
      <c r="C3076" t="n">
        <v>2015</v>
      </c>
      <c r="D3076" t="n">
        <v>2015</v>
      </c>
      <c r="E3076" t="inlineStr">
        <is>
          <t>Furious 7</t>
        </is>
      </c>
      <c r="F3076" t="inlineStr">
        <is>
          <t>F0107</t>
        </is>
      </c>
    </row>
    <row r="3077">
      <c r="A3077" t="inlineStr">
        <is>
          <t>Ali Fazal</t>
        </is>
      </c>
      <c r="B3077" t="n">
        <v>1</v>
      </c>
      <c r="C3077" t="n">
        <v>2015</v>
      </c>
      <c r="D3077" t="n">
        <v>2015</v>
      </c>
      <c r="E3077" t="inlineStr">
        <is>
          <t>Furious 7</t>
        </is>
      </c>
      <c r="F3077" t="inlineStr">
        <is>
          <t>F0107</t>
        </is>
      </c>
    </row>
    <row r="3078">
      <c r="A3078" t="inlineStr">
        <is>
          <t>Miller Kimsey</t>
        </is>
      </c>
      <c r="B3078" t="n">
        <v>1</v>
      </c>
      <c r="C3078" t="n">
        <v>2015</v>
      </c>
      <c r="D3078" t="n">
        <v>2015</v>
      </c>
      <c r="E3078" t="inlineStr">
        <is>
          <t>Furious 7</t>
        </is>
      </c>
      <c r="F3078" t="inlineStr">
        <is>
          <t>F0107</t>
        </is>
      </c>
    </row>
    <row r="3079">
      <c r="A3079" t="inlineStr">
        <is>
          <t>Charlie Kimsey</t>
        </is>
      </c>
      <c r="B3079" t="n">
        <v>1</v>
      </c>
      <c r="C3079" t="n">
        <v>2015</v>
      </c>
      <c r="D3079" t="n">
        <v>2015</v>
      </c>
      <c r="E3079" t="inlineStr">
        <is>
          <t>Furious 7</t>
        </is>
      </c>
      <c r="F3079" t="inlineStr">
        <is>
          <t>F0107</t>
        </is>
      </c>
    </row>
    <row r="3080">
      <c r="A3080" t="inlineStr">
        <is>
          <t>Eden Estrella</t>
        </is>
      </c>
      <c r="B3080" t="n">
        <v>2</v>
      </c>
      <c r="C3080" t="n">
        <v>2015</v>
      </c>
      <c r="D3080" t="n">
        <v>2017</v>
      </c>
      <c r="E3080" t="inlineStr">
        <is>
          <t>Furious 7, The Fate of the Furious</t>
        </is>
      </c>
      <c r="F3080" t="inlineStr">
        <is>
          <t>F0107, F0108</t>
        </is>
      </c>
    </row>
    <row r="3081">
      <c r="A3081" t="inlineStr">
        <is>
          <t>Gentry White</t>
        </is>
      </c>
      <c r="B3081" t="n">
        <v>1</v>
      </c>
      <c r="C3081" t="n">
        <v>2015</v>
      </c>
      <c r="D3081" t="n">
        <v>2015</v>
      </c>
      <c r="E3081" t="inlineStr">
        <is>
          <t>Furious 7</t>
        </is>
      </c>
      <c r="F3081" t="inlineStr">
        <is>
          <t>F0107</t>
        </is>
      </c>
    </row>
    <row r="3082">
      <c r="A3082" t="inlineStr">
        <is>
          <t>Jon Lee Brody</t>
        </is>
      </c>
      <c r="B3082" t="n">
        <v>1</v>
      </c>
      <c r="C3082" t="n">
        <v>2015</v>
      </c>
      <c r="D3082" t="n">
        <v>2015</v>
      </c>
      <c r="E3082" t="inlineStr">
        <is>
          <t>Furious 7</t>
        </is>
      </c>
      <c r="F3082" t="inlineStr">
        <is>
          <t>F0107</t>
        </is>
      </c>
    </row>
    <row r="3083">
      <c r="A3083" t="inlineStr">
        <is>
          <t>Levy Tran</t>
        </is>
      </c>
      <c r="B3083" t="n">
        <v>1</v>
      </c>
      <c r="C3083" t="n">
        <v>2015</v>
      </c>
      <c r="D3083" t="n">
        <v>2015</v>
      </c>
      <c r="E3083" t="inlineStr">
        <is>
          <t>Furious 7</t>
        </is>
      </c>
      <c r="F3083" t="inlineStr">
        <is>
          <t>F0107</t>
        </is>
      </c>
    </row>
    <row r="3084">
      <c r="A3084" t="inlineStr">
        <is>
          <t>Anna Colwell</t>
        </is>
      </c>
      <c r="B3084" t="n">
        <v>1</v>
      </c>
      <c r="C3084" t="n">
        <v>2015</v>
      </c>
      <c r="D3084" t="n">
        <v>2015</v>
      </c>
      <c r="E3084" t="inlineStr">
        <is>
          <t>Furious 7</t>
        </is>
      </c>
      <c r="F3084" t="inlineStr">
        <is>
          <t>F0107</t>
        </is>
      </c>
    </row>
    <row r="3085">
      <c r="A3085" t="inlineStr">
        <is>
          <t>Viktor Hernandez</t>
        </is>
      </c>
      <c r="B3085" t="n">
        <v>1</v>
      </c>
      <c r="C3085" t="n">
        <v>2015</v>
      </c>
      <c r="D3085" t="n">
        <v>2015</v>
      </c>
      <c r="E3085" t="inlineStr">
        <is>
          <t>Furious 7</t>
        </is>
      </c>
      <c r="F3085" t="inlineStr">
        <is>
          <t>F0107</t>
        </is>
      </c>
    </row>
    <row r="3086">
      <c r="A3086" t="inlineStr">
        <is>
          <t>Steve Coulter</t>
        </is>
      </c>
      <c r="B3086" t="n">
        <v>1</v>
      </c>
      <c r="C3086" t="n">
        <v>2015</v>
      </c>
      <c r="D3086" t="n">
        <v>2015</v>
      </c>
      <c r="E3086" t="inlineStr">
        <is>
          <t>Furious 7</t>
        </is>
      </c>
      <c r="F3086" t="inlineStr">
        <is>
          <t>F0107</t>
        </is>
      </c>
    </row>
    <row r="3087">
      <c r="A3087" t="inlineStr">
        <is>
          <t>Kristofer Hivju</t>
        </is>
      </c>
      <c r="B3087" t="n">
        <v>1</v>
      </c>
      <c r="C3087" t="n">
        <v>2017</v>
      </c>
      <c r="D3087" t="n">
        <v>2017</v>
      </c>
      <c r="E3087" t="inlineStr">
        <is>
          <t>The Fate of the Furious</t>
        </is>
      </c>
      <c r="F3087" t="inlineStr">
        <is>
          <t>F0108</t>
        </is>
      </c>
    </row>
    <row r="3088">
      <c r="A3088" t="inlineStr">
        <is>
          <t>Scott Eastwood</t>
        </is>
      </c>
      <c r="B3088" t="n">
        <v>4</v>
      </c>
      <c r="C3088" t="n">
        <v>2008</v>
      </c>
      <c r="D3088" t="n">
        <v>2023</v>
      </c>
      <c r="E3088" t="inlineStr">
        <is>
          <t>The Fate of the Furious, Fast X, Fury, Gran Torino</t>
        </is>
      </c>
      <c r="F3088" t="inlineStr">
        <is>
          <t>F0108, F0110, F0117, F0125</t>
        </is>
      </c>
    </row>
    <row r="3089">
      <c r="A3089" t="inlineStr">
        <is>
          <t>Corey Maher</t>
        </is>
      </c>
      <c r="B3089" t="n">
        <v>1</v>
      </c>
      <c r="C3089" t="n">
        <v>2017</v>
      </c>
      <c r="D3089" t="n">
        <v>2017</v>
      </c>
      <c r="E3089" t="inlineStr">
        <is>
          <t>The Fate of the Furious</t>
        </is>
      </c>
      <c r="F3089" t="inlineStr">
        <is>
          <t>F0108</t>
        </is>
      </c>
    </row>
    <row r="3090">
      <c r="A3090" t="inlineStr">
        <is>
          <t>Patrick St. Esprit</t>
        </is>
      </c>
      <c r="B3090" t="n">
        <v>2</v>
      </c>
      <c r="C3090" t="n">
        <v>2011</v>
      </c>
      <c r="D3090" t="n">
        <v>2017</v>
      </c>
      <c r="E3090" t="inlineStr">
        <is>
          <t>The Fate of the Furious, Super 8</t>
        </is>
      </c>
      <c r="F3090" t="inlineStr">
        <is>
          <t>F0108, F0302</t>
        </is>
      </c>
    </row>
    <row r="3091">
      <c r="A3091" t="inlineStr">
        <is>
          <t>Janmarco Santiago</t>
        </is>
      </c>
      <c r="B3091" t="n">
        <v>1</v>
      </c>
      <c r="C3091" t="n">
        <v>2017</v>
      </c>
      <c r="D3091" t="n">
        <v>2017</v>
      </c>
      <c r="E3091" t="inlineStr">
        <is>
          <t>The Fate of the Furious</t>
        </is>
      </c>
      <c r="F3091" t="inlineStr">
        <is>
          <t>F0108</t>
        </is>
      </c>
    </row>
    <row r="3092">
      <c r="A3092" t="inlineStr">
        <is>
          <t>Oren Hawxhurst</t>
        </is>
      </c>
      <c r="B3092" t="n">
        <v>2</v>
      </c>
      <c r="C3092" t="n">
        <v>2017</v>
      </c>
      <c r="D3092" t="n">
        <v>2017</v>
      </c>
      <c r="E3092" t="inlineStr">
        <is>
          <t>The Fate of the Furious, Logan</t>
        </is>
      </c>
      <c r="F3092" t="inlineStr">
        <is>
          <t>F0108, F0201</t>
        </is>
      </c>
    </row>
    <row r="3093">
      <c r="A3093" t="inlineStr">
        <is>
          <t>Celestino Cornielle</t>
        </is>
      </c>
      <c r="B3093" t="n">
        <v>1</v>
      </c>
      <c r="C3093" t="n">
        <v>2017</v>
      </c>
      <c r="D3093" t="n">
        <v>2017</v>
      </c>
      <c r="E3093" t="inlineStr">
        <is>
          <t>The Fate of the Furious</t>
        </is>
      </c>
      <c r="F3093" t="inlineStr">
        <is>
          <t>F0108</t>
        </is>
      </c>
    </row>
    <row r="3094">
      <c r="A3094" t="inlineStr">
        <is>
          <t>Olek Krupa</t>
        </is>
      </c>
      <c r="B3094" t="n">
        <v>2</v>
      </c>
      <c r="C3094" t="n">
        <v>2010</v>
      </c>
      <c r="D3094" t="n">
        <v>2017</v>
      </c>
      <c r="E3094" t="inlineStr">
        <is>
          <t>The Fate of the Furious, Salt</t>
        </is>
      </c>
      <c r="F3094" t="inlineStr">
        <is>
          <t>F0108, F0273</t>
        </is>
      </c>
    </row>
    <row r="3095">
      <c r="A3095" t="inlineStr">
        <is>
          <t>Alexander Babara</t>
        </is>
      </c>
      <c r="B3095" t="n">
        <v>1</v>
      </c>
      <c r="C3095" t="n">
        <v>2017</v>
      </c>
      <c r="D3095" t="n">
        <v>2017</v>
      </c>
      <c r="E3095" t="inlineStr">
        <is>
          <t>The Fate of the Furious</t>
        </is>
      </c>
      <c r="F3095" t="inlineStr">
        <is>
          <t>F0108</t>
        </is>
      </c>
    </row>
    <row r="3096">
      <c r="A3096" t="inlineStr">
        <is>
          <t>Andre Pushkin</t>
        </is>
      </c>
      <c r="B3096" t="n">
        <v>1</v>
      </c>
      <c r="C3096" t="n">
        <v>2017</v>
      </c>
      <c r="D3096" t="n">
        <v>2017</v>
      </c>
      <c r="E3096" t="inlineStr">
        <is>
          <t>The Fate of the Furious</t>
        </is>
      </c>
      <c r="F3096" t="inlineStr">
        <is>
          <t>F0108</t>
        </is>
      </c>
    </row>
    <row r="3097">
      <c r="A3097" t="inlineStr">
        <is>
          <t>Roberts Jekabsons</t>
        </is>
      </c>
      <c r="B3097" t="n">
        <v>1</v>
      </c>
      <c r="C3097" t="n">
        <v>2017</v>
      </c>
      <c r="D3097" t="n">
        <v>2017</v>
      </c>
      <c r="E3097" t="inlineStr">
        <is>
          <t>The Fate of the Furious</t>
        </is>
      </c>
      <c r="F3097" t="inlineStr">
        <is>
          <t>F0108</t>
        </is>
      </c>
    </row>
    <row r="3098">
      <c r="A3098" t="inlineStr">
        <is>
          <t>Nick Gracer</t>
        </is>
      </c>
      <c r="B3098" t="n">
        <v>1</v>
      </c>
      <c r="C3098" t="n">
        <v>2017</v>
      </c>
      <c r="D3098" t="n">
        <v>2017</v>
      </c>
      <c r="E3098" t="inlineStr">
        <is>
          <t>The Fate of the Furious</t>
        </is>
      </c>
      <c r="F3098" t="inlineStr">
        <is>
          <t>F0108</t>
        </is>
      </c>
    </row>
    <row r="3099">
      <c r="A3099" t="inlineStr">
        <is>
          <t>Gary Weeks</t>
        </is>
      </c>
      <c r="B3099" t="n">
        <v>2</v>
      </c>
      <c r="C3099" t="n">
        <v>2015</v>
      </c>
      <c r="D3099" t="n">
        <v>2017</v>
      </c>
      <c r="E3099" t="inlineStr">
        <is>
          <t>The Fate of the Furious, Jurassic World</t>
        </is>
      </c>
      <c r="F3099" t="inlineStr">
        <is>
          <t>F0108, F0179</t>
        </is>
      </c>
    </row>
    <row r="3100">
      <c r="A3100" t="inlineStr">
        <is>
          <t>Friday Chamberlain</t>
        </is>
      </c>
      <c r="B3100" t="n">
        <v>1</v>
      </c>
      <c r="C3100" t="n">
        <v>2017</v>
      </c>
      <c r="D3100" t="n">
        <v>2017</v>
      </c>
      <c r="E3100" t="inlineStr">
        <is>
          <t>The Fate of the Furious</t>
        </is>
      </c>
      <c r="F3100" t="inlineStr">
        <is>
          <t>F0108</t>
        </is>
      </c>
    </row>
    <row r="3101">
      <c r="A3101" t="inlineStr">
        <is>
          <t>Joe Fishel</t>
        </is>
      </c>
      <c r="B3101" t="n">
        <v>2</v>
      </c>
      <c r="C3101" t="n">
        <v>2015</v>
      </c>
      <c r="D3101" t="n">
        <v>2017</v>
      </c>
      <c r="E3101" t="inlineStr">
        <is>
          <t>The Fate of the Furious, Southpaw</t>
        </is>
      </c>
      <c r="F3101" t="inlineStr">
        <is>
          <t>F0108, F0286</t>
        </is>
      </c>
    </row>
    <row r="3102">
      <c r="A3102" t="inlineStr">
        <is>
          <t>Michael W. Broomer</t>
        </is>
      </c>
      <c r="B3102" t="n">
        <v>1</v>
      </c>
      <c r="C3102" t="n">
        <v>2017</v>
      </c>
      <c r="D3102" t="n">
        <v>2017</v>
      </c>
      <c r="E3102" t="inlineStr">
        <is>
          <t>The Fate of the Furious</t>
        </is>
      </c>
      <c r="F3102" t="inlineStr">
        <is>
          <t>F0108</t>
        </is>
      </c>
    </row>
    <row r="3103">
      <c r="A3103" t="inlineStr">
        <is>
          <t>Finn Cole</t>
        </is>
      </c>
      <c r="B3103" t="n">
        <v>1</v>
      </c>
      <c r="C3103" t="n">
        <v>2021</v>
      </c>
      <c r="D3103" t="n">
        <v>2021</v>
      </c>
      <c r="E3103" t="inlineStr">
        <is>
          <t>F9: The Fast Saga</t>
        </is>
      </c>
      <c r="F3103" t="inlineStr">
        <is>
          <t>F0109</t>
        </is>
      </c>
    </row>
    <row r="3104">
      <c r="A3104" t="inlineStr">
        <is>
          <t>Thue Ersted Rasmussen</t>
        </is>
      </c>
      <c r="B3104" t="n">
        <v>1</v>
      </c>
      <c r="C3104" t="n">
        <v>2021</v>
      </c>
      <c r="D3104" t="n">
        <v>2021</v>
      </c>
      <c r="E3104" t="inlineStr">
        <is>
          <t>F9: The Fast Saga</t>
        </is>
      </c>
      <c r="F3104" t="inlineStr">
        <is>
          <t>F0109</t>
        </is>
      </c>
    </row>
    <row r="3105">
      <c r="A3105" t="inlineStr">
        <is>
          <t>Anna Sawai</t>
        </is>
      </c>
      <c r="B3105" t="n">
        <v>1</v>
      </c>
      <c r="C3105" t="n">
        <v>2021</v>
      </c>
      <c r="D3105" t="n">
        <v>2021</v>
      </c>
      <c r="E3105" t="inlineStr">
        <is>
          <t>F9: The Fast Saga</t>
        </is>
      </c>
      <c r="F3105" t="inlineStr">
        <is>
          <t>F0109</t>
        </is>
      </c>
    </row>
    <row r="3106">
      <c r="A3106" t="inlineStr">
        <is>
          <t>Vinnie Bennett</t>
        </is>
      </c>
      <c r="B3106" t="n">
        <v>1</v>
      </c>
      <c r="C3106" t="n">
        <v>2021</v>
      </c>
      <c r="D3106" t="n">
        <v>2021</v>
      </c>
      <c r="E3106" t="inlineStr">
        <is>
          <t>F9: The Fast Saga</t>
        </is>
      </c>
      <c r="F3106" t="inlineStr">
        <is>
          <t>F0109</t>
        </is>
      </c>
    </row>
    <row r="3107">
      <c r="A3107" t="inlineStr">
        <is>
          <t>J. D. Pardo</t>
        </is>
      </c>
      <c r="B3107" t="n">
        <v>1</v>
      </c>
      <c r="C3107" t="n">
        <v>2021</v>
      </c>
      <c r="D3107" t="n">
        <v>2021</v>
      </c>
      <c r="E3107" t="inlineStr">
        <is>
          <t>F9: The Fast Saga</t>
        </is>
      </c>
      <c r="F3107" t="inlineStr">
        <is>
          <t>F0109</t>
        </is>
      </c>
    </row>
    <row r="3108">
      <c r="A3108" t="inlineStr">
        <is>
          <t>Siena Agudong</t>
        </is>
      </c>
      <c r="B3108" t="n">
        <v>1</v>
      </c>
      <c r="C3108" t="n">
        <v>2021</v>
      </c>
      <c r="D3108" t="n">
        <v>2021</v>
      </c>
      <c r="E3108" t="inlineStr">
        <is>
          <t>F9: The Fast Saga</t>
        </is>
      </c>
      <c r="F3108" t="inlineStr">
        <is>
          <t>F0109</t>
        </is>
      </c>
    </row>
    <row r="3109">
      <c r="A3109" t="inlineStr">
        <is>
          <t>Isaac Holtane</t>
        </is>
      </c>
      <c r="B3109" t="n">
        <v>1</v>
      </c>
      <c r="C3109" t="n">
        <v>2021</v>
      </c>
      <c r="D3109" t="n">
        <v>2021</v>
      </c>
      <c r="E3109" t="inlineStr">
        <is>
          <t>F9: The Fast Saga</t>
        </is>
      </c>
      <c r="F3109" t="inlineStr">
        <is>
          <t>F0109</t>
        </is>
      </c>
    </row>
    <row r="3110">
      <c r="A3110" t="inlineStr">
        <is>
          <t>Immanuel Holtane</t>
        </is>
      </c>
      <c r="B3110" t="n">
        <v>1</v>
      </c>
      <c r="C3110" t="n">
        <v>2021</v>
      </c>
      <c r="D3110" t="n">
        <v>2021</v>
      </c>
      <c r="E3110" t="inlineStr">
        <is>
          <t>F9: The Fast Saga</t>
        </is>
      </c>
      <c r="F3110" t="inlineStr">
        <is>
          <t>F0109</t>
        </is>
      </c>
    </row>
    <row r="3111">
      <c r="A3111" t="inlineStr">
        <is>
          <t>Azia Dinea Hale</t>
        </is>
      </c>
      <c r="B3111" t="n">
        <v>1</v>
      </c>
      <c r="C3111" t="n">
        <v>2021</v>
      </c>
      <c r="D3111" t="n">
        <v>2021</v>
      </c>
      <c r="E3111" t="inlineStr">
        <is>
          <t>F9: The Fast Saga</t>
        </is>
      </c>
      <c r="F3111" t="inlineStr">
        <is>
          <t>F0109</t>
        </is>
      </c>
    </row>
    <row r="3112">
      <c r="A3112" t="inlineStr">
        <is>
          <t>Zhang Juju</t>
        </is>
      </c>
      <c r="B3112" t="n">
        <v>1</v>
      </c>
      <c r="C3112" t="n">
        <v>2021</v>
      </c>
      <c r="D3112" t="n">
        <v>2021</v>
      </c>
      <c r="E3112" t="inlineStr">
        <is>
          <t>F9: The Fast Saga</t>
        </is>
      </c>
      <c r="F3112" t="inlineStr">
        <is>
          <t>F0109</t>
        </is>
      </c>
    </row>
    <row r="3113">
      <c r="A3113" t="inlineStr">
        <is>
          <t>Karson Kern</t>
        </is>
      </c>
      <c r="B3113" t="n">
        <v>1</v>
      </c>
      <c r="C3113" t="n">
        <v>2021</v>
      </c>
      <c r="D3113" t="n">
        <v>2021</v>
      </c>
      <c r="E3113" t="inlineStr">
        <is>
          <t>F9: The Fast Saga</t>
        </is>
      </c>
      <c r="F3113" t="inlineStr">
        <is>
          <t>F0109</t>
        </is>
      </c>
    </row>
    <row r="3114">
      <c r="A3114" t="inlineStr">
        <is>
          <t>Igby Rigney</t>
        </is>
      </c>
      <c r="B3114" t="n">
        <v>1</v>
      </c>
      <c r="C3114" t="n">
        <v>2021</v>
      </c>
      <c r="D3114" t="n">
        <v>2021</v>
      </c>
      <c r="E3114" t="inlineStr">
        <is>
          <t>F9: The Fast Saga</t>
        </is>
      </c>
      <c r="F3114" t="inlineStr">
        <is>
          <t>F0109</t>
        </is>
      </c>
    </row>
    <row r="3115">
      <c r="A3115" t="inlineStr">
        <is>
          <t>Sophia Tatum</t>
        </is>
      </c>
      <c r="B3115" t="n">
        <v>1</v>
      </c>
      <c r="C3115" t="n">
        <v>2021</v>
      </c>
      <c r="D3115" t="n">
        <v>2021</v>
      </c>
      <c r="E3115" t="inlineStr">
        <is>
          <t>F9: The Fast Saga</t>
        </is>
      </c>
      <c r="F3115" t="inlineStr">
        <is>
          <t>F0109</t>
        </is>
      </c>
    </row>
    <row r="3116">
      <c r="A3116" t="inlineStr">
        <is>
          <t>Jason Momoa</t>
        </is>
      </c>
      <c r="B3116" t="n">
        <v>2</v>
      </c>
      <c r="C3116" t="n">
        <v>2019</v>
      </c>
      <c r="D3116" t="n">
        <v>2023</v>
      </c>
      <c r="E3116" t="inlineStr">
        <is>
          <t>Fast X, The Lego Movie 2: The Second Part</t>
        </is>
      </c>
      <c r="F3116" t="inlineStr">
        <is>
          <t>F0110, F0196</t>
        </is>
      </c>
    </row>
    <row r="3117">
      <c r="A3117" t="inlineStr">
        <is>
          <t>Daniela Melchior</t>
        </is>
      </c>
      <c r="B3117" t="n">
        <v>1</v>
      </c>
      <c r="C3117" t="n">
        <v>2023</v>
      </c>
      <c r="D3117" t="n">
        <v>2023</v>
      </c>
      <c r="E3117" t="inlineStr">
        <is>
          <t>Fast X</t>
        </is>
      </c>
      <c r="F3117" t="inlineStr">
        <is>
          <t>F0110</t>
        </is>
      </c>
    </row>
    <row r="3118">
      <c r="A3118" t="inlineStr">
        <is>
          <t>Rita Moreno</t>
        </is>
      </c>
      <c r="B3118" t="n">
        <v>2</v>
      </c>
      <c r="C3118" t="n">
        <v>2014</v>
      </c>
      <c r="D3118" t="n">
        <v>2023</v>
      </c>
      <c r="E3118" t="inlineStr">
        <is>
          <t>Fast X, Rio 2</t>
        </is>
      </c>
      <c r="F3118" t="inlineStr">
        <is>
          <t>F0110, F0266</t>
        </is>
      </c>
    </row>
    <row r="3119">
      <c r="A3119" t="inlineStr">
        <is>
          <t>Leo Abelo Perry</t>
        </is>
      </c>
      <c r="B3119" t="n">
        <v>1</v>
      </c>
      <c r="C3119" t="n">
        <v>2023</v>
      </c>
      <c r="D3119" t="n">
        <v>2023</v>
      </c>
      <c r="E3119" t="inlineStr">
        <is>
          <t>Fast X</t>
        </is>
      </c>
      <c r="F3119" t="inlineStr">
        <is>
          <t>F0110</t>
        </is>
      </c>
    </row>
    <row r="3120">
      <c r="A3120" t="inlineStr">
        <is>
          <t>Jaz Hutchins</t>
        </is>
      </c>
      <c r="B3120" t="n">
        <v>1</v>
      </c>
      <c r="C3120" t="n">
        <v>2023</v>
      </c>
      <c r="D3120" t="n">
        <v>2023</v>
      </c>
      <c r="E3120" t="inlineStr">
        <is>
          <t>Fast X</t>
        </is>
      </c>
      <c r="F3120" t="inlineStr">
        <is>
          <t>F0110</t>
        </is>
      </c>
    </row>
    <row r="3121">
      <c r="A3121" t="inlineStr">
        <is>
          <t>Luka Hays</t>
        </is>
      </c>
      <c r="B3121" t="n">
        <v>1</v>
      </c>
      <c r="C3121" t="n">
        <v>2023</v>
      </c>
      <c r="D3121" t="n">
        <v>2023</v>
      </c>
      <c r="E3121" t="inlineStr">
        <is>
          <t>Fast X</t>
        </is>
      </c>
      <c r="F3121" t="inlineStr">
        <is>
          <t>F0110</t>
        </is>
      </c>
    </row>
    <row r="3122">
      <c r="A3122" t="inlineStr">
        <is>
          <t>Alexander Capon</t>
        </is>
      </c>
      <c r="B3122" t="n">
        <v>1</v>
      </c>
      <c r="C3122" t="n">
        <v>2023</v>
      </c>
      <c r="D3122" t="n">
        <v>2023</v>
      </c>
      <c r="E3122" t="inlineStr">
        <is>
          <t>Fast X</t>
        </is>
      </c>
      <c r="F3122" t="inlineStr">
        <is>
          <t>F0110</t>
        </is>
      </c>
    </row>
    <row r="3123">
      <c r="A3123" t="inlineStr">
        <is>
          <t>Pete Davidson</t>
        </is>
      </c>
      <c r="B3123" t="n">
        <v>2</v>
      </c>
      <c r="C3123" t="n">
        <v>2023</v>
      </c>
      <c r="D3123" t="n">
        <v>2023</v>
      </c>
      <c r="E3123" t="inlineStr">
        <is>
          <t>Fast X, Transformers: Rise of the Beasts</t>
        </is>
      </c>
      <c r="F3123" t="inlineStr">
        <is>
          <t>F0110, F0321</t>
        </is>
      </c>
    </row>
    <row r="3124">
      <c r="A3124" t="inlineStr">
        <is>
          <t>Shadrach Agozino</t>
        </is>
      </c>
      <c r="B3124" t="n">
        <v>1</v>
      </c>
      <c r="C3124" t="n">
        <v>2023</v>
      </c>
      <c r="D3124" t="n">
        <v>2023</v>
      </c>
      <c r="E3124" t="inlineStr">
        <is>
          <t>Fast X</t>
        </is>
      </c>
      <c r="F3124" t="inlineStr">
        <is>
          <t>F0110</t>
        </is>
      </c>
    </row>
    <row r="3125">
      <c r="A3125" t="inlineStr">
        <is>
          <t>Ludmilla</t>
        </is>
      </c>
      <c r="B3125" t="n">
        <v>1</v>
      </c>
      <c r="C3125" t="n">
        <v>2023</v>
      </c>
      <c r="D3125" t="n">
        <v>2023</v>
      </c>
      <c r="E3125" t="inlineStr">
        <is>
          <t>Fast X</t>
        </is>
      </c>
      <c r="F3125" t="inlineStr">
        <is>
          <t>F0110</t>
        </is>
      </c>
    </row>
    <row r="3126">
      <c r="A3126" t="inlineStr">
        <is>
          <t>Miraj Grbić</t>
        </is>
      </c>
      <c r="B3126" t="n">
        <v>2</v>
      </c>
      <c r="C3126" t="n">
        <v>2011</v>
      </c>
      <c r="D3126" t="n">
        <v>2023</v>
      </c>
      <c r="E3126" t="inlineStr">
        <is>
          <t>Fast X, Mission: Impossible - Ghost Protocol</t>
        </is>
      </c>
      <c r="F3126" t="inlineStr">
        <is>
          <t>F0110, F0224</t>
        </is>
      </c>
    </row>
    <row r="3127">
      <c r="A3127" t="inlineStr">
        <is>
          <t>Meadow Walker</t>
        </is>
      </c>
      <c r="B3127" t="n">
        <v>1</v>
      </c>
      <c r="C3127" t="n">
        <v>2023</v>
      </c>
      <c r="D3127" t="n">
        <v>2023</v>
      </c>
      <c r="E3127" t="inlineStr">
        <is>
          <t>Fast X</t>
        </is>
      </c>
      <c r="F3127" t="inlineStr">
        <is>
          <t>F0110</t>
        </is>
      </c>
    </row>
    <row r="3128">
      <c r="A3128" t="inlineStr">
        <is>
          <t>Shahir Figueira</t>
        </is>
      </c>
      <c r="B3128" t="n">
        <v>1</v>
      </c>
      <c r="C3128" t="n">
        <v>2023</v>
      </c>
      <c r="D3128" t="n">
        <v>2023</v>
      </c>
      <c r="E3128" t="inlineStr">
        <is>
          <t>Fast X</t>
        </is>
      </c>
      <c r="F3128" t="inlineStr">
        <is>
          <t>F0110</t>
        </is>
      </c>
    </row>
    <row r="3129">
      <c r="A3129" t="inlineStr">
        <is>
          <t>Eliana Su'a</t>
        </is>
      </c>
      <c r="B3129" t="n">
        <v>1</v>
      </c>
      <c r="C3129" t="n">
        <v>2019</v>
      </c>
      <c r="D3129" t="n">
        <v>2019</v>
      </c>
      <c r="E3129" t="inlineStr">
        <is>
          <t>Fast &amp; Furious Presents: Hobbs &amp; Shaw</t>
        </is>
      </c>
      <c r="F3129" t="inlineStr">
        <is>
          <t>F0111</t>
        </is>
      </c>
    </row>
    <row r="3130">
      <c r="A3130" t="inlineStr">
        <is>
          <t>Lori Pelenise Tuisano</t>
        </is>
      </c>
      <c r="B3130" t="n">
        <v>1</v>
      </c>
      <c r="C3130" t="n">
        <v>2019</v>
      </c>
      <c r="D3130" t="n">
        <v>2019</v>
      </c>
      <c r="E3130" t="inlineStr">
        <is>
          <t>Fast &amp; Furious Presents: Hobbs &amp; Shaw</t>
        </is>
      </c>
      <c r="F3130" t="inlineStr">
        <is>
          <t>F0111</t>
        </is>
      </c>
    </row>
    <row r="3131">
      <c r="A3131" t="inlineStr">
        <is>
          <t>John Tui</t>
        </is>
      </c>
      <c r="B3131" t="n">
        <v>1</v>
      </c>
      <c r="C3131" t="n">
        <v>2019</v>
      </c>
      <c r="D3131" t="n">
        <v>2019</v>
      </c>
      <c r="E3131" t="inlineStr">
        <is>
          <t>Fast &amp; Furious Presents: Hobbs &amp; Shaw</t>
        </is>
      </c>
      <c r="F3131" t="inlineStr">
        <is>
          <t>F0111</t>
        </is>
      </c>
    </row>
    <row r="3132">
      <c r="A3132" t="inlineStr">
        <is>
          <t>Joshua Mauga</t>
        </is>
      </c>
      <c r="B3132" t="n">
        <v>1</v>
      </c>
      <c r="C3132" t="n">
        <v>2019</v>
      </c>
      <c r="D3132" t="n">
        <v>2019</v>
      </c>
      <c r="E3132" t="inlineStr">
        <is>
          <t>Fast &amp; Furious Presents: Hobbs &amp; Shaw</t>
        </is>
      </c>
      <c r="F3132" t="inlineStr">
        <is>
          <t>F0111</t>
        </is>
      </c>
    </row>
    <row r="3133">
      <c r="A3133" t="inlineStr">
        <is>
          <t>Joe Anoa'i</t>
        </is>
      </c>
      <c r="B3133" t="n">
        <v>1</v>
      </c>
      <c r="C3133" t="n">
        <v>2019</v>
      </c>
      <c r="D3133" t="n">
        <v>2019</v>
      </c>
      <c r="E3133" t="inlineStr">
        <is>
          <t>Fast &amp; Furious Presents: Hobbs &amp; Shaw</t>
        </is>
      </c>
      <c r="F3133" t="inlineStr">
        <is>
          <t>F0111</t>
        </is>
      </c>
    </row>
    <row r="3134">
      <c r="A3134" t="inlineStr">
        <is>
          <t>Alex King</t>
        </is>
      </c>
      <c r="B3134" t="n">
        <v>1</v>
      </c>
      <c r="C3134" t="n">
        <v>2019</v>
      </c>
      <c r="D3134" t="n">
        <v>2019</v>
      </c>
      <c r="E3134" t="inlineStr">
        <is>
          <t>Fast &amp; Furious Presents: Hobbs &amp; Shaw</t>
        </is>
      </c>
      <c r="F3134" t="inlineStr">
        <is>
          <t>F0111</t>
        </is>
      </c>
    </row>
    <row r="3135">
      <c r="A3135" t="inlineStr">
        <is>
          <t>John Macdonald</t>
        </is>
      </c>
      <c r="B3135" t="n">
        <v>1</v>
      </c>
      <c r="C3135" t="n">
        <v>2019</v>
      </c>
      <c r="D3135" t="n">
        <v>2019</v>
      </c>
      <c r="E3135" t="inlineStr">
        <is>
          <t>Fast &amp; Furious Presents: Hobbs &amp; Shaw</t>
        </is>
      </c>
      <c r="F3135" t="inlineStr">
        <is>
          <t>F0111</t>
        </is>
      </c>
    </row>
    <row r="3136">
      <c r="A3136" t="inlineStr">
        <is>
          <t>Georgia Meacham</t>
        </is>
      </c>
      <c r="B3136" t="n">
        <v>1</v>
      </c>
      <c r="C3136" t="n">
        <v>2019</v>
      </c>
      <c r="D3136" t="n">
        <v>2019</v>
      </c>
      <c r="E3136" t="inlineStr">
        <is>
          <t>Fast &amp; Furious Presents: Hobbs &amp; Shaw</t>
        </is>
      </c>
      <c r="F3136" t="inlineStr">
        <is>
          <t>F0111</t>
        </is>
      </c>
    </row>
    <row r="3137">
      <c r="A3137" t="inlineStr">
        <is>
          <t>Laura Porta</t>
        </is>
      </c>
      <c r="B3137" t="n">
        <v>1</v>
      </c>
      <c r="C3137" t="n">
        <v>2019</v>
      </c>
      <c r="D3137" t="n">
        <v>2019</v>
      </c>
      <c r="E3137" t="inlineStr">
        <is>
          <t>Fast &amp; Furious Presents: Hobbs &amp; Shaw</t>
        </is>
      </c>
      <c r="F3137" t="inlineStr">
        <is>
          <t>F0111</t>
        </is>
      </c>
    </row>
    <row r="3138">
      <c r="A3138" t="inlineStr">
        <is>
          <t>Ima Caryl</t>
        </is>
      </c>
      <c r="B3138" t="n">
        <v>1</v>
      </c>
      <c r="C3138" t="n">
        <v>2019</v>
      </c>
      <c r="D3138" t="n">
        <v>2019</v>
      </c>
      <c r="E3138" t="inlineStr">
        <is>
          <t>Fast &amp; Furious Presents: Hobbs &amp; Shaw</t>
        </is>
      </c>
      <c r="F3138" t="inlineStr">
        <is>
          <t>F0111</t>
        </is>
      </c>
    </row>
    <row r="3139">
      <c r="A3139" t="inlineStr">
        <is>
          <t>Shiloh Coke</t>
        </is>
      </c>
      <c r="B3139" t="n">
        <v>1</v>
      </c>
      <c r="C3139" t="n">
        <v>2019</v>
      </c>
      <c r="D3139" t="n">
        <v>2019</v>
      </c>
      <c r="E3139" t="inlineStr">
        <is>
          <t>Fast &amp; Furious Presents: Hobbs &amp; Shaw</t>
        </is>
      </c>
      <c r="F3139" t="inlineStr">
        <is>
          <t>F0111</t>
        </is>
      </c>
    </row>
    <row r="3140">
      <c r="A3140" t="inlineStr">
        <is>
          <t>Joshua Coombes</t>
        </is>
      </c>
      <c r="B3140" t="n">
        <v>1</v>
      </c>
      <c r="C3140" t="n">
        <v>2019</v>
      </c>
      <c r="D3140" t="n">
        <v>2019</v>
      </c>
      <c r="E3140" t="inlineStr">
        <is>
          <t>Fast &amp; Furious Presents: Hobbs &amp; Shaw</t>
        </is>
      </c>
      <c r="F3140" t="inlineStr">
        <is>
          <t>F0111</t>
        </is>
      </c>
    </row>
    <row r="3141">
      <c r="A3141" t="inlineStr">
        <is>
          <t>Meesha Garbett</t>
        </is>
      </c>
      <c r="B3141" t="n">
        <v>1</v>
      </c>
      <c r="C3141" t="n">
        <v>2019</v>
      </c>
      <c r="D3141" t="n">
        <v>2019</v>
      </c>
      <c r="E3141" t="inlineStr">
        <is>
          <t>Fast &amp; Furious Presents: Hobbs &amp; Shaw</t>
        </is>
      </c>
      <c r="F3141" t="inlineStr">
        <is>
          <t>F0111</t>
        </is>
      </c>
    </row>
    <row r="3142">
      <c r="A3142" t="inlineStr">
        <is>
          <t>Harry Hickles</t>
        </is>
      </c>
      <c r="B3142" t="n">
        <v>1</v>
      </c>
      <c r="C3142" t="n">
        <v>2019</v>
      </c>
      <c r="D3142" t="n">
        <v>2019</v>
      </c>
      <c r="E3142" t="inlineStr">
        <is>
          <t>Fast &amp; Furious Presents: Hobbs &amp; Shaw</t>
        </is>
      </c>
      <c r="F3142" t="inlineStr">
        <is>
          <t>F0111</t>
        </is>
      </c>
    </row>
    <row r="3143">
      <c r="A3143" t="inlineStr">
        <is>
          <t>Lucy McCormick</t>
        </is>
      </c>
      <c r="B3143" t="n">
        <v>1</v>
      </c>
      <c r="C3143" t="n">
        <v>2019</v>
      </c>
      <c r="D3143" t="n">
        <v>2019</v>
      </c>
      <c r="E3143" t="inlineStr">
        <is>
          <t>Fast &amp; Furious Presents: Hobbs &amp; Shaw</t>
        </is>
      </c>
      <c r="F3143" t="inlineStr">
        <is>
          <t>F0111</t>
        </is>
      </c>
    </row>
    <row r="3144">
      <c r="A3144" t="inlineStr">
        <is>
          <t>Stephen Mitchell</t>
        </is>
      </c>
      <c r="B3144" t="n">
        <v>1</v>
      </c>
      <c r="C3144" t="n">
        <v>2019</v>
      </c>
      <c r="D3144" t="n">
        <v>2019</v>
      </c>
      <c r="E3144" t="inlineStr">
        <is>
          <t>Fast &amp; Furious Presents: Hobbs &amp; Shaw</t>
        </is>
      </c>
      <c r="F3144" t="inlineStr">
        <is>
          <t>F0111</t>
        </is>
      </c>
    </row>
    <row r="3145">
      <c r="A3145" t="inlineStr">
        <is>
          <t>Akie Kotabe</t>
        </is>
      </c>
      <c r="B3145" t="n">
        <v>1</v>
      </c>
      <c r="C3145" t="n">
        <v>2019</v>
      </c>
      <c r="D3145" t="n">
        <v>2019</v>
      </c>
      <c r="E3145" t="inlineStr">
        <is>
          <t>Fast &amp; Furious Presents: Hobbs &amp; Shaw</t>
        </is>
      </c>
      <c r="F3145" t="inlineStr">
        <is>
          <t>F0111</t>
        </is>
      </c>
    </row>
    <row r="3146">
      <c r="A3146" t="inlineStr">
        <is>
          <t>Felicity Dean</t>
        </is>
      </c>
      <c r="B3146" t="n">
        <v>1</v>
      </c>
      <c r="C3146" t="n">
        <v>2019</v>
      </c>
      <c r="D3146" t="n">
        <v>2019</v>
      </c>
      <c r="E3146" t="inlineStr">
        <is>
          <t>Fast &amp; Furious Presents: Hobbs &amp; Shaw</t>
        </is>
      </c>
      <c r="F3146" t="inlineStr">
        <is>
          <t>F0111</t>
        </is>
      </c>
    </row>
    <row r="3147">
      <c r="A3147" t="inlineStr">
        <is>
          <t>Pete White</t>
        </is>
      </c>
      <c r="B3147" t="n">
        <v>1</v>
      </c>
      <c r="C3147" t="n">
        <v>2019</v>
      </c>
      <c r="D3147" t="n">
        <v>2019</v>
      </c>
      <c r="E3147" t="inlineStr">
        <is>
          <t>Fast &amp; Furious Presents: Hobbs &amp; Shaw</t>
        </is>
      </c>
      <c r="F3147" t="inlineStr">
        <is>
          <t>F0111</t>
        </is>
      </c>
    </row>
    <row r="3148">
      <c r="A3148" t="inlineStr">
        <is>
          <t>Zach Grenier</t>
        </is>
      </c>
      <c r="B3148" t="n">
        <v>3</v>
      </c>
      <c r="C3148" t="n">
        <v>1999</v>
      </c>
      <c r="D3148" t="n">
        <v>2007</v>
      </c>
      <c r="E3148" t="inlineStr">
        <is>
          <t>Fight Club, RoboCop, Zodiac</t>
        </is>
      </c>
      <c r="F3148" t="inlineStr">
        <is>
          <t>F0112, F0268, F0350</t>
        </is>
      </c>
    </row>
    <row r="3149">
      <c r="A3149" t="inlineStr">
        <is>
          <t>Eion Bailey</t>
        </is>
      </c>
      <c r="B3149" t="n">
        <v>1</v>
      </c>
      <c r="C3149" t="n">
        <v>1999</v>
      </c>
      <c r="D3149" t="n">
        <v>1999</v>
      </c>
      <c r="E3149" t="inlineStr">
        <is>
          <t>Fight Club</t>
        </is>
      </c>
      <c r="F3149" t="inlineStr">
        <is>
          <t>F0112</t>
        </is>
      </c>
    </row>
    <row r="3150">
      <c r="A3150" t="inlineStr">
        <is>
          <t>Richmond Arquette</t>
        </is>
      </c>
      <c r="B3150" t="n">
        <v>2</v>
      </c>
      <c r="C3150" t="n">
        <v>1999</v>
      </c>
      <c r="D3150" t="n">
        <v>2007</v>
      </c>
      <c r="E3150" t="inlineStr">
        <is>
          <t>Fight Club, Zodiac</t>
        </is>
      </c>
      <c r="F3150" t="inlineStr">
        <is>
          <t>F0112, F0350</t>
        </is>
      </c>
    </row>
    <row r="3151">
      <c r="A3151" t="inlineStr">
        <is>
          <t>George Maguire</t>
        </is>
      </c>
      <c r="B3151" t="n">
        <v>2</v>
      </c>
      <c r="C3151" t="n">
        <v>1999</v>
      </c>
      <c r="D3151" t="n">
        <v>2006</v>
      </c>
      <c r="E3151" t="inlineStr">
        <is>
          <t>Fight Club, The Pursuit of Happyness</t>
        </is>
      </c>
      <c r="F3151" t="inlineStr">
        <is>
          <t>F0112, F0260</t>
        </is>
      </c>
    </row>
    <row r="3152">
      <c r="A3152" t="inlineStr">
        <is>
          <t>Eugenie Bondurant</t>
        </is>
      </c>
      <c r="B3152" t="n">
        <v>1</v>
      </c>
      <c r="C3152" t="n">
        <v>1999</v>
      </c>
      <c r="D3152" t="n">
        <v>1999</v>
      </c>
      <c r="E3152" t="inlineStr">
        <is>
          <t>Fight Club</t>
        </is>
      </c>
      <c r="F3152" t="inlineStr">
        <is>
          <t>F0112</t>
        </is>
      </c>
    </row>
    <row r="3153">
      <c r="A3153" t="inlineStr">
        <is>
          <t>Christina Cabot</t>
        </is>
      </c>
      <c r="B3153" t="n">
        <v>1</v>
      </c>
      <c r="C3153" t="n">
        <v>1999</v>
      </c>
      <c r="D3153" t="n">
        <v>1999</v>
      </c>
      <c r="E3153" t="inlineStr">
        <is>
          <t>Fight Club</t>
        </is>
      </c>
      <c r="F3153" t="inlineStr">
        <is>
          <t>F0112</t>
        </is>
      </c>
    </row>
    <row r="3154">
      <c r="A3154" t="inlineStr">
        <is>
          <t>Sydney 'Big Dawg' Colston</t>
        </is>
      </c>
      <c r="B3154" t="n">
        <v>1</v>
      </c>
      <c r="C3154" t="n">
        <v>1999</v>
      </c>
      <c r="D3154" t="n">
        <v>1999</v>
      </c>
      <c r="E3154" t="inlineStr">
        <is>
          <t>Fight Club</t>
        </is>
      </c>
      <c r="F3154" t="inlineStr">
        <is>
          <t>F0112</t>
        </is>
      </c>
    </row>
    <row r="3155">
      <c r="A3155" t="inlineStr">
        <is>
          <t>Rachel Singer</t>
        </is>
      </c>
      <c r="B3155" t="n">
        <v>1</v>
      </c>
      <c r="C3155" t="n">
        <v>1999</v>
      </c>
      <c r="D3155" t="n">
        <v>1999</v>
      </c>
      <c r="E3155" t="inlineStr">
        <is>
          <t>Fight Club</t>
        </is>
      </c>
      <c r="F3155" t="inlineStr">
        <is>
          <t>F0112</t>
        </is>
      </c>
    </row>
    <row r="3156">
      <c r="A3156" t="inlineStr">
        <is>
          <t>Christie Cronenweth</t>
        </is>
      </c>
      <c r="B3156" t="n">
        <v>1</v>
      </c>
      <c r="C3156" t="n">
        <v>1999</v>
      </c>
      <c r="D3156" t="n">
        <v>1999</v>
      </c>
      <c r="E3156" t="inlineStr">
        <is>
          <t>Fight Club</t>
        </is>
      </c>
      <c r="F3156" t="inlineStr">
        <is>
          <t>F0112</t>
        </is>
      </c>
    </row>
    <row r="3157">
      <c r="A3157" t="inlineStr">
        <is>
          <t>Ezra Buzzington</t>
        </is>
      </c>
      <c r="B3157" t="n">
        <v>2</v>
      </c>
      <c r="C3157" t="n">
        <v>1999</v>
      </c>
      <c r="D3157" t="n">
        <v>2006</v>
      </c>
      <c r="E3157" t="inlineStr">
        <is>
          <t>Fight Club, The Prestige</t>
        </is>
      </c>
      <c r="F3157" t="inlineStr">
        <is>
          <t>F0112, F0257</t>
        </is>
      </c>
    </row>
    <row r="3158">
      <c r="A3158" t="inlineStr">
        <is>
          <t>Dierdre Downing-Jackson</t>
        </is>
      </c>
      <c r="B3158" t="n">
        <v>1</v>
      </c>
      <c r="C3158" t="n">
        <v>1999</v>
      </c>
      <c r="D3158" t="n">
        <v>1999</v>
      </c>
      <c r="E3158" t="inlineStr">
        <is>
          <t>Fight Club</t>
        </is>
      </c>
      <c r="F3158" t="inlineStr">
        <is>
          <t>F0112</t>
        </is>
      </c>
    </row>
    <row r="3159">
      <c r="A3159" t="inlineStr">
        <is>
          <t>Charlie Dell</t>
        </is>
      </c>
      <c r="B3159" t="n">
        <v>1</v>
      </c>
      <c r="C3159" t="n">
        <v>1999</v>
      </c>
      <c r="D3159" t="n">
        <v>1999</v>
      </c>
      <c r="E3159" t="inlineStr">
        <is>
          <t>Fight Club</t>
        </is>
      </c>
      <c r="F3159" t="inlineStr">
        <is>
          <t>F0112</t>
        </is>
      </c>
    </row>
    <row r="3160">
      <c r="A3160" t="inlineStr">
        <is>
          <t>Rob Lanza</t>
        </is>
      </c>
      <c r="B3160" t="n">
        <v>1</v>
      </c>
      <c r="C3160" t="n">
        <v>1999</v>
      </c>
      <c r="D3160" t="n">
        <v>1999</v>
      </c>
      <c r="E3160" t="inlineStr">
        <is>
          <t>Fight Club</t>
        </is>
      </c>
      <c r="F3160" t="inlineStr">
        <is>
          <t>F0112</t>
        </is>
      </c>
    </row>
    <row r="3161">
      <c r="A3161" t="inlineStr">
        <is>
          <t>David Lee Smith</t>
        </is>
      </c>
      <c r="B3161" t="n">
        <v>2</v>
      </c>
      <c r="C3161" t="n">
        <v>1999</v>
      </c>
      <c r="D3161" t="n">
        <v>2007</v>
      </c>
      <c r="E3161" t="inlineStr">
        <is>
          <t>Fight Club, Zodiac</t>
        </is>
      </c>
      <c r="F3161" t="inlineStr">
        <is>
          <t>F0112, F0350</t>
        </is>
      </c>
    </row>
    <row r="3162">
      <c r="A3162" t="inlineStr">
        <is>
          <t>Joel Bissonnette</t>
        </is>
      </c>
      <c r="B3162" t="n">
        <v>1</v>
      </c>
      <c r="C3162" t="n">
        <v>1999</v>
      </c>
      <c r="D3162" t="n">
        <v>1999</v>
      </c>
      <c r="E3162" t="inlineStr">
        <is>
          <t>Fight Club</t>
        </is>
      </c>
      <c r="F3162" t="inlineStr">
        <is>
          <t>F0112</t>
        </is>
      </c>
    </row>
    <row r="3163">
      <c r="A3163" t="inlineStr">
        <is>
          <t>Evan Mirand</t>
        </is>
      </c>
      <c r="B3163" t="n">
        <v>1</v>
      </c>
      <c r="C3163" t="n">
        <v>1999</v>
      </c>
      <c r="D3163" t="n">
        <v>1999</v>
      </c>
      <c r="E3163" t="inlineStr">
        <is>
          <t>Fight Club</t>
        </is>
      </c>
      <c r="F3163" t="inlineStr">
        <is>
          <t>F0112</t>
        </is>
      </c>
    </row>
    <row r="3164">
      <c r="A3164" t="inlineStr">
        <is>
          <t>Robby Robinson</t>
        </is>
      </c>
      <c r="B3164" t="n">
        <v>1</v>
      </c>
      <c r="C3164" t="n">
        <v>1999</v>
      </c>
      <c r="D3164" t="n">
        <v>1999</v>
      </c>
      <c r="E3164" t="inlineStr">
        <is>
          <t>Fight Club</t>
        </is>
      </c>
      <c r="F3164" t="inlineStr">
        <is>
          <t>F0112</t>
        </is>
      </c>
    </row>
    <row r="3165">
      <c r="A3165" t="inlineStr">
        <is>
          <t>Lou Beatty Jr.</t>
        </is>
      </c>
      <c r="B3165" t="n">
        <v>1</v>
      </c>
      <c r="C3165" t="n">
        <v>1999</v>
      </c>
      <c r="D3165" t="n">
        <v>1999</v>
      </c>
      <c r="E3165" t="inlineStr">
        <is>
          <t>Fight Club</t>
        </is>
      </c>
      <c r="F3165" t="inlineStr">
        <is>
          <t>F0112</t>
        </is>
      </c>
    </row>
    <row r="3166">
      <c r="A3166" t="inlineStr">
        <is>
          <t>Thom Gossom Jr.</t>
        </is>
      </c>
      <c r="B3166" t="n">
        <v>1</v>
      </c>
      <c r="C3166" t="n">
        <v>1999</v>
      </c>
      <c r="D3166" t="n">
        <v>1999</v>
      </c>
      <c r="E3166" t="inlineStr">
        <is>
          <t>Fight Club</t>
        </is>
      </c>
      <c r="F3166" t="inlineStr">
        <is>
          <t>F0112</t>
        </is>
      </c>
    </row>
    <row r="3167">
      <c r="A3167" t="inlineStr">
        <is>
          <t>Valerie Bickford</t>
        </is>
      </c>
      <c r="B3167" t="n">
        <v>1</v>
      </c>
      <c r="C3167" t="n">
        <v>1999</v>
      </c>
      <c r="D3167" t="n">
        <v>1999</v>
      </c>
      <c r="E3167" t="inlineStr">
        <is>
          <t>Fight Club</t>
        </is>
      </c>
      <c r="F3167" t="inlineStr">
        <is>
          <t>F0112</t>
        </is>
      </c>
    </row>
    <row r="3168">
      <c r="A3168" t="inlineStr">
        <is>
          <t>Peter Iacangelo</t>
        </is>
      </c>
      <c r="B3168" t="n">
        <v>1</v>
      </c>
      <c r="C3168" t="n">
        <v>1999</v>
      </c>
      <c r="D3168" t="n">
        <v>1999</v>
      </c>
      <c r="E3168" t="inlineStr">
        <is>
          <t>Fight Club</t>
        </is>
      </c>
      <c r="F3168" t="inlineStr">
        <is>
          <t>F0112</t>
        </is>
      </c>
    </row>
    <row r="3169">
      <c r="A3169" t="inlineStr">
        <is>
          <t>Eugene Levy</t>
        </is>
      </c>
      <c r="B3169" t="n">
        <v>1</v>
      </c>
      <c r="C3169" t="n">
        <v>2016</v>
      </c>
      <c r="D3169" t="n">
        <v>2016</v>
      </c>
      <c r="E3169" t="inlineStr">
        <is>
          <t>Finding Dory</t>
        </is>
      </c>
      <c r="F3169" t="inlineStr">
        <is>
          <t>F0113</t>
        </is>
      </c>
    </row>
    <row r="3170">
      <c r="A3170" t="inlineStr">
        <is>
          <t>Kaitlin Olson</t>
        </is>
      </c>
      <c r="B3170" t="n">
        <v>2</v>
      </c>
      <c r="C3170" t="n">
        <v>2013</v>
      </c>
      <c r="D3170" t="n">
        <v>2016</v>
      </c>
      <c r="E3170" t="inlineStr">
        <is>
          <t>Finding Dory, The Heat</t>
        </is>
      </c>
      <c r="F3170" t="inlineStr">
        <is>
          <t>F0113, F0146</t>
        </is>
      </c>
    </row>
    <row r="3171">
      <c r="A3171" t="inlineStr">
        <is>
          <t>Dominic West</t>
        </is>
      </c>
      <c r="B3171" t="n">
        <v>2</v>
      </c>
      <c r="C3171" t="n">
        <v>1999</v>
      </c>
      <c r="D3171" t="n">
        <v>2016</v>
      </c>
      <c r="E3171" t="inlineStr">
        <is>
          <t>Finding Dory, Star Wars: Episode I – The Phantom Menace</t>
        </is>
      </c>
      <c r="F3171" t="inlineStr">
        <is>
          <t>F0113, F0292</t>
        </is>
      </c>
    </row>
    <row r="3172">
      <c r="A3172" t="inlineStr">
        <is>
          <t>Andrew Stanton</t>
        </is>
      </c>
      <c r="B3172" t="n">
        <v>3</v>
      </c>
      <c r="C3172" t="n">
        <v>1999</v>
      </c>
      <c r="D3172" t="n">
        <v>2016</v>
      </c>
      <c r="E3172" t="inlineStr">
        <is>
          <t>Finding Dory, Toy Story 2, WALL·E</t>
        </is>
      </c>
      <c r="F3172" t="inlineStr">
        <is>
          <t>F0113, F0313, F0331</t>
        </is>
      </c>
    </row>
    <row r="3173">
      <c r="A3173" t="inlineStr">
        <is>
          <t>Torbin Xan Bullock</t>
        </is>
      </c>
      <c r="B3173" t="n">
        <v>1</v>
      </c>
      <c r="C3173" t="n">
        <v>2016</v>
      </c>
      <c r="D3173" t="n">
        <v>2016</v>
      </c>
      <c r="E3173" t="inlineStr">
        <is>
          <t>Finding Dory</t>
        </is>
      </c>
      <c r="F3173" t="inlineStr">
        <is>
          <t>F0113</t>
        </is>
      </c>
    </row>
    <row r="3174">
      <c r="A3174" t="inlineStr">
        <is>
          <t>Bennett Dammann</t>
        </is>
      </c>
      <c r="B3174" t="n">
        <v>1</v>
      </c>
      <c r="C3174" t="n">
        <v>2016</v>
      </c>
      <c r="D3174" t="n">
        <v>2016</v>
      </c>
      <c r="E3174" t="inlineStr">
        <is>
          <t>Finding Dory</t>
        </is>
      </c>
      <c r="F3174" t="inlineStr">
        <is>
          <t>F0113</t>
        </is>
      </c>
    </row>
    <row r="3175">
      <c r="A3175" t="inlineStr">
        <is>
          <t>Alexander Gould</t>
        </is>
      </c>
      <c r="B3175" t="n">
        <v>1</v>
      </c>
      <c r="C3175" t="n">
        <v>2016</v>
      </c>
      <c r="D3175" t="n">
        <v>2016</v>
      </c>
      <c r="E3175" t="inlineStr">
        <is>
          <t>Finding Dory</t>
        </is>
      </c>
      <c r="F3175" t="inlineStr">
        <is>
          <t>F0113</t>
        </is>
      </c>
    </row>
    <row r="3176">
      <c r="A3176" t="inlineStr">
        <is>
          <t>Katherine Ringgold</t>
        </is>
      </c>
      <c r="B3176" t="n">
        <v>1</v>
      </c>
      <c r="C3176" t="n">
        <v>2016</v>
      </c>
      <c r="D3176" t="n">
        <v>2016</v>
      </c>
      <c r="E3176" t="inlineStr">
        <is>
          <t>Finding Dory</t>
        </is>
      </c>
      <c r="F3176" t="inlineStr">
        <is>
          <t>F0113</t>
        </is>
      </c>
    </row>
    <row r="3177">
      <c r="A3177" t="inlineStr">
        <is>
          <t>Angus MacLane</t>
        </is>
      </c>
      <c r="B3177" t="n">
        <v>2</v>
      </c>
      <c r="C3177" t="n">
        <v>2008</v>
      </c>
      <c r="D3177" t="n">
        <v>2016</v>
      </c>
      <c r="E3177" t="inlineStr">
        <is>
          <t>Finding Dory, WALL·E</t>
        </is>
      </c>
      <c r="F3177" t="inlineStr">
        <is>
          <t>F0113, F0331</t>
        </is>
      </c>
    </row>
    <row r="3178">
      <c r="A3178" t="inlineStr">
        <is>
          <t>Austin Pendleton</t>
        </is>
      </c>
      <c r="B3178" t="n">
        <v>1</v>
      </c>
      <c r="C3178" t="n">
        <v>2016</v>
      </c>
      <c r="D3178" t="n">
        <v>2016</v>
      </c>
      <c r="E3178" t="inlineStr">
        <is>
          <t>Finding Dory</t>
        </is>
      </c>
      <c r="F3178" t="inlineStr">
        <is>
          <t>F0113</t>
        </is>
      </c>
    </row>
    <row r="3179">
      <c r="A3179" t="inlineStr">
        <is>
          <t>Stephen Root</t>
        </is>
      </c>
      <c r="B3179" t="n">
        <v>2</v>
      </c>
      <c r="C3179" t="n">
        <v>2006</v>
      </c>
      <c r="D3179" t="n">
        <v>2016</v>
      </c>
      <c r="E3179" t="inlineStr">
        <is>
          <t>Finding Dory, Ice Age: The Meltdown</t>
        </is>
      </c>
      <c r="F3179" t="inlineStr">
        <is>
          <t>F0113, F0160</t>
        </is>
      </c>
    </row>
    <row r="3180">
      <c r="A3180" t="inlineStr">
        <is>
          <t>Vicki Lewis</t>
        </is>
      </c>
      <c r="B3180" t="n">
        <v>1</v>
      </c>
      <c r="C3180" t="n">
        <v>2016</v>
      </c>
      <c r="D3180" t="n">
        <v>2016</v>
      </c>
      <c r="E3180" t="inlineStr">
        <is>
          <t>Finding Dory</t>
        </is>
      </c>
      <c r="F3180" t="inlineStr">
        <is>
          <t>F0113</t>
        </is>
      </c>
    </row>
    <row r="3181">
      <c r="A3181" t="inlineStr">
        <is>
          <t>Jerome Ranft</t>
        </is>
      </c>
      <c r="B3181" t="n">
        <v>2</v>
      </c>
      <c r="C3181" t="n">
        <v>2009</v>
      </c>
      <c r="D3181" t="n">
        <v>2016</v>
      </c>
      <c r="E3181" t="inlineStr">
        <is>
          <t>Finding Dory, Up</t>
        </is>
      </c>
      <c r="F3181" t="inlineStr">
        <is>
          <t>F0113, F0330</t>
        </is>
      </c>
    </row>
    <row r="3182">
      <c r="A3182" t="inlineStr">
        <is>
          <t>Sloane Murray</t>
        </is>
      </c>
      <c r="B3182" t="n">
        <v>1</v>
      </c>
      <c r="C3182" t="n">
        <v>2016</v>
      </c>
      <c r="D3182" t="n">
        <v>2016</v>
      </c>
      <c r="E3182" t="inlineStr">
        <is>
          <t>Finding Dory</t>
        </is>
      </c>
      <c r="F3182" t="inlineStr">
        <is>
          <t>F0113</t>
        </is>
      </c>
    </row>
    <row r="3183">
      <c r="A3183" t="inlineStr">
        <is>
          <t>Lucia Geddes</t>
        </is>
      </c>
      <c r="B3183" t="n">
        <v>1</v>
      </c>
      <c r="C3183" t="n">
        <v>2016</v>
      </c>
      <c r="D3183" t="n">
        <v>2016</v>
      </c>
      <c r="E3183" t="inlineStr">
        <is>
          <t>Finding Dory</t>
        </is>
      </c>
      <c r="F3183" t="inlineStr">
        <is>
          <t>F0113</t>
        </is>
      </c>
    </row>
    <row r="3184">
      <c r="A3184" t="inlineStr">
        <is>
          <t>Gabriel C. Brown</t>
        </is>
      </c>
      <c r="B3184" t="n">
        <v>1</v>
      </c>
      <c r="C3184" t="n">
        <v>2016</v>
      </c>
      <c r="D3184" t="n">
        <v>2016</v>
      </c>
      <c r="E3184" t="inlineStr">
        <is>
          <t>Finding Dory</t>
        </is>
      </c>
      <c r="F3184" t="inlineStr">
        <is>
          <t>F0113</t>
        </is>
      </c>
    </row>
    <row r="3185">
      <c r="A3185" t="inlineStr">
        <is>
          <t>Mary Lynn Rajskub</t>
        </is>
      </c>
      <c r="B3185" t="n">
        <v>1</v>
      </c>
      <c r="C3185" t="n">
        <v>2006</v>
      </c>
      <c r="D3185" t="n">
        <v>2006</v>
      </c>
      <c r="E3185" t="inlineStr">
        <is>
          <t>Firewall</t>
        </is>
      </c>
      <c r="F3185" t="inlineStr">
        <is>
          <t>F0114</t>
        </is>
      </c>
    </row>
    <row r="3186">
      <c r="A3186" t="inlineStr">
        <is>
          <t>Robert Patrick</t>
        </is>
      </c>
      <c r="B3186" t="n">
        <v>2</v>
      </c>
      <c r="C3186" t="n">
        <v>2006</v>
      </c>
      <c r="D3186" t="n">
        <v>2012</v>
      </c>
      <c r="E3186" t="inlineStr">
        <is>
          <t>Firewall, Safe House</t>
        </is>
      </c>
      <c r="F3186" t="inlineStr">
        <is>
          <t>F0114, F0272</t>
        </is>
      </c>
    </row>
    <row r="3187">
      <c r="A3187" t="inlineStr">
        <is>
          <t>Robert Forster</t>
        </is>
      </c>
      <c r="B3187" t="n">
        <v>2</v>
      </c>
      <c r="C3187" t="n">
        <v>2006</v>
      </c>
      <c r="D3187" t="n">
        <v>2013</v>
      </c>
      <c r="E3187" t="inlineStr">
        <is>
          <t>Firewall, Olympus Has Fallen</t>
        </is>
      </c>
      <c r="F3187" t="inlineStr">
        <is>
          <t>F0114, F0240</t>
        </is>
      </c>
    </row>
    <row r="3188">
      <c r="A3188" t="inlineStr">
        <is>
          <t>Birkett Turton</t>
        </is>
      </c>
      <c r="B3188" t="n">
        <v>1</v>
      </c>
      <c r="C3188" t="n">
        <v>2006</v>
      </c>
      <c r="D3188" t="n">
        <v>2006</v>
      </c>
      <c r="E3188" t="inlineStr">
        <is>
          <t>Firewall</t>
        </is>
      </c>
      <c r="F3188" t="inlineStr">
        <is>
          <t>F0114</t>
        </is>
      </c>
    </row>
    <row r="3189">
      <c r="A3189" t="inlineStr">
        <is>
          <t>Vince Vieluf</t>
        </is>
      </c>
      <c r="B3189" t="n">
        <v>1</v>
      </c>
      <c r="C3189" t="n">
        <v>2006</v>
      </c>
      <c r="D3189" t="n">
        <v>2006</v>
      </c>
      <c r="E3189" t="inlineStr">
        <is>
          <t>Firewall</t>
        </is>
      </c>
      <c r="F3189" t="inlineStr">
        <is>
          <t>F0114</t>
        </is>
      </c>
    </row>
    <row r="3190">
      <c r="A3190" t="inlineStr">
        <is>
          <t>Vincent Gale</t>
        </is>
      </c>
      <c r="B3190" t="n">
        <v>1</v>
      </c>
      <c r="C3190" t="n">
        <v>2006</v>
      </c>
      <c r="D3190" t="n">
        <v>2006</v>
      </c>
      <c r="E3190" t="inlineStr">
        <is>
          <t>Firewall</t>
        </is>
      </c>
      <c r="F3190" t="inlineStr">
        <is>
          <t>F0114</t>
        </is>
      </c>
    </row>
    <row r="3191">
      <c r="A3191" t="inlineStr">
        <is>
          <t>Matthew Currie Holmes</t>
        </is>
      </c>
      <c r="B3191" t="n">
        <v>1</v>
      </c>
      <c r="C3191" t="n">
        <v>2006</v>
      </c>
      <c r="D3191" t="n">
        <v>2006</v>
      </c>
      <c r="E3191" t="inlineStr">
        <is>
          <t>Firewall</t>
        </is>
      </c>
      <c r="F3191" t="inlineStr">
        <is>
          <t>F0114</t>
        </is>
      </c>
    </row>
    <row r="3192">
      <c r="A3192" t="inlineStr">
        <is>
          <t>Candus Churchill</t>
        </is>
      </c>
      <c r="B3192" t="n">
        <v>1</v>
      </c>
      <c r="C3192" t="n">
        <v>2006</v>
      </c>
      <c r="D3192" t="n">
        <v>2006</v>
      </c>
      <c r="E3192" t="inlineStr">
        <is>
          <t>Firewall</t>
        </is>
      </c>
      <c r="F3192" t="inlineStr">
        <is>
          <t>F0114</t>
        </is>
      </c>
    </row>
    <row r="3193">
      <c r="A3193" t="inlineStr">
        <is>
          <t>David James Lewis</t>
        </is>
      </c>
      <c r="B3193" t="n">
        <v>2</v>
      </c>
      <c r="C3193" t="n">
        <v>2006</v>
      </c>
      <c r="D3193" t="n">
        <v>2013</v>
      </c>
      <c r="E3193" t="inlineStr">
        <is>
          <t>Firewall, Man of Steel</t>
        </is>
      </c>
      <c r="F3193" t="inlineStr">
        <is>
          <t>F0114, F0211</t>
        </is>
      </c>
    </row>
    <row r="3194">
      <c r="A3194" t="inlineStr">
        <is>
          <t>Zahf Paroo</t>
        </is>
      </c>
      <c r="B3194" t="n">
        <v>1</v>
      </c>
      <c r="C3194" t="n">
        <v>2006</v>
      </c>
      <c r="D3194" t="n">
        <v>2006</v>
      </c>
      <c r="E3194" t="inlineStr">
        <is>
          <t>Firewall</t>
        </is>
      </c>
      <c r="F3194" t="inlineStr">
        <is>
          <t>F0114</t>
        </is>
      </c>
    </row>
    <row r="3195">
      <c r="A3195" t="inlineStr">
        <is>
          <t>Pat Jenkinson</t>
        </is>
      </c>
      <c r="B3195" t="n">
        <v>1</v>
      </c>
      <c r="C3195" t="n">
        <v>2006</v>
      </c>
      <c r="D3195" t="n">
        <v>2006</v>
      </c>
      <c r="E3195" t="inlineStr">
        <is>
          <t>Firewall</t>
        </is>
      </c>
      <c r="F3195" t="inlineStr">
        <is>
          <t>F0114</t>
        </is>
      </c>
    </row>
    <row r="3196">
      <c r="A3196" t="inlineStr">
        <is>
          <t>Gail Ann Lewis</t>
        </is>
      </c>
      <c r="B3196" t="n">
        <v>1</v>
      </c>
      <c r="C3196" t="n">
        <v>2006</v>
      </c>
      <c r="D3196" t="n">
        <v>2006</v>
      </c>
      <c r="E3196" t="inlineStr">
        <is>
          <t>Firewall</t>
        </is>
      </c>
      <c r="F3196" t="inlineStr">
        <is>
          <t>F0114</t>
        </is>
      </c>
    </row>
    <row r="3197">
      <c r="A3197" t="inlineStr">
        <is>
          <t>Finn Michael</t>
        </is>
      </c>
      <c r="B3197" t="n">
        <v>1</v>
      </c>
      <c r="C3197" t="n">
        <v>2006</v>
      </c>
      <c r="D3197" t="n">
        <v>2006</v>
      </c>
      <c r="E3197" t="inlineStr">
        <is>
          <t>Firewall</t>
        </is>
      </c>
      <c r="F3197" t="inlineStr">
        <is>
          <t>F0114</t>
        </is>
      </c>
    </row>
    <row r="3198">
      <c r="A3198" t="inlineStr">
        <is>
          <t>Andrew McNee</t>
        </is>
      </c>
      <c r="B3198" t="n">
        <v>1</v>
      </c>
      <c r="C3198" t="n">
        <v>2006</v>
      </c>
      <c r="D3198" t="n">
        <v>2006</v>
      </c>
      <c r="E3198" t="inlineStr">
        <is>
          <t>Firewall</t>
        </is>
      </c>
      <c r="F3198" t="inlineStr">
        <is>
          <t>F0114</t>
        </is>
      </c>
    </row>
    <row r="3199">
      <c r="A3199" t="inlineStr">
        <is>
          <t>Eric Keenleyside</t>
        </is>
      </c>
      <c r="B3199" t="n">
        <v>2</v>
      </c>
      <c r="C3199" t="n">
        <v>2006</v>
      </c>
      <c r="D3199" t="n">
        <v>2014</v>
      </c>
      <c r="E3199" t="inlineStr">
        <is>
          <t>Firewall, Godzilla</t>
        </is>
      </c>
      <c r="F3199" t="inlineStr">
        <is>
          <t>F0114, F0121</t>
        </is>
      </c>
    </row>
    <row r="3200">
      <c r="A3200" t="inlineStr">
        <is>
          <t>Beverley Breuer</t>
        </is>
      </c>
      <c r="B3200" t="n">
        <v>1</v>
      </c>
      <c r="C3200" t="n">
        <v>2006</v>
      </c>
      <c r="D3200" t="n">
        <v>2006</v>
      </c>
      <c r="E3200" t="inlineStr">
        <is>
          <t>Firewall</t>
        </is>
      </c>
      <c r="F3200" t="inlineStr">
        <is>
          <t>F0114</t>
        </is>
      </c>
    </row>
    <row r="3201">
      <c r="A3201" t="inlineStr">
        <is>
          <t>Jennifer Kitchen</t>
        </is>
      </c>
      <c r="B3201" t="n">
        <v>1</v>
      </c>
      <c r="C3201" t="n">
        <v>2006</v>
      </c>
      <c r="D3201" t="n">
        <v>2006</v>
      </c>
      <c r="E3201" t="inlineStr">
        <is>
          <t>Firewall</t>
        </is>
      </c>
      <c r="F3201" t="inlineStr">
        <is>
          <t>F0114</t>
        </is>
      </c>
    </row>
    <row r="3202">
      <c r="A3202" t="inlineStr">
        <is>
          <t>Rebecca Reichert</t>
        </is>
      </c>
      <c r="B3202" t="n">
        <v>1</v>
      </c>
      <c r="C3202" t="n">
        <v>2006</v>
      </c>
      <c r="D3202" t="n">
        <v>2006</v>
      </c>
      <c r="E3202" t="inlineStr">
        <is>
          <t>Firewall</t>
        </is>
      </c>
      <c r="F3202" t="inlineStr">
        <is>
          <t>F0114</t>
        </is>
      </c>
    </row>
    <row r="3203">
      <c r="A3203" t="inlineStr">
        <is>
          <t>Elizabeth Thai</t>
        </is>
      </c>
      <c r="B3203" t="n">
        <v>2</v>
      </c>
      <c r="C3203" t="n">
        <v>2006</v>
      </c>
      <c r="D3203" t="n">
        <v>2013</v>
      </c>
      <c r="E3203" t="inlineStr">
        <is>
          <t>Firewall, Man of Steel</t>
        </is>
      </c>
      <c r="F3203" t="inlineStr">
        <is>
          <t>F0114, F0211</t>
        </is>
      </c>
    </row>
    <row r="3204">
      <c r="A3204" t="inlineStr">
        <is>
          <t>Brenda Crichlow</t>
        </is>
      </c>
      <c r="B3204" t="n">
        <v>1</v>
      </c>
      <c r="C3204" t="n">
        <v>2006</v>
      </c>
      <c r="D3204" t="n">
        <v>2006</v>
      </c>
      <c r="E3204" t="inlineStr">
        <is>
          <t>Firewall</t>
        </is>
      </c>
      <c r="F3204" t="inlineStr">
        <is>
          <t>F0114</t>
        </is>
      </c>
    </row>
    <row r="3205">
      <c r="A3205" t="inlineStr">
        <is>
          <t>Ty Olsson</t>
        </is>
      </c>
      <c r="B3205" t="n">
        <v>4</v>
      </c>
      <c r="C3205" t="n">
        <v>2003</v>
      </c>
      <c r="D3205" t="n">
        <v>2017</v>
      </c>
      <c r="E3205" t="inlineStr">
        <is>
          <t>Firewall, Rise of the Planet of the Apes, War for the Planet of the Apes, X2: X-Men United</t>
        </is>
      </c>
      <c r="F3205" t="inlineStr">
        <is>
          <t>F0114, F0253, F0255, F0345</t>
        </is>
      </c>
    </row>
    <row r="3206">
      <c r="A3206" t="inlineStr">
        <is>
          <t>Liz Cackowski</t>
        </is>
      </c>
      <c r="B3206" t="n">
        <v>1</v>
      </c>
      <c r="C3206" t="n">
        <v>2008</v>
      </c>
      <c r="D3206" t="n">
        <v>2008</v>
      </c>
      <c r="E3206" t="inlineStr">
        <is>
          <t>Forgetting Sarah Marshall</t>
        </is>
      </c>
      <c r="F3206" t="inlineStr">
        <is>
          <t>F0115</t>
        </is>
      </c>
    </row>
    <row r="3207">
      <c r="A3207" t="inlineStr">
        <is>
          <t>Maria Thayer</t>
        </is>
      </c>
      <c r="B3207" t="n">
        <v>1</v>
      </c>
      <c r="C3207" t="n">
        <v>2008</v>
      </c>
      <c r="D3207" t="n">
        <v>2008</v>
      </c>
      <c r="E3207" t="inlineStr">
        <is>
          <t>Forgetting Sarah Marshall</t>
        </is>
      </c>
      <c r="F3207" t="inlineStr">
        <is>
          <t>F0115</t>
        </is>
      </c>
    </row>
    <row r="3208">
      <c r="A3208" t="inlineStr">
        <is>
          <t>William Baldwin</t>
        </is>
      </c>
      <c r="B3208" t="n">
        <v>1</v>
      </c>
      <c r="C3208" t="n">
        <v>2008</v>
      </c>
      <c r="D3208" t="n">
        <v>2008</v>
      </c>
      <c r="E3208" t="inlineStr">
        <is>
          <t>Forgetting Sarah Marshall</t>
        </is>
      </c>
      <c r="F3208" t="inlineStr">
        <is>
          <t>F0115</t>
        </is>
      </c>
    </row>
    <row r="3209">
      <c r="A3209" t="inlineStr">
        <is>
          <t>Da'Vone McDonald</t>
        </is>
      </c>
      <c r="B3209" t="n">
        <v>1</v>
      </c>
      <c r="C3209" t="n">
        <v>2008</v>
      </c>
      <c r="D3209" t="n">
        <v>2008</v>
      </c>
      <c r="E3209" t="inlineStr">
        <is>
          <t>Forgetting Sarah Marshall</t>
        </is>
      </c>
      <c r="F3209" t="inlineStr">
        <is>
          <t>F0115</t>
        </is>
      </c>
    </row>
    <row r="3210">
      <c r="A3210" t="inlineStr">
        <is>
          <t>Steve Landesberg</t>
        </is>
      </c>
      <c r="B3210" t="n">
        <v>1</v>
      </c>
      <c r="C3210" t="n">
        <v>2008</v>
      </c>
      <c r="D3210" t="n">
        <v>2008</v>
      </c>
      <c r="E3210" t="inlineStr">
        <is>
          <t>Forgetting Sarah Marshall</t>
        </is>
      </c>
      <c r="F3210" t="inlineStr">
        <is>
          <t>F0115</t>
        </is>
      </c>
    </row>
    <row r="3211">
      <c r="A3211" t="inlineStr">
        <is>
          <t>Kalani Robb</t>
        </is>
      </c>
      <c r="B3211" t="n">
        <v>1</v>
      </c>
      <c r="C3211" t="n">
        <v>2008</v>
      </c>
      <c r="D3211" t="n">
        <v>2008</v>
      </c>
      <c r="E3211" t="inlineStr">
        <is>
          <t>Forgetting Sarah Marshall</t>
        </is>
      </c>
      <c r="F3211" t="inlineStr">
        <is>
          <t>F0115</t>
        </is>
      </c>
    </row>
    <row r="3212">
      <c r="A3212" t="inlineStr">
        <is>
          <t>Murray Miller</t>
        </is>
      </c>
      <c r="B3212" t="n">
        <v>1</v>
      </c>
      <c r="C3212" t="n">
        <v>2008</v>
      </c>
      <c r="D3212" t="n">
        <v>2008</v>
      </c>
      <c r="E3212" t="inlineStr">
        <is>
          <t>Forgetting Sarah Marshall</t>
        </is>
      </c>
      <c r="F3212" t="inlineStr">
        <is>
          <t>F0115</t>
        </is>
      </c>
    </row>
    <row r="3213">
      <c r="A3213" t="inlineStr">
        <is>
          <t>Taylor Wily</t>
        </is>
      </c>
      <c r="B3213" t="n">
        <v>1</v>
      </c>
      <c r="C3213" t="n">
        <v>2008</v>
      </c>
      <c r="D3213" t="n">
        <v>2008</v>
      </c>
      <c r="E3213" t="inlineStr">
        <is>
          <t>Forgetting Sarah Marshall</t>
        </is>
      </c>
      <c r="F3213" t="inlineStr">
        <is>
          <t>F0115</t>
        </is>
      </c>
    </row>
    <row r="3214">
      <c r="A3214" t="inlineStr">
        <is>
          <t>Kala Alexander</t>
        </is>
      </c>
      <c r="B3214" t="n">
        <v>1</v>
      </c>
      <c r="C3214" t="n">
        <v>2008</v>
      </c>
      <c r="D3214" t="n">
        <v>2008</v>
      </c>
      <c r="E3214" t="inlineStr">
        <is>
          <t>Forgetting Sarah Marshall</t>
        </is>
      </c>
      <c r="F3214" t="inlineStr">
        <is>
          <t>F0115</t>
        </is>
      </c>
    </row>
    <row r="3215">
      <c r="A3215" t="inlineStr">
        <is>
          <t>Francesca Delbanco</t>
        </is>
      </c>
      <c r="B3215" t="n">
        <v>1</v>
      </c>
      <c r="C3215" t="n">
        <v>2008</v>
      </c>
      <c r="D3215" t="n">
        <v>2008</v>
      </c>
      <c r="E3215" t="inlineStr">
        <is>
          <t>Forgetting Sarah Marshall</t>
        </is>
      </c>
      <c r="F3215" t="inlineStr">
        <is>
          <t>F0115</t>
        </is>
      </c>
    </row>
    <row r="3216">
      <c r="A3216" t="inlineStr">
        <is>
          <t>Branscombe Richmond</t>
        </is>
      </c>
      <c r="B3216" t="n">
        <v>1</v>
      </c>
      <c r="C3216" t="n">
        <v>2008</v>
      </c>
      <c r="D3216" t="n">
        <v>2008</v>
      </c>
      <c r="E3216" t="inlineStr">
        <is>
          <t>Forgetting Sarah Marshall</t>
        </is>
      </c>
      <c r="F3216" t="inlineStr">
        <is>
          <t>F0115</t>
        </is>
      </c>
    </row>
    <row r="3217">
      <c r="A3217" t="inlineStr">
        <is>
          <t>Peter Gray Lewis</t>
        </is>
      </c>
      <c r="B3217" t="n">
        <v>1</v>
      </c>
      <c r="C3217" t="n">
        <v>2008</v>
      </c>
      <c r="D3217" t="n">
        <v>2008</v>
      </c>
      <c r="E3217" t="inlineStr">
        <is>
          <t>Forgetting Sarah Marshall</t>
        </is>
      </c>
      <c r="F3217" t="inlineStr">
        <is>
          <t>F0115</t>
        </is>
      </c>
    </row>
    <row r="3218">
      <c r="A3218" t="inlineStr">
        <is>
          <t>Kirk Fox</t>
        </is>
      </c>
      <c r="B3218" t="n">
        <v>1</v>
      </c>
      <c r="C3218" t="n">
        <v>2008</v>
      </c>
      <c r="D3218" t="n">
        <v>2008</v>
      </c>
      <c r="E3218" t="inlineStr">
        <is>
          <t>Forgetting Sarah Marshall</t>
        </is>
      </c>
      <c r="F3218" t="inlineStr">
        <is>
          <t>F0115</t>
        </is>
      </c>
    </row>
    <row r="3219">
      <c r="A3219" t="inlineStr">
        <is>
          <t>June Diane Raphael</t>
        </is>
      </c>
      <c r="B3219" t="n">
        <v>2</v>
      </c>
      <c r="C3219" t="n">
        <v>2007</v>
      </c>
      <c r="D3219" t="n">
        <v>2008</v>
      </c>
      <c r="E3219" t="inlineStr">
        <is>
          <t>Forgetting Sarah Marshall, Zodiac</t>
        </is>
      </c>
      <c r="F3219" t="inlineStr">
        <is>
          <t>F0115, F0350</t>
        </is>
      </c>
    </row>
    <row r="3220">
      <c r="A3220" t="inlineStr">
        <is>
          <t>Ahna O'Reilly</t>
        </is>
      </c>
      <c r="B3220" t="n">
        <v>1</v>
      </c>
      <c r="C3220" t="n">
        <v>2008</v>
      </c>
      <c r="D3220" t="n">
        <v>2008</v>
      </c>
      <c r="E3220" t="inlineStr">
        <is>
          <t>Forgetting Sarah Marshall</t>
        </is>
      </c>
      <c r="F3220" t="inlineStr">
        <is>
          <t>F0115</t>
        </is>
      </c>
    </row>
    <row r="3221">
      <c r="A3221" t="inlineStr">
        <is>
          <t>Tanisha Harper</t>
        </is>
      </c>
      <c r="B3221" t="n">
        <v>1</v>
      </c>
      <c r="C3221" t="n">
        <v>2008</v>
      </c>
      <c r="D3221" t="n">
        <v>2008</v>
      </c>
      <c r="E3221" t="inlineStr">
        <is>
          <t>Forgetting Sarah Marshall</t>
        </is>
      </c>
      <c r="F3221" t="inlineStr">
        <is>
          <t>F0115</t>
        </is>
      </c>
    </row>
    <row r="3222">
      <c r="A3222" t="inlineStr">
        <is>
          <t>Carla Gallo</t>
        </is>
      </c>
      <c r="B3222" t="n">
        <v>3</v>
      </c>
      <c r="C3222" t="n">
        <v>2006</v>
      </c>
      <c r="D3222" t="n">
        <v>2008</v>
      </c>
      <c r="E3222" t="inlineStr">
        <is>
          <t>Forgetting Sarah Marshall, Mission: Impossible III, Superbad</t>
        </is>
      </c>
      <c r="F3222" t="inlineStr">
        <is>
          <t>F0115, F0223, F0303</t>
        </is>
      </c>
    </row>
    <row r="3223">
      <c r="A3223" t="inlineStr">
        <is>
          <t>Cynthia Lamontagne</t>
        </is>
      </c>
      <c r="B3223" t="n">
        <v>1</v>
      </c>
      <c r="C3223" t="n">
        <v>2008</v>
      </c>
      <c r="D3223" t="n">
        <v>2008</v>
      </c>
      <c r="E3223" t="inlineStr">
        <is>
          <t>Forgetting Sarah Marshall</t>
        </is>
      </c>
      <c r="F3223" t="inlineStr">
        <is>
          <t>F0115</t>
        </is>
      </c>
    </row>
    <row r="3224">
      <c r="A3224" t="inlineStr">
        <is>
          <t>Santino Fontana</t>
        </is>
      </c>
      <c r="B3224" t="n">
        <v>1</v>
      </c>
      <c r="C3224" t="n">
        <v>2013</v>
      </c>
      <c r="D3224" t="n">
        <v>2013</v>
      </c>
      <c r="E3224" t="inlineStr">
        <is>
          <t>Frozen</t>
        </is>
      </c>
      <c r="F3224" t="inlineStr">
        <is>
          <t>F0116</t>
        </is>
      </c>
    </row>
    <row r="3225">
      <c r="A3225" t="inlineStr">
        <is>
          <t>Ciarán Hinds</t>
        </is>
      </c>
      <c r="B3225" t="n">
        <v>2</v>
      </c>
      <c r="C3225" t="n">
        <v>2011</v>
      </c>
      <c r="D3225" t="n">
        <v>2013</v>
      </c>
      <c r="E3225" t="inlineStr">
        <is>
          <t>Frozen, Harry Potter and the Deathly Hallows: Part 2</t>
        </is>
      </c>
      <c r="F3225" t="inlineStr">
        <is>
          <t>F0116, F0144</t>
        </is>
      </c>
    </row>
    <row r="3226">
      <c r="A3226" t="inlineStr">
        <is>
          <t>Chris Williams</t>
        </is>
      </c>
      <c r="B3226" t="n">
        <v>1</v>
      </c>
      <c r="C3226" t="n">
        <v>2013</v>
      </c>
      <c r="D3226" t="n">
        <v>2013</v>
      </c>
      <c r="E3226" t="inlineStr">
        <is>
          <t>Frozen</t>
        </is>
      </c>
      <c r="F3226" t="inlineStr">
        <is>
          <t>F0116</t>
        </is>
      </c>
    </row>
    <row r="3227">
      <c r="A3227" t="inlineStr">
        <is>
          <t>Stephen J. Anderson</t>
        </is>
      </c>
      <c r="B3227" t="n">
        <v>1</v>
      </c>
      <c r="C3227" t="n">
        <v>2013</v>
      </c>
      <c r="D3227" t="n">
        <v>2013</v>
      </c>
      <c r="E3227" t="inlineStr">
        <is>
          <t>Frozen</t>
        </is>
      </c>
      <c r="F3227" t="inlineStr">
        <is>
          <t>F0116</t>
        </is>
      </c>
    </row>
    <row r="3228">
      <c r="A3228" t="inlineStr">
        <is>
          <t>Maia Wilson</t>
        </is>
      </c>
      <c r="B3228" t="n">
        <v>1</v>
      </c>
      <c r="C3228" t="n">
        <v>2013</v>
      </c>
      <c r="D3228" t="n">
        <v>2013</v>
      </c>
      <c r="E3228" t="inlineStr">
        <is>
          <t>Frozen</t>
        </is>
      </c>
      <c r="F3228" t="inlineStr">
        <is>
          <t>F0116</t>
        </is>
      </c>
    </row>
    <row r="3229">
      <c r="A3229" t="inlineStr">
        <is>
          <t>Robert Pine</t>
        </is>
      </c>
      <c r="B3229" t="n">
        <v>1</v>
      </c>
      <c r="C3229" t="n">
        <v>2013</v>
      </c>
      <c r="D3229" t="n">
        <v>2013</v>
      </c>
      <c r="E3229" t="inlineStr">
        <is>
          <t>Frozen</t>
        </is>
      </c>
      <c r="F3229" t="inlineStr">
        <is>
          <t>F0116</t>
        </is>
      </c>
    </row>
    <row r="3230">
      <c r="A3230" t="inlineStr">
        <is>
          <t>Maurice LaMarche</t>
        </is>
      </c>
      <c r="B3230" t="n">
        <v>2</v>
      </c>
      <c r="C3230" t="n">
        <v>2012</v>
      </c>
      <c r="D3230" t="n">
        <v>2013</v>
      </c>
      <c r="E3230" t="inlineStr">
        <is>
          <t>Frozen, Wreck-It Ralph</t>
        </is>
      </c>
      <c r="F3230" t="inlineStr">
        <is>
          <t>F0116, F0336</t>
        </is>
      </c>
    </row>
    <row r="3231">
      <c r="A3231" t="inlineStr">
        <is>
          <t>Spencer Lacey Ganus</t>
        </is>
      </c>
      <c r="B3231" t="n">
        <v>1</v>
      </c>
      <c r="C3231" t="n">
        <v>2013</v>
      </c>
      <c r="D3231" t="n">
        <v>2013</v>
      </c>
      <c r="E3231" t="inlineStr">
        <is>
          <t>Frozen</t>
        </is>
      </c>
      <c r="F3231" t="inlineStr">
        <is>
          <t>F0116</t>
        </is>
      </c>
    </row>
    <row r="3232">
      <c r="A3232" t="inlineStr">
        <is>
          <t>Annie Lopez</t>
        </is>
      </c>
      <c r="B3232" t="n">
        <v>1</v>
      </c>
      <c r="C3232" t="n">
        <v>2013</v>
      </c>
      <c r="D3232" t="n">
        <v>2013</v>
      </c>
      <c r="E3232" t="inlineStr">
        <is>
          <t>Frozen</t>
        </is>
      </c>
      <c r="F3232" t="inlineStr">
        <is>
          <t>F0116</t>
        </is>
      </c>
    </row>
    <row r="3233">
      <c r="A3233" t="inlineStr">
        <is>
          <t>Jesse Corti</t>
        </is>
      </c>
      <c r="B3233" t="n">
        <v>1</v>
      </c>
      <c r="C3233" t="n">
        <v>2013</v>
      </c>
      <c r="D3233" t="n">
        <v>2013</v>
      </c>
      <c r="E3233" t="inlineStr">
        <is>
          <t>Frozen</t>
        </is>
      </c>
      <c r="F3233" t="inlineStr">
        <is>
          <t>F0116</t>
        </is>
      </c>
    </row>
    <row r="3234">
      <c r="A3234" t="inlineStr">
        <is>
          <t>Jeffrey Marcus</t>
        </is>
      </c>
      <c r="B3234" t="n">
        <v>1</v>
      </c>
      <c r="C3234" t="n">
        <v>2013</v>
      </c>
      <c r="D3234" t="n">
        <v>2013</v>
      </c>
      <c r="E3234" t="inlineStr">
        <is>
          <t>Frozen</t>
        </is>
      </c>
      <c r="F3234" t="inlineStr">
        <is>
          <t>F0116</t>
        </is>
      </c>
    </row>
    <row r="3235">
      <c r="A3235" t="inlineStr">
        <is>
          <t>Tucker Gilmore</t>
        </is>
      </c>
      <c r="B3235" t="n">
        <v>2</v>
      </c>
      <c r="C3235" t="n">
        <v>2012</v>
      </c>
      <c r="D3235" t="n">
        <v>2013</v>
      </c>
      <c r="E3235" t="inlineStr">
        <is>
          <t>Frozen, Wreck-It Ralph</t>
        </is>
      </c>
      <c r="F3235" t="inlineStr">
        <is>
          <t>F0116, F0336</t>
        </is>
      </c>
    </row>
    <row r="3236">
      <c r="A3236" t="inlineStr">
        <is>
          <t>Annaleigh Ashford</t>
        </is>
      </c>
      <c r="B3236" t="n">
        <v>1</v>
      </c>
      <c r="C3236" t="n">
        <v>2013</v>
      </c>
      <c r="D3236" t="n">
        <v>2013</v>
      </c>
      <c r="E3236" t="inlineStr">
        <is>
          <t>Frozen</t>
        </is>
      </c>
      <c r="F3236" t="inlineStr">
        <is>
          <t>F0116</t>
        </is>
      </c>
    </row>
    <row r="3237">
      <c r="A3237" t="inlineStr">
        <is>
          <t>Jennifer Lee</t>
        </is>
      </c>
      <c r="B3237" t="n">
        <v>1</v>
      </c>
      <c r="C3237" t="n">
        <v>2013</v>
      </c>
      <c r="D3237" t="n">
        <v>2013</v>
      </c>
      <c r="E3237" t="inlineStr">
        <is>
          <t>Frozen</t>
        </is>
      </c>
      <c r="F3237" t="inlineStr">
        <is>
          <t>F0116</t>
        </is>
      </c>
    </row>
    <row r="3238">
      <c r="A3238" t="inlineStr">
        <is>
          <t>Stephen Apostolina</t>
        </is>
      </c>
      <c r="B3238" t="n">
        <v>1</v>
      </c>
      <c r="C3238" t="n">
        <v>2013</v>
      </c>
      <c r="D3238" t="n">
        <v>2013</v>
      </c>
      <c r="E3238" t="inlineStr">
        <is>
          <t>Frozen</t>
        </is>
      </c>
      <c r="F3238" t="inlineStr">
        <is>
          <t>F0116</t>
        </is>
      </c>
    </row>
    <row r="3239">
      <c r="A3239" t="inlineStr">
        <is>
          <t>Jenica Bergere</t>
        </is>
      </c>
      <c r="B3239" t="n">
        <v>1</v>
      </c>
      <c r="C3239" t="n">
        <v>2013</v>
      </c>
      <c r="D3239" t="n">
        <v>2013</v>
      </c>
      <c r="E3239" t="inlineStr">
        <is>
          <t>Frozen</t>
        </is>
      </c>
      <c r="F3239" t="inlineStr">
        <is>
          <t>F0116</t>
        </is>
      </c>
    </row>
    <row r="3240">
      <c r="A3240" t="inlineStr">
        <is>
          <t>David Boat</t>
        </is>
      </c>
      <c r="B3240" t="n">
        <v>1</v>
      </c>
      <c r="C3240" t="n">
        <v>2013</v>
      </c>
      <c r="D3240" t="n">
        <v>2013</v>
      </c>
      <c r="E3240" t="inlineStr">
        <is>
          <t>Frozen</t>
        </is>
      </c>
      <c r="F3240" t="inlineStr">
        <is>
          <t>F0116</t>
        </is>
      </c>
    </row>
    <row r="3241">
      <c r="A3241" t="inlineStr">
        <is>
          <t>Tyree Brown</t>
        </is>
      </c>
      <c r="B3241" t="n">
        <v>1</v>
      </c>
      <c r="C3241" t="n">
        <v>2013</v>
      </c>
      <c r="D3241" t="n">
        <v>2013</v>
      </c>
      <c r="E3241" t="inlineStr">
        <is>
          <t>Frozen</t>
        </is>
      </c>
      <c r="F3241" t="inlineStr">
        <is>
          <t>F0116</t>
        </is>
      </c>
    </row>
    <row r="3242">
      <c r="A3242" t="inlineStr">
        <is>
          <t>Woody Buck</t>
        </is>
      </c>
      <c r="B3242" t="n">
        <v>1</v>
      </c>
      <c r="C3242" t="n">
        <v>2013</v>
      </c>
      <c r="D3242" t="n">
        <v>2013</v>
      </c>
      <c r="E3242" t="inlineStr">
        <is>
          <t>Frozen</t>
        </is>
      </c>
      <c r="F3242" t="inlineStr">
        <is>
          <t>F0116</t>
        </is>
      </c>
    </row>
    <row r="3243">
      <c r="A3243" t="inlineStr">
        <is>
          <t>Brad William Henke</t>
        </is>
      </c>
      <c r="B3243" t="n">
        <v>2</v>
      </c>
      <c r="C3243" t="n">
        <v>2013</v>
      </c>
      <c r="D3243" t="n">
        <v>2014</v>
      </c>
      <c r="E3243" t="inlineStr">
        <is>
          <t>Fury, Pacific Rim</t>
        </is>
      </c>
      <c r="F3243" t="inlineStr">
        <is>
          <t>F0117, F0243</t>
        </is>
      </c>
    </row>
    <row r="3244">
      <c r="A3244" t="inlineStr">
        <is>
          <t>Kevin Vance</t>
        </is>
      </c>
      <c r="B3244" t="n">
        <v>1</v>
      </c>
      <c r="C3244" t="n">
        <v>2014</v>
      </c>
      <c r="D3244" t="n">
        <v>2014</v>
      </c>
      <c r="E3244" t="inlineStr">
        <is>
          <t>Fury</t>
        </is>
      </c>
      <c r="F3244" t="inlineStr">
        <is>
          <t>F0117</t>
        </is>
      </c>
    </row>
    <row r="3245">
      <c r="A3245" t="inlineStr">
        <is>
          <t>Xavier Samuel</t>
        </is>
      </c>
      <c r="B3245" t="n">
        <v>1</v>
      </c>
      <c r="C3245" t="n">
        <v>2014</v>
      </c>
      <c r="D3245" t="n">
        <v>2014</v>
      </c>
      <c r="E3245" t="inlineStr">
        <is>
          <t>Fury</t>
        </is>
      </c>
      <c r="F3245" t="inlineStr">
        <is>
          <t>F0117</t>
        </is>
      </c>
    </row>
    <row r="3246">
      <c r="A3246" t="inlineStr">
        <is>
          <t>Anamaria Marinca</t>
        </is>
      </c>
      <c r="B3246" t="n">
        <v>1</v>
      </c>
      <c r="C3246" t="n">
        <v>2014</v>
      </c>
      <c r="D3246" t="n">
        <v>2014</v>
      </c>
      <c r="E3246" t="inlineStr">
        <is>
          <t>Fury</t>
        </is>
      </c>
      <c r="F3246" t="inlineStr">
        <is>
          <t>F0117</t>
        </is>
      </c>
    </row>
    <row r="3247">
      <c r="A3247" t="inlineStr">
        <is>
          <t>Alicia von Rittberg</t>
        </is>
      </c>
      <c r="B3247" t="n">
        <v>1</v>
      </c>
      <c r="C3247" t="n">
        <v>2014</v>
      </c>
      <c r="D3247" t="n">
        <v>2014</v>
      </c>
      <c r="E3247" t="inlineStr">
        <is>
          <t>Fury</t>
        </is>
      </c>
      <c r="F3247" t="inlineStr">
        <is>
          <t>F0117</t>
        </is>
      </c>
    </row>
    <row r="3248">
      <c r="A3248" t="inlineStr">
        <is>
          <t>Laurence Spellman</t>
        </is>
      </c>
      <c r="B3248" t="n">
        <v>1</v>
      </c>
      <c r="C3248" t="n">
        <v>2014</v>
      </c>
      <c r="D3248" t="n">
        <v>2014</v>
      </c>
      <c r="E3248" t="inlineStr">
        <is>
          <t>Fury</t>
        </is>
      </c>
      <c r="F3248" t="inlineStr">
        <is>
          <t>F0117</t>
        </is>
      </c>
    </row>
    <row r="3249">
      <c r="A3249" t="inlineStr">
        <is>
          <t>Daniel Betts</t>
        </is>
      </c>
      <c r="B3249" t="n">
        <v>1</v>
      </c>
      <c r="C3249" t="n">
        <v>2014</v>
      </c>
      <c r="D3249" t="n">
        <v>2014</v>
      </c>
      <c r="E3249" t="inlineStr">
        <is>
          <t>Fury</t>
        </is>
      </c>
      <c r="F3249" t="inlineStr">
        <is>
          <t>F0117</t>
        </is>
      </c>
    </row>
    <row r="3250">
      <c r="A3250" t="inlineStr">
        <is>
          <t>Adam Ganne</t>
        </is>
      </c>
      <c r="B3250" t="n">
        <v>2</v>
      </c>
      <c r="C3250" t="n">
        <v>2014</v>
      </c>
      <c r="D3250" t="n">
        <v>2015</v>
      </c>
      <c r="E3250" t="inlineStr">
        <is>
          <t>Fury, Mission: Impossible - Rogue Nation</t>
        </is>
      </c>
      <c r="F3250" t="inlineStr">
        <is>
          <t>F0117, F0225</t>
        </is>
      </c>
    </row>
    <row r="3251">
      <c r="A3251" t="inlineStr">
        <is>
          <t>Eric Kofi Abrefa</t>
        </is>
      </c>
      <c r="B3251" t="n">
        <v>2</v>
      </c>
      <c r="C3251" t="n">
        <v>2014</v>
      </c>
      <c r="D3251" t="n">
        <v>2018</v>
      </c>
      <c r="E3251" t="inlineStr">
        <is>
          <t>Fury, Jurassic World: Fallen Kingdom</t>
        </is>
      </c>
      <c r="F3251" t="inlineStr">
        <is>
          <t>F0117, F0180</t>
        </is>
      </c>
    </row>
    <row r="3252">
      <c r="A3252" t="inlineStr">
        <is>
          <t>Osi Okerafor</t>
        </is>
      </c>
      <c r="B3252" t="n">
        <v>1</v>
      </c>
      <c r="C3252" t="n">
        <v>2014</v>
      </c>
      <c r="D3252" t="n">
        <v>2014</v>
      </c>
      <c r="E3252" t="inlineStr">
        <is>
          <t>Fury</t>
        </is>
      </c>
      <c r="F3252" t="inlineStr">
        <is>
          <t>F0117</t>
        </is>
      </c>
    </row>
    <row r="3253">
      <c r="A3253" t="inlineStr">
        <is>
          <t>John Macmillan</t>
        </is>
      </c>
      <c r="B3253" t="n">
        <v>2</v>
      </c>
      <c r="C3253" t="n">
        <v>2014</v>
      </c>
      <c r="D3253" t="n">
        <v>2014</v>
      </c>
      <c r="E3253" t="inlineStr">
        <is>
          <t>Fury, Maleficent</t>
        </is>
      </c>
      <c r="F3253" t="inlineStr">
        <is>
          <t>F0117, F0208</t>
        </is>
      </c>
    </row>
    <row r="3254">
      <c r="A3254" t="inlineStr">
        <is>
          <t>Saul Barrett</t>
        </is>
      </c>
      <c r="B3254" t="n">
        <v>1</v>
      </c>
      <c r="C3254" t="n">
        <v>2014</v>
      </c>
      <c r="D3254" t="n">
        <v>2014</v>
      </c>
      <c r="E3254" t="inlineStr">
        <is>
          <t>Fury</t>
        </is>
      </c>
      <c r="F3254" t="inlineStr">
        <is>
          <t>F0117</t>
        </is>
      </c>
    </row>
    <row r="3255">
      <c r="A3255" t="inlineStr">
        <is>
          <t>Marek Oravec</t>
        </is>
      </c>
      <c r="B3255" t="n">
        <v>1</v>
      </c>
      <c r="C3255" t="n">
        <v>2014</v>
      </c>
      <c r="D3255" t="n">
        <v>2014</v>
      </c>
      <c r="E3255" t="inlineStr">
        <is>
          <t>Fury</t>
        </is>
      </c>
      <c r="F3255" t="inlineStr">
        <is>
          <t>F0117</t>
        </is>
      </c>
    </row>
    <row r="3256">
      <c r="A3256" t="inlineStr">
        <is>
          <t>Kyle Soller</t>
        </is>
      </c>
      <c r="B3256" t="n">
        <v>1</v>
      </c>
      <c r="C3256" t="n">
        <v>2014</v>
      </c>
      <c r="D3256" t="n">
        <v>2014</v>
      </c>
      <c r="E3256" t="inlineStr">
        <is>
          <t>Fury</t>
        </is>
      </c>
      <c r="F3256" t="inlineStr">
        <is>
          <t>F0117</t>
        </is>
      </c>
    </row>
    <row r="3257">
      <c r="A3257" t="inlineStr">
        <is>
          <t>Jake Curran</t>
        </is>
      </c>
      <c r="B3257" t="n">
        <v>1</v>
      </c>
      <c r="C3257" t="n">
        <v>2014</v>
      </c>
      <c r="D3257" t="n">
        <v>2014</v>
      </c>
      <c r="E3257" t="inlineStr">
        <is>
          <t>Fury</t>
        </is>
      </c>
      <c r="F3257" t="inlineStr">
        <is>
          <t>F0117</t>
        </is>
      </c>
    </row>
    <row r="3258">
      <c r="A3258" t="inlineStr">
        <is>
          <t>Jack Bannon</t>
        </is>
      </c>
      <c r="B3258" t="n">
        <v>2</v>
      </c>
      <c r="C3258" t="n">
        <v>2014</v>
      </c>
      <c r="D3258" t="n">
        <v>2014</v>
      </c>
      <c r="E3258" t="inlineStr">
        <is>
          <t>Fury, The Imitation Game</t>
        </is>
      </c>
      <c r="F3258" t="inlineStr">
        <is>
          <t>F0117, F0162</t>
        </is>
      </c>
    </row>
    <row r="3259">
      <c r="A3259" t="inlineStr">
        <is>
          <t>Vivien Bridson</t>
        </is>
      </c>
      <c r="B3259" t="n">
        <v>1</v>
      </c>
      <c r="C3259" t="n">
        <v>2014</v>
      </c>
      <c r="D3259" t="n">
        <v>2014</v>
      </c>
      <c r="E3259" t="inlineStr">
        <is>
          <t>Fury</t>
        </is>
      </c>
      <c r="F3259" t="inlineStr">
        <is>
          <t>F0117</t>
        </is>
      </c>
    </row>
    <row r="3260">
      <c r="A3260" t="inlineStr">
        <is>
          <t>Christian Contreras</t>
        </is>
      </c>
      <c r="B3260" t="n">
        <v>1</v>
      </c>
      <c r="C3260" t="n">
        <v>2014</v>
      </c>
      <c r="D3260" t="n">
        <v>2014</v>
      </c>
      <c r="E3260" t="inlineStr">
        <is>
          <t>Fury</t>
        </is>
      </c>
      <c r="F3260" t="inlineStr">
        <is>
          <t>F0117</t>
        </is>
      </c>
    </row>
    <row r="3261">
      <c r="A3261" t="inlineStr">
        <is>
          <t>Jacob Vonhendial</t>
        </is>
      </c>
      <c r="B3261" t="n">
        <v>1</v>
      </c>
      <c r="C3261" t="n">
        <v>2014</v>
      </c>
      <c r="D3261" t="n">
        <v>2014</v>
      </c>
      <c r="E3261" t="inlineStr">
        <is>
          <t>Fury</t>
        </is>
      </c>
      <c r="F3261" t="inlineStr">
        <is>
          <t>F0117</t>
        </is>
      </c>
    </row>
    <row r="3262">
      <c r="A3262" t="inlineStr">
        <is>
          <t>Rachel Nichols</t>
        </is>
      </c>
      <c r="B3262" t="n">
        <v>2</v>
      </c>
      <c r="C3262" t="n">
        <v>2009</v>
      </c>
      <c r="D3262" t="n">
        <v>2009</v>
      </c>
      <c r="E3262" t="inlineStr">
        <is>
          <t>G.I. Joe: The Rise of Cobra, Star Trek</t>
        </is>
      </c>
      <c r="F3262" t="inlineStr">
        <is>
          <t>F0118, F0291</t>
        </is>
      </c>
    </row>
    <row r="3263">
      <c r="A3263" t="inlineStr">
        <is>
          <t>Ray Park</t>
        </is>
      </c>
      <c r="B3263" t="n">
        <v>3</v>
      </c>
      <c r="C3263" t="n">
        <v>1999</v>
      </c>
      <c r="D3263" t="n">
        <v>2009</v>
      </c>
      <c r="E3263" t="inlineStr">
        <is>
          <t>G.I. Joe: The Rise of Cobra, Star Wars: Episode I – The Phantom Menace, X-Men</t>
        </is>
      </c>
      <c r="F3263" t="inlineStr">
        <is>
          <t>F0118, F0292, F0344</t>
        </is>
      </c>
    </row>
    <row r="3264">
      <c r="A3264" t="inlineStr">
        <is>
          <t>Jonathan Pryce</t>
        </is>
      </c>
      <c r="B3264" t="n">
        <v>1</v>
      </c>
      <c r="C3264" t="n">
        <v>2009</v>
      </c>
      <c r="D3264" t="n">
        <v>2009</v>
      </c>
      <c r="E3264" t="inlineStr">
        <is>
          <t>G.I. Joe: The Rise of Cobra</t>
        </is>
      </c>
      <c r="F3264" t="inlineStr">
        <is>
          <t>F0118</t>
        </is>
      </c>
    </row>
    <row r="3265">
      <c r="A3265" t="inlineStr">
        <is>
          <t>Arnold Vosloo</t>
        </is>
      </c>
      <c r="B3265" t="n">
        <v>1</v>
      </c>
      <c r="C3265" t="n">
        <v>2009</v>
      </c>
      <c r="D3265" t="n">
        <v>2009</v>
      </c>
      <c r="E3265" t="inlineStr">
        <is>
          <t>G.I. Joe: The Rise of Cobra</t>
        </is>
      </c>
      <c r="F3265" t="inlineStr">
        <is>
          <t>F0118</t>
        </is>
      </c>
    </row>
    <row r="3266">
      <c r="A3266" t="inlineStr">
        <is>
          <t>Dennis Quaid</t>
        </is>
      </c>
      <c r="B3266" t="n">
        <v>1</v>
      </c>
      <c r="C3266" t="n">
        <v>2009</v>
      </c>
      <c r="D3266" t="n">
        <v>2009</v>
      </c>
      <c r="E3266" t="inlineStr">
        <is>
          <t>G.I. Joe: The Rise of Cobra</t>
        </is>
      </c>
      <c r="F3266" t="inlineStr">
        <is>
          <t>F0118</t>
        </is>
      </c>
    </row>
    <row r="3267">
      <c r="A3267" t="inlineStr">
        <is>
          <t>Grégory Fitoussi</t>
        </is>
      </c>
      <c r="B3267" t="n">
        <v>1</v>
      </c>
      <c r="C3267" t="n">
        <v>2009</v>
      </c>
      <c r="D3267" t="n">
        <v>2009</v>
      </c>
      <c r="E3267" t="inlineStr">
        <is>
          <t>G.I. Joe: The Rise of Cobra</t>
        </is>
      </c>
      <c r="F3267" t="inlineStr">
        <is>
          <t>F0118</t>
        </is>
      </c>
    </row>
    <row r="3268">
      <c r="A3268" t="inlineStr">
        <is>
          <t>Leo Howard</t>
        </is>
      </c>
      <c r="B3268" t="n">
        <v>1</v>
      </c>
      <c r="C3268" t="n">
        <v>2009</v>
      </c>
      <c r="D3268" t="n">
        <v>2009</v>
      </c>
      <c r="E3268" t="inlineStr">
        <is>
          <t>G.I. Joe: The Rise of Cobra</t>
        </is>
      </c>
      <c r="F3268" t="inlineStr">
        <is>
          <t>F0118</t>
        </is>
      </c>
    </row>
    <row r="3269">
      <c r="A3269" t="inlineStr">
        <is>
          <t>Karolína Kurková</t>
        </is>
      </c>
      <c r="B3269" t="n">
        <v>1</v>
      </c>
      <c r="C3269" t="n">
        <v>2009</v>
      </c>
      <c r="D3269" t="n">
        <v>2009</v>
      </c>
      <c r="E3269" t="inlineStr">
        <is>
          <t>G.I. Joe: The Rise of Cobra</t>
        </is>
      </c>
      <c r="F3269" t="inlineStr">
        <is>
          <t>F0118</t>
        </is>
      </c>
    </row>
    <row r="3270">
      <c r="A3270" t="inlineStr">
        <is>
          <t>David Murray</t>
        </is>
      </c>
      <c r="B3270" t="n">
        <v>1</v>
      </c>
      <c r="C3270" t="n">
        <v>2009</v>
      </c>
      <c r="D3270" t="n">
        <v>2009</v>
      </c>
      <c r="E3270" t="inlineStr">
        <is>
          <t>G.I. Joe: The Rise of Cobra</t>
        </is>
      </c>
      <c r="F3270" t="inlineStr">
        <is>
          <t>F0118</t>
        </is>
      </c>
    </row>
    <row r="3271">
      <c r="A3271" t="inlineStr">
        <is>
          <t>Kevin J. O'Connor</t>
        </is>
      </c>
      <c r="B3271" t="n">
        <v>1</v>
      </c>
      <c r="C3271" t="n">
        <v>2009</v>
      </c>
      <c r="D3271" t="n">
        <v>2009</v>
      </c>
      <c r="E3271" t="inlineStr">
        <is>
          <t>G.I. Joe: The Rise of Cobra</t>
        </is>
      </c>
      <c r="F3271" t="inlineStr">
        <is>
          <t>F0118</t>
        </is>
      </c>
    </row>
    <row r="3272">
      <c r="A3272" t="inlineStr">
        <is>
          <t>Gerald Okamura</t>
        </is>
      </c>
      <c r="B3272" t="n">
        <v>1</v>
      </c>
      <c r="C3272" t="n">
        <v>2009</v>
      </c>
      <c r="D3272" t="n">
        <v>2009</v>
      </c>
      <c r="E3272" t="inlineStr">
        <is>
          <t>G.I. Joe: The Rise of Cobra</t>
        </is>
      </c>
      <c r="F3272" t="inlineStr">
        <is>
          <t>F0118</t>
        </is>
      </c>
    </row>
    <row r="3273">
      <c r="A3273" t="inlineStr">
        <is>
          <t>Brandon Soo Hoo</t>
        </is>
      </c>
      <c r="B3273" t="n">
        <v>2</v>
      </c>
      <c r="C3273" t="n">
        <v>2008</v>
      </c>
      <c r="D3273" t="n">
        <v>2009</v>
      </c>
      <c r="E3273" t="inlineStr">
        <is>
          <t>G.I. Joe: The Rise of Cobra, Tropic Thunder</t>
        </is>
      </c>
      <c r="F3273" t="inlineStr">
        <is>
          <t>F0118, F0324</t>
        </is>
      </c>
    </row>
    <row r="3274">
      <c r="A3274" t="inlineStr">
        <is>
          <t>Christopher Akers</t>
        </is>
      </c>
      <c r="B3274" t="n">
        <v>1</v>
      </c>
      <c r="C3274" t="n">
        <v>2009</v>
      </c>
      <c r="D3274" t="n">
        <v>2009</v>
      </c>
      <c r="E3274" t="inlineStr">
        <is>
          <t>G.I. Joe: The Rise of Cobra</t>
        </is>
      </c>
      <c r="F3274" t="inlineStr">
        <is>
          <t>F0118</t>
        </is>
      </c>
    </row>
    <row r="3275">
      <c r="A3275" t="inlineStr">
        <is>
          <t>Fabrice Baral</t>
        </is>
      </c>
      <c r="B3275" t="n">
        <v>1</v>
      </c>
      <c r="C3275" t="n">
        <v>2009</v>
      </c>
      <c r="D3275" t="n">
        <v>2009</v>
      </c>
      <c r="E3275" t="inlineStr">
        <is>
          <t>G.I. Joe: The Rise of Cobra</t>
        </is>
      </c>
      <c r="F3275" t="inlineStr">
        <is>
          <t>F0118</t>
        </is>
      </c>
    </row>
    <row r="3276">
      <c r="A3276" t="inlineStr">
        <is>
          <t>Michael Broderick</t>
        </is>
      </c>
      <c r="B3276" t="n">
        <v>1</v>
      </c>
      <c r="C3276" t="n">
        <v>2009</v>
      </c>
      <c r="D3276" t="n">
        <v>2009</v>
      </c>
      <c r="E3276" t="inlineStr">
        <is>
          <t>G.I. Joe: The Rise of Cobra</t>
        </is>
      </c>
      <c r="F3276" t="inlineStr">
        <is>
          <t>F0118</t>
        </is>
      </c>
    </row>
    <row r="3277">
      <c r="A3277" t="inlineStr">
        <is>
          <t>Elena Evangelo</t>
        </is>
      </c>
      <c r="B3277" t="n">
        <v>1</v>
      </c>
      <c r="C3277" t="n">
        <v>2009</v>
      </c>
      <c r="D3277" t="n">
        <v>2009</v>
      </c>
      <c r="E3277" t="inlineStr">
        <is>
          <t>G.I. Joe: The Rise of Cobra</t>
        </is>
      </c>
      <c r="F3277" t="inlineStr">
        <is>
          <t>F0118</t>
        </is>
      </c>
    </row>
    <row r="3278">
      <c r="A3278" t="inlineStr">
        <is>
          <t>Mark Hames</t>
        </is>
      </c>
      <c r="B3278" t="n">
        <v>1</v>
      </c>
      <c r="C3278" t="n">
        <v>2009</v>
      </c>
      <c r="D3278" t="n">
        <v>2009</v>
      </c>
      <c r="E3278" t="inlineStr">
        <is>
          <t>G.I. Joe: The Rise of Cobra</t>
        </is>
      </c>
      <c r="F3278" t="inlineStr">
        <is>
          <t>F0118</t>
        </is>
      </c>
    </row>
    <row r="3279">
      <c r="A3279" t="inlineStr">
        <is>
          <t>Jacques Frantz</t>
        </is>
      </c>
      <c r="B3279" t="n">
        <v>1</v>
      </c>
      <c r="C3279" t="n">
        <v>2009</v>
      </c>
      <c r="D3279" t="n">
        <v>2009</v>
      </c>
      <c r="E3279" t="inlineStr">
        <is>
          <t>G.I. Joe: The Rise of Cobra</t>
        </is>
      </c>
      <c r="F3279" t="inlineStr">
        <is>
          <t>F0118</t>
        </is>
      </c>
    </row>
    <row r="3280">
      <c r="A3280" t="inlineStr">
        <is>
          <t>Wayne Lopez</t>
        </is>
      </c>
      <c r="B3280" t="n">
        <v>1</v>
      </c>
      <c r="C3280" t="n">
        <v>2009</v>
      </c>
      <c r="D3280" t="n">
        <v>2009</v>
      </c>
      <c r="E3280" t="inlineStr">
        <is>
          <t>G.I. Joe: The Rise of Cobra</t>
        </is>
      </c>
      <c r="F3280" t="inlineStr">
        <is>
          <t>F0118</t>
        </is>
      </c>
    </row>
    <row r="3281">
      <c r="A3281" t="inlineStr">
        <is>
          <t>Kellie Matteson</t>
        </is>
      </c>
      <c r="B3281" t="n">
        <v>1</v>
      </c>
      <c r="C3281" t="n">
        <v>2009</v>
      </c>
      <c r="D3281" t="n">
        <v>2009</v>
      </c>
      <c r="E3281" t="inlineStr">
        <is>
          <t>G.I. Joe: The Rise of Cobra</t>
        </is>
      </c>
      <c r="F3281" t="inlineStr">
        <is>
          <t>F0118</t>
        </is>
      </c>
    </row>
    <row r="3282">
      <c r="A3282" t="inlineStr">
        <is>
          <t>Henry Golding</t>
        </is>
      </c>
      <c r="B3282" t="n">
        <v>1</v>
      </c>
      <c r="C3282" t="n">
        <v>2020</v>
      </c>
      <c r="D3282" t="n">
        <v>2020</v>
      </c>
      <c r="E3282" t="inlineStr">
        <is>
          <t>The Gentlemen</t>
        </is>
      </c>
      <c r="F3282" t="inlineStr">
        <is>
          <t>F0119</t>
        </is>
      </c>
    </row>
    <row r="3283">
      <c r="A3283" t="inlineStr">
        <is>
          <t>Chidi Ajufo</t>
        </is>
      </c>
      <c r="B3283" t="n">
        <v>1</v>
      </c>
      <c r="C3283" t="n">
        <v>2020</v>
      </c>
      <c r="D3283" t="n">
        <v>2020</v>
      </c>
      <c r="E3283" t="inlineStr">
        <is>
          <t>The Gentlemen</t>
        </is>
      </c>
      <c r="F3283" t="inlineStr">
        <is>
          <t>F0119</t>
        </is>
      </c>
    </row>
    <row r="3284">
      <c r="A3284" t="inlineStr">
        <is>
          <t>Simon Barker</t>
        </is>
      </c>
      <c r="B3284" t="n">
        <v>1</v>
      </c>
      <c r="C3284" t="n">
        <v>2020</v>
      </c>
      <c r="D3284" t="n">
        <v>2020</v>
      </c>
      <c r="E3284" t="inlineStr">
        <is>
          <t>The Gentlemen</t>
        </is>
      </c>
      <c r="F3284" t="inlineStr">
        <is>
          <t>F0119</t>
        </is>
      </c>
    </row>
    <row r="3285">
      <c r="A3285" t="inlineStr">
        <is>
          <t>Jason Wong</t>
        </is>
      </c>
      <c r="B3285" t="n">
        <v>2</v>
      </c>
      <c r="C3285" t="n">
        <v>2013</v>
      </c>
      <c r="D3285" t="n">
        <v>2020</v>
      </c>
      <c r="E3285" t="inlineStr">
        <is>
          <t>The Gentlemen, Hummingbird</t>
        </is>
      </c>
      <c r="F3285" t="inlineStr">
        <is>
          <t>F0119, F0156</t>
        </is>
      </c>
    </row>
    <row r="3286">
      <c r="A3286" t="inlineStr">
        <is>
          <t>John Dagleish</t>
        </is>
      </c>
      <c r="B3286" t="n">
        <v>1</v>
      </c>
      <c r="C3286" t="n">
        <v>2020</v>
      </c>
      <c r="D3286" t="n">
        <v>2020</v>
      </c>
      <c r="E3286" t="inlineStr">
        <is>
          <t>The Gentlemen</t>
        </is>
      </c>
      <c r="F3286" t="inlineStr">
        <is>
          <t>F0119</t>
        </is>
      </c>
    </row>
    <row r="3287">
      <c r="A3287" t="inlineStr">
        <is>
          <t>Jordan Long</t>
        </is>
      </c>
      <c r="B3287" t="n">
        <v>1</v>
      </c>
      <c r="C3287" t="n">
        <v>2020</v>
      </c>
      <c r="D3287" t="n">
        <v>2020</v>
      </c>
      <c r="E3287" t="inlineStr">
        <is>
          <t>The Gentlemen</t>
        </is>
      </c>
      <c r="F3287" t="inlineStr">
        <is>
          <t>F0119</t>
        </is>
      </c>
    </row>
    <row r="3288">
      <c r="A3288" t="inlineStr">
        <is>
          <t>Lily Frazer</t>
        </is>
      </c>
      <c r="B3288" t="n">
        <v>1</v>
      </c>
      <c r="C3288" t="n">
        <v>2020</v>
      </c>
      <c r="D3288" t="n">
        <v>2020</v>
      </c>
      <c r="E3288" t="inlineStr">
        <is>
          <t>The Gentlemen</t>
        </is>
      </c>
      <c r="F3288" t="inlineStr">
        <is>
          <t>F0119</t>
        </is>
      </c>
    </row>
    <row r="3289">
      <c r="A3289" t="inlineStr">
        <is>
          <t>Gershwyn Eustache Jnr</t>
        </is>
      </c>
      <c r="B3289" t="n">
        <v>1</v>
      </c>
      <c r="C3289" t="n">
        <v>2020</v>
      </c>
      <c r="D3289" t="n">
        <v>2020</v>
      </c>
      <c r="E3289" t="inlineStr">
        <is>
          <t>The Gentlemen</t>
        </is>
      </c>
      <c r="F3289" t="inlineStr">
        <is>
          <t>F0119</t>
        </is>
      </c>
    </row>
    <row r="3290">
      <c r="A3290" t="inlineStr">
        <is>
          <t>Samuel West</t>
        </is>
      </c>
      <c r="B3290" t="n">
        <v>1</v>
      </c>
      <c r="C3290" t="n">
        <v>2020</v>
      </c>
      <c r="D3290" t="n">
        <v>2020</v>
      </c>
      <c r="E3290" t="inlineStr">
        <is>
          <t>The Gentlemen</t>
        </is>
      </c>
      <c r="F3290" t="inlineStr">
        <is>
          <t>F0119</t>
        </is>
      </c>
    </row>
    <row r="3291">
      <c r="A3291" t="inlineStr">
        <is>
          <t>Geraldine Somerville</t>
        </is>
      </c>
      <c r="B3291" t="n">
        <v>3</v>
      </c>
      <c r="C3291" t="n">
        <v>2004</v>
      </c>
      <c r="D3291" t="n">
        <v>2020</v>
      </c>
      <c r="E3291" t="inlineStr">
        <is>
          <t>The Gentlemen, Harry Potter and the Prisoner of Azkaban, Harry Potter and the Half-Blood Prince</t>
        </is>
      </c>
      <c r="F3291" t="inlineStr">
        <is>
          <t>F0119, F0139, F0142</t>
        </is>
      </c>
    </row>
    <row r="3292">
      <c r="A3292" t="inlineStr">
        <is>
          <t>Eliot Sumner</t>
        </is>
      </c>
      <c r="B3292" t="n">
        <v>1</v>
      </c>
      <c r="C3292" t="n">
        <v>2020</v>
      </c>
      <c r="D3292" t="n">
        <v>2020</v>
      </c>
      <c r="E3292" t="inlineStr">
        <is>
          <t>The Gentlemen</t>
        </is>
      </c>
      <c r="F3292" t="inlineStr">
        <is>
          <t>F0119</t>
        </is>
      </c>
    </row>
    <row r="3293">
      <c r="A3293" t="inlineStr">
        <is>
          <t>Christopher Evangelou</t>
        </is>
      </c>
      <c r="B3293" t="n">
        <v>1</v>
      </c>
      <c r="C3293" t="n">
        <v>2020</v>
      </c>
      <c r="D3293" t="n">
        <v>2020</v>
      </c>
      <c r="E3293" t="inlineStr">
        <is>
          <t>The Gentlemen</t>
        </is>
      </c>
      <c r="F3293" t="inlineStr">
        <is>
          <t>F0119</t>
        </is>
      </c>
    </row>
    <row r="3294">
      <c r="A3294" t="inlineStr">
        <is>
          <t>James Warren</t>
        </is>
      </c>
      <c r="B3294" t="n">
        <v>1</v>
      </c>
      <c r="C3294" t="n">
        <v>2020</v>
      </c>
      <c r="D3294" t="n">
        <v>2020</v>
      </c>
      <c r="E3294" t="inlineStr">
        <is>
          <t>The Gentlemen</t>
        </is>
      </c>
      <c r="F3294" t="inlineStr">
        <is>
          <t>F0119</t>
        </is>
      </c>
    </row>
    <row r="3295">
      <c r="A3295" t="inlineStr">
        <is>
          <t>Sean Sagar</t>
        </is>
      </c>
      <c r="B3295" t="n">
        <v>1</v>
      </c>
      <c r="C3295" t="n">
        <v>2020</v>
      </c>
      <c r="D3295" t="n">
        <v>2020</v>
      </c>
      <c r="E3295" t="inlineStr">
        <is>
          <t>The Gentlemen</t>
        </is>
      </c>
      <c r="F3295" t="inlineStr">
        <is>
          <t>F0119</t>
        </is>
      </c>
    </row>
    <row r="3296">
      <c r="A3296" t="inlineStr">
        <is>
          <t>Bugzy Malone</t>
        </is>
      </c>
      <c r="B3296" t="n">
        <v>1</v>
      </c>
      <c r="C3296" t="n">
        <v>2020</v>
      </c>
      <c r="D3296" t="n">
        <v>2020</v>
      </c>
      <c r="E3296" t="inlineStr">
        <is>
          <t>The Gentlemen</t>
        </is>
      </c>
      <c r="F3296" t="inlineStr">
        <is>
          <t>F0119</t>
        </is>
      </c>
    </row>
    <row r="3297">
      <c r="A3297" t="inlineStr">
        <is>
          <t>Tom Rhys Harries</t>
        </is>
      </c>
      <c r="B3297" t="n">
        <v>2</v>
      </c>
      <c r="C3297" t="n">
        <v>2014</v>
      </c>
      <c r="D3297" t="n">
        <v>2020</v>
      </c>
      <c r="E3297" t="inlineStr">
        <is>
          <t>The Gentlemen, The Inbetweeners 2</t>
        </is>
      </c>
      <c r="F3297" t="inlineStr">
        <is>
          <t>F0119, F0164</t>
        </is>
      </c>
    </row>
    <row r="3298">
      <c r="A3298" t="inlineStr">
        <is>
          <t>Danny Griffin</t>
        </is>
      </c>
      <c r="B3298" t="n">
        <v>1</v>
      </c>
      <c r="C3298" t="n">
        <v>2020</v>
      </c>
      <c r="D3298" t="n">
        <v>2020</v>
      </c>
      <c r="E3298" t="inlineStr">
        <is>
          <t>The Gentlemen</t>
        </is>
      </c>
      <c r="F3298" t="inlineStr">
        <is>
          <t>F0119</t>
        </is>
      </c>
    </row>
    <row r="3299">
      <c r="A3299" t="inlineStr">
        <is>
          <t>Bruce Chong</t>
        </is>
      </c>
      <c r="B3299" t="n">
        <v>1</v>
      </c>
      <c r="C3299" t="n">
        <v>2020</v>
      </c>
      <c r="D3299" t="n">
        <v>2020</v>
      </c>
      <c r="E3299" t="inlineStr">
        <is>
          <t>The Gentlemen</t>
        </is>
      </c>
      <c r="F3299" t="inlineStr">
        <is>
          <t>F0119</t>
        </is>
      </c>
    </row>
    <row r="3300">
      <c r="A3300" t="inlineStr">
        <is>
          <t>Yorick van Wageningen</t>
        </is>
      </c>
      <c r="B3300" t="n">
        <v>1</v>
      </c>
      <c r="C3300" t="n">
        <v>2011</v>
      </c>
      <c r="D3300" t="n">
        <v>2011</v>
      </c>
      <c r="E3300" t="inlineStr">
        <is>
          <t>The Girl with the Dragon Tattoo</t>
        </is>
      </c>
      <c r="F3300" t="inlineStr">
        <is>
          <t>F0120</t>
        </is>
      </c>
    </row>
    <row r="3301">
      <c r="A3301" t="inlineStr">
        <is>
          <t>Joely Richardson</t>
        </is>
      </c>
      <c r="B3301" t="n">
        <v>1</v>
      </c>
      <c r="C3301" t="n">
        <v>2011</v>
      </c>
      <c r="D3301" t="n">
        <v>2011</v>
      </c>
      <c r="E3301" t="inlineStr">
        <is>
          <t>The Girl with the Dragon Tattoo</t>
        </is>
      </c>
      <c r="F3301" t="inlineStr">
        <is>
          <t>F0120</t>
        </is>
      </c>
    </row>
    <row r="3302">
      <c r="A3302" t="inlineStr">
        <is>
          <t>Geraldine James</t>
        </is>
      </c>
      <c r="B3302" t="n">
        <v>3</v>
      </c>
      <c r="C3302" t="n">
        <v>2009</v>
      </c>
      <c r="D3302" t="n">
        <v>2011</v>
      </c>
      <c r="E3302" t="inlineStr">
        <is>
          <t>The Girl with the Dragon Tattoo, Sherlock Holmes, Sherlock Holmes: A Game of Shadows</t>
        </is>
      </c>
      <c r="F3302" t="inlineStr">
        <is>
          <t>F0120, F0278, F0279</t>
        </is>
      </c>
    </row>
    <row r="3303">
      <c r="A3303" t="inlineStr">
        <is>
          <t>Goran Višnjić</t>
        </is>
      </c>
      <c r="B3303" t="n">
        <v>1</v>
      </c>
      <c r="C3303" t="n">
        <v>2011</v>
      </c>
      <c r="D3303" t="n">
        <v>2011</v>
      </c>
      <c r="E3303" t="inlineStr">
        <is>
          <t>The Girl with the Dragon Tattoo</t>
        </is>
      </c>
      <c r="F3303" t="inlineStr">
        <is>
          <t>F0120</t>
        </is>
      </c>
    </row>
    <row r="3304">
      <c r="A3304" t="inlineStr">
        <is>
          <t>Donald Sumpter</t>
        </is>
      </c>
      <c r="B3304" t="n">
        <v>1</v>
      </c>
      <c r="C3304" t="n">
        <v>2011</v>
      </c>
      <c r="D3304" t="n">
        <v>2011</v>
      </c>
      <c r="E3304" t="inlineStr">
        <is>
          <t>The Girl with the Dragon Tattoo</t>
        </is>
      </c>
      <c r="F3304" t="inlineStr">
        <is>
          <t>F0120</t>
        </is>
      </c>
    </row>
    <row r="3305">
      <c r="A3305" t="inlineStr">
        <is>
          <t>Ulf Friberg</t>
        </is>
      </c>
      <c r="B3305" t="n">
        <v>1</v>
      </c>
      <c r="C3305" t="n">
        <v>2011</v>
      </c>
      <c r="D3305" t="n">
        <v>2011</v>
      </c>
      <c r="E3305" t="inlineStr">
        <is>
          <t>The Girl with the Dragon Tattoo</t>
        </is>
      </c>
      <c r="F3305" t="inlineStr">
        <is>
          <t>F0120</t>
        </is>
      </c>
    </row>
    <row r="3306">
      <c r="A3306" t="inlineStr">
        <is>
          <t>Bengt C.W. Carlsson</t>
        </is>
      </c>
      <c r="B3306" t="n">
        <v>1</v>
      </c>
      <c r="C3306" t="n">
        <v>2011</v>
      </c>
      <c r="D3306" t="n">
        <v>2011</v>
      </c>
      <c r="E3306" t="inlineStr">
        <is>
          <t>The Girl with the Dragon Tattoo</t>
        </is>
      </c>
      <c r="F3306" t="inlineStr">
        <is>
          <t>F0120</t>
        </is>
      </c>
    </row>
    <row r="3307">
      <c r="A3307" t="inlineStr">
        <is>
          <t>Tony Way</t>
        </is>
      </c>
      <c r="B3307" t="n">
        <v>1</v>
      </c>
      <c r="C3307" t="n">
        <v>2011</v>
      </c>
      <c r="D3307" t="n">
        <v>2011</v>
      </c>
      <c r="E3307" t="inlineStr">
        <is>
          <t>The Girl with the Dragon Tattoo</t>
        </is>
      </c>
      <c r="F3307" t="inlineStr">
        <is>
          <t>F0120</t>
        </is>
      </c>
    </row>
    <row r="3308">
      <c r="A3308" t="inlineStr">
        <is>
          <t>Per Myrberg</t>
        </is>
      </c>
      <c r="B3308" t="n">
        <v>1</v>
      </c>
      <c r="C3308" t="n">
        <v>2011</v>
      </c>
      <c r="D3308" t="n">
        <v>2011</v>
      </c>
      <c r="E3308" t="inlineStr">
        <is>
          <t>The Girl with the Dragon Tattoo</t>
        </is>
      </c>
      <c r="F3308" t="inlineStr">
        <is>
          <t>F0120</t>
        </is>
      </c>
    </row>
    <row r="3309">
      <c r="A3309" t="inlineStr">
        <is>
          <t>Josefin Asplund</t>
        </is>
      </c>
      <c r="B3309" t="n">
        <v>1</v>
      </c>
      <c r="C3309" t="n">
        <v>2011</v>
      </c>
      <c r="D3309" t="n">
        <v>2011</v>
      </c>
      <c r="E3309" t="inlineStr">
        <is>
          <t>The Girl with the Dragon Tattoo</t>
        </is>
      </c>
      <c r="F3309" t="inlineStr">
        <is>
          <t>F0120</t>
        </is>
      </c>
    </row>
    <row r="3310">
      <c r="A3310" t="inlineStr">
        <is>
          <t>Eva Fritjofson</t>
        </is>
      </c>
      <c r="B3310" t="n">
        <v>1</v>
      </c>
      <c r="C3310" t="n">
        <v>2011</v>
      </c>
      <c r="D3310" t="n">
        <v>2011</v>
      </c>
      <c r="E3310" t="inlineStr">
        <is>
          <t>The Girl with the Dragon Tattoo</t>
        </is>
      </c>
      <c r="F3310" t="inlineStr">
        <is>
          <t>F0120</t>
        </is>
      </c>
    </row>
    <row r="3311">
      <c r="A3311" t="inlineStr">
        <is>
          <t>Moa Garpendal</t>
        </is>
      </c>
      <c r="B3311" t="n">
        <v>1</v>
      </c>
      <c r="C3311" t="n">
        <v>2011</v>
      </c>
      <c r="D3311" t="n">
        <v>2011</v>
      </c>
      <c r="E3311" t="inlineStr">
        <is>
          <t>The Girl with the Dragon Tattoo</t>
        </is>
      </c>
      <c r="F3311" t="inlineStr">
        <is>
          <t>F0120</t>
        </is>
      </c>
    </row>
    <row r="3312">
      <c r="A3312" t="inlineStr">
        <is>
          <t>Maia Hansson Bergqvist</t>
        </is>
      </c>
      <c r="B3312" t="n">
        <v>1</v>
      </c>
      <c r="C3312" t="n">
        <v>2011</v>
      </c>
      <c r="D3312" t="n">
        <v>2011</v>
      </c>
      <c r="E3312" t="inlineStr">
        <is>
          <t>The Girl with the Dragon Tattoo</t>
        </is>
      </c>
      <c r="F3312" t="inlineStr">
        <is>
          <t>F0120</t>
        </is>
      </c>
    </row>
    <row r="3313">
      <c r="A3313" t="inlineStr">
        <is>
          <t>Sarah Appelberg</t>
        </is>
      </c>
      <c r="B3313" t="n">
        <v>1</v>
      </c>
      <c r="C3313" t="n">
        <v>2011</v>
      </c>
      <c r="D3313" t="n">
        <v>2011</v>
      </c>
      <c r="E3313" t="inlineStr">
        <is>
          <t>The Girl with the Dragon Tattoo</t>
        </is>
      </c>
      <c r="F3313" t="inlineStr">
        <is>
          <t>F0120</t>
        </is>
      </c>
    </row>
    <row r="3314">
      <c r="A3314" t="inlineStr">
        <is>
          <t>Julian Sands</t>
        </is>
      </c>
      <c r="B3314" t="n">
        <v>1</v>
      </c>
      <c r="C3314" t="n">
        <v>2011</v>
      </c>
      <c r="D3314" t="n">
        <v>2011</v>
      </c>
      <c r="E3314" t="inlineStr">
        <is>
          <t>The Girl with the Dragon Tattoo</t>
        </is>
      </c>
      <c r="F3314" t="inlineStr">
        <is>
          <t>F0120</t>
        </is>
      </c>
    </row>
    <row r="3315">
      <c r="A3315" t="inlineStr">
        <is>
          <t>Anna Björk</t>
        </is>
      </c>
      <c r="B3315" t="n">
        <v>1</v>
      </c>
      <c r="C3315" t="n">
        <v>2011</v>
      </c>
      <c r="D3315" t="n">
        <v>2011</v>
      </c>
      <c r="E3315" t="inlineStr">
        <is>
          <t>The Girl with the Dragon Tattoo</t>
        </is>
      </c>
      <c r="F3315" t="inlineStr">
        <is>
          <t>F0120</t>
        </is>
      </c>
    </row>
    <row r="3316">
      <c r="A3316" t="inlineStr">
        <is>
          <t>Simon Reithner</t>
        </is>
      </c>
      <c r="B3316" t="n">
        <v>1</v>
      </c>
      <c r="C3316" t="n">
        <v>2011</v>
      </c>
      <c r="D3316" t="n">
        <v>2011</v>
      </c>
      <c r="E3316" t="inlineStr">
        <is>
          <t>The Girl with the Dragon Tattoo</t>
        </is>
      </c>
      <c r="F3316" t="inlineStr">
        <is>
          <t>F0120</t>
        </is>
      </c>
    </row>
    <row r="3317">
      <c r="A3317" t="inlineStr">
        <is>
          <t>Marcus Johansson</t>
        </is>
      </c>
      <c r="B3317" t="n">
        <v>1</v>
      </c>
      <c r="C3317" t="n">
        <v>2011</v>
      </c>
      <c r="D3317" t="n">
        <v>2011</v>
      </c>
      <c r="E3317" t="inlineStr">
        <is>
          <t>The Girl with the Dragon Tattoo</t>
        </is>
      </c>
      <c r="F3317" t="inlineStr">
        <is>
          <t>F0120</t>
        </is>
      </c>
    </row>
    <row r="3318">
      <c r="A3318" t="inlineStr">
        <is>
          <t>Mathilda von Essen</t>
        </is>
      </c>
      <c r="B3318" t="n">
        <v>1</v>
      </c>
      <c r="C3318" t="n">
        <v>2011</v>
      </c>
      <c r="D3318" t="n">
        <v>2011</v>
      </c>
      <c r="E3318" t="inlineStr">
        <is>
          <t>The Girl with the Dragon Tattoo</t>
        </is>
      </c>
      <c r="F3318" t="inlineStr">
        <is>
          <t>F0120</t>
        </is>
      </c>
    </row>
    <row r="3319">
      <c r="A3319" t="inlineStr">
        <is>
          <t>Mathias Palmér</t>
        </is>
      </c>
      <c r="B3319" t="n">
        <v>1</v>
      </c>
      <c r="C3319" t="n">
        <v>2011</v>
      </c>
      <c r="D3319" t="n">
        <v>2011</v>
      </c>
      <c r="E3319" t="inlineStr">
        <is>
          <t>The Girl with the Dragon Tattoo</t>
        </is>
      </c>
      <c r="F3319" t="inlineStr">
        <is>
          <t>F0120</t>
        </is>
      </c>
    </row>
    <row r="3320">
      <c r="A3320" t="inlineStr">
        <is>
          <t>Martin Jarvis</t>
        </is>
      </c>
      <c r="B3320" t="n">
        <v>1</v>
      </c>
      <c r="C3320" t="n">
        <v>2011</v>
      </c>
      <c r="D3320" t="n">
        <v>2011</v>
      </c>
      <c r="E3320" t="inlineStr">
        <is>
          <t>The Girl with the Dragon Tattoo</t>
        </is>
      </c>
      <c r="F3320" t="inlineStr">
        <is>
          <t>F0120</t>
        </is>
      </c>
    </row>
    <row r="3321">
      <c r="A3321" t="inlineStr">
        <is>
          <t>Inga Landgré</t>
        </is>
      </c>
      <c r="B3321" t="n">
        <v>1</v>
      </c>
      <c r="C3321" t="n">
        <v>2011</v>
      </c>
      <c r="D3321" t="n">
        <v>2011</v>
      </c>
      <c r="E3321" t="inlineStr">
        <is>
          <t>The Girl with the Dragon Tattoo</t>
        </is>
      </c>
      <c r="F3321" t="inlineStr">
        <is>
          <t>F0120</t>
        </is>
      </c>
    </row>
    <row r="3322">
      <c r="A3322" t="inlineStr">
        <is>
          <t>Al Sapienza</t>
        </is>
      </c>
      <c r="B3322" t="n">
        <v>1</v>
      </c>
      <c r="C3322" t="n">
        <v>2014</v>
      </c>
      <c r="D3322" t="n">
        <v>2014</v>
      </c>
      <c r="E3322" t="inlineStr">
        <is>
          <t>Godzilla</t>
        </is>
      </c>
      <c r="F3322" t="inlineStr">
        <is>
          <t>F0121</t>
        </is>
      </c>
    </row>
    <row r="3323">
      <c r="A3323" t="inlineStr">
        <is>
          <t>James Pizzinato</t>
        </is>
      </c>
      <c r="B3323" t="n">
        <v>2</v>
      </c>
      <c r="C3323" t="n">
        <v>2014</v>
      </c>
      <c r="D3323" t="n">
        <v>2017</v>
      </c>
      <c r="E3323" t="inlineStr">
        <is>
          <t>Godzilla, War for the Planet of the Apes</t>
        </is>
      </c>
      <c r="F3323" t="inlineStr">
        <is>
          <t>F0121, F0255</t>
        </is>
      </c>
    </row>
    <row r="3324">
      <c r="A3324" t="inlineStr">
        <is>
          <t>CJ Adams</t>
        </is>
      </c>
      <c r="B3324" t="n">
        <v>1</v>
      </c>
      <c r="C3324" t="n">
        <v>2014</v>
      </c>
      <c r="D3324" t="n">
        <v>2014</v>
      </c>
      <c r="E3324" t="inlineStr">
        <is>
          <t>Godzilla</t>
        </is>
      </c>
      <c r="F3324" t="inlineStr">
        <is>
          <t>F0121</t>
        </is>
      </c>
    </row>
    <row r="3325">
      <c r="A3325" t="inlineStr">
        <is>
          <t>Richard T. Jones</t>
        </is>
      </c>
      <c r="B3325" t="n">
        <v>2</v>
      </c>
      <c r="C3325" t="n">
        <v>2011</v>
      </c>
      <c r="D3325" t="n">
        <v>2014</v>
      </c>
      <c r="E3325" t="inlineStr">
        <is>
          <t>Godzilla, Super 8</t>
        </is>
      </c>
      <c r="F3325" t="inlineStr">
        <is>
          <t>F0121, F0302</t>
        </is>
      </c>
    </row>
    <row r="3326">
      <c r="A3326" t="inlineStr">
        <is>
          <t>Victor Rasuk</t>
        </is>
      </c>
      <c r="B3326" t="n">
        <v>1</v>
      </c>
      <c r="C3326" t="n">
        <v>2014</v>
      </c>
      <c r="D3326" t="n">
        <v>2014</v>
      </c>
      <c r="E3326" t="inlineStr">
        <is>
          <t>Godzilla</t>
        </is>
      </c>
      <c r="F3326" t="inlineStr">
        <is>
          <t>F0121</t>
        </is>
      </c>
    </row>
    <row r="3327">
      <c r="A3327" t="inlineStr">
        <is>
          <t>Patrick Sabongui</t>
        </is>
      </c>
      <c r="B3327" t="n">
        <v>3</v>
      </c>
      <c r="C3327" t="n">
        <v>2013</v>
      </c>
      <c r="D3327" t="n">
        <v>2014</v>
      </c>
      <c r="E3327" t="inlineStr">
        <is>
          <t>Godzilla, The Smurfs 2, White House Down</t>
        </is>
      </c>
      <c r="F3327" t="inlineStr">
        <is>
          <t>F0121, F0282, F0335</t>
        </is>
      </c>
    </row>
    <row r="3328">
      <c r="A3328" t="inlineStr">
        <is>
          <t>Carson Bolde</t>
        </is>
      </c>
      <c r="B3328" t="n">
        <v>1</v>
      </c>
      <c r="C3328" t="n">
        <v>2014</v>
      </c>
      <c r="D3328" t="n">
        <v>2014</v>
      </c>
      <c r="E3328" t="inlineStr">
        <is>
          <t>Godzilla</t>
        </is>
      </c>
      <c r="F3328" t="inlineStr">
        <is>
          <t>F0121</t>
        </is>
      </c>
    </row>
    <row r="3329">
      <c r="A3329" t="inlineStr">
        <is>
          <t>Luc Roderique</t>
        </is>
      </c>
      <c r="B3329" t="n">
        <v>1</v>
      </c>
      <c r="C3329" t="n">
        <v>2014</v>
      </c>
      <c r="D3329" t="n">
        <v>2014</v>
      </c>
      <c r="E3329" t="inlineStr">
        <is>
          <t>Godzilla</t>
        </is>
      </c>
      <c r="F3329" t="inlineStr">
        <is>
          <t>F0121</t>
        </is>
      </c>
    </row>
    <row r="3330">
      <c r="A3330" t="inlineStr">
        <is>
          <t>Primo Allon</t>
        </is>
      </c>
      <c r="B3330" t="n">
        <v>1</v>
      </c>
      <c r="C3330" t="n">
        <v>2014</v>
      </c>
      <c r="D3330" t="n">
        <v>2014</v>
      </c>
      <c r="E3330" t="inlineStr">
        <is>
          <t>Godzilla</t>
        </is>
      </c>
      <c r="F3330" t="inlineStr">
        <is>
          <t>F0121</t>
        </is>
      </c>
    </row>
    <row r="3331">
      <c r="A3331" t="inlineStr">
        <is>
          <t>George Allen Gumapac Jr.</t>
        </is>
      </c>
      <c r="B3331" t="n">
        <v>1</v>
      </c>
      <c r="C3331" t="n">
        <v>2014</v>
      </c>
      <c r="D3331" t="n">
        <v>2014</v>
      </c>
      <c r="E3331" t="inlineStr">
        <is>
          <t>Godzilla</t>
        </is>
      </c>
      <c r="F3331" t="inlineStr">
        <is>
          <t>F0121</t>
        </is>
      </c>
    </row>
    <row r="3332">
      <c r="A3332" t="inlineStr">
        <is>
          <t>Ken Yamamura</t>
        </is>
      </c>
      <c r="B3332" t="n">
        <v>2</v>
      </c>
      <c r="C3332" t="n">
        <v>2013</v>
      </c>
      <c r="D3332" t="n">
        <v>2014</v>
      </c>
      <c r="E3332" t="inlineStr">
        <is>
          <t>Godzilla, The Wolverine</t>
        </is>
      </c>
      <c r="F3332" t="inlineStr">
        <is>
          <t>F0121, F0347</t>
        </is>
      </c>
    </row>
    <row r="3333">
      <c r="A3333" t="inlineStr">
        <is>
          <t>Garry Chalk</t>
        </is>
      </c>
      <c r="B3333" t="n">
        <v>1</v>
      </c>
      <c r="C3333" t="n">
        <v>2014</v>
      </c>
      <c r="D3333" t="n">
        <v>2014</v>
      </c>
      <c r="E3333" t="inlineStr">
        <is>
          <t>Godzilla</t>
        </is>
      </c>
      <c r="F3333" t="inlineStr">
        <is>
          <t>F0121</t>
        </is>
      </c>
    </row>
    <row r="3334">
      <c r="A3334" t="inlineStr">
        <is>
          <t>Hiro Kanagawa</t>
        </is>
      </c>
      <c r="B3334" t="n">
        <v>1</v>
      </c>
      <c r="C3334" t="n">
        <v>2014</v>
      </c>
      <c r="D3334" t="n">
        <v>2014</v>
      </c>
      <c r="E3334" t="inlineStr">
        <is>
          <t>Godzilla</t>
        </is>
      </c>
      <c r="F3334" t="inlineStr">
        <is>
          <t>F0121</t>
        </is>
      </c>
    </row>
    <row r="3335">
      <c r="A3335" t="inlineStr">
        <is>
          <t>Kevan Ohtsji</t>
        </is>
      </c>
      <c r="B3335" t="n">
        <v>1</v>
      </c>
      <c r="C3335" t="n">
        <v>2014</v>
      </c>
      <c r="D3335" t="n">
        <v>2014</v>
      </c>
      <c r="E3335" t="inlineStr">
        <is>
          <t>Godzilla</t>
        </is>
      </c>
      <c r="F3335" t="inlineStr">
        <is>
          <t>F0121</t>
        </is>
      </c>
    </row>
    <row r="3336">
      <c r="A3336" t="inlineStr">
        <is>
          <t>Kasey Ryne Mazak</t>
        </is>
      </c>
      <c r="B3336" t="n">
        <v>1</v>
      </c>
      <c r="C3336" t="n">
        <v>2014</v>
      </c>
      <c r="D3336" t="n">
        <v>2014</v>
      </c>
      <c r="E3336" t="inlineStr">
        <is>
          <t>Godzilla</t>
        </is>
      </c>
      <c r="F3336" t="inlineStr">
        <is>
          <t>F0121</t>
        </is>
      </c>
    </row>
    <row r="3337">
      <c r="A3337" t="inlineStr">
        <is>
          <t>Mas Morimoto</t>
        </is>
      </c>
      <c r="B3337" t="n">
        <v>1</v>
      </c>
      <c r="C3337" t="n">
        <v>2014</v>
      </c>
      <c r="D3337" t="n">
        <v>2014</v>
      </c>
      <c r="E3337" t="inlineStr">
        <is>
          <t>Godzilla</t>
        </is>
      </c>
      <c r="F3337" t="inlineStr">
        <is>
          <t>F0121</t>
        </is>
      </c>
    </row>
    <row r="3338">
      <c r="A3338" t="inlineStr">
        <is>
          <t>James D. Dever</t>
        </is>
      </c>
      <c r="B3338" t="n">
        <v>1</v>
      </c>
      <c r="C3338" t="n">
        <v>2014</v>
      </c>
      <c r="D3338" t="n">
        <v>2014</v>
      </c>
      <c r="E3338" t="inlineStr">
        <is>
          <t>Godzilla</t>
        </is>
      </c>
      <c r="F3338" t="inlineStr">
        <is>
          <t>F0121</t>
        </is>
      </c>
    </row>
    <row r="3339">
      <c r="A3339" t="inlineStr">
        <is>
          <t>Akira Takarada</t>
        </is>
      </c>
      <c r="B3339" t="n">
        <v>1</v>
      </c>
      <c r="C3339" t="n">
        <v>2014</v>
      </c>
      <c r="D3339" t="n">
        <v>2014</v>
      </c>
      <c r="E3339" t="inlineStr">
        <is>
          <t>Godzilla</t>
        </is>
      </c>
      <c r="F3339" t="inlineStr">
        <is>
          <t>F0121</t>
        </is>
      </c>
    </row>
    <row r="3340">
      <c r="A3340" t="inlineStr">
        <is>
          <t>Yuko Kiyama</t>
        </is>
      </c>
      <c r="B3340" t="n">
        <v>1</v>
      </c>
      <c r="C3340" t="n">
        <v>2014</v>
      </c>
      <c r="D3340" t="n">
        <v>2014</v>
      </c>
      <c r="E3340" t="inlineStr">
        <is>
          <t>Godzilla</t>
        </is>
      </c>
      <c r="F3340" t="inlineStr">
        <is>
          <t>F0121</t>
        </is>
      </c>
    </row>
    <row r="3341">
      <c r="A3341" t="inlineStr">
        <is>
          <t>Takeshi Kurokawa</t>
        </is>
      </c>
      <c r="B3341" t="n">
        <v>1</v>
      </c>
      <c r="C3341" t="n">
        <v>2014</v>
      </c>
      <c r="D3341" t="n">
        <v>2014</v>
      </c>
      <c r="E3341" t="inlineStr">
        <is>
          <t>Godzilla</t>
        </is>
      </c>
      <c r="F3341" t="inlineStr">
        <is>
          <t>F0121</t>
        </is>
      </c>
    </row>
    <row r="3342">
      <c r="A3342" t="inlineStr">
        <is>
          <t>Bradley Whitford</t>
        </is>
      </c>
      <c r="B3342" t="n">
        <v>1</v>
      </c>
      <c r="C3342" t="n">
        <v>2019</v>
      </c>
      <c r="D3342" t="n">
        <v>2019</v>
      </c>
      <c r="E3342" t="inlineStr">
        <is>
          <t>Godzilla: King of the Monsters</t>
        </is>
      </c>
      <c r="F3342" t="inlineStr">
        <is>
          <t>F0122</t>
        </is>
      </c>
    </row>
    <row r="3343">
      <c r="A3343" t="inlineStr">
        <is>
          <t>Thomas Middleditch</t>
        </is>
      </c>
      <c r="B3343" t="n">
        <v>2</v>
      </c>
      <c r="C3343" t="n">
        <v>2017</v>
      </c>
      <c r="D3343" t="n">
        <v>2019</v>
      </c>
      <c r="E3343" t="inlineStr">
        <is>
          <t>Godzilla: King of the Monsters, Kong: Skull Island</t>
        </is>
      </c>
      <c r="F3343" t="inlineStr">
        <is>
          <t>F0122, F0190</t>
        </is>
      </c>
    </row>
    <row r="3344">
      <c r="A3344" t="inlineStr">
        <is>
          <t>Aisha Hinds</t>
        </is>
      </c>
      <c r="B3344" t="n">
        <v>1</v>
      </c>
      <c r="C3344" t="n">
        <v>2019</v>
      </c>
      <c r="D3344" t="n">
        <v>2019</v>
      </c>
      <c r="E3344" t="inlineStr">
        <is>
          <t>Godzilla: King of the Monsters</t>
        </is>
      </c>
      <c r="F3344" t="inlineStr">
        <is>
          <t>F0122</t>
        </is>
      </c>
    </row>
    <row r="3345">
      <c r="A3345" t="inlineStr">
        <is>
          <t>Elizabeth Faith Ludlow</t>
        </is>
      </c>
      <c r="B3345" t="n">
        <v>1</v>
      </c>
      <c r="C3345" t="n">
        <v>2019</v>
      </c>
      <c r="D3345" t="n">
        <v>2019</v>
      </c>
      <c r="E3345" t="inlineStr">
        <is>
          <t>Godzilla: King of the Monsters</t>
        </is>
      </c>
      <c r="F3345" t="inlineStr">
        <is>
          <t>F0122</t>
        </is>
      </c>
    </row>
    <row r="3346">
      <c r="A3346" t="inlineStr">
        <is>
          <t>Jonathan Howard</t>
        </is>
      </c>
      <c r="B3346" t="n">
        <v>1</v>
      </c>
      <c r="C3346" t="n">
        <v>2019</v>
      </c>
      <c r="D3346" t="n">
        <v>2019</v>
      </c>
      <c r="E3346" t="inlineStr">
        <is>
          <t>Godzilla: King of the Monsters</t>
        </is>
      </c>
      <c r="F3346" t="inlineStr">
        <is>
          <t>F0122</t>
        </is>
      </c>
    </row>
    <row r="3347">
      <c r="A3347" t="inlineStr">
        <is>
          <t>Joe Morton</t>
        </is>
      </c>
      <c r="B3347" t="n">
        <v>1</v>
      </c>
      <c r="C3347" t="n">
        <v>2019</v>
      </c>
      <c r="D3347" t="n">
        <v>2019</v>
      </c>
      <c r="E3347" t="inlineStr">
        <is>
          <t>Godzilla: King of the Monsters</t>
        </is>
      </c>
      <c r="F3347" t="inlineStr">
        <is>
          <t>F0122</t>
        </is>
      </c>
    </row>
    <row r="3348">
      <c r="A3348" t="inlineStr">
        <is>
          <t>Randy Havens</t>
        </is>
      </c>
      <c r="B3348" t="n">
        <v>1</v>
      </c>
      <c r="C3348" t="n">
        <v>2019</v>
      </c>
      <c r="D3348" t="n">
        <v>2019</v>
      </c>
      <c r="E3348" t="inlineStr">
        <is>
          <t>Godzilla: King of the Monsters</t>
        </is>
      </c>
      <c r="F3348" t="inlineStr">
        <is>
          <t>F0122</t>
        </is>
      </c>
    </row>
    <row r="3349">
      <c r="A3349" t="inlineStr">
        <is>
          <t>Jimmy Gonzales</t>
        </is>
      </c>
      <c r="B3349" t="n">
        <v>1</v>
      </c>
      <c r="C3349" t="n">
        <v>2019</v>
      </c>
      <c r="D3349" t="n">
        <v>2019</v>
      </c>
      <c r="E3349" t="inlineStr">
        <is>
          <t>Godzilla: King of the Monsters</t>
        </is>
      </c>
      <c r="F3349" t="inlineStr">
        <is>
          <t>F0122</t>
        </is>
      </c>
    </row>
    <row r="3350">
      <c r="A3350" t="inlineStr">
        <is>
          <t>T.C. Matherne</t>
        </is>
      </c>
      <c r="B3350" t="n">
        <v>1</v>
      </c>
      <c r="C3350" t="n">
        <v>2019</v>
      </c>
      <c r="D3350" t="n">
        <v>2019</v>
      </c>
      <c r="E3350" t="inlineStr">
        <is>
          <t>Godzilla: King of the Monsters</t>
        </is>
      </c>
      <c r="F3350" t="inlineStr">
        <is>
          <t>F0122</t>
        </is>
      </c>
    </row>
    <row r="3351">
      <c r="A3351" t="inlineStr">
        <is>
          <t>Kenneth Israel</t>
        </is>
      </c>
      <c r="B3351" t="n">
        <v>1</v>
      </c>
      <c r="C3351" t="n">
        <v>2019</v>
      </c>
      <c r="D3351" t="n">
        <v>2019</v>
      </c>
      <c r="E3351" t="inlineStr">
        <is>
          <t>Godzilla: King of the Monsters</t>
        </is>
      </c>
      <c r="F3351" t="inlineStr">
        <is>
          <t>F0122</t>
        </is>
      </c>
    </row>
    <row r="3352">
      <c r="A3352" t="inlineStr">
        <is>
          <t>Justice Leak</t>
        </is>
      </c>
      <c r="B3352" t="n">
        <v>1</v>
      </c>
      <c r="C3352" t="n">
        <v>2019</v>
      </c>
      <c r="D3352" t="n">
        <v>2019</v>
      </c>
      <c r="E3352" t="inlineStr">
        <is>
          <t>Godzilla: King of the Monsters</t>
        </is>
      </c>
      <c r="F3352" t="inlineStr">
        <is>
          <t>F0122</t>
        </is>
      </c>
    </row>
    <row r="3353">
      <c r="A3353" t="inlineStr">
        <is>
          <t>Al Vicente</t>
        </is>
      </c>
      <c r="B3353" t="n">
        <v>2</v>
      </c>
      <c r="C3353" t="n">
        <v>2014</v>
      </c>
      <c r="D3353" t="n">
        <v>2019</v>
      </c>
      <c r="E3353" t="inlineStr">
        <is>
          <t>Godzilla: King of the Monsters, Dawn of the Planet of the Apes</t>
        </is>
      </c>
      <c r="F3353" t="inlineStr">
        <is>
          <t>F0122, F0254</t>
        </is>
      </c>
    </row>
    <row r="3354">
      <c r="A3354" t="inlineStr">
        <is>
          <t>Rose Bianco</t>
        </is>
      </c>
      <c r="B3354" t="n">
        <v>1</v>
      </c>
      <c r="C3354" t="n">
        <v>2019</v>
      </c>
      <c r="D3354" t="n">
        <v>2019</v>
      </c>
      <c r="E3354" t="inlineStr">
        <is>
          <t>Godzilla: King of the Monsters</t>
        </is>
      </c>
      <c r="F3354" t="inlineStr">
        <is>
          <t>F0122</t>
        </is>
      </c>
    </row>
    <row r="3355">
      <c r="A3355" t="inlineStr">
        <is>
          <t>Gabriel L. Silva</t>
        </is>
      </c>
      <c r="B3355" t="n">
        <v>1</v>
      </c>
      <c r="C3355" t="n">
        <v>2019</v>
      </c>
      <c r="D3355" t="n">
        <v>2019</v>
      </c>
      <c r="E3355" t="inlineStr">
        <is>
          <t>Godzilla: King of the Monsters</t>
        </is>
      </c>
      <c r="F3355" t="inlineStr">
        <is>
          <t>F0122</t>
        </is>
      </c>
    </row>
    <row r="3356">
      <c r="A3356" t="inlineStr">
        <is>
          <t>Skylar Denney</t>
        </is>
      </c>
      <c r="B3356" t="n">
        <v>1</v>
      </c>
      <c r="C3356" t="n">
        <v>2019</v>
      </c>
      <c r="D3356" t="n">
        <v>2019</v>
      </c>
      <c r="E3356" t="inlineStr">
        <is>
          <t>Godzilla: King of the Monsters</t>
        </is>
      </c>
      <c r="F3356" t="inlineStr">
        <is>
          <t>F0122</t>
        </is>
      </c>
    </row>
    <row r="3357">
      <c r="A3357" t="inlineStr">
        <is>
          <t>Kelli Garner</t>
        </is>
      </c>
      <c r="B3357" t="n">
        <v>1</v>
      </c>
      <c r="C3357" t="n">
        <v>2019</v>
      </c>
      <c r="D3357" t="n">
        <v>2019</v>
      </c>
      <c r="E3357" t="inlineStr">
        <is>
          <t>Godzilla: King of the Monsters</t>
        </is>
      </c>
      <c r="F3357" t="inlineStr">
        <is>
          <t>F0122</t>
        </is>
      </c>
    </row>
    <row r="3358">
      <c r="A3358" t="inlineStr">
        <is>
          <t>Tyler Crumley</t>
        </is>
      </c>
      <c r="B3358" t="n">
        <v>1</v>
      </c>
      <c r="C3358" t="n">
        <v>2019</v>
      </c>
      <c r="D3358" t="n">
        <v>2019</v>
      </c>
      <c r="E3358" t="inlineStr">
        <is>
          <t>Godzilla: King of the Monsters</t>
        </is>
      </c>
      <c r="F3358" t="inlineStr">
        <is>
          <t>F0122</t>
        </is>
      </c>
    </row>
    <row r="3359">
      <c r="A3359" t="inlineStr">
        <is>
          <t>Lexi Rabe</t>
        </is>
      </c>
      <c r="B3359" t="n">
        <v>1</v>
      </c>
      <c r="C3359" t="n">
        <v>2019</v>
      </c>
      <c r="D3359" t="n">
        <v>2019</v>
      </c>
      <c r="E3359" t="inlineStr">
        <is>
          <t>Godzilla: King of the Monsters</t>
        </is>
      </c>
      <c r="F3359" t="inlineStr">
        <is>
          <t>F0122</t>
        </is>
      </c>
    </row>
    <row r="3360">
      <c r="A3360" t="inlineStr">
        <is>
          <t>Shun Oguri</t>
        </is>
      </c>
      <c r="B3360" t="n">
        <v>1</v>
      </c>
      <c r="C3360" t="n">
        <v>2021</v>
      </c>
      <c r="D3360" t="n">
        <v>2021</v>
      </c>
      <c r="E3360" t="inlineStr">
        <is>
          <t>Godzilla vs. Kong</t>
        </is>
      </c>
      <c r="F3360" t="inlineStr">
        <is>
          <t>F0123</t>
        </is>
      </c>
    </row>
    <row r="3361">
      <c r="A3361" t="inlineStr">
        <is>
          <t>Lance Reddick</t>
        </is>
      </c>
      <c r="B3361" t="n">
        <v>3</v>
      </c>
      <c r="C3361" t="n">
        <v>2010</v>
      </c>
      <c r="D3361" t="n">
        <v>2021</v>
      </c>
      <c r="E3361" t="inlineStr">
        <is>
          <t>Godzilla vs. Kong, Jonah Hex, White House Down</t>
        </is>
      </c>
      <c r="F3361" t="inlineStr">
        <is>
          <t>F0123, F0173, F0335</t>
        </is>
      </c>
    </row>
    <row r="3362">
      <c r="A3362" t="inlineStr">
        <is>
          <t>Hakeem Kae-Kazim</t>
        </is>
      </c>
      <c r="B3362" t="n">
        <v>1</v>
      </c>
      <c r="C3362" t="n">
        <v>2021</v>
      </c>
      <c r="D3362" t="n">
        <v>2021</v>
      </c>
      <c r="E3362" t="inlineStr">
        <is>
          <t>Godzilla vs. Kong</t>
        </is>
      </c>
      <c r="F3362" t="inlineStr">
        <is>
          <t>F0123</t>
        </is>
      </c>
    </row>
    <row r="3363">
      <c r="A3363" t="inlineStr">
        <is>
          <t>Ronny Chieng</t>
        </is>
      </c>
      <c r="B3363" t="n">
        <v>1</v>
      </c>
      <c r="C3363" t="n">
        <v>2021</v>
      </c>
      <c r="D3363" t="n">
        <v>2021</v>
      </c>
      <c r="E3363" t="inlineStr">
        <is>
          <t>Godzilla vs. Kong</t>
        </is>
      </c>
      <c r="F3363" t="inlineStr">
        <is>
          <t>F0123</t>
        </is>
      </c>
    </row>
    <row r="3364">
      <c r="A3364" t="inlineStr">
        <is>
          <t>John Pirruccello</t>
        </is>
      </c>
      <c r="B3364" t="n">
        <v>1</v>
      </c>
      <c r="C3364" t="n">
        <v>2021</v>
      </c>
      <c r="D3364" t="n">
        <v>2021</v>
      </c>
      <c r="E3364" t="inlineStr">
        <is>
          <t>Godzilla vs. Kong</t>
        </is>
      </c>
      <c r="F3364" t="inlineStr">
        <is>
          <t>F0123</t>
        </is>
      </c>
    </row>
    <row r="3365">
      <c r="A3365" t="inlineStr">
        <is>
          <t>Chris Chalk</t>
        </is>
      </c>
      <c r="B3365" t="n">
        <v>1</v>
      </c>
      <c r="C3365" t="n">
        <v>2021</v>
      </c>
      <c r="D3365" t="n">
        <v>2021</v>
      </c>
      <c r="E3365" t="inlineStr">
        <is>
          <t>Godzilla vs. Kong</t>
        </is>
      </c>
      <c r="F3365" t="inlineStr">
        <is>
          <t>F0123</t>
        </is>
      </c>
    </row>
    <row r="3366">
      <c r="A3366" t="inlineStr">
        <is>
          <t>Conlan Casal</t>
        </is>
      </c>
      <c r="B3366" t="n">
        <v>1</v>
      </c>
      <c r="C3366" t="n">
        <v>2021</v>
      </c>
      <c r="D3366" t="n">
        <v>2021</v>
      </c>
      <c r="E3366" t="inlineStr">
        <is>
          <t>Godzilla vs. Kong</t>
        </is>
      </c>
      <c r="F3366" t="inlineStr">
        <is>
          <t>F0123</t>
        </is>
      </c>
    </row>
    <row r="3367">
      <c r="A3367" t="inlineStr">
        <is>
          <t>Brad McMurray</t>
        </is>
      </c>
      <c r="B3367" t="n">
        <v>1</v>
      </c>
      <c r="C3367" t="n">
        <v>2021</v>
      </c>
      <c r="D3367" t="n">
        <v>2021</v>
      </c>
      <c r="E3367" t="inlineStr">
        <is>
          <t>Godzilla vs. Kong</t>
        </is>
      </c>
      <c r="F3367" t="inlineStr">
        <is>
          <t>F0123</t>
        </is>
      </c>
    </row>
    <row r="3368">
      <c r="A3368" t="inlineStr">
        <is>
          <t>Benjamin Rigby</t>
        </is>
      </c>
      <c r="B3368" t="n">
        <v>1</v>
      </c>
      <c r="C3368" t="n">
        <v>2021</v>
      </c>
      <c r="D3368" t="n">
        <v>2021</v>
      </c>
      <c r="E3368" t="inlineStr">
        <is>
          <t>Godzilla vs. Kong</t>
        </is>
      </c>
      <c r="F3368" t="inlineStr">
        <is>
          <t>F0123</t>
        </is>
      </c>
    </row>
    <row r="3369">
      <c r="A3369" t="inlineStr">
        <is>
          <t>Nick Turello</t>
        </is>
      </c>
      <c r="B3369" t="n">
        <v>1</v>
      </c>
      <c r="C3369" t="n">
        <v>2021</v>
      </c>
      <c r="D3369" t="n">
        <v>2021</v>
      </c>
      <c r="E3369" t="inlineStr">
        <is>
          <t>Godzilla vs. Kong</t>
        </is>
      </c>
      <c r="F3369" t="inlineStr">
        <is>
          <t>F0123</t>
        </is>
      </c>
    </row>
    <row r="3370">
      <c r="A3370" t="inlineStr">
        <is>
          <t>Daniel Nelson</t>
        </is>
      </c>
      <c r="B3370" t="n">
        <v>1</v>
      </c>
      <c r="C3370" t="n">
        <v>2021</v>
      </c>
      <c r="D3370" t="n">
        <v>2021</v>
      </c>
      <c r="E3370" t="inlineStr">
        <is>
          <t>Godzilla vs. Kong</t>
        </is>
      </c>
      <c r="F3370" t="inlineStr">
        <is>
          <t>F0123</t>
        </is>
      </c>
    </row>
    <row r="3371">
      <c r="A3371" t="inlineStr">
        <is>
          <t>Priscilla Doueihy</t>
        </is>
      </c>
      <c r="B3371" t="n">
        <v>1</v>
      </c>
      <c r="C3371" t="n">
        <v>2021</v>
      </c>
      <c r="D3371" t="n">
        <v>2021</v>
      </c>
      <c r="E3371" t="inlineStr">
        <is>
          <t>Godzilla vs. Kong</t>
        </is>
      </c>
      <c r="F3371" t="inlineStr">
        <is>
          <t>F0123</t>
        </is>
      </c>
    </row>
    <row r="3372">
      <c r="A3372" t="inlineStr">
        <is>
          <t>Kei Kudo</t>
        </is>
      </c>
      <c r="B3372" t="n">
        <v>1</v>
      </c>
      <c r="C3372" t="n">
        <v>2021</v>
      </c>
      <c r="D3372" t="n">
        <v>2021</v>
      </c>
      <c r="E3372" t="inlineStr">
        <is>
          <t>Godzilla vs. Kong</t>
        </is>
      </c>
      <c r="F3372" t="inlineStr">
        <is>
          <t>F0123</t>
        </is>
      </c>
    </row>
    <row r="3373">
      <c r="A3373" t="inlineStr">
        <is>
          <t>Brad Buckley</t>
        </is>
      </c>
      <c r="B3373" t="n">
        <v>1</v>
      </c>
      <c r="C3373" t="n">
        <v>2021</v>
      </c>
      <c r="D3373" t="n">
        <v>2021</v>
      </c>
      <c r="E3373" t="inlineStr">
        <is>
          <t>Godzilla vs. Kong</t>
        </is>
      </c>
      <c r="F3373" t="inlineStr">
        <is>
          <t>F0123</t>
        </is>
      </c>
    </row>
    <row r="3374">
      <c r="A3374" t="inlineStr">
        <is>
          <t>John Walton</t>
        </is>
      </c>
      <c r="B3374" t="n">
        <v>1</v>
      </c>
      <c r="C3374" t="n">
        <v>2021</v>
      </c>
      <c r="D3374" t="n">
        <v>2021</v>
      </c>
      <c r="E3374" t="inlineStr">
        <is>
          <t>Godzilla vs. Kong</t>
        </is>
      </c>
      <c r="F3374" t="inlineStr">
        <is>
          <t>F0123</t>
        </is>
      </c>
    </row>
    <row r="3375">
      <c r="A3375" t="inlineStr">
        <is>
          <t>Daniel Tuiara</t>
        </is>
      </c>
      <c r="B3375" t="n">
        <v>1</v>
      </c>
      <c r="C3375" t="n">
        <v>2021</v>
      </c>
      <c r="D3375" t="n">
        <v>2021</v>
      </c>
      <c r="E3375" t="inlineStr">
        <is>
          <t>Godzilla vs. Kong</t>
        </is>
      </c>
      <c r="F3375" t="inlineStr">
        <is>
          <t>F0123</t>
        </is>
      </c>
    </row>
    <row r="3376">
      <c r="A3376" t="inlineStr">
        <is>
          <t>David Castillo</t>
        </is>
      </c>
      <c r="B3376" t="n">
        <v>1</v>
      </c>
      <c r="C3376" t="n">
        <v>2021</v>
      </c>
      <c r="D3376" t="n">
        <v>2021</v>
      </c>
      <c r="E3376" t="inlineStr">
        <is>
          <t>Godzilla vs. Kong</t>
        </is>
      </c>
      <c r="F3376" t="inlineStr">
        <is>
          <t>F0123</t>
        </is>
      </c>
    </row>
    <row r="3377">
      <c r="A3377" t="inlineStr">
        <is>
          <t>Kofi Yiadom</t>
        </is>
      </c>
      <c r="B3377" t="n">
        <v>1</v>
      </c>
      <c r="C3377" t="n">
        <v>2021</v>
      </c>
      <c r="D3377" t="n">
        <v>2021</v>
      </c>
      <c r="E3377" t="inlineStr">
        <is>
          <t>Godzilla vs. Kong</t>
        </is>
      </c>
      <c r="F3377" t="inlineStr">
        <is>
          <t>F0123</t>
        </is>
      </c>
    </row>
    <row r="3378">
      <c r="A3378" t="inlineStr">
        <is>
          <t>Jim Palmer</t>
        </is>
      </c>
      <c r="B3378" t="n">
        <v>1</v>
      </c>
      <c r="C3378" t="n">
        <v>2021</v>
      </c>
      <c r="D3378" t="n">
        <v>2021</v>
      </c>
      <c r="E3378" t="inlineStr">
        <is>
          <t>Godzilla vs. Kong</t>
        </is>
      </c>
      <c r="F3378" t="inlineStr">
        <is>
          <t>F0123</t>
        </is>
      </c>
    </row>
    <row r="3379">
      <c r="A3379" t="inlineStr">
        <is>
          <t>Drew Walton</t>
        </is>
      </c>
      <c r="B3379" t="n">
        <v>1</v>
      </c>
      <c r="C3379" t="n">
        <v>2021</v>
      </c>
      <c r="D3379" t="n">
        <v>2021</v>
      </c>
      <c r="E3379" t="inlineStr">
        <is>
          <t>Godzilla vs. Kong</t>
        </is>
      </c>
      <c r="F3379" t="inlineStr">
        <is>
          <t>F0123</t>
        </is>
      </c>
    </row>
    <row r="3380">
      <c r="A3380" t="inlineStr">
        <is>
          <t>Tara Wraith</t>
        </is>
      </c>
      <c r="B3380" t="n">
        <v>1</v>
      </c>
      <c r="C3380" t="n">
        <v>2021</v>
      </c>
      <c r="D3380" t="n">
        <v>2021</v>
      </c>
      <c r="E3380" t="inlineStr">
        <is>
          <t>Godzilla vs. Kong</t>
        </is>
      </c>
      <c r="F3380" t="inlineStr">
        <is>
          <t>F0123</t>
        </is>
      </c>
    </row>
    <row r="3381">
      <c r="A3381" t="inlineStr">
        <is>
          <t>Vik Sahay</t>
        </is>
      </c>
      <c r="B3381" t="n">
        <v>1</v>
      </c>
      <c r="C3381" t="n">
        <v>1997</v>
      </c>
      <c r="D3381" t="n">
        <v>1997</v>
      </c>
      <c r="E3381" t="inlineStr">
        <is>
          <t>Good Will Hunting</t>
        </is>
      </c>
      <c r="F3381" t="inlineStr">
        <is>
          <t>F0124</t>
        </is>
      </c>
    </row>
    <row r="3382">
      <c r="A3382" t="inlineStr">
        <is>
          <t>John Mighton</t>
        </is>
      </c>
      <c r="B3382" t="n">
        <v>1</v>
      </c>
      <c r="C3382" t="n">
        <v>1997</v>
      </c>
      <c r="D3382" t="n">
        <v>1997</v>
      </c>
      <c r="E3382" t="inlineStr">
        <is>
          <t>Good Will Hunting</t>
        </is>
      </c>
      <c r="F3382" t="inlineStr">
        <is>
          <t>F0124</t>
        </is>
      </c>
    </row>
    <row r="3383">
      <c r="A3383" t="inlineStr">
        <is>
          <t>Rachel Majorowski</t>
        </is>
      </c>
      <c r="B3383" t="n">
        <v>1</v>
      </c>
      <c r="C3383" t="n">
        <v>1997</v>
      </c>
      <c r="D3383" t="n">
        <v>1997</v>
      </c>
      <c r="E3383" t="inlineStr">
        <is>
          <t>Good Will Hunting</t>
        </is>
      </c>
      <c r="F3383" t="inlineStr">
        <is>
          <t>F0124</t>
        </is>
      </c>
    </row>
    <row r="3384">
      <c r="A3384" t="inlineStr">
        <is>
          <t>Colleen McCauley</t>
        </is>
      </c>
      <c r="B3384" t="n">
        <v>1</v>
      </c>
      <c r="C3384" t="n">
        <v>1997</v>
      </c>
      <c r="D3384" t="n">
        <v>1997</v>
      </c>
      <c r="E3384" t="inlineStr">
        <is>
          <t>Good Will Hunting</t>
        </is>
      </c>
      <c r="F3384" t="inlineStr">
        <is>
          <t>F0124</t>
        </is>
      </c>
    </row>
    <row r="3385">
      <c r="A3385" t="inlineStr">
        <is>
          <t>Matt Mercier</t>
        </is>
      </c>
      <c r="B3385" t="n">
        <v>1</v>
      </c>
      <c r="C3385" t="n">
        <v>1997</v>
      </c>
      <c r="D3385" t="n">
        <v>1997</v>
      </c>
      <c r="E3385" t="inlineStr">
        <is>
          <t>Good Will Hunting</t>
        </is>
      </c>
      <c r="F3385" t="inlineStr">
        <is>
          <t>F0124</t>
        </is>
      </c>
    </row>
    <row r="3386">
      <c r="A3386" t="inlineStr">
        <is>
          <t>Ralph St. George</t>
        </is>
      </c>
      <c r="B3386" t="n">
        <v>1</v>
      </c>
      <c r="C3386" t="n">
        <v>1997</v>
      </c>
      <c r="D3386" t="n">
        <v>1997</v>
      </c>
      <c r="E3386" t="inlineStr">
        <is>
          <t>Good Will Hunting</t>
        </is>
      </c>
      <c r="F3386" t="inlineStr">
        <is>
          <t>F0124</t>
        </is>
      </c>
    </row>
    <row r="3387">
      <c r="A3387" t="inlineStr">
        <is>
          <t>Rob Lynds</t>
        </is>
      </c>
      <c r="B3387" t="n">
        <v>1</v>
      </c>
      <c r="C3387" t="n">
        <v>1997</v>
      </c>
      <c r="D3387" t="n">
        <v>1997</v>
      </c>
      <c r="E3387" t="inlineStr">
        <is>
          <t>Good Will Hunting</t>
        </is>
      </c>
      <c r="F3387" t="inlineStr">
        <is>
          <t>F0124</t>
        </is>
      </c>
    </row>
    <row r="3388">
      <c r="A3388" t="inlineStr">
        <is>
          <t>Dan Washington</t>
        </is>
      </c>
      <c r="B3388" t="n">
        <v>1</v>
      </c>
      <c r="C3388" t="n">
        <v>1997</v>
      </c>
      <c r="D3388" t="n">
        <v>1997</v>
      </c>
      <c r="E3388" t="inlineStr">
        <is>
          <t>Good Will Hunting</t>
        </is>
      </c>
      <c r="F3388" t="inlineStr">
        <is>
          <t>F0124</t>
        </is>
      </c>
    </row>
    <row r="3389">
      <c r="A3389" t="inlineStr">
        <is>
          <t>Alison Folland</t>
        </is>
      </c>
      <c r="B3389" t="n">
        <v>1</v>
      </c>
      <c r="C3389" t="n">
        <v>1997</v>
      </c>
      <c r="D3389" t="n">
        <v>1997</v>
      </c>
      <c r="E3389" t="inlineStr">
        <is>
          <t>Good Will Hunting</t>
        </is>
      </c>
      <c r="F3389" t="inlineStr">
        <is>
          <t>F0124</t>
        </is>
      </c>
    </row>
    <row r="3390">
      <c r="A3390" t="inlineStr">
        <is>
          <t>Derrick Bridgeman</t>
        </is>
      </c>
      <c r="B3390" t="n">
        <v>1</v>
      </c>
      <c r="C3390" t="n">
        <v>1997</v>
      </c>
      <c r="D3390" t="n">
        <v>1997</v>
      </c>
      <c r="E3390" t="inlineStr">
        <is>
          <t>Good Will Hunting</t>
        </is>
      </c>
      <c r="F3390" t="inlineStr">
        <is>
          <t>F0124</t>
        </is>
      </c>
    </row>
    <row r="3391">
      <c r="A3391" t="inlineStr">
        <is>
          <t>Shannon Egleson</t>
        </is>
      </c>
      <c r="B3391" t="n">
        <v>1</v>
      </c>
      <c r="C3391" t="n">
        <v>1997</v>
      </c>
      <c r="D3391" t="n">
        <v>1997</v>
      </c>
      <c r="E3391" t="inlineStr">
        <is>
          <t>Good Will Hunting</t>
        </is>
      </c>
      <c r="F3391" t="inlineStr">
        <is>
          <t>F0124</t>
        </is>
      </c>
    </row>
    <row r="3392">
      <c r="A3392" t="inlineStr">
        <is>
          <t>Rob Lyons</t>
        </is>
      </c>
      <c r="B3392" t="n">
        <v>1</v>
      </c>
      <c r="C3392" t="n">
        <v>1997</v>
      </c>
      <c r="D3392" t="n">
        <v>1997</v>
      </c>
      <c r="E3392" t="inlineStr">
        <is>
          <t>Good Will Hunting</t>
        </is>
      </c>
      <c r="F3392" t="inlineStr">
        <is>
          <t>F0124</t>
        </is>
      </c>
    </row>
    <row r="3393">
      <c r="A3393" t="inlineStr">
        <is>
          <t>Steven Kozlowski</t>
        </is>
      </c>
      <c r="B3393" t="n">
        <v>1</v>
      </c>
      <c r="C3393" t="n">
        <v>1997</v>
      </c>
      <c r="D3393" t="n">
        <v>1997</v>
      </c>
      <c r="E3393" t="inlineStr">
        <is>
          <t>Good Will Hunting</t>
        </is>
      </c>
      <c r="F3393" t="inlineStr">
        <is>
          <t>F0124</t>
        </is>
      </c>
    </row>
    <row r="3394">
      <c r="A3394" t="inlineStr">
        <is>
          <t>Jennifer Deathe</t>
        </is>
      </c>
      <c r="B3394" t="n">
        <v>1</v>
      </c>
      <c r="C3394" t="n">
        <v>1997</v>
      </c>
      <c r="D3394" t="n">
        <v>1997</v>
      </c>
      <c r="E3394" t="inlineStr">
        <is>
          <t>Good Will Hunting</t>
        </is>
      </c>
      <c r="F3394" t="inlineStr">
        <is>
          <t>F0124</t>
        </is>
      </c>
    </row>
    <row r="3395">
      <c r="A3395" t="inlineStr">
        <is>
          <t>Scott William Winters</t>
        </is>
      </c>
      <c r="B3395" t="n">
        <v>1</v>
      </c>
      <c r="C3395" t="n">
        <v>1997</v>
      </c>
      <c r="D3395" t="n">
        <v>1997</v>
      </c>
      <c r="E3395" t="inlineStr">
        <is>
          <t>Good Will Hunting</t>
        </is>
      </c>
      <c r="F3395" t="inlineStr">
        <is>
          <t>F0124</t>
        </is>
      </c>
    </row>
    <row r="3396">
      <c r="A3396" t="inlineStr">
        <is>
          <t>Philip Williams</t>
        </is>
      </c>
      <c r="B3396" t="n">
        <v>1</v>
      </c>
      <c r="C3396" t="n">
        <v>1997</v>
      </c>
      <c r="D3396" t="n">
        <v>1997</v>
      </c>
      <c r="E3396" t="inlineStr">
        <is>
          <t>Good Will Hunting</t>
        </is>
      </c>
      <c r="F3396" t="inlineStr">
        <is>
          <t>F0124</t>
        </is>
      </c>
    </row>
    <row r="3397">
      <c r="A3397" t="inlineStr">
        <is>
          <t>Patrick O'Donnell</t>
        </is>
      </c>
      <c r="B3397" t="n">
        <v>1</v>
      </c>
      <c r="C3397" t="n">
        <v>1997</v>
      </c>
      <c r="D3397" t="n">
        <v>1997</v>
      </c>
      <c r="E3397" t="inlineStr">
        <is>
          <t>Good Will Hunting</t>
        </is>
      </c>
      <c r="F3397" t="inlineStr">
        <is>
          <t>F0124</t>
        </is>
      </c>
    </row>
    <row r="3398">
      <c r="A3398" t="inlineStr">
        <is>
          <t>Kevin Rushton</t>
        </is>
      </c>
      <c r="B3398" t="n">
        <v>1</v>
      </c>
      <c r="C3398" t="n">
        <v>1997</v>
      </c>
      <c r="D3398" t="n">
        <v>1997</v>
      </c>
      <c r="E3398" t="inlineStr">
        <is>
          <t>Good Will Hunting</t>
        </is>
      </c>
      <c r="F3398" t="inlineStr">
        <is>
          <t>F0124</t>
        </is>
      </c>
    </row>
    <row r="3399">
      <c r="A3399" t="inlineStr">
        <is>
          <t>Jimmy Flynn</t>
        </is>
      </c>
      <c r="B3399" t="n">
        <v>1</v>
      </c>
      <c r="C3399" t="n">
        <v>1997</v>
      </c>
      <c r="D3399" t="n">
        <v>1997</v>
      </c>
      <c r="E3399" t="inlineStr">
        <is>
          <t>Good Will Hunting</t>
        </is>
      </c>
      <c r="F3399" t="inlineStr">
        <is>
          <t>F0124</t>
        </is>
      </c>
    </row>
    <row r="3400">
      <c r="A3400" t="inlineStr">
        <is>
          <t>Joe Cannon</t>
        </is>
      </c>
      <c r="B3400" t="n">
        <v>1</v>
      </c>
      <c r="C3400" t="n">
        <v>1997</v>
      </c>
      <c r="D3400" t="n">
        <v>1997</v>
      </c>
      <c r="E3400" t="inlineStr">
        <is>
          <t>Good Will Hunting</t>
        </is>
      </c>
      <c r="F3400" t="inlineStr">
        <is>
          <t>F0124</t>
        </is>
      </c>
    </row>
    <row r="3401">
      <c r="A3401" t="inlineStr">
        <is>
          <t>Ann Matacunas</t>
        </is>
      </c>
      <c r="B3401" t="n">
        <v>1</v>
      </c>
      <c r="C3401" t="n">
        <v>1997</v>
      </c>
      <c r="D3401" t="n">
        <v>1997</v>
      </c>
      <c r="E3401" t="inlineStr">
        <is>
          <t>Good Will Hunting</t>
        </is>
      </c>
      <c r="F3401" t="inlineStr">
        <is>
          <t>F0124</t>
        </is>
      </c>
    </row>
    <row r="3402">
      <c r="A3402" t="inlineStr">
        <is>
          <t>George Plimpton</t>
        </is>
      </c>
      <c r="B3402" t="n">
        <v>1</v>
      </c>
      <c r="C3402" t="n">
        <v>1997</v>
      </c>
      <c r="D3402" t="n">
        <v>1997</v>
      </c>
      <c r="E3402" t="inlineStr">
        <is>
          <t>Good Will Hunting</t>
        </is>
      </c>
      <c r="F3402" t="inlineStr">
        <is>
          <t>F0124</t>
        </is>
      </c>
    </row>
    <row r="3403">
      <c r="A3403" t="inlineStr">
        <is>
          <t>Francesco Clemente</t>
        </is>
      </c>
      <c r="B3403" t="n">
        <v>1</v>
      </c>
      <c r="C3403" t="n">
        <v>1997</v>
      </c>
      <c r="D3403" t="n">
        <v>1997</v>
      </c>
      <c r="E3403" t="inlineStr">
        <is>
          <t>Good Will Hunting</t>
        </is>
      </c>
      <c r="F3403" t="inlineStr">
        <is>
          <t>F0124</t>
        </is>
      </c>
    </row>
    <row r="3404">
      <c r="A3404" t="inlineStr">
        <is>
          <t>Geraldine Hughes</t>
        </is>
      </c>
      <c r="B3404" t="n">
        <v>1</v>
      </c>
      <c r="C3404" t="n">
        <v>2008</v>
      </c>
      <c r="D3404" t="n">
        <v>2008</v>
      </c>
      <c r="E3404" t="inlineStr">
        <is>
          <t>Gran Torino</t>
        </is>
      </c>
      <c r="F3404" t="inlineStr">
        <is>
          <t>F0125</t>
        </is>
      </c>
    </row>
    <row r="3405">
      <c r="A3405" t="inlineStr">
        <is>
          <t>Dreama Walker</t>
        </is>
      </c>
      <c r="B3405" t="n">
        <v>1</v>
      </c>
      <c r="C3405" t="n">
        <v>2008</v>
      </c>
      <c r="D3405" t="n">
        <v>2008</v>
      </c>
      <c r="E3405" t="inlineStr">
        <is>
          <t>Gran Torino</t>
        </is>
      </c>
      <c r="F3405" t="inlineStr">
        <is>
          <t>F0125</t>
        </is>
      </c>
    </row>
    <row r="3406">
      <c r="A3406" t="inlineStr">
        <is>
          <t>John Carroll Lynch</t>
        </is>
      </c>
      <c r="B3406" t="n">
        <v>3</v>
      </c>
      <c r="C3406" t="n">
        <v>2007</v>
      </c>
      <c r="D3406" t="n">
        <v>2011</v>
      </c>
      <c r="E3406" t="inlineStr">
        <is>
          <t>Gran Torino, Paul, Zodiac</t>
        </is>
      </c>
      <c r="F3406" t="inlineStr">
        <is>
          <t>F0125, F0245, F0350</t>
        </is>
      </c>
    </row>
    <row r="3407">
      <c r="A3407" t="inlineStr">
        <is>
          <t>William Hill</t>
        </is>
      </c>
      <c r="B3407" t="n">
        <v>1</v>
      </c>
      <c r="C3407" t="n">
        <v>2008</v>
      </c>
      <c r="D3407" t="n">
        <v>2008</v>
      </c>
      <c r="E3407" t="inlineStr">
        <is>
          <t>Gran Torino</t>
        </is>
      </c>
      <c r="F3407" t="inlineStr">
        <is>
          <t>F0125</t>
        </is>
      </c>
    </row>
    <row r="3408">
      <c r="A3408" t="inlineStr">
        <is>
          <t>Brooke Chia Thao</t>
        </is>
      </c>
      <c r="B3408" t="n">
        <v>1</v>
      </c>
      <c r="C3408" t="n">
        <v>2008</v>
      </c>
      <c r="D3408" t="n">
        <v>2008</v>
      </c>
      <c r="E3408" t="inlineStr">
        <is>
          <t>Gran Torino</t>
        </is>
      </c>
      <c r="F3408" t="inlineStr">
        <is>
          <t>F0125</t>
        </is>
      </c>
    </row>
    <row r="3409">
      <c r="A3409" t="inlineStr">
        <is>
          <t>Chee Thao</t>
        </is>
      </c>
      <c r="B3409" t="n">
        <v>1</v>
      </c>
      <c r="C3409" t="n">
        <v>2008</v>
      </c>
      <c r="D3409" t="n">
        <v>2008</v>
      </c>
      <c r="E3409" t="inlineStr">
        <is>
          <t>Gran Torino</t>
        </is>
      </c>
      <c r="F3409" t="inlineStr">
        <is>
          <t>F0125</t>
        </is>
      </c>
    </row>
    <row r="3410">
      <c r="A3410" t="inlineStr">
        <is>
          <t>Choua Kue</t>
        </is>
      </c>
      <c r="B3410" t="n">
        <v>1</v>
      </c>
      <c r="C3410" t="n">
        <v>2008</v>
      </c>
      <c r="D3410" t="n">
        <v>2008</v>
      </c>
      <c r="E3410" t="inlineStr">
        <is>
          <t>Gran Torino</t>
        </is>
      </c>
      <c r="F3410" t="inlineStr">
        <is>
          <t>F0125</t>
        </is>
      </c>
    </row>
    <row r="3411">
      <c r="A3411" t="inlineStr">
        <is>
          <t>Xia Soua Chang</t>
        </is>
      </c>
      <c r="B3411" t="n">
        <v>1</v>
      </c>
      <c r="C3411" t="n">
        <v>2008</v>
      </c>
      <c r="D3411" t="n">
        <v>2008</v>
      </c>
      <c r="E3411" t="inlineStr">
        <is>
          <t>Gran Torino</t>
        </is>
      </c>
      <c r="F3411" t="inlineStr">
        <is>
          <t>F0125</t>
        </is>
      </c>
    </row>
    <row r="3412">
      <c r="A3412" t="inlineStr">
        <is>
          <t>Sonny Vue</t>
        </is>
      </c>
      <c r="B3412" t="n">
        <v>1</v>
      </c>
      <c r="C3412" t="n">
        <v>2008</v>
      </c>
      <c r="D3412" t="n">
        <v>2008</v>
      </c>
      <c r="E3412" t="inlineStr">
        <is>
          <t>Gran Torino</t>
        </is>
      </c>
      <c r="F3412" t="inlineStr">
        <is>
          <t>F0125</t>
        </is>
      </c>
    </row>
    <row r="3413">
      <c r="A3413" t="inlineStr">
        <is>
          <t>Doua Moua</t>
        </is>
      </c>
      <c r="B3413" t="n">
        <v>1</v>
      </c>
      <c r="C3413" t="n">
        <v>2008</v>
      </c>
      <c r="D3413" t="n">
        <v>2008</v>
      </c>
      <c r="E3413" t="inlineStr">
        <is>
          <t>Gran Torino</t>
        </is>
      </c>
      <c r="F3413" t="inlineStr">
        <is>
          <t>F0125</t>
        </is>
      </c>
    </row>
    <row r="3414">
      <c r="A3414" t="inlineStr">
        <is>
          <t>Greg Trzaskoma</t>
        </is>
      </c>
      <c r="B3414" t="n">
        <v>1</v>
      </c>
      <c r="C3414" t="n">
        <v>2008</v>
      </c>
      <c r="D3414" t="n">
        <v>2008</v>
      </c>
      <c r="E3414" t="inlineStr">
        <is>
          <t>Gran Torino</t>
        </is>
      </c>
      <c r="F3414" t="inlineStr">
        <is>
          <t>F0125</t>
        </is>
      </c>
    </row>
    <row r="3415">
      <c r="A3415" t="inlineStr">
        <is>
          <t>John Johns</t>
        </is>
      </c>
      <c r="B3415" t="n">
        <v>1</v>
      </c>
      <c r="C3415" t="n">
        <v>2008</v>
      </c>
      <c r="D3415" t="n">
        <v>2008</v>
      </c>
      <c r="E3415" t="inlineStr">
        <is>
          <t>Gran Torino</t>
        </is>
      </c>
      <c r="F3415" t="inlineStr">
        <is>
          <t>F0125</t>
        </is>
      </c>
    </row>
    <row r="3416">
      <c r="A3416" t="inlineStr">
        <is>
          <t>Davis Gloff</t>
        </is>
      </c>
      <c r="B3416" t="n">
        <v>1</v>
      </c>
      <c r="C3416" t="n">
        <v>2008</v>
      </c>
      <c r="D3416" t="n">
        <v>2008</v>
      </c>
      <c r="E3416" t="inlineStr">
        <is>
          <t>Gran Torino</t>
        </is>
      </c>
      <c r="F3416" t="inlineStr">
        <is>
          <t>F0125</t>
        </is>
      </c>
    </row>
    <row r="3417">
      <c r="A3417" t="inlineStr">
        <is>
          <t>Thomas D. Mahard</t>
        </is>
      </c>
      <c r="B3417" t="n">
        <v>1</v>
      </c>
      <c r="C3417" t="n">
        <v>2008</v>
      </c>
      <c r="D3417" t="n">
        <v>2008</v>
      </c>
      <c r="E3417" t="inlineStr">
        <is>
          <t>Gran Torino</t>
        </is>
      </c>
      <c r="F3417" t="inlineStr">
        <is>
          <t>F0125</t>
        </is>
      </c>
    </row>
    <row r="3418">
      <c r="A3418" t="inlineStr">
        <is>
          <t>Sarah Neubauer</t>
        </is>
      </c>
      <c r="B3418" t="n">
        <v>1</v>
      </c>
      <c r="C3418" t="n">
        <v>2008</v>
      </c>
      <c r="D3418" t="n">
        <v>2008</v>
      </c>
      <c r="E3418" t="inlineStr">
        <is>
          <t>Gran Torino</t>
        </is>
      </c>
      <c r="F3418" t="inlineStr">
        <is>
          <t>F0125</t>
        </is>
      </c>
    </row>
    <row r="3419">
      <c r="A3419" t="inlineStr">
        <is>
          <t>Nana Gbewonyo</t>
        </is>
      </c>
      <c r="B3419" t="n">
        <v>1</v>
      </c>
      <c r="C3419" t="n">
        <v>2008</v>
      </c>
      <c r="D3419" t="n">
        <v>2008</v>
      </c>
      <c r="E3419" t="inlineStr">
        <is>
          <t>Gran Torino</t>
        </is>
      </c>
      <c r="F3419" t="inlineStr">
        <is>
          <t>F0125</t>
        </is>
      </c>
    </row>
    <row r="3420">
      <c r="A3420" t="inlineStr">
        <is>
          <t>Arthur Cartwright</t>
        </is>
      </c>
      <c r="B3420" t="n">
        <v>1</v>
      </c>
      <c r="C3420" t="n">
        <v>2008</v>
      </c>
      <c r="D3420" t="n">
        <v>2008</v>
      </c>
      <c r="E3420" t="inlineStr">
        <is>
          <t>Gran Torino</t>
        </is>
      </c>
      <c r="F3420" t="inlineStr">
        <is>
          <t>F0125</t>
        </is>
      </c>
    </row>
    <row r="3421">
      <c r="A3421" t="inlineStr">
        <is>
          <t>Austin Douglas Smith</t>
        </is>
      </c>
      <c r="B3421" t="n">
        <v>1</v>
      </c>
      <c r="C3421" t="n">
        <v>2008</v>
      </c>
      <c r="D3421" t="n">
        <v>2008</v>
      </c>
      <c r="E3421" t="inlineStr">
        <is>
          <t>Gran Torino</t>
        </is>
      </c>
      <c r="F3421" t="inlineStr">
        <is>
          <t>F0125</t>
        </is>
      </c>
    </row>
    <row r="3422">
      <c r="A3422" t="inlineStr">
        <is>
          <t>Conor Liam Callaghan</t>
        </is>
      </c>
      <c r="B3422" t="n">
        <v>1</v>
      </c>
      <c r="C3422" t="n">
        <v>2008</v>
      </c>
      <c r="D3422" t="n">
        <v>2008</v>
      </c>
      <c r="E3422" t="inlineStr">
        <is>
          <t>Gran Torino</t>
        </is>
      </c>
      <c r="F3422" t="inlineStr">
        <is>
          <t>F0125</t>
        </is>
      </c>
    </row>
    <row r="3423">
      <c r="A3423" t="inlineStr">
        <is>
          <t>Michael E. Kurowski</t>
        </is>
      </c>
      <c r="B3423" t="n">
        <v>1</v>
      </c>
      <c r="C3423" t="n">
        <v>2008</v>
      </c>
      <c r="D3423" t="n">
        <v>2008</v>
      </c>
      <c r="E3423" t="inlineStr">
        <is>
          <t>Gran Torino</t>
        </is>
      </c>
      <c r="F3423" t="inlineStr">
        <is>
          <t>F0125</t>
        </is>
      </c>
    </row>
    <row r="3424">
      <c r="A3424" t="inlineStr">
        <is>
          <t>Julia Ho</t>
        </is>
      </c>
      <c r="B3424" t="n">
        <v>1</v>
      </c>
      <c r="C3424" t="n">
        <v>2008</v>
      </c>
      <c r="D3424" t="n">
        <v>2008</v>
      </c>
      <c r="E3424" t="inlineStr">
        <is>
          <t>Gran Torino</t>
        </is>
      </c>
      <c r="F3424" t="inlineStr">
        <is>
          <t>F0125</t>
        </is>
      </c>
    </row>
    <row r="3425">
      <c r="A3425" t="inlineStr">
        <is>
          <t>Maykao K. Lytongpao</t>
        </is>
      </c>
      <c r="B3425" t="n">
        <v>1</v>
      </c>
      <c r="C3425" t="n">
        <v>2008</v>
      </c>
      <c r="D3425" t="n">
        <v>2008</v>
      </c>
      <c r="E3425" t="inlineStr">
        <is>
          <t>Gran Torino</t>
        </is>
      </c>
      <c r="F3425" t="inlineStr">
        <is>
          <t>F0125</t>
        </is>
      </c>
    </row>
    <row r="3426">
      <c r="A3426" t="inlineStr">
        <is>
          <t>Amitabh Bachchan</t>
        </is>
      </c>
      <c r="B3426" t="n">
        <v>1</v>
      </c>
      <c r="C3426" t="n">
        <v>2013</v>
      </c>
      <c r="D3426" t="n">
        <v>2013</v>
      </c>
      <c r="E3426" t="inlineStr">
        <is>
          <t>The Great Gatsby</t>
        </is>
      </c>
      <c r="F3426" t="inlineStr">
        <is>
          <t>F0126</t>
        </is>
      </c>
    </row>
    <row r="3427">
      <c r="A3427" t="inlineStr">
        <is>
          <t>Callan McAuliffe</t>
        </is>
      </c>
      <c r="B3427" t="n">
        <v>1</v>
      </c>
      <c r="C3427" t="n">
        <v>2013</v>
      </c>
      <c r="D3427" t="n">
        <v>2013</v>
      </c>
      <c r="E3427" t="inlineStr">
        <is>
          <t>The Great Gatsby</t>
        </is>
      </c>
      <c r="F3427" t="inlineStr">
        <is>
          <t>F0126</t>
        </is>
      </c>
    </row>
    <row r="3428">
      <c r="A3428" t="inlineStr">
        <is>
          <t>Adelaide Clemens</t>
        </is>
      </c>
      <c r="B3428" t="n">
        <v>2</v>
      </c>
      <c r="C3428" t="n">
        <v>2009</v>
      </c>
      <c r="D3428" t="n">
        <v>2013</v>
      </c>
      <c r="E3428" t="inlineStr">
        <is>
          <t>The Great Gatsby, X-Men Origins: Wolverine</t>
        </is>
      </c>
      <c r="F3428" t="inlineStr">
        <is>
          <t>F0126, F0343</t>
        </is>
      </c>
    </row>
    <row r="3429">
      <c r="A3429" t="inlineStr">
        <is>
          <t>Steve Bisley</t>
        </is>
      </c>
      <c r="B3429" t="n">
        <v>1</v>
      </c>
      <c r="C3429" t="n">
        <v>2013</v>
      </c>
      <c r="D3429" t="n">
        <v>2013</v>
      </c>
      <c r="E3429" t="inlineStr">
        <is>
          <t>The Great Gatsby</t>
        </is>
      </c>
      <c r="F3429" t="inlineStr">
        <is>
          <t>F0126</t>
        </is>
      </c>
    </row>
    <row r="3430">
      <c r="A3430" t="inlineStr">
        <is>
          <t>Richard Carter</t>
        </is>
      </c>
      <c r="B3430" t="n">
        <v>2</v>
      </c>
      <c r="C3430" t="n">
        <v>2011</v>
      </c>
      <c r="D3430" t="n">
        <v>2013</v>
      </c>
      <c r="E3430" t="inlineStr">
        <is>
          <t>The Great Gatsby, Happy Feet Two</t>
        </is>
      </c>
      <c r="F3430" t="inlineStr">
        <is>
          <t>F0126, F0145</t>
        </is>
      </c>
    </row>
    <row r="3431">
      <c r="A3431" t="inlineStr">
        <is>
          <t>Jack Thompson</t>
        </is>
      </c>
      <c r="B3431" t="n">
        <v>2</v>
      </c>
      <c r="C3431" t="n">
        <v>2002</v>
      </c>
      <c r="D3431" t="n">
        <v>2013</v>
      </c>
      <c r="E3431" t="inlineStr">
        <is>
          <t>The Great Gatsby, Star Wars: Episode II – Attack of the Clones</t>
        </is>
      </c>
      <c r="F3431" t="inlineStr">
        <is>
          <t>F0126, F0293</t>
        </is>
      </c>
    </row>
    <row r="3432">
      <c r="A3432" t="inlineStr">
        <is>
          <t>Max Cullen</t>
        </is>
      </c>
      <c r="B3432" t="n">
        <v>2</v>
      </c>
      <c r="C3432" t="n">
        <v>2009</v>
      </c>
      <c r="D3432" t="n">
        <v>2013</v>
      </c>
      <c r="E3432" t="inlineStr">
        <is>
          <t>The Great Gatsby, X-Men Origins: Wolverine</t>
        </is>
      </c>
      <c r="F3432" t="inlineStr">
        <is>
          <t>F0126, F0343</t>
        </is>
      </c>
    </row>
    <row r="3433">
      <c r="A3433" t="inlineStr">
        <is>
          <t>Mal Day</t>
        </is>
      </c>
      <c r="B3433" t="n">
        <v>1</v>
      </c>
      <c r="C3433" t="n">
        <v>2013</v>
      </c>
      <c r="D3433" t="n">
        <v>2013</v>
      </c>
      <c r="E3433" t="inlineStr">
        <is>
          <t>The Great Gatsby</t>
        </is>
      </c>
      <c r="F3433" t="inlineStr">
        <is>
          <t>F0126</t>
        </is>
      </c>
    </row>
    <row r="3434">
      <c r="A3434" t="inlineStr">
        <is>
          <t>Emily Foreman</t>
        </is>
      </c>
      <c r="B3434" t="n">
        <v>1</v>
      </c>
      <c r="C3434" t="n">
        <v>2013</v>
      </c>
      <c r="D3434" t="n">
        <v>2013</v>
      </c>
      <c r="E3434" t="inlineStr">
        <is>
          <t>The Great Gatsby</t>
        </is>
      </c>
      <c r="F3434" t="inlineStr">
        <is>
          <t>F0126</t>
        </is>
      </c>
    </row>
    <row r="3435">
      <c r="A3435" t="inlineStr">
        <is>
          <t>Tiger Leacey Wyvill</t>
        </is>
      </c>
      <c r="B3435" t="n">
        <v>1</v>
      </c>
      <c r="C3435" t="n">
        <v>2013</v>
      </c>
      <c r="D3435" t="n">
        <v>2013</v>
      </c>
      <c r="E3435" t="inlineStr">
        <is>
          <t>The Great Gatsby</t>
        </is>
      </c>
      <c r="F3435" t="inlineStr">
        <is>
          <t>F0126</t>
        </is>
      </c>
    </row>
    <row r="3436">
      <c r="A3436" t="inlineStr">
        <is>
          <t>Charlize Skinner</t>
        </is>
      </c>
      <c r="B3436" t="n">
        <v>1</v>
      </c>
      <c r="C3436" t="n">
        <v>2013</v>
      </c>
      <c r="D3436" t="n">
        <v>2013</v>
      </c>
      <c r="E3436" t="inlineStr">
        <is>
          <t>The Great Gatsby</t>
        </is>
      </c>
      <c r="F3436" t="inlineStr">
        <is>
          <t>F0126</t>
        </is>
      </c>
    </row>
    <row r="3437">
      <c r="A3437" t="inlineStr">
        <is>
          <t>Brendan Maclean</t>
        </is>
      </c>
      <c r="B3437" t="n">
        <v>1</v>
      </c>
      <c r="C3437" t="n">
        <v>2013</v>
      </c>
      <c r="D3437" t="n">
        <v>2013</v>
      </c>
      <c r="E3437" t="inlineStr">
        <is>
          <t>The Great Gatsby</t>
        </is>
      </c>
      <c r="F3437" t="inlineStr">
        <is>
          <t>F0126</t>
        </is>
      </c>
    </row>
    <row r="3438">
      <c r="A3438" t="inlineStr">
        <is>
          <t>Kate Mulvany</t>
        </is>
      </c>
      <c r="B3438" t="n">
        <v>1</v>
      </c>
      <c r="C3438" t="n">
        <v>2013</v>
      </c>
      <c r="D3438" t="n">
        <v>2013</v>
      </c>
      <c r="E3438" t="inlineStr">
        <is>
          <t>The Great Gatsby</t>
        </is>
      </c>
      <c r="F3438" t="inlineStr">
        <is>
          <t>F0126</t>
        </is>
      </c>
    </row>
    <row r="3439">
      <c r="A3439" t="inlineStr">
        <is>
          <t>Kahlia Greksa</t>
        </is>
      </c>
      <c r="B3439" t="n">
        <v>1</v>
      </c>
      <c r="C3439" t="n">
        <v>2013</v>
      </c>
      <c r="D3439" t="n">
        <v>2013</v>
      </c>
      <c r="E3439" t="inlineStr">
        <is>
          <t>The Great Gatsby</t>
        </is>
      </c>
      <c r="F3439" t="inlineStr">
        <is>
          <t>F0126</t>
        </is>
      </c>
    </row>
    <row r="3440">
      <c r="A3440" t="inlineStr">
        <is>
          <t>Karinna Greksa</t>
        </is>
      </c>
      <c r="B3440" t="n">
        <v>1</v>
      </c>
      <c r="C3440" t="n">
        <v>2013</v>
      </c>
      <c r="D3440" t="n">
        <v>2013</v>
      </c>
      <c r="E3440" t="inlineStr">
        <is>
          <t>The Great Gatsby</t>
        </is>
      </c>
      <c r="F3440" t="inlineStr">
        <is>
          <t>F0126</t>
        </is>
      </c>
    </row>
    <row r="3441">
      <c r="A3441" t="inlineStr">
        <is>
          <t>Garrett William Fountain</t>
        </is>
      </c>
      <c r="B3441" t="n">
        <v>1</v>
      </c>
      <c r="C3441" t="n">
        <v>2013</v>
      </c>
      <c r="D3441" t="n">
        <v>2013</v>
      </c>
      <c r="E3441" t="inlineStr">
        <is>
          <t>The Great Gatsby</t>
        </is>
      </c>
      <c r="F3441" t="inlineStr">
        <is>
          <t>F0126</t>
        </is>
      </c>
    </row>
    <row r="3442">
      <c r="A3442" t="inlineStr">
        <is>
          <t>David Furlong</t>
        </is>
      </c>
      <c r="B3442" t="n">
        <v>1</v>
      </c>
      <c r="C3442" t="n">
        <v>2013</v>
      </c>
      <c r="D3442" t="n">
        <v>2013</v>
      </c>
      <c r="E3442" t="inlineStr">
        <is>
          <t>The Great Gatsby</t>
        </is>
      </c>
      <c r="F3442" t="inlineStr">
        <is>
          <t>F0126</t>
        </is>
      </c>
    </row>
    <row r="3443">
      <c r="A3443" t="inlineStr">
        <is>
          <t>Daniel Gill</t>
        </is>
      </c>
      <c r="B3443" t="n">
        <v>1</v>
      </c>
      <c r="C3443" t="n">
        <v>2013</v>
      </c>
      <c r="D3443" t="n">
        <v>2013</v>
      </c>
      <c r="E3443" t="inlineStr">
        <is>
          <t>The Great Gatsby</t>
        </is>
      </c>
      <c r="F3443" t="inlineStr">
        <is>
          <t>F0126</t>
        </is>
      </c>
    </row>
    <row r="3444">
      <c r="A3444" t="inlineStr">
        <is>
          <t>Iota</t>
        </is>
      </c>
      <c r="B3444" t="n">
        <v>1</v>
      </c>
      <c r="C3444" t="n">
        <v>2013</v>
      </c>
      <c r="D3444" t="n">
        <v>2013</v>
      </c>
      <c r="E3444" t="inlineStr">
        <is>
          <t>The Great Gatsby</t>
        </is>
      </c>
      <c r="F3444" t="inlineStr">
        <is>
          <t>F0126</t>
        </is>
      </c>
    </row>
    <row r="3445">
      <c r="A3445" t="inlineStr">
        <is>
          <t>Barry Otto</t>
        </is>
      </c>
      <c r="B3445" t="n">
        <v>1</v>
      </c>
      <c r="C3445" t="n">
        <v>2013</v>
      </c>
      <c r="D3445" t="n">
        <v>2013</v>
      </c>
      <c r="E3445" t="inlineStr">
        <is>
          <t>The Great Gatsby</t>
        </is>
      </c>
      <c r="F3445" t="inlineStr">
        <is>
          <t>F0126</t>
        </is>
      </c>
    </row>
    <row r="3446">
      <c r="A3446" t="inlineStr">
        <is>
          <t>John O'Connell</t>
        </is>
      </c>
      <c r="B3446" t="n">
        <v>1</v>
      </c>
      <c r="C3446" t="n">
        <v>2013</v>
      </c>
      <c r="D3446" t="n">
        <v>2013</v>
      </c>
      <c r="E3446" t="inlineStr">
        <is>
          <t>The Great Gatsby</t>
        </is>
      </c>
      <c r="F3446" t="inlineStr">
        <is>
          <t>F0126</t>
        </is>
      </c>
    </row>
    <row r="3447">
      <c r="A3447" t="inlineStr">
        <is>
          <t>Ben McIvor</t>
        </is>
      </c>
      <c r="B3447" t="n">
        <v>1</v>
      </c>
      <c r="C3447" t="n">
        <v>2013</v>
      </c>
      <c r="D3447" t="n">
        <v>2013</v>
      </c>
      <c r="E3447" t="inlineStr">
        <is>
          <t>The Great Gatsby</t>
        </is>
      </c>
      <c r="F3447" t="inlineStr">
        <is>
          <t>F0126</t>
        </is>
      </c>
    </row>
    <row r="3448">
      <c r="A3448" t="inlineStr">
        <is>
          <t>Keala Settle</t>
        </is>
      </c>
      <c r="B3448" t="n">
        <v>1</v>
      </c>
      <c r="C3448" t="n">
        <v>2017</v>
      </c>
      <c r="D3448" t="n">
        <v>2017</v>
      </c>
      <c r="E3448" t="inlineStr">
        <is>
          <t>The Greatest Showman</t>
        </is>
      </c>
      <c r="F3448" t="inlineStr">
        <is>
          <t>F0127</t>
        </is>
      </c>
    </row>
    <row r="3449">
      <c r="A3449" t="inlineStr">
        <is>
          <t>Yahya Abdul-Mateen II</t>
        </is>
      </c>
      <c r="B3449" t="n">
        <v>1</v>
      </c>
      <c r="C3449" t="n">
        <v>2017</v>
      </c>
      <c r="D3449" t="n">
        <v>2017</v>
      </c>
      <c r="E3449" t="inlineStr">
        <is>
          <t>The Greatest Showman</t>
        </is>
      </c>
      <c r="F3449" t="inlineStr">
        <is>
          <t>F0127</t>
        </is>
      </c>
    </row>
    <row r="3450">
      <c r="A3450" t="inlineStr">
        <is>
          <t>Natasha Liu Bordizzo</t>
        </is>
      </c>
      <c r="B3450" t="n">
        <v>1</v>
      </c>
      <c r="C3450" t="n">
        <v>2017</v>
      </c>
      <c r="D3450" t="n">
        <v>2017</v>
      </c>
      <c r="E3450" t="inlineStr">
        <is>
          <t>The Greatest Showman</t>
        </is>
      </c>
      <c r="F3450" t="inlineStr">
        <is>
          <t>F0127</t>
        </is>
      </c>
    </row>
    <row r="3451">
      <c r="A3451" t="inlineStr">
        <is>
          <t>Paul Sparks</t>
        </is>
      </c>
      <c r="B3451" t="n">
        <v>1</v>
      </c>
      <c r="C3451" t="n">
        <v>2017</v>
      </c>
      <c r="D3451" t="n">
        <v>2017</v>
      </c>
      <c r="E3451" t="inlineStr">
        <is>
          <t>The Greatest Showman</t>
        </is>
      </c>
      <c r="F3451" t="inlineStr">
        <is>
          <t>F0127</t>
        </is>
      </c>
    </row>
    <row r="3452">
      <c r="A3452" t="inlineStr">
        <is>
          <t>Sam Humphrey</t>
        </is>
      </c>
      <c r="B3452" t="n">
        <v>1</v>
      </c>
      <c r="C3452" t="n">
        <v>2017</v>
      </c>
      <c r="D3452" t="n">
        <v>2017</v>
      </c>
      <c r="E3452" t="inlineStr">
        <is>
          <t>The Greatest Showman</t>
        </is>
      </c>
      <c r="F3452" t="inlineStr">
        <is>
          <t>F0127</t>
        </is>
      </c>
    </row>
    <row r="3453">
      <c r="A3453" t="inlineStr">
        <is>
          <t>Austyn Johnson</t>
        </is>
      </c>
      <c r="B3453" t="n">
        <v>1</v>
      </c>
      <c r="C3453" t="n">
        <v>2017</v>
      </c>
      <c r="D3453" t="n">
        <v>2017</v>
      </c>
      <c r="E3453" t="inlineStr">
        <is>
          <t>The Greatest Showman</t>
        </is>
      </c>
      <c r="F3453" t="inlineStr">
        <is>
          <t>F0127</t>
        </is>
      </c>
    </row>
    <row r="3454">
      <c r="A3454" t="inlineStr">
        <is>
          <t>Cameron Seely</t>
        </is>
      </c>
      <c r="B3454" t="n">
        <v>1</v>
      </c>
      <c r="C3454" t="n">
        <v>2017</v>
      </c>
      <c r="D3454" t="n">
        <v>2017</v>
      </c>
      <c r="E3454" t="inlineStr">
        <is>
          <t>The Greatest Showman</t>
        </is>
      </c>
      <c r="F3454" t="inlineStr">
        <is>
          <t>F0127</t>
        </is>
      </c>
    </row>
    <row r="3455">
      <c r="A3455" t="inlineStr">
        <is>
          <t>Eric Anderson</t>
        </is>
      </c>
      <c r="B3455" t="n">
        <v>1</v>
      </c>
      <c r="C3455" t="n">
        <v>2017</v>
      </c>
      <c r="D3455" t="n">
        <v>2017</v>
      </c>
      <c r="E3455" t="inlineStr">
        <is>
          <t>The Greatest Showman</t>
        </is>
      </c>
      <c r="F3455" t="inlineStr">
        <is>
          <t>F0127</t>
        </is>
      </c>
    </row>
    <row r="3456">
      <c r="A3456" t="inlineStr">
        <is>
          <t>Ellis Rubin</t>
        </is>
      </c>
      <c r="B3456" t="n">
        <v>1</v>
      </c>
      <c r="C3456" t="n">
        <v>2017</v>
      </c>
      <c r="D3456" t="n">
        <v>2017</v>
      </c>
      <c r="E3456" t="inlineStr">
        <is>
          <t>The Greatest Showman</t>
        </is>
      </c>
      <c r="F3456" t="inlineStr">
        <is>
          <t>F0127</t>
        </is>
      </c>
    </row>
    <row r="3457">
      <c r="A3457" t="inlineStr">
        <is>
          <t>Skylar Dunn</t>
        </is>
      </c>
      <c r="B3457" t="n">
        <v>1</v>
      </c>
      <c r="C3457" t="n">
        <v>2017</v>
      </c>
      <c r="D3457" t="n">
        <v>2017</v>
      </c>
      <c r="E3457" t="inlineStr">
        <is>
          <t>The Greatest Showman</t>
        </is>
      </c>
      <c r="F3457" t="inlineStr">
        <is>
          <t>F0127</t>
        </is>
      </c>
    </row>
    <row r="3458">
      <c r="A3458" t="inlineStr">
        <is>
          <t>Daniel Everidge</t>
        </is>
      </c>
      <c r="B3458" t="n">
        <v>1</v>
      </c>
      <c r="C3458" t="n">
        <v>2017</v>
      </c>
      <c r="D3458" t="n">
        <v>2017</v>
      </c>
      <c r="E3458" t="inlineStr">
        <is>
          <t>The Greatest Showman</t>
        </is>
      </c>
      <c r="F3458" t="inlineStr">
        <is>
          <t>F0127</t>
        </is>
      </c>
    </row>
    <row r="3459">
      <c r="A3459" t="inlineStr">
        <is>
          <t>Radu Spinghel</t>
        </is>
      </c>
      <c r="B3459" t="n">
        <v>1</v>
      </c>
      <c r="C3459" t="n">
        <v>2017</v>
      </c>
      <c r="D3459" t="n">
        <v>2017</v>
      </c>
      <c r="E3459" t="inlineStr">
        <is>
          <t>The Greatest Showman</t>
        </is>
      </c>
      <c r="F3459" t="inlineStr">
        <is>
          <t>F0127</t>
        </is>
      </c>
    </row>
    <row r="3460">
      <c r="A3460" t="inlineStr">
        <is>
          <t>Yusaku Komori</t>
        </is>
      </c>
      <c r="B3460" t="n">
        <v>1</v>
      </c>
      <c r="C3460" t="n">
        <v>2017</v>
      </c>
      <c r="D3460" t="n">
        <v>2017</v>
      </c>
      <c r="E3460" t="inlineStr">
        <is>
          <t>The Greatest Showman</t>
        </is>
      </c>
      <c r="F3460" t="inlineStr">
        <is>
          <t>F0127</t>
        </is>
      </c>
    </row>
    <row r="3461">
      <c r="A3461" t="inlineStr">
        <is>
          <t>Danial Son</t>
        </is>
      </c>
      <c r="B3461" t="n">
        <v>1</v>
      </c>
      <c r="C3461" t="n">
        <v>2017</v>
      </c>
      <c r="D3461" t="n">
        <v>2017</v>
      </c>
      <c r="E3461" t="inlineStr">
        <is>
          <t>The Greatest Showman</t>
        </is>
      </c>
      <c r="F3461" t="inlineStr">
        <is>
          <t>F0127</t>
        </is>
      </c>
    </row>
    <row r="3462">
      <c r="A3462" t="inlineStr">
        <is>
          <t>Will Swenson</t>
        </is>
      </c>
      <c r="B3462" t="n">
        <v>1</v>
      </c>
      <c r="C3462" t="n">
        <v>2017</v>
      </c>
      <c r="D3462" t="n">
        <v>2017</v>
      </c>
      <c r="E3462" t="inlineStr">
        <is>
          <t>The Greatest Showman</t>
        </is>
      </c>
      <c r="F3462" t="inlineStr">
        <is>
          <t>F0127</t>
        </is>
      </c>
    </row>
    <row r="3463">
      <c r="A3463" t="inlineStr">
        <is>
          <t>Linda Marie Larson</t>
        </is>
      </c>
      <c r="B3463" t="n">
        <v>1</v>
      </c>
      <c r="C3463" t="n">
        <v>2017</v>
      </c>
      <c r="D3463" t="n">
        <v>2017</v>
      </c>
      <c r="E3463" t="inlineStr">
        <is>
          <t>The Greatest Showman</t>
        </is>
      </c>
      <c r="F3463" t="inlineStr">
        <is>
          <t>F0127</t>
        </is>
      </c>
    </row>
    <row r="3464">
      <c r="A3464" t="inlineStr">
        <is>
          <t>Byron Jennings</t>
        </is>
      </c>
      <c r="B3464" t="n">
        <v>1</v>
      </c>
      <c r="C3464" t="n">
        <v>2017</v>
      </c>
      <c r="D3464" t="n">
        <v>2017</v>
      </c>
      <c r="E3464" t="inlineStr">
        <is>
          <t>The Greatest Showman</t>
        </is>
      </c>
      <c r="F3464" t="inlineStr">
        <is>
          <t>F0127</t>
        </is>
      </c>
    </row>
    <row r="3465">
      <c r="A3465" t="inlineStr">
        <is>
          <t>Betsy Aidem</t>
        </is>
      </c>
      <c r="B3465" t="n">
        <v>1</v>
      </c>
      <c r="C3465" t="n">
        <v>2017</v>
      </c>
      <c r="D3465" t="n">
        <v>2017</v>
      </c>
      <c r="E3465" t="inlineStr">
        <is>
          <t>The Greatest Showman</t>
        </is>
      </c>
      <c r="F3465" t="inlineStr">
        <is>
          <t>F0127</t>
        </is>
      </c>
    </row>
    <row r="3466">
      <c r="A3466" t="inlineStr">
        <is>
          <t>Kathryn Meisle</t>
        </is>
      </c>
      <c r="B3466" t="n">
        <v>1</v>
      </c>
      <c r="C3466" t="n">
        <v>2017</v>
      </c>
      <c r="D3466" t="n">
        <v>2017</v>
      </c>
      <c r="E3466" t="inlineStr">
        <is>
          <t>The Greatest Showman</t>
        </is>
      </c>
      <c r="F3466" t="inlineStr">
        <is>
          <t>F0127</t>
        </is>
      </c>
    </row>
    <row r="3467">
      <c r="A3467" t="inlineStr">
        <is>
          <t>Timothy Hughes</t>
        </is>
      </c>
      <c r="B3467" t="n">
        <v>1</v>
      </c>
      <c r="C3467" t="n">
        <v>2017</v>
      </c>
      <c r="D3467" t="n">
        <v>2017</v>
      </c>
      <c r="E3467" t="inlineStr">
        <is>
          <t>The Greatest Showman</t>
        </is>
      </c>
      <c r="F3467" t="inlineStr">
        <is>
          <t>F0127</t>
        </is>
      </c>
    </row>
    <row r="3468">
      <c r="A3468" t="inlineStr">
        <is>
          <t>Gayle Rankin</t>
        </is>
      </c>
      <c r="B3468" t="n">
        <v>1</v>
      </c>
      <c r="C3468" t="n">
        <v>2017</v>
      </c>
      <c r="D3468" t="n">
        <v>2017</v>
      </c>
      <c r="E3468" t="inlineStr">
        <is>
          <t>The Greatest Showman</t>
        </is>
      </c>
      <c r="F3468" t="inlineStr">
        <is>
          <t>F0127</t>
        </is>
      </c>
    </row>
    <row r="3469">
      <c r="A3469" t="inlineStr">
        <is>
          <t>Arnie Burton</t>
        </is>
      </c>
      <c r="B3469" t="n">
        <v>1</v>
      </c>
      <c r="C3469" t="n">
        <v>2017</v>
      </c>
      <c r="D3469" t="n">
        <v>2017</v>
      </c>
      <c r="E3469" t="inlineStr">
        <is>
          <t>The Greatest Showman</t>
        </is>
      </c>
      <c r="F3469" t="inlineStr">
        <is>
          <t>F0127</t>
        </is>
      </c>
    </row>
    <row r="3470">
      <c r="A3470" t="inlineStr">
        <is>
          <t>Taika Waititi</t>
        </is>
      </c>
      <c r="B3470" t="n">
        <v>2</v>
      </c>
      <c r="C3470" t="n">
        <v>2011</v>
      </c>
      <c r="D3470" t="n">
        <v>2019</v>
      </c>
      <c r="E3470" t="inlineStr">
        <is>
          <t>Green Lantern, Jojo Rabbit</t>
        </is>
      </c>
      <c r="F3470" t="inlineStr">
        <is>
          <t>F0128, F0170</t>
        </is>
      </c>
    </row>
    <row r="3471">
      <c r="A3471" t="inlineStr">
        <is>
          <t>Temuera Morrison</t>
        </is>
      </c>
      <c r="B3471" t="n">
        <v>3</v>
      </c>
      <c r="C3471" t="n">
        <v>2002</v>
      </c>
      <c r="D3471" t="n">
        <v>2011</v>
      </c>
      <c r="E3471" t="inlineStr">
        <is>
          <t>Green Lantern, Star Wars: Episode II – Attack of the Clones, Star Wars: Episode III – Revenge of the Sith</t>
        </is>
      </c>
      <c r="F3471" t="inlineStr">
        <is>
          <t>F0128, F0293, F0294</t>
        </is>
      </c>
    </row>
    <row r="3472">
      <c r="A3472" t="inlineStr">
        <is>
          <t>Michael Clarke Duncan</t>
        </is>
      </c>
      <c r="B3472" t="n">
        <v>1</v>
      </c>
      <c r="C3472" t="n">
        <v>2011</v>
      </c>
      <c r="D3472" t="n">
        <v>2011</v>
      </c>
      <c r="E3472" t="inlineStr">
        <is>
          <t>Green Lantern</t>
        </is>
      </c>
      <c r="F3472" t="inlineStr">
        <is>
          <t>F0128</t>
        </is>
      </c>
    </row>
    <row r="3473">
      <c r="A3473" t="inlineStr">
        <is>
          <t>Jay O. Sanders</t>
        </is>
      </c>
      <c r="B3473" t="n">
        <v>1</v>
      </c>
      <c r="C3473" t="n">
        <v>2011</v>
      </c>
      <c r="D3473" t="n">
        <v>2011</v>
      </c>
      <c r="E3473" t="inlineStr">
        <is>
          <t>Green Lantern</t>
        </is>
      </c>
      <c r="F3473" t="inlineStr">
        <is>
          <t>F0128</t>
        </is>
      </c>
    </row>
    <row r="3474">
      <c r="A3474" t="inlineStr">
        <is>
          <t>Gattlin Griffith</t>
        </is>
      </c>
      <c r="B3474" t="n">
        <v>1</v>
      </c>
      <c r="C3474" t="n">
        <v>2011</v>
      </c>
      <c r="D3474" t="n">
        <v>2011</v>
      </c>
      <c r="E3474" t="inlineStr">
        <is>
          <t>Green Lantern</t>
        </is>
      </c>
      <c r="F3474" t="inlineStr">
        <is>
          <t>F0128</t>
        </is>
      </c>
    </row>
    <row r="3475">
      <c r="A3475" t="inlineStr">
        <is>
          <t>Jenna Craig</t>
        </is>
      </c>
      <c r="B3475" t="n">
        <v>1</v>
      </c>
      <c r="C3475" t="n">
        <v>2011</v>
      </c>
      <c r="D3475" t="n">
        <v>2011</v>
      </c>
      <c r="E3475" t="inlineStr">
        <is>
          <t>Green Lantern</t>
        </is>
      </c>
      <c r="F3475" t="inlineStr">
        <is>
          <t>F0128</t>
        </is>
      </c>
    </row>
    <row r="3476">
      <c r="A3476" t="inlineStr">
        <is>
          <t>Jon Tenney</t>
        </is>
      </c>
      <c r="B3476" t="n">
        <v>1</v>
      </c>
      <c r="C3476" t="n">
        <v>2011</v>
      </c>
      <c r="D3476" t="n">
        <v>2011</v>
      </c>
      <c r="E3476" t="inlineStr">
        <is>
          <t>Green Lantern</t>
        </is>
      </c>
      <c r="F3476" t="inlineStr">
        <is>
          <t>F0128</t>
        </is>
      </c>
    </row>
    <row r="3477">
      <c r="A3477" t="inlineStr">
        <is>
          <t>Mike Doyle</t>
        </is>
      </c>
      <c r="B3477" t="n">
        <v>1</v>
      </c>
      <c r="C3477" t="n">
        <v>2011</v>
      </c>
      <c r="D3477" t="n">
        <v>2011</v>
      </c>
      <c r="E3477" t="inlineStr">
        <is>
          <t>Green Lantern</t>
        </is>
      </c>
      <c r="F3477" t="inlineStr">
        <is>
          <t>F0128</t>
        </is>
      </c>
    </row>
    <row r="3478">
      <c r="A3478" t="inlineStr">
        <is>
          <t>Nick Jandl</t>
        </is>
      </c>
      <c r="B3478" t="n">
        <v>1</v>
      </c>
      <c r="C3478" t="n">
        <v>2011</v>
      </c>
      <c r="D3478" t="n">
        <v>2011</v>
      </c>
      <c r="E3478" t="inlineStr">
        <is>
          <t>Green Lantern</t>
        </is>
      </c>
      <c r="F3478" t="inlineStr">
        <is>
          <t>F0128</t>
        </is>
      </c>
    </row>
    <row r="3479">
      <c r="A3479" t="inlineStr">
        <is>
          <t>Dylan James</t>
        </is>
      </c>
      <c r="B3479" t="n">
        <v>1</v>
      </c>
      <c r="C3479" t="n">
        <v>2011</v>
      </c>
      <c r="D3479" t="n">
        <v>2011</v>
      </c>
      <c r="E3479" t="inlineStr">
        <is>
          <t>Green Lantern</t>
        </is>
      </c>
      <c r="F3479" t="inlineStr">
        <is>
          <t>F0128</t>
        </is>
      </c>
    </row>
    <row r="3480">
      <c r="A3480" t="inlineStr">
        <is>
          <t>Leanne Cochran</t>
        </is>
      </c>
      <c r="B3480" t="n">
        <v>1</v>
      </c>
      <c r="C3480" t="n">
        <v>2011</v>
      </c>
      <c r="D3480" t="n">
        <v>2011</v>
      </c>
      <c r="E3480" t="inlineStr">
        <is>
          <t>Green Lantern</t>
        </is>
      </c>
      <c r="F3480" t="inlineStr">
        <is>
          <t>F0128</t>
        </is>
      </c>
    </row>
    <row r="3481">
      <c r="A3481" t="inlineStr">
        <is>
          <t>Amy Carlson</t>
        </is>
      </c>
      <c r="B3481" t="n">
        <v>1</v>
      </c>
      <c r="C3481" t="n">
        <v>2011</v>
      </c>
      <c r="D3481" t="n">
        <v>2011</v>
      </c>
      <c r="E3481" t="inlineStr">
        <is>
          <t>Green Lantern</t>
        </is>
      </c>
      <c r="F3481" t="inlineStr">
        <is>
          <t>F0128</t>
        </is>
      </c>
    </row>
    <row r="3482">
      <c r="A3482" t="inlineStr">
        <is>
          <t>Tiffany Morgan</t>
        </is>
      </c>
      <c r="B3482" t="n">
        <v>1</v>
      </c>
      <c r="C3482" t="n">
        <v>2011</v>
      </c>
      <c r="D3482" t="n">
        <v>2011</v>
      </c>
      <c r="E3482" t="inlineStr">
        <is>
          <t>Green Lantern</t>
        </is>
      </c>
      <c r="F3482" t="inlineStr">
        <is>
          <t>F0128</t>
        </is>
      </c>
    </row>
    <row r="3483">
      <c r="A3483" t="inlineStr">
        <is>
          <t>Deke Anderson</t>
        </is>
      </c>
      <c r="B3483" t="n">
        <v>1</v>
      </c>
      <c r="C3483" t="n">
        <v>2011</v>
      </c>
      <c r="D3483" t="n">
        <v>2011</v>
      </c>
      <c r="E3483" t="inlineStr">
        <is>
          <t>Green Lantern</t>
        </is>
      </c>
      <c r="F3483" t="inlineStr">
        <is>
          <t>F0128</t>
        </is>
      </c>
    </row>
    <row r="3484">
      <c r="A3484" t="inlineStr">
        <is>
          <t>Bobby Holland Hanton</t>
        </is>
      </c>
      <c r="B3484" t="n">
        <v>1</v>
      </c>
      <c r="C3484" t="n">
        <v>2011</v>
      </c>
      <c r="D3484" t="n">
        <v>2011</v>
      </c>
      <c r="E3484" t="inlineStr">
        <is>
          <t>Green Lantern</t>
        </is>
      </c>
      <c r="F3484" t="inlineStr">
        <is>
          <t>F0128</t>
        </is>
      </c>
    </row>
    <row r="3485">
      <c r="A3485" t="inlineStr">
        <is>
          <t>Silas Cooper</t>
        </is>
      </c>
      <c r="B3485" t="n">
        <v>1</v>
      </c>
      <c r="C3485" t="n">
        <v>2011</v>
      </c>
      <c r="D3485" t="n">
        <v>2011</v>
      </c>
      <c r="E3485" t="inlineStr">
        <is>
          <t>Green Lantern</t>
        </is>
      </c>
      <c r="F3485" t="inlineStr">
        <is>
          <t>F0128</t>
        </is>
      </c>
    </row>
    <row r="3486">
      <c r="A3486" t="inlineStr">
        <is>
          <t>Dorian Kingi</t>
        </is>
      </c>
      <c r="B3486" t="n">
        <v>1</v>
      </c>
      <c r="C3486" t="n">
        <v>2011</v>
      </c>
      <c r="D3486" t="n">
        <v>2011</v>
      </c>
      <c r="E3486" t="inlineStr">
        <is>
          <t>Green Lantern</t>
        </is>
      </c>
      <c r="F3486" t="inlineStr">
        <is>
          <t>F0128</t>
        </is>
      </c>
    </row>
    <row r="3487">
      <c r="A3487" t="inlineStr">
        <is>
          <t>Marcela Duarte Fonseca</t>
        </is>
      </c>
      <c r="B3487" t="n">
        <v>1</v>
      </c>
      <c r="C3487" t="n">
        <v>2011</v>
      </c>
      <c r="D3487" t="n">
        <v>2011</v>
      </c>
      <c r="E3487" t="inlineStr">
        <is>
          <t>Green Lantern</t>
        </is>
      </c>
      <c r="F3487" t="inlineStr">
        <is>
          <t>F0128</t>
        </is>
      </c>
    </row>
    <row r="3488">
      <c r="A3488" t="inlineStr">
        <is>
          <t>Igal Naor</t>
        </is>
      </c>
      <c r="B3488" t="n">
        <v>1</v>
      </c>
      <c r="C3488" t="n">
        <v>2010</v>
      </c>
      <c r="D3488" t="n">
        <v>2010</v>
      </c>
      <c r="E3488" t="inlineStr">
        <is>
          <t>Green Zone</t>
        </is>
      </c>
      <c r="F3488" t="inlineStr">
        <is>
          <t>F0129</t>
        </is>
      </c>
    </row>
    <row r="3489">
      <c r="A3489" t="inlineStr">
        <is>
          <t>Said Faraj</t>
        </is>
      </c>
      <c r="B3489" t="n">
        <v>1</v>
      </c>
      <c r="C3489" t="n">
        <v>2010</v>
      </c>
      <c r="D3489" t="n">
        <v>2010</v>
      </c>
      <c r="E3489" t="inlineStr">
        <is>
          <t>Green Zone</t>
        </is>
      </c>
      <c r="F3489" t="inlineStr">
        <is>
          <t>F0129</t>
        </is>
      </c>
    </row>
    <row r="3490">
      <c r="A3490" t="inlineStr">
        <is>
          <t>Raad Rawi</t>
        </is>
      </c>
      <c r="B3490" t="n">
        <v>2</v>
      </c>
      <c r="C3490" t="n">
        <v>2010</v>
      </c>
      <c r="D3490" t="n">
        <v>2015</v>
      </c>
      <c r="E3490" t="inlineStr">
        <is>
          <t>Green Zone, Spy</t>
        </is>
      </c>
      <c r="F3490" t="inlineStr">
        <is>
          <t>F0129, F0290</t>
        </is>
      </c>
    </row>
    <row r="3491">
      <c r="A3491" t="inlineStr">
        <is>
          <t>Michael O'Neill</t>
        </is>
      </c>
      <c r="B3491" t="n">
        <v>2</v>
      </c>
      <c r="C3491" t="n">
        <v>2007</v>
      </c>
      <c r="D3491" t="n">
        <v>2010</v>
      </c>
      <c r="E3491" t="inlineStr">
        <is>
          <t>Green Zone, Transformers</t>
        </is>
      </c>
      <c r="F3491" t="inlineStr">
        <is>
          <t>F0129, F0316</t>
        </is>
      </c>
    </row>
    <row r="3492">
      <c r="A3492" t="inlineStr">
        <is>
          <t>Tommy Campbell</t>
        </is>
      </c>
      <c r="B3492" t="n">
        <v>1</v>
      </c>
      <c r="C3492" t="n">
        <v>2010</v>
      </c>
      <c r="D3492" t="n">
        <v>2010</v>
      </c>
      <c r="E3492" t="inlineStr">
        <is>
          <t>Green Zone</t>
        </is>
      </c>
      <c r="F3492" t="inlineStr">
        <is>
          <t>F0129</t>
        </is>
      </c>
    </row>
    <row r="3493">
      <c r="A3493" t="inlineStr">
        <is>
          <t>Jerry Della Salla</t>
        </is>
      </c>
      <c r="B3493" t="n">
        <v>1</v>
      </c>
      <c r="C3493" t="n">
        <v>2010</v>
      </c>
      <c r="D3493" t="n">
        <v>2010</v>
      </c>
      <c r="E3493" t="inlineStr">
        <is>
          <t>Green Zone</t>
        </is>
      </c>
      <c r="F3493" t="inlineStr">
        <is>
          <t>F0129</t>
        </is>
      </c>
    </row>
    <row r="3494">
      <c r="A3494" t="inlineStr">
        <is>
          <t>Faycal Attougui</t>
        </is>
      </c>
      <c r="B3494" t="n">
        <v>1</v>
      </c>
      <c r="C3494" t="n">
        <v>2010</v>
      </c>
      <c r="D3494" t="n">
        <v>2010</v>
      </c>
      <c r="E3494" t="inlineStr">
        <is>
          <t>Green Zone</t>
        </is>
      </c>
      <c r="F3494" t="inlineStr">
        <is>
          <t>F0129</t>
        </is>
      </c>
    </row>
    <row r="3495">
      <c r="A3495" t="inlineStr">
        <is>
          <t>Aymen Hamdouchi</t>
        </is>
      </c>
      <c r="B3495" t="n">
        <v>1</v>
      </c>
      <c r="C3495" t="n">
        <v>2010</v>
      </c>
      <c r="D3495" t="n">
        <v>2010</v>
      </c>
      <c r="E3495" t="inlineStr">
        <is>
          <t>Green Zone</t>
        </is>
      </c>
      <c r="F3495" t="inlineStr">
        <is>
          <t>F0129</t>
        </is>
      </c>
    </row>
    <row r="3496">
      <c r="A3496" t="inlineStr">
        <is>
          <t>Nicoye Banks</t>
        </is>
      </c>
      <c r="B3496" t="n">
        <v>1</v>
      </c>
      <c r="C3496" t="n">
        <v>2010</v>
      </c>
      <c r="D3496" t="n">
        <v>2010</v>
      </c>
      <c r="E3496" t="inlineStr">
        <is>
          <t>Green Zone</t>
        </is>
      </c>
      <c r="F3496" t="inlineStr">
        <is>
          <t>F0129</t>
        </is>
      </c>
    </row>
    <row r="3497">
      <c r="A3497" t="inlineStr">
        <is>
          <t>Sean Huze</t>
        </is>
      </c>
      <c r="B3497" t="n">
        <v>1</v>
      </c>
      <c r="C3497" t="n">
        <v>2010</v>
      </c>
      <c r="D3497" t="n">
        <v>2010</v>
      </c>
      <c r="E3497" t="inlineStr">
        <is>
          <t>Green Zone</t>
        </is>
      </c>
      <c r="F3497" t="inlineStr">
        <is>
          <t>F0129</t>
        </is>
      </c>
    </row>
    <row r="3498">
      <c r="A3498" t="inlineStr">
        <is>
          <t>Michael J. Dwyer</t>
        </is>
      </c>
      <c r="B3498" t="n">
        <v>1</v>
      </c>
      <c r="C3498" t="n">
        <v>2010</v>
      </c>
      <c r="D3498" t="n">
        <v>2010</v>
      </c>
      <c r="E3498" t="inlineStr">
        <is>
          <t>Green Zone</t>
        </is>
      </c>
      <c r="F3498" t="inlineStr">
        <is>
          <t>F0129</t>
        </is>
      </c>
    </row>
    <row r="3499">
      <c r="A3499" t="inlineStr">
        <is>
          <t>Edouard H.R. Gluck</t>
        </is>
      </c>
      <c r="B3499" t="n">
        <v>1</v>
      </c>
      <c r="C3499" t="n">
        <v>2010</v>
      </c>
      <c r="D3499" t="n">
        <v>2010</v>
      </c>
      <c r="E3499" t="inlineStr">
        <is>
          <t>Green Zone</t>
        </is>
      </c>
      <c r="F3499" t="inlineStr">
        <is>
          <t>F0129</t>
        </is>
      </c>
    </row>
    <row r="3500">
      <c r="A3500" t="inlineStr">
        <is>
          <t>Brian Siefkes</t>
        </is>
      </c>
      <c r="B3500" t="n">
        <v>1</v>
      </c>
      <c r="C3500" t="n">
        <v>2010</v>
      </c>
      <c r="D3500" t="n">
        <v>2010</v>
      </c>
      <c r="E3500" t="inlineStr">
        <is>
          <t>Green Zone</t>
        </is>
      </c>
      <c r="F3500" t="inlineStr">
        <is>
          <t>F0129</t>
        </is>
      </c>
    </row>
    <row r="3501">
      <c r="A3501" t="inlineStr">
        <is>
          <t>Adam Wendling</t>
        </is>
      </c>
      <c r="B3501" t="n">
        <v>1</v>
      </c>
      <c r="C3501" t="n">
        <v>2010</v>
      </c>
      <c r="D3501" t="n">
        <v>2010</v>
      </c>
      <c r="E3501" t="inlineStr">
        <is>
          <t>Green Zone</t>
        </is>
      </c>
      <c r="F3501" t="inlineStr">
        <is>
          <t>F0129</t>
        </is>
      </c>
    </row>
    <row r="3502">
      <c r="A3502" t="inlineStr">
        <is>
          <t>Abdul Henderson</t>
        </is>
      </c>
      <c r="B3502" t="n">
        <v>1</v>
      </c>
      <c r="C3502" t="n">
        <v>2010</v>
      </c>
      <c r="D3502" t="n">
        <v>2010</v>
      </c>
      <c r="E3502" t="inlineStr">
        <is>
          <t>Green Zone</t>
        </is>
      </c>
      <c r="F3502" t="inlineStr">
        <is>
          <t>F0129</t>
        </is>
      </c>
    </row>
    <row r="3503">
      <c r="A3503" t="inlineStr">
        <is>
          <t>Paul Karsko</t>
        </is>
      </c>
      <c r="B3503" t="n">
        <v>1</v>
      </c>
      <c r="C3503" t="n">
        <v>2010</v>
      </c>
      <c r="D3503" t="n">
        <v>2010</v>
      </c>
      <c r="E3503" t="inlineStr">
        <is>
          <t>Green Zone</t>
        </is>
      </c>
      <c r="F3503" t="inlineStr">
        <is>
          <t>F0129</t>
        </is>
      </c>
    </row>
    <row r="3504">
      <c r="A3504" t="inlineStr">
        <is>
          <t>Robert Miller</t>
        </is>
      </c>
      <c r="B3504" t="n">
        <v>1</v>
      </c>
      <c r="C3504" t="n">
        <v>2010</v>
      </c>
      <c r="D3504" t="n">
        <v>2010</v>
      </c>
      <c r="E3504" t="inlineStr">
        <is>
          <t>Green Zone</t>
        </is>
      </c>
      <c r="F3504" t="inlineStr">
        <is>
          <t>F0129</t>
        </is>
      </c>
    </row>
    <row r="3505">
      <c r="A3505" t="inlineStr">
        <is>
          <t>Eugene Cherry</t>
        </is>
      </c>
      <c r="B3505" t="n">
        <v>1</v>
      </c>
      <c r="C3505" t="n">
        <v>2010</v>
      </c>
      <c r="D3505" t="n">
        <v>2010</v>
      </c>
      <c r="E3505" t="inlineStr">
        <is>
          <t>Green Zone</t>
        </is>
      </c>
      <c r="F3505" t="inlineStr">
        <is>
          <t>F0129</t>
        </is>
      </c>
    </row>
    <row r="3506">
      <c r="A3506" t="inlineStr">
        <is>
          <t>Alexander Drum</t>
        </is>
      </c>
      <c r="B3506" t="n">
        <v>1</v>
      </c>
      <c r="C3506" t="n">
        <v>2010</v>
      </c>
      <c r="D3506" t="n">
        <v>2010</v>
      </c>
      <c r="E3506" t="inlineStr">
        <is>
          <t>Green Zone</t>
        </is>
      </c>
      <c r="F3506" t="inlineStr">
        <is>
          <t>F0129</t>
        </is>
      </c>
    </row>
    <row r="3507">
      <c r="A3507" t="inlineStr">
        <is>
          <t>Brian VanRiper</t>
        </is>
      </c>
      <c r="B3507" t="n">
        <v>1</v>
      </c>
      <c r="C3507" t="n">
        <v>2010</v>
      </c>
      <c r="D3507" t="n">
        <v>2010</v>
      </c>
      <c r="E3507" t="inlineStr">
        <is>
          <t>Green Zone</t>
        </is>
      </c>
      <c r="F3507" t="inlineStr">
        <is>
          <t>F0129</t>
        </is>
      </c>
    </row>
    <row r="3508">
      <c r="A3508" t="inlineStr">
        <is>
          <t>Matthew Knott</t>
        </is>
      </c>
      <c r="B3508" t="n">
        <v>1</v>
      </c>
      <c r="C3508" t="n">
        <v>2010</v>
      </c>
      <c r="D3508" t="n">
        <v>2010</v>
      </c>
      <c r="E3508" t="inlineStr">
        <is>
          <t>Green Zone</t>
        </is>
      </c>
      <c r="F3508" t="inlineStr">
        <is>
          <t>F0129</t>
        </is>
      </c>
    </row>
    <row r="3509">
      <c r="A3509" t="inlineStr">
        <is>
          <t>Nathan Lewis</t>
        </is>
      </c>
      <c r="B3509" t="n">
        <v>1</v>
      </c>
      <c r="C3509" t="n">
        <v>2010</v>
      </c>
      <c r="D3509" t="n">
        <v>2010</v>
      </c>
      <c r="E3509" t="inlineStr">
        <is>
          <t>Green Zone</t>
        </is>
      </c>
      <c r="F3509" t="inlineStr">
        <is>
          <t>F0129</t>
        </is>
      </c>
    </row>
    <row r="3510">
      <c r="A3510" t="inlineStr">
        <is>
          <t>Gabourey Sidibe</t>
        </is>
      </c>
      <c r="B3510" t="n">
        <v>1</v>
      </c>
      <c r="C3510" t="n">
        <v>2016</v>
      </c>
      <c r="D3510" t="n">
        <v>2016</v>
      </c>
      <c r="E3510" t="inlineStr">
        <is>
          <t>Grimsby</t>
        </is>
      </c>
      <c r="F3510" t="inlineStr">
        <is>
          <t>F0130</t>
        </is>
      </c>
    </row>
    <row r="3511">
      <c r="A3511" t="inlineStr">
        <is>
          <t>Nick Sampson</t>
        </is>
      </c>
      <c r="B3511" t="n">
        <v>1</v>
      </c>
      <c r="C3511" t="n">
        <v>2016</v>
      </c>
      <c r="D3511" t="n">
        <v>2016</v>
      </c>
      <c r="E3511" t="inlineStr">
        <is>
          <t>Grimsby</t>
        </is>
      </c>
      <c r="F3511" t="inlineStr">
        <is>
          <t>F0130</t>
        </is>
      </c>
    </row>
    <row r="3512">
      <c r="A3512" t="inlineStr">
        <is>
          <t>David Harewood</t>
        </is>
      </c>
      <c r="B3512" t="n">
        <v>1</v>
      </c>
      <c r="C3512" t="n">
        <v>2016</v>
      </c>
      <c r="D3512" t="n">
        <v>2016</v>
      </c>
      <c r="E3512" t="inlineStr">
        <is>
          <t>Grimsby</t>
        </is>
      </c>
      <c r="F3512" t="inlineStr">
        <is>
          <t>F0130</t>
        </is>
      </c>
    </row>
    <row r="3513">
      <c r="A3513" t="inlineStr">
        <is>
          <t>Sam Hazeldine</t>
        </is>
      </c>
      <c r="B3513" t="n">
        <v>2</v>
      </c>
      <c r="C3513" t="n">
        <v>2016</v>
      </c>
      <c r="D3513" t="n">
        <v>2017</v>
      </c>
      <c r="E3513" t="inlineStr">
        <is>
          <t>Grimsby, The Hitman's Bodyguard</t>
        </is>
      </c>
      <c r="F3513" t="inlineStr">
        <is>
          <t>F0130, F0149</t>
        </is>
      </c>
    </row>
    <row r="3514">
      <c r="A3514" t="inlineStr">
        <is>
          <t>Tamsin Egerton</t>
        </is>
      </c>
      <c r="B3514" t="n">
        <v>1</v>
      </c>
      <c r="C3514" t="n">
        <v>2016</v>
      </c>
      <c r="D3514" t="n">
        <v>2016</v>
      </c>
      <c r="E3514" t="inlineStr">
        <is>
          <t>Grimsby</t>
        </is>
      </c>
      <c r="F3514" t="inlineStr">
        <is>
          <t>F0130</t>
        </is>
      </c>
    </row>
    <row r="3515">
      <c r="A3515" t="inlineStr">
        <is>
          <t>Johnny Vegas</t>
        </is>
      </c>
      <c r="B3515" t="n">
        <v>1</v>
      </c>
      <c r="C3515" t="n">
        <v>2016</v>
      </c>
      <c r="D3515" t="n">
        <v>2016</v>
      </c>
      <c r="E3515" t="inlineStr">
        <is>
          <t>Grimsby</t>
        </is>
      </c>
      <c r="F3515" t="inlineStr">
        <is>
          <t>F0130</t>
        </is>
      </c>
    </row>
    <row r="3516">
      <c r="A3516" t="inlineStr">
        <is>
          <t>Alex Lanipekun</t>
        </is>
      </c>
      <c r="B3516" t="n">
        <v>1</v>
      </c>
      <c r="C3516" t="n">
        <v>2016</v>
      </c>
      <c r="D3516" t="n">
        <v>2016</v>
      </c>
      <c r="E3516" t="inlineStr">
        <is>
          <t>Grimsby</t>
        </is>
      </c>
      <c r="F3516" t="inlineStr">
        <is>
          <t>F0130</t>
        </is>
      </c>
    </row>
    <row r="3517">
      <c r="A3517" t="inlineStr">
        <is>
          <t>Eileen Davies</t>
        </is>
      </c>
      <c r="B3517" t="n">
        <v>1</v>
      </c>
      <c r="C3517" t="n">
        <v>2016</v>
      </c>
      <c r="D3517" t="n">
        <v>2016</v>
      </c>
      <c r="E3517" t="inlineStr">
        <is>
          <t>Grimsby</t>
        </is>
      </c>
      <c r="F3517" t="inlineStr">
        <is>
          <t>F0130</t>
        </is>
      </c>
    </row>
    <row r="3518">
      <c r="A3518" t="inlineStr">
        <is>
          <t>Rory Keenan</t>
        </is>
      </c>
      <c r="B3518" t="n">
        <v>2</v>
      </c>
      <c r="C3518" t="n">
        <v>2002</v>
      </c>
      <c r="D3518" t="n">
        <v>2016</v>
      </c>
      <c r="E3518" t="inlineStr">
        <is>
          <t>Grimsby, Reign of Fire</t>
        </is>
      </c>
      <c r="F3518" t="inlineStr">
        <is>
          <t>F0130, F0263</t>
        </is>
      </c>
    </row>
    <row r="3519">
      <c r="A3519" t="inlineStr">
        <is>
          <t>Zak Sutcliffe</t>
        </is>
      </c>
      <c r="B3519" t="n">
        <v>1</v>
      </c>
      <c r="C3519" t="n">
        <v>2016</v>
      </c>
      <c r="D3519" t="n">
        <v>2016</v>
      </c>
      <c r="E3519" t="inlineStr">
        <is>
          <t>Grimsby</t>
        </is>
      </c>
      <c r="F3519" t="inlineStr">
        <is>
          <t>F0130</t>
        </is>
      </c>
    </row>
    <row r="3520">
      <c r="A3520" t="inlineStr">
        <is>
          <t>Nick Boraine</t>
        </is>
      </c>
      <c r="B3520" t="n">
        <v>1</v>
      </c>
      <c r="C3520" t="n">
        <v>2016</v>
      </c>
      <c r="D3520" t="n">
        <v>2016</v>
      </c>
      <c r="E3520" t="inlineStr">
        <is>
          <t>Grimsby</t>
        </is>
      </c>
      <c r="F3520" t="inlineStr">
        <is>
          <t>F0130</t>
        </is>
      </c>
    </row>
    <row r="3521">
      <c r="A3521" t="inlineStr">
        <is>
          <t>Lex Shrapnel</t>
        </is>
      </c>
      <c r="B3521" t="n">
        <v>1</v>
      </c>
      <c r="C3521" t="n">
        <v>2016</v>
      </c>
      <c r="D3521" t="n">
        <v>2016</v>
      </c>
      <c r="E3521" t="inlineStr">
        <is>
          <t>Grimsby</t>
        </is>
      </c>
      <c r="F3521" t="inlineStr">
        <is>
          <t>F0130</t>
        </is>
      </c>
    </row>
    <row r="3522">
      <c r="A3522" t="inlineStr">
        <is>
          <t>John Thomson</t>
        </is>
      </c>
      <c r="B3522" t="n">
        <v>1</v>
      </c>
      <c r="C3522" t="n">
        <v>2016</v>
      </c>
      <c r="D3522" t="n">
        <v>2016</v>
      </c>
      <c r="E3522" t="inlineStr">
        <is>
          <t>Grimsby</t>
        </is>
      </c>
      <c r="F3522" t="inlineStr">
        <is>
          <t>F0130</t>
        </is>
      </c>
    </row>
    <row r="3523">
      <c r="A3523" t="inlineStr">
        <is>
          <t>Ricky Tomlinson</t>
        </is>
      </c>
      <c r="B3523" t="n">
        <v>1</v>
      </c>
      <c r="C3523" t="n">
        <v>2016</v>
      </c>
      <c r="D3523" t="n">
        <v>2016</v>
      </c>
      <c r="E3523" t="inlineStr">
        <is>
          <t>Grimsby</t>
        </is>
      </c>
      <c r="F3523" t="inlineStr">
        <is>
          <t>F0130</t>
        </is>
      </c>
    </row>
    <row r="3524">
      <c r="A3524" t="inlineStr">
        <is>
          <t>Peter Baynham</t>
        </is>
      </c>
      <c r="B3524" t="n">
        <v>1</v>
      </c>
      <c r="C3524" t="n">
        <v>2016</v>
      </c>
      <c r="D3524" t="n">
        <v>2016</v>
      </c>
      <c r="E3524" t="inlineStr">
        <is>
          <t>Grimsby</t>
        </is>
      </c>
      <c r="F3524" t="inlineStr">
        <is>
          <t>F0130</t>
        </is>
      </c>
    </row>
    <row r="3525">
      <c r="A3525" t="inlineStr">
        <is>
          <t>Rebecca Front</t>
        </is>
      </c>
      <c r="B3525" t="n">
        <v>2</v>
      </c>
      <c r="C3525" t="n">
        <v>2016</v>
      </c>
      <c r="D3525" t="n">
        <v>2017</v>
      </c>
      <c r="E3525" t="inlineStr">
        <is>
          <t>Grimsby, Transformers: The Last Knight</t>
        </is>
      </c>
      <c r="F3525" t="inlineStr">
        <is>
          <t>F0130, F0320</t>
        </is>
      </c>
    </row>
    <row r="3526">
      <c r="A3526" t="inlineStr">
        <is>
          <t>Miles Jupp</t>
        </is>
      </c>
      <c r="B3526" t="n">
        <v>2</v>
      </c>
      <c r="C3526" t="n">
        <v>2009</v>
      </c>
      <c r="D3526" t="n">
        <v>2016</v>
      </c>
      <c r="E3526" t="inlineStr">
        <is>
          <t>Grimsby, Sherlock Holmes</t>
        </is>
      </c>
      <c r="F3526" t="inlineStr">
        <is>
          <t>F0130, F0278</t>
        </is>
      </c>
    </row>
    <row r="3527">
      <c r="A3527" t="inlineStr">
        <is>
          <t>Jamie B. Chambers</t>
        </is>
      </c>
      <c r="B3527" t="n">
        <v>1</v>
      </c>
      <c r="C3527" t="n">
        <v>2016</v>
      </c>
      <c r="D3527" t="n">
        <v>2016</v>
      </c>
      <c r="E3527" t="inlineStr">
        <is>
          <t>Grimsby</t>
        </is>
      </c>
      <c r="F3527" t="inlineStr">
        <is>
          <t>F0130</t>
        </is>
      </c>
    </row>
    <row r="3528">
      <c r="A3528" t="inlineStr">
        <is>
          <t>Freddie Crowder</t>
        </is>
      </c>
      <c r="B3528" t="n">
        <v>1</v>
      </c>
      <c r="C3528" t="n">
        <v>2016</v>
      </c>
      <c r="D3528" t="n">
        <v>2016</v>
      </c>
      <c r="E3528" t="inlineStr">
        <is>
          <t>Grimsby</t>
        </is>
      </c>
      <c r="F3528" t="inlineStr">
        <is>
          <t>F0130</t>
        </is>
      </c>
    </row>
    <row r="3529">
      <c r="A3529" t="inlineStr">
        <is>
          <t>Jon-Jon Lockwood</t>
        </is>
      </c>
      <c r="B3529" t="n">
        <v>1</v>
      </c>
      <c r="C3529" t="n">
        <v>2016</v>
      </c>
      <c r="D3529" t="n">
        <v>2016</v>
      </c>
      <c r="E3529" t="inlineStr">
        <is>
          <t>Grimsby</t>
        </is>
      </c>
      <c r="F3529" t="inlineStr">
        <is>
          <t>F0130</t>
        </is>
      </c>
    </row>
    <row r="3530">
      <c r="A3530" t="inlineStr">
        <is>
          <t>Shaun Thomas</t>
        </is>
      </c>
      <c r="B3530" t="n">
        <v>1</v>
      </c>
      <c r="C3530" t="n">
        <v>2016</v>
      </c>
      <c r="D3530" t="n">
        <v>2016</v>
      </c>
      <c r="E3530" t="inlineStr">
        <is>
          <t>Grimsby</t>
        </is>
      </c>
      <c r="F3530" t="inlineStr">
        <is>
          <t>F0130</t>
        </is>
      </c>
    </row>
    <row r="3531">
      <c r="A3531" t="inlineStr">
        <is>
          <t>Joyce Van Patten</t>
        </is>
      </c>
      <c r="B3531" t="n">
        <v>1</v>
      </c>
      <c r="C3531" t="n">
        <v>2010</v>
      </c>
      <c r="D3531" t="n">
        <v>2010</v>
      </c>
      <c r="E3531" t="inlineStr">
        <is>
          <t>Grown Ups</t>
        </is>
      </c>
      <c r="F3531" t="inlineStr">
        <is>
          <t>F0131</t>
        </is>
      </c>
    </row>
    <row r="3532">
      <c r="A3532" t="inlineStr">
        <is>
          <t>Ebony Jo-Ann</t>
        </is>
      </c>
      <c r="B3532" t="n">
        <v>1</v>
      </c>
      <c r="C3532" t="n">
        <v>2010</v>
      </c>
      <c r="D3532" t="n">
        <v>2010</v>
      </c>
      <c r="E3532" t="inlineStr">
        <is>
          <t>Grown Ups</t>
        </is>
      </c>
      <c r="F3532" t="inlineStr">
        <is>
          <t>F0131</t>
        </is>
      </c>
    </row>
    <row r="3533">
      <c r="A3533" t="inlineStr">
        <is>
          <t>Di Quon</t>
        </is>
      </c>
      <c r="B3533" t="n">
        <v>1</v>
      </c>
      <c r="C3533" t="n">
        <v>2010</v>
      </c>
      <c r="D3533" t="n">
        <v>2010</v>
      </c>
      <c r="E3533" t="inlineStr">
        <is>
          <t>Grown Ups</t>
        </is>
      </c>
      <c r="F3533" t="inlineStr">
        <is>
          <t>F0131</t>
        </is>
      </c>
    </row>
    <row r="3534">
      <c r="A3534" t="inlineStr">
        <is>
          <t>Colin Quinn</t>
        </is>
      </c>
      <c r="B3534" t="n">
        <v>2</v>
      </c>
      <c r="C3534" t="n">
        <v>2010</v>
      </c>
      <c r="D3534" t="n">
        <v>2013</v>
      </c>
      <c r="E3534" t="inlineStr">
        <is>
          <t>Grown Ups, Grown Ups 2</t>
        </is>
      </c>
      <c r="F3534" t="inlineStr">
        <is>
          <t>F0131, F0132</t>
        </is>
      </c>
    </row>
    <row r="3535">
      <c r="A3535" t="inlineStr">
        <is>
          <t>Tim Meadows</t>
        </is>
      </c>
      <c r="B3535" t="n">
        <v>2</v>
      </c>
      <c r="C3535" t="n">
        <v>2010</v>
      </c>
      <c r="D3535" t="n">
        <v>2013</v>
      </c>
      <c r="E3535" t="inlineStr">
        <is>
          <t>Grown Ups, Grown Ups 2</t>
        </is>
      </c>
      <c r="F3535" t="inlineStr">
        <is>
          <t>F0131, F0132</t>
        </is>
      </c>
    </row>
    <row r="3536">
      <c r="A3536" t="inlineStr">
        <is>
          <t>Madison Riley</t>
        </is>
      </c>
      <c r="B3536" t="n">
        <v>1</v>
      </c>
      <c r="C3536" t="n">
        <v>2010</v>
      </c>
      <c r="D3536" t="n">
        <v>2010</v>
      </c>
      <c r="E3536" t="inlineStr">
        <is>
          <t>Grown Ups</t>
        </is>
      </c>
      <c r="F3536" t="inlineStr">
        <is>
          <t>F0131</t>
        </is>
      </c>
    </row>
    <row r="3537">
      <c r="A3537" t="inlineStr">
        <is>
          <t>Ashley Loren</t>
        </is>
      </c>
      <c r="B3537" t="n">
        <v>1</v>
      </c>
      <c r="C3537" t="n">
        <v>2010</v>
      </c>
      <c r="D3537" t="n">
        <v>2010</v>
      </c>
      <c r="E3537" t="inlineStr">
        <is>
          <t>Grown Ups</t>
        </is>
      </c>
      <c r="F3537" t="inlineStr">
        <is>
          <t>F0131</t>
        </is>
      </c>
    </row>
    <row r="3538">
      <c r="A3538" t="inlineStr">
        <is>
          <t>Jake Goldberg</t>
        </is>
      </c>
      <c r="B3538" t="n">
        <v>2</v>
      </c>
      <c r="C3538" t="n">
        <v>2010</v>
      </c>
      <c r="D3538" t="n">
        <v>2013</v>
      </c>
      <c r="E3538" t="inlineStr">
        <is>
          <t>Grown Ups, Grown Ups 2</t>
        </is>
      </c>
      <c r="F3538" t="inlineStr">
        <is>
          <t>F0131, F0132</t>
        </is>
      </c>
    </row>
    <row r="3539">
      <c r="A3539" t="inlineStr">
        <is>
          <t>Cameron Boyce</t>
        </is>
      </c>
      <c r="B3539" t="n">
        <v>2</v>
      </c>
      <c r="C3539" t="n">
        <v>2010</v>
      </c>
      <c r="D3539" t="n">
        <v>2013</v>
      </c>
      <c r="E3539" t="inlineStr">
        <is>
          <t>Grown Ups, Grown Ups 2</t>
        </is>
      </c>
      <c r="F3539" t="inlineStr">
        <is>
          <t>F0131, F0132</t>
        </is>
      </c>
    </row>
    <row r="3540">
      <c r="A3540" t="inlineStr">
        <is>
          <t>Alexys Nycole Sanchez</t>
        </is>
      </c>
      <c r="B3540" t="n">
        <v>2</v>
      </c>
      <c r="C3540" t="n">
        <v>2010</v>
      </c>
      <c r="D3540" t="n">
        <v>2013</v>
      </c>
      <c r="E3540" t="inlineStr">
        <is>
          <t>Grown Ups, Grown Ups 2</t>
        </is>
      </c>
      <c r="F3540" t="inlineStr">
        <is>
          <t>F0131, F0132</t>
        </is>
      </c>
    </row>
    <row r="3541">
      <c r="A3541" t="inlineStr">
        <is>
          <t>Ada-Nicole Sanger</t>
        </is>
      </c>
      <c r="B3541" t="n">
        <v>2</v>
      </c>
      <c r="C3541" t="n">
        <v>2010</v>
      </c>
      <c r="D3541" t="n">
        <v>2013</v>
      </c>
      <c r="E3541" t="inlineStr">
        <is>
          <t>Grown Ups, Grown Ups 2</t>
        </is>
      </c>
      <c r="F3541" t="inlineStr">
        <is>
          <t>F0131, F0132</t>
        </is>
      </c>
    </row>
    <row r="3542">
      <c r="A3542" t="inlineStr">
        <is>
          <t>Frank Gingerich</t>
        </is>
      </c>
      <c r="B3542" t="n">
        <v>2</v>
      </c>
      <c r="C3542" t="n">
        <v>2010</v>
      </c>
      <c r="D3542" t="n">
        <v>2013</v>
      </c>
      <c r="E3542" t="inlineStr">
        <is>
          <t>Grown Ups, Grown Ups 2</t>
        </is>
      </c>
      <c r="F3542" t="inlineStr">
        <is>
          <t>F0131, F0132</t>
        </is>
      </c>
    </row>
    <row r="3543">
      <c r="A3543" t="inlineStr">
        <is>
          <t>Morgan Gingerich</t>
        </is>
      </c>
      <c r="B3543" t="n">
        <v>2</v>
      </c>
      <c r="C3543" t="n">
        <v>2010</v>
      </c>
      <c r="D3543" t="n">
        <v>2013</v>
      </c>
      <c r="E3543" t="inlineStr">
        <is>
          <t>Grown Ups, Grown Ups 2</t>
        </is>
      </c>
      <c r="F3543" t="inlineStr">
        <is>
          <t>F0131, F0132</t>
        </is>
      </c>
    </row>
    <row r="3544">
      <c r="A3544" t="inlineStr">
        <is>
          <t>Nadji Jeter</t>
        </is>
      </c>
      <c r="B3544" t="n">
        <v>2</v>
      </c>
      <c r="C3544" t="n">
        <v>2010</v>
      </c>
      <c r="D3544" t="n">
        <v>2013</v>
      </c>
      <c r="E3544" t="inlineStr">
        <is>
          <t>Grown Ups, Grown Ups 2</t>
        </is>
      </c>
      <c r="F3544" t="inlineStr">
        <is>
          <t>F0131, F0132</t>
        </is>
      </c>
    </row>
    <row r="3545">
      <c r="A3545" t="inlineStr">
        <is>
          <t>China Anne McClain</t>
        </is>
      </c>
      <c r="B3545" t="n">
        <v>2</v>
      </c>
      <c r="C3545" t="n">
        <v>2010</v>
      </c>
      <c r="D3545" t="n">
        <v>2013</v>
      </c>
      <c r="E3545" t="inlineStr">
        <is>
          <t>Grown Ups, Grown Ups 2</t>
        </is>
      </c>
      <c r="F3545" t="inlineStr">
        <is>
          <t>F0131, F0132</t>
        </is>
      </c>
    </row>
    <row r="3546">
      <c r="A3546" t="inlineStr">
        <is>
          <t>Dan Patrick</t>
        </is>
      </c>
      <c r="B3546" t="n">
        <v>2</v>
      </c>
      <c r="C3546" t="n">
        <v>2010</v>
      </c>
      <c r="D3546" t="n">
        <v>2011</v>
      </c>
      <c r="E3546" t="inlineStr">
        <is>
          <t>Grown Ups, Just Go with It</t>
        </is>
      </c>
      <c r="F3546" t="inlineStr">
        <is>
          <t>F0131, F0183</t>
        </is>
      </c>
    </row>
    <row r="3547">
      <c r="A3547" t="inlineStr">
        <is>
          <t>Tim Herlihy</t>
        </is>
      </c>
      <c r="B3547" t="n">
        <v>1</v>
      </c>
      <c r="C3547" t="n">
        <v>2010</v>
      </c>
      <c r="D3547" t="n">
        <v>2010</v>
      </c>
      <c r="E3547" t="inlineStr">
        <is>
          <t>Grown Ups</t>
        </is>
      </c>
      <c r="F3547" t="inlineStr">
        <is>
          <t>F0131</t>
        </is>
      </c>
    </row>
    <row r="3548">
      <c r="A3548" t="inlineStr">
        <is>
          <t>Blake Clark</t>
        </is>
      </c>
      <c r="B3548" t="n">
        <v>3</v>
      </c>
      <c r="C3548" t="n">
        <v>2010</v>
      </c>
      <c r="D3548" t="n">
        <v>2019</v>
      </c>
      <c r="E3548" t="inlineStr">
        <is>
          <t>Grown Ups, Toy Story 3, Toy Story 4</t>
        </is>
      </c>
      <c r="F3548" t="inlineStr">
        <is>
          <t>F0131, F0314, F0315</t>
        </is>
      </c>
    </row>
    <row r="3549">
      <c r="A3549" t="inlineStr">
        <is>
          <t>Norm Macdonald</t>
        </is>
      </c>
      <c r="B3549" t="n">
        <v>1</v>
      </c>
      <c r="C3549" t="n">
        <v>2010</v>
      </c>
      <c r="D3549" t="n">
        <v>2010</v>
      </c>
      <c r="E3549" t="inlineStr">
        <is>
          <t>Grown Ups</t>
        </is>
      </c>
      <c r="F3549" t="inlineStr">
        <is>
          <t>F0131</t>
        </is>
      </c>
    </row>
    <row r="3550">
      <c r="A3550" t="inlineStr">
        <is>
          <t>Jonathan Loughran</t>
        </is>
      </c>
      <c r="B3550" t="n">
        <v>2</v>
      </c>
      <c r="C3550" t="n">
        <v>2010</v>
      </c>
      <c r="D3550" t="n">
        <v>2011</v>
      </c>
      <c r="E3550" t="inlineStr">
        <is>
          <t>Grown Ups, Just Go with It</t>
        </is>
      </c>
      <c r="F3550" t="inlineStr">
        <is>
          <t>F0131, F0183</t>
        </is>
      </c>
    </row>
    <row r="3551">
      <c r="A3551" t="inlineStr">
        <is>
          <t>Shaquille O'Neal</t>
        </is>
      </c>
      <c r="B3551" t="n">
        <v>2</v>
      </c>
      <c r="C3551" t="n">
        <v>2013</v>
      </c>
      <c r="D3551" t="n">
        <v>2014</v>
      </c>
      <c r="E3551" t="inlineStr">
        <is>
          <t>Grown Ups 2, The Lego Movie</t>
        </is>
      </c>
      <c r="F3551" t="inlineStr">
        <is>
          <t>F0132, F0195</t>
        </is>
      </c>
    </row>
    <row r="3552">
      <c r="A3552" t="inlineStr">
        <is>
          <t>Jon Lovitz</t>
        </is>
      </c>
      <c r="B3552" t="n">
        <v>1</v>
      </c>
      <c r="C3552" t="n">
        <v>2013</v>
      </c>
      <c r="D3552" t="n">
        <v>2013</v>
      </c>
      <c r="E3552" t="inlineStr">
        <is>
          <t>Grown Ups 2</t>
        </is>
      </c>
      <c r="F3552" t="inlineStr">
        <is>
          <t>F0132</t>
        </is>
      </c>
    </row>
    <row r="3553">
      <c r="A3553" t="inlineStr">
        <is>
          <t>Georgia Engel</t>
        </is>
      </c>
      <c r="B3553" t="n">
        <v>1</v>
      </c>
      <c r="C3553" t="n">
        <v>2013</v>
      </c>
      <c r="D3553" t="n">
        <v>2013</v>
      </c>
      <c r="E3553" t="inlineStr">
        <is>
          <t>Grown Ups 2</t>
        </is>
      </c>
      <c r="F3553" t="inlineStr">
        <is>
          <t>F0132</t>
        </is>
      </c>
    </row>
    <row r="3554">
      <c r="A3554" t="inlineStr">
        <is>
          <t>Alexander Ludwig</t>
        </is>
      </c>
      <c r="B3554" t="n">
        <v>3</v>
      </c>
      <c r="C3554" t="n">
        <v>2012</v>
      </c>
      <c r="D3554" t="n">
        <v>2013</v>
      </c>
      <c r="E3554" t="inlineStr">
        <is>
          <t>Grown Ups 2, The Hunger Games, Lone Survivor</t>
        </is>
      </c>
      <c r="F3554" t="inlineStr">
        <is>
          <t>F0132, F0157, F0202</t>
        </is>
      </c>
    </row>
    <row r="3555">
      <c r="A3555" t="inlineStr">
        <is>
          <t>Peter Dante</t>
        </is>
      </c>
      <c r="B3555" t="n">
        <v>2</v>
      </c>
      <c r="C3555" t="n">
        <v>2011</v>
      </c>
      <c r="D3555" t="n">
        <v>2013</v>
      </c>
      <c r="E3555" t="inlineStr">
        <is>
          <t>Grown Ups 2, Just Go with It</t>
        </is>
      </c>
      <c r="F3555" t="inlineStr">
        <is>
          <t>F0132, F0183</t>
        </is>
      </c>
    </row>
    <row r="3556">
      <c r="A3556" t="inlineStr">
        <is>
          <t>Oliver Hudson</t>
        </is>
      </c>
      <c r="B3556" t="n">
        <v>1</v>
      </c>
      <c r="C3556" t="n">
        <v>2013</v>
      </c>
      <c r="D3556" t="n">
        <v>2013</v>
      </c>
      <c r="E3556" t="inlineStr">
        <is>
          <t>Grown Ups 2</t>
        </is>
      </c>
      <c r="F3556" t="inlineStr">
        <is>
          <t>F0132</t>
        </is>
      </c>
    </row>
    <row r="3557">
      <c r="A3557" t="inlineStr">
        <is>
          <t>Allen Covert</t>
        </is>
      </c>
      <c r="B3557" t="n">
        <v>2</v>
      </c>
      <c r="C3557" t="n">
        <v>2011</v>
      </c>
      <c r="D3557" t="n">
        <v>2013</v>
      </c>
      <c r="E3557" t="inlineStr">
        <is>
          <t>Grown Ups 2, Just Go with It</t>
        </is>
      </c>
      <c r="F3557" t="inlineStr">
        <is>
          <t>F0132, F0183</t>
        </is>
      </c>
    </row>
    <row r="3558">
      <c r="A3558" t="inlineStr">
        <is>
          <t>Milo Ventimiglia</t>
        </is>
      </c>
      <c r="B3558" t="n">
        <v>1</v>
      </c>
      <c r="C3558" t="n">
        <v>2013</v>
      </c>
      <c r="D3558" t="n">
        <v>2013</v>
      </c>
      <c r="E3558" t="inlineStr">
        <is>
          <t>Grown Ups 2</t>
        </is>
      </c>
      <c r="F3558" t="inlineStr">
        <is>
          <t>F0132</t>
        </is>
      </c>
    </row>
    <row r="3559">
      <c r="A3559" t="inlineStr">
        <is>
          <t>Kaleo Elam</t>
        </is>
      </c>
      <c r="B3559" t="n">
        <v>1</v>
      </c>
      <c r="C3559" t="n">
        <v>2013</v>
      </c>
      <c r="D3559" t="n">
        <v>2013</v>
      </c>
      <c r="E3559" t="inlineStr">
        <is>
          <t>Grown Ups 2</t>
        </is>
      </c>
      <c r="F3559" t="inlineStr">
        <is>
          <t>F0132</t>
        </is>
      </c>
    </row>
    <row r="3560">
      <c r="A3560" t="inlineStr">
        <is>
          <t>Cheri Oteri</t>
        </is>
      </c>
      <c r="B3560" t="n">
        <v>1</v>
      </c>
      <c r="C3560" t="n">
        <v>2013</v>
      </c>
      <c r="D3560" t="n">
        <v>2013</v>
      </c>
      <c r="E3560" t="inlineStr">
        <is>
          <t>Grown Ups 2</t>
        </is>
      </c>
      <c r="F3560" t="inlineStr">
        <is>
          <t>F0132</t>
        </is>
      </c>
    </row>
    <row r="3561">
      <c r="A3561" t="inlineStr">
        <is>
          <t>Rachel Griffiths</t>
        </is>
      </c>
      <c r="B3561" t="n">
        <v>1</v>
      </c>
      <c r="C3561" t="n">
        <v>2016</v>
      </c>
      <c r="D3561" t="n">
        <v>2016</v>
      </c>
      <c r="E3561" t="inlineStr">
        <is>
          <t>Hacksaw Ridge</t>
        </is>
      </c>
      <c r="F3561" t="inlineStr">
        <is>
          <t>F0133</t>
        </is>
      </c>
    </row>
    <row r="3562">
      <c r="A3562" t="inlineStr">
        <is>
          <t>Ryan Corr</t>
        </is>
      </c>
      <c r="B3562" t="n">
        <v>1</v>
      </c>
      <c r="C3562" t="n">
        <v>2016</v>
      </c>
      <c r="D3562" t="n">
        <v>2016</v>
      </c>
      <c r="E3562" t="inlineStr">
        <is>
          <t>Hacksaw Ridge</t>
        </is>
      </c>
      <c r="F3562" t="inlineStr">
        <is>
          <t>F0133</t>
        </is>
      </c>
    </row>
    <row r="3563">
      <c r="A3563" t="inlineStr">
        <is>
          <t>Goran D. Kleut</t>
        </is>
      </c>
      <c r="B3563" t="n">
        <v>2</v>
      </c>
      <c r="C3563" t="n">
        <v>2014</v>
      </c>
      <c r="D3563" t="n">
        <v>2016</v>
      </c>
      <c r="E3563" t="inlineStr">
        <is>
          <t>Hacksaw Ridge, I, Frankenstein</t>
        </is>
      </c>
      <c r="F3563" t="inlineStr">
        <is>
          <t>F0133, F0159</t>
        </is>
      </c>
    </row>
    <row r="3564">
      <c r="A3564" t="inlineStr">
        <is>
          <t>Luke Pegler</t>
        </is>
      </c>
      <c r="B3564" t="n">
        <v>1</v>
      </c>
      <c r="C3564" t="n">
        <v>2016</v>
      </c>
      <c r="D3564" t="n">
        <v>2016</v>
      </c>
      <c r="E3564" t="inlineStr">
        <is>
          <t>Hacksaw Ridge</t>
        </is>
      </c>
      <c r="F3564" t="inlineStr">
        <is>
          <t>F0133</t>
        </is>
      </c>
    </row>
    <row r="3565">
      <c r="A3565" t="inlineStr">
        <is>
          <t>Firass Dirani</t>
        </is>
      </c>
      <c r="B3565" t="n">
        <v>1</v>
      </c>
      <c r="C3565" t="n">
        <v>2016</v>
      </c>
      <c r="D3565" t="n">
        <v>2016</v>
      </c>
      <c r="E3565" t="inlineStr">
        <is>
          <t>Hacksaw Ridge</t>
        </is>
      </c>
      <c r="F3565" t="inlineStr">
        <is>
          <t>F0133</t>
        </is>
      </c>
    </row>
    <row r="3566">
      <c r="A3566" t="inlineStr">
        <is>
          <t>Michael Sheasby</t>
        </is>
      </c>
      <c r="B3566" t="n">
        <v>1</v>
      </c>
      <c r="C3566" t="n">
        <v>2016</v>
      </c>
      <c r="D3566" t="n">
        <v>2016</v>
      </c>
      <c r="E3566" t="inlineStr">
        <is>
          <t>Hacksaw Ridge</t>
        </is>
      </c>
      <c r="F3566" t="inlineStr">
        <is>
          <t>F0133</t>
        </is>
      </c>
    </row>
    <row r="3567">
      <c r="A3567" t="inlineStr">
        <is>
          <t>Nathaniel Buzolic</t>
        </is>
      </c>
      <c r="B3567" t="n">
        <v>1</v>
      </c>
      <c r="C3567" t="n">
        <v>2016</v>
      </c>
      <c r="D3567" t="n">
        <v>2016</v>
      </c>
      <c r="E3567" t="inlineStr">
        <is>
          <t>Hacksaw Ridge</t>
        </is>
      </c>
      <c r="F3567" t="inlineStr">
        <is>
          <t>F0133</t>
        </is>
      </c>
    </row>
    <row r="3568">
      <c r="A3568" t="inlineStr">
        <is>
          <t>Ori Pfeffer</t>
        </is>
      </c>
      <c r="B3568" t="n">
        <v>2</v>
      </c>
      <c r="C3568" t="n">
        <v>2016</v>
      </c>
      <c r="D3568" t="n">
        <v>2017</v>
      </c>
      <c r="E3568" t="inlineStr">
        <is>
          <t>Hacksaw Ridge, The Hitman's Bodyguard</t>
        </is>
      </c>
      <c r="F3568" t="inlineStr">
        <is>
          <t>F0133, F0149</t>
        </is>
      </c>
    </row>
    <row r="3569">
      <c r="A3569" t="inlineStr">
        <is>
          <t>Jacob Warner</t>
        </is>
      </c>
      <c r="B3569" t="n">
        <v>1</v>
      </c>
      <c r="C3569" t="n">
        <v>2016</v>
      </c>
      <c r="D3569" t="n">
        <v>2016</v>
      </c>
      <c r="E3569" t="inlineStr">
        <is>
          <t>Hacksaw Ridge</t>
        </is>
      </c>
      <c r="F3569" t="inlineStr">
        <is>
          <t>F0133</t>
        </is>
      </c>
    </row>
    <row r="3570">
      <c r="A3570" t="inlineStr">
        <is>
          <t>Richard Pyros</t>
        </is>
      </c>
      <c r="B3570" t="n">
        <v>1</v>
      </c>
      <c r="C3570" t="n">
        <v>2016</v>
      </c>
      <c r="D3570" t="n">
        <v>2016</v>
      </c>
      <c r="E3570" t="inlineStr">
        <is>
          <t>Hacksaw Ridge</t>
        </is>
      </c>
      <c r="F3570" t="inlineStr">
        <is>
          <t>F0133</t>
        </is>
      </c>
    </row>
    <row r="3571">
      <c r="A3571" t="inlineStr">
        <is>
          <t>Ben Mingay</t>
        </is>
      </c>
      <c r="B3571" t="n">
        <v>1</v>
      </c>
      <c r="C3571" t="n">
        <v>2016</v>
      </c>
      <c r="D3571" t="n">
        <v>2016</v>
      </c>
      <c r="E3571" t="inlineStr">
        <is>
          <t>Hacksaw Ridge</t>
        </is>
      </c>
      <c r="F3571" t="inlineStr">
        <is>
          <t>F0133</t>
        </is>
      </c>
    </row>
    <row r="3572">
      <c r="A3572" t="inlineStr">
        <is>
          <t>Harry Greenwood</t>
        </is>
      </c>
      <c r="B3572" t="n">
        <v>1</v>
      </c>
      <c r="C3572" t="n">
        <v>2016</v>
      </c>
      <c r="D3572" t="n">
        <v>2016</v>
      </c>
      <c r="E3572" t="inlineStr">
        <is>
          <t>Hacksaw Ridge</t>
        </is>
      </c>
      <c r="F3572" t="inlineStr">
        <is>
          <t>F0133</t>
        </is>
      </c>
    </row>
    <row r="3573">
      <c r="A3573" t="inlineStr">
        <is>
          <t>Damien Thomlinson</t>
        </is>
      </c>
      <c r="B3573" t="n">
        <v>1</v>
      </c>
      <c r="C3573" t="n">
        <v>2016</v>
      </c>
      <c r="D3573" t="n">
        <v>2016</v>
      </c>
      <c r="E3573" t="inlineStr">
        <is>
          <t>Hacksaw Ridge</t>
        </is>
      </c>
      <c r="F3573" t="inlineStr">
        <is>
          <t>F0133</t>
        </is>
      </c>
    </row>
    <row r="3574">
      <c r="A3574" t="inlineStr">
        <is>
          <t>Robert Morgan</t>
        </is>
      </c>
      <c r="B3574" t="n">
        <v>1</v>
      </c>
      <c r="C3574" t="n">
        <v>2016</v>
      </c>
      <c r="D3574" t="n">
        <v>2016</v>
      </c>
      <c r="E3574" t="inlineStr">
        <is>
          <t>Hacksaw Ridge</t>
        </is>
      </c>
      <c r="F3574" t="inlineStr">
        <is>
          <t>F0133</t>
        </is>
      </c>
    </row>
    <row r="3575">
      <c r="A3575" t="inlineStr">
        <is>
          <t>Milo Gibson</t>
        </is>
      </c>
      <c r="B3575" t="n">
        <v>1</v>
      </c>
      <c r="C3575" t="n">
        <v>2016</v>
      </c>
      <c r="D3575" t="n">
        <v>2016</v>
      </c>
      <c r="E3575" t="inlineStr">
        <is>
          <t>Hacksaw Ridge</t>
        </is>
      </c>
      <c r="F3575" t="inlineStr">
        <is>
          <t>F0133</t>
        </is>
      </c>
    </row>
    <row r="3576">
      <c r="A3576" t="inlineStr">
        <is>
          <t>John Batziolas</t>
        </is>
      </c>
      <c r="B3576" t="n">
        <v>1</v>
      </c>
      <c r="C3576" t="n">
        <v>2016</v>
      </c>
      <c r="D3576" t="n">
        <v>2016</v>
      </c>
      <c r="E3576" t="inlineStr">
        <is>
          <t>Hacksaw Ridge</t>
        </is>
      </c>
      <c r="F3576" t="inlineStr">
        <is>
          <t>F0133</t>
        </is>
      </c>
    </row>
    <row r="3577">
      <c r="A3577" t="inlineStr">
        <is>
          <t>Charles Jacobs</t>
        </is>
      </c>
      <c r="B3577" t="n">
        <v>1</v>
      </c>
      <c r="C3577" t="n">
        <v>2016</v>
      </c>
      <c r="D3577" t="n">
        <v>2016</v>
      </c>
      <c r="E3577" t="inlineStr">
        <is>
          <t>Hacksaw Ridge</t>
        </is>
      </c>
      <c r="F3577" t="inlineStr">
        <is>
          <t>F0133</t>
        </is>
      </c>
    </row>
    <row r="3578">
      <c r="A3578" t="inlineStr">
        <is>
          <t>Ben O'Toole</t>
        </is>
      </c>
      <c r="B3578" t="n">
        <v>1</v>
      </c>
      <c r="C3578" t="n">
        <v>2016</v>
      </c>
      <c r="D3578" t="n">
        <v>2016</v>
      </c>
      <c r="E3578" t="inlineStr">
        <is>
          <t>Hacksaw Ridge</t>
        </is>
      </c>
      <c r="F3578" t="inlineStr">
        <is>
          <t>F0133</t>
        </is>
      </c>
    </row>
    <row r="3579">
      <c r="A3579" t="inlineStr">
        <is>
          <t>James Lugton</t>
        </is>
      </c>
      <c r="B3579" t="n">
        <v>1</v>
      </c>
      <c r="C3579" t="n">
        <v>2016</v>
      </c>
      <c r="D3579" t="n">
        <v>2016</v>
      </c>
      <c r="E3579" t="inlineStr">
        <is>
          <t>Hacksaw Ridge</t>
        </is>
      </c>
      <c r="F3579" t="inlineStr">
        <is>
          <t>F0133</t>
        </is>
      </c>
    </row>
    <row r="3580">
      <c r="A3580" t="inlineStr">
        <is>
          <t>Kasia Stelmach</t>
        </is>
      </c>
      <c r="B3580" t="n">
        <v>1</v>
      </c>
      <c r="C3580" t="n">
        <v>2016</v>
      </c>
      <c r="D3580" t="n">
        <v>2016</v>
      </c>
      <c r="E3580" t="inlineStr">
        <is>
          <t>Hacksaw Ridge</t>
        </is>
      </c>
      <c r="F3580" t="inlineStr">
        <is>
          <t>F0133</t>
        </is>
      </c>
    </row>
    <row r="3581">
      <c r="A3581" t="inlineStr">
        <is>
          <t>Tim McGarry</t>
        </is>
      </c>
      <c r="B3581" t="n">
        <v>1</v>
      </c>
      <c r="C3581" t="n">
        <v>2016</v>
      </c>
      <c r="D3581" t="n">
        <v>2016</v>
      </c>
      <c r="E3581" t="inlineStr">
        <is>
          <t>Hacksaw Ridge</t>
        </is>
      </c>
      <c r="F3581" t="inlineStr">
        <is>
          <t>F0133</t>
        </is>
      </c>
    </row>
    <row r="3582">
      <c r="A3582" t="inlineStr">
        <is>
          <t>Tyler Coppin</t>
        </is>
      </c>
      <c r="B3582" t="n">
        <v>1</v>
      </c>
      <c r="C3582" t="n">
        <v>2016</v>
      </c>
      <c r="D3582" t="n">
        <v>2016</v>
      </c>
      <c r="E3582" t="inlineStr">
        <is>
          <t>Hacksaw Ridge</t>
        </is>
      </c>
      <c r="F3582" t="inlineStr">
        <is>
          <t>F0133</t>
        </is>
      </c>
    </row>
    <row r="3583">
      <c r="A3583" t="inlineStr">
        <is>
          <t>Sasha Barrese</t>
        </is>
      </c>
      <c r="B3583" t="n">
        <v>3</v>
      </c>
      <c r="C3583" t="n">
        <v>2009</v>
      </c>
      <c r="D3583" t="n">
        <v>2013</v>
      </c>
      <c r="E3583" t="inlineStr">
        <is>
          <t>The Hangover, The Hangover Part II, The Hangover Part III</t>
        </is>
      </c>
      <c r="F3583" t="inlineStr">
        <is>
          <t>F0134, F0135, F0136</t>
        </is>
      </c>
    </row>
    <row r="3584">
      <c r="A3584" t="inlineStr">
        <is>
          <t>Rachael Harris</t>
        </is>
      </c>
      <c r="B3584" t="n">
        <v>2</v>
      </c>
      <c r="C3584" t="n">
        <v>2009</v>
      </c>
      <c r="D3584" t="n">
        <v>2012</v>
      </c>
      <c r="E3584" t="inlineStr">
        <is>
          <t>The Hangover, Wreck-It Ralph</t>
        </is>
      </c>
      <c r="F3584" t="inlineStr">
        <is>
          <t>F0134, F0336</t>
        </is>
      </c>
    </row>
    <row r="3585">
      <c r="A3585" t="inlineStr">
        <is>
          <t>Mike Tyson</t>
        </is>
      </c>
      <c r="B3585" t="n">
        <v>2</v>
      </c>
      <c r="C3585" t="n">
        <v>2009</v>
      </c>
      <c r="D3585" t="n">
        <v>2011</v>
      </c>
      <c r="E3585" t="inlineStr">
        <is>
          <t>The Hangover, The Hangover Part II</t>
        </is>
      </c>
      <c r="F3585" t="inlineStr">
        <is>
          <t>F0134, F0135</t>
        </is>
      </c>
    </row>
    <row r="3586">
      <c r="A3586" t="inlineStr">
        <is>
          <t>Mike Epps</t>
        </is>
      </c>
      <c r="B3586" t="n">
        <v>2</v>
      </c>
      <c r="C3586" t="n">
        <v>2009</v>
      </c>
      <c r="D3586" t="n">
        <v>2013</v>
      </c>
      <c r="E3586" t="inlineStr">
        <is>
          <t>The Hangover, The Hangover Part III</t>
        </is>
      </c>
      <c r="F3586" t="inlineStr">
        <is>
          <t>F0134, F0136</t>
        </is>
      </c>
    </row>
    <row r="3587">
      <c r="A3587" t="inlineStr">
        <is>
          <t>Jernard Burks</t>
        </is>
      </c>
      <c r="B3587" t="n">
        <v>1</v>
      </c>
      <c r="C3587" t="n">
        <v>2009</v>
      </c>
      <c r="D3587" t="n">
        <v>2009</v>
      </c>
      <c r="E3587" t="inlineStr">
        <is>
          <t>The Hangover</t>
        </is>
      </c>
      <c r="F3587" t="inlineStr">
        <is>
          <t>F0134</t>
        </is>
      </c>
    </row>
    <row r="3588">
      <c r="A3588" t="inlineStr">
        <is>
          <t>Cleo King</t>
        </is>
      </c>
      <c r="B3588" t="n">
        <v>3</v>
      </c>
      <c r="C3588" t="n">
        <v>2008</v>
      </c>
      <c r="D3588" t="n">
        <v>2014</v>
      </c>
      <c r="E3588" t="inlineStr">
        <is>
          <t>The Hangover, Pineapple Express, Transformers: Age of Extinction</t>
        </is>
      </c>
      <c r="F3588" t="inlineStr">
        <is>
          <t>F0134, F0247, F0319</t>
        </is>
      </c>
    </row>
    <row r="3589">
      <c r="A3589" t="inlineStr">
        <is>
          <t>Bryan Callen</t>
        </is>
      </c>
      <c r="B3589" t="n">
        <v>3</v>
      </c>
      <c r="C3589" t="n">
        <v>2009</v>
      </c>
      <c r="D3589" t="n">
        <v>2011</v>
      </c>
      <c r="E3589" t="inlineStr">
        <is>
          <t>The Hangover, The Hangover Part II, Warrior</t>
        </is>
      </c>
      <c r="F3589" t="inlineStr">
        <is>
          <t>F0134, F0135, F0333</t>
        </is>
      </c>
    </row>
    <row r="3590">
      <c r="A3590" t="inlineStr">
        <is>
          <t>Michael Li</t>
        </is>
      </c>
      <c r="B3590" t="n">
        <v>1</v>
      </c>
      <c r="C3590" t="n">
        <v>2009</v>
      </c>
      <c r="D3590" t="n">
        <v>2009</v>
      </c>
      <c r="E3590" t="inlineStr">
        <is>
          <t>The Hangover</t>
        </is>
      </c>
      <c r="F3590" t="inlineStr">
        <is>
          <t>F0134</t>
        </is>
      </c>
    </row>
    <row r="3591">
      <c r="A3591" t="inlineStr">
        <is>
          <t>Sondra Currie</t>
        </is>
      </c>
      <c r="B3591" t="n">
        <v>3</v>
      </c>
      <c r="C3591" t="n">
        <v>2009</v>
      </c>
      <c r="D3591" t="n">
        <v>2013</v>
      </c>
      <c r="E3591" t="inlineStr">
        <is>
          <t>The Hangover, The Hangover Part II, The Hangover Part III</t>
        </is>
      </c>
      <c r="F3591" t="inlineStr">
        <is>
          <t>F0134, F0135, F0136</t>
        </is>
      </c>
    </row>
    <row r="3592">
      <c r="A3592" t="inlineStr">
        <is>
          <t>Gillian Vigman</t>
        </is>
      </c>
      <c r="B3592" t="n">
        <v>3</v>
      </c>
      <c r="C3592" t="n">
        <v>2009</v>
      </c>
      <c r="D3592" t="n">
        <v>2013</v>
      </c>
      <c r="E3592" t="inlineStr">
        <is>
          <t>The Hangover, The Hangover Part II, The Hangover Part III</t>
        </is>
      </c>
      <c r="F3592" t="inlineStr">
        <is>
          <t>F0134, F0135, F0136</t>
        </is>
      </c>
    </row>
    <row r="3593">
      <c r="A3593" t="inlineStr">
        <is>
          <t>Chuck Pacheco</t>
        </is>
      </c>
      <c r="B3593" t="n">
        <v>2</v>
      </c>
      <c r="C3593" t="n">
        <v>2004</v>
      </c>
      <c r="D3593" t="n">
        <v>2009</v>
      </c>
      <c r="E3593" t="inlineStr">
        <is>
          <t>The Hangover, The Notebook</t>
        </is>
      </c>
      <c r="F3593" t="inlineStr">
        <is>
          <t>F0134, F0237</t>
        </is>
      </c>
    </row>
    <row r="3594">
      <c r="A3594" t="inlineStr">
        <is>
          <t>Jesse Erwin</t>
        </is>
      </c>
      <c r="B3594" t="n">
        <v>1</v>
      </c>
      <c r="C3594" t="n">
        <v>2009</v>
      </c>
      <c r="D3594" t="n">
        <v>2009</v>
      </c>
      <c r="E3594" t="inlineStr">
        <is>
          <t>The Hangover</t>
        </is>
      </c>
      <c r="F3594" t="inlineStr">
        <is>
          <t>F0134</t>
        </is>
      </c>
    </row>
    <row r="3595">
      <c r="A3595" t="inlineStr">
        <is>
          <t>Dan Finnerty</t>
        </is>
      </c>
      <c r="B3595" t="n">
        <v>1</v>
      </c>
      <c r="C3595" t="n">
        <v>2009</v>
      </c>
      <c r="D3595" t="n">
        <v>2009</v>
      </c>
      <c r="E3595" t="inlineStr">
        <is>
          <t>The Hangover</t>
        </is>
      </c>
      <c r="F3595" t="inlineStr">
        <is>
          <t>F0134</t>
        </is>
      </c>
    </row>
    <row r="3596">
      <c r="A3596" t="inlineStr">
        <is>
          <t>Keith Lyle</t>
        </is>
      </c>
      <c r="B3596" t="n">
        <v>1</v>
      </c>
      <c r="C3596" t="n">
        <v>2009</v>
      </c>
      <c r="D3596" t="n">
        <v>2009</v>
      </c>
      <c r="E3596" t="inlineStr">
        <is>
          <t>The Hangover</t>
        </is>
      </c>
      <c r="F3596" t="inlineStr">
        <is>
          <t>F0134</t>
        </is>
      </c>
    </row>
    <row r="3597">
      <c r="A3597" t="inlineStr">
        <is>
          <t>Mike Vallely</t>
        </is>
      </c>
      <c r="B3597" t="n">
        <v>2</v>
      </c>
      <c r="C3597" t="n">
        <v>2009</v>
      </c>
      <c r="D3597" t="n">
        <v>2013</v>
      </c>
      <c r="E3597" t="inlineStr">
        <is>
          <t>The Hangover, The Hangover Part III</t>
        </is>
      </c>
      <c r="F3597" t="inlineStr">
        <is>
          <t>F0134, F0136</t>
        </is>
      </c>
    </row>
    <row r="3598">
      <c r="A3598" t="inlineStr">
        <is>
          <t>James Martin Kelly</t>
        </is>
      </c>
      <c r="B3598" t="n">
        <v>3</v>
      </c>
      <c r="C3598" t="n">
        <v>2009</v>
      </c>
      <c r="D3598" t="n">
        <v>2012</v>
      </c>
      <c r="E3598" t="inlineStr">
        <is>
          <t>The Hangover, Jack Reacher, Magic Mike</t>
        </is>
      </c>
      <c r="F3598" t="inlineStr">
        <is>
          <t>F0134, F0171, F0206</t>
        </is>
      </c>
    </row>
    <row r="3599">
      <c r="A3599" t="inlineStr">
        <is>
          <t>Murray Gershenz</t>
        </is>
      </c>
      <c r="B3599" t="n">
        <v>1</v>
      </c>
      <c r="C3599" t="n">
        <v>2009</v>
      </c>
      <c r="D3599" t="n">
        <v>2009</v>
      </c>
      <c r="E3599" t="inlineStr">
        <is>
          <t>The Hangover</t>
        </is>
      </c>
      <c r="F3599" t="inlineStr">
        <is>
          <t>F0134</t>
        </is>
      </c>
    </row>
    <row r="3600">
      <c r="A3600" t="inlineStr">
        <is>
          <t>Mason Lee</t>
        </is>
      </c>
      <c r="B3600" t="n">
        <v>1</v>
      </c>
      <c r="C3600" t="n">
        <v>2011</v>
      </c>
      <c r="D3600" t="n">
        <v>2011</v>
      </c>
      <c r="E3600" t="inlineStr">
        <is>
          <t>The Hangover Part II</t>
        </is>
      </c>
      <c r="F3600" t="inlineStr">
        <is>
          <t>F0135</t>
        </is>
      </c>
    </row>
    <row r="3601">
      <c r="A3601" t="inlineStr">
        <is>
          <t>Paul Giamatti</t>
        </is>
      </c>
      <c r="B3601" t="n">
        <v>2</v>
      </c>
      <c r="C3601" t="n">
        <v>2011</v>
      </c>
      <c r="D3601" t="n">
        <v>2015</v>
      </c>
      <c r="E3601" t="inlineStr">
        <is>
          <t>The Hangover Part II, Straight Outta Compton</t>
        </is>
      </c>
      <c r="F3601" t="inlineStr">
        <is>
          <t>F0135, F0301</t>
        </is>
      </c>
    </row>
    <row r="3602">
      <c r="A3602" t="inlineStr">
        <is>
          <t>Aroon Seeboonruang</t>
        </is>
      </c>
      <c r="B3602" t="n">
        <v>1</v>
      </c>
      <c r="C3602" t="n">
        <v>2011</v>
      </c>
      <c r="D3602" t="n">
        <v>2011</v>
      </c>
      <c r="E3602" t="inlineStr">
        <is>
          <t>The Hangover Part II</t>
        </is>
      </c>
      <c r="F3602" t="inlineStr">
        <is>
          <t>F0135</t>
        </is>
      </c>
    </row>
    <row r="3603">
      <c r="A3603" t="inlineStr">
        <is>
          <t>Nirut Sirijanya</t>
        </is>
      </c>
      <c r="B3603" t="n">
        <v>1</v>
      </c>
      <c r="C3603" t="n">
        <v>2011</v>
      </c>
      <c r="D3603" t="n">
        <v>2011</v>
      </c>
      <c r="E3603" t="inlineStr">
        <is>
          <t>The Hangover Part II</t>
        </is>
      </c>
      <c r="F3603" t="inlineStr">
        <is>
          <t>F0135</t>
        </is>
      </c>
    </row>
    <row r="3604">
      <c r="A3604" t="inlineStr">
        <is>
          <t>Yasmine Lee</t>
        </is>
      </c>
      <c r="B3604" t="n">
        <v>1</v>
      </c>
      <c r="C3604" t="n">
        <v>2011</v>
      </c>
      <c r="D3604" t="n">
        <v>2011</v>
      </c>
      <c r="E3604" t="inlineStr">
        <is>
          <t>The Hangover Part II</t>
        </is>
      </c>
      <c r="F3604" t="inlineStr">
        <is>
          <t>F0135</t>
        </is>
      </c>
    </row>
    <row r="3605">
      <c r="A3605" t="inlineStr">
        <is>
          <t>Nick Cassavetes</t>
        </is>
      </c>
      <c r="B3605" t="n">
        <v>1</v>
      </c>
      <c r="C3605" t="n">
        <v>2011</v>
      </c>
      <c r="D3605" t="n">
        <v>2011</v>
      </c>
      <c r="E3605" t="inlineStr">
        <is>
          <t>The Hangover Part II</t>
        </is>
      </c>
      <c r="F3605" t="inlineStr">
        <is>
          <t>F0135</t>
        </is>
      </c>
    </row>
    <row r="3606">
      <c r="A3606" t="inlineStr">
        <is>
          <t>Byron Gibson</t>
        </is>
      </c>
      <c r="B3606" t="n">
        <v>1</v>
      </c>
      <c r="C3606" t="n">
        <v>2011</v>
      </c>
      <c r="D3606" t="n">
        <v>2011</v>
      </c>
      <c r="E3606" t="inlineStr">
        <is>
          <t>The Hangover Part II</t>
        </is>
      </c>
      <c r="F3606" t="inlineStr">
        <is>
          <t>F0135</t>
        </is>
      </c>
    </row>
    <row r="3607">
      <c r="A3607" t="inlineStr">
        <is>
          <t>Michael Berry Jr.</t>
        </is>
      </c>
      <c r="B3607" t="n">
        <v>2</v>
      </c>
      <c r="C3607" t="n">
        <v>2006</v>
      </c>
      <c r="D3607" t="n">
        <v>2011</v>
      </c>
      <c r="E3607" t="inlineStr">
        <is>
          <t>The Hangover Part II, Mission: Impossible III</t>
        </is>
      </c>
      <c r="F3607" t="inlineStr">
        <is>
          <t>F0135, F0223</t>
        </is>
      </c>
    </row>
    <row r="3608">
      <c r="A3608" t="inlineStr">
        <is>
          <t>Andrew Howard</t>
        </is>
      </c>
      <c r="B3608" t="n">
        <v>2</v>
      </c>
      <c r="C3608" t="n">
        <v>2009</v>
      </c>
      <c r="D3608" t="n">
        <v>2011</v>
      </c>
      <c r="E3608" t="inlineStr">
        <is>
          <t>The Hangover Part II, Transformers: Revenge of the Fallen</t>
        </is>
      </c>
      <c r="F3608" t="inlineStr">
        <is>
          <t>F0135, F0317</t>
        </is>
      </c>
    </row>
    <row r="3609">
      <c r="A3609" t="inlineStr">
        <is>
          <t>Danai Thiengdham</t>
        </is>
      </c>
      <c r="B3609" t="n">
        <v>1</v>
      </c>
      <c r="C3609" t="n">
        <v>2011</v>
      </c>
      <c r="D3609" t="n">
        <v>2011</v>
      </c>
      <c r="E3609" t="inlineStr">
        <is>
          <t>The Hangover Part II</t>
        </is>
      </c>
      <c r="F3609" t="inlineStr">
        <is>
          <t>F0135</t>
        </is>
      </c>
    </row>
    <row r="3610">
      <c r="A3610" t="inlineStr">
        <is>
          <t>Thana Srisuke</t>
        </is>
      </c>
      <c r="B3610" t="n">
        <v>1</v>
      </c>
      <c r="C3610" t="n">
        <v>2011</v>
      </c>
      <c r="D3610" t="n">
        <v>2011</v>
      </c>
      <c r="E3610" t="inlineStr">
        <is>
          <t>The Hangover Part II</t>
        </is>
      </c>
      <c r="F3610" t="inlineStr">
        <is>
          <t>F0135</t>
        </is>
      </c>
    </row>
    <row r="3611">
      <c r="A3611" t="inlineStr">
        <is>
          <t>Pairot Noiply</t>
        </is>
      </c>
      <c r="B3611" t="n">
        <v>1</v>
      </c>
      <c r="C3611" t="n">
        <v>2011</v>
      </c>
      <c r="D3611" t="n">
        <v>2011</v>
      </c>
      <c r="E3611" t="inlineStr">
        <is>
          <t>The Hangover Part II</t>
        </is>
      </c>
      <c r="F3611" t="inlineStr">
        <is>
          <t>F0135</t>
        </is>
      </c>
    </row>
    <row r="3612">
      <c r="A3612" t="inlineStr">
        <is>
          <t>Penpak Sirikul</t>
        </is>
      </c>
      <c r="B3612" t="n">
        <v>1</v>
      </c>
      <c r="C3612" t="n">
        <v>2011</v>
      </c>
      <c r="D3612" t="n">
        <v>2011</v>
      </c>
      <c r="E3612" t="inlineStr">
        <is>
          <t>The Hangover Part II</t>
        </is>
      </c>
      <c r="F3612" t="inlineStr">
        <is>
          <t>F0135</t>
        </is>
      </c>
    </row>
    <row r="3613">
      <c r="A3613" t="inlineStr">
        <is>
          <t>Sanita Jai-Ua</t>
        </is>
      </c>
      <c r="B3613" t="n">
        <v>1</v>
      </c>
      <c r="C3613" t="n">
        <v>2011</v>
      </c>
      <c r="D3613" t="n">
        <v>2011</v>
      </c>
      <c r="E3613" t="inlineStr">
        <is>
          <t>The Hangover Part II</t>
        </is>
      </c>
      <c r="F3613" t="inlineStr">
        <is>
          <t>F0135</t>
        </is>
      </c>
    </row>
    <row r="3614">
      <c r="A3614" t="inlineStr">
        <is>
          <t>Chanicha Shindejanichakul</t>
        </is>
      </c>
      <c r="B3614" t="n">
        <v>1</v>
      </c>
      <c r="C3614" t="n">
        <v>2011</v>
      </c>
      <c r="D3614" t="n">
        <v>2011</v>
      </c>
      <c r="E3614" t="inlineStr">
        <is>
          <t>The Hangover Part II</t>
        </is>
      </c>
      <c r="F3614" t="inlineStr">
        <is>
          <t>F0135</t>
        </is>
      </c>
    </row>
    <row r="3615">
      <c r="A3615" t="inlineStr">
        <is>
          <t>Vithaya Pansringarm</t>
        </is>
      </c>
      <c r="B3615" t="n">
        <v>1</v>
      </c>
      <c r="C3615" t="n">
        <v>2011</v>
      </c>
      <c r="D3615" t="n">
        <v>2011</v>
      </c>
      <c r="E3615" t="inlineStr">
        <is>
          <t>The Hangover Part II</t>
        </is>
      </c>
      <c r="F3615" t="inlineStr">
        <is>
          <t>F0135</t>
        </is>
      </c>
    </row>
    <row r="3616">
      <c r="A3616" t="inlineStr">
        <is>
          <t>Kim Lee</t>
        </is>
      </c>
      <c r="B3616" t="n">
        <v>1</v>
      </c>
      <c r="C3616" t="n">
        <v>2011</v>
      </c>
      <c r="D3616" t="n">
        <v>2011</v>
      </c>
      <c r="E3616" t="inlineStr">
        <is>
          <t>The Hangover Part II</t>
        </is>
      </c>
      <c r="F3616" t="inlineStr">
        <is>
          <t>F0135</t>
        </is>
      </c>
    </row>
    <row r="3617">
      <c r="A3617" t="inlineStr">
        <is>
          <t>Oliver Cooper</t>
        </is>
      </c>
      <c r="B3617" t="n">
        <v>1</v>
      </c>
      <c r="C3617" t="n">
        <v>2013</v>
      </c>
      <c r="D3617" t="n">
        <v>2013</v>
      </c>
      <c r="E3617" t="inlineStr">
        <is>
          <t>The Hangover Part III</t>
        </is>
      </c>
      <c r="F3617" t="inlineStr">
        <is>
          <t>F0136</t>
        </is>
      </c>
    </row>
    <row r="3618">
      <c r="A3618" t="inlineStr">
        <is>
          <t>Grant Holmquist</t>
        </is>
      </c>
      <c r="B3618" t="n">
        <v>1</v>
      </c>
      <c r="C3618" t="n">
        <v>2013</v>
      </c>
      <c r="D3618" t="n">
        <v>2013</v>
      </c>
      <c r="E3618" t="inlineStr">
        <is>
          <t>The Hangover Part III</t>
        </is>
      </c>
      <c r="F3618" t="inlineStr">
        <is>
          <t>F0136</t>
        </is>
      </c>
    </row>
    <row r="3619">
      <c r="A3619" t="inlineStr">
        <is>
          <t>Oscar Torre</t>
        </is>
      </c>
      <c r="B3619" t="n">
        <v>1</v>
      </c>
      <c r="C3619" t="n">
        <v>2013</v>
      </c>
      <c r="D3619" t="n">
        <v>2013</v>
      </c>
      <c r="E3619" t="inlineStr">
        <is>
          <t>The Hangover Part III</t>
        </is>
      </c>
      <c r="F3619" t="inlineStr">
        <is>
          <t>F0136</t>
        </is>
      </c>
    </row>
    <row r="3620">
      <c r="A3620" t="inlineStr">
        <is>
          <t>Jonny Coyne</t>
        </is>
      </c>
      <c r="B3620" t="n">
        <v>1</v>
      </c>
      <c r="C3620" t="n">
        <v>2013</v>
      </c>
      <c r="D3620" t="n">
        <v>2013</v>
      </c>
      <c r="E3620" t="inlineStr">
        <is>
          <t>The Hangover Part III</t>
        </is>
      </c>
      <c r="F3620" t="inlineStr">
        <is>
          <t>F0136</t>
        </is>
      </c>
    </row>
    <row r="3621">
      <c r="A3621" t="inlineStr">
        <is>
          <t>Silvia Curiel</t>
        </is>
      </c>
      <c r="B3621" t="n">
        <v>1</v>
      </c>
      <c r="C3621" t="n">
        <v>2013</v>
      </c>
      <c r="D3621" t="n">
        <v>2013</v>
      </c>
      <c r="E3621" t="inlineStr">
        <is>
          <t>The Hangover Part III</t>
        </is>
      </c>
      <c r="F3621" t="inlineStr">
        <is>
          <t>F0136</t>
        </is>
      </c>
    </row>
    <row r="3622">
      <c r="A3622" t="inlineStr">
        <is>
          <t>Betty Murphy</t>
        </is>
      </c>
      <c r="B3622" t="n">
        <v>1</v>
      </c>
      <c r="C3622" t="n">
        <v>2013</v>
      </c>
      <c r="D3622" t="n">
        <v>2013</v>
      </c>
      <c r="E3622" t="inlineStr">
        <is>
          <t>The Hangover Part III</t>
        </is>
      </c>
      <c r="F3622" t="inlineStr">
        <is>
          <t>F0136</t>
        </is>
      </c>
    </row>
    <row r="3623">
      <c r="A3623" t="inlineStr">
        <is>
          <t>Jim Lau</t>
        </is>
      </c>
      <c r="B3623" t="n">
        <v>1</v>
      </c>
      <c r="C3623" t="n">
        <v>2013</v>
      </c>
      <c r="D3623" t="n">
        <v>2013</v>
      </c>
      <c r="E3623" t="inlineStr">
        <is>
          <t>The Hangover Part III</t>
        </is>
      </c>
      <c r="F3623" t="inlineStr">
        <is>
          <t>F0136</t>
        </is>
      </c>
    </row>
    <row r="3624">
      <c r="A3624" t="inlineStr">
        <is>
          <t>Lela Loren</t>
        </is>
      </c>
      <c r="B3624" t="n">
        <v>1</v>
      </c>
      <c r="C3624" t="n">
        <v>2013</v>
      </c>
      <c r="D3624" t="n">
        <v>2013</v>
      </c>
      <c r="E3624" t="inlineStr">
        <is>
          <t>The Hangover Part III</t>
        </is>
      </c>
      <c r="F3624" t="inlineStr">
        <is>
          <t>F0136</t>
        </is>
      </c>
    </row>
    <row r="3625">
      <c r="A3625" t="inlineStr">
        <is>
          <t>Harrison Forsyth</t>
        </is>
      </c>
      <c r="B3625" t="n">
        <v>1</v>
      </c>
      <c r="C3625" t="n">
        <v>2013</v>
      </c>
      <c r="D3625" t="n">
        <v>2013</v>
      </c>
      <c r="E3625" t="inlineStr">
        <is>
          <t>The Hangover Part III</t>
        </is>
      </c>
      <c r="F3625" t="inlineStr">
        <is>
          <t>F0136</t>
        </is>
      </c>
    </row>
    <row r="3626">
      <c r="A3626" t="inlineStr">
        <is>
          <t>Scott Anthony Leet</t>
        </is>
      </c>
      <c r="B3626" t="n">
        <v>1</v>
      </c>
      <c r="C3626" t="n">
        <v>2013</v>
      </c>
      <c r="D3626" t="n">
        <v>2013</v>
      </c>
      <c r="E3626" t="inlineStr">
        <is>
          <t>The Hangover Part III</t>
        </is>
      </c>
      <c r="F3626" t="inlineStr">
        <is>
          <t>F0136</t>
        </is>
      </c>
    </row>
    <row r="3627">
      <c r="A3627" t="inlineStr">
        <is>
          <t>Tim Sitarz</t>
        </is>
      </c>
      <c r="B3627" t="n">
        <v>1</v>
      </c>
      <c r="C3627" t="n">
        <v>2013</v>
      </c>
      <c r="D3627" t="n">
        <v>2013</v>
      </c>
      <c r="E3627" t="inlineStr">
        <is>
          <t>The Hangover Part III</t>
        </is>
      </c>
      <c r="F3627" t="inlineStr">
        <is>
          <t>F0136</t>
        </is>
      </c>
    </row>
    <row r="3628">
      <c r="A3628" t="inlineStr">
        <is>
          <t>Roger Schueller</t>
        </is>
      </c>
      <c r="B3628" t="n">
        <v>1</v>
      </c>
      <c r="C3628" t="n">
        <v>2013</v>
      </c>
      <c r="D3628" t="n">
        <v>2013</v>
      </c>
      <c r="E3628" t="inlineStr">
        <is>
          <t>The Hangover Part III</t>
        </is>
      </c>
      <c r="F3628" t="inlineStr">
        <is>
          <t>F0136</t>
        </is>
      </c>
    </row>
    <row r="3629">
      <c r="A3629" t="inlineStr">
        <is>
          <t>Jenny Ladner</t>
        </is>
      </c>
      <c r="B3629" t="n">
        <v>1</v>
      </c>
      <c r="C3629" t="n">
        <v>2013</v>
      </c>
      <c r="D3629" t="n">
        <v>2013</v>
      </c>
      <c r="E3629" t="inlineStr">
        <is>
          <t>The Hangover Part III</t>
        </is>
      </c>
      <c r="F3629" t="inlineStr">
        <is>
          <t>F0136</t>
        </is>
      </c>
    </row>
    <row r="3630">
      <c r="A3630" t="inlineStr">
        <is>
          <t>Max Aronoff-Sher</t>
        </is>
      </c>
      <c r="B3630" t="n">
        <v>1</v>
      </c>
      <c r="C3630" t="n">
        <v>2013</v>
      </c>
      <c r="D3630" t="n">
        <v>2013</v>
      </c>
      <c r="E3630" t="inlineStr">
        <is>
          <t>The Hangover Part III</t>
        </is>
      </c>
      <c r="F3630" t="inlineStr">
        <is>
          <t>F0136</t>
        </is>
      </c>
    </row>
    <row r="3631">
      <c r="A3631" t="inlineStr">
        <is>
          <t>Emma Wetzel</t>
        </is>
      </c>
      <c r="B3631" t="n">
        <v>1</v>
      </c>
      <c r="C3631" t="n">
        <v>2013</v>
      </c>
      <c r="D3631" t="n">
        <v>2013</v>
      </c>
      <c r="E3631" t="inlineStr">
        <is>
          <t>The Hangover Part III</t>
        </is>
      </c>
      <c r="F3631" t="inlineStr">
        <is>
          <t>F0136</t>
        </is>
      </c>
    </row>
    <row r="3632">
      <c r="A3632" t="inlineStr">
        <is>
          <t>Maggie Smith</t>
        </is>
      </c>
      <c r="B3632" t="n">
        <v>7</v>
      </c>
      <c r="C3632" t="n">
        <v>2001</v>
      </c>
      <c r="D3632" t="n">
        <v>2011</v>
      </c>
      <c r="E3632" t="inlineStr">
        <is>
          <t>Harry Potter and the Philosopher's Stone, Harry Potter and the Chamber of Secrets, Harry Potter and the Prisoner of Azkaban, Harry Potter and the Goblet of Fire, Harry Potter and the Order of the Phoenix, Harry Potter and the Half-Blood Prince, Harry Potter and the Deathly Hallows: Part 2</t>
        </is>
      </c>
      <c r="F3632" t="inlineStr">
        <is>
          <t>F0137, F0138, F0139, F0140, F0141, F0142, F0144</t>
        </is>
      </c>
    </row>
    <row r="3633">
      <c r="A3633" t="inlineStr">
        <is>
          <t>Richard Griffiths</t>
        </is>
      </c>
      <c r="B3633" t="n">
        <v>6</v>
      </c>
      <c r="C3633" t="n">
        <v>2001</v>
      </c>
      <c r="D3633" t="n">
        <v>2011</v>
      </c>
      <c r="E3633" t="inlineStr">
        <is>
          <t>Harry Potter and the Philosopher's Stone, Harry Potter and the Chamber of Secrets, Harry Potter and the Prisoner of Azkaban, Harry Potter and the Order of the Phoenix, Harry Potter and the Deathly Hallows: Part 1, Pirates of the Caribbean: On Stranger Tides</t>
        </is>
      </c>
      <c r="F3633" t="inlineStr">
        <is>
          <t>F0137, F0138, F0139, F0141, F0143, F0249</t>
        </is>
      </c>
    </row>
    <row r="3634">
      <c r="A3634" t="inlineStr">
        <is>
          <t>Fiona Shaw</t>
        </is>
      </c>
      <c r="B3634" t="n">
        <v>5</v>
      </c>
      <c r="C3634" t="n">
        <v>2001</v>
      </c>
      <c r="D3634" t="n">
        <v>2010</v>
      </c>
      <c r="E3634" t="inlineStr">
        <is>
          <t>Harry Potter and the Philosopher's Stone, Harry Potter and the Chamber of Secrets, Harry Potter and the Prisoner of Azkaban, Harry Potter and the Order of the Phoenix, Harry Potter and the Deathly Hallows: Part 1</t>
        </is>
      </c>
      <c r="F3634" t="inlineStr">
        <is>
          <t>F0137, F0138, F0139, F0141, F0143</t>
        </is>
      </c>
    </row>
    <row r="3635">
      <c r="A3635" t="inlineStr">
        <is>
          <t>Matthew Lewis</t>
        </is>
      </c>
      <c r="B3635" t="n">
        <v>2</v>
      </c>
      <c r="C3635" t="n">
        <v>2001</v>
      </c>
      <c r="D3635" t="n">
        <v>2011</v>
      </c>
      <c r="E3635" t="inlineStr">
        <is>
          <t>Harry Potter and the Philosopher's Stone, Harry Potter and the Deathly Hallows: Part 2</t>
        </is>
      </c>
      <c r="F3635" t="inlineStr">
        <is>
          <t>F0137, F0144</t>
        </is>
      </c>
    </row>
    <row r="3636">
      <c r="A3636" t="inlineStr">
        <is>
          <t>Sean Biggerstaff</t>
        </is>
      </c>
      <c r="B3636" t="n">
        <v>2</v>
      </c>
      <c r="C3636" t="n">
        <v>2001</v>
      </c>
      <c r="D3636" t="n">
        <v>2002</v>
      </c>
      <c r="E3636" t="inlineStr">
        <is>
          <t>Harry Potter and the Philosopher's Stone, Harry Potter and the Chamber of Secrets</t>
        </is>
      </c>
      <c r="F3636" t="inlineStr">
        <is>
          <t>F0137, F0138</t>
        </is>
      </c>
    </row>
    <row r="3637">
      <c r="A3637" t="inlineStr">
        <is>
          <t>Warwick Davis</t>
        </is>
      </c>
      <c r="B3637" t="n">
        <v>10</v>
      </c>
      <c r="C3637" t="n">
        <v>1983</v>
      </c>
      <c r="D3637" t="n">
        <v>2015</v>
      </c>
      <c r="E3637" t="inlineStr">
        <is>
          <t>Harry Potter and the Philosopher's Stone, Harry Potter and the Chamber of Secrets, Harry Potter and the Goblet of Fire, Harry Potter and the Order of the Phoenix, Harry Potter and the Half-Blood Prince, Harry Potter and the Deathly Hallows: Part 1, Harry Potter and the Deathly Hallows: Part 2, Star Wars: Episode I – The Phantom Menace, Star Wars: Episode VI – Return of the Jedi, Star Wars: The Force Awakens</t>
        </is>
      </c>
      <c r="F3637" t="inlineStr">
        <is>
          <t>F0137, F0138, F0140, F0141, F0142, F0143, F0144, F0292, F0297, F0298</t>
        </is>
      </c>
    </row>
    <row r="3638">
      <c r="A3638" t="inlineStr">
        <is>
          <t>Harry Melling</t>
        </is>
      </c>
      <c r="B3638" t="n">
        <v>4</v>
      </c>
      <c r="C3638" t="n">
        <v>2001</v>
      </c>
      <c r="D3638" t="n">
        <v>2007</v>
      </c>
      <c r="E3638" t="inlineStr">
        <is>
          <t>Harry Potter and the Philosopher's Stone, Harry Potter and the Chamber of Secrets, Harry Potter and the Prisoner of Azkaban, Harry Potter and the Order of the Phoenix</t>
        </is>
      </c>
      <c r="F3638" t="inlineStr">
        <is>
          <t>F0137, F0138, F0139, F0141</t>
        </is>
      </c>
    </row>
    <row r="3639">
      <c r="A3639" t="inlineStr">
        <is>
          <t>James Phelps</t>
        </is>
      </c>
      <c r="B3639" t="n">
        <v>5</v>
      </c>
      <c r="C3639" t="n">
        <v>2001</v>
      </c>
      <c r="D3639" t="n">
        <v>2011</v>
      </c>
      <c r="E3639" t="inlineStr">
        <is>
          <t>Harry Potter and the Philosopher's Stone, Harry Potter and the Chamber of Secrets, Harry Potter and the Goblet of Fire, Harry Potter and the Half-Blood Prince, Harry Potter and the Deathly Hallows: Part 2</t>
        </is>
      </c>
      <c r="F3639" t="inlineStr">
        <is>
          <t>F0137, F0138, F0140, F0142, F0144</t>
        </is>
      </c>
    </row>
    <row r="3640">
      <c r="A3640" t="inlineStr">
        <is>
          <t>Oliver Phelps</t>
        </is>
      </c>
      <c r="B3640" t="n">
        <v>6</v>
      </c>
      <c r="C3640" t="n">
        <v>2001</v>
      </c>
      <c r="D3640" t="n">
        <v>2011</v>
      </c>
      <c r="E3640" t="inlineStr">
        <is>
          <t>Harry Potter and the Philosopher's Stone, Harry Potter and the Chamber of Secrets, Harry Potter and the Prisoner of Azkaban, Harry Potter and the Goblet of Fire, Harry Potter and the Half-Blood Prince, Harry Potter and the Deathly Hallows: Part 2</t>
        </is>
      </c>
      <c r="F3640" t="inlineStr">
        <is>
          <t>F0137, F0138, F0139, F0140, F0142, F0144</t>
        </is>
      </c>
    </row>
    <row r="3641">
      <c r="A3641" t="inlineStr">
        <is>
          <t>John Cleese</t>
        </is>
      </c>
      <c r="B3641" t="n">
        <v>2</v>
      </c>
      <c r="C3641" t="n">
        <v>2001</v>
      </c>
      <c r="D3641" t="n">
        <v>2002</v>
      </c>
      <c r="E3641" t="inlineStr">
        <is>
          <t>Harry Potter and the Philosopher's Stone, Harry Potter and the Chamber of Secrets</t>
        </is>
      </c>
      <c r="F3641" t="inlineStr">
        <is>
          <t>F0137, F0138</t>
        </is>
      </c>
    </row>
    <row r="3642">
      <c r="A3642" t="inlineStr">
        <is>
          <t>Chris Rankin</t>
        </is>
      </c>
      <c r="B3642" t="n">
        <v>2</v>
      </c>
      <c r="C3642" t="n">
        <v>2001</v>
      </c>
      <c r="D3642" t="n">
        <v>2002</v>
      </c>
      <c r="E3642" t="inlineStr">
        <is>
          <t>Harry Potter and the Philosopher's Stone, Harry Potter and the Chamber of Secrets</t>
        </is>
      </c>
      <c r="F3642" t="inlineStr">
        <is>
          <t>F0137, F0138</t>
        </is>
      </c>
    </row>
    <row r="3643">
      <c r="A3643" t="inlineStr">
        <is>
          <t>Alfred Enoch</t>
        </is>
      </c>
      <c r="B3643" t="n">
        <v>2</v>
      </c>
      <c r="C3643" t="n">
        <v>2001</v>
      </c>
      <c r="D3643" t="n">
        <v>2009</v>
      </c>
      <c r="E3643" t="inlineStr">
        <is>
          <t>Harry Potter and the Philosopher's Stone, Harry Potter and the Half-Blood Prince</t>
        </is>
      </c>
      <c r="F3643" t="inlineStr">
        <is>
          <t>F0137, F0142</t>
        </is>
      </c>
    </row>
    <row r="3644">
      <c r="A3644" t="inlineStr">
        <is>
          <t>Devon Murray</t>
        </is>
      </c>
      <c r="B3644" t="n">
        <v>1</v>
      </c>
      <c r="C3644" t="n">
        <v>2001</v>
      </c>
      <c r="D3644" t="n">
        <v>2001</v>
      </c>
      <c r="E3644" t="inlineStr">
        <is>
          <t>Harry Potter and the Philosopher's Stone</t>
        </is>
      </c>
      <c r="F3644" t="inlineStr">
        <is>
          <t>F0137</t>
        </is>
      </c>
    </row>
    <row r="3645">
      <c r="A3645" t="inlineStr">
        <is>
          <t>Jamie Waylett</t>
        </is>
      </c>
      <c r="B3645" t="n">
        <v>2</v>
      </c>
      <c r="C3645" t="n">
        <v>2001</v>
      </c>
      <c r="D3645" t="n">
        <v>2002</v>
      </c>
      <c r="E3645" t="inlineStr">
        <is>
          <t>Harry Potter and the Philosopher's Stone, Harry Potter and the Chamber of Secrets</t>
        </is>
      </c>
      <c r="F3645" t="inlineStr">
        <is>
          <t>F0137, F0138</t>
        </is>
      </c>
    </row>
    <row r="3646">
      <c r="A3646" t="inlineStr">
        <is>
          <t>Josh Herdman</t>
        </is>
      </c>
      <c r="B3646" t="n">
        <v>2</v>
      </c>
      <c r="C3646" t="n">
        <v>2001</v>
      </c>
      <c r="D3646" t="n">
        <v>2002</v>
      </c>
      <c r="E3646" t="inlineStr">
        <is>
          <t>Harry Potter and the Philosopher's Stone, Harry Potter and the Chamber of Secrets</t>
        </is>
      </c>
      <c r="F3646" t="inlineStr">
        <is>
          <t>F0137, F0138</t>
        </is>
      </c>
    </row>
    <row r="3647">
      <c r="A3647" t="inlineStr">
        <is>
          <t>Zoë Wanamaker</t>
        </is>
      </c>
      <c r="B3647" t="n">
        <v>1</v>
      </c>
      <c r="C3647" t="n">
        <v>2001</v>
      </c>
      <c r="D3647" t="n">
        <v>2001</v>
      </c>
      <c r="E3647" t="inlineStr">
        <is>
          <t>Harry Potter and the Philosopher's Stone</t>
        </is>
      </c>
      <c r="F3647" t="inlineStr">
        <is>
          <t>F0137</t>
        </is>
      </c>
    </row>
    <row r="3648">
      <c r="A3648" t="inlineStr">
        <is>
          <t>Julie Walters</t>
        </is>
      </c>
      <c r="B3648" t="n">
        <v>9</v>
      </c>
      <c r="C3648" t="n">
        <v>2001</v>
      </c>
      <c r="D3648" t="n">
        <v>2014</v>
      </c>
      <c r="E3648" t="inlineStr">
        <is>
          <t>Harry Potter and the Philosopher's Stone, Harry Potter and the Chamber of Secrets, Harry Potter and the Prisoner of Azkaban, Harry Potter and the Order of the Phoenix, Harry Potter and the Half-Blood Prince, Harry Potter and the Deathly Hallows: Part 1, Harry Potter and the Deathly Hallows: Part 2, Mamma Mia!, Paddington</t>
        </is>
      </c>
      <c r="F3648" t="inlineStr">
        <is>
          <t>F0137, F0138, F0139, F0141, F0142, F0143, F0144, F0209, F0244</t>
        </is>
      </c>
    </row>
    <row r="3649">
      <c r="A3649" t="inlineStr">
        <is>
          <t>Bonnie Wright</t>
        </is>
      </c>
      <c r="B3649" t="n">
        <v>4</v>
      </c>
      <c r="C3649" t="n">
        <v>2001</v>
      </c>
      <c r="D3649" t="n">
        <v>2009</v>
      </c>
      <c r="E3649" t="inlineStr">
        <is>
          <t>Harry Potter and the Philosopher's Stone, Harry Potter and the Chamber of Secrets, Harry Potter and the Goblet of Fire, Harry Potter and the Half-Blood Prince</t>
        </is>
      </c>
      <c r="F3649" t="inlineStr">
        <is>
          <t>F0137, F0138, F0140, F0142</t>
        </is>
      </c>
    </row>
    <row r="3650">
      <c r="A3650" t="inlineStr">
        <is>
          <t>Luke Youngblood</t>
        </is>
      </c>
      <c r="B3650" t="n">
        <v>1</v>
      </c>
      <c r="C3650" t="n">
        <v>2001</v>
      </c>
      <c r="D3650" t="n">
        <v>2001</v>
      </c>
      <c r="E3650" t="inlineStr">
        <is>
          <t>Harry Potter and the Philosopher's Stone</t>
        </is>
      </c>
      <c r="F3650" t="inlineStr">
        <is>
          <t>F0137</t>
        </is>
      </c>
    </row>
    <row r="3651">
      <c r="A3651" t="inlineStr">
        <is>
          <t>Verne Troyer</t>
        </is>
      </c>
      <c r="B3651" t="n">
        <v>1</v>
      </c>
      <c r="C3651" t="n">
        <v>2001</v>
      </c>
      <c r="D3651" t="n">
        <v>2001</v>
      </c>
      <c r="E3651" t="inlineStr">
        <is>
          <t>Harry Potter and the Philosopher's Stone</t>
        </is>
      </c>
      <c r="F3651" t="inlineStr">
        <is>
          <t>F0137</t>
        </is>
      </c>
    </row>
    <row r="3652">
      <c r="A3652" t="inlineStr">
        <is>
          <t>Shirley Henderson</t>
        </is>
      </c>
      <c r="B3652" t="n">
        <v>3</v>
      </c>
      <c r="C3652" t="n">
        <v>2002</v>
      </c>
      <c r="D3652" t="n">
        <v>2019</v>
      </c>
      <c r="E3652" t="inlineStr">
        <is>
          <t>Harry Potter and the Chamber of Secrets, Harry Potter and the Goblet of Fire, Star Wars: The Rise of Skywalker</t>
        </is>
      </c>
      <c r="F3652" t="inlineStr">
        <is>
          <t>F0138, F0140, F0300</t>
        </is>
      </c>
    </row>
    <row r="3653">
      <c r="A3653" t="inlineStr">
        <is>
          <t>Robert Hardy</t>
        </is>
      </c>
      <c r="B3653" t="n">
        <v>4</v>
      </c>
      <c r="C3653" t="n">
        <v>2002</v>
      </c>
      <c r="D3653" t="n">
        <v>2007</v>
      </c>
      <c r="E3653" t="inlineStr">
        <is>
          <t>Harry Potter and the Chamber of Secrets, Harry Potter and the Prisoner of Azkaban, Harry Potter and the Goblet of Fire, Harry Potter and the Order of the Phoenix</t>
        </is>
      </c>
      <c r="F3653" t="inlineStr">
        <is>
          <t>F0138, F0139, F0140, F0141</t>
        </is>
      </c>
    </row>
    <row r="3654">
      <c r="A3654" t="inlineStr">
        <is>
          <t>Miriam Margolyes</t>
        </is>
      </c>
      <c r="B3654" t="n">
        <v>2</v>
      </c>
      <c r="C3654" t="n">
        <v>2002</v>
      </c>
      <c r="D3654" t="n">
        <v>2011</v>
      </c>
      <c r="E3654" t="inlineStr">
        <is>
          <t>Harry Potter and the Chamber of Secrets, Harry Potter and the Deathly Hallows: Part 2</t>
        </is>
      </c>
      <c r="F3654" t="inlineStr">
        <is>
          <t>F0138, F0144</t>
        </is>
      </c>
    </row>
    <row r="3655">
      <c r="A3655" t="inlineStr">
        <is>
          <t>Mark Williams</t>
        </is>
      </c>
      <c r="B3655" t="n">
        <v>5</v>
      </c>
      <c r="C3655" t="n">
        <v>2002</v>
      </c>
      <c r="D3655" t="n">
        <v>2009</v>
      </c>
      <c r="E3655" t="inlineStr">
        <is>
          <t>Harry Potter and the Chamber of Secrets, Harry Potter and the Prisoner of Azkaban, Harry Potter and the Goblet of Fire, Harry Potter and the Order of the Phoenix, Harry Potter and the Half-Blood Prince</t>
        </is>
      </c>
      <c r="F3655" t="inlineStr">
        <is>
          <t>F0138, F0139, F0140, F0141, F0142</t>
        </is>
      </c>
    </row>
    <row r="3656">
      <c r="A3656" t="inlineStr">
        <is>
          <t>Pam Ferris</t>
        </is>
      </c>
      <c r="B3656" t="n">
        <v>1</v>
      </c>
      <c r="C3656" t="n">
        <v>2004</v>
      </c>
      <c r="D3656" t="n">
        <v>2004</v>
      </c>
      <c r="E3656" t="inlineStr">
        <is>
          <t>Harry Potter and the Prisoner of Azkaban</t>
        </is>
      </c>
      <c r="F3656" t="inlineStr">
        <is>
          <t>F0139</t>
        </is>
      </c>
    </row>
    <row r="3657">
      <c r="A3657" t="inlineStr">
        <is>
          <t>Dawn French</t>
        </is>
      </c>
      <c r="B3657" t="n">
        <v>1</v>
      </c>
      <c r="C3657" t="n">
        <v>2004</v>
      </c>
      <c r="D3657" t="n">
        <v>2004</v>
      </c>
      <c r="E3657" t="inlineStr">
        <is>
          <t>Harry Potter and the Prisoner of Azkaban</t>
        </is>
      </c>
      <c r="F3657" t="inlineStr">
        <is>
          <t>F0139</t>
        </is>
      </c>
    </row>
    <row r="3658">
      <c r="A3658" t="inlineStr">
        <is>
          <t>Julie Christie</t>
        </is>
      </c>
      <c r="B3658" t="n">
        <v>1</v>
      </c>
      <c r="C3658" t="n">
        <v>2004</v>
      </c>
      <c r="D3658" t="n">
        <v>2004</v>
      </c>
      <c r="E3658" t="inlineStr">
        <is>
          <t>Harry Potter and the Prisoner of Azkaban</t>
        </is>
      </c>
      <c r="F3658" t="inlineStr">
        <is>
          <t>F0139</t>
        </is>
      </c>
    </row>
    <row r="3659">
      <c r="A3659" t="inlineStr">
        <is>
          <t>Adrian Rawlins</t>
        </is>
      </c>
      <c r="B3659" t="n">
        <v>1</v>
      </c>
      <c r="C3659" t="n">
        <v>2004</v>
      </c>
      <c r="D3659" t="n">
        <v>2004</v>
      </c>
      <c r="E3659" t="inlineStr">
        <is>
          <t>Harry Potter and the Prisoner of Azkaban</t>
        </is>
      </c>
      <c r="F3659" t="inlineStr">
        <is>
          <t>F0139</t>
        </is>
      </c>
    </row>
    <row r="3660">
      <c r="A3660" t="inlineStr">
        <is>
          <t>Lee Ingleby</t>
        </is>
      </c>
      <c r="B3660" t="n">
        <v>1</v>
      </c>
      <c r="C3660" t="n">
        <v>2004</v>
      </c>
      <c r="D3660" t="n">
        <v>2004</v>
      </c>
      <c r="E3660" t="inlineStr">
        <is>
          <t>Harry Potter and the Prisoner of Azkaban</t>
        </is>
      </c>
      <c r="F3660" t="inlineStr">
        <is>
          <t>F0139</t>
        </is>
      </c>
    </row>
    <row r="3661">
      <c r="A3661" t="inlineStr">
        <is>
          <t>Lenny Henry</t>
        </is>
      </c>
      <c r="B3661" t="n">
        <v>1</v>
      </c>
      <c r="C3661" t="n">
        <v>2004</v>
      </c>
      <c r="D3661" t="n">
        <v>2004</v>
      </c>
      <c r="E3661" t="inlineStr">
        <is>
          <t>Harry Potter and the Prisoner of Azkaban</t>
        </is>
      </c>
      <c r="F3661" t="inlineStr">
        <is>
          <t>F0139</t>
        </is>
      </c>
    </row>
    <row r="3662">
      <c r="A3662" t="inlineStr">
        <is>
          <t>Jimmy Gardner</t>
        </is>
      </c>
      <c r="B3662" t="n">
        <v>1</v>
      </c>
      <c r="C3662" t="n">
        <v>2004</v>
      </c>
      <c r="D3662" t="n">
        <v>2004</v>
      </c>
      <c r="E3662" t="inlineStr">
        <is>
          <t>Harry Potter and the Prisoner of Azkaban</t>
        </is>
      </c>
      <c r="F3662" t="inlineStr">
        <is>
          <t>F0139</t>
        </is>
      </c>
    </row>
    <row r="3663">
      <c r="A3663" t="inlineStr">
        <is>
          <t>Jim Tavaré</t>
        </is>
      </c>
      <c r="B3663" t="n">
        <v>1</v>
      </c>
      <c r="C3663" t="n">
        <v>2004</v>
      </c>
      <c r="D3663" t="n">
        <v>2004</v>
      </c>
      <c r="E3663" t="inlineStr">
        <is>
          <t>Harry Potter and the Prisoner of Azkaban</t>
        </is>
      </c>
      <c r="F3663" t="inlineStr">
        <is>
          <t>F0139</t>
        </is>
      </c>
    </row>
    <row r="3664">
      <c r="A3664" t="inlineStr">
        <is>
          <t>Abby Ford</t>
        </is>
      </c>
      <c r="B3664" t="n">
        <v>1</v>
      </c>
      <c r="C3664" t="n">
        <v>2004</v>
      </c>
      <c r="D3664" t="n">
        <v>2004</v>
      </c>
      <c r="E3664" t="inlineStr">
        <is>
          <t>Harry Potter and the Prisoner of Azkaban</t>
        </is>
      </c>
      <c r="F3664" t="inlineStr">
        <is>
          <t>F0139</t>
        </is>
      </c>
    </row>
    <row r="3665">
      <c r="A3665" t="inlineStr">
        <is>
          <t>David Tennant</t>
        </is>
      </c>
      <c r="B3665" t="n">
        <v>2</v>
      </c>
      <c r="C3665" t="n">
        <v>2005</v>
      </c>
      <c r="D3665" t="n">
        <v>2010</v>
      </c>
      <c r="E3665" t="inlineStr">
        <is>
          <t>Harry Potter and the Goblet of Fire, How to Train Your Dragon</t>
        </is>
      </c>
      <c r="F3665" t="inlineStr">
        <is>
          <t>F0140, F0154</t>
        </is>
      </c>
    </row>
    <row r="3666">
      <c r="A3666" t="inlineStr">
        <is>
          <t>Predrag Bjelac</t>
        </is>
      </c>
      <c r="B3666" t="n">
        <v>1</v>
      </c>
      <c r="C3666" t="n">
        <v>2005</v>
      </c>
      <c r="D3666" t="n">
        <v>2005</v>
      </c>
      <c r="E3666" t="inlineStr">
        <is>
          <t>Harry Potter and the Goblet of Fire</t>
        </is>
      </c>
      <c r="F3666" t="inlineStr">
        <is>
          <t>F0140</t>
        </is>
      </c>
    </row>
    <row r="3667">
      <c r="A3667" t="inlineStr">
        <is>
          <t>Clémence Poésy</t>
        </is>
      </c>
      <c r="B3667" t="n">
        <v>2</v>
      </c>
      <c r="C3667" t="n">
        <v>2005</v>
      </c>
      <c r="D3667" t="n">
        <v>2011</v>
      </c>
      <c r="E3667" t="inlineStr">
        <is>
          <t>Harry Potter and the Goblet of Fire, Harry Potter and the Deathly Hallows: Part 2</t>
        </is>
      </c>
      <c r="F3667" t="inlineStr">
        <is>
          <t>F0140, F0144</t>
        </is>
      </c>
    </row>
    <row r="3668">
      <c r="A3668" t="inlineStr">
        <is>
          <t>Stanislav Yanevski</t>
        </is>
      </c>
      <c r="B3668" t="n">
        <v>1</v>
      </c>
      <c r="C3668" t="n">
        <v>2005</v>
      </c>
      <c r="D3668" t="n">
        <v>2005</v>
      </c>
      <c r="E3668" t="inlineStr">
        <is>
          <t>Harry Potter and the Goblet of Fire</t>
        </is>
      </c>
      <c r="F3668" t="inlineStr">
        <is>
          <t>F0140</t>
        </is>
      </c>
    </row>
    <row r="3669">
      <c r="A3669" t="inlineStr">
        <is>
          <t>Frances de la Tour</t>
        </is>
      </c>
      <c r="B3669" t="n">
        <v>1</v>
      </c>
      <c r="C3669" t="n">
        <v>2005</v>
      </c>
      <c r="D3669" t="n">
        <v>2005</v>
      </c>
      <c r="E3669" t="inlineStr">
        <is>
          <t>Harry Potter and the Goblet of Fire</t>
        </is>
      </c>
      <c r="F3669" t="inlineStr">
        <is>
          <t>F0140</t>
        </is>
      </c>
    </row>
    <row r="3670">
      <c r="A3670" t="inlineStr">
        <is>
          <t>Roger Lloyd Pack</t>
        </is>
      </c>
      <c r="B3670" t="n">
        <v>1</v>
      </c>
      <c r="C3670" t="n">
        <v>2005</v>
      </c>
      <c r="D3670" t="n">
        <v>2005</v>
      </c>
      <c r="E3670" t="inlineStr">
        <is>
          <t>Harry Potter and the Goblet of Fire</t>
        </is>
      </c>
      <c r="F3670" t="inlineStr">
        <is>
          <t>F0140</t>
        </is>
      </c>
    </row>
    <row r="3671">
      <c r="A3671" t="inlineStr">
        <is>
          <t>Miranda Richardson</t>
        </is>
      </c>
      <c r="B3671" t="n">
        <v>1</v>
      </c>
      <c r="C3671" t="n">
        <v>2005</v>
      </c>
      <c r="D3671" t="n">
        <v>2005</v>
      </c>
      <c r="E3671" t="inlineStr">
        <is>
          <t>Harry Potter and the Goblet of Fire</t>
        </is>
      </c>
      <c r="F3671" t="inlineStr">
        <is>
          <t>F0140</t>
        </is>
      </c>
    </row>
    <row r="3672">
      <c r="A3672" t="inlineStr">
        <is>
          <t>Eric Sykes</t>
        </is>
      </c>
      <c r="B3672" t="n">
        <v>1</v>
      </c>
      <c r="C3672" t="n">
        <v>2005</v>
      </c>
      <c r="D3672" t="n">
        <v>2005</v>
      </c>
      <c r="E3672" t="inlineStr">
        <is>
          <t>Harry Potter and the Goblet of Fire</t>
        </is>
      </c>
      <c r="F3672" t="inlineStr">
        <is>
          <t>F0140</t>
        </is>
      </c>
    </row>
    <row r="3673">
      <c r="A3673" t="inlineStr">
        <is>
          <t>Evanna Lynch</t>
        </is>
      </c>
      <c r="B3673" t="n">
        <v>4</v>
      </c>
      <c r="C3673" t="n">
        <v>2007</v>
      </c>
      <c r="D3673" t="n">
        <v>2011</v>
      </c>
      <c r="E3673" t="inlineStr">
        <is>
          <t>Harry Potter and the Order of the Phoenix, Harry Potter and the Half-Blood Prince, Harry Potter and the Deathly Hallows: Part 1, Harry Potter and the Deathly Hallows: Part 2</t>
        </is>
      </c>
      <c r="F3673" t="inlineStr">
        <is>
          <t>F0141, F0142, F0143, F0144</t>
        </is>
      </c>
    </row>
    <row r="3674">
      <c r="A3674" t="inlineStr">
        <is>
          <t>Katie Leung</t>
        </is>
      </c>
      <c r="B3674" t="n">
        <v>1</v>
      </c>
      <c r="C3674" t="n">
        <v>2007</v>
      </c>
      <c r="D3674" t="n">
        <v>2007</v>
      </c>
      <c r="E3674" t="inlineStr">
        <is>
          <t>Harry Potter and the Order of the Phoenix</t>
        </is>
      </c>
      <c r="F3674" t="inlineStr">
        <is>
          <t>F0141</t>
        </is>
      </c>
    </row>
    <row r="3675">
      <c r="A3675" t="inlineStr">
        <is>
          <t>Natalia Tena</t>
        </is>
      </c>
      <c r="B3675" t="n">
        <v>3</v>
      </c>
      <c r="C3675" t="n">
        <v>2007</v>
      </c>
      <c r="D3675" t="n">
        <v>2011</v>
      </c>
      <c r="E3675" t="inlineStr">
        <is>
          <t>Harry Potter and the Order of the Phoenix, Harry Potter and the Half-Blood Prince, Harry Potter and the Deathly Hallows: Part 2</t>
        </is>
      </c>
      <c r="F3675" t="inlineStr">
        <is>
          <t>F0141, F0142, F0144</t>
        </is>
      </c>
    </row>
    <row r="3676">
      <c r="A3676" t="inlineStr">
        <is>
          <t>Jason Boyd</t>
        </is>
      </c>
      <c r="B3676" t="n">
        <v>1</v>
      </c>
      <c r="C3676" t="n">
        <v>2007</v>
      </c>
      <c r="D3676" t="n">
        <v>2007</v>
      </c>
      <c r="E3676" t="inlineStr">
        <is>
          <t>Harry Potter and the Order of the Phoenix</t>
        </is>
      </c>
      <c r="F3676" t="inlineStr">
        <is>
          <t>F0141</t>
        </is>
      </c>
    </row>
    <row r="3677">
      <c r="A3677" t="inlineStr">
        <is>
          <t>Richard Macklin</t>
        </is>
      </c>
      <c r="B3677" t="n">
        <v>1</v>
      </c>
      <c r="C3677" t="n">
        <v>2007</v>
      </c>
      <c r="D3677" t="n">
        <v>2007</v>
      </c>
      <c r="E3677" t="inlineStr">
        <is>
          <t>Harry Potter and the Order of the Phoenix</t>
        </is>
      </c>
      <c r="F3677" t="inlineStr">
        <is>
          <t>F0141</t>
        </is>
      </c>
    </row>
    <row r="3678">
      <c r="A3678" t="inlineStr">
        <is>
          <t>Jessie Cave</t>
        </is>
      </c>
      <c r="B3678" t="n">
        <v>1</v>
      </c>
      <c r="C3678" t="n">
        <v>2009</v>
      </c>
      <c r="D3678" t="n">
        <v>2009</v>
      </c>
      <c r="E3678" t="inlineStr">
        <is>
          <t>Harry Potter and the Half-Blood Prince</t>
        </is>
      </c>
      <c r="F3678" t="inlineStr">
        <is>
          <t>F0142</t>
        </is>
      </c>
    </row>
    <row r="3679">
      <c r="A3679" t="inlineStr">
        <is>
          <t>Freddie Stroma</t>
        </is>
      </c>
      <c r="B3679" t="n">
        <v>3</v>
      </c>
      <c r="C3679" t="n">
        <v>2009</v>
      </c>
      <c r="D3679" t="n">
        <v>2014</v>
      </c>
      <c r="E3679" t="inlineStr">
        <is>
          <t>Harry Potter and the Half-Blood Prince, The Inbetweeners 2, Pitch Perfect</t>
        </is>
      </c>
      <c r="F3679" t="inlineStr">
        <is>
          <t>F0142, F0164, F0250</t>
        </is>
      </c>
    </row>
    <row r="3680">
      <c r="A3680" t="inlineStr">
        <is>
          <t>Dave Legeno</t>
        </is>
      </c>
      <c r="B3680" t="n">
        <v>4</v>
      </c>
      <c r="C3680" t="n">
        <v>2009</v>
      </c>
      <c r="D3680" t="n">
        <v>2012</v>
      </c>
      <c r="E3680" t="inlineStr">
        <is>
          <t>Harry Potter and the Half-Blood Prince, Harry Potter and the Deathly Hallows: Part 1, Harry Potter and the Deathly Hallows: Part 2, Snow White and the Huntsman</t>
        </is>
      </c>
      <c r="F3680" t="inlineStr">
        <is>
          <t>F0142, F0143, F0144, F0284</t>
        </is>
      </c>
    </row>
    <row r="3681">
      <c r="A3681" t="inlineStr">
        <is>
          <t>Elarica Johnson</t>
        </is>
      </c>
      <c r="B3681" t="n">
        <v>1</v>
      </c>
      <c r="C3681" t="n">
        <v>2009</v>
      </c>
      <c r="D3681" t="n">
        <v>2009</v>
      </c>
      <c r="E3681" t="inlineStr">
        <is>
          <t>Harry Potter and the Half-Blood Prince</t>
        </is>
      </c>
      <c r="F3681" t="inlineStr">
        <is>
          <t>F0142</t>
        </is>
      </c>
    </row>
    <row r="3682">
      <c r="A3682" t="inlineStr">
        <is>
          <t>Robert Knox</t>
        </is>
      </c>
      <c r="B3682" t="n">
        <v>1</v>
      </c>
      <c r="C3682" t="n">
        <v>2009</v>
      </c>
      <c r="D3682" t="n">
        <v>2009</v>
      </c>
      <c r="E3682" t="inlineStr">
        <is>
          <t>Harry Potter and the Half-Blood Prince</t>
        </is>
      </c>
      <c r="F3682" t="inlineStr">
        <is>
          <t>F0142</t>
        </is>
      </c>
    </row>
    <row r="3683">
      <c r="A3683" t="inlineStr">
        <is>
          <t>Andy Linden</t>
        </is>
      </c>
      <c r="B3683" t="n">
        <v>1</v>
      </c>
      <c r="C3683" t="n">
        <v>2010</v>
      </c>
      <c r="D3683" t="n">
        <v>2010</v>
      </c>
      <c r="E3683" t="inlineStr">
        <is>
          <t>Harry Potter and the Deathly Hallows: Part 1</t>
        </is>
      </c>
      <c r="F3683" t="inlineStr">
        <is>
          <t>F0143</t>
        </is>
      </c>
    </row>
    <row r="3684">
      <c r="A3684" t="inlineStr">
        <is>
          <t>Guy Henry</t>
        </is>
      </c>
      <c r="B3684" t="n">
        <v>1</v>
      </c>
      <c r="C3684" t="n">
        <v>2010</v>
      </c>
      <c r="D3684" t="n">
        <v>2010</v>
      </c>
      <c r="E3684" t="inlineStr">
        <is>
          <t>Harry Potter and the Deathly Hallows: Part 1</t>
        </is>
      </c>
      <c r="F3684" t="inlineStr">
        <is>
          <t>F0143</t>
        </is>
      </c>
    </row>
    <row r="3685">
      <c r="A3685" t="inlineStr">
        <is>
          <t>Nick Moran</t>
        </is>
      </c>
      <c r="B3685" t="n">
        <v>2</v>
      </c>
      <c r="C3685" t="n">
        <v>2010</v>
      </c>
      <c r="D3685" t="n">
        <v>2011</v>
      </c>
      <c r="E3685" t="inlineStr">
        <is>
          <t>Harry Potter and the Deathly Hallows: Part 1, Harry Potter and the Deathly Hallows: Part 2</t>
        </is>
      </c>
      <c r="F3685" t="inlineStr">
        <is>
          <t>F0143, F0144</t>
        </is>
      </c>
    </row>
    <row r="3686">
      <c r="A3686" t="inlineStr">
        <is>
          <t>Peter Mullan</t>
        </is>
      </c>
      <c r="B3686" t="n">
        <v>1</v>
      </c>
      <c r="C3686" t="n">
        <v>2010</v>
      </c>
      <c r="D3686" t="n">
        <v>2010</v>
      </c>
      <c r="E3686" t="inlineStr">
        <is>
          <t>Harry Potter and the Deathly Hallows: Part 1</t>
        </is>
      </c>
      <c r="F3686" t="inlineStr">
        <is>
          <t>F0143</t>
        </is>
      </c>
    </row>
    <row r="3687">
      <c r="A3687" t="inlineStr">
        <is>
          <t>Kelly Macdonald</t>
        </is>
      </c>
      <c r="B3687" t="n">
        <v>1</v>
      </c>
      <c r="C3687" t="n">
        <v>2011</v>
      </c>
      <c r="D3687" t="n">
        <v>2011</v>
      </c>
      <c r="E3687" t="inlineStr">
        <is>
          <t>Harry Potter and the Deathly Hallows: Part 2</t>
        </is>
      </c>
      <c r="F3687" t="inlineStr">
        <is>
          <t>F0144</t>
        </is>
      </c>
    </row>
    <row r="3688">
      <c r="A3688" t="inlineStr">
        <is>
          <t>P!nk</t>
        </is>
      </c>
      <c r="B3688" t="n">
        <v>1</v>
      </c>
      <c r="C3688" t="n">
        <v>2011</v>
      </c>
      <c r="D3688" t="n">
        <v>2011</v>
      </c>
      <c r="E3688" t="inlineStr">
        <is>
          <t>Happy Feet Two</t>
        </is>
      </c>
      <c r="F3688" t="inlineStr">
        <is>
          <t>F0145</t>
        </is>
      </c>
    </row>
    <row r="3689">
      <c r="A3689" t="inlineStr">
        <is>
          <t>E. G. Daily</t>
        </is>
      </c>
      <c r="B3689" t="n">
        <v>1</v>
      </c>
      <c r="C3689" t="n">
        <v>2011</v>
      </c>
      <c r="D3689" t="n">
        <v>2011</v>
      </c>
      <c r="E3689" t="inlineStr">
        <is>
          <t>Happy Feet Two</t>
        </is>
      </c>
      <c r="F3689" t="inlineStr">
        <is>
          <t>F0145</t>
        </is>
      </c>
    </row>
    <row r="3690">
      <c r="A3690" t="inlineStr">
        <is>
          <t>Lombardo Boyar</t>
        </is>
      </c>
      <c r="B3690" t="n">
        <v>2</v>
      </c>
      <c r="C3690" t="n">
        <v>2011</v>
      </c>
      <c r="D3690" t="n">
        <v>2014</v>
      </c>
      <c r="E3690" t="inlineStr">
        <is>
          <t>Happy Feet Two, Dawn of the Planet of the Apes</t>
        </is>
      </c>
      <c r="F3690" t="inlineStr">
        <is>
          <t>F0145, F0254</t>
        </is>
      </c>
    </row>
    <row r="3691">
      <c r="A3691" t="inlineStr">
        <is>
          <t>Common</t>
        </is>
      </c>
      <c r="B3691" t="n">
        <v>2</v>
      </c>
      <c r="C3691" t="n">
        <v>2009</v>
      </c>
      <c r="D3691" t="n">
        <v>2011</v>
      </c>
      <c r="E3691" t="inlineStr">
        <is>
          <t>Happy Feet Two, Terminator Salvation</t>
        </is>
      </c>
      <c r="F3691" t="inlineStr">
        <is>
          <t>F0145, F0310</t>
        </is>
      </c>
    </row>
    <row r="3692">
      <c r="A3692" t="inlineStr">
        <is>
          <t>Jeffrey Garcia</t>
        </is>
      </c>
      <c r="B3692" t="n">
        <v>3</v>
      </c>
      <c r="C3692" t="n">
        <v>2011</v>
      </c>
      <c r="D3692" t="n">
        <v>2014</v>
      </c>
      <c r="E3692" t="inlineStr">
        <is>
          <t>Happy Feet Two, Rio, Rio 2</t>
        </is>
      </c>
      <c r="F3692" t="inlineStr">
        <is>
          <t>F0145, F0265, F0266</t>
        </is>
      </c>
    </row>
    <row r="3693">
      <c r="A3693" t="inlineStr">
        <is>
          <t>Benjamin Flores Jr.</t>
        </is>
      </c>
      <c r="B3693" t="n">
        <v>1</v>
      </c>
      <c r="C3693" t="n">
        <v>2011</v>
      </c>
      <c r="D3693" t="n">
        <v>2011</v>
      </c>
      <c r="E3693" t="inlineStr">
        <is>
          <t>Happy Feet Two</t>
        </is>
      </c>
      <c r="F3693" t="inlineStr">
        <is>
          <t>F0145</t>
        </is>
      </c>
    </row>
    <row r="3694">
      <c r="A3694" t="inlineStr">
        <is>
          <t>Meibh Campbell</t>
        </is>
      </c>
      <c r="B3694" t="n">
        <v>1</v>
      </c>
      <c r="C3694" t="n">
        <v>2011</v>
      </c>
      <c r="D3694" t="n">
        <v>2011</v>
      </c>
      <c r="E3694" t="inlineStr">
        <is>
          <t>Happy Feet Two</t>
        </is>
      </c>
      <c r="F3694" t="inlineStr">
        <is>
          <t>F0145</t>
        </is>
      </c>
    </row>
    <row r="3695">
      <c r="A3695" t="inlineStr">
        <is>
          <t>Magda Szubanski</t>
        </is>
      </c>
      <c r="B3695" t="n">
        <v>1</v>
      </c>
      <c r="C3695" t="n">
        <v>2011</v>
      </c>
      <c r="D3695" t="n">
        <v>2011</v>
      </c>
      <c r="E3695" t="inlineStr">
        <is>
          <t>Happy Feet Two</t>
        </is>
      </c>
      <c r="F3695" t="inlineStr">
        <is>
          <t>F0145</t>
        </is>
      </c>
    </row>
    <row r="3696">
      <c r="A3696" t="inlineStr">
        <is>
          <t>Lee Perry</t>
        </is>
      </c>
      <c r="B3696" t="n">
        <v>1</v>
      </c>
      <c r="C3696" t="n">
        <v>2011</v>
      </c>
      <c r="D3696" t="n">
        <v>2011</v>
      </c>
      <c r="E3696" t="inlineStr">
        <is>
          <t>Happy Feet Two</t>
        </is>
      </c>
      <c r="F3696" t="inlineStr">
        <is>
          <t>F0145</t>
        </is>
      </c>
    </row>
    <row r="3697">
      <c r="A3697" t="inlineStr">
        <is>
          <t>Jai Sloper</t>
        </is>
      </c>
      <c r="B3697" t="n">
        <v>1</v>
      </c>
      <c r="C3697" t="n">
        <v>2011</v>
      </c>
      <c r="D3697" t="n">
        <v>2011</v>
      </c>
      <c r="E3697" t="inlineStr">
        <is>
          <t>Happy Feet Two</t>
        </is>
      </c>
      <c r="F3697" t="inlineStr">
        <is>
          <t>F0145</t>
        </is>
      </c>
    </row>
    <row r="3698">
      <c r="A3698" t="inlineStr">
        <is>
          <t>Oscar Beard</t>
        </is>
      </c>
      <c r="B3698" t="n">
        <v>1</v>
      </c>
      <c r="C3698" t="n">
        <v>2011</v>
      </c>
      <c r="D3698" t="n">
        <v>2011</v>
      </c>
      <c r="E3698" t="inlineStr">
        <is>
          <t>Happy Feet Two</t>
        </is>
      </c>
      <c r="F3698" t="inlineStr">
        <is>
          <t>F0145</t>
        </is>
      </c>
    </row>
    <row r="3699">
      <c r="A3699" t="inlineStr">
        <is>
          <t>Anthony LaPaglia</t>
        </is>
      </c>
      <c r="B3699" t="n">
        <v>1</v>
      </c>
      <c r="C3699" t="n">
        <v>2011</v>
      </c>
      <c r="D3699" t="n">
        <v>2011</v>
      </c>
      <c r="E3699" t="inlineStr">
        <is>
          <t>Happy Feet Two</t>
        </is>
      </c>
      <c r="F3699" t="inlineStr">
        <is>
          <t>F0145</t>
        </is>
      </c>
    </row>
    <row r="3700">
      <c r="A3700" t="inlineStr">
        <is>
          <t>Denise Blasor</t>
        </is>
      </c>
      <c r="B3700" t="n">
        <v>1</v>
      </c>
      <c r="C3700" t="n">
        <v>2011</v>
      </c>
      <c r="D3700" t="n">
        <v>2011</v>
      </c>
      <c r="E3700" t="inlineStr">
        <is>
          <t>Happy Feet Two</t>
        </is>
      </c>
      <c r="F3700" t="inlineStr">
        <is>
          <t>F0145</t>
        </is>
      </c>
    </row>
    <row r="3701">
      <c r="A3701" t="inlineStr">
        <is>
          <t>Roger Narayan</t>
        </is>
      </c>
      <c r="B3701" t="n">
        <v>1</v>
      </c>
      <c r="C3701" t="n">
        <v>2011</v>
      </c>
      <c r="D3701" t="n">
        <v>2011</v>
      </c>
      <c r="E3701" t="inlineStr">
        <is>
          <t>Happy Feet Two</t>
        </is>
      </c>
      <c r="F3701" t="inlineStr">
        <is>
          <t>F0145</t>
        </is>
      </c>
    </row>
    <row r="3702">
      <c r="A3702" t="inlineStr">
        <is>
          <t>Mason Cotton</t>
        </is>
      </c>
      <c r="B3702" t="n">
        <v>1</v>
      </c>
      <c r="C3702" t="n">
        <v>2011</v>
      </c>
      <c r="D3702" t="n">
        <v>2011</v>
      </c>
      <c r="E3702" t="inlineStr">
        <is>
          <t>Happy Feet Two</t>
        </is>
      </c>
      <c r="F3702" t="inlineStr">
        <is>
          <t>F0145</t>
        </is>
      </c>
    </row>
    <row r="3703">
      <c r="A3703" t="inlineStr">
        <is>
          <t>Joshua Rush</t>
        </is>
      </c>
      <c r="B3703" t="n">
        <v>1</v>
      </c>
      <c r="C3703" t="n">
        <v>2011</v>
      </c>
      <c r="D3703" t="n">
        <v>2011</v>
      </c>
      <c r="E3703" t="inlineStr">
        <is>
          <t>Happy Feet Two</t>
        </is>
      </c>
      <c r="F3703" t="inlineStr">
        <is>
          <t>F0145</t>
        </is>
      </c>
    </row>
    <row r="3704">
      <c r="A3704" t="inlineStr">
        <is>
          <t>Lillian Garrett-Groag</t>
        </is>
      </c>
      <c r="B3704" t="n">
        <v>1</v>
      </c>
      <c r="C3704" t="n">
        <v>2011</v>
      </c>
      <c r="D3704" t="n">
        <v>2011</v>
      </c>
      <c r="E3704" t="inlineStr">
        <is>
          <t>Happy Feet Two</t>
        </is>
      </c>
      <c r="F3704" t="inlineStr">
        <is>
          <t>F0145</t>
        </is>
      </c>
    </row>
    <row r="3705">
      <c r="A3705" t="inlineStr">
        <is>
          <t>Veena Bidasha</t>
        </is>
      </c>
      <c r="B3705" t="n">
        <v>1</v>
      </c>
      <c r="C3705" t="n">
        <v>2011</v>
      </c>
      <c r="D3705" t="n">
        <v>2011</v>
      </c>
      <c r="E3705" t="inlineStr">
        <is>
          <t>Happy Feet Two</t>
        </is>
      </c>
      <c r="F3705" t="inlineStr">
        <is>
          <t>F0145</t>
        </is>
      </c>
    </row>
    <row r="3706">
      <c r="A3706" t="inlineStr">
        <is>
          <t>Jane Curtin</t>
        </is>
      </c>
      <c r="B3706" t="n">
        <v>1</v>
      </c>
      <c r="C3706" t="n">
        <v>2013</v>
      </c>
      <c r="D3706" t="n">
        <v>2013</v>
      </c>
      <c r="E3706" t="inlineStr">
        <is>
          <t>The Heat</t>
        </is>
      </c>
      <c r="F3706" t="inlineStr">
        <is>
          <t>F0146</t>
        </is>
      </c>
    </row>
    <row r="3707">
      <c r="A3707" t="inlineStr">
        <is>
          <t>Spoken Reasons</t>
        </is>
      </c>
      <c r="B3707" t="n">
        <v>1</v>
      </c>
      <c r="C3707" t="n">
        <v>2013</v>
      </c>
      <c r="D3707" t="n">
        <v>2013</v>
      </c>
      <c r="E3707" t="inlineStr">
        <is>
          <t>The Heat</t>
        </is>
      </c>
      <c r="F3707" t="inlineStr">
        <is>
          <t>F0146</t>
        </is>
      </c>
    </row>
    <row r="3708">
      <c r="A3708" t="inlineStr">
        <is>
          <t>Dan Bakkedahl</t>
        </is>
      </c>
      <c r="B3708" t="n">
        <v>1</v>
      </c>
      <c r="C3708" t="n">
        <v>2013</v>
      </c>
      <c r="D3708" t="n">
        <v>2013</v>
      </c>
      <c r="E3708" t="inlineStr">
        <is>
          <t>The Heat</t>
        </is>
      </c>
      <c r="F3708" t="inlineStr">
        <is>
          <t>F0146</t>
        </is>
      </c>
    </row>
    <row r="3709">
      <c r="A3709" t="inlineStr">
        <is>
          <t>Taran Killam</t>
        </is>
      </c>
      <c r="B3709" t="n">
        <v>2</v>
      </c>
      <c r="C3709" t="n">
        <v>2013</v>
      </c>
      <c r="D3709" t="n">
        <v>2014</v>
      </c>
      <c r="E3709" t="inlineStr">
        <is>
          <t>The Heat, Teenage Mutant Ninja Turtles</t>
        </is>
      </c>
      <c r="F3709" t="inlineStr">
        <is>
          <t>F0146, F0309</t>
        </is>
      </c>
    </row>
    <row r="3710">
      <c r="A3710" t="inlineStr">
        <is>
          <t>Michael McDonald</t>
        </is>
      </c>
      <c r="B3710" t="n">
        <v>2</v>
      </c>
      <c r="C3710" t="n">
        <v>2013</v>
      </c>
      <c r="D3710" t="n">
        <v>2015</v>
      </c>
      <c r="E3710" t="inlineStr">
        <is>
          <t>The Heat, Spy</t>
        </is>
      </c>
      <c r="F3710" t="inlineStr">
        <is>
          <t>F0146, F0290</t>
        </is>
      </c>
    </row>
    <row r="3711">
      <c r="A3711" t="inlineStr">
        <is>
          <t>Peter Weireter</t>
        </is>
      </c>
      <c r="B3711" t="n">
        <v>1</v>
      </c>
      <c r="C3711" t="n">
        <v>2013</v>
      </c>
      <c r="D3711" t="n">
        <v>2013</v>
      </c>
      <c r="E3711" t="inlineStr">
        <is>
          <t>The Heat</t>
        </is>
      </c>
      <c r="F3711" t="inlineStr">
        <is>
          <t>F0146</t>
        </is>
      </c>
    </row>
    <row r="3712">
      <c r="A3712" t="inlineStr">
        <is>
          <t>John Ross Bowie</t>
        </is>
      </c>
      <c r="B3712" t="n">
        <v>1</v>
      </c>
      <c r="C3712" t="n">
        <v>2013</v>
      </c>
      <c r="D3712" t="n">
        <v>2013</v>
      </c>
      <c r="E3712" t="inlineStr">
        <is>
          <t>The Heat</t>
        </is>
      </c>
      <c r="F3712" t="inlineStr">
        <is>
          <t>F0146</t>
        </is>
      </c>
    </row>
    <row r="3713">
      <c r="A3713" t="inlineStr">
        <is>
          <t>William Xifaras</t>
        </is>
      </c>
      <c r="B3713" t="n">
        <v>1</v>
      </c>
      <c r="C3713" t="n">
        <v>2013</v>
      </c>
      <c r="D3713" t="n">
        <v>2013</v>
      </c>
      <c r="E3713" t="inlineStr">
        <is>
          <t>The Heat</t>
        </is>
      </c>
      <c r="F3713" t="inlineStr">
        <is>
          <t>F0146</t>
        </is>
      </c>
    </row>
    <row r="3714">
      <c r="A3714" t="inlineStr">
        <is>
          <t>Cary 'Big Shug' Guy</t>
        </is>
      </c>
      <c r="B3714" t="n">
        <v>1</v>
      </c>
      <c r="C3714" t="n">
        <v>2013</v>
      </c>
      <c r="D3714" t="n">
        <v>2013</v>
      </c>
      <c r="E3714" t="inlineStr">
        <is>
          <t>The Heat</t>
        </is>
      </c>
      <c r="F3714" t="inlineStr">
        <is>
          <t>F0146</t>
        </is>
      </c>
    </row>
    <row r="3715">
      <c r="A3715" t="inlineStr">
        <is>
          <t>Erica Derrickson</t>
        </is>
      </c>
      <c r="B3715" t="n">
        <v>1</v>
      </c>
      <c r="C3715" t="n">
        <v>2013</v>
      </c>
      <c r="D3715" t="n">
        <v>2013</v>
      </c>
      <c r="E3715" t="inlineStr">
        <is>
          <t>The Heat</t>
        </is>
      </c>
      <c r="F3715" t="inlineStr">
        <is>
          <t>F0146</t>
        </is>
      </c>
    </row>
    <row r="3716">
      <c r="A3716" t="inlineStr">
        <is>
          <t>Deirdre Horgan</t>
        </is>
      </c>
      <c r="B3716" t="n">
        <v>1</v>
      </c>
      <c r="C3716" t="n">
        <v>2013</v>
      </c>
      <c r="D3716" t="n">
        <v>2013</v>
      </c>
      <c r="E3716" t="inlineStr">
        <is>
          <t>The Heat</t>
        </is>
      </c>
      <c r="F3716" t="inlineStr">
        <is>
          <t>F0146</t>
        </is>
      </c>
    </row>
    <row r="3717">
      <c r="A3717" t="inlineStr">
        <is>
          <t>William Ambrose Kennedy</t>
        </is>
      </c>
      <c r="B3717" t="n">
        <v>1</v>
      </c>
      <c r="C3717" t="n">
        <v>2013</v>
      </c>
      <c r="D3717" t="n">
        <v>2013</v>
      </c>
      <c r="E3717" t="inlineStr">
        <is>
          <t>The Heat</t>
        </is>
      </c>
      <c r="F3717" t="inlineStr">
        <is>
          <t>F0146</t>
        </is>
      </c>
    </row>
    <row r="3718">
      <c r="A3718" t="inlineStr">
        <is>
          <t>Tony V.</t>
        </is>
      </c>
      <c r="B3718" t="n">
        <v>1</v>
      </c>
      <c r="C3718" t="n">
        <v>2013</v>
      </c>
      <c r="D3718" t="n">
        <v>2013</v>
      </c>
      <c r="E3718" t="inlineStr">
        <is>
          <t>The Heat</t>
        </is>
      </c>
      <c r="F3718" t="inlineStr">
        <is>
          <t>F0146</t>
        </is>
      </c>
    </row>
    <row r="3719">
      <c r="A3719" t="inlineStr">
        <is>
          <t>Amanda Good Hennessey</t>
        </is>
      </c>
      <c r="B3719" t="n">
        <v>1</v>
      </c>
      <c r="C3719" t="n">
        <v>2013</v>
      </c>
      <c r="D3719" t="n">
        <v>2013</v>
      </c>
      <c r="E3719" t="inlineStr">
        <is>
          <t>The Heat</t>
        </is>
      </c>
      <c r="F3719" t="inlineStr">
        <is>
          <t>F0146</t>
        </is>
      </c>
    </row>
    <row r="3720">
      <c r="A3720" t="inlineStr">
        <is>
          <t>Patty Ross</t>
        </is>
      </c>
      <c r="B3720" t="n">
        <v>1</v>
      </c>
      <c r="C3720" t="n">
        <v>2013</v>
      </c>
      <c r="D3720" t="n">
        <v>2013</v>
      </c>
      <c r="E3720" t="inlineStr">
        <is>
          <t>The Heat</t>
        </is>
      </c>
      <c r="F3720" t="inlineStr">
        <is>
          <t>F0146</t>
        </is>
      </c>
    </row>
    <row r="3721">
      <c r="A3721" t="inlineStr">
        <is>
          <t>Ellen Becker Gray</t>
        </is>
      </c>
      <c r="B3721" t="n">
        <v>1</v>
      </c>
      <c r="C3721" t="n">
        <v>2013</v>
      </c>
      <c r="D3721" t="n">
        <v>2013</v>
      </c>
      <c r="E3721" t="inlineStr">
        <is>
          <t>The Heat</t>
        </is>
      </c>
      <c r="F3721" t="inlineStr">
        <is>
          <t>F0146</t>
        </is>
      </c>
    </row>
    <row r="3722">
      <c r="A3722" t="inlineStr">
        <is>
          <t>Don Orsillo</t>
        </is>
      </c>
      <c r="B3722" t="n">
        <v>1</v>
      </c>
      <c r="C3722" t="n">
        <v>2013</v>
      </c>
      <c r="D3722" t="n">
        <v>2013</v>
      </c>
      <c r="E3722" t="inlineStr">
        <is>
          <t>The Heat</t>
        </is>
      </c>
      <c r="F3722" t="inlineStr">
        <is>
          <t>F0146</t>
        </is>
      </c>
    </row>
    <row r="3723">
      <c r="A3723" t="inlineStr">
        <is>
          <t>Adam Ray</t>
        </is>
      </c>
      <c r="B3723" t="n">
        <v>2</v>
      </c>
      <c r="C3723" t="n">
        <v>2013</v>
      </c>
      <c r="D3723" t="n">
        <v>2015</v>
      </c>
      <c r="E3723" t="inlineStr">
        <is>
          <t>The Heat, Spy</t>
        </is>
      </c>
      <c r="F3723" t="inlineStr">
        <is>
          <t>F0146, F0290</t>
        </is>
      </c>
    </row>
    <row r="3724">
      <c r="A3724" t="inlineStr">
        <is>
          <t>Chris Gethard</t>
        </is>
      </c>
      <c r="B3724" t="n">
        <v>1</v>
      </c>
      <c r="C3724" t="n">
        <v>2013</v>
      </c>
      <c r="D3724" t="n">
        <v>2013</v>
      </c>
      <c r="E3724" t="inlineStr">
        <is>
          <t>The Heat</t>
        </is>
      </c>
      <c r="F3724" t="inlineStr">
        <is>
          <t>F0146</t>
        </is>
      </c>
    </row>
    <row r="3725">
      <c r="A3725" t="inlineStr">
        <is>
          <t>Dane Aska</t>
        </is>
      </c>
      <c r="B3725" t="n">
        <v>1</v>
      </c>
      <c r="C3725" t="n">
        <v>2013</v>
      </c>
      <c r="D3725" t="n">
        <v>2013</v>
      </c>
      <c r="E3725" t="inlineStr">
        <is>
          <t>The Heat</t>
        </is>
      </c>
      <c r="F3725" t="inlineStr">
        <is>
          <t>F0146</t>
        </is>
      </c>
    </row>
    <row r="3726">
      <c r="A3726" t="inlineStr">
        <is>
          <t>Joey McIntyre</t>
        </is>
      </c>
      <c r="B3726" t="n">
        <v>1</v>
      </c>
      <c r="C3726" t="n">
        <v>2013</v>
      </c>
      <c r="D3726" t="n">
        <v>2013</v>
      </c>
      <c r="E3726" t="inlineStr">
        <is>
          <t>The Heat</t>
        </is>
      </c>
      <c r="F3726" t="inlineStr">
        <is>
          <t>F0146</t>
        </is>
      </c>
    </row>
    <row r="3727">
      <c r="A3727" t="inlineStr">
        <is>
          <t>Josh Keaton</t>
        </is>
      </c>
      <c r="B3727" t="n">
        <v>2</v>
      </c>
      <c r="C3727" t="n">
        <v>2014</v>
      </c>
      <c r="D3727" t="n">
        <v>2016</v>
      </c>
      <c r="E3727" t="inlineStr">
        <is>
          <t>Hercules, Lego DC Comics Super Heroes: Justice League - Gotham City Breakout</t>
        </is>
      </c>
      <c r="F3727" t="inlineStr">
        <is>
          <t>F0147, F0198</t>
        </is>
      </c>
    </row>
    <row r="3728">
      <c r="A3728" t="inlineStr">
        <is>
          <t>Roger Bart</t>
        </is>
      </c>
      <c r="B3728" t="n">
        <v>2</v>
      </c>
      <c r="C3728" t="n">
        <v>2009</v>
      </c>
      <c r="D3728" t="n">
        <v>2014</v>
      </c>
      <c r="E3728" t="inlineStr">
        <is>
          <t>Hercules, Law Abiding Citizen</t>
        </is>
      </c>
      <c r="F3728" t="inlineStr">
        <is>
          <t>F0147, F0191</t>
        </is>
      </c>
    </row>
    <row r="3729">
      <c r="A3729" t="inlineStr">
        <is>
          <t>Danny DeVito</t>
        </is>
      </c>
      <c r="B3729" t="n">
        <v>1</v>
      </c>
      <c r="C3729" t="n">
        <v>2014</v>
      </c>
      <c r="D3729" t="n">
        <v>2014</v>
      </c>
      <c r="E3729" t="inlineStr">
        <is>
          <t>Hercules</t>
        </is>
      </c>
      <c r="F3729" t="inlineStr">
        <is>
          <t>F0147</t>
        </is>
      </c>
    </row>
    <row r="3730">
      <c r="A3730" t="inlineStr">
        <is>
          <t>James Woods</t>
        </is>
      </c>
      <c r="B3730" t="n">
        <v>2</v>
      </c>
      <c r="C3730" t="n">
        <v>2013</v>
      </c>
      <c r="D3730" t="n">
        <v>2014</v>
      </c>
      <c r="E3730" t="inlineStr">
        <is>
          <t>Hercules, White House Down</t>
        </is>
      </c>
      <c r="F3730" t="inlineStr">
        <is>
          <t>F0147, F0335</t>
        </is>
      </c>
    </row>
    <row r="3731">
      <c r="A3731" t="inlineStr">
        <is>
          <t>Susan Egan</t>
        </is>
      </c>
      <c r="B3731" t="n">
        <v>1</v>
      </c>
      <c r="C3731" t="n">
        <v>2014</v>
      </c>
      <c r="D3731" t="n">
        <v>2014</v>
      </c>
      <c r="E3731" t="inlineStr">
        <is>
          <t>Hercules</t>
        </is>
      </c>
      <c r="F3731" t="inlineStr">
        <is>
          <t>F0147</t>
        </is>
      </c>
    </row>
    <row r="3732">
      <c r="A3732" t="inlineStr">
        <is>
          <t>Bobcat Goldthwait</t>
        </is>
      </c>
      <c r="B3732" t="n">
        <v>1</v>
      </c>
      <c r="C3732" t="n">
        <v>2014</v>
      </c>
      <c r="D3732" t="n">
        <v>2014</v>
      </c>
      <c r="E3732" t="inlineStr">
        <is>
          <t>Hercules</t>
        </is>
      </c>
      <c r="F3732" t="inlineStr">
        <is>
          <t>F0147</t>
        </is>
      </c>
    </row>
    <row r="3733">
      <c r="A3733" t="inlineStr">
        <is>
          <t>Samantha Eggar</t>
        </is>
      </c>
      <c r="B3733" t="n">
        <v>1</v>
      </c>
      <c r="C3733" t="n">
        <v>2014</v>
      </c>
      <c r="D3733" t="n">
        <v>2014</v>
      </c>
      <c r="E3733" t="inlineStr">
        <is>
          <t>Hercules</t>
        </is>
      </c>
      <c r="F3733" t="inlineStr">
        <is>
          <t>F0147</t>
        </is>
      </c>
    </row>
    <row r="3734">
      <c r="A3734" t="inlineStr">
        <is>
          <t>Barbara Barrie</t>
        </is>
      </c>
      <c r="B3734" t="n">
        <v>1</v>
      </c>
      <c r="C3734" t="n">
        <v>2014</v>
      </c>
      <c r="D3734" t="n">
        <v>2014</v>
      </c>
      <c r="E3734" t="inlineStr">
        <is>
          <t>Hercules</t>
        </is>
      </c>
      <c r="F3734" t="inlineStr">
        <is>
          <t>F0147</t>
        </is>
      </c>
    </row>
    <row r="3735">
      <c r="A3735" t="inlineStr">
        <is>
          <t>Hal Holbrook</t>
        </is>
      </c>
      <c r="B3735" t="n">
        <v>1</v>
      </c>
      <c r="C3735" t="n">
        <v>2014</v>
      </c>
      <c r="D3735" t="n">
        <v>2014</v>
      </c>
      <c r="E3735" t="inlineStr">
        <is>
          <t>Hercules</t>
        </is>
      </c>
      <c r="F3735" t="inlineStr">
        <is>
          <t>F0147</t>
        </is>
      </c>
    </row>
    <row r="3736">
      <c r="A3736" t="inlineStr">
        <is>
          <t>Paul Shaffer</t>
        </is>
      </c>
      <c r="B3736" t="n">
        <v>1</v>
      </c>
      <c r="C3736" t="n">
        <v>2014</v>
      </c>
      <c r="D3736" t="n">
        <v>2014</v>
      </c>
      <c r="E3736" t="inlineStr">
        <is>
          <t>Hercules</t>
        </is>
      </c>
      <c r="F3736" t="inlineStr">
        <is>
          <t>F0147</t>
        </is>
      </c>
    </row>
    <row r="3737">
      <c r="A3737" t="inlineStr">
        <is>
          <t>Amanda Plummer</t>
        </is>
      </c>
      <c r="B3737" t="n">
        <v>1</v>
      </c>
      <c r="C3737" t="n">
        <v>2014</v>
      </c>
      <c r="D3737" t="n">
        <v>2014</v>
      </c>
      <c r="E3737" t="inlineStr">
        <is>
          <t>Hercules</t>
        </is>
      </c>
      <c r="F3737" t="inlineStr">
        <is>
          <t>F0147</t>
        </is>
      </c>
    </row>
    <row r="3738">
      <c r="A3738" t="inlineStr">
        <is>
          <t>Carole Shelley</t>
        </is>
      </c>
      <c r="B3738" t="n">
        <v>1</v>
      </c>
      <c r="C3738" t="n">
        <v>2014</v>
      </c>
      <c r="D3738" t="n">
        <v>2014</v>
      </c>
      <c r="E3738" t="inlineStr">
        <is>
          <t>Hercules</t>
        </is>
      </c>
      <c r="F3738" t="inlineStr">
        <is>
          <t>F0147</t>
        </is>
      </c>
    </row>
    <row r="3739">
      <c r="A3739" t="inlineStr">
        <is>
          <t>Paddi Edwards</t>
        </is>
      </c>
      <c r="B3739" t="n">
        <v>1</v>
      </c>
      <c r="C3739" t="n">
        <v>2014</v>
      </c>
      <c r="D3739" t="n">
        <v>2014</v>
      </c>
      <c r="E3739" t="inlineStr">
        <is>
          <t>Hercules</t>
        </is>
      </c>
      <c r="F3739" t="inlineStr">
        <is>
          <t>F0147</t>
        </is>
      </c>
    </row>
    <row r="3740">
      <c r="A3740" t="inlineStr">
        <is>
          <t>Charlton Heston</t>
        </is>
      </c>
      <c r="B3740" t="n">
        <v>1</v>
      </c>
      <c r="C3740" t="n">
        <v>2014</v>
      </c>
      <c r="D3740" t="n">
        <v>2014</v>
      </c>
      <c r="E3740" t="inlineStr">
        <is>
          <t>Hercules</t>
        </is>
      </c>
      <c r="F3740" t="inlineStr">
        <is>
          <t>F0147</t>
        </is>
      </c>
    </row>
    <row r="3741">
      <c r="A3741" t="inlineStr">
        <is>
          <t>Lillias White</t>
        </is>
      </c>
      <c r="B3741" t="n">
        <v>1</v>
      </c>
      <c r="C3741" t="n">
        <v>2014</v>
      </c>
      <c r="D3741" t="n">
        <v>2014</v>
      </c>
      <c r="E3741" t="inlineStr">
        <is>
          <t>Hercules</t>
        </is>
      </c>
      <c r="F3741" t="inlineStr">
        <is>
          <t>F0147</t>
        </is>
      </c>
    </row>
    <row r="3742">
      <c r="A3742" t="inlineStr">
        <is>
          <t>Cheryl Freeman</t>
        </is>
      </c>
      <c r="B3742" t="n">
        <v>1</v>
      </c>
      <c r="C3742" t="n">
        <v>2014</v>
      </c>
      <c r="D3742" t="n">
        <v>2014</v>
      </c>
      <c r="E3742" t="inlineStr">
        <is>
          <t>Hercules</t>
        </is>
      </c>
      <c r="F3742" t="inlineStr">
        <is>
          <t>F0147</t>
        </is>
      </c>
    </row>
    <row r="3743">
      <c r="A3743" t="inlineStr">
        <is>
          <t>LaChanze</t>
        </is>
      </c>
      <c r="B3743" t="n">
        <v>1</v>
      </c>
      <c r="C3743" t="n">
        <v>2014</v>
      </c>
      <c r="D3743" t="n">
        <v>2014</v>
      </c>
      <c r="E3743" t="inlineStr">
        <is>
          <t>Hercules</t>
        </is>
      </c>
      <c r="F3743" t="inlineStr">
        <is>
          <t>F0147</t>
        </is>
      </c>
    </row>
    <row r="3744">
      <c r="A3744" t="inlineStr">
        <is>
          <t>Roz Ryan</t>
        </is>
      </c>
      <c r="B3744" t="n">
        <v>1</v>
      </c>
      <c r="C3744" t="n">
        <v>2014</v>
      </c>
      <c r="D3744" t="n">
        <v>2014</v>
      </c>
      <c r="E3744" t="inlineStr">
        <is>
          <t>Hercules</t>
        </is>
      </c>
      <c r="F3744" t="inlineStr">
        <is>
          <t>F0147</t>
        </is>
      </c>
    </row>
    <row r="3745">
      <c r="A3745" t="inlineStr">
        <is>
          <t>Jim Cummings</t>
        </is>
      </c>
      <c r="B3745" t="n">
        <v>4</v>
      </c>
      <c r="C3745" t="n">
        <v>1994</v>
      </c>
      <c r="D3745" t="n">
        <v>2016</v>
      </c>
      <c r="E3745" t="inlineStr">
        <is>
          <t>Hercules, The Lion King, Minions, The Secret Life of Pets</t>
        </is>
      </c>
      <c r="F3745" t="inlineStr">
        <is>
          <t>F0147, F0200, F0220, F0274</t>
        </is>
      </c>
    </row>
    <row r="3746">
      <c r="A3746" t="inlineStr">
        <is>
          <t>Keith David</t>
        </is>
      </c>
      <c r="B3746" t="n">
        <v>3</v>
      </c>
      <c r="C3746" t="n">
        <v>2005</v>
      </c>
      <c r="D3746" t="n">
        <v>2016</v>
      </c>
      <c r="E3746" t="inlineStr">
        <is>
          <t>Hercules, Mr. &amp; Mrs. Smith, The Nice Guys</t>
        </is>
      </c>
      <c r="F3746" t="inlineStr">
        <is>
          <t>F0147, F0231, F0235</t>
        </is>
      </c>
    </row>
    <row r="3747">
      <c r="A3747" t="inlineStr">
        <is>
          <t>Wayne Knight</t>
        </is>
      </c>
      <c r="B3747" t="n">
        <v>3</v>
      </c>
      <c r="C3747" t="n">
        <v>1993</v>
      </c>
      <c r="D3747" t="n">
        <v>2014</v>
      </c>
      <c r="E3747" t="inlineStr">
        <is>
          <t>Hercules, Jurassic Park, Toy Story 2</t>
        </is>
      </c>
      <c r="F3747" t="inlineStr">
        <is>
          <t>F0147, F0176, F0313</t>
        </is>
      </c>
    </row>
    <row r="3748">
      <c r="A3748" t="inlineStr">
        <is>
          <t>Sherry Lynn</t>
        </is>
      </c>
      <c r="B3748" t="n">
        <v>5</v>
      </c>
      <c r="C3748" t="n">
        <v>1995</v>
      </c>
      <c r="D3748" t="n">
        <v>2015</v>
      </c>
      <c r="E3748" t="inlineStr">
        <is>
          <t>Hercules, Minions, Toy Story, Up, WALL·E</t>
        </is>
      </c>
      <c r="F3748" t="inlineStr">
        <is>
          <t>F0147, F0220, F0312, F0330, F0331</t>
        </is>
      </c>
    </row>
    <row r="3749">
      <c r="A3749" t="inlineStr">
        <is>
          <t>Patrick Pinney</t>
        </is>
      </c>
      <c r="B3749" t="n">
        <v>1</v>
      </c>
      <c r="C3749" t="n">
        <v>2014</v>
      </c>
      <c r="D3749" t="n">
        <v>2014</v>
      </c>
      <c r="E3749" t="inlineStr">
        <is>
          <t>Hercules</t>
        </is>
      </c>
      <c r="F3749" t="inlineStr">
        <is>
          <t>F0147</t>
        </is>
      </c>
    </row>
    <row r="3750">
      <c r="A3750" t="inlineStr">
        <is>
          <t>Corey Burton</t>
        </is>
      </c>
      <c r="B3750" t="n">
        <v>3</v>
      </c>
      <c r="C3750" t="n">
        <v>1986</v>
      </c>
      <c r="D3750" t="n">
        <v>2014</v>
      </c>
      <c r="E3750" t="inlineStr">
        <is>
          <t>Hercules, Toy Story 2, The Transformers: The Movie</t>
        </is>
      </c>
      <c r="F3750" t="inlineStr">
        <is>
          <t>F0147, F0313, F0322</t>
        </is>
      </c>
    </row>
    <row r="3751">
      <c r="A3751" t="inlineStr">
        <is>
          <t>Liam Garrigan</t>
        </is>
      </c>
      <c r="B3751" t="n">
        <v>2</v>
      </c>
      <c r="C3751" t="n">
        <v>2014</v>
      </c>
      <c r="D3751" t="n">
        <v>2017</v>
      </c>
      <c r="E3751" t="inlineStr">
        <is>
          <t>The Legend of Hercules, Transformers: The Last Knight</t>
        </is>
      </c>
      <c r="F3751" t="inlineStr">
        <is>
          <t>F0148, F0320</t>
        </is>
      </c>
    </row>
    <row r="3752">
      <c r="A3752" t="inlineStr">
        <is>
          <t>Johnathon Schaech</t>
        </is>
      </c>
      <c r="B3752" t="n">
        <v>1</v>
      </c>
      <c r="C3752" t="n">
        <v>2014</v>
      </c>
      <c r="D3752" t="n">
        <v>2014</v>
      </c>
      <c r="E3752" t="inlineStr">
        <is>
          <t>The Legend of Hercules</t>
        </is>
      </c>
      <c r="F3752" t="inlineStr">
        <is>
          <t>F0148</t>
        </is>
      </c>
    </row>
    <row r="3753">
      <c r="A3753" t="inlineStr">
        <is>
          <t>Luke Newberry</t>
        </is>
      </c>
      <c r="B3753" t="n">
        <v>1</v>
      </c>
      <c r="C3753" t="n">
        <v>2014</v>
      </c>
      <c r="D3753" t="n">
        <v>2014</v>
      </c>
      <c r="E3753" t="inlineStr">
        <is>
          <t>The Legend of Hercules</t>
        </is>
      </c>
      <c r="F3753" t="inlineStr">
        <is>
          <t>F0148</t>
        </is>
      </c>
    </row>
    <row r="3754">
      <c r="A3754" t="inlineStr">
        <is>
          <t>Nikolai Sotirov</t>
        </is>
      </c>
      <c r="B3754" t="n">
        <v>1</v>
      </c>
      <c r="C3754" t="n">
        <v>2014</v>
      </c>
      <c r="D3754" t="n">
        <v>2014</v>
      </c>
      <c r="E3754" t="inlineStr">
        <is>
          <t>The Legend of Hercules</t>
        </is>
      </c>
      <c r="F3754" t="inlineStr">
        <is>
          <t>F0148</t>
        </is>
      </c>
    </row>
    <row r="3755">
      <c r="A3755" t="inlineStr">
        <is>
          <t>Radoslav Parvanov</t>
        </is>
      </c>
      <c r="B3755" t="n">
        <v>1</v>
      </c>
      <c r="C3755" t="n">
        <v>2014</v>
      </c>
      <c r="D3755" t="n">
        <v>2014</v>
      </c>
      <c r="E3755" t="inlineStr">
        <is>
          <t>The Legend of Hercules</t>
        </is>
      </c>
      <c r="F3755" t="inlineStr">
        <is>
          <t>F0148</t>
        </is>
      </c>
    </row>
    <row r="3756">
      <c r="A3756" t="inlineStr">
        <is>
          <t>Spencer Wilding</t>
        </is>
      </c>
      <c r="B3756" t="n">
        <v>1</v>
      </c>
      <c r="C3756" t="n">
        <v>2014</v>
      </c>
      <c r="D3756" t="n">
        <v>2014</v>
      </c>
      <c r="E3756" t="inlineStr">
        <is>
          <t>The Legend of Hercules</t>
        </is>
      </c>
      <c r="F3756" t="inlineStr">
        <is>
          <t>F0148</t>
        </is>
      </c>
    </row>
    <row r="3757">
      <c r="A3757" t="inlineStr">
        <is>
          <t>Bashar Rahal</t>
        </is>
      </c>
      <c r="B3757" t="n">
        <v>1</v>
      </c>
      <c r="C3757" t="n">
        <v>2014</v>
      </c>
      <c r="D3757" t="n">
        <v>2014</v>
      </c>
      <c r="E3757" t="inlineStr">
        <is>
          <t>The Legend of Hercules</t>
        </is>
      </c>
      <c r="F3757" t="inlineStr">
        <is>
          <t>F0148</t>
        </is>
      </c>
    </row>
    <row r="3758">
      <c r="A3758" t="inlineStr">
        <is>
          <t>Vlado Mihailov</t>
        </is>
      </c>
      <c r="B3758" t="n">
        <v>1</v>
      </c>
      <c r="C3758" t="n">
        <v>2014</v>
      </c>
      <c r="D3758" t="n">
        <v>2014</v>
      </c>
      <c r="E3758" t="inlineStr">
        <is>
          <t>The Legend of Hercules</t>
        </is>
      </c>
      <c r="F3758" t="inlineStr">
        <is>
          <t>F0148</t>
        </is>
      </c>
    </row>
    <row r="3759">
      <c r="A3759" t="inlineStr">
        <is>
          <t>Renny Harlin</t>
        </is>
      </c>
      <c r="B3759" t="n">
        <v>1</v>
      </c>
      <c r="C3759" t="n">
        <v>2014</v>
      </c>
      <c r="D3759" t="n">
        <v>2014</v>
      </c>
      <c r="E3759" t="inlineStr">
        <is>
          <t>The Legend of Hercules</t>
        </is>
      </c>
      <c r="F3759" t="inlineStr">
        <is>
          <t>F0148</t>
        </is>
      </c>
    </row>
    <row r="3760">
      <c r="A3760" t="inlineStr">
        <is>
          <t>Borislav Iliev</t>
        </is>
      </c>
      <c r="B3760" t="n">
        <v>1</v>
      </c>
      <c r="C3760" t="n">
        <v>2014</v>
      </c>
      <c r="D3760" t="n">
        <v>2014</v>
      </c>
      <c r="E3760" t="inlineStr">
        <is>
          <t>The Legend of Hercules</t>
        </is>
      </c>
      <c r="F3760" t="inlineStr">
        <is>
          <t>F0148</t>
        </is>
      </c>
    </row>
    <row r="3761">
      <c r="A3761" t="inlineStr">
        <is>
          <t>Trayan Milenov-Troy</t>
        </is>
      </c>
      <c r="B3761" t="n">
        <v>2</v>
      </c>
      <c r="C3761" t="n">
        <v>2012</v>
      </c>
      <c r="D3761" t="n">
        <v>2014</v>
      </c>
      <c r="E3761" t="inlineStr">
        <is>
          <t>The Legend of Hercules, Safe House</t>
        </is>
      </c>
      <c r="F3761" t="inlineStr">
        <is>
          <t>F0148, F0272</t>
        </is>
      </c>
    </row>
    <row r="3762">
      <c r="A3762" t="inlineStr">
        <is>
          <t>Mariah Gale</t>
        </is>
      </c>
      <c r="B3762" t="n">
        <v>1</v>
      </c>
      <c r="C3762" t="n">
        <v>2014</v>
      </c>
      <c r="D3762" t="n">
        <v>2014</v>
      </c>
      <c r="E3762" t="inlineStr">
        <is>
          <t>The Legend of Hercules</t>
        </is>
      </c>
      <c r="F3762" t="inlineStr">
        <is>
          <t>F0148</t>
        </is>
      </c>
    </row>
    <row r="3763">
      <c r="A3763" t="inlineStr">
        <is>
          <t>Kitodar Todorov</t>
        </is>
      </c>
      <c r="B3763" t="n">
        <v>1</v>
      </c>
      <c r="C3763" t="n">
        <v>2014</v>
      </c>
      <c r="D3763" t="n">
        <v>2014</v>
      </c>
      <c r="E3763" t="inlineStr">
        <is>
          <t>The Legend of Hercules</t>
        </is>
      </c>
      <c r="F3763" t="inlineStr">
        <is>
          <t>F0148</t>
        </is>
      </c>
    </row>
    <row r="3764">
      <c r="A3764" t="inlineStr">
        <is>
          <t>Stefan Shterev</t>
        </is>
      </c>
      <c r="B3764" t="n">
        <v>1</v>
      </c>
      <c r="C3764" t="n">
        <v>2014</v>
      </c>
      <c r="D3764" t="n">
        <v>2014</v>
      </c>
      <c r="E3764" t="inlineStr">
        <is>
          <t>The Legend of Hercules</t>
        </is>
      </c>
      <c r="F3764" t="inlineStr">
        <is>
          <t>F0148</t>
        </is>
      </c>
    </row>
    <row r="3765">
      <c r="A3765" t="inlineStr">
        <is>
          <t>Deana Stoyanova</t>
        </is>
      </c>
      <c r="B3765" t="n">
        <v>1</v>
      </c>
      <c r="C3765" t="n">
        <v>2014</v>
      </c>
      <c r="D3765" t="n">
        <v>2014</v>
      </c>
      <c r="E3765" t="inlineStr">
        <is>
          <t>The Legend of Hercules</t>
        </is>
      </c>
      <c r="F3765" t="inlineStr">
        <is>
          <t>F0148</t>
        </is>
      </c>
    </row>
    <row r="3766">
      <c r="A3766" t="inlineStr">
        <is>
          <t>Borislav Ivanov</t>
        </is>
      </c>
      <c r="B3766" t="n">
        <v>1</v>
      </c>
      <c r="C3766" t="n">
        <v>2014</v>
      </c>
      <c r="D3766" t="n">
        <v>2014</v>
      </c>
      <c r="E3766" t="inlineStr">
        <is>
          <t>The Legend of Hercules</t>
        </is>
      </c>
      <c r="F3766" t="inlineStr">
        <is>
          <t>F0148</t>
        </is>
      </c>
    </row>
    <row r="3767">
      <c r="A3767" t="inlineStr">
        <is>
          <t>Michael Georgiev</t>
        </is>
      </c>
      <c r="B3767" t="n">
        <v>1</v>
      </c>
      <c r="C3767" t="n">
        <v>2014</v>
      </c>
      <c r="D3767" t="n">
        <v>2014</v>
      </c>
      <c r="E3767" t="inlineStr">
        <is>
          <t>The Legend of Hercules</t>
        </is>
      </c>
      <c r="F3767" t="inlineStr">
        <is>
          <t>F0148</t>
        </is>
      </c>
    </row>
    <row r="3768">
      <c r="A3768" t="inlineStr">
        <is>
          <t>Nikolay Petkov</t>
        </is>
      </c>
      <c r="B3768" t="n">
        <v>1</v>
      </c>
      <c r="C3768" t="n">
        <v>2014</v>
      </c>
      <c r="D3768" t="n">
        <v>2014</v>
      </c>
      <c r="E3768" t="inlineStr">
        <is>
          <t>The Legend of Hercules</t>
        </is>
      </c>
      <c r="F3768" t="inlineStr">
        <is>
          <t>F0148</t>
        </is>
      </c>
    </row>
    <row r="3769">
      <c r="A3769" t="inlineStr">
        <is>
          <t>Boris Pankin</t>
        </is>
      </c>
      <c r="B3769" t="n">
        <v>1</v>
      </c>
      <c r="C3769" t="n">
        <v>2014</v>
      </c>
      <c r="D3769" t="n">
        <v>2014</v>
      </c>
      <c r="E3769" t="inlineStr">
        <is>
          <t>The Legend of Hercules</t>
        </is>
      </c>
      <c r="F3769" t="inlineStr">
        <is>
          <t>F0148</t>
        </is>
      </c>
    </row>
    <row r="3770">
      <c r="A3770" t="inlineStr">
        <is>
          <t>Élodie Yung</t>
        </is>
      </c>
      <c r="B3770" t="n">
        <v>1</v>
      </c>
      <c r="C3770" t="n">
        <v>2017</v>
      </c>
      <c r="D3770" t="n">
        <v>2017</v>
      </c>
      <c r="E3770" t="inlineStr">
        <is>
          <t>The Hitman's Bodyguard</t>
        </is>
      </c>
      <c r="F3770" t="inlineStr">
        <is>
          <t>F0149</t>
        </is>
      </c>
    </row>
    <row r="3771">
      <c r="A3771" t="inlineStr">
        <is>
          <t>Richard E. Grant</t>
        </is>
      </c>
      <c r="B3771" t="n">
        <v>3</v>
      </c>
      <c r="C3771" t="n">
        <v>2017</v>
      </c>
      <c r="D3771" t="n">
        <v>2019</v>
      </c>
      <c r="E3771" t="inlineStr">
        <is>
          <t>The Hitman's Bodyguard, Logan, Star Wars: The Rise of Skywalker</t>
        </is>
      </c>
      <c r="F3771" t="inlineStr">
        <is>
          <t>F0149, F0201, F0300</t>
        </is>
      </c>
    </row>
    <row r="3772">
      <c r="A3772" t="inlineStr">
        <is>
          <t>Kirsty Mitchell</t>
        </is>
      </c>
      <c r="B3772" t="n">
        <v>1</v>
      </c>
      <c r="C3772" t="n">
        <v>2017</v>
      </c>
      <c r="D3772" t="n">
        <v>2017</v>
      </c>
      <c r="E3772" t="inlineStr">
        <is>
          <t>The Hitman's Bodyguard</t>
        </is>
      </c>
      <c r="F3772" t="inlineStr">
        <is>
          <t>F0149</t>
        </is>
      </c>
    </row>
    <row r="3773">
      <c r="A3773" t="inlineStr">
        <is>
          <t>Yuri Kolokolnikov</t>
        </is>
      </c>
      <c r="B3773" t="n">
        <v>2</v>
      </c>
      <c r="C3773" t="n">
        <v>2015</v>
      </c>
      <c r="D3773" t="n">
        <v>2017</v>
      </c>
      <c r="E3773" t="inlineStr">
        <is>
          <t>The Hitman's Bodyguard, The Transporter Refueled</t>
        </is>
      </c>
      <c r="F3773" t="inlineStr">
        <is>
          <t>F0149, F0323</t>
        </is>
      </c>
    </row>
    <row r="3774">
      <c r="A3774" t="inlineStr">
        <is>
          <t>Mikhail Gorevoy</t>
        </is>
      </c>
      <c r="B3774" t="n">
        <v>1</v>
      </c>
      <c r="C3774" t="n">
        <v>2017</v>
      </c>
      <c r="D3774" t="n">
        <v>2017</v>
      </c>
      <c r="E3774" t="inlineStr">
        <is>
          <t>The Hitman's Bodyguard</t>
        </is>
      </c>
      <c r="F3774" t="inlineStr">
        <is>
          <t>F0149</t>
        </is>
      </c>
    </row>
    <row r="3775">
      <c r="A3775" t="inlineStr">
        <is>
          <t>Barry Atsma</t>
        </is>
      </c>
      <c r="B3775" t="n">
        <v>1</v>
      </c>
      <c r="C3775" t="n">
        <v>2017</v>
      </c>
      <c r="D3775" t="n">
        <v>2017</v>
      </c>
      <c r="E3775" t="inlineStr">
        <is>
          <t>The Hitman's Bodyguard</t>
        </is>
      </c>
      <c r="F3775" t="inlineStr">
        <is>
          <t>F0149</t>
        </is>
      </c>
    </row>
    <row r="3776">
      <c r="A3776" t="inlineStr">
        <is>
          <t>Georgie Glen</t>
        </is>
      </c>
      <c r="B3776" t="n">
        <v>2</v>
      </c>
      <c r="C3776" t="n">
        <v>2012</v>
      </c>
      <c r="D3776" t="n">
        <v>2017</v>
      </c>
      <c r="E3776" t="inlineStr">
        <is>
          <t>The Hitman's Bodyguard, Les Misérables</t>
        </is>
      </c>
      <c r="F3776" t="inlineStr">
        <is>
          <t>F0149, F0199</t>
        </is>
      </c>
    </row>
    <row r="3777">
      <c r="A3777" t="inlineStr">
        <is>
          <t>Tine Joustra</t>
        </is>
      </c>
      <c r="B3777" t="n">
        <v>1</v>
      </c>
      <c r="C3777" t="n">
        <v>2017</v>
      </c>
      <c r="D3777" t="n">
        <v>2017</v>
      </c>
      <c r="E3777" t="inlineStr">
        <is>
          <t>The Hitman's Bodyguard</t>
        </is>
      </c>
      <c r="F3777" t="inlineStr">
        <is>
          <t>F0149</t>
        </is>
      </c>
    </row>
    <row r="3778">
      <c r="A3778" t="inlineStr">
        <is>
          <t>Joséphine de la Baume</t>
        </is>
      </c>
      <c r="B3778" t="n">
        <v>2</v>
      </c>
      <c r="C3778" t="n">
        <v>2013</v>
      </c>
      <c r="D3778" t="n">
        <v>2017</v>
      </c>
      <c r="E3778" t="inlineStr">
        <is>
          <t>The Hitman's Bodyguard, Rush</t>
        </is>
      </c>
      <c r="F3778" t="inlineStr">
        <is>
          <t>F0149, F0270</t>
        </is>
      </c>
    </row>
    <row r="3779">
      <c r="A3779" t="inlineStr">
        <is>
          <t>Rod Hallett</t>
        </is>
      </c>
      <c r="B3779" t="n">
        <v>1</v>
      </c>
      <c r="C3779" t="n">
        <v>2017</v>
      </c>
      <c r="D3779" t="n">
        <v>2017</v>
      </c>
      <c r="E3779" t="inlineStr">
        <is>
          <t>The Hitman's Bodyguard</t>
        </is>
      </c>
      <c r="F3779" t="inlineStr">
        <is>
          <t>F0149</t>
        </is>
      </c>
    </row>
    <row r="3780">
      <c r="A3780" t="inlineStr">
        <is>
          <t>Abbey Hoes</t>
        </is>
      </c>
      <c r="B3780" t="n">
        <v>1</v>
      </c>
      <c r="C3780" t="n">
        <v>2017</v>
      </c>
      <c r="D3780" t="n">
        <v>2017</v>
      </c>
      <c r="E3780" t="inlineStr">
        <is>
          <t>The Hitman's Bodyguard</t>
        </is>
      </c>
      <c r="F3780" t="inlineStr">
        <is>
          <t>F0149</t>
        </is>
      </c>
    </row>
    <row r="3781">
      <c r="A3781" t="inlineStr">
        <is>
          <t>Lee Nicholas Harris</t>
        </is>
      </c>
      <c r="B3781" t="n">
        <v>1</v>
      </c>
      <c r="C3781" t="n">
        <v>2017</v>
      </c>
      <c r="D3781" t="n">
        <v>2017</v>
      </c>
      <c r="E3781" t="inlineStr">
        <is>
          <t>The Hitman's Bodyguard</t>
        </is>
      </c>
      <c r="F3781" t="inlineStr">
        <is>
          <t>F0149</t>
        </is>
      </c>
    </row>
    <row r="3782">
      <c r="A3782" t="inlineStr">
        <is>
          <t>Nadia Konakchieva</t>
        </is>
      </c>
      <c r="B3782" t="n">
        <v>1</v>
      </c>
      <c r="C3782" t="n">
        <v>2017</v>
      </c>
      <c r="D3782" t="n">
        <v>2017</v>
      </c>
      <c r="E3782" t="inlineStr">
        <is>
          <t>The Hitman's Bodyguard</t>
        </is>
      </c>
      <c r="F3782" t="inlineStr">
        <is>
          <t>F0149</t>
        </is>
      </c>
    </row>
    <row r="3783">
      <c r="A3783" t="inlineStr">
        <is>
          <t>Noortje Herlaar</t>
        </is>
      </c>
      <c r="B3783" t="n">
        <v>1</v>
      </c>
      <c r="C3783" t="n">
        <v>2017</v>
      </c>
      <c r="D3783" t="n">
        <v>2017</v>
      </c>
      <c r="E3783" t="inlineStr">
        <is>
          <t>The Hitman's Bodyguard</t>
        </is>
      </c>
      <c r="F3783" t="inlineStr">
        <is>
          <t>F0149</t>
        </is>
      </c>
    </row>
    <row r="3784">
      <c r="A3784" t="inlineStr">
        <is>
          <t>Chris Brazier</t>
        </is>
      </c>
      <c r="B3784" t="n">
        <v>1</v>
      </c>
      <c r="C3784" t="n">
        <v>2017</v>
      </c>
      <c r="D3784" t="n">
        <v>2017</v>
      </c>
      <c r="E3784" t="inlineStr">
        <is>
          <t>The Hitman's Bodyguard</t>
        </is>
      </c>
      <c r="F3784" t="inlineStr">
        <is>
          <t>F0149</t>
        </is>
      </c>
    </row>
    <row r="3785">
      <c r="A3785" t="inlineStr">
        <is>
          <t>Alan McKenna</t>
        </is>
      </c>
      <c r="B3785" t="n">
        <v>1</v>
      </c>
      <c r="C3785" t="n">
        <v>2017</v>
      </c>
      <c r="D3785" t="n">
        <v>2017</v>
      </c>
      <c r="E3785" t="inlineStr">
        <is>
          <t>The Hitman's Bodyguard</t>
        </is>
      </c>
      <c r="F3785" t="inlineStr">
        <is>
          <t>F0149</t>
        </is>
      </c>
    </row>
    <row r="3786">
      <c r="A3786" t="inlineStr">
        <is>
          <t>Donna Preston</t>
        </is>
      </c>
      <c r="B3786" t="n">
        <v>1</v>
      </c>
      <c r="C3786" t="n">
        <v>2017</v>
      </c>
      <c r="D3786" t="n">
        <v>2017</v>
      </c>
      <c r="E3786" t="inlineStr">
        <is>
          <t>The Hitman's Bodyguard</t>
        </is>
      </c>
      <c r="F3786" t="inlineStr">
        <is>
          <t>F0149</t>
        </is>
      </c>
    </row>
    <row r="3787">
      <c r="A3787" t="inlineStr">
        <is>
          <t>Renars Latkovskis</t>
        </is>
      </c>
      <c r="B3787" t="n">
        <v>1</v>
      </c>
      <c r="C3787" t="n">
        <v>2017</v>
      </c>
      <c r="D3787" t="n">
        <v>2017</v>
      </c>
      <c r="E3787" t="inlineStr">
        <is>
          <t>The Hitman's Bodyguard</t>
        </is>
      </c>
      <c r="F3787" t="inlineStr">
        <is>
          <t>F0149</t>
        </is>
      </c>
    </row>
    <row r="3788">
      <c r="A3788" t="inlineStr">
        <is>
          <t>Samantha Bolter</t>
        </is>
      </c>
      <c r="B3788" t="n">
        <v>1</v>
      </c>
      <c r="C3788" t="n">
        <v>2017</v>
      </c>
      <c r="D3788" t="n">
        <v>2017</v>
      </c>
      <c r="E3788" t="inlineStr">
        <is>
          <t>The Hitman's Bodyguard</t>
        </is>
      </c>
      <c r="F3788" t="inlineStr">
        <is>
          <t>F0149</t>
        </is>
      </c>
    </row>
    <row r="3789">
      <c r="A3789" t="inlineStr">
        <is>
          <t>Russell De Rozario</t>
        </is>
      </c>
      <c r="B3789" t="n">
        <v>1</v>
      </c>
      <c r="C3789" t="n">
        <v>2017</v>
      </c>
      <c r="D3789" t="n">
        <v>2017</v>
      </c>
      <c r="E3789" t="inlineStr">
        <is>
          <t>The Hitman's Bodyguard</t>
        </is>
      </c>
      <c r="F3789" t="inlineStr">
        <is>
          <t>F0149</t>
        </is>
      </c>
    </row>
    <row r="3790">
      <c r="A3790" t="inlineStr">
        <is>
          <t>Antoin Cox</t>
        </is>
      </c>
      <c r="B3790" t="n">
        <v>1</v>
      </c>
      <c r="C3790" t="n">
        <v>2017</v>
      </c>
      <c r="D3790" t="n">
        <v>2017</v>
      </c>
      <c r="E3790" t="inlineStr">
        <is>
          <t>The Hitman's Bodyguard</t>
        </is>
      </c>
      <c r="F3790" t="inlineStr">
        <is>
          <t>F0149</t>
        </is>
      </c>
    </row>
    <row r="3791">
      <c r="A3791" t="inlineStr">
        <is>
          <t>Nicolas de Pruyssenaere</t>
        </is>
      </c>
      <c r="B3791" t="n">
        <v>1</v>
      </c>
      <c r="C3791" t="n">
        <v>2017</v>
      </c>
      <c r="D3791" t="n">
        <v>2017</v>
      </c>
      <c r="E3791" t="inlineStr">
        <is>
          <t>The Hitman's Bodyguard</t>
        </is>
      </c>
      <c r="F3791" t="inlineStr">
        <is>
          <t>F0149</t>
        </is>
      </c>
    </row>
    <row r="3792">
      <c r="A3792" t="inlineStr">
        <is>
          <t>Sylvester McCoy</t>
        </is>
      </c>
      <c r="B3792" t="n">
        <v>3</v>
      </c>
      <c r="C3792" t="n">
        <v>2012</v>
      </c>
      <c r="D3792" t="n">
        <v>2014</v>
      </c>
      <c r="E3792" t="inlineStr">
        <is>
          <t>The Hobbit: An Unexpected Journey, The Hobbit: The Desolation of Smaug, The Hobbit: The Battle of the Five Armies</t>
        </is>
      </c>
      <c r="F3792" t="inlineStr">
        <is>
          <t>F0150, F0151, F0152</t>
        </is>
      </c>
    </row>
    <row r="3793">
      <c r="A3793" t="inlineStr">
        <is>
          <t>Barry Humphries</t>
        </is>
      </c>
      <c r="B3793" t="n">
        <v>1</v>
      </c>
      <c r="C3793" t="n">
        <v>2012</v>
      </c>
      <c r="D3793" t="n">
        <v>2012</v>
      </c>
      <c r="E3793" t="inlineStr">
        <is>
          <t>The Hobbit: An Unexpected Journey</t>
        </is>
      </c>
      <c r="F3793" t="inlineStr">
        <is>
          <t>F0150</t>
        </is>
      </c>
    </row>
    <row r="3794">
      <c r="A3794" t="inlineStr">
        <is>
          <t>Dean O'Gorman</t>
        </is>
      </c>
      <c r="B3794" t="n">
        <v>3</v>
      </c>
      <c r="C3794" t="n">
        <v>2012</v>
      </c>
      <c r="D3794" t="n">
        <v>2014</v>
      </c>
      <c r="E3794" t="inlineStr">
        <is>
          <t>The Hobbit: An Unexpected Journey, The Hobbit: The Desolation of Smaug, The Hobbit: The Battle of the Five Armies</t>
        </is>
      </c>
      <c r="F3794" t="inlineStr">
        <is>
          <t>F0150, F0151, F0152</t>
        </is>
      </c>
    </row>
    <row r="3795">
      <c r="A3795" t="inlineStr">
        <is>
          <t>Aidan Turner</t>
        </is>
      </c>
      <c r="B3795" t="n">
        <v>3</v>
      </c>
      <c r="C3795" t="n">
        <v>2012</v>
      </c>
      <c r="D3795" t="n">
        <v>2014</v>
      </c>
      <c r="E3795" t="inlineStr">
        <is>
          <t>The Hobbit: An Unexpected Journey, The Hobbit: The Desolation of Smaug, The Hobbit: The Battle of the Five Armies</t>
        </is>
      </c>
      <c r="F3795" t="inlineStr">
        <is>
          <t>F0150, F0151, F0152</t>
        </is>
      </c>
    </row>
    <row r="3796">
      <c r="A3796" t="inlineStr">
        <is>
          <t>Adam Brown</t>
        </is>
      </c>
      <c r="B3796" t="n">
        <v>3</v>
      </c>
      <c r="C3796" t="n">
        <v>2012</v>
      </c>
      <c r="D3796" t="n">
        <v>2014</v>
      </c>
      <c r="E3796" t="inlineStr">
        <is>
          <t>The Hobbit: An Unexpected Journey, The Hobbit: The Desolation of Smaug, The Hobbit: The Battle of the Five Armies</t>
        </is>
      </c>
      <c r="F3796" t="inlineStr">
        <is>
          <t>F0150, F0151, F0152</t>
        </is>
      </c>
    </row>
    <row r="3797">
      <c r="A3797" t="inlineStr">
        <is>
          <t>Peter Hambleton</t>
        </is>
      </c>
      <c r="B3797" t="n">
        <v>3</v>
      </c>
      <c r="C3797" t="n">
        <v>2012</v>
      </c>
      <c r="D3797" t="n">
        <v>2014</v>
      </c>
      <c r="E3797" t="inlineStr">
        <is>
          <t>The Hobbit: An Unexpected Journey, The Hobbit: The Desolation of Smaug, The Hobbit: The Battle of the Five Armies</t>
        </is>
      </c>
      <c r="F3797" t="inlineStr">
        <is>
          <t>F0150, F0151, F0152</t>
        </is>
      </c>
    </row>
    <row r="3798">
      <c r="A3798" t="inlineStr">
        <is>
          <t>John Callen</t>
        </is>
      </c>
      <c r="B3798" t="n">
        <v>3</v>
      </c>
      <c r="C3798" t="n">
        <v>2012</v>
      </c>
      <c r="D3798" t="n">
        <v>2014</v>
      </c>
      <c r="E3798" t="inlineStr">
        <is>
          <t>The Hobbit: An Unexpected Journey, The Hobbit: The Desolation of Smaug, The Hobbit: The Battle of the Five Armies</t>
        </is>
      </c>
      <c r="F3798" t="inlineStr">
        <is>
          <t>F0150, F0151, F0152</t>
        </is>
      </c>
    </row>
    <row r="3799">
      <c r="A3799" t="inlineStr">
        <is>
          <t>Mark Hadlow</t>
        </is>
      </c>
      <c r="B3799" t="n">
        <v>4</v>
      </c>
      <c r="C3799" t="n">
        <v>2005</v>
      </c>
      <c r="D3799" t="n">
        <v>2014</v>
      </c>
      <c r="E3799" t="inlineStr">
        <is>
          <t>The Hobbit: An Unexpected Journey, The Hobbit: The Desolation of Smaug, The Hobbit: The Battle of the Five Armies, King Kong</t>
        </is>
      </c>
      <c r="F3799" t="inlineStr">
        <is>
          <t>F0150, F0151, F0152, F0188</t>
        </is>
      </c>
    </row>
    <row r="3800">
      <c r="A3800" t="inlineStr">
        <is>
          <t>William Kircher</t>
        </is>
      </c>
      <c r="B3800" t="n">
        <v>3</v>
      </c>
      <c r="C3800" t="n">
        <v>2012</v>
      </c>
      <c r="D3800" t="n">
        <v>2014</v>
      </c>
      <c r="E3800" t="inlineStr">
        <is>
          <t>The Hobbit: An Unexpected Journey, The Hobbit: The Desolation of Smaug, The Hobbit: The Battle of the Five Armies</t>
        </is>
      </c>
      <c r="F3800" t="inlineStr">
        <is>
          <t>F0150, F0151, F0152</t>
        </is>
      </c>
    </row>
    <row r="3801">
      <c r="A3801" t="inlineStr">
        <is>
          <t>Stephen Hunter</t>
        </is>
      </c>
      <c r="B3801" t="n">
        <v>3</v>
      </c>
      <c r="C3801" t="n">
        <v>2012</v>
      </c>
      <c r="D3801" t="n">
        <v>2014</v>
      </c>
      <c r="E3801" t="inlineStr">
        <is>
          <t>The Hobbit: An Unexpected Journey, The Hobbit: The Desolation of Smaug, The Hobbit: The Battle of the Five Armies</t>
        </is>
      </c>
      <c r="F3801" t="inlineStr">
        <is>
          <t>F0150, F0151, F0152</t>
        </is>
      </c>
    </row>
    <row r="3802">
      <c r="A3802" t="inlineStr">
        <is>
          <t>Lee Pace</t>
        </is>
      </c>
      <c r="B3802" t="n">
        <v>3</v>
      </c>
      <c r="C3802" t="n">
        <v>2012</v>
      </c>
      <c r="D3802" t="n">
        <v>2014</v>
      </c>
      <c r="E3802" t="inlineStr">
        <is>
          <t>The Hobbit: An Unexpected Journey, The Hobbit: The Desolation of Smaug, The Hobbit: The Battle of the Five Armies</t>
        </is>
      </c>
      <c r="F3802" t="inlineStr">
        <is>
          <t>F0150, F0151, F0152</t>
        </is>
      </c>
    </row>
    <row r="3803">
      <c r="A3803" t="inlineStr">
        <is>
          <t>Manu Bennett</t>
        </is>
      </c>
      <c r="B3803" t="n">
        <v>2</v>
      </c>
      <c r="C3803" t="n">
        <v>2012</v>
      </c>
      <c r="D3803" t="n">
        <v>2013</v>
      </c>
      <c r="E3803" t="inlineStr">
        <is>
          <t>The Hobbit: An Unexpected Journey, The Hobbit: The Desolation of Smaug</t>
        </is>
      </c>
      <c r="F3803" t="inlineStr">
        <is>
          <t>F0150, F0151</t>
        </is>
      </c>
    </row>
    <row r="3804">
      <c r="A3804" t="inlineStr">
        <is>
          <t>Conan Stevens</t>
        </is>
      </c>
      <c r="B3804" t="n">
        <v>1</v>
      </c>
      <c r="C3804" t="n">
        <v>2012</v>
      </c>
      <c r="D3804" t="n">
        <v>2012</v>
      </c>
      <c r="E3804" t="inlineStr">
        <is>
          <t>The Hobbit: An Unexpected Journey</t>
        </is>
      </c>
      <c r="F3804" t="inlineStr">
        <is>
          <t>F0150</t>
        </is>
      </c>
    </row>
    <row r="3805">
      <c r="A3805" t="inlineStr">
        <is>
          <t>Jeffrey Thomas</t>
        </is>
      </c>
      <c r="B3805" t="n">
        <v>1</v>
      </c>
      <c r="C3805" t="n">
        <v>2012</v>
      </c>
      <c r="D3805" t="n">
        <v>2012</v>
      </c>
      <c r="E3805" t="inlineStr">
        <is>
          <t>The Hobbit: An Unexpected Journey</t>
        </is>
      </c>
      <c r="F3805" t="inlineStr">
        <is>
          <t>F0150</t>
        </is>
      </c>
    </row>
    <row r="3806">
      <c r="A3806" t="inlineStr">
        <is>
          <t>Michael Mizrahi</t>
        </is>
      </c>
      <c r="B3806" t="n">
        <v>1</v>
      </c>
      <c r="C3806" t="n">
        <v>2012</v>
      </c>
      <c r="D3806" t="n">
        <v>2012</v>
      </c>
      <c r="E3806" t="inlineStr">
        <is>
          <t>The Hobbit: An Unexpected Journey</t>
        </is>
      </c>
      <c r="F3806" t="inlineStr">
        <is>
          <t>F0150</t>
        </is>
      </c>
    </row>
    <row r="3807">
      <c r="A3807" t="inlineStr">
        <is>
          <t>John Rawls</t>
        </is>
      </c>
      <c r="B3807" t="n">
        <v>1</v>
      </c>
      <c r="C3807" t="n">
        <v>2012</v>
      </c>
      <c r="D3807" t="n">
        <v>2012</v>
      </c>
      <c r="E3807" t="inlineStr">
        <is>
          <t>The Hobbit: An Unexpected Journey</t>
        </is>
      </c>
      <c r="F3807" t="inlineStr">
        <is>
          <t>F0150</t>
        </is>
      </c>
    </row>
    <row r="3808">
      <c r="A3808" t="inlineStr">
        <is>
          <t>Stephen Fry</t>
        </is>
      </c>
      <c r="B3808" t="n">
        <v>3</v>
      </c>
      <c r="C3808" t="n">
        <v>2011</v>
      </c>
      <c r="D3808" t="n">
        <v>2014</v>
      </c>
      <c r="E3808" t="inlineStr">
        <is>
          <t>The Hobbit: The Desolation of Smaug, The Hobbit: The Battle of the Five Armies, Sherlock Holmes: A Game of Shadows</t>
        </is>
      </c>
      <c r="F3808" t="inlineStr">
        <is>
          <t>F0151, F0152, F0279</t>
        </is>
      </c>
    </row>
    <row r="3809">
      <c r="A3809" t="inlineStr">
        <is>
          <t>Mikael Persbrandt</t>
        </is>
      </c>
      <c r="B3809" t="n">
        <v>2</v>
      </c>
      <c r="C3809" t="n">
        <v>2013</v>
      </c>
      <c r="D3809" t="n">
        <v>2014</v>
      </c>
      <c r="E3809" t="inlineStr">
        <is>
          <t>The Hobbit: The Desolation of Smaug, The Hobbit: The Battle of the Five Armies</t>
        </is>
      </c>
      <c r="F3809" t="inlineStr">
        <is>
          <t>F0151, F0152</t>
        </is>
      </c>
    </row>
    <row r="3810">
      <c r="A3810" t="inlineStr">
        <is>
          <t>Ryan Gage</t>
        </is>
      </c>
      <c r="B3810" t="n">
        <v>2</v>
      </c>
      <c r="C3810" t="n">
        <v>2013</v>
      </c>
      <c r="D3810" t="n">
        <v>2014</v>
      </c>
      <c r="E3810" t="inlineStr">
        <is>
          <t>The Hobbit: The Desolation of Smaug, The Hobbit: The Battle of the Five Armies</t>
        </is>
      </c>
      <c r="F3810" t="inlineStr">
        <is>
          <t>F0151, F0152</t>
        </is>
      </c>
    </row>
    <row r="3811">
      <c r="A3811" t="inlineStr">
        <is>
          <t>John Bell</t>
        </is>
      </c>
      <c r="B3811" t="n">
        <v>2</v>
      </c>
      <c r="C3811" t="n">
        <v>2013</v>
      </c>
      <c r="D3811" t="n">
        <v>2014</v>
      </c>
      <c r="E3811" t="inlineStr">
        <is>
          <t>The Hobbit: The Desolation of Smaug, The Hobbit: The Battle of the Five Armies</t>
        </is>
      </c>
      <c r="F3811" t="inlineStr">
        <is>
          <t>F0151, F0152</t>
        </is>
      </c>
    </row>
    <row r="3812">
      <c r="A3812" t="inlineStr">
        <is>
          <t>Lawrence Makoare</t>
        </is>
      </c>
      <c r="B3812" t="n">
        <v>3</v>
      </c>
      <c r="C3812" t="n">
        <v>2001</v>
      </c>
      <c r="D3812" t="n">
        <v>2013</v>
      </c>
      <c r="E3812" t="inlineStr">
        <is>
          <t>The Hobbit: The Desolation of Smaug, The Lord of the Rings: The Fellowship of the Ring, The Lord of the Rings: The Return of the King</t>
        </is>
      </c>
      <c r="F3812" t="inlineStr">
        <is>
          <t>F0151, F0203, F0205</t>
        </is>
      </c>
    </row>
    <row r="3813">
      <c r="A3813" t="inlineStr">
        <is>
          <t>Peggy Nesbitt</t>
        </is>
      </c>
      <c r="B3813" t="n">
        <v>1</v>
      </c>
      <c r="C3813" t="n">
        <v>2013</v>
      </c>
      <c r="D3813" t="n">
        <v>2013</v>
      </c>
      <c r="E3813" t="inlineStr">
        <is>
          <t>The Hobbit: The Desolation of Smaug</t>
        </is>
      </c>
      <c r="F3813" t="inlineStr">
        <is>
          <t>F0151</t>
        </is>
      </c>
    </row>
    <row r="3814">
      <c r="A3814" t="inlineStr">
        <is>
          <t>Mary Nesbitt</t>
        </is>
      </c>
      <c r="B3814" t="n">
        <v>1</v>
      </c>
      <c r="C3814" t="n">
        <v>2013</v>
      </c>
      <c r="D3814" t="n">
        <v>2013</v>
      </c>
      <c r="E3814" t="inlineStr">
        <is>
          <t>The Hobbit: The Desolation of Smaug</t>
        </is>
      </c>
      <c r="F3814" t="inlineStr">
        <is>
          <t>F0151</t>
        </is>
      </c>
    </row>
    <row r="3815">
      <c r="A3815" t="inlineStr">
        <is>
          <t>Billy Connolly</t>
        </is>
      </c>
      <c r="B3815" t="n">
        <v>1</v>
      </c>
      <c r="C3815" t="n">
        <v>2014</v>
      </c>
      <c r="D3815" t="n">
        <v>2014</v>
      </c>
      <c r="E3815" t="inlineStr">
        <is>
          <t>The Hobbit: The Battle of the Five Armies</t>
        </is>
      </c>
      <c r="F3815" t="inlineStr">
        <is>
          <t>F0152</t>
        </is>
      </c>
    </row>
    <row r="3816">
      <c r="A3816" t="inlineStr">
        <is>
          <t>Brian Stepanek</t>
        </is>
      </c>
      <c r="B3816" t="n">
        <v>1</v>
      </c>
      <c r="C3816" t="n">
        <v>2015</v>
      </c>
      <c r="D3816" t="n">
        <v>2015</v>
      </c>
      <c r="E3816" t="inlineStr">
        <is>
          <t>Home</t>
        </is>
      </c>
      <c r="F3816" t="inlineStr">
        <is>
          <t>F0153</t>
        </is>
      </c>
    </row>
    <row r="3817">
      <c r="A3817" t="inlineStr">
        <is>
          <t>April Lawrence</t>
        </is>
      </c>
      <c r="B3817" t="n">
        <v>1</v>
      </c>
      <c r="C3817" t="n">
        <v>2015</v>
      </c>
      <c r="D3817" t="n">
        <v>2015</v>
      </c>
      <c r="E3817" t="inlineStr">
        <is>
          <t>Home</t>
        </is>
      </c>
      <c r="F3817" t="inlineStr">
        <is>
          <t>F0153</t>
        </is>
      </c>
    </row>
    <row r="3818">
      <c r="A3818" t="inlineStr">
        <is>
          <t>Lisa Stewart</t>
        </is>
      </c>
      <c r="B3818" t="n">
        <v>1</v>
      </c>
      <c r="C3818" t="n">
        <v>2015</v>
      </c>
      <c r="D3818" t="n">
        <v>2015</v>
      </c>
      <c r="E3818" t="inlineStr">
        <is>
          <t>Home</t>
        </is>
      </c>
      <c r="F3818" t="inlineStr">
        <is>
          <t>F0153</t>
        </is>
      </c>
    </row>
    <row r="3819">
      <c r="A3819" t="inlineStr">
        <is>
          <t>Stephen Kearin</t>
        </is>
      </c>
      <c r="B3819" t="n">
        <v>1</v>
      </c>
      <c r="C3819" t="n">
        <v>2015</v>
      </c>
      <c r="D3819" t="n">
        <v>2015</v>
      </c>
      <c r="E3819" t="inlineStr">
        <is>
          <t>Home</t>
        </is>
      </c>
      <c r="F3819" t="inlineStr">
        <is>
          <t>F0153</t>
        </is>
      </c>
    </row>
    <row r="3820">
      <c r="A3820" t="inlineStr">
        <is>
          <t>April Winchell</t>
        </is>
      </c>
      <c r="B3820" t="n">
        <v>2</v>
      </c>
      <c r="C3820" t="n">
        <v>2015</v>
      </c>
      <c r="D3820" t="n">
        <v>2015</v>
      </c>
      <c r="E3820" t="inlineStr">
        <is>
          <t>Home, Lego DC Comics Super Heroes: Justice League vs. Bizarro League</t>
        </is>
      </c>
      <c r="F3820" t="inlineStr">
        <is>
          <t>F0153, F0197</t>
        </is>
      </c>
    </row>
    <row r="3821">
      <c r="A3821" t="inlineStr">
        <is>
          <t>Robin Atkin Downes</t>
        </is>
      </c>
      <c r="B3821" t="n">
        <v>1</v>
      </c>
      <c r="C3821" t="n">
        <v>2010</v>
      </c>
      <c r="D3821" t="n">
        <v>2010</v>
      </c>
      <c r="E3821" t="inlineStr">
        <is>
          <t>How to Train Your Dragon</t>
        </is>
      </c>
      <c r="F3821" t="inlineStr">
        <is>
          <t>F0154</t>
        </is>
      </c>
    </row>
    <row r="3822">
      <c r="A3822" t="inlineStr">
        <is>
          <t>Philip McGrade</t>
        </is>
      </c>
      <c r="B3822" t="n">
        <v>2</v>
      </c>
      <c r="C3822" t="n">
        <v>2010</v>
      </c>
      <c r="D3822" t="n">
        <v>2014</v>
      </c>
      <c r="E3822" t="inlineStr">
        <is>
          <t>How to Train Your Dragon, How to Train Your Dragon 2</t>
        </is>
      </c>
      <c r="F3822" t="inlineStr">
        <is>
          <t>F0154, F0155</t>
        </is>
      </c>
    </row>
    <row r="3823">
      <c r="A3823" t="inlineStr">
        <is>
          <t>Kieron Elliott</t>
        </is>
      </c>
      <c r="B3823" t="n">
        <v>2</v>
      </c>
      <c r="C3823" t="n">
        <v>2010</v>
      </c>
      <c r="D3823" t="n">
        <v>2014</v>
      </c>
      <c r="E3823" t="inlineStr">
        <is>
          <t>How to Train Your Dragon, How to Train Your Dragon 2</t>
        </is>
      </c>
      <c r="F3823" t="inlineStr">
        <is>
          <t>F0154, F0155</t>
        </is>
      </c>
    </row>
    <row r="3824">
      <c r="A3824" t="inlineStr">
        <is>
          <t>Ashley Jensen</t>
        </is>
      </c>
      <c r="B3824" t="n">
        <v>1</v>
      </c>
      <c r="C3824" t="n">
        <v>2010</v>
      </c>
      <c r="D3824" t="n">
        <v>2010</v>
      </c>
      <c r="E3824" t="inlineStr">
        <is>
          <t>How to Train Your Dragon</t>
        </is>
      </c>
      <c r="F3824" t="inlineStr">
        <is>
          <t>F0154</t>
        </is>
      </c>
    </row>
    <row r="3825">
      <c r="A3825" t="inlineStr">
        <is>
          <t>Kit Harington</t>
        </is>
      </c>
      <c r="B3825" t="n">
        <v>1</v>
      </c>
      <c r="C3825" t="n">
        <v>2014</v>
      </c>
      <c r="D3825" t="n">
        <v>2014</v>
      </c>
      <c r="E3825" t="inlineStr">
        <is>
          <t>How to Train Your Dragon 2</t>
        </is>
      </c>
      <c r="F3825" t="inlineStr">
        <is>
          <t>F0155</t>
        </is>
      </c>
    </row>
    <row r="3826">
      <c r="A3826" t="inlineStr">
        <is>
          <t>Andrew Ableson</t>
        </is>
      </c>
      <c r="B3826" t="n">
        <v>1</v>
      </c>
      <c r="C3826" t="n">
        <v>2014</v>
      </c>
      <c r="D3826" t="n">
        <v>2014</v>
      </c>
      <c r="E3826" t="inlineStr">
        <is>
          <t>How to Train Your Dragon 2</t>
        </is>
      </c>
      <c r="F3826" t="inlineStr">
        <is>
          <t>F0155</t>
        </is>
      </c>
    </row>
    <row r="3827">
      <c r="A3827" t="inlineStr">
        <is>
          <t>Gideon Emery</t>
        </is>
      </c>
      <c r="B3827" t="n">
        <v>1</v>
      </c>
      <c r="C3827" t="n">
        <v>2014</v>
      </c>
      <c r="D3827" t="n">
        <v>2014</v>
      </c>
      <c r="E3827" t="inlineStr">
        <is>
          <t>How to Train Your Dragon 2</t>
        </is>
      </c>
      <c r="F3827" t="inlineStr">
        <is>
          <t>F0155</t>
        </is>
      </c>
    </row>
    <row r="3828">
      <c r="A3828" t="inlineStr">
        <is>
          <t>Youssef Kerkour</t>
        </is>
      </c>
      <c r="B3828" t="n">
        <v>1</v>
      </c>
      <c r="C3828" t="n">
        <v>2013</v>
      </c>
      <c r="D3828" t="n">
        <v>2013</v>
      </c>
      <c r="E3828" t="inlineStr">
        <is>
          <t>Hummingbird</t>
        </is>
      </c>
      <c r="F3828" t="inlineStr">
        <is>
          <t>F0156</t>
        </is>
      </c>
    </row>
    <row r="3829">
      <c r="A3829" t="inlineStr">
        <is>
          <t>Anthony Morris</t>
        </is>
      </c>
      <c r="B3829" t="n">
        <v>1</v>
      </c>
      <c r="C3829" t="n">
        <v>2013</v>
      </c>
      <c r="D3829" t="n">
        <v>2013</v>
      </c>
      <c r="E3829" t="inlineStr">
        <is>
          <t>Hummingbird</t>
        </is>
      </c>
      <c r="F3829" t="inlineStr">
        <is>
          <t>F0156</t>
        </is>
      </c>
    </row>
    <row r="3830">
      <c r="A3830" t="inlineStr">
        <is>
          <t>Victoria Bewick</t>
        </is>
      </c>
      <c r="B3830" t="n">
        <v>1</v>
      </c>
      <c r="C3830" t="n">
        <v>2013</v>
      </c>
      <c r="D3830" t="n">
        <v>2013</v>
      </c>
      <c r="E3830" t="inlineStr">
        <is>
          <t>Hummingbird</t>
        </is>
      </c>
      <c r="F3830" t="inlineStr">
        <is>
          <t>F0156</t>
        </is>
      </c>
    </row>
    <row r="3831">
      <c r="A3831" t="inlineStr">
        <is>
          <t>Christian Brassington</t>
        </is>
      </c>
      <c r="B3831" t="n">
        <v>1</v>
      </c>
      <c r="C3831" t="n">
        <v>2013</v>
      </c>
      <c r="D3831" t="n">
        <v>2013</v>
      </c>
      <c r="E3831" t="inlineStr">
        <is>
          <t>Hummingbird</t>
        </is>
      </c>
      <c r="F3831" t="inlineStr">
        <is>
          <t>F0156</t>
        </is>
      </c>
    </row>
    <row r="3832">
      <c r="A3832" t="inlineStr">
        <is>
          <t>Sang Lui</t>
        </is>
      </c>
      <c r="B3832" t="n">
        <v>1</v>
      </c>
      <c r="C3832" t="n">
        <v>2013</v>
      </c>
      <c r="D3832" t="n">
        <v>2013</v>
      </c>
      <c r="E3832" t="inlineStr">
        <is>
          <t>Hummingbird</t>
        </is>
      </c>
      <c r="F3832" t="inlineStr">
        <is>
          <t>F0156</t>
        </is>
      </c>
    </row>
    <row r="3833">
      <c r="A3833" t="inlineStr">
        <is>
          <t>Bruce Wang</t>
        </is>
      </c>
      <c r="B3833" t="n">
        <v>1</v>
      </c>
      <c r="C3833" t="n">
        <v>2013</v>
      </c>
      <c r="D3833" t="n">
        <v>2013</v>
      </c>
      <c r="E3833" t="inlineStr">
        <is>
          <t>Hummingbird</t>
        </is>
      </c>
      <c r="F3833" t="inlineStr">
        <is>
          <t>F0156</t>
        </is>
      </c>
    </row>
    <row r="3834">
      <c r="A3834" t="inlineStr">
        <is>
          <t>Siobhan Hewlett</t>
        </is>
      </c>
      <c r="B3834" t="n">
        <v>1</v>
      </c>
      <c r="C3834" t="n">
        <v>2013</v>
      </c>
      <c r="D3834" t="n">
        <v>2013</v>
      </c>
      <c r="E3834" t="inlineStr">
        <is>
          <t>Hummingbird</t>
        </is>
      </c>
      <c r="F3834" t="inlineStr">
        <is>
          <t>F0156</t>
        </is>
      </c>
    </row>
    <row r="3835">
      <c r="A3835" t="inlineStr">
        <is>
          <t>Steven Beard</t>
        </is>
      </c>
      <c r="B3835" t="n">
        <v>1</v>
      </c>
      <c r="C3835" t="n">
        <v>2013</v>
      </c>
      <c r="D3835" t="n">
        <v>2013</v>
      </c>
      <c r="E3835" t="inlineStr">
        <is>
          <t>Hummingbird</t>
        </is>
      </c>
      <c r="F3835" t="inlineStr">
        <is>
          <t>F0156</t>
        </is>
      </c>
    </row>
    <row r="3836">
      <c r="A3836" t="inlineStr">
        <is>
          <t>John Killoran</t>
        </is>
      </c>
      <c r="B3836" t="n">
        <v>1</v>
      </c>
      <c r="C3836" t="n">
        <v>2013</v>
      </c>
      <c r="D3836" t="n">
        <v>2013</v>
      </c>
      <c r="E3836" t="inlineStr">
        <is>
          <t>Hummingbird</t>
        </is>
      </c>
      <c r="F3836" t="inlineStr">
        <is>
          <t>F0156</t>
        </is>
      </c>
    </row>
    <row r="3837">
      <c r="A3837" t="inlineStr">
        <is>
          <t>Lillie Buttery</t>
        </is>
      </c>
      <c r="B3837" t="n">
        <v>1</v>
      </c>
      <c r="C3837" t="n">
        <v>2013</v>
      </c>
      <c r="D3837" t="n">
        <v>2013</v>
      </c>
      <c r="E3837" t="inlineStr">
        <is>
          <t>Hummingbird</t>
        </is>
      </c>
      <c r="F3837" t="inlineStr">
        <is>
          <t>F0156</t>
        </is>
      </c>
    </row>
    <row r="3838">
      <c r="A3838" t="inlineStr">
        <is>
          <t>Adam Skeats</t>
        </is>
      </c>
      <c r="B3838" t="n">
        <v>1</v>
      </c>
      <c r="C3838" t="n">
        <v>2013</v>
      </c>
      <c r="D3838" t="n">
        <v>2013</v>
      </c>
      <c r="E3838" t="inlineStr">
        <is>
          <t>Hummingbird</t>
        </is>
      </c>
      <c r="F3838" t="inlineStr">
        <is>
          <t>F0156</t>
        </is>
      </c>
    </row>
    <row r="3839">
      <c r="A3839" t="inlineStr">
        <is>
          <t>Macey Chipping</t>
        </is>
      </c>
      <c r="B3839" t="n">
        <v>1</v>
      </c>
      <c r="C3839" t="n">
        <v>2013</v>
      </c>
      <c r="D3839" t="n">
        <v>2013</v>
      </c>
      <c r="E3839" t="inlineStr">
        <is>
          <t>Hummingbird</t>
        </is>
      </c>
      <c r="F3839" t="inlineStr">
        <is>
          <t>F0156</t>
        </is>
      </c>
    </row>
    <row r="3840">
      <c r="A3840" t="inlineStr">
        <is>
          <t>Emaa Hussen</t>
        </is>
      </c>
      <c r="B3840" t="n">
        <v>1</v>
      </c>
      <c r="C3840" t="n">
        <v>2013</v>
      </c>
      <c r="D3840" t="n">
        <v>2013</v>
      </c>
      <c r="E3840" t="inlineStr">
        <is>
          <t>Hummingbird</t>
        </is>
      </c>
      <c r="F3840" t="inlineStr">
        <is>
          <t>F0156</t>
        </is>
      </c>
    </row>
    <row r="3841">
      <c r="A3841" t="inlineStr">
        <is>
          <t>Ed Gaughan</t>
        </is>
      </c>
      <c r="B3841" t="n">
        <v>1</v>
      </c>
      <c r="C3841" t="n">
        <v>2013</v>
      </c>
      <c r="D3841" t="n">
        <v>2013</v>
      </c>
      <c r="E3841" t="inlineStr">
        <is>
          <t>Hummingbird</t>
        </is>
      </c>
      <c r="F3841" t="inlineStr">
        <is>
          <t>F0156</t>
        </is>
      </c>
    </row>
    <row r="3842">
      <c r="A3842" t="inlineStr">
        <is>
          <t>Ian Pirie</t>
        </is>
      </c>
      <c r="B3842" t="n">
        <v>2</v>
      </c>
      <c r="C3842" t="n">
        <v>2012</v>
      </c>
      <c r="D3842" t="n">
        <v>2013</v>
      </c>
      <c r="E3842" t="inlineStr">
        <is>
          <t>Hummingbird, Les Misérables</t>
        </is>
      </c>
      <c r="F3842" t="inlineStr">
        <is>
          <t>F0156, F0199</t>
        </is>
      </c>
    </row>
    <row r="3843">
      <c r="A3843" t="inlineStr">
        <is>
          <t>Sheng-Chien Tsai</t>
        </is>
      </c>
      <c r="B3843" t="n">
        <v>1</v>
      </c>
      <c r="C3843" t="n">
        <v>2013</v>
      </c>
      <c r="D3843" t="n">
        <v>2013</v>
      </c>
      <c r="E3843" t="inlineStr">
        <is>
          <t>Hummingbird</t>
        </is>
      </c>
      <c r="F3843" t="inlineStr">
        <is>
          <t>F0156</t>
        </is>
      </c>
    </row>
    <row r="3844">
      <c r="A3844" t="inlineStr">
        <is>
          <t>Josef Altin</t>
        </is>
      </c>
      <c r="B3844" t="n">
        <v>1</v>
      </c>
      <c r="C3844" t="n">
        <v>2013</v>
      </c>
      <c r="D3844" t="n">
        <v>2013</v>
      </c>
      <c r="E3844" t="inlineStr">
        <is>
          <t>Hummingbird</t>
        </is>
      </c>
      <c r="F3844" t="inlineStr">
        <is>
          <t>F0156</t>
        </is>
      </c>
    </row>
    <row r="3845">
      <c r="A3845" t="inlineStr">
        <is>
          <t>Christopher Logan</t>
        </is>
      </c>
      <c r="B3845" t="n">
        <v>1</v>
      </c>
      <c r="C3845" t="n">
        <v>2013</v>
      </c>
      <c r="D3845" t="n">
        <v>2013</v>
      </c>
      <c r="E3845" t="inlineStr">
        <is>
          <t>Hummingbird</t>
        </is>
      </c>
      <c r="F3845" t="inlineStr">
        <is>
          <t>F0156</t>
        </is>
      </c>
    </row>
    <row r="3846">
      <c r="A3846" t="inlineStr">
        <is>
          <t>Jeff Mirza</t>
        </is>
      </c>
      <c r="B3846" t="n">
        <v>1</v>
      </c>
      <c r="C3846" t="n">
        <v>2013</v>
      </c>
      <c r="D3846" t="n">
        <v>2013</v>
      </c>
      <c r="E3846" t="inlineStr">
        <is>
          <t>Hummingbird</t>
        </is>
      </c>
      <c r="F3846" t="inlineStr">
        <is>
          <t>F0156</t>
        </is>
      </c>
    </row>
    <row r="3847">
      <c r="A3847" t="inlineStr">
        <is>
          <t>Emily Lue-Fong</t>
        </is>
      </c>
      <c r="B3847" t="n">
        <v>1</v>
      </c>
      <c r="C3847" t="n">
        <v>2013</v>
      </c>
      <c r="D3847" t="n">
        <v>2013</v>
      </c>
      <c r="E3847" t="inlineStr">
        <is>
          <t>Hummingbird</t>
        </is>
      </c>
      <c r="F3847" t="inlineStr">
        <is>
          <t>F0156</t>
        </is>
      </c>
    </row>
    <row r="3848">
      <c r="A3848" t="inlineStr">
        <is>
          <t>Michelle Wen Lee</t>
        </is>
      </c>
      <c r="B3848" t="n">
        <v>1</v>
      </c>
      <c r="C3848" t="n">
        <v>2013</v>
      </c>
      <c r="D3848" t="n">
        <v>2013</v>
      </c>
      <c r="E3848" t="inlineStr">
        <is>
          <t>Hummingbird</t>
        </is>
      </c>
      <c r="F3848" t="inlineStr">
        <is>
          <t>F0156</t>
        </is>
      </c>
    </row>
    <row r="3849">
      <c r="A3849" t="inlineStr">
        <is>
          <t>Joseph Long</t>
        </is>
      </c>
      <c r="B3849" t="n">
        <v>1</v>
      </c>
      <c r="C3849" t="n">
        <v>2013</v>
      </c>
      <c r="D3849" t="n">
        <v>2013</v>
      </c>
      <c r="E3849" t="inlineStr">
        <is>
          <t>Hummingbird</t>
        </is>
      </c>
      <c r="F3849" t="inlineStr">
        <is>
          <t>F0156</t>
        </is>
      </c>
    </row>
    <row r="3850">
      <c r="A3850" t="inlineStr">
        <is>
          <t>Lenny Kravitz</t>
        </is>
      </c>
      <c r="B3850" t="n">
        <v>1</v>
      </c>
      <c r="C3850" t="n">
        <v>2012</v>
      </c>
      <c r="D3850" t="n">
        <v>2012</v>
      </c>
      <c r="E3850" t="inlineStr">
        <is>
          <t>The Hunger Games</t>
        </is>
      </c>
      <c r="F3850" t="inlineStr">
        <is>
          <t>F0157</t>
        </is>
      </c>
    </row>
    <row r="3851">
      <c r="A3851" t="inlineStr">
        <is>
          <t>Donald Sutherland</t>
        </is>
      </c>
      <c r="B3851" t="n">
        <v>2</v>
      </c>
      <c r="C3851" t="n">
        <v>2012</v>
      </c>
      <c r="D3851" t="n">
        <v>2014</v>
      </c>
      <c r="E3851" t="inlineStr">
        <is>
          <t>The Hunger Games, The Hunger Games: Mockingjay - Part 1</t>
        </is>
      </c>
      <c r="F3851" t="inlineStr">
        <is>
          <t>F0157, F0158</t>
        </is>
      </c>
    </row>
    <row r="3852">
      <c r="A3852" t="inlineStr">
        <is>
          <t>Wes Bentley</t>
        </is>
      </c>
      <c r="B3852" t="n">
        <v>5</v>
      </c>
      <c r="C3852" t="n">
        <v>2010</v>
      </c>
      <c r="D3852" t="n">
        <v>2018</v>
      </c>
      <c r="E3852" t="inlineStr">
        <is>
          <t>The Hunger Games, Interstellar, Jonah Hex, Mission: Impossible - Fallout, Underworld: Awakening</t>
        </is>
      </c>
      <c r="F3852" t="inlineStr">
        <is>
          <t>F0157, F0168, F0173, F0226, F0328</t>
        </is>
      </c>
    </row>
    <row r="3853">
      <c r="A3853" t="inlineStr">
        <is>
          <t>Isabelle Fuhrman</t>
        </is>
      </c>
      <c r="B3853" t="n">
        <v>1</v>
      </c>
      <c r="C3853" t="n">
        <v>2012</v>
      </c>
      <c r="D3853" t="n">
        <v>2012</v>
      </c>
      <c r="E3853" t="inlineStr">
        <is>
          <t>The Hunger Games</t>
        </is>
      </c>
      <c r="F3853" t="inlineStr">
        <is>
          <t>F0157</t>
        </is>
      </c>
    </row>
    <row r="3854">
      <c r="A3854" t="inlineStr">
        <is>
          <t>Amandla Stenberg</t>
        </is>
      </c>
      <c r="B3854" t="n">
        <v>2</v>
      </c>
      <c r="C3854" t="n">
        <v>2012</v>
      </c>
      <c r="D3854" t="n">
        <v>2014</v>
      </c>
      <c r="E3854" t="inlineStr">
        <is>
          <t>The Hunger Games, Rio 2</t>
        </is>
      </c>
      <c r="F3854" t="inlineStr">
        <is>
          <t>F0157, F0266</t>
        </is>
      </c>
    </row>
    <row r="3855">
      <c r="A3855" t="inlineStr">
        <is>
          <t>Willow Shields</t>
        </is>
      </c>
      <c r="B3855" t="n">
        <v>2</v>
      </c>
      <c r="C3855" t="n">
        <v>2012</v>
      </c>
      <c r="D3855" t="n">
        <v>2014</v>
      </c>
      <c r="E3855" t="inlineStr">
        <is>
          <t>The Hunger Games, The Hunger Games: Mockingjay - Part 1</t>
        </is>
      </c>
      <c r="F3855" t="inlineStr">
        <is>
          <t>F0157, F0158</t>
        </is>
      </c>
    </row>
    <row r="3856">
      <c r="A3856" t="inlineStr">
        <is>
          <t>Sandra Ellis Lafferty</t>
        </is>
      </c>
      <c r="B3856" t="n">
        <v>2</v>
      </c>
      <c r="C3856" t="n">
        <v>2012</v>
      </c>
      <c r="D3856" t="n">
        <v>2013</v>
      </c>
      <c r="E3856" t="inlineStr">
        <is>
          <t>The Hunger Games, Prisoners</t>
        </is>
      </c>
      <c r="F3856" t="inlineStr">
        <is>
          <t>F0157, F0258</t>
        </is>
      </c>
    </row>
    <row r="3857">
      <c r="A3857" t="inlineStr">
        <is>
          <t>Paula Malcomson</t>
        </is>
      </c>
      <c r="B3857" t="n">
        <v>2</v>
      </c>
      <c r="C3857" t="n">
        <v>2012</v>
      </c>
      <c r="D3857" t="n">
        <v>2014</v>
      </c>
      <c r="E3857" t="inlineStr">
        <is>
          <t>The Hunger Games, The Hunger Games: Mockingjay - Part 1</t>
        </is>
      </c>
      <c r="F3857" t="inlineStr">
        <is>
          <t>F0157, F0158</t>
        </is>
      </c>
    </row>
    <row r="3858">
      <c r="A3858" t="inlineStr">
        <is>
          <t>Rhoda Griffis</t>
        </is>
      </c>
      <c r="B3858" t="n">
        <v>1</v>
      </c>
      <c r="C3858" t="n">
        <v>2012</v>
      </c>
      <c r="D3858" t="n">
        <v>2012</v>
      </c>
      <c r="E3858" t="inlineStr">
        <is>
          <t>The Hunger Games</t>
        </is>
      </c>
      <c r="F3858" t="inlineStr">
        <is>
          <t>F0157</t>
        </is>
      </c>
    </row>
    <row r="3859">
      <c r="A3859" t="inlineStr">
        <is>
          <t>Sandino Moya-Smith</t>
        </is>
      </c>
      <c r="B3859" t="n">
        <v>1</v>
      </c>
      <c r="C3859" t="n">
        <v>2012</v>
      </c>
      <c r="D3859" t="n">
        <v>2012</v>
      </c>
      <c r="E3859" t="inlineStr">
        <is>
          <t>The Hunger Games</t>
        </is>
      </c>
      <c r="F3859" t="inlineStr">
        <is>
          <t>F0157</t>
        </is>
      </c>
    </row>
    <row r="3860">
      <c r="A3860" t="inlineStr">
        <is>
          <t>Raiko Bowman</t>
        </is>
      </c>
      <c r="B3860" t="n">
        <v>1</v>
      </c>
      <c r="C3860" t="n">
        <v>2012</v>
      </c>
      <c r="D3860" t="n">
        <v>2012</v>
      </c>
      <c r="E3860" t="inlineStr">
        <is>
          <t>The Hunger Games</t>
        </is>
      </c>
      <c r="F3860" t="inlineStr">
        <is>
          <t>F0157</t>
        </is>
      </c>
    </row>
    <row r="3861">
      <c r="A3861" t="inlineStr">
        <is>
          <t>Dwayne Boyd</t>
        </is>
      </c>
      <c r="B3861" t="n">
        <v>1</v>
      </c>
      <c r="C3861" t="n">
        <v>2012</v>
      </c>
      <c r="D3861" t="n">
        <v>2012</v>
      </c>
      <c r="E3861" t="inlineStr">
        <is>
          <t>The Hunger Games</t>
        </is>
      </c>
      <c r="F3861" t="inlineStr">
        <is>
          <t>F0157</t>
        </is>
      </c>
    </row>
    <row r="3862">
      <c r="A3862" t="inlineStr">
        <is>
          <t>Anthony Reynolds</t>
        </is>
      </c>
      <c r="B3862" t="n">
        <v>2</v>
      </c>
      <c r="C3862" t="n">
        <v>2012</v>
      </c>
      <c r="D3862" t="n">
        <v>2013</v>
      </c>
      <c r="E3862" t="inlineStr">
        <is>
          <t>The Hunger Games, Prisoners</t>
        </is>
      </c>
      <c r="F3862" t="inlineStr">
        <is>
          <t>F0157, F0258</t>
        </is>
      </c>
    </row>
    <row r="3863">
      <c r="A3863" t="inlineStr">
        <is>
          <t>Judd Lormand</t>
        </is>
      </c>
      <c r="B3863" t="n">
        <v>1</v>
      </c>
      <c r="C3863" t="n">
        <v>2012</v>
      </c>
      <c r="D3863" t="n">
        <v>2012</v>
      </c>
      <c r="E3863" t="inlineStr">
        <is>
          <t>The Hunger Games</t>
        </is>
      </c>
      <c r="F3863" t="inlineStr">
        <is>
          <t>F0157</t>
        </is>
      </c>
    </row>
    <row r="3864">
      <c r="A3864" t="inlineStr">
        <is>
          <t>Kimiko Gelman</t>
        </is>
      </c>
      <c r="B3864" t="n">
        <v>1</v>
      </c>
      <c r="C3864" t="n">
        <v>2012</v>
      </c>
      <c r="D3864" t="n">
        <v>2012</v>
      </c>
      <c r="E3864" t="inlineStr">
        <is>
          <t>The Hunger Games</t>
        </is>
      </c>
      <c r="F3864" t="inlineStr">
        <is>
          <t>F0157</t>
        </is>
      </c>
    </row>
    <row r="3865">
      <c r="A3865" t="inlineStr">
        <is>
          <t>Nelson Ascencio</t>
        </is>
      </c>
      <c r="B3865" t="n">
        <v>2</v>
      </c>
      <c r="C3865" t="n">
        <v>2011</v>
      </c>
      <c r="D3865" t="n">
        <v>2012</v>
      </c>
      <c r="E3865" t="inlineStr">
        <is>
          <t>The Hunger Games, Paul</t>
        </is>
      </c>
      <c r="F3865" t="inlineStr">
        <is>
          <t>F0157, F0245</t>
        </is>
      </c>
    </row>
    <row r="3866">
      <c r="A3866" t="inlineStr">
        <is>
          <t>Brooke Bundy</t>
        </is>
      </c>
      <c r="B3866" t="n">
        <v>1</v>
      </c>
      <c r="C3866" t="n">
        <v>2012</v>
      </c>
      <c r="D3866" t="n">
        <v>2012</v>
      </c>
      <c r="E3866" t="inlineStr">
        <is>
          <t>The Hunger Games</t>
        </is>
      </c>
      <c r="F3866" t="inlineStr">
        <is>
          <t>F0157</t>
        </is>
      </c>
    </row>
    <row r="3867">
      <c r="A3867" t="inlineStr">
        <is>
          <t>Dayo Okeniyi</t>
        </is>
      </c>
      <c r="B3867" t="n">
        <v>1</v>
      </c>
      <c r="C3867" t="n">
        <v>2012</v>
      </c>
      <c r="D3867" t="n">
        <v>2012</v>
      </c>
      <c r="E3867" t="inlineStr">
        <is>
          <t>The Hunger Games</t>
        </is>
      </c>
      <c r="F3867" t="inlineStr">
        <is>
          <t>F0157</t>
        </is>
      </c>
    </row>
    <row r="3868">
      <c r="A3868" t="inlineStr">
        <is>
          <t>Leven Rambin</t>
        </is>
      </c>
      <c r="B3868" t="n">
        <v>1</v>
      </c>
      <c r="C3868" t="n">
        <v>2012</v>
      </c>
      <c r="D3868" t="n">
        <v>2012</v>
      </c>
      <c r="E3868" t="inlineStr">
        <is>
          <t>The Hunger Games</t>
        </is>
      </c>
      <c r="F3868" t="inlineStr">
        <is>
          <t>F0157</t>
        </is>
      </c>
    </row>
    <row r="3869">
      <c r="A3869" t="inlineStr">
        <is>
          <t>Jack Quaid</t>
        </is>
      </c>
      <c r="B3869" t="n">
        <v>1</v>
      </c>
      <c r="C3869" t="n">
        <v>2012</v>
      </c>
      <c r="D3869" t="n">
        <v>2012</v>
      </c>
      <c r="E3869" t="inlineStr">
        <is>
          <t>The Hunger Games</t>
        </is>
      </c>
      <c r="F3869" t="inlineStr">
        <is>
          <t>F0157</t>
        </is>
      </c>
    </row>
    <row r="3870">
      <c r="A3870" t="inlineStr">
        <is>
          <t>Latarsha Rose</t>
        </is>
      </c>
      <c r="B3870" t="n">
        <v>1</v>
      </c>
      <c r="C3870" t="n">
        <v>2012</v>
      </c>
      <c r="D3870" t="n">
        <v>2012</v>
      </c>
      <c r="E3870" t="inlineStr">
        <is>
          <t>The Hunger Games</t>
        </is>
      </c>
      <c r="F3870" t="inlineStr">
        <is>
          <t>F0157</t>
        </is>
      </c>
    </row>
    <row r="3871">
      <c r="A3871" t="inlineStr">
        <is>
          <t>Ian Nelson</t>
        </is>
      </c>
      <c r="B3871" t="n">
        <v>1</v>
      </c>
      <c r="C3871" t="n">
        <v>2012</v>
      </c>
      <c r="D3871" t="n">
        <v>2012</v>
      </c>
      <c r="E3871" t="inlineStr">
        <is>
          <t>The Hunger Games</t>
        </is>
      </c>
      <c r="F3871" t="inlineStr">
        <is>
          <t>F0157</t>
        </is>
      </c>
    </row>
    <row r="3872">
      <c r="A3872" t="inlineStr">
        <is>
          <t>Jena Malone</t>
        </is>
      </c>
      <c r="B3872" t="n">
        <v>1</v>
      </c>
      <c r="C3872" t="n">
        <v>2014</v>
      </c>
      <c r="D3872" t="n">
        <v>2014</v>
      </c>
      <c r="E3872" t="inlineStr">
        <is>
          <t>The Hunger Games: Mockingjay - Part 1</t>
        </is>
      </c>
      <c r="F3872" t="inlineStr">
        <is>
          <t>F0158</t>
        </is>
      </c>
    </row>
    <row r="3873">
      <c r="A3873" t="inlineStr">
        <is>
          <t>Natalie Dormer</t>
        </is>
      </c>
      <c r="B3873" t="n">
        <v>2</v>
      </c>
      <c r="C3873" t="n">
        <v>2013</v>
      </c>
      <c r="D3873" t="n">
        <v>2014</v>
      </c>
      <c r="E3873" t="inlineStr">
        <is>
          <t>The Hunger Games: Mockingjay - Part 1, Rush</t>
        </is>
      </c>
      <c r="F3873" t="inlineStr">
        <is>
          <t>F0158, F0270</t>
        </is>
      </c>
    </row>
    <row r="3874">
      <c r="A3874" t="inlineStr">
        <is>
          <t>Wes Chatham</t>
        </is>
      </c>
      <c r="B3874" t="n">
        <v>1</v>
      </c>
      <c r="C3874" t="n">
        <v>2014</v>
      </c>
      <c r="D3874" t="n">
        <v>2014</v>
      </c>
      <c r="E3874" t="inlineStr">
        <is>
          <t>The Hunger Games: Mockingjay - Part 1</t>
        </is>
      </c>
      <c r="F3874" t="inlineStr">
        <is>
          <t>F0158</t>
        </is>
      </c>
    </row>
    <row r="3875">
      <c r="A3875" t="inlineStr">
        <is>
          <t>Elden Henson</t>
        </is>
      </c>
      <c r="B3875" t="n">
        <v>1</v>
      </c>
      <c r="C3875" t="n">
        <v>2014</v>
      </c>
      <c r="D3875" t="n">
        <v>2014</v>
      </c>
      <c r="E3875" t="inlineStr">
        <is>
          <t>The Hunger Games: Mockingjay - Part 1</t>
        </is>
      </c>
      <c r="F3875" t="inlineStr">
        <is>
          <t>F0158</t>
        </is>
      </c>
    </row>
    <row r="3876">
      <c r="A3876" t="inlineStr">
        <is>
          <t>Patina Miller</t>
        </is>
      </c>
      <c r="B3876" t="n">
        <v>1</v>
      </c>
      <c r="C3876" t="n">
        <v>2014</v>
      </c>
      <c r="D3876" t="n">
        <v>2014</v>
      </c>
      <c r="E3876" t="inlineStr">
        <is>
          <t>The Hunger Games: Mockingjay - Part 1</t>
        </is>
      </c>
      <c r="F3876" t="inlineStr">
        <is>
          <t>F0158</t>
        </is>
      </c>
    </row>
    <row r="3877">
      <c r="A3877" t="inlineStr">
        <is>
          <t>Evan Ross</t>
        </is>
      </c>
      <c r="B3877" t="n">
        <v>1</v>
      </c>
      <c r="C3877" t="n">
        <v>2014</v>
      </c>
      <c r="D3877" t="n">
        <v>2014</v>
      </c>
      <c r="E3877" t="inlineStr">
        <is>
          <t>The Hunger Games: Mockingjay - Part 1</t>
        </is>
      </c>
      <c r="F3877" t="inlineStr">
        <is>
          <t>F0158</t>
        </is>
      </c>
    </row>
    <row r="3878">
      <c r="A3878" t="inlineStr">
        <is>
          <t>Sarita Choudhury</t>
        </is>
      </c>
      <c r="B3878" t="n">
        <v>1</v>
      </c>
      <c r="C3878" t="n">
        <v>2014</v>
      </c>
      <c r="D3878" t="n">
        <v>2014</v>
      </c>
      <c r="E3878" t="inlineStr">
        <is>
          <t>The Hunger Games: Mockingjay - Part 1</t>
        </is>
      </c>
      <c r="F3878" t="inlineStr">
        <is>
          <t>F0158</t>
        </is>
      </c>
    </row>
    <row r="3879">
      <c r="A3879" t="inlineStr">
        <is>
          <t>Stef Dawson</t>
        </is>
      </c>
      <c r="B3879" t="n">
        <v>1</v>
      </c>
      <c r="C3879" t="n">
        <v>2014</v>
      </c>
      <c r="D3879" t="n">
        <v>2014</v>
      </c>
      <c r="E3879" t="inlineStr">
        <is>
          <t>The Hunger Games: Mockingjay - Part 1</t>
        </is>
      </c>
      <c r="F3879" t="inlineStr">
        <is>
          <t>F0158</t>
        </is>
      </c>
    </row>
    <row r="3880">
      <c r="A3880" t="inlineStr">
        <is>
          <t>Robert Knepper</t>
        </is>
      </c>
      <c r="B3880" t="n">
        <v>1</v>
      </c>
      <c r="C3880" t="n">
        <v>2014</v>
      </c>
      <c r="D3880" t="n">
        <v>2014</v>
      </c>
      <c r="E3880" t="inlineStr">
        <is>
          <t>The Hunger Games: Mockingjay - Part 1</t>
        </is>
      </c>
      <c r="F3880" t="inlineStr">
        <is>
          <t>F0158</t>
        </is>
      </c>
    </row>
    <row r="3881">
      <c r="A3881" t="inlineStr">
        <is>
          <t>Caitlin Fowler</t>
        </is>
      </c>
      <c r="B3881" t="n">
        <v>1</v>
      </c>
      <c r="C3881" t="n">
        <v>2014</v>
      </c>
      <c r="D3881" t="n">
        <v>2014</v>
      </c>
      <c r="E3881" t="inlineStr">
        <is>
          <t>The Hunger Games: Mockingjay - Part 1</t>
        </is>
      </c>
      <c r="F3881" t="inlineStr">
        <is>
          <t>F0158</t>
        </is>
      </c>
    </row>
    <row r="3882">
      <c r="A3882" t="inlineStr">
        <is>
          <t>Jada Taylor</t>
        </is>
      </c>
      <c r="B3882" t="n">
        <v>1</v>
      </c>
      <c r="C3882" t="n">
        <v>2014</v>
      </c>
      <c r="D3882" t="n">
        <v>2014</v>
      </c>
      <c r="E3882" t="inlineStr">
        <is>
          <t>The Hunger Games: Mockingjay - Part 1</t>
        </is>
      </c>
      <c r="F3882" t="inlineStr">
        <is>
          <t>F0158</t>
        </is>
      </c>
    </row>
    <row r="3883">
      <c r="A3883" t="inlineStr">
        <is>
          <t>Nicholas Pryor</t>
        </is>
      </c>
      <c r="B3883" t="n">
        <v>1</v>
      </c>
      <c r="C3883" t="n">
        <v>2014</v>
      </c>
      <c r="D3883" t="n">
        <v>2014</v>
      </c>
      <c r="E3883" t="inlineStr">
        <is>
          <t>The Hunger Games: Mockingjay - Part 1</t>
        </is>
      </c>
      <c r="F3883" t="inlineStr">
        <is>
          <t>F0158</t>
        </is>
      </c>
    </row>
    <row r="3884">
      <c r="A3884" t="inlineStr">
        <is>
          <t>Donna Biscoe</t>
        </is>
      </c>
      <c r="B3884" t="n">
        <v>1</v>
      </c>
      <c r="C3884" t="n">
        <v>2014</v>
      </c>
      <c r="D3884" t="n">
        <v>2014</v>
      </c>
      <c r="E3884" t="inlineStr">
        <is>
          <t>The Hunger Games: Mockingjay - Part 1</t>
        </is>
      </c>
      <c r="F3884" t="inlineStr">
        <is>
          <t>F0158</t>
        </is>
      </c>
    </row>
    <row r="3885">
      <c r="A3885" t="inlineStr">
        <is>
          <t>Michael Garza</t>
        </is>
      </c>
      <c r="B3885" t="n">
        <v>1</v>
      </c>
      <c r="C3885" t="n">
        <v>2014</v>
      </c>
      <c r="D3885" t="n">
        <v>2014</v>
      </c>
      <c r="E3885" t="inlineStr">
        <is>
          <t>The Hunger Games: Mockingjay - Part 1</t>
        </is>
      </c>
      <c r="F3885" t="inlineStr">
        <is>
          <t>F0158</t>
        </is>
      </c>
    </row>
    <row r="3886">
      <c r="A3886" t="inlineStr">
        <is>
          <t>Erika Bierman</t>
        </is>
      </c>
      <c r="B3886" t="n">
        <v>1</v>
      </c>
      <c r="C3886" t="n">
        <v>2014</v>
      </c>
      <c r="D3886" t="n">
        <v>2014</v>
      </c>
      <c r="E3886" t="inlineStr">
        <is>
          <t>The Hunger Games: Mockingjay - Part 1</t>
        </is>
      </c>
      <c r="F3886" t="inlineStr">
        <is>
          <t>F0158</t>
        </is>
      </c>
    </row>
    <row r="3887">
      <c r="A3887" t="inlineStr">
        <is>
          <t>Jenique Bennett</t>
        </is>
      </c>
      <c r="B3887" t="n">
        <v>1</v>
      </c>
      <c r="C3887" t="n">
        <v>2014</v>
      </c>
      <c r="D3887" t="n">
        <v>2014</v>
      </c>
      <c r="E3887" t="inlineStr">
        <is>
          <t>The Hunger Games: Mockingjay - Part 1</t>
        </is>
      </c>
      <c r="F3887" t="inlineStr">
        <is>
          <t>F0158</t>
        </is>
      </c>
    </row>
    <row r="3888">
      <c r="A3888" t="inlineStr">
        <is>
          <t>Caitlin Stasey</t>
        </is>
      </c>
      <c r="B3888" t="n">
        <v>1</v>
      </c>
      <c r="C3888" t="n">
        <v>2014</v>
      </c>
      <c r="D3888" t="n">
        <v>2014</v>
      </c>
      <c r="E3888" t="inlineStr">
        <is>
          <t>I, Frankenstein</t>
        </is>
      </c>
      <c r="F3888" t="inlineStr">
        <is>
          <t>F0159</t>
        </is>
      </c>
    </row>
    <row r="3889">
      <c r="A3889" t="inlineStr">
        <is>
          <t>Penny Higgs</t>
        </is>
      </c>
      <c r="B3889" t="n">
        <v>1</v>
      </c>
      <c r="C3889" t="n">
        <v>2014</v>
      </c>
      <c r="D3889" t="n">
        <v>2014</v>
      </c>
      <c r="E3889" t="inlineStr">
        <is>
          <t>I, Frankenstein</t>
        </is>
      </c>
      <c r="F3889" t="inlineStr">
        <is>
          <t>F0159</t>
        </is>
      </c>
    </row>
    <row r="3890">
      <c r="A3890" t="inlineStr">
        <is>
          <t>Aden Young</t>
        </is>
      </c>
      <c r="B3890" t="n">
        <v>1</v>
      </c>
      <c r="C3890" t="n">
        <v>2014</v>
      </c>
      <c r="D3890" t="n">
        <v>2014</v>
      </c>
      <c r="E3890" t="inlineStr">
        <is>
          <t>I, Frankenstein</t>
        </is>
      </c>
      <c r="F3890" t="inlineStr">
        <is>
          <t>F0159</t>
        </is>
      </c>
    </row>
    <row r="3891">
      <c r="A3891" t="inlineStr">
        <is>
          <t>Kevin Grevioux</t>
        </is>
      </c>
      <c r="B3891" t="n">
        <v>2</v>
      </c>
      <c r="C3891" t="n">
        <v>2009</v>
      </c>
      <c r="D3891" t="n">
        <v>2014</v>
      </c>
      <c r="E3891" t="inlineStr">
        <is>
          <t>I, Frankenstein, Underworld: Rise of the Lycans</t>
        </is>
      </c>
      <c r="F3891" t="inlineStr">
        <is>
          <t>F0159, F0327</t>
        </is>
      </c>
    </row>
    <row r="3892">
      <c r="A3892" t="inlineStr">
        <is>
          <t>Deniz Akdeniz</t>
        </is>
      </c>
      <c r="B3892" t="n">
        <v>1</v>
      </c>
      <c r="C3892" t="n">
        <v>2014</v>
      </c>
      <c r="D3892" t="n">
        <v>2014</v>
      </c>
      <c r="E3892" t="inlineStr">
        <is>
          <t>I, Frankenstein</t>
        </is>
      </c>
      <c r="F3892" t="inlineStr">
        <is>
          <t>F0159</t>
        </is>
      </c>
    </row>
    <row r="3893">
      <c r="A3893" t="inlineStr">
        <is>
          <t>Chris Pang</t>
        </is>
      </c>
      <c r="B3893" t="n">
        <v>1</v>
      </c>
      <c r="C3893" t="n">
        <v>2014</v>
      </c>
      <c r="D3893" t="n">
        <v>2014</v>
      </c>
      <c r="E3893" t="inlineStr">
        <is>
          <t>I, Frankenstein</t>
        </is>
      </c>
      <c r="F3893" t="inlineStr">
        <is>
          <t>F0159</t>
        </is>
      </c>
    </row>
    <row r="3894">
      <c r="A3894" t="inlineStr">
        <is>
          <t>Virginie Le Brun</t>
        </is>
      </c>
      <c r="B3894" t="n">
        <v>1</v>
      </c>
      <c r="C3894" t="n">
        <v>2014</v>
      </c>
      <c r="D3894" t="n">
        <v>2014</v>
      </c>
      <c r="E3894" t="inlineStr">
        <is>
          <t>I, Frankenstein</t>
        </is>
      </c>
      <c r="F3894" t="inlineStr">
        <is>
          <t>F0159</t>
        </is>
      </c>
    </row>
    <row r="3895">
      <c r="A3895" t="inlineStr">
        <is>
          <t>Socratis Otto</t>
        </is>
      </c>
      <c r="B3895" t="n">
        <v>1</v>
      </c>
      <c r="C3895" t="n">
        <v>2014</v>
      </c>
      <c r="D3895" t="n">
        <v>2014</v>
      </c>
      <c r="E3895" t="inlineStr">
        <is>
          <t>I, Frankenstein</t>
        </is>
      </c>
      <c r="F3895" t="inlineStr">
        <is>
          <t>F0159</t>
        </is>
      </c>
    </row>
    <row r="3896">
      <c r="A3896" t="inlineStr">
        <is>
          <t>Steve Mouzakis</t>
        </is>
      </c>
      <c r="B3896" t="n">
        <v>1</v>
      </c>
      <c r="C3896" t="n">
        <v>2014</v>
      </c>
      <c r="D3896" t="n">
        <v>2014</v>
      </c>
      <c r="E3896" t="inlineStr">
        <is>
          <t>I, Frankenstein</t>
        </is>
      </c>
      <c r="F3896" t="inlineStr">
        <is>
          <t>F0159</t>
        </is>
      </c>
    </row>
    <row r="3897">
      <c r="A3897" t="inlineStr">
        <is>
          <t>Bruce Spence</t>
        </is>
      </c>
      <c r="B3897" t="n">
        <v>3</v>
      </c>
      <c r="C3897" t="n">
        <v>2003</v>
      </c>
      <c r="D3897" t="n">
        <v>2014</v>
      </c>
      <c r="E3897" t="inlineStr">
        <is>
          <t>I, Frankenstein, The Matrix Revolutions, Star Wars: Episode III – Revenge of the Sith</t>
        </is>
      </c>
      <c r="F3897" t="inlineStr">
        <is>
          <t>F0159, F0216, F0294</t>
        </is>
      </c>
    </row>
    <row r="3898">
      <c r="A3898" t="inlineStr">
        <is>
          <t>Mahesh Jadu</t>
        </is>
      </c>
      <c r="B3898" t="n">
        <v>1</v>
      </c>
      <c r="C3898" t="n">
        <v>2014</v>
      </c>
      <c r="D3898" t="n">
        <v>2014</v>
      </c>
      <c r="E3898" t="inlineStr">
        <is>
          <t>I, Frankenstein</t>
        </is>
      </c>
      <c r="F3898" t="inlineStr">
        <is>
          <t>F0159</t>
        </is>
      </c>
    </row>
    <row r="3899">
      <c r="A3899" t="inlineStr">
        <is>
          <t>John Reynolds</t>
        </is>
      </c>
      <c r="B3899" t="n">
        <v>1</v>
      </c>
      <c r="C3899" t="n">
        <v>2014</v>
      </c>
      <c r="D3899" t="n">
        <v>2014</v>
      </c>
      <c r="E3899" t="inlineStr">
        <is>
          <t>I, Frankenstein</t>
        </is>
      </c>
      <c r="F3899" t="inlineStr">
        <is>
          <t>F0159</t>
        </is>
      </c>
    </row>
    <row r="3900">
      <c r="A3900" t="inlineStr">
        <is>
          <t>Chris Anderson</t>
        </is>
      </c>
      <c r="B3900" t="n">
        <v>1</v>
      </c>
      <c r="C3900" t="n">
        <v>2014</v>
      </c>
      <c r="D3900" t="n">
        <v>2014</v>
      </c>
      <c r="E3900" t="inlineStr">
        <is>
          <t>I, Frankenstein</t>
        </is>
      </c>
      <c r="F3900" t="inlineStr">
        <is>
          <t>F0159</t>
        </is>
      </c>
    </row>
    <row r="3901">
      <c r="A3901" t="inlineStr">
        <is>
          <t>Nicholas Bell</t>
        </is>
      </c>
      <c r="B3901" t="n">
        <v>2</v>
      </c>
      <c r="C3901" t="n">
        <v>2000</v>
      </c>
      <c r="D3901" t="n">
        <v>2014</v>
      </c>
      <c r="E3901" t="inlineStr">
        <is>
          <t>I, Frankenstein, Mission: Impossible II</t>
        </is>
      </c>
      <c r="F3901" t="inlineStr">
        <is>
          <t>F0159, F0222</t>
        </is>
      </c>
    </row>
    <row r="3902">
      <c r="A3902" t="inlineStr">
        <is>
          <t>Yasca Sinigaglia</t>
        </is>
      </c>
      <c r="B3902" t="n">
        <v>1</v>
      </c>
      <c r="C3902" t="n">
        <v>2014</v>
      </c>
      <c r="D3902" t="n">
        <v>2014</v>
      </c>
      <c r="E3902" t="inlineStr">
        <is>
          <t>I, Frankenstein</t>
        </is>
      </c>
      <c r="F3902" t="inlineStr">
        <is>
          <t>F0159</t>
        </is>
      </c>
    </row>
    <row r="3903">
      <c r="A3903" t="inlineStr">
        <is>
          <t>Nicole Downes</t>
        </is>
      </c>
      <c r="B3903" t="n">
        <v>1</v>
      </c>
      <c r="C3903" t="n">
        <v>2014</v>
      </c>
      <c r="D3903" t="n">
        <v>2014</v>
      </c>
      <c r="E3903" t="inlineStr">
        <is>
          <t>I, Frankenstein</t>
        </is>
      </c>
      <c r="F3903" t="inlineStr">
        <is>
          <t>F0159</t>
        </is>
      </c>
    </row>
    <row r="3904">
      <c r="A3904" t="inlineStr">
        <is>
          <t>Craig Brookshaw</t>
        </is>
      </c>
      <c r="B3904" t="n">
        <v>1</v>
      </c>
      <c r="C3904" t="n">
        <v>2014</v>
      </c>
      <c r="D3904" t="n">
        <v>2014</v>
      </c>
      <c r="E3904" t="inlineStr">
        <is>
          <t>I, Frankenstein</t>
        </is>
      </c>
      <c r="F3904" t="inlineStr">
        <is>
          <t>F0159</t>
        </is>
      </c>
    </row>
    <row r="3905">
      <c r="A3905" t="inlineStr">
        <is>
          <t>Bryce Hardy</t>
        </is>
      </c>
      <c r="B3905" t="n">
        <v>1</v>
      </c>
      <c r="C3905" t="n">
        <v>2014</v>
      </c>
      <c r="D3905" t="n">
        <v>2014</v>
      </c>
      <c r="E3905" t="inlineStr">
        <is>
          <t>I, Frankenstein</t>
        </is>
      </c>
      <c r="F3905" t="inlineStr">
        <is>
          <t>F0159</t>
        </is>
      </c>
    </row>
    <row r="3906">
      <c r="A3906" t="inlineStr">
        <is>
          <t>Warwick Sadler</t>
        </is>
      </c>
      <c r="B3906" t="n">
        <v>1</v>
      </c>
      <c r="C3906" t="n">
        <v>2014</v>
      </c>
      <c r="D3906" t="n">
        <v>2014</v>
      </c>
      <c r="E3906" t="inlineStr">
        <is>
          <t>I, Frankenstein</t>
        </is>
      </c>
      <c r="F3906" t="inlineStr">
        <is>
          <t>F0159</t>
        </is>
      </c>
    </row>
    <row r="3907">
      <c r="A3907" t="inlineStr">
        <is>
          <t>Robbie Clissold</t>
        </is>
      </c>
      <c r="B3907" t="n">
        <v>1</v>
      </c>
      <c r="C3907" t="n">
        <v>2014</v>
      </c>
      <c r="D3907" t="n">
        <v>2014</v>
      </c>
      <c r="E3907" t="inlineStr">
        <is>
          <t>I, Frankenstein</t>
        </is>
      </c>
      <c r="F3907" t="inlineStr">
        <is>
          <t>F0159</t>
        </is>
      </c>
    </row>
    <row r="3908">
      <c r="A3908" t="inlineStr">
        <is>
          <t>Jack Fieguth</t>
        </is>
      </c>
      <c r="B3908" t="n">
        <v>1</v>
      </c>
      <c r="C3908" t="n">
        <v>2014</v>
      </c>
      <c r="D3908" t="n">
        <v>2014</v>
      </c>
      <c r="E3908" t="inlineStr">
        <is>
          <t>I, Frankenstein</t>
        </is>
      </c>
      <c r="F3908" t="inlineStr">
        <is>
          <t>F0159</t>
        </is>
      </c>
    </row>
    <row r="3909">
      <c r="A3909" t="inlineStr">
        <is>
          <t>Rick Tonna</t>
        </is>
      </c>
      <c r="B3909" t="n">
        <v>1</v>
      </c>
      <c r="C3909" t="n">
        <v>2014</v>
      </c>
      <c r="D3909" t="n">
        <v>2014</v>
      </c>
      <c r="E3909" t="inlineStr">
        <is>
          <t>I, Frankenstein</t>
        </is>
      </c>
      <c r="F3909" t="inlineStr">
        <is>
          <t>F0159</t>
        </is>
      </c>
    </row>
    <row r="3910">
      <c r="A3910" t="inlineStr">
        <is>
          <t>Yasushi Asaya</t>
        </is>
      </c>
      <c r="B3910" t="n">
        <v>1</v>
      </c>
      <c r="C3910" t="n">
        <v>2014</v>
      </c>
      <c r="D3910" t="n">
        <v>2014</v>
      </c>
      <c r="E3910" t="inlineStr">
        <is>
          <t>I, Frankenstein</t>
        </is>
      </c>
      <c r="F3910" t="inlineStr">
        <is>
          <t>F0159</t>
        </is>
      </c>
    </row>
    <row r="3911">
      <c r="A3911" t="inlineStr">
        <is>
          <t>Josh Peck</t>
        </is>
      </c>
      <c r="B3911" t="n">
        <v>2</v>
      </c>
      <c r="C3911" t="n">
        <v>2006</v>
      </c>
      <c r="D3911" t="n">
        <v>2009</v>
      </c>
      <c r="E3911" t="inlineStr">
        <is>
          <t>Ice Age: The Meltdown, Ice Age: Dawn of the Dinosaurs</t>
        </is>
      </c>
      <c r="F3911" t="inlineStr">
        <is>
          <t>F0160, F0161</t>
        </is>
      </c>
    </row>
    <row r="3912">
      <c r="A3912" t="inlineStr">
        <is>
          <t>Jay Leno</t>
        </is>
      </c>
      <c r="B3912" t="n">
        <v>1</v>
      </c>
      <c r="C3912" t="n">
        <v>2006</v>
      </c>
      <c r="D3912" t="n">
        <v>2006</v>
      </c>
      <c r="E3912" t="inlineStr">
        <is>
          <t>Ice Age: The Meltdown</t>
        </is>
      </c>
      <c r="F3912" t="inlineStr">
        <is>
          <t>F0160</t>
        </is>
      </c>
    </row>
    <row r="3913">
      <c r="A3913" t="inlineStr">
        <is>
          <t>Chris Wedge</t>
        </is>
      </c>
      <c r="B3913" t="n">
        <v>2</v>
      </c>
      <c r="C3913" t="n">
        <v>2006</v>
      </c>
      <c r="D3913" t="n">
        <v>2009</v>
      </c>
      <c r="E3913" t="inlineStr">
        <is>
          <t>Ice Age: The Meltdown, Ice Age: Dawn of the Dinosaurs</t>
        </is>
      </c>
      <c r="F3913" t="inlineStr">
        <is>
          <t>F0160, F0161</t>
        </is>
      </c>
    </row>
    <row r="3914">
      <c r="A3914" t="inlineStr">
        <is>
          <t>Peter Ackerman</t>
        </is>
      </c>
      <c r="B3914" t="n">
        <v>1</v>
      </c>
      <c r="C3914" t="n">
        <v>2006</v>
      </c>
      <c r="D3914" t="n">
        <v>2006</v>
      </c>
      <c r="E3914" t="inlineStr">
        <is>
          <t>Ice Age: The Meltdown</t>
        </is>
      </c>
      <c r="F3914" t="inlineStr">
        <is>
          <t>F0160</t>
        </is>
      </c>
    </row>
    <row r="3915">
      <c r="A3915" t="inlineStr">
        <is>
          <t>Caitlin Rose Anderson</t>
        </is>
      </c>
      <c r="B3915" t="n">
        <v>1</v>
      </c>
      <c r="C3915" t="n">
        <v>2006</v>
      </c>
      <c r="D3915" t="n">
        <v>2006</v>
      </c>
      <c r="E3915" t="inlineStr">
        <is>
          <t>Ice Age: The Meltdown</t>
        </is>
      </c>
      <c r="F3915" t="inlineStr">
        <is>
          <t>F0160</t>
        </is>
      </c>
    </row>
    <row r="3916">
      <c r="A3916" t="inlineStr">
        <is>
          <t>Connor Anderson</t>
        </is>
      </c>
      <c r="B3916" t="n">
        <v>1</v>
      </c>
      <c r="C3916" t="n">
        <v>2006</v>
      </c>
      <c r="D3916" t="n">
        <v>2006</v>
      </c>
      <c r="E3916" t="inlineStr">
        <is>
          <t>Ice Age: The Meltdown</t>
        </is>
      </c>
      <c r="F3916" t="inlineStr">
        <is>
          <t>F0160</t>
        </is>
      </c>
    </row>
    <row r="3917">
      <c r="A3917" t="inlineStr">
        <is>
          <t>Joseph Bologna</t>
        </is>
      </c>
      <c r="B3917" t="n">
        <v>1</v>
      </c>
      <c r="C3917" t="n">
        <v>2006</v>
      </c>
      <c r="D3917" t="n">
        <v>2006</v>
      </c>
      <c r="E3917" t="inlineStr">
        <is>
          <t>Ice Age: The Meltdown</t>
        </is>
      </c>
      <c r="F3917" t="inlineStr">
        <is>
          <t>F0160</t>
        </is>
      </c>
    </row>
    <row r="3918">
      <c r="A3918" t="inlineStr">
        <is>
          <t>Jack Crocicchia</t>
        </is>
      </c>
      <c r="B3918" t="n">
        <v>1</v>
      </c>
      <c r="C3918" t="n">
        <v>2006</v>
      </c>
      <c r="D3918" t="n">
        <v>2006</v>
      </c>
      <c r="E3918" t="inlineStr">
        <is>
          <t>Ice Age: The Meltdown</t>
        </is>
      </c>
      <c r="F3918" t="inlineStr">
        <is>
          <t>F0160</t>
        </is>
      </c>
    </row>
    <row r="3919">
      <c r="A3919" t="inlineStr">
        <is>
          <t>Peter de Sève</t>
        </is>
      </c>
      <c r="B3919" t="n">
        <v>1</v>
      </c>
      <c r="C3919" t="n">
        <v>2006</v>
      </c>
      <c r="D3919" t="n">
        <v>2006</v>
      </c>
      <c r="E3919" t="inlineStr">
        <is>
          <t>Ice Age: The Meltdown</t>
        </is>
      </c>
      <c r="F3919" t="inlineStr">
        <is>
          <t>F0160</t>
        </is>
      </c>
    </row>
    <row r="3920">
      <c r="A3920" t="inlineStr">
        <is>
          <t>Ariel Winter</t>
        </is>
      </c>
      <c r="B3920" t="n">
        <v>1</v>
      </c>
      <c r="C3920" t="n">
        <v>2006</v>
      </c>
      <c r="D3920" t="n">
        <v>2006</v>
      </c>
      <c r="E3920" t="inlineStr">
        <is>
          <t>Ice Age: The Meltdown</t>
        </is>
      </c>
      <c r="F3920" t="inlineStr">
        <is>
          <t>F0160</t>
        </is>
      </c>
    </row>
    <row r="3921">
      <c r="A3921" t="inlineStr">
        <is>
          <t>Clea Lewis</t>
        </is>
      </c>
      <c r="B3921" t="n">
        <v>2</v>
      </c>
      <c r="C3921" t="n">
        <v>2006</v>
      </c>
      <c r="D3921" t="n">
        <v>2009</v>
      </c>
      <c r="E3921" t="inlineStr">
        <is>
          <t>Ice Age: The Meltdown, Ice Age: Dawn of the Dinosaurs</t>
        </is>
      </c>
      <c r="F3921" t="inlineStr">
        <is>
          <t>F0160, F0161</t>
        </is>
      </c>
    </row>
    <row r="3922">
      <c r="A3922" t="inlineStr">
        <is>
          <t>Nicole DeFelice</t>
        </is>
      </c>
      <c r="B3922" t="n">
        <v>1</v>
      </c>
      <c r="C3922" t="n">
        <v>2006</v>
      </c>
      <c r="D3922" t="n">
        <v>2006</v>
      </c>
      <c r="E3922" t="inlineStr">
        <is>
          <t>Ice Age: The Meltdown</t>
        </is>
      </c>
      <c r="F3922" t="inlineStr">
        <is>
          <t>F0160</t>
        </is>
      </c>
    </row>
    <row r="3923">
      <c r="A3923" t="inlineStr">
        <is>
          <t>Marshall Efron</t>
        </is>
      </c>
      <c r="B3923" t="n">
        <v>1</v>
      </c>
      <c r="C3923" t="n">
        <v>2006</v>
      </c>
      <c r="D3923" t="n">
        <v>2006</v>
      </c>
      <c r="E3923" t="inlineStr">
        <is>
          <t>Ice Age: The Meltdown</t>
        </is>
      </c>
      <c r="F3923" t="inlineStr">
        <is>
          <t>F0160</t>
        </is>
      </c>
    </row>
    <row r="3924">
      <c r="A3924" t="inlineStr">
        <is>
          <t>Tom Fahn</t>
        </is>
      </c>
      <c r="B3924" t="n">
        <v>1</v>
      </c>
      <c r="C3924" t="n">
        <v>2006</v>
      </c>
      <c r="D3924" t="n">
        <v>2006</v>
      </c>
      <c r="E3924" t="inlineStr">
        <is>
          <t>Ice Age: The Meltdown</t>
        </is>
      </c>
      <c r="F3924" t="inlineStr">
        <is>
          <t>F0160</t>
        </is>
      </c>
    </row>
    <row r="3925">
      <c r="A3925" t="inlineStr">
        <is>
          <t>Jason Fricchione</t>
        </is>
      </c>
      <c r="B3925" t="n">
        <v>3</v>
      </c>
      <c r="C3925" t="n">
        <v>2006</v>
      </c>
      <c r="D3925" t="n">
        <v>2011</v>
      </c>
      <c r="E3925" t="inlineStr">
        <is>
          <t>Ice Age: The Meltdown, Ice Age: Dawn of the Dinosaurs, Rio</t>
        </is>
      </c>
      <c r="F3925" t="inlineStr">
        <is>
          <t>F0160, F0161, F0265</t>
        </is>
      </c>
    </row>
    <row r="3926">
      <c r="A3926" t="inlineStr">
        <is>
          <t>George Jacobs</t>
        </is>
      </c>
      <c r="B3926" t="n">
        <v>1</v>
      </c>
      <c r="C3926" t="n">
        <v>2006</v>
      </c>
      <c r="D3926" t="n">
        <v>2006</v>
      </c>
      <c r="E3926" t="inlineStr">
        <is>
          <t>Ice Age: The Meltdown</t>
        </is>
      </c>
      <c r="F3926" t="inlineStr">
        <is>
          <t>F0160</t>
        </is>
      </c>
    </row>
    <row r="3927">
      <c r="A3927" t="inlineStr">
        <is>
          <t>Brian Scott McFadden</t>
        </is>
      </c>
      <c r="B3927" t="n">
        <v>1</v>
      </c>
      <c r="C3927" t="n">
        <v>2006</v>
      </c>
      <c r="D3927" t="n">
        <v>2006</v>
      </c>
      <c r="E3927" t="inlineStr">
        <is>
          <t>Ice Age: The Meltdown</t>
        </is>
      </c>
      <c r="F3927" t="inlineStr">
        <is>
          <t>F0160</t>
        </is>
      </c>
    </row>
    <row r="3928">
      <c r="A3928" t="inlineStr">
        <is>
          <t>Jansen Panettiere</t>
        </is>
      </c>
      <c r="B3928" t="n">
        <v>1</v>
      </c>
      <c r="C3928" t="n">
        <v>2006</v>
      </c>
      <c r="D3928" t="n">
        <v>2006</v>
      </c>
      <c r="E3928" t="inlineStr">
        <is>
          <t>Ice Age: The Meltdown</t>
        </is>
      </c>
      <c r="F3928" t="inlineStr">
        <is>
          <t>F0160</t>
        </is>
      </c>
    </row>
    <row r="3929">
      <c r="A3929" t="inlineStr">
        <is>
          <t>Gregory Romano</t>
        </is>
      </c>
      <c r="B3929" t="n">
        <v>1</v>
      </c>
      <c r="C3929" t="n">
        <v>2006</v>
      </c>
      <c r="D3929" t="n">
        <v>2006</v>
      </c>
      <c r="E3929" t="inlineStr">
        <is>
          <t>Ice Age: The Meltdown</t>
        </is>
      </c>
      <c r="F3929" t="inlineStr">
        <is>
          <t>F0160</t>
        </is>
      </c>
    </row>
    <row r="3930">
      <c r="A3930" t="inlineStr">
        <is>
          <t>Matt Romano</t>
        </is>
      </c>
      <c r="B3930" t="n">
        <v>1</v>
      </c>
      <c r="C3930" t="n">
        <v>2006</v>
      </c>
      <c r="D3930" t="n">
        <v>2006</v>
      </c>
      <c r="E3930" t="inlineStr">
        <is>
          <t>Ice Age: The Meltdown</t>
        </is>
      </c>
      <c r="F3930" t="inlineStr">
        <is>
          <t>F0160</t>
        </is>
      </c>
    </row>
    <row r="3931">
      <c r="A3931" t="inlineStr">
        <is>
          <t>Carlos Saldanha</t>
        </is>
      </c>
      <c r="B3931" t="n">
        <v>3</v>
      </c>
      <c r="C3931" t="n">
        <v>2006</v>
      </c>
      <c r="D3931" t="n">
        <v>2011</v>
      </c>
      <c r="E3931" t="inlineStr">
        <is>
          <t>Ice Age: The Meltdown, Ice Age: Dawn of the Dinosaurs, Rio</t>
        </is>
      </c>
      <c r="F3931" t="inlineStr">
        <is>
          <t>F0160, F0161, F0265</t>
        </is>
      </c>
    </row>
    <row r="3932">
      <c r="A3932" t="inlineStr">
        <is>
          <t>Manoela Scarpa Saldanha</t>
        </is>
      </c>
      <c r="B3932" t="n">
        <v>2</v>
      </c>
      <c r="C3932" t="n">
        <v>2006</v>
      </c>
      <c r="D3932" t="n">
        <v>2009</v>
      </c>
      <c r="E3932" t="inlineStr">
        <is>
          <t>Ice Age: The Meltdown, Ice Age: Dawn of the Dinosaurs</t>
        </is>
      </c>
      <c r="F3932" t="inlineStr">
        <is>
          <t>F0160, F0161</t>
        </is>
      </c>
    </row>
    <row r="3933">
      <c r="A3933" t="inlineStr">
        <is>
          <t>Karen Disher</t>
        </is>
      </c>
      <c r="B3933" t="n">
        <v>2</v>
      </c>
      <c r="C3933" t="n">
        <v>2009</v>
      </c>
      <c r="D3933" t="n">
        <v>2011</v>
      </c>
      <c r="E3933" t="inlineStr">
        <is>
          <t>Ice Age: Dawn of the Dinosaurs, Rio</t>
        </is>
      </c>
      <c r="F3933" t="inlineStr">
        <is>
          <t>F0161, F0265</t>
        </is>
      </c>
    </row>
    <row r="3934">
      <c r="A3934" t="inlineStr">
        <is>
          <t>Eunice Cho</t>
        </is>
      </c>
      <c r="B3934" t="n">
        <v>1</v>
      </c>
      <c r="C3934" t="n">
        <v>2009</v>
      </c>
      <c r="D3934" t="n">
        <v>2009</v>
      </c>
      <c r="E3934" t="inlineStr">
        <is>
          <t>Ice Age: Dawn of the Dinosaurs</t>
        </is>
      </c>
      <c r="F3934" t="inlineStr">
        <is>
          <t>F0161</t>
        </is>
      </c>
    </row>
    <row r="3935">
      <c r="A3935" t="inlineStr">
        <is>
          <t>Maile Flanagan</t>
        </is>
      </c>
      <c r="B3935" t="n">
        <v>1</v>
      </c>
      <c r="C3935" t="n">
        <v>2009</v>
      </c>
      <c r="D3935" t="n">
        <v>2009</v>
      </c>
      <c r="E3935" t="inlineStr">
        <is>
          <t>Ice Age: Dawn of the Dinosaurs</t>
        </is>
      </c>
      <c r="F3935" t="inlineStr">
        <is>
          <t>F0161</t>
        </is>
      </c>
    </row>
    <row r="3936">
      <c r="A3936" t="inlineStr">
        <is>
          <t>Harrison Fahn</t>
        </is>
      </c>
      <c r="B3936" t="n">
        <v>1</v>
      </c>
      <c r="C3936" t="n">
        <v>2009</v>
      </c>
      <c r="D3936" t="n">
        <v>2009</v>
      </c>
      <c r="E3936" t="inlineStr">
        <is>
          <t>Ice Age: Dawn of the Dinosaurs</t>
        </is>
      </c>
      <c r="F3936" t="inlineStr">
        <is>
          <t>F0161</t>
        </is>
      </c>
    </row>
    <row r="3937">
      <c r="A3937" t="inlineStr">
        <is>
          <t>Kelly Keaton</t>
        </is>
      </c>
      <c r="B3937" t="n">
        <v>2</v>
      </c>
      <c r="C3937" t="n">
        <v>2009</v>
      </c>
      <c r="D3937" t="n">
        <v>2011</v>
      </c>
      <c r="E3937" t="inlineStr">
        <is>
          <t>Ice Age: Dawn of the Dinosaurs, Rio</t>
        </is>
      </c>
      <c r="F3937" t="inlineStr">
        <is>
          <t>F0161, F0265</t>
        </is>
      </c>
    </row>
    <row r="3938">
      <c r="A3938" t="inlineStr">
        <is>
          <t>Lucas Leguizamo</t>
        </is>
      </c>
      <c r="B3938" t="n">
        <v>1</v>
      </c>
      <c r="C3938" t="n">
        <v>2009</v>
      </c>
      <c r="D3938" t="n">
        <v>2009</v>
      </c>
      <c r="E3938" t="inlineStr">
        <is>
          <t>Ice Age: Dawn of the Dinosaurs</t>
        </is>
      </c>
      <c r="F3938" t="inlineStr">
        <is>
          <t>F0161</t>
        </is>
      </c>
    </row>
    <row r="3939">
      <c r="A3939" t="inlineStr">
        <is>
          <t>Regan Mizrahi</t>
        </is>
      </c>
      <c r="B3939" t="n">
        <v>1</v>
      </c>
      <c r="C3939" t="n">
        <v>2009</v>
      </c>
      <c r="D3939" t="n">
        <v>2009</v>
      </c>
      <c r="E3939" t="inlineStr">
        <is>
          <t>Ice Age: Dawn of the Dinosaurs</t>
        </is>
      </c>
      <c r="F3939" t="inlineStr">
        <is>
          <t>F0161</t>
        </is>
      </c>
    </row>
    <row r="3940">
      <c r="A3940" t="inlineStr">
        <is>
          <t>Allegra Leguizamo</t>
        </is>
      </c>
      <c r="B3940" t="n">
        <v>1</v>
      </c>
      <c r="C3940" t="n">
        <v>2009</v>
      </c>
      <c r="D3940" t="n">
        <v>2009</v>
      </c>
      <c r="E3940" t="inlineStr">
        <is>
          <t>Ice Age: Dawn of the Dinosaurs</t>
        </is>
      </c>
      <c r="F3940" t="inlineStr">
        <is>
          <t>F0161</t>
        </is>
      </c>
    </row>
    <row r="3941">
      <c r="A3941" t="inlineStr">
        <is>
          <t>Claudia Besso</t>
        </is>
      </c>
      <c r="B3941" t="n">
        <v>1</v>
      </c>
      <c r="C3941" t="n">
        <v>2009</v>
      </c>
      <c r="D3941" t="n">
        <v>2009</v>
      </c>
      <c r="E3941" t="inlineStr">
        <is>
          <t>Ice Age: Dawn of the Dinosaurs</t>
        </is>
      </c>
      <c r="F3941" t="inlineStr">
        <is>
          <t>F0161</t>
        </is>
      </c>
    </row>
    <row r="3942">
      <c r="A3942" t="inlineStr">
        <is>
          <t>Bea Miller</t>
        </is>
      </c>
      <c r="B3942" t="n">
        <v>2</v>
      </c>
      <c r="C3942" t="n">
        <v>2009</v>
      </c>
      <c r="D3942" t="n">
        <v>2010</v>
      </c>
      <c r="E3942" t="inlineStr">
        <is>
          <t>Ice Age: Dawn of the Dinosaurs, Toy Story 3</t>
        </is>
      </c>
      <c r="F3942" t="inlineStr">
        <is>
          <t>F0161, F0314</t>
        </is>
      </c>
    </row>
    <row r="3943">
      <c r="A3943" t="inlineStr">
        <is>
          <t>Christian Pikes</t>
        </is>
      </c>
      <c r="B3943" t="n">
        <v>1</v>
      </c>
      <c r="C3943" t="n">
        <v>2009</v>
      </c>
      <c r="D3943" t="n">
        <v>2009</v>
      </c>
      <c r="E3943" t="inlineStr">
        <is>
          <t>Ice Age: Dawn of the Dinosaurs</t>
        </is>
      </c>
      <c r="F3943" t="inlineStr">
        <is>
          <t>F0161</t>
        </is>
      </c>
    </row>
    <row r="3944">
      <c r="A3944" t="inlineStr">
        <is>
          <t>Avery Christopher Plum</t>
        </is>
      </c>
      <c r="B3944" t="n">
        <v>1</v>
      </c>
      <c r="C3944" t="n">
        <v>2009</v>
      </c>
      <c r="D3944" t="n">
        <v>2009</v>
      </c>
      <c r="E3944" t="inlineStr">
        <is>
          <t>Ice Age: Dawn of the Dinosaurs</t>
        </is>
      </c>
      <c r="F3944" t="inlineStr">
        <is>
          <t>F0161</t>
        </is>
      </c>
    </row>
    <row r="3945">
      <c r="A3945" t="inlineStr">
        <is>
          <t>Joseph Romano</t>
        </is>
      </c>
      <c r="B3945" t="n">
        <v>1</v>
      </c>
      <c r="C3945" t="n">
        <v>2009</v>
      </c>
      <c r="D3945" t="n">
        <v>2009</v>
      </c>
      <c r="E3945" t="inlineStr">
        <is>
          <t>Ice Age: Dawn of the Dinosaurs</t>
        </is>
      </c>
      <c r="F3945" t="inlineStr">
        <is>
          <t>F0161</t>
        </is>
      </c>
    </row>
    <row r="3946">
      <c r="A3946" t="inlineStr">
        <is>
          <t>Sofia Scarpa Saldanha</t>
        </is>
      </c>
      <c r="B3946" t="n">
        <v>2</v>
      </c>
      <c r="C3946" t="n">
        <v>2009</v>
      </c>
      <c r="D3946" t="n">
        <v>2011</v>
      </c>
      <c r="E3946" t="inlineStr">
        <is>
          <t>Ice Age: Dawn of the Dinosaurs, Rio</t>
        </is>
      </c>
      <c r="F3946" t="inlineStr">
        <is>
          <t>F0161, F0265</t>
        </is>
      </c>
    </row>
    <row r="3947">
      <c r="A3947" t="inlineStr">
        <is>
          <t>Matthew Beard</t>
        </is>
      </c>
      <c r="B3947" t="n">
        <v>1</v>
      </c>
      <c r="C3947" t="n">
        <v>2014</v>
      </c>
      <c r="D3947" t="n">
        <v>2014</v>
      </c>
      <c r="E3947" t="inlineStr">
        <is>
          <t>The Imitation Game</t>
        </is>
      </c>
      <c r="F3947" t="inlineStr">
        <is>
          <t>F0162</t>
        </is>
      </c>
    </row>
    <row r="3948">
      <c r="A3948" t="inlineStr">
        <is>
          <t>James Northcote</t>
        </is>
      </c>
      <c r="B3948" t="n">
        <v>1</v>
      </c>
      <c r="C3948" t="n">
        <v>2014</v>
      </c>
      <c r="D3948" t="n">
        <v>2014</v>
      </c>
      <c r="E3948" t="inlineStr">
        <is>
          <t>The Imitation Game</t>
        </is>
      </c>
      <c r="F3948" t="inlineStr">
        <is>
          <t>F0162</t>
        </is>
      </c>
    </row>
    <row r="3949">
      <c r="A3949" t="inlineStr">
        <is>
          <t>Tom Goodman-Hill</t>
        </is>
      </c>
      <c r="B3949" t="n">
        <v>1</v>
      </c>
      <c r="C3949" t="n">
        <v>2014</v>
      </c>
      <c r="D3949" t="n">
        <v>2014</v>
      </c>
      <c r="E3949" t="inlineStr">
        <is>
          <t>The Imitation Game</t>
        </is>
      </c>
      <c r="F3949" t="inlineStr">
        <is>
          <t>F0162</t>
        </is>
      </c>
    </row>
    <row r="3950">
      <c r="A3950" t="inlineStr">
        <is>
          <t>Steven Waddington</t>
        </is>
      </c>
      <c r="B3950" t="n">
        <v>2</v>
      </c>
      <c r="C3950" t="n">
        <v>2012</v>
      </c>
      <c r="D3950" t="n">
        <v>2014</v>
      </c>
      <c r="E3950" t="inlineStr">
        <is>
          <t>The Imitation Game, The Sweeney</t>
        </is>
      </c>
      <c r="F3950" t="inlineStr">
        <is>
          <t>F0162, F0305</t>
        </is>
      </c>
    </row>
    <row r="3951">
      <c r="A3951" t="inlineStr">
        <is>
          <t>Ilan Goodman</t>
        </is>
      </c>
      <c r="B3951" t="n">
        <v>1</v>
      </c>
      <c r="C3951" t="n">
        <v>2014</v>
      </c>
      <c r="D3951" t="n">
        <v>2014</v>
      </c>
      <c r="E3951" t="inlineStr">
        <is>
          <t>The Imitation Game</t>
        </is>
      </c>
      <c r="F3951" t="inlineStr">
        <is>
          <t>F0162</t>
        </is>
      </c>
    </row>
    <row r="3952">
      <c r="A3952" t="inlineStr">
        <is>
          <t>Jack Tarlton</t>
        </is>
      </c>
      <c r="B3952" t="n">
        <v>1</v>
      </c>
      <c r="C3952" t="n">
        <v>2014</v>
      </c>
      <c r="D3952" t="n">
        <v>2014</v>
      </c>
      <c r="E3952" t="inlineStr">
        <is>
          <t>The Imitation Game</t>
        </is>
      </c>
      <c r="F3952" t="inlineStr">
        <is>
          <t>F0162</t>
        </is>
      </c>
    </row>
    <row r="3953">
      <c r="A3953" t="inlineStr">
        <is>
          <t>Alex Lawther</t>
        </is>
      </c>
      <c r="B3953" t="n">
        <v>1</v>
      </c>
      <c r="C3953" t="n">
        <v>2014</v>
      </c>
      <c r="D3953" t="n">
        <v>2014</v>
      </c>
      <c r="E3953" t="inlineStr">
        <is>
          <t>The Imitation Game</t>
        </is>
      </c>
      <c r="F3953" t="inlineStr">
        <is>
          <t>F0162</t>
        </is>
      </c>
    </row>
    <row r="3954">
      <c r="A3954" t="inlineStr">
        <is>
          <t>Tuppence Middleton</t>
        </is>
      </c>
      <c r="B3954" t="n">
        <v>1</v>
      </c>
      <c r="C3954" t="n">
        <v>2014</v>
      </c>
      <c r="D3954" t="n">
        <v>2014</v>
      </c>
      <c r="E3954" t="inlineStr">
        <is>
          <t>The Imitation Game</t>
        </is>
      </c>
      <c r="F3954" t="inlineStr">
        <is>
          <t>F0162</t>
        </is>
      </c>
    </row>
    <row r="3955">
      <c r="A3955" t="inlineStr">
        <is>
          <t>Dominic Charman</t>
        </is>
      </c>
      <c r="B3955" t="n">
        <v>1</v>
      </c>
      <c r="C3955" t="n">
        <v>2014</v>
      </c>
      <c r="D3955" t="n">
        <v>2014</v>
      </c>
      <c r="E3955" t="inlineStr">
        <is>
          <t>The Imitation Game</t>
        </is>
      </c>
      <c r="F3955" t="inlineStr">
        <is>
          <t>F0162</t>
        </is>
      </c>
    </row>
    <row r="3956">
      <c r="A3956" t="inlineStr">
        <is>
          <t>James G. Nunn</t>
        </is>
      </c>
      <c r="B3956" t="n">
        <v>1</v>
      </c>
      <c r="C3956" t="n">
        <v>2014</v>
      </c>
      <c r="D3956" t="n">
        <v>2014</v>
      </c>
      <c r="E3956" t="inlineStr">
        <is>
          <t>The Imitation Game</t>
        </is>
      </c>
      <c r="F3956" t="inlineStr">
        <is>
          <t>F0162</t>
        </is>
      </c>
    </row>
    <row r="3957">
      <c r="A3957" t="inlineStr">
        <is>
          <t>Charlie Manton</t>
        </is>
      </c>
      <c r="B3957" t="n">
        <v>1</v>
      </c>
      <c r="C3957" t="n">
        <v>2014</v>
      </c>
      <c r="D3957" t="n">
        <v>2014</v>
      </c>
      <c r="E3957" t="inlineStr">
        <is>
          <t>The Imitation Game</t>
        </is>
      </c>
      <c r="F3957" t="inlineStr">
        <is>
          <t>F0162</t>
        </is>
      </c>
    </row>
    <row r="3958">
      <c r="A3958" t="inlineStr">
        <is>
          <t>David Charkham</t>
        </is>
      </c>
      <c r="B3958" t="n">
        <v>1</v>
      </c>
      <c r="C3958" t="n">
        <v>2014</v>
      </c>
      <c r="D3958" t="n">
        <v>2014</v>
      </c>
      <c r="E3958" t="inlineStr">
        <is>
          <t>The Imitation Game</t>
        </is>
      </c>
      <c r="F3958" t="inlineStr">
        <is>
          <t>F0162</t>
        </is>
      </c>
    </row>
    <row r="3959">
      <c r="A3959" t="inlineStr">
        <is>
          <t>Victoria Wicks</t>
        </is>
      </c>
      <c r="B3959" t="n">
        <v>1</v>
      </c>
      <c r="C3959" t="n">
        <v>2014</v>
      </c>
      <c r="D3959" t="n">
        <v>2014</v>
      </c>
      <c r="E3959" t="inlineStr">
        <is>
          <t>The Imitation Game</t>
        </is>
      </c>
      <c r="F3959" t="inlineStr">
        <is>
          <t>F0162</t>
        </is>
      </c>
    </row>
    <row r="3960">
      <c r="A3960" t="inlineStr">
        <is>
          <t>Andrew Havill</t>
        </is>
      </c>
      <c r="B3960" t="n">
        <v>3</v>
      </c>
      <c r="C3960" t="n">
        <v>2010</v>
      </c>
      <c r="D3960" t="n">
        <v>2014</v>
      </c>
      <c r="E3960" t="inlineStr">
        <is>
          <t>The Imitation Game, The King's Speech, Les Misérables</t>
        </is>
      </c>
      <c r="F3960" t="inlineStr">
        <is>
          <t>F0162, F0189, F0199</t>
        </is>
      </c>
    </row>
    <row r="3961">
      <c r="A3961" t="inlineStr">
        <is>
          <t>Laurence Kennedy</t>
        </is>
      </c>
      <c r="B3961" t="n">
        <v>1</v>
      </c>
      <c r="C3961" t="n">
        <v>2014</v>
      </c>
      <c r="D3961" t="n">
        <v>2014</v>
      </c>
      <c r="E3961" t="inlineStr">
        <is>
          <t>The Imitation Game</t>
        </is>
      </c>
      <c r="F3961" t="inlineStr">
        <is>
          <t>F0162</t>
        </is>
      </c>
    </row>
    <row r="3962">
      <c r="A3962" t="inlineStr">
        <is>
          <t>Tim van Eyken</t>
        </is>
      </c>
      <c r="B3962" t="n">
        <v>1</v>
      </c>
      <c r="C3962" t="n">
        <v>2014</v>
      </c>
      <c r="D3962" t="n">
        <v>2014</v>
      </c>
      <c r="E3962" t="inlineStr">
        <is>
          <t>The Imitation Game</t>
        </is>
      </c>
      <c r="F3962" t="inlineStr">
        <is>
          <t>F0162</t>
        </is>
      </c>
    </row>
    <row r="3963">
      <c r="A3963" t="inlineStr">
        <is>
          <t>Will Bowden</t>
        </is>
      </c>
      <c r="B3963" t="n">
        <v>1</v>
      </c>
      <c r="C3963" t="n">
        <v>2014</v>
      </c>
      <c r="D3963" t="n">
        <v>2014</v>
      </c>
      <c r="E3963" t="inlineStr">
        <is>
          <t>The Imitation Game</t>
        </is>
      </c>
      <c r="F3963" t="inlineStr">
        <is>
          <t>F0162</t>
        </is>
      </c>
    </row>
    <row r="3964">
      <c r="A3964" t="inlineStr">
        <is>
          <t>Miranda Bell</t>
        </is>
      </c>
      <c r="B3964" t="n">
        <v>1</v>
      </c>
      <c r="C3964" t="n">
        <v>2014</v>
      </c>
      <c r="D3964" t="n">
        <v>2014</v>
      </c>
      <c r="E3964" t="inlineStr">
        <is>
          <t>The Imitation Game</t>
        </is>
      </c>
      <c r="F3964" t="inlineStr">
        <is>
          <t>F0162</t>
        </is>
      </c>
    </row>
    <row r="3965">
      <c r="A3965" t="inlineStr">
        <is>
          <t>Tim Steed</t>
        </is>
      </c>
      <c r="B3965" t="n">
        <v>1</v>
      </c>
      <c r="C3965" t="n">
        <v>2014</v>
      </c>
      <c r="D3965" t="n">
        <v>2014</v>
      </c>
      <c r="E3965" t="inlineStr">
        <is>
          <t>The Imitation Game</t>
        </is>
      </c>
      <c r="F3965" t="inlineStr">
        <is>
          <t>F0162</t>
        </is>
      </c>
    </row>
    <row r="3966">
      <c r="A3966" t="inlineStr">
        <is>
          <t>Hayley Joanne Bacon</t>
        </is>
      </c>
      <c r="B3966" t="n">
        <v>1</v>
      </c>
      <c r="C3966" t="n">
        <v>2014</v>
      </c>
      <c r="D3966" t="n">
        <v>2014</v>
      </c>
      <c r="E3966" t="inlineStr">
        <is>
          <t>The Imitation Game</t>
        </is>
      </c>
      <c r="F3966" t="inlineStr">
        <is>
          <t>F0162</t>
        </is>
      </c>
    </row>
    <row r="3967">
      <c r="A3967" t="inlineStr">
        <is>
          <t>Nicholas Blatt</t>
        </is>
      </c>
      <c r="B3967" t="n">
        <v>1</v>
      </c>
      <c r="C3967" t="n">
        <v>2014</v>
      </c>
      <c r="D3967" t="n">
        <v>2014</v>
      </c>
      <c r="E3967" t="inlineStr">
        <is>
          <t>The Imitation Game</t>
        </is>
      </c>
      <c r="F3967" t="inlineStr">
        <is>
          <t>F0162</t>
        </is>
      </c>
    </row>
    <row r="3968">
      <c r="A3968" t="inlineStr">
        <is>
          <t>Ancuta Breaban</t>
        </is>
      </c>
      <c r="B3968" t="n">
        <v>1</v>
      </c>
      <c r="C3968" t="n">
        <v>2014</v>
      </c>
      <c r="D3968" t="n">
        <v>2014</v>
      </c>
      <c r="E3968" t="inlineStr">
        <is>
          <t>The Imitation Game</t>
        </is>
      </c>
      <c r="F3968" t="inlineStr">
        <is>
          <t>F0162</t>
        </is>
      </c>
    </row>
    <row r="3969">
      <c r="A3969" t="inlineStr">
        <is>
          <t>Lydia Rose Bewley</t>
        </is>
      </c>
      <c r="B3969" t="n">
        <v>2</v>
      </c>
      <c r="C3969" t="n">
        <v>2011</v>
      </c>
      <c r="D3969" t="n">
        <v>2014</v>
      </c>
      <c r="E3969" t="inlineStr">
        <is>
          <t>The Inbetweeners Movie, The Inbetweeners 2</t>
        </is>
      </c>
      <c r="F3969" t="inlineStr">
        <is>
          <t>F0163, F0164</t>
        </is>
      </c>
    </row>
    <row r="3970">
      <c r="A3970" t="inlineStr">
        <is>
          <t>Tamla Kari</t>
        </is>
      </c>
      <c r="B3970" t="n">
        <v>2</v>
      </c>
      <c r="C3970" t="n">
        <v>2011</v>
      </c>
      <c r="D3970" t="n">
        <v>2014</v>
      </c>
      <c r="E3970" t="inlineStr">
        <is>
          <t>The Inbetweeners Movie, The Inbetweeners 2</t>
        </is>
      </c>
      <c r="F3970" t="inlineStr">
        <is>
          <t>F0163, F0164</t>
        </is>
      </c>
    </row>
    <row r="3971">
      <c r="A3971" t="inlineStr">
        <is>
          <t>Theo Barklem-Biggs</t>
        </is>
      </c>
      <c r="B3971" t="n">
        <v>1</v>
      </c>
      <c r="C3971" t="n">
        <v>2011</v>
      </c>
      <c r="D3971" t="n">
        <v>2011</v>
      </c>
      <c r="E3971" t="inlineStr">
        <is>
          <t>The Inbetweeners Movie</t>
        </is>
      </c>
      <c r="F3971" t="inlineStr">
        <is>
          <t>F0163</t>
        </is>
      </c>
    </row>
    <row r="3972">
      <c r="A3972" t="inlineStr">
        <is>
          <t>Anthony Stewart Head</t>
        </is>
      </c>
      <c r="B3972" t="n">
        <v>1</v>
      </c>
      <c r="C3972" t="n">
        <v>2011</v>
      </c>
      <c r="D3972" t="n">
        <v>2011</v>
      </c>
      <c r="E3972" t="inlineStr">
        <is>
          <t>The Inbetweeners Movie</t>
        </is>
      </c>
      <c r="F3972" t="inlineStr">
        <is>
          <t>F0163</t>
        </is>
      </c>
    </row>
    <row r="3973">
      <c r="A3973" t="inlineStr">
        <is>
          <t>Victoria Willing</t>
        </is>
      </c>
      <c r="B3973" t="n">
        <v>1</v>
      </c>
      <c r="C3973" t="n">
        <v>2011</v>
      </c>
      <c r="D3973" t="n">
        <v>2011</v>
      </c>
      <c r="E3973" t="inlineStr">
        <is>
          <t>The Inbetweeners Movie</t>
        </is>
      </c>
      <c r="F3973" t="inlineStr">
        <is>
          <t>F0163</t>
        </is>
      </c>
    </row>
    <row r="3974">
      <c r="A3974" t="inlineStr">
        <is>
          <t>Greg Davies</t>
        </is>
      </c>
      <c r="B3974" t="n">
        <v>2</v>
      </c>
      <c r="C3974" t="n">
        <v>2011</v>
      </c>
      <c r="D3974" t="n">
        <v>2014</v>
      </c>
      <c r="E3974" t="inlineStr">
        <is>
          <t>The Inbetweeners Movie, The Inbetweeners 2</t>
        </is>
      </c>
      <c r="F3974" t="inlineStr">
        <is>
          <t>F0163, F0164</t>
        </is>
      </c>
    </row>
    <row r="3975">
      <c r="A3975" t="inlineStr">
        <is>
          <t>Henry Lloyd-Hughes</t>
        </is>
      </c>
      <c r="B3975" t="n">
        <v>1</v>
      </c>
      <c r="C3975" t="n">
        <v>2011</v>
      </c>
      <c r="D3975" t="n">
        <v>2011</v>
      </c>
      <c r="E3975" t="inlineStr">
        <is>
          <t>The Inbetweeners Movie</t>
        </is>
      </c>
      <c r="F3975" t="inlineStr">
        <is>
          <t>F0163</t>
        </is>
      </c>
    </row>
    <row r="3976">
      <c r="A3976" t="inlineStr">
        <is>
          <t>Belinda Stewart-Wilson</t>
        </is>
      </c>
      <c r="B3976" t="n">
        <v>2</v>
      </c>
      <c r="C3976" t="n">
        <v>2011</v>
      </c>
      <c r="D3976" t="n">
        <v>2014</v>
      </c>
      <c r="E3976" t="inlineStr">
        <is>
          <t>The Inbetweeners Movie, The Inbetweeners 2</t>
        </is>
      </c>
      <c r="F3976" t="inlineStr">
        <is>
          <t>F0163, F0164</t>
        </is>
      </c>
    </row>
    <row r="3977">
      <c r="A3977" t="inlineStr">
        <is>
          <t>Robin Weaver</t>
        </is>
      </c>
      <c r="B3977" t="n">
        <v>2</v>
      </c>
      <c r="C3977" t="n">
        <v>2011</v>
      </c>
      <c r="D3977" t="n">
        <v>2014</v>
      </c>
      <c r="E3977" t="inlineStr">
        <is>
          <t>The Inbetweeners Movie, The Inbetweeners 2</t>
        </is>
      </c>
      <c r="F3977" t="inlineStr">
        <is>
          <t>F0163, F0164</t>
        </is>
      </c>
    </row>
    <row r="3978">
      <c r="A3978" t="inlineStr">
        <is>
          <t>Martin Trenaman</t>
        </is>
      </c>
      <c r="B3978" t="n">
        <v>2</v>
      </c>
      <c r="C3978" t="n">
        <v>2011</v>
      </c>
      <c r="D3978" t="n">
        <v>2014</v>
      </c>
      <c r="E3978" t="inlineStr">
        <is>
          <t>The Inbetweeners Movie, The Inbetweeners 2</t>
        </is>
      </c>
      <c r="F3978" t="inlineStr">
        <is>
          <t>F0163, F0164</t>
        </is>
      </c>
    </row>
    <row r="3979">
      <c r="A3979" t="inlineStr">
        <is>
          <t>David Schaal</t>
        </is>
      </c>
      <c r="B3979" t="n">
        <v>2</v>
      </c>
      <c r="C3979" t="n">
        <v>2011</v>
      </c>
      <c r="D3979" t="n">
        <v>2014</v>
      </c>
      <c r="E3979" t="inlineStr">
        <is>
          <t>The Inbetweeners Movie, The Inbetweeners 2</t>
        </is>
      </c>
      <c r="F3979" t="inlineStr">
        <is>
          <t>F0163, F0164</t>
        </is>
      </c>
    </row>
    <row r="3980">
      <c r="A3980" t="inlineStr">
        <is>
          <t>Sophie Colquhoun</t>
        </is>
      </c>
      <c r="B3980" t="n">
        <v>1</v>
      </c>
      <c r="C3980" t="n">
        <v>2011</v>
      </c>
      <c r="D3980" t="n">
        <v>2011</v>
      </c>
      <c r="E3980" t="inlineStr">
        <is>
          <t>The Inbetweeners Movie</t>
        </is>
      </c>
      <c r="F3980" t="inlineStr">
        <is>
          <t>F0163</t>
        </is>
      </c>
    </row>
    <row r="3981">
      <c r="A3981" t="inlineStr">
        <is>
          <t>Carolin Stoltz</t>
        </is>
      </c>
      <c r="B3981" t="n">
        <v>1</v>
      </c>
      <c r="C3981" t="n">
        <v>2011</v>
      </c>
      <c r="D3981" t="n">
        <v>2011</v>
      </c>
      <c r="E3981" t="inlineStr">
        <is>
          <t>The Inbetweeners Movie</t>
        </is>
      </c>
      <c r="F3981" t="inlineStr">
        <is>
          <t>F0163</t>
        </is>
      </c>
    </row>
    <row r="3982">
      <c r="A3982" t="inlineStr">
        <is>
          <t>Etalia Turnbull</t>
        </is>
      </c>
      <c r="B3982" t="n">
        <v>1</v>
      </c>
      <c r="C3982" t="n">
        <v>2011</v>
      </c>
      <c r="D3982" t="n">
        <v>2011</v>
      </c>
      <c r="E3982" t="inlineStr">
        <is>
          <t>The Inbetweeners Movie</t>
        </is>
      </c>
      <c r="F3982" t="inlineStr">
        <is>
          <t>F0163</t>
        </is>
      </c>
    </row>
    <row r="3983">
      <c r="A3983" t="inlineStr">
        <is>
          <t>Lauren O'Rourke</t>
        </is>
      </c>
      <c r="B3983" t="n">
        <v>1</v>
      </c>
      <c r="C3983" t="n">
        <v>2011</v>
      </c>
      <c r="D3983" t="n">
        <v>2011</v>
      </c>
      <c r="E3983" t="inlineStr">
        <is>
          <t>The Inbetweeners Movie</t>
        </is>
      </c>
      <c r="F3983" t="inlineStr">
        <is>
          <t>F0163</t>
        </is>
      </c>
    </row>
    <row r="3984">
      <c r="A3984" t="inlineStr">
        <is>
          <t>Dominic Frisby</t>
        </is>
      </c>
      <c r="B3984" t="n">
        <v>1</v>
      </c>
      <c r="C3984" t="n">
        <v>2011</v>
      </c>
      <c r="D3984" t="n">
        <v>2011</v>
      </c>
      <c r="E3984" t="inlineStr">
        <is>
          <t>The Inbetweeners Movie</t>
        </is>
      </c>
      <c r="F3984" t="inlineStr">
        <is>
          <t>F0163</t>
        </is>
      </c>
    </row>
    <row r="3985">
      <c r="A3985" t="inlineStr">
        <is>
          <t>Lily Lovett</t>
        </is>
      </c>
      <c r="B3985" t="n">
        <v>1</v>
      </c>
      <c r="C3985" t="n">
        <v>2011</v>
      </c>
      <c r="D3985" t="n">
        <v>2011</v>
      </c>
      <c r="E3985" t="inlineStr">
        <is>
          <t>The Inbetweeners Movie</t>
        </is>
      </c>
      <c r="F3985" t="inlineStr">
        <is>
          <t>F0163</t>
        </is>
      </c>
    </row>
    <row r="3986">
      <c r="A3986" t="inlineStr">
        <is>
          <t>Cush Jumbo</t>
        </is>
      </c>
      <c r="B3986" t="n">
        <v>1</v>
      </c>
      <c r="C3986" t="n">
        <v>2011</v>
      </c>
      <c r="D3986" t="n">
        <v>2011</v>
      </c>
      <c r="E3986" t="inlineStr">
        <is>
          <t>The Inbetweeners Movie</t>
        </is>
      </c>
      <c r="F3986" t="inlineStr">
        <is>
          <t>F0163</t>
        </is>
      </c>
    </row>
    <row r="3987">
      <c r="A3987" t="inlineStr">
        <is>
          <t>Bobby Hirston</t>
        </is>
      </c>
      <c r="B3987" t="n">
        <v>1</v>
      </c>
      <c r="C3987" t="n">
        <v>2011</v>
      </c>
      <c r="D3987" t="n">
        <v>2011</v>
      </c>
      <c r="E3987" t="inlineStr">
        <is>
          <t>The Inbetweeners Movie</t>
        </is>
      </c>
      <c r="F3987" t="inlineStr">
        <is>
          <t>F0163</t>
        </is>
      </c>
    </row>
    <row r="3988">
      <c r="A3988" t="inlineStr">
        <is>
          <t>Tracey Temperton</t>
        </is>
      </c>
      <c r="B3988" t="n">
        <v>1</v>
      </c>
      <c r="C3988" t="n">
        <v>2011</v>
      </c>
      <c r="D3988" t="n">
        <v>2011</v>
      </c>
      <c r="E3988" t="inlineStr">
        <is>
          <t>The Inbetweeners Movie</t>
        </is>
      </c>
      <c r="F3988" t="inlineStr">
        <is>
          <t>F0163</t>
        </is>
      </c>
    </row>
    <row r="3989">
      <c r="A3989" t="inlineStr">
        <is>
          <t>Jimmy Roussounis</t>
        </is>
      </c>
      <c r="B3989" t="n">
        <v>1</v>
      </c>
      <c r="C3989" t="n">
        <v>2011</v>
      </c>
      <c r="D3989" t="n">
        <v>2011</v>
      </c>
      <c r="E3989" t="inlineStr">
        <is>
          <t>The Inbetweeners Movie</t>
        </is>
      </c>
      <c r="F3989" t="inlineStr">
        <is>
          <t>F0163</t>
        </is>
      </c>
    </row>
    <row r="3990">
      <c r="A3990" t="inlineStr">
        <is>
          <t>David Field</t>
        </is>
      </c>
      <c r="B3990" t="n">
        <v>1</v>
      </c>
      <c r="C3990" t="n">
        <v>2014</v>
      </c>
      <c r="D3990" t="n">
        <v>2014</v>
      </c>
      <c r="E3990" t="inlineStr">
        <is>
          <t>The Inbetweeners 2</t>
        </is>
      </c>
      <c r="F3990" t="inlineStr">
        <is>
          <t>F0164</t>
        </is>
      </c>
    </row>
    <row r="3991">
      <c r="A3991" t="inlineStr">
        <is>
          <t>Felicity Ward</t>
        </is>
      </c>
      <c r="B3991" t="n">
        <v>1</v>
      </c>
      <c r="C3991" t="n">
        <v>2014</v>
      </c>
      <c r="D3991" t="n">
        <v>2014</v>
      </c>
      <c r="E3991" t="inlineStr">
        <is>
          <t>The Inbetweeners 2</t>
        </is>
      </c>
      <c r="F3991" t="inlineStr">
        <is>
          <t>F0164</t>
        </is>
      </c>
    </row>
    <row r="3992">
      <c r="A3992" t="inlineStr">
        <is>
          <t>Oliver Johnstone</t>
        </is>
      </c>
      <c r="B3992" t="n">
        <v>1</v>
      </c>
      <c r="C3992" t="n">
        <v>2014</v>
      </c>
      <c r="D3992" t="n">
        <v>2014</v>
      </c>
      <c r="E3992" t="inlineStr">
        <is>
          <t>The Inbetweeners 2</t>
        </is>
      </c>
      <c r="F3992" t="inlineStr">
        <is>
          <t>F0164</t>
        </is>
      </c>
    </row>
    <row r="3993">
      <c r="A3993" t="inlineStr">
        <is>
          <t>Susan Wokoma</t>
        </is>
      </c>
      <c r="B3993" t="n">
        <v>1</v>
      </c>
      <c r="C3993" t="n">
        <v>2014</v>
      </c>
      <c r="D3993" t="n">
        <v>2014</v>
      </c>
      <c r="E3993" t="inlineStr">
        <is>
          <t>The Inbetweeners 2</t>
        </is>
      </c>
      <c r="F3993" t="inlineStr">
        <is>
          <t>F0164</t>
        </is>
      </c>
    </row>
    <row r="3994">
      <c r="A3994" t="inlineStr">
        <is>
          <t>Lucy Cohu</t>
        </is>
      </c>
      <c r="B3994" t="n">
        <v>1</v>
      </c>
      <c r="C3994" t="n">
        <v>2014</v>
      </c>
      <c r="D3994" t="n">
        <v>2014</v>
      </c>
      <c r="E3994" t="inlineStr">
        <is>
          <t>The Inbetweeners 2</t>
        </is>
      </c>
      <c r="F3994" t="inlineStr">
        <is>
          <t>F0164</t>
        </is>
      </c>
    </row>
    <row r="3995">
      <c r="A3995" t="inlineStr">
        <is>
          <t>Tom Wren</t>
        </is>
      </c>
      <c r="B3995" t="n">
        <v>1</v>
      </c>
      <c r="C3995" t="n">
        <v>2014</v>
      </c>
      <c r="D3995" t="n">
        <v>2014</v>
      </c>
      <c r="E3995" t="inlineStr">
        <is>
          <t>The Inbetweeners 2</t>
        </is>
      </c>
      <c r="F3995" t="inlineStr">
        <is>
          <t>F0164</t>
        </is>
      </c>
    </row>
    <row r="3996">
      <c r="A3996" t="inlineStr">
        <is>
          <t>Bibi Nerheim</t>
        </is>
      </c>
      <c r="B3996" t="n">
        <v>1</v>
      </c>
      <c r="C3996" t="n">
        <v>2014</v>
      </c>
      <c r="D3996" t="n">
        <v>2014</v>
      </c>
      <c r="E3996" t="inlineStr">
        <is>
          <t>The Inbetweeners 2</t>
        </is>
      </c>
      <c r="F3996" t="inlineStr">
        <is>
          <t>F0164</t>
        </is>
      </c>
    </row>
    <row r="3997">
      <c r="A3997" t="inlineStr">
        <is>
          <t>Adam Nagaitis</t>
        </is>
      </c>
      <c r="B3997" t="n">
        <v>1</v>
      </c>
      <c r="C3997" t="n">
        <v>2014</v>
      </c>
      <c r="D3997" t="n">
        <v>2014</v>
      </c>
      <c r="E3997" t="inlineStr">
        <is>
          <t>The Inbetweeners 2</t>
        </is>
      </c>
      <c r="F3997" t="inlineStr">
        <is>
          <t>F0164</t>
        </is>
      </c>
    </row>
    <row r="3998">
      <c r="A3998" t="inlineStr">
        <is>
          <t>Brad Kannegiesser</t>
        </is>
      </c>
      <c r="B3998" t="n">
        <v>1</v>
      </c>
      <c r="C3998" t="n">
        <v>2014</v>
      </c>
      <c r="D3998" t="n">
        <v>2014</v>
      </c>
      <c r="E3998" t="inlineStr">
        <is>
          <t>The Inbetweeners 2</t>
        </is>
      </c>
      <c r="F3998" t="inlineStr">
        <is>
          <t>F0164</t>
        </is>
      </c>
    </row>
    <row r="3999">
      <c r="A3999" t="inlineStr">
        <is>
          <t>Tom Berenger</t>
        </is>
      </c>
      <c r="B3999" t="n">
        <v>1</v>
      </c>
      <c r="C3999" t="n">
        <v>2010</v>
      </c>
      <c r="D3999" t="n">
        <v>2010</v>
      </c>
      <c r="E3999" t="inlineStr">
        <is>
          <t>Inception</t>
        </is>
      </c>
      <c r="F3999" t="inlineStr">
        <is>
          <t>F0165</t>
        </is>
      </c>
    </row>
    <row r="4000">
      <c r="A4000" t="inlineStr">
        <is>
          <t>Lukas Haas</t>
        </is>
      </c>
      <c r="B4000" t="n">
        <v>1</v>
      </c>
      <c r="C4000" t="n">
        <v>2010</v>
      </c>
      <c r="D4000" t="n">
        <v>2010</v>
      </c>
      <c r="E4000" t="inlineStr">
        <is>
          <t>Inception</t>
        </is>
      </c>
      <c r="F4000" t="inlineStr">
        <is>
          <t>F0165</t>
        </is>
      </c>
    </row>
    <row r="4001">
      <c r="A4001" t="inlineStr">
        <is>
          <t>Talulah Riley</t>
        </is>
      </c>
      <c r="B4001" t="n">
        <v>1</v>
      </c>
      <c r="C4001" t="n">
        <v>2010</v>
      </c>
      <c r="D4001" t="n">
        <v>2010</v>
      </c>
      <c r="E4001" t="inlineStr">
        <is>
          <t>Inception</t>
        </is>
      </c>
      <c r="F4001" t="inlineStr">
        <is>
          <t>F0165</t>
        </is>
      </c>
    </row>
    <row r="4002">
      <c r="A4002" t="inlineStr">
        <is>
          <t>Tohoru Masamune</t>
        </is>
      </c>
      <c r="B4002" t="n">
        <v>2</v>
      </c>
      <c r="C4002" t="n">
        <v>2010</v>
      </c>
      <c r="D4002" t="n">
        <v>2014</v>
      </c>
      <c r="E4002" t="inlineStr">
        <is>
          <t>Inception, Teenage Mutant Ninja Turtles</t>
        </is>
      </c>
      <c r="F4002" t="inlineStr">
        <is>
          <t>F0165, F0309</t>
        </is>
      </c>
    </row>
    <row r="4003">
      <c r="A4003" t="inlineStr">
        <is>
          <t>Taylor Geare</t>
        </is>
      </c>
      <c r="B4003" t="n">
        <v>1</v>
      </c>
      <c r="C4003" t="n">
        <v>2010</v>
      </c>
      <c r="D4003" t="n">
        <v>2010</v>
      </c>
      <c r="E4003" t="inlineStr">
        <is>
          <t>Inception</t>
        </is>
      </c>
      <c r="F4003" t="inlineStr">
        <is>
          <t>F0165</t>
        </is>
      </c>
    </row>
    <row r="4004">
      <c r="A4004" t="inlineStr">
        <is>
          <t>Claire Geare</t>
        </is>
      </c>
      <c r="B4004" t="n">
        <v>1</v>
      </c>
      <c r="C4004" t="n">
        <v>2010</v>
      </c>
      <c r="D4004" t="n">
        <v>2010</v>
      </c>
      <c r="E4004" t="inlineStr">
        <is>
          <t>Inception</t>
        </is>
      </c>
      <c r="F4004" t="inlineStr">
        <is>
          <t>F0165</t>
        </is>
      </c>
    </row>
    <row r="4005">
      <c r="A4005" t="inlineStr">
        <is>
          <t>Johnathan Geare</t>
        </is>
      </c>
      <c r="B4005" t="n">
        <v>1</v>
      </c>
      <c r="C4005" t="n">
        <v>2010</v>
      </c>
      <c r="D4005" t="n">
        <v>2010</v>
      </c>
      <c r="E4005" t="inlineStr">
        <is>
          <t>Inception</t>
        </is>
      </c>
      <c r="F4005" t="inlineStr">
        <is>
          <t>F0165</t>
        </is>
      </c>
    </row>
    <row r="4006">
      <c r="A4006" t="inlineStr">
        <is>
          <t>Yuji Okumoto</t>
        </is>
      </c>
      <c r="B4006" t="n">
        <v>1</v>
      </c>
      <c r="C4006" t="n">
        <v>2010</v>
      </c>
      <c r="D4006" t="n">
        <v>2010</v>
      </c>
      <c r="E4006" t="inlineStr">
        <is>
          <t>Inception</t>
        </is>
      </c>
      <c r="F4006" t="inlineStr">
        <is>
          <t>F0165</t>
        </is>
      </c>
    </row>
    <row r="4007">
      <c r="A4007" t="inlineStr">
        <is>
          <t>Earl Cameron</t>
        </is>
      </c>
      <c r="B4007" t="n">
        <v>1</v>
      </c>
      <c r="C4007" t="n">
        <v>2010</v>
      </c>
      <c r="D4007" t="n">
        <v>2010</v>
      </c>
      <c r="E4007" t="inlineStr">
        <is>
          <t>Inception</t>
        </is>
      </c>
      <c r="F4007" t="inlineStr">
        <is>
          <t>F0165</t>
        </is>
      </c>
    </row>
    <row r="4008">
      <c r="A4008" t="inlineStr">
        <is>
          <t>Ryan Hayward</t>
        </is>
      </c>
      <c r="B4008" t="n">
        <v>1</v>
      </c>
      <c r="C4008" t="n">
        <v>2010</v>
      </c>
      <c r="D4008" t="n">
        <v>2010</v>
      </c>
      <c r="E4008" t="inlineStr">
        <is>
          <t>Inception</t>
        </is>
      </c>
      <c r="F4008" t="inlineStr">
        <is>
          <t>F0165</t>
        </is>
      </c>
    </row>
    <row r="4009">
      <c r="A4009" t="inlineStr">
        <is>
          <t>Russ Fega</t>
        </is>
      </c>
      <c r="B4009" t="n">
        <v>2</v>
      </c>
      <c r="C4009" t="n">
        <v>2010</v>
      </c>
      <c r="D4009" t="n">
        <v>2014</v>
      </c>
      <c r="E4009" t="inlineStr">
        <is>
          <t>Inception, Interstellar</t>
        </is>
      </c>
      <c r="F4009" t="inlineStr">
        <is>
          <t>F0165, F0168</t>
        </is>
      </c>
    </row>
    <row r="4010">
      <c r="A4010" t="inlineStr">
        <is>
          <t>Tim Kelleher</t>
        </is>
      </c>
      <c r="B4010" t="n">
        <v>1</v>
      </c>
      <c r="C4010" t="n">
        <v>2010</v>
      </c>
      <c r="D4010" t="n">
        <v>2010</v>
      </c>
      <c r="E4010" t="inlineStr">
        <is>
          <t>Inception</t>
        </is>
      </c>
      <c r="F4010" t="inlineStr">
        <is>
          <t>F0165</t>
        </is>
      </c>
    </row>
    <row r="4011">
      <c r="A4011" t="inlineStr">
        <is>
          <t>Coralie Dedykere</t>
        </is>
      </c>
      <c r="B4011" t="n">
        <v>1</v>
      </c>
      <c r="C4011" t="n">
        <v>2010</v>
      </c>
      <c r="D4011" t="n">
        <v>2010</v>
      </c>
      <c r="E4011" t="inlineStr">
        <is>
          <t>Inception</t>
        </is>
      </c>
      <c r="F4011" t="inlineStr">
        <is>
          <t>F0165</t>
        </is>
      </c>
    </row>
    <row r="4012">
      <c r="A4012" t="inlineStr">
        <is>
          <t>Silvie Laguna</t>
        </is>
      </c>
      <c r="B4012" t="n">
        <v>1</v>
      </c>
      <c r="C4012" t="n">
        <v>2010</v>
      </c>
      <c r="D4012" t="n">
        <v>2010</v>
      </c>
      <c r="E4012" t="inlineStr">
        <is>
          <t>Inception</t>
        </is>
      </c>
      <c r="F4012" t="inlineStr">
        <is>
          <t>F0165</t>
        </is>
      </c>
    </row>
    <row r="4013">
      <c r="A4013" t="inlineStr">
        <is>
          <t>Virgile Bramly</t>
        </is>
      </c>
      <c r="B4013" t="n">
        <v>1</v>
      </c>
      <c r="C4013" t="n">
        <v>2010</v>
      </c>
      <c r="D4013" t="n">
        <v>2010</v>
      </c>
      <c r="E4013" t="inlineStr">
        <is>
          <t>Inception</t>
        </is>
      </c>
      <c r="F4013" t="inlineStr">
        <is>
          <t>F0165</t>
        </is>
      </c>
    </row>
    <row r="4014">
      <c r="A4014" t="inlineStr">
        <is>
          <t>Nicolas Clerc</t>
        </is>
      </c>
      <c r="B4014" t="n">
        <v>1</v>
      </c>
      <c r="C4014" t="n">
        <v>2010</v>
      </c>
      <c r="D4014" t="n">
        <v>2010</v>
      </c>
      <c r="E4014" t="inlineStr">
        <is>
          <t>Inception</t>
        </is>
      </c>
      <c r="F4014" t="inlineStr">
        <is>
          <t>F0165</t>
        </is>
      </c>
    </row>
    <row r="4015">
      <c r="A4015" t="inlineStr">
        <is>
          <t>Jean-Michel Dagory</t>
        </is>
      </c>
      <c r="B4015" t="n">
        <v>1</v>
      </c>
      <c r="C4015" t="n">
        <v>2010</v>
      </c>
      <c r="D4015" t="n">
        <v>2010</v>
      </c>
      <c r="E4015" t="inlineStr">
        <is>
          <t>Inception</t>
        </is>
      </c>
      <c r="F4015" t="inlineStr">
        <is>
          <t>F0165</t>
        </is>
      </c>
    </row>
    <row r="4016">
      <c r="A4016" t="inlineStr">
        <is>
          <t>Marc Raducci</t>
        </is>
      </c>
      <c r="B4016" t="n">
        <v>1</v>
      </c>
      <c r="C4016" t="n">
        <v>2010</v>
      </c>
      <c r="D4016" t="n">
        <v>2010</v>
      </c>
      <c r="E4016" t="inlineStr">
        <is>
          <t>Inception</t>
        </is>
      </c>
      <c r="F4016" t="inlineStr">
        <is>
          <t>F0165</t>
        </is>
      </c>
    </row>
    <row r="4017">
      <c r="A4017" t="inlineStr">
        <is>
          <t>Tai-Li Lee</t>
        </is>
      </c>
      <c r="B4017" t="n">
        <v>1</v>
      </c>
      <c r="C4017" t="n">
        <v>2010</v>
      </c>
      <c r="D4017" t="n">
        <v>2010</v>
      </c>
      <c r="E4017" t="inlineStr">
        <is>
          <t>Inception</t>
        </is>
      </c>
      <c r="F4017" t="inlineStr">
        <is>
          <t>F0165</t>
        </is>
      </c>
    </row>
    <row r="4018">
      <c r="A4018" t="inlineStr">
        <is>
          <t>Eli Roth</t>
        </is>
      </c>
      <c r="B4018" t="n">
        <v>1</v>
      </c>
      <c r="C4018" t="n">
        <v>2009</v>
      </c>
      <c r="D4018" t="n">
        <v>2009</v>
      </c>
      <c r="E4018" t="inlineStr">
        <is>
          <t>Inglourious Basterds</t>
        </is>
      </c>
      <c r="F4018" t="inlineStr">
        <is>
          <t>F0166</t>
        </is>
      </c>
    </row>
    <row r="4019">
      <c r="A4019" t="inlineStr">
        <is>
          <t>Til Schweiger</t>
        </is>
      </c>
      <c r="B4019" t="n">
        <v>1</v>
      </c>
      <c r="C4019" t="n">
        <v>2009</v>
      </c>
      <c r="D4019" t="n">
        <v>2009</v>
      </c>
      <c r="E4019" t="inlineStr">
        <is>
          <t>Inglourious Basterds</t>
        </is>
      </c>
      <c r="F4019" t="inlineStr">
        <is>
          <t>F0166</t>
        </is>
      </c>
    </row>
    <row r="4020">
      <c r="A4020" t="inlineStr">
        <is>
          <t>Gedeon Burkhard</t>
        </is>
      </c>
      <c r="B4020" t="n">
        <v>1</v>
      </c>
      <c r="C4020" t="n">
        <v>2009</v>
      </c>
      <c r="D4020" t="n">
        <v>2009</v>
      </c>
      <c r="E4020" t="inlineStr">
        <is>
          <t>Inglourious Basterds</t>
        </is>
      </c>
      <c r="F4020" t="inlineStr">
        <is>
          <t>F0166</t>
        </is>
      </c>
    </row>
    <row r="4021">
      <c r="A4021" t="inlineStr">
        <is>
          <t>Jacky Ido</t>
        </is>
      </c>
      <c r="B4021" t="n">
        <v>1</v>
      </c>
      <c r="C4021" t="n">
        <v>2009</v>
      </c>
      <c r="D4021" t="n">
        <v>2009</v>
      </c>
      <c r="E4021" t="inlineStr">
        <is>
          <t>Inglourious Basterds</t>
        </is>
      </c>
      <c r="F4021" t="inlineStr">
        <is>
          <t>F0166</t>
        </is>
      </c>
    </row>
    <row r="4022">
      <c r="A4022" t="inlineStr">
        <is>
          <t>B.J. Novak</t>
        </is>
      </c>
      <c r="B4022" t="n">
        <v>1</v>
      </c>
      <c r="C4022" t="n">
        <v>2009</v>
      </c>
      <c r="D4022" t="n">
        <v>2009</v>
      </c>
      <c r="E4022" t="inlineStr">
        <is>
          <t>Inglourious Basterds</t>
        </is>
      </c>
      <c r="F4022" t="inlineStr">
        <is>
          <t>F0166</t>
        </is>
      </c>
    </row>
    <row r="4023">
      <c r="A4023" t="inlineStr">
        <is>
          <t>Omar Doom</t>
        </is>
      </c>
      <c r="B4023" t="n">
        <v>1</v>
      </c>
      <c r="C4023" t="n">
        <v>2009</v>
      </c>
      <c r="D4023" t="n">
        <v>2009</v>
      </c>
      <c r="E4023" t="inlineStr">
        <is>
          <t>Inglourious Basterds</t>
        </is>
      </c>
      <c r="F4023" t="inlineStr">
        <is>
          <t>F0166</t>
        </is>
      </c>
    </row>
    <row r="4024">
      <c r="A4024" t="inlineStr">
        <is>
          <t>Denis Ménochet</t>
        </is>
      </c>
      <c r="B4024" t="n">
        <v>2</v>
      </c>
      <c r="C4024" t="n">
        <v>2009</v>
      </c>
      <c r="D4024" t="n">
        <v>2010</v>
      </c>
      <c r="E4024" t="inlineStr">
        <is>
          <t>Inglourious Basterds, Robin Hood</t>
        </is>
      </c>
      <c r="F4024" t="inlineStr">
        <is>
          <t>F0166, F0267</t>
        </is>
      </c>
    </row>
    <row r="4025">
      <c r="A4025" t="inlineStr">
        <is>
          <t>Sylvester Groth</t>
        </is>
      </c>
      <c r="B4025" t="n">
        <v>1</v>
      </c>
      <c r="C4025" t="n">
        <v>2009</v>
      </c>
      <c r="D4025" t="n">
        <v>2009</v>
      </c>
      <c r="E4025" t="inlineStr">
        <is>
          <t>Inglourious Basterds</t>
        </is>
      </c>
      <c r="F4025" t="inlineStr">
        <is>
          <t>F0166</t>
        </is>
      </c>
    </row>
    <row r="4026">
      <c r="A4026" t="inlineStr">
        <is>
          <t>Martin Wuttke</t>
        </is>
      </c>
      <c r="B4026" t="n">
        <v>1</v>
      </c>
      <c r="C4026" t="n">
        <v>2009</v>
      </c>
      <c r="D4026" t="n">
        <v>2009</v>
      </c>
      <c r="E4026" t="inlineStr">
        <is>
          <t>Inglourious Basterds</t>
        </is>
      </c>
      <c r="F4026" t="inlineStr">
        <is>
          <t>F0166</t>
        </is>
      </c>
    </row>
    <row r="4027">
      <c r="A4027" t="inlineStr">
        <is>
          <t>Julie Dreyfus</t>
        </is>
      </c>
      <c r="B4027" t="n">
        <v>1</v>
      </c>
      <c r="C4027" t="n">
        <v>2009</v>
      </c>
      <c r="D4027" t="n">
        <v>2009</v>
      </c>
      <c r="E4027" t="inlineStr">
        <is>
          <t>Inglourious Basterds</t>
        </is>
      </c>
      <c r="F4027" t="inlineStr">
        <is>
          <t>F0166</t>
        </is>
      </c>
    </row>
    <row r="4028">
      <c r="A4028" t="inlineStr">
        <is>
          <t>Alexander Fehling</t>
        </is>
      </c>
      <c r="B4028" t="n">
        <v>1</v>
      </c>
      <c r="C4028" t="n">
        <v>2009</v>
      </c>
      <c r="D4028" t="n">
        <v>2009</v>
      </c>
      <c r="E4028" t="inlineStr">
        <is>
          <t>Inglourious Basterds</t>
        </is>
      </c>
      <c r="F4028" t="inlineStr">
        <is>
          <t>F0166</t>
        </is>
      </c>
    </row>
    <row r="4029">
      <c r="A4029" t="inlineStr">
        <is>
          <t>Rod Taylor</t>
        </is>
      </c>
      <c r="B4029" t="n">
        <v>1</v>
      </c>
      <c r="C4029" t="n">
        <v>2009</v>
      </c>
      <c r="D4029" t="n">
        <v>2009</v>
      </c>
      <c r="E4029" t="inlineStr">
        <is>
          <t>Inglourious Basterds</t>
        </is>
      </c>
      <c r="F4029" t="inlineStr">
        <is>
          <t>F0166</t>
        </is>
      </c>
    </row>
    <row r="4030">
      <c r="A4030" t="inlineStr">
        <is>
          <t>Sönke Möhring</t>
        </is>
      </c>
      <c r="B4030" t="n">
        <v>1</v>
      </c>
      <c r="C4030" t="n">
        <v>2009</v>
      </c>
      <c r="D4030" t="n">
        <v>2009</v>
      </c>
      <c r="E4030" t="inlineStr">
        <is>
          <t>Inglourious Basterds</t>
        </is>
      </c>
      <c r="F4030" t="inlineStr">
        <is>
          <t>F0166</t>
        </is>
      </c>
    </row>
    <row r="4031">
      <c r="A4031" t="inlineStr">
        <is>
          <t>Samm Levine</t>
        </is>
      </c>
      <c r="B4031" t="n">
        <v>1</v>
      </c>
      <c r="C4031" t="n">
        <v>2009</v>
      </c>
      <c r="D4031" t="n">
        <v>2009</v>
      </c>
      <c r="E4031" t="inlineStr">
        <is>
          <t>Inglourious Basterds</t>
        </is>
      </c>
      <c r="F4031" t="inlineStr">
        <is>
          <t>F0166</t>
        </is>
      </c>
    </row>
    <row r="4032">
      <c r="A4032" t="inlineStr">
        <is>
          <t>Paul Rust</t>
        </is>
      </c>
      <c r="B4032" t="n">
        <v>1</v>
      </c>
      <c r="C4032" t="n">
        <v>2009</v>
      </c>
      <c r="D4032" t="n">
        <v>2009</v>
      </c>
      <c r="E4032" t="inlineStr">
        <is>
          <t>Inglourious Basterds</t>
        </is>
      </c>
      <c r="F4032" t="inlineStr">
        <is>
          <t>F0166</t>
        </is>
      </c>
    </row>
    <row r="4033">
      <c r="A4033" t="inlineStr">
        <is>
          <t>Michael Bacall</t>
        </is>
      </c>
      <c r="B4033" t="n">
        <v>1</v>
      </c>
      <c r="C4033" t="n">
        <v>2009</v>
      </c>
      <c r="D4033" t="n">
        <v>2009</v>
      </c>
      <c r="E4033" t="inlineStr">
        <is>
          <t>Inglourious Basterds</t>
        </is>
      </c>
      <c r="F4033" t="inlineStr">
        <is>
          <t>F0166</t>
        </is>
      </c>
    </row>
    <row r="4034">
      <c r="A4034" t="inlineStr">
        <is>
          <t>Arndt Schwering-Sohnrey</t>
        </is>
      </c>
      <c r="B4034" t="n">
        <v>1</v>
      </c>
      <c r="C4034" t="n">
        <v>2009</v>
      </c>
      <c r="D4034" t="n">
        <v>2009</v>
      </c>
      <c r="E4034" t="inlineStr">
        <is>
          <t>Inglourious Basterds</t>
        </is>
      </c>
      <c r="F4034" t="inlineStr">
        <is>
          <t>F0166</t>
        </is>
      </c>
    </row>
    <row r="4035">
      <c r="A4035" t="inlineStr">
        <is>
          <t>Petra Hartung</t>
        </is>
      </c>
      <c r="B4035" t="n">
        <v>2</v>
      </c>
      <c r="C4035" t="n">
        <v>2009</v>
      </c>
      <c r="D4035" t="n">
        <v>2011</v>
      </c>
      <c r="E4035" t="inlineStr">
        <is>
          <t>Inglourious Basterds, Unknown</t>
        </is>
      </c>
      <c r="F4035" t="inlineStr">
        <is>
          <t>F0166, F0329</t>
        </is>
      </c>
    </row>
    <row r="4036">
      <c r="A4036" t="inlineStr">
        <is>
          <t>Volker Michalowski</t>
        </is>
      </c>
      <c r="B4036" t="n">
        <v>1</v>
      </c>
      <c r="C4036" t="n">
        <v>2009</v>
      </c>
      <c r="D4036" t="n">
        <v>2009</v>
      </c>
      <c r="E4036" t="inlineStr">
        <is>
          <t>Inglourious Basterds</t>
        </is>
      </c>
      <c r="F4036" t="inlineStr">
        <is>
          <t>F0166</t>
        </is>
      </c>
    </row>
    <row r="4037">
      <c r="A4037" t="inlineStr">
        <is>
          <t>Ken Duken</t>
        </is>
      </c>
      <c r="B4037" t="n">
        <v>1</v>
      </c>
      <c r="C4037" t="n">
        <v>2009</v>
      </c>
      <c r="D4037" t="n">
        <v>2009</v>
      </c>
      <c r="E4037" t="inlineStr">
        <is>
          <t>Inglourious Basterds</t>
        </is>
      </c>
      <c r="F4037" t="inlineStr">
        <is>
          <t>F0166</t>
        </is>
      </c>
    </row>
    <row r="4038">
      <c r="A4038" t="inlineStr">
        <is>
          <t>Christian Berkel</t>
        </is>
      </c>
      <c r="B4038" t="n">
        <v>1</v>
      </c>
      <c r="C4038" t="n">
        <v>2009</v>
      </c>
      <c r="D4038" t="n">
        <v>2009</v>
      </c>
      <c r="E4038" t="inlineStr">
        <is>
          <t>Inglourious Basterds</t>
        </is>
      </c>
      <c r="F4038" t="inlineStr">
        <is>
          <t>F0166</t>
        </is>
      </c>
    </row>
    <row r="4039">
      <c r="A4039" t="inlineStr">
        <is>
          <t>Kaitlyn Dias</t>
        </is>
      </c>
      <c r="B4039" t="n">
        <v>1</v>
      </c>
      <c r="C4039" t="n">
        <v>2015</v>
      </c>
      <c r="D4039" t="n">
        <v>2015</v>
      </c>
      <c r="E4039" t="inlineStr">
        <is>
          <t>Inside Out</t>
        </is>
      </c>
      <c r="F4039" t="inlineStr">
        <is>
          <t>F0167</t>
        </is>
      </c>
    </row>
    <row r="4040">
      <c r="A4040" t="inlineStr">
        <is>
          <t>Kyle MacLachlan</t>
        </is>
      </c>
      <c r="B4040" t="n">
        <v>1</v>
      </c>
      <c r="C4040" t="n">
        <v>2015</v>
      </c>
      <c r="D4040" t="n">
        <v>2015</v>
      </c>
      <c r="E4040" t="inlineStr">
        <is>
          <t>Inside Out</t>
        </is>
      </c>
      <c r="F4040" t="inlineStr">
        <is>
          <t>F0167</t>
        </is>
      </c>
    </row>
    <row r="4041">
      <c r="A4041" t="inlineStr">
        <is>
          <t>Paula Poundstone</t>
        </is>
      </c>
      <c r="B4041" t="n">
        <v>1</v>
      </c>
      <c r="C4041" t="n">
        <v>2015</v>
      </c>
      <c r="D4041" t="n">
        <v>2015</v>
      </c>
      <c r="E4041" t="inlineStr">
        <is>
          <t>Inside Out</t>
        </is>
      </c>
      <c r="F4041" t="inlineStr">
        <is>
          <t>F0167</t>
        </is>
      </c>
    </row>
    <row r="4042">
      <c r="A4042" t="inlineStr">
        <is>
          <t>Paula Pell</t>
        </is>
      </c>
      <c r="B4042" t="n">
        <v>1</v>
      </c>
      <c r="C4042" t="n">
        <v>2015</v>
      </c>
      <c r="D4042" t="n">
        <v>2015</v>
      </c>
      <c r="E4042" t="inlineStr">
        <is>
          <t>Inside Out</t>
        </is>
      </c>
      <c r="F4042" t="inlineStr">
        <is>
          <t>F0167</t>
        </is>
      </c>
    </row>
    <row r="4043">
      <c r="A4043" t="inlineStr">
        <is>
          <t>Dave Goelz</t>
        </is>
      </c>
      <c r="B4043" t="n">
        <v>2</v>
      </c>
      <c r="C4043" t="n">
        <v>2014</v>
      </c>
      <c r="D4043" t="n">
        <v>2015</v>
      </c>
      <c r="E4043" t="inlineStr">
        <is>
          <t>Inside Out, Muppets Most Wanted</t>
        </is>
      </c>
      <c r="F4043" t="inlineStr">
        <is>
          <t>F0167, F0232</t>
        </is>
      </c>
    </row>
    <row r="4044">
      <c r="A4044" t="inlineStr">
        <is>
          <t>Frank Oz</t>
        </is>
      </c>
      <c r="B4044" t="n">
        <v>8</v>
      </c>
      <c r="C4044" t="n">
        <v>1980</v>
      </c>
      <c r="D4044" t="n">
        <v>2017</v>
      </c>
      <c r="E4044" t="inlineStr">
        <is>
          <t>Inside Out, Monsters, Inc., Star Wars: Episode I – The Phantom Menace, Star Wars: Episode II – Attack of the Clones, Star Wars: Episode III – Revenge of the Sith, Star Wars: Episode V – The Empire Strikes Back, Star Wars: Episode VI – Return of the Jedi, Star Wars: The Last Jedi</t>
        </is>
      </c>
      <c r="F4044" t="inlineStr">
        <is>
          <t>F0167, F0229, F0292, F0293, F0294, F0296, F0297, F0299</t>
        </is>
      </c>
    </row>
    <row r="4045">
      <c r="A4045" t="inlineStr">
        <is>
          <t>Josh Cooley</t>
        </is>
      </c>
      <c r="B4045" t="n">
        <v>2</v>
      </c>
      <c r="C4045" t="n">
        <v>2009</v>
      </c>
      <c r="D4045" t="n">
        <v>2015</v>
      </c>
      <c r="E4045" t="inlineStr">
        <is>
          <t>Inside Out, Up</t>
        </is>
      </c>
      <c r="F4045" t="inlineStr">
        <is>
          <t>F0167, F0330</t>
        </is>
      </c>
    </row>
    <row r="4046">
      <c r="A4046" t="inlineStr">
        <is>
          <t>Peter Sagal</t>
        </is>
      </c>
      <c r="B4046" t="n">
        <v>1</v>
      </c>
      <c r="C4046" t="n">
        <v>2015</v>
      </c>
      <c r="D4046" t="n">
        <v>2015</v>
      </c>
      <c r="E4046" t="inlineStr">
        <is>
          <t>Inside Out</t>
        </is>
      </c>
      <c r="F4046" t="inlineStr">
        <is>
          <t>F0167</t>
        </is>
      </c>
    </row>
    <row r="4047">
      <c r="A4047" t="inlineStr">
        <is>
          <t>Gregg Berger</t>
        </is>
      </c>
      <c r="B4047" t="n">
        <v>3</v>
      </c>
      <c r="C4047" t="n">
        <v>1986</v>
      </c>
      <c r="D4047" t="n">
        <v>2015</v>
      </c>
      <c r="E4047" t="inlineStr">
        <is>
          <t>Inside Out, Monsters University, The Transformers: The Movie</t>
        </is>
      </c>
      <c r="F4047" t="inlineStr">
        <is>
          <t>F0167, F0230, F0322</t>
        </is>
      </c>
    </row>
    <row r="4048">
      <c r="A4048" t="inlineStr">
        <is>
          <t>Veronika Bonell</t>
        </is>
      </c>
      <c r="B4048" t="n">
        <v>1</v>
      </c>
      <c r="C4048" t="n">
        <v>2015</v>
      </c>
      <c r="D4048" t="n">
        <v>2015</v>
      </c>
      <c r="E4048" t="inlineStr">
        <is>
          <t>Inside Out</t>
        </is>
      </c>
      <c r="F4048" t="inlineStr">
        <is>
          <t>F0167</t>
        </is>
      </c>
    </row>
    <row r="4049">
      <c r="A4049" t="inlineStr">
        <is>
          <t>Andrea Datzman</t>
        </is>
      </c>
      <c r="B4049" t="n">
        <v>1</v>
      </c>
      <c r="C4049" t="n">
        <v>2015</v>
      </c>
      <c r="D4049" t="n">
        <v>2015</v>
      </c>
      <c r="E4049" t="inlineStr">
        <is>
          <t>Inside Out</t>
        </is>
      </c>
      <c r="F4049" t="inlineStr">
        <is>
          <t>F0167</t>
        </is>
      </c>
    </row>
    <row r="4050">
      <c r="A4050" t="inlineStr">
        <is>
          <t>Pete Docter</t>
        </is>
      </c>
      <c r="B4050" t="n">
        <v>4</v>
      </c>
      <c r="C4050" t="n">
        <v>2001</v>
      </c>
      <c r="D4050" t="n">
        <v>2015</v>
      </c>
      <c r="E4050" t="inlineStr">
        <is>
          <t>Inside Out, Monsters, Inc., Up, WALL·E</t>
        </is>
      </c>
      <c r="F4050" t="inlineStr">
        <is>
          <t>F0167, F0229, F0330, F0331</t>
        </is>
      </c>
    </row>
    <row r="4051">
      <c r="A4051" t="inlineStr">
        <is>
          <t>Tony Fucile</t>
        </is>
      </c>
      <c r="B4051" t="n">
        <v>2</v>
      </c>
      <c r="C4051" t="n">
        <v>2009</v>
      </c>
      <c r="D4051" t="n">
        <v>2015</v>
      </c>
      <c r="E4051" t="inlineStr">
        <is>
          <t>Inside Out, Up</t>
        </is>
      </c>
      <c r="F4051" t="inlineStr">
        <is>
          <t>F0167, F0330</t>
        </is>
      </c>
    </row>
    <row r="4052">
      <c r="A4052" t="inlineStr">
        <is>
          <t>Randy Hahn</t>
        </is>
      </c>
      <c r="B4052" t="n">
        <v>1</v>
      </c>
      <c r="C4052" t="n">
        <v>2015</v>
      </c>
      <c r="D4052" t="n">
        <v>2015</v>
      </c>
      <c r="E4052" t="inlineStr">
        <is>
          <t>Inside Out</t>
        </is>
      </c>
      <c r="F4052" t="inlineStr">
        <is>
          <t>F0167</t>
        </is>
      </c>
    </row>
    <row r="4053">
      <c r="A4053" t="inlineStr">
        <is>
          <t>Jacob Hopkins</t>
        </is>
      </c>
      <c r="B4053" t="n">
        <v>1</v>
      </c>
      <c r="C4053" t="n">
        <v>2015</v>
      </c>
      <c r="D4053" t="n">
        <v>2015</v>
      </c>
      <c r="E4053" t="inlineStr">
        <is>
          <t>Inside Out</t>
        </is>
      </c>
      <c r="F4053" t="inlineStr">
        <is>
          <t>F0167</t>
        </is>
      </c>
    </row>
    <row r="4054">
      <c r="A4054" t="inlineStr">
        <is>
          <t>Evan Hudak</t>
        </is>
      </c>
      <c r="B4054" t="n">
        <v>1</v>
      </c>
      <c r="C4054" t="n">
        <v>2015</v>
      </c>
      <c r="D4054" t="n">
        <v>2015</v>
      </c>
      <c r="E4054" t="inlineStr">
        <is>
          <t>Inside Out</t>
        </is>
      </c>
      <c r="F4054" t="inlineStr">
        <is>
          <t>F0167</t>
        </is>
      </c>
    </row>
    <row r="4055">
      <c r="A4055" t="inlineStr">
        <is>
          <t>Mackenzie Foy</t>
        </is>
      </c>
      <c r="B4055" t="n">
        <v>1</v>
      </c>
      <c r="C4055" t="n">
        <v>2014</v>
      </c>
      <c r="D4055" t="n">
        <v>2014</v>
      </c>
      <c r="E4055" t="inlineStr">
        <is>
          <t>Interstellar</t>
        </is>
      </c>
      <c r="F4055" t="inlineStr">
        <is>
          <t>F0168</t>
        </is>
      </c>
    </row>
    <row r="4056">
      <c r="A4056" t="inlineStr">
        <is>
          <t>Ellen Burstyn</t>
        </is>
      </c>
      <c r="B4056" t="n">
        <v>1</v>
      </c>
      <c r="C4056" t="n">
        <v>2014</v>
      </c>
      <c r="D4056" t="n">
        <v>2014</v>
      </c>
      <c r="E4056" t="inlineStr">
        <is>
          <t>Interstellar</t>
        </is>
      </c>
      <c r="F4056" t="inlineStr">
        <is>
          <t>F0168</t>
        </is>
      </c>
    </row>
    <row r="4057">
      <c r="A4057" t="inlineStr">
        <is>
          <t>Bill Irwin</t>
        </is>
      </c>
      <c r="B4057" t="n">
        <v>1</v>
      </c>
      <c r="C4057" t="n">
        <v>2014</v>
      </c>
      <c r="D4057" t="n">
        <v>2014</v>
      </c>
      <c r="E4057" t="inlineStr">
        <is>
          <t>Interstellar</t>
        </is>
      </c>
      <c r="F4057" t="inlineStr">
        <is>
          <t>F0168</t>
        </is>
      </c>
    </row>
    <row r="4058">
      <c r="A4058" t="inlineStr">
        <is>
          <t>David Gyasi</t>
        </is>
      </c>
      <c r="B4058" t="n">
        <v>1</v>
      </c>
      <c r="C4058" t="n">
        <v>2014</v>
      </c>
      <c r="D4058" t="n">
        <v>2014</v>
      </c>
      <c r="E4058" t="inlineStr">
        <is>
          <t>Interstellar</t>
        </is>
      </c>
      <c r="F4058" t="inlineStr">
        <is>
          <t>F0168</t>
        </is>
      </c>
    </row>
    <row r="4059">
      <c r="A4059" t="inlineStr">
        <is>
          <t>Josh Stewart</t>
        </is>
      </c>
      <c r="B4059" t="n">
        <v>2</v>
      </c>
      <c r="C4059" t="n">
        <v>2009</v>
      </c>
      <c r="D4059" t="n">
        <v>2014</v>
      </c>
      <c r="E4059" t="inlineStr">
        <is>
          <t>Interstellar, Law Abiding Citizen</t>
        </is>
      </c>
      <c r="F4059" t="inlineStr">
        <is>
          <t>F0168, F0191</t>
        </is>
      </c>
    </row>
    <row r="4060">
      <c r="A4060" t="inlineStr">
        <is>
          <t>Leah Cairns</t>
        </is>
      </c>
      <c r="B4060" t="n">
        <v>1</v>
      </c>
      <c r="C4060" t="n">
        <v>2014</v>
      </c>
      <c r="D4060" t="n">
        <v>2014</v>
      </c>
      <c r="E4060" t="inlineStr">
        <is>
          <t>Interstellar</t>
        </is>
      </c>
      <c r="F4060" t="inlineStr">
        <is>
          <t>F0168</t>
        </is>
      </c>
    </row>
    <row r="4061">
      <c r="A4061" t="inlineStr">
        <is>
          <t>Liam Dickinson</t>
        </is>
      </c>
      <c r="B4061" t="n">
        <v>1</v>
      </c>
      <c r="C4061" t="n">
        <v>2014</v>
      </c>
      <c r="D4061" t="n">
        <v>2014</v>
      </c>
      <c r="E4061" t="inlineStr">
        <is>
          <t>Interstellar</t>
        </is>
      </c>
      <c r="F4061" t="inlineStr">
        <is>
          <t>F0168</t>
        </is>
      </c>
    </row>
    <row r="4062">
      <c r="A4062" t="inlineStr">
        <is>
          <t>Francis X. McCarthy</t>
        </is>
      </c>
      <c r="B4062" t="n">
        <v>1</v>
      </c>
      <c r="C4062" t="n">
        <v>2014</v>
      </c>
      <c r="D4062" t="n">
        <v>2014</v>
      </c>
      <c r="E4062" t="inlineStr">
        <is>
          <t>Interstellar</t>
        </is>
      </c>
      <c r="F4062" t="inlineStr">
        <is>
          <t>F0168</t>
        </is>
      </c>
    </row>
    <row r="4063">
      <c r="A4063" t="inlineStr">
        <is>
          <t>William Devane</t>
        </is>
      </c>
      <c r="B4063" t="n">
        <v>1</v>
      </c>
      <c r="C4063" t="n">
        <v>2014</v>
      </c>
      <c r="D4063" t="n">
        <v>2014</v>
      </c>
      <c r="E4063" t="inlineStr">
        <is>
          <t>Interstellar</t>
        </is>
      </c>
      <c r="F4063" t="inlineStr">
        <is>
          <t>F0168</t>
        </is>
      </c>
    </row>
    <row r="4064">
      <c r="A4064" t="inlineStr">
        <is>
          <t>Andrew Borba</t>
        </is>
      </c>
      <c r="B4064" t="n">
        <v>2</v>
      </c>
      <c r="C4064" t="n">
        <v>2014</v>
      </c>
      <c r="D4064" t="n">
        <v>2015</v>
      </c>
      <c r="E4064" t="inlineStr">
        <is>
          <t>Interstellar, Straight Outta Compton</t>
        </is>
      </c>
      <c r="F4064" t="inlineStr">
        <is>
          <t>F0168, F0301</t>
        </is>
      </c>
    </row>
    <row r="4065">
      <c r="A4065" t="inlineStr">
        <is>
          <t>Elyes Gabel</t>
        </is>
      </c>
      <c r="B4065" t="n">
        <v>1</v>
      </c>
      <c r="C4065" t="n">
        <v>2014</v>
      </c>
      <c r="D4065" t="n">
        <v>2014</v>
      </c>
      <c r="E4065" t="inlineStr">
        <is>
          <t>Interstellar</t>
        </is>
      </c>
      <c r="F4065" t="inlineStr">
        <is>
          <t>F0168</t>
        </is>
      </c>
    </row>
    <row r="4066">
      <c r="A4066" t="inlineStr">
        <is>
          <t>Collette Wolfe</t>
        </is>
      </c>
      <c r="B4066" t="n">
        <v>1</v>
      </c>
      <c r="C4066" t="n">
        <v>2014</v>
      </c>
      <c r="D4066" t="n">
        <v>2014</v>
      </c>
      <c r="E4066" t="inlineStr">
        <is>
          <t>Interstellar</t>
        </is>
      </c>
      <c r="F4066" t="inlineStr">
        <is>
          <t>F0168</t>
        </is>
      </c>
    </row>
    <row r="4067">
      <c r="A4067" t="inlineStr">
        <is>
          <t>Jeff Hephner</t>
        </is>
      </c>
      <c r="B4067" t="n">
        <v>1</v>
      </c>
      <c r="C4067" t="n">
        <v>2014</v>
      </c>
      <c r="D4067" t="n">
        <v>2014</v>
      </c>
      <c r="E4067" t="inlineStr">
        <is>
          <t>Interstellar</t>
        </is>
      </c>
      <c r="F4067" t="inlineStr">
        <is>
          <t>F0168</t>
        </is>
      </c>
    </row>
    <row r="4068">
      <c r="A4068" t="inlineStr">
        <is>
          <t>Lena Georgas</t>
        </is>
      </c>
      <c r="B4068" t="n">
        <v>1</v>
      </c>
      <c r="C4068" t="n">
        <v>2014</v>
      </c>
      <c r="D4068" t="n">
        <v>2014</v>
      </c>
      <c r="E4068" t="inlineStr">
        <is>
          <t>Interstellar</t>
        </is>
      </c>
      <c r="F4068" t="inlineStr">
        <is>
          <t>F0168</t>
        </is>
      </c>
    </row>
    <row r="4069">
      <c r="A4069" t="inlineStr">
        <is>
          <t>Brooke Smith</t>
        </is>
      </c>
      <c r="B4069" t="n">
        <v>1</v>
      </c>
      <c r="C4069" t="n">
        <v>2014</v>
      </c>
      <c r="D4069" t="n">
        <v>2014</v>
      </c>
      <c r="E4069" t="inlineStr">
        <is>
          <t>Interstellar</t>
        </is>
      </c>
      <c r="F4069" t="inlineStr">
        <is>
          <t>F0168</t>
        </is>
      </c>
    </row>
    <row r="4070">
      <c r="A4070" t="inlineStr">
        <is>
          <t>Flora Nolan</t>
        </is>
      </c>
      <c r="B4070" t="n">
        <v>1</v>
      </c>
      <c r="C4070" t="n">
        <v>2014</v>
      </c>
      <c r="D4070" t="n">
        <v>2014</v>
      </c>
      <c r="E4070" t="inlineStr">
        <is>
          <t>Interstellar</t>
        </is>
      </c>
      <c r="F4070" t="inlineStr">
        <is>
          <t>F0168</t>
        </is>
      </c>
    </row>
    <row r="4071">
      <c r="A4071" t="inlineStr">
        <is>
          <t>Griffen Fraser</t>
        </is>
      </c>
      <c r="B4071" t="n">
        <v>1</v>
      </c>
      <c r="C4071" t="n">
        <v>2014</v>
      </c>
      <c r="D4071" t="n">
        <v>2014</v>
      </c>
      <c r="E4071" t="inlineStr">
        <is>
          <t>Interstellar</t>
        </is>
      </c>
      <c r="F4071" t="inlineStr">
        <is>
          <t>F0168</t>
        </is>
      </c>
    </row>
    <row r="4072">
      <c r="A4072" t="inlineStr">
        <is>
          <t>Kristian Van der Heyden</t>
        </is>
      </c>
      <c r="B4072" t="n">
        <v>1</v>
      </c>
      <c r="C4072" t="n">
        <v>2014</v>
      </c>
      <c r="D4072" t="n">
        <v>2014</v>
      </c>
      <c r="E4072" t="inlineStr">
        <is>
          <t>Interstellar</t>
        </is>
      </c>
      <c r="F4072" t="inlineStr">
        <is>
          <t>F0168</t>
        </is>
      </c>
    </row>
    <row r="4073">
      <c r="A4073" t="inlineStr">
        <is>
          <t>Stephanie Szostak</t>
        </is>
      </c>
      <c r="B4073" t="n">
        <v>1</v>
      </c>
      <c r="C4073" t="n">
        <v>2013</v>
      </c>
      <c r="D4073" t="n">
        <v>2013</v>
      </c>
      <c r="E4073" t="inlineStr">
        <is>
          <t>Iron Man 3</t>
        </is>
      </c>
      <c r="F4073" t="inlineStr">
        <is>
          <t>F0169</t>
        </is>
      </c>
    </row>
    <row r="4074">
      <c r="A4074" t="inlineStr">
        <is>
          <t>William Sadler</t>
        </is>
      </c>
      <c r="B4074" t="n">
        <v>2</v>
      </c>
      <c r="C4074" t="n">
        <v>2012</v>
      </c>
      <c r="D4074" t="n">
        <v>2013</v>
      </c>
      <c r="E4074" t="inlineStr">
        <is>
          <t>Iron Man 3, Man on a Ledge</t>
        </is>
      </c>
      <c r="F4074" t="inlineStr">
        <is>
          <t>F0169, F0210</t>
        </is>
      </c>
    </row>
    <row r="4075">
      <c r="A4075" t="inlineStr">
        <is>
          <t>Dale Dickey</t>
        </is>
      </c>
      <c r="B4075" t="n">
        <v>2</v>
      </c>
      <c r="C4075" t="n">
        <v>2011</v>
      </c>
      <c r="D4075" t="n">
        <v>2013</v>
      </c>
      <c r="E4075" t="inlineStr">
        <is>
          <t>Iron Man 3, Super 8</t>
        </is>
      </c>
      <c r="F4075" t="inlineStr">
        <is>
          <t>F0169, F0302</t>
        </is>
      </c>
    </row>
    <row r="4076">
      <c r="A4076" t="inlineStr">
        <is>
          <t>Miguel Ferrer</t>
        </is>
      </c>
      <c r="B4076" t="n">
        <v>2</v>
      </c>
      <c r="C4076" t="n">
        <v>2013</v>
      </c>
      <c r="D4076" t="n">
        <v>2014</v>
      </c>
      <c r="E4076" t="inlineStr">
        <is>
          <t>Iron Man 3, Rio 2</t>
        </is>
      </c>
      <c r="F4076" t="inlineStr">
        <is>
          <t>F0169, F0266</t>
        </is>
      </c>
    </row>
    <row r="4077">
      <c r="A4077" t="inlineStr">
        <is>
          <t>Wang Xueqi</t>
        </is>
      </c>
      <c r="B4077" t="n">
        <v>1</v>
      </c>
      <c r="C4077" t="n">
        <v>2013</v>
      </c>
      <c r="D4077" t="n">
        <v>2013</v>
      </c>
      <c r="E4077" t="inlineStr">
        <is>
          <t>Iron Man 3</t>
        </is>
      </c>
      <c r="F4077" t="inlineStr">
        <is>
          <t>F0169</t>
        </is>
      </c>
    </row>
    <row r="4078">
      <c r="A4078" t="inlineStr">
        <is>
          <t>Shaun Toub</t>
        </is>
      </c>
      <c r="B4078" t="n">
        <v>1</v>
      </c>
      <c r="C4078" t="n">
        <v>2013</v>
      </c>
      <c r="D4078" t="n">
        <v>2013</v>
      </c>
      <c r="E4078" t="inlineStr">
        <is>
          <t>Iron Man 3</t>
        </is>
      </c>
      <c r="F4078" t="inlineStr">
        <is>
          <t>F0169</t>
        </is>
      </c>
    </row>
    <row r="4079">
      <c r="A4079" t="inlineStr">
        <is>
          <t>Matthew Sterling Nye</t>
        </is>
      </c>
      <c r="B4079" t="n">
        <v>1</v>
      </c>
      <c r="C4079" t="n">
        <v>2013</v>
      </c>
      <c r="D4079" t="n">
        <v>2013</v>
      </c>
      <c r="E4079" t="inlineStr">
        <is>
          <t>Iron Man 3</t>
        </is>
      </c>
      <c r="F4079" t="inlineStr">
        <is>
          <t>F0169</t>
        </is>
      </c>
    </row>
    <row r="4080">
      <c r="A4080" t="inlineStr">
        <is>
          <t>Pat Kiernan</t>
        </is>
      </c>
      <c r="B4080" t="n">
        <v>1</v>
      </c>
      <c r="C4080" t="n">
        <v>2013</v>
      </c>
      <c r="D4080" t="n">
        <v>2013</v>
      </c>
      <c r="E4080" t="inlineStr">
        <is>
          <t>Iron Man 3</t>
        </is>
      </c>
      <c r="F4080" t="inlineStr">
        <is>
          <t>F0169</t>
        </is>
      </c>
    </row>
    <row r="4081">
      <c r="A4081" t="inlineStr">
        <is>
          <t>Josh Elliott</t>
        </is>
      </c>
      <c r="B4081" t="n">
        <v>1</v>
      </c>
      <c r="C4081" t="n">
        <v>2013</v>
      </c>
      <c r="D4081" t="n">
        <v>2013</v>
      </c>
      <c r="E4081" t="inlineStr">
        <is>
          <t>Iron Man 3</t>
        </is>
      </c>
      <c r="F4081" t="inlineStr">
        <is>
          <t>F0169</t>
        </is>
      </c>
    </row>
    <row r="4082">
      <c r="A4082" t="inlineStr">
        <is>
          <t>Megan Henderson</t>
        </is>
      </c>
      <c r="B4082" t="n">
        <v>1</v>
      </c>
      <c r="C4082" t="n">
        <v>2013</v>
      </c>
      <c r="D4082" t="n">
        <v>2013</v>
      </c>
      <c r="E4082" t="inlineStr">
        <is>
          <t>Iron Man 3</t>
        </is>
      </c>
      <c r="F4082" t="inlineStr">
        <is>
          <t>F0169</t>
        </is>
      </c>
    </row>
    <row r="4083">
      <c r="A4083" t="inlineStr">
        <is>
          <t>Thomas Roberts</t>
        </is>
      </c>
      <c r="B4083" t="n">
        <v>1</v>
      </c>
      <c r="C4083" t="n">
        <v>2013</v>
      </c>
      <c r="D4083" t="n">
        <v>2013</v>
      </c>
      <c r="E4083" t="inlineStr">
        <is>
          <t>Iron Man 3</t>
        </is>
      </c>
      <c r="F4083" t="inlineStr">
        <is>
          <t>F0169</t>
        </is>
      </c>
    </row>
    <row r="4084">
      <c r="A4084" t="inlineStr">
        <is>
          <t>Bill Maher</t>
        </is>
      </c>
      <c r="B4084" t="n">
        <v>1</v>
      </c>
      <c r="C4084" t="n">
        <v>2013</v>
      </c>
      <c r="D4084" t="n">
        <v>2013</v>
      </c>
      <c r="E4084" t="inlineStr">
        <is>
          <t>Iron Man 3</t>
        </is>
      </c>
      <c r="F4084" t="inlineStr">
        <is>
          <t>F0169</t>
        </is>
      </c>
    </row>
    <row r="4085">
      <c r="A4085" t="inlineStr">
        <is>
          <t>Joan Rivers</t>
        </is>
      </c>
      <c r="B4085" t="n">
        <v>1</v>
      </c>
      <c r="C4085" t="n">
        <v>2013</v>
      </c>
      <c r="D4085" t="n">
        <v>2013</v>
      </c>
      <c r="E4085" t="inlineStr">
        <is>
          <t>Iron Man 3</t>
        </is>
      </c>
      <c r="F4085" t="inlineStr">
        <is>
          <t>F0169</t>
        </is>
      </c>
    </row>
    <row r="4086">
      <c r="A4086" t="inlineStr">
        <is>
          <t>George Kotsiopoulos</t>
        </is>
      </c>
      <c r="B4086" t="n">
        <v>1</v>
      </c>
      <c r="C4086" t="n">
        <v>2013</v>
      </c>
      <c r="D4086" t="n">
        <v>2013</v>
      </c>
      <c r="E4086" t="inlineStr">
        <is>
          <t>Iron Man 3</t>
        </is>
      </c>
      <c r="F4086" t="inlineStr">
        <is>
          <t>F0169</t>
        </is>
      </c>
    </row>
    <row r="4087">
      <c r="A4087" t="inlineStr">
        <is>
          <t>Bronte D'Esposito</t>
        </is>
      </c>
      <c r="B4087" t="n">
        <v>1</v>
      </c>
      <c r="C4087" t="n">
        <v>2013</v>
      </c>
      <c r="D4087" t="n">
        <v>2013</v>
      </c>
      <c r="E4087" t="inlineStr">
        <is>
          <t>Iron Man 3</t>
        </is>
      </c>
      <c r="F4087" t="inlineStr">
        <is>
          <t>F0169</t>
        </is>
      </c>
    </row>
    <row r="4088">
      <c r="A4088" t="inlineStr">
        <is>
          <t>Noah Visconti</t>
        </is>
      </c>
      <c r="B4088" t="n">
        <v>1</v>
      </c>
      <c r="C4088" t="n">
        <v>2013</v>
      </c>
      <c r="D4088" t="n">
        <v>2013</v>
      </c>
      <c r="E4088" t="inlineStr">
        <is>
          <t>Iron Man 3</t>
        </is>
      </c>
      <c r="F4088" t="inlineStr">
        <is>
          <t>F0169</t>
        </is>
      </c>
    </row>
    <row r="4089">
      <c r="A4089" t="inlineStr">
        <is>
          <t>Ashley Hamilton</t>
        </is>
      </c>
      <c r="B4089" t="n">
        <v>1</v>
      </c>
      <c r="C4089" t="n">
        <v>2013</v>
      </c>
      <c r="D4089" t="n">
        <v>2013</v>
      </c>
      <c r="E4089" t="inlineStr">
        <is>
          <t>Iron Man 3</t>
        </is>
      </c>
      <c r="F4089" t="inlineStr">
        <is>
          <t>F0169</t>
        </is>
      </c>
    </row>
    <row r="4090">
      <c r="A4090" t="inlineStr">
        <is>
          <t>Brooke Jaye Taylor</t>
        </is>
      </c>
      <c r="B4090" t="n">
        <v>1</v>
      </c>
      <c r="C4090" t="n">
        <v>2013</v>
      </c>
      <c r="D4090" t="n">
        <v>2013</v>
      </c>
      <c r="E4090" t="inlineStr">
        <is>
          <t>Iron Man 3</t>
        </is>
      </c>
      <c r="F4090" t="inlineStr">
        <is>
          <t>F0169</t>
        </is>
      </c>
    </row>
    <row r="4091">
      <c r="A4091" t="inlineStr">
        <is>
          <t>Kim Holderness</t>
        </is>
      </c>
      <c r="B4091" t="n">
        <v>1</v>
      </c>
      <c r="C4091" t="n">
        <v>2013</v>
      </c>
      <c r="D4091" t="n">
        <v>2013</v>
      </c>
      <c r="E4091" t="inlineStr">
        <is>
          <t>Iron Man 3</t>
        </is>
      </c>
      <c r="F4091" t="inlineStr">
        <is>
          <t>F0169</t>
        </is>
      </c>
    </row>
    <row r="4092">
      <c r="A4092" t="inlineStr">
        <is>
          <t>Alfie Allen</t>
        </is>
      </c>
      <c r="B4092" t="n">
        <v>1</v>
      </c>
      <c r="C4092" t="n">
        <v>2019</v>
      </c>
      <c r="D4092" t="n">
        <v>2019</v>
      </c>
      <c r="E4092" t="inlineStr">
        <is>
          <t>Jojo Rabbit</t>
        </is>
      </c>
      <c r="F4092" t="inlineStr">
        <is>
          <t>F0170</t>
        </is>
      </c>
    </row>
    <row r="4093">
      <c r="A4093" t="inlineStr">
        <is>
          <t>Stephen Merchant</t>
        </is>
      </c>
      <c r="B4093" t="n">
        <v>2</v>
      </c>
      <c r="C4093" t="n">
        <v>2017</v>
      </c>
      <c r="D4093" t="n">
        <v>2019</v>
      </c>
      <c r="E4093" t="inlineStr">
        <is>
          <t>Jojo Rabbit, Logan</t>
        </is>
      </c>
      <c r="F4093" t="inlineStr">
        <is>
          <t>F0170, F0201</t>
        </is>
      </c>
    </row>
    <row r="4094">
      <c r="A4094" t="inlineStr">
        <is>
          <t>Archie Yates</t>
        </is>
      </c>
      <c r="B4094" t="n">
        <v>1</v>
      </c>
      <c r="C4094" t="n">
        <v>2019</v>
      </c>
      <c r="D4094" t="n">
        <v>2019</v>
      </c>
      <c r="E4094" t="inlineStr">
        <is>
          <t>Jojo Rabbit</t>
        </is>
      </c>
      <c r="F4094" t="inlineStr">
        <is>
          <t>F0170</t>
        </is>
      </c>
    </row>
    <row r="4095">
      <c r="A4095" t="inlineStr">
        <is>
          <t>Luke Brandon Field</t>
        </is>
      </c>
      <c r="B4095" t="n">
        <v>1</v>
      </c>
      <c r="C4095" t="n">
        <v>2019</v>
      </c>
      <c r="D4095" t="n">
        <v>2019</v>
      </c>
      <c r="E4095" t="inlineStr">
        <is>
          <t>Jojo Rabbit</t>
        </is>
      </c>
      <c r="F4095" t="inlineStr">
        <is>
          <t>F0170</t>
        </is>
      </c>
    </row>
    <row r="4096">
      <c r="A4096" t="inlineStr">
        <is>
          <t>Sam Haygarth</t>
        </is>
      </c>
      <c r="B4096" t="n">
        <v>1</v>
      </c>
      <c r="C4096" t="n">
        <v>2019</v>
      </c>
      <c r="D4096" t="n">
        <v>2019</v>
      </c>
      <c r="E4096" t="inlineStr">
        <is>
          <t>Jojo Rabbit</t>
        </is>
      </c>
      <c r="F4096" t="inlineStr">
        <is>
          <t>F0170</t>
        </is>
      </c>
    </row>
    <row r="4097">
      <c r="A4097" t="inlineStr">
        <is>
          <t>Stanislav Callas</t>
        </is>
      </c>
      <c r="B4097" t="n">
        <v>1</v>
      </c>
      <c r="C4097" t="n">
        <v>2019</v>
      </c>
      <c r="D4097" t="n">
        <v>2019</v>
      </c>
      <c r="E4097" t="inlineStr">
        <is>
          <t>Jojo Rabbit</t>
        </is>
      </c>
      <c r="F4097" t="inlineStr">
        <is>
          <t>F0170</t>
        </is>
      </c>
    </row>
    <row r="4098">
      <c r="A4098" t="inlineStr">
        <is>
          <t>Joe Weintraub</t>
        </is>
      </c>
      <c r="B4098" t="n">
        <v>1</v>
      </c>
      <c r="C4098" t="n">
        <v>2019</v>
      </c>
      <c r="D4098" t="n">
        <v>2019</v>
      </c>
      <c r="E4098" t="inlineStr">
        <is>
          <t>Jojo Rabbit</t>
        </is>
      </c>
      <c r="F4098" t="inlineStr">
        <is>
          <t>F0170</t>
        </is>
      </c>
    </row>
    <row r="4099">
      <c r="A4099" t="inlineStr">
        <is>
          <t>Brian Caspe</t>
        </is>
      </c>
      <c r="B4099" t="n">
        <v>2</v>
      </c>
      <c r="C4099" t="n">
        <v>2015</v>
      </c>
      <c r="D4099" t="n">
        <v>2019</v>
      </c>
      <c r="E4099" t="inlineStr">
        <is>
          <t>Jojo Rabbit, The Martian</t>
        </is>
      </c>
      <c r="F4099" t="inlineStr">
        <is>
          <t>F0170, F0213</t>
        </is>
      </c>
    </row>
    <row r="4100">
      <c r="A4100" t="inlineStr">
        <is>
          <t>Gabriel Andrews</t>
        </is>
      </c>
      <c r="B4100" t="n">
        <v>1</v>
      </c>
      <c r="C4100" t="n">
        <v>2019</v>
      </c>
      <c r="D4100" t="n">
        <v>2019</v>
      </c>
      <c r="E4100" t="inlineStr">
        <is>
          <t>Jojo Rabbit</t>
        </is>
      </c>
      <c r="F4100" t="inlineStr">
        <is>
          <t>F0170</t>
        </is>
      </c>
    </row>
    <row r="4101">
      <c r="A4101" t="inlineStr">
        <is>
          <t>Billy Rayner</t>
        </is>
      </c>
      <c r="B4101" t="n">
        <v>1</v>
      </c>
      <c r="C4101" t="n">
        <v>2019</v>
      </c>
      <c r="D4101" t="n">
        <v>2019</v>
      </c>
      <c r="E4101" t="inlineStr">
        <is>
          <t>Jojo Rabbit</t>
        </is>
      </c>
      <c r="F4101" t="inlineStr">
        <is>
          <t>F0170</t>
        </is>
      </c>
    </row>
    <row r="4102">
      <c r="A4102" t="inlineStr">
        <is>
          <t>Christian Howlings</t>
        </is>
      </c>
      <c r="B4102" t="n">
        <v>1</v>
      </c>
      <c r="C4102" t="n">
        <v>2019</v>
      </c>
      <c r="D4102" t="n">
        <v>2019</v>
      </c>
      <c r="E4102" t="inlineStr">
        <is>
          <t>Jojo Rabbit</t>
        </is>
      </c>
      <c r="F4102" t="inlineStr">
        <is>
          <t>F0170</t>
        </is>
      </c>
    </row>
    <row r="4103">
      <c r="A4103" t="inlineStr">
        <is>
          <t>Gilby Griffin Davis</t>
        </is>
      </c>
      <c r="B4103" t="n">
        <v>1</v>
      </c>
      <c r="C4103" t="n">
        <v>2019</v>
      </c>
      <c r="D4103" t="n">
        <v>2019</v>
      </c>
      <c r="E4103" t="inlineStr">
        <is>
          <t>Jojo Rabbit</t>
        </is>
      </c>
      <c r="F4103" t="inlineStr">
        <is>
          <t>F0170</t>
        </is>
      </c>
    </row>
    <row r="4104">
      <c r="A4104" t="inlineStr">
        <is>
          <t>Hardy Griffin Davis</t>
        </is>
      </c>
      <c r="B4104" t="n">
        <v>1</v>
      </c>
      <c r="C4104" t="n">
        <v>2019</v>
      </c>
      <c r="D4104" t="n">
        <v>2019</v>
      </c>
      <c r="E4104" t="inlineStr">
        <is>
          <t>Jojo Rabbit</t>
        </is>
      </c>
      <c r="F4104" t="inlineStr">
        <is>
          <t>F0170</t>
        </is>
      </c>
    </row>
    <row r="4105">
      <c r="A4105" t="inlineStr">
        <is>
          <t>Curtis Matthew</t>
        </is>
      </c>
      <c r="B4105" t="n">
        <v>1</v>
      </c>
      <c r="C4105" t="n">
        <v>2019</v>
      </c>
      <c r="D4105" t="n">
        <v>2019</v>
      </c>
      <c r="E4105" t="inlineStr">
        <is>
          <t>Jojo Rabbit</t>
        </is>
      </c>
      <c r="F4105" t="inlineStr">
        <is>
          <t>F0170</t>
        </is>
      </c>
    </row>
    <row r="4106">
      <c r="A4106" t="inlineStr">
        <is>
          <t>Robert East</t>
        </is>
      </c>
      <c r="B4106" t="n">
        <v>1</v>
      </c>
      <c r="C4106" t="n">
        <v>2019</v>
      </c>
      <c r="D4106" t="n">
        <v>2019</v>
      </c>
      <c r="E4106" t="inlineStr">
        <is>
          <t>Jojo Rabbit</t>
        </is>
      </c>
      <c r="F4106" t="inlineStr">
        <is>
          <t>F0170</t>
        </is>
      </c>
    </row>
    <row r="4107">
      <c r="A4107" t="inlineStr">
        <is>
          <t>James McVan</t>
        </is>
      </c>
      <c r="B4107" t="n">
        <v>1</v>
      </c>
      <c r="C4107" t="n">
        <v>2019</v>
      </c>
      <c r="D4107" t="n">
        <v>2019</v>
      </c>
      <c r="E4107" t="inlineStr">
        <is>
          <t>Jojo Rabbit</t>
        </is>
      </c>
      <c r="F4107" t="inlineStr">
        <is>
          <t>F0170</t>
        </is>
      </c>
    </row>
    <row r="4108">
      <c r="A4108" t="inlineStr">
        <is>
          <t>Judith Georgi</t>
        </is>
      </c>
      <c r="B4108" t="n">
        <v>1</v>
      </c>
      <c r="C4108" t="n">
        <v>2019</v>
      </c>
      <c r="D4108" t="n">
        <v>2019</v>
      </c>
      <c r="E4108" t="inlineStr">
        <is>
          <t>Jojo Rabbit</t>
        </is>
      </c>
      <c r="F4108" t="inlineStr">
        <is>
          <t>F0170</t>
        </is>
      </c>
    </row>
    <row r="4109">
      <c r="A4109" t="inlineStr">
        <is>
          <t>Victoria Hogan</t>
        </is>
      </c>
      <c r="B4109" t="n">
        <v>1</v>
      </c>
      <c r="C4109" t="n">
        <v>2019</v>
      </c>
      <c r="D4109" t="n">
        <v>2019</v>
      </c>
      <c r="E4109" t="inlineStr">
        <is>
          <t>Jojo Rabbit</t>
        </is>
      </c>
      <c r="F4109" t="inlineStr">
        <is>
          <t>F0170</t>
        </is>
      </c>
    </row>
    <row r="4110">
      <c r="A4110" t="inlineStr">
        <is>
          <t>Bethany Adams</t>
        </is>
      </c>
      <c r="B4110" t="n">
        <v>1</v>
      </c>
      <c r="C4110" t="n">
        <v>2019</v>
      </c>
      <c r="D4110" t="n">
        <v>2019</v>
      </c>
      <c r="E4110" t="inlineStr">
        <is>
          <t>Jojo Rabbit</t>
        </is>
      </c>
      <c r="F4110" t="inlineStr">
        <is>
          <t>F0170</t>
        </is>
      </c>
    </row>
    <row r="4111">
      <c r="A4111" t="inlineStr">
        <is>
          <t>Iva Šindelková</t>
        </is>
      </c>
      <c r="B4111" t="n">
        <v>1</v>
      </c>
      <c r="C4111" t="n">
        <v>2019</v>
      </c>
      <c r="D4111" t="n">
        <v>2019</v>
      </c>
      <c r="E4111" t="inlineStr">
        <is>
          <t>Jojo Rabbit</t>
        </is>
      </c>
      <c r="F4111" t="inlineStr">
        <is>
          <t>F0170</t>
        </is>
      </c>
    </row>
    <row r="4112">
      <c r="A4112" t="inlineStr">
        <is>
          <t>Matej Seifert</t>
        </is>
      </c>
      <c r="B4112" t="n">
        <v>1</v>
      </c>
      <c r="C4112" t="n">
        <v>2019</v>
      </c>
      <c r="D4112" t="n">
        <v>2019</v>
      </c>
      <c r="E4112" t="inlineStr">
        <is>
          <t>Jojo Rabbit</t>
        </is>
      </c>
      <c r="F4112" t="inlineStr">
        <is>
          <t>F0170</t>
        </is>
      </c>
    </row>
    <row r="4113">
      <c r="A4113" t="inlineStr">
        <is>
          <t>Trish Osmond</t>
        </is>
      </c>
      <c r="B4113" t="n">
        <v>1</v>
      </c>
      <c r="C4113" t="n">
        <v>2019</v>
      </c>
      <c r="D4113" t="n">
        <v>2019</v>
      </c>
      <c r="E4113" t="inlineStr">
        <is>
          <t>Jojo Rabbit</t>
        </is>
      </c>
      <c r="F4113" t="inlineStr">
        <is>
          <t>F0170</t>
        </is>
      </c>
    </row>
    <row r="4114">
      <c r="A4114" t="inlineStr">
        <is>
          <t>Odeta Cali</t>
        </is>
      </c>
      <c r="B4114" t="n">
        <v>1</v>
      </c>
      <c r="C4114" t="n">
        <v>2019</v>
      </c>
      <c r="D4114" t="n">
        <v>2019</v>
      </c>
      <c r="E4114" t="inlineStr">
        <is>
          <t>Jojo Rabbit</t>
        </is>
      </c>
      <c r="F4114" t="inlineStr">
        <is>
          <t>F0170</t>
        </is>
      </c>
    </row>
    <row r="4115">
      <c r="A4115" t="inlineStr">
        <is>
          <t>Samuel Bogner</t>
        </is>
      </c>
      <c r="B4115" t="n">
        <v>1</v>
      </c>
      <c r="C4115" t="n">
        <v>2019</v>
      </c>
      <c r="D4115" t="n">
        <v>2019</v>
      </c>
      <c r="E4115" t="inlineStr">
        <is>
          <t>Jojo Rabbit</t>
        </is>
      </c>
      <c r="F4115" t="inlineStr">
        <is>
          <t>F0170</t>
        </is>
      </c>
    </row>
    <row r="4116">
      <c r="A4116" t="inlineStr">
        <is>
          <t>Werner Herzog</t>
        </is>
      </c>
      <c r="B4116" t="n">
        <v>1</v>
      </c>
      <c r="C4116" t="n">
        <v>2012</v>
      </c>
      <c r="D4116" t="n">
        <v>2012</v>
      </c>
      <c r="E4116" t="inlineStr">
        <is>
          <t>Jack Reacher</t>
        </is>
      </c>
      <c r="F4116" t="inlineStr">
        <is>
          <t>F0171</t>
        </is>
      </c>
    </row>
    <row r="4117">
      <c r="A4117" t="inlineStr">
        <is>
          <t>Robert Duvall</t>
        </is>
      </c>
      <c r="B4117" t="n">
        <v>1</v>
      </c>
      <c r="C4117" t="n">
        <v>2012</v>
      </c>
      <c r="D4117" t="n">
        <v>2012</v>
      </c>
      <c r="E4117" t="inlineStr">
        <is>
          <t>Jack Reacher</t>
        </is>
      </c>
      <c r="F4117" t="inlineStr">
        <is>
          <t>F0171</t>
        </is>
      </c>
    </row>
    <row r="4118">
      <c r="A4118" t="inlineStr">
        <is>
          <t>Vladimir Sizov</t>
        </is>
      </c>
      <c r="B4118" t="n">
        <v>1</v>
      </c>
      <c r="C4118" t="n">
        <v>2012</v>
      </c>
      <c r="D4118" t="n">
        <v>2012</v>
      </c>
      <c r="E4118" t="inlineStr">
        <is>
          <t>Jack Reacher</t>
        </is>
      </c>
      <c r="F4118" t="inlineStr">
        <is>
          <t>F0171</t>
        </is>
      </c>
    </row>
    <row r="4119">
      <c r="A4119" t="inlineStr">
        <is>
          <t>Joseph Sikora</t>
        </is>
      </c>
      <c r="B4119" t="n">
        <v>1</v>
      </c>
      <c r="C4119" t="n">
        <v>2012</v>
      </c>
      <c r="D4119" t="n">
        <v>2012</v>
      </c>
      <c r="E4119" t="inlineStr">
        <is>
          <t>Jack Reacher</t>
        </is>
      </c>
      <c r="F4119" t="inlineStr">
        <is>
          <t>F0171</t>
        </is>
      </c>
    </row>
    <row r="4120">
      <c r="A4120" t="inlineStr">
        <is>
          <t>Nicole Forester</t>
        </is>
      </c>
      <c r="B4120" t="n">
        <v>1</v>
      </c>
      <c r="C4120" t="n">
        <v>2012</v>
      </c>
      <c r="D4120" t="n">
        <v>2012</v>
      </c>
      <c r="E4120" t="inlineStr">
        <is>
          <t>Jack Reacher</t>
        </is>
      </c>
      <c r="F4120" t="inlineStr">
        <is>
          <t>F0171</t>
        </is>
      </c>
    </row>
    <row r="4121">
      <c r="A4121" t="inlineStr">
        <is>
          <t>Michael Raymond-James</t>
        </is>
      </c>
      <c r="B4121" t="n">
        <v>1</v>
      </c>
      <c r="C4121" t="n">
        <v>2012</v>
      </c>
      <c r="D4121" t="n">
        <v>2012</v>
      </c>
      <c r="E4121" t="inlineStr">
        <is>
          <t>Jack Reacher</t>
        </is>
      </c>
      <c r="F4121" t="inlineStr">
        <is>
          <t>F0171</t>
        </is>
      </c>
    </row>
    <row r="4122">
      <c r="A4122" t="inlineStr">
        <is>
          <t>Alexia Fast</t>
        </is>
      </c>
      <c r="B4122" t="n">
        <v>1</v>
      </c>
      <c r="C4122" t="n">
        <v>2012</v>
      </c>
      <c r="D4122" t="n">
        <v>2012</v>
      </c>
      <c r="E4122" t="inlineStr">
        <is>
          <t>Jack Reacher</t>
        </is>
      </c>
      <c r="F4122" t="inlineStr">
        <is>
          <t>F0171</t>
        </is>
      </c>
    </row>
    <row r="4123">
      <c r="A4123" t="inlineStr">
        <is>
          <t>Josh Helman</t>
        </is>
      </c>
      <c r="B4123" t="n">
        <v>3</v>
      </c>
      <c r="C4123" t="n">
        <v>2012</v>
      </c>
      <c r="D4123" t="n">
        <v>2016</v>
      </c>
      <c r="E4123" t="inlineStr">
        <is>
          <t>Jack Reacher, X-Men: Days of Future Past, X-Men: Apocalypse</t>
        </is>
      </c>
      <c r="F4123" t="inlineStr">
        <is>
          <t>F0171, F0341, F0342</t>
        </is>
      </c>
    </row>
    <row r="4124">
      <c r="A4124" t="inlineStr">
        <is>
          <t>Dylan Kussman</t>
        </is>
      </c>
      <c r="B4124" t="n">
        <v>1</v>
      </c>
      <c r="C4124" t="n">
        <v>2012</v>
      </c>
      <c r="D4124" t="n">
        <v>2012</v>
      </c>
      <c r="E4124" t="inlineStr">
        <is>
          <t>Jack Reacher</t>
        </is>
      </c>
      <c r="F4124" t="inlineStr">
        <is>
          <t>F0171</t>
        </is>
      </c>
    </row>
    <row r="4125">
      <c r="A4125" t="inlineStr">
        <is>
          <t>Denver Milord</t>
        </is>
      </c>
      <c r="B4125" t="n">
        <v>1</v>
      </c>
      <c r="C4125" t="n">
        <v>2012</v>
      </c>
      <c r="D4125" t="n">
        <v>2012</v>
      </c>
      <c r="E4125" t="inlineStr">
        <is>
          <t>Jack Reacher</t>
        </is>
      </c>
      <c r="F4125" t="inlineStr">
        <is>
          <t>F0171</t>
        </is>
      </c>
    </row>
    <row r="4126">
      <c r="A4126" t="inlineStr">
        <is>
          <t>Susan Angelo</t>
        </is>
      </c>
      <c r="B4126" t="n">
        <v>1</v>
      </c>
      <c r="C4126" t="n">
        <v>2012</v>
      </c>
      <c r="D4126" t="n">
        <v>2012</v>
      </c>
      <c r="E4126" t="inlineStr">
        <is>
          <t>Jack Reacher</t>
        </is>
      </c>
      <c r="F4126" t="inlineStr">
        <is>
          <t>F0171</t>
        </is>
      </c>
    </row>
    <row r="4127">
      <c r="A4127" t="inlineStr">
        <is>
          <t>Julia Yorks</t>
        </is>
      </c>
      <c r="B4127" t="n">
        <v>1</v>
      </c>
      <c r="C4127" t="n">
        <v>2012</v>
      </c>
      <c r="D4127" t="n">
        <v>2012</v>
      </c>
      <c r="E4127" t="inlineStr">
        <is>
          <t>Jack Reacher</t>
        </is>
      </c>
      <c r="F4127" t="inlineStr">
        <is>
          <t>F0171</t>
        </is>
      </c>
    </row>
    <row r="4128">
      <c r="A4128" t="inlineStr">
        <is>
          <t>Delilah Picart</t>
        </is>
      </c>
      <c r="B4128" t="n">
        <v>1</v>
      </c>
      <c r="C4128" t="n">
        <v>2012</v>
      </c>
      <c r="D4128" t="n">
        <v>2012</v>
      </c>
      <c r="E4128" t="inlineStr">
        <is>
          <t>Jack Reacher</t>
        </is>
      </c>
      <c r="F4128" t="inlineStr">
        <is>
          <t>F0171</t>
        </is>
      </c>
    </row>
    <row r="4129">
      <c r="A4129" t="inlineStr">
        <is>
          <t>Joe Coyle</t>
        </is>
      </c>
      <c r="B4129" t="n">
        <v>1</v>
      </c>
      <c r="C4129" t="n">
        <v>2012</v>
      </c>
      <c r="D4129" t="n">
        <v>2012</v>
      </c>
      <c r="E4129" t="inlineStr">
        <is>
          <t>Jack Reacher</t>
        </is>
      </c>
      <c r="F4129" t="inlineStr">
        <is>
          <t>F0171</t>
        </is>
      </c>
    </row>
    <row r="4130">
      <c r="A4130" t="inlineStr">
        <is>
          <t>Alicia Murton</t>
        </is>
      </c>
      <c r="B4130" t="n">
        <v>1</v>
      </c>
      <c r="C4130" t="n">
        <v>2012</v>
      </c>
      <c r="D4130" t="n">
        <v>2012</v>
      </c>
      <c r="E4130" t="inlineStr">
        <is>
          <t>Jack Reacher</t>
        </is>
      </c>
      <c r="F4130" t="inlineStr">
        <is>
          <t>F0171</t>
        </is>
      </c>
    </row>
    <row r="4131">
      <c r="A4131" t="inlineStr">
        <is>
          <t>Peter Gannon</t>
        </is>
      </c>
      <c r="B4131" t="n">
        <v>1</v>
      </c>
      <c r="C4131" t="n">
        <v>2012</v>
      </c>
      <c r="D4131" t="n">
        <v>2012</v>
      </c>
      <c r="E4131" t="inlineStr">
        <is>
          <t>Jack Reacher</t>
        </is>
      </c>
      <c r="F4131" t="inlineStr">
        <is>
          <t>F0171</t>
        </is>
      </c>
    </row>
    <row r="4132">
      <c r="A4132" t="inlineStr">
        <is>
          <t>David Whalen</t>
        </is>
      </c>
      <c r="B4132" t="n">
        <v>1</v>
      </c>
      <c r="C4132" t="n">
        <v>2012</v>
      </c>
      <c r="D4132" t="n">
        <v>2012</v>
      </c>
      <c r="E4132" t="inlineStr">
        <is>
          <t>Jack Reacher</t>
        </is>
      </c>
      <c r="F4132" t="inlineStr">
        <is>
          <t>F0171</t>
        </is>
      </c>
    </row>
    <row r="4133">
      <c r="A4133" t="inlineStr">
        <is>
          <t>Tristan Elma</t>
        </is>
      </c>
      <c r="B4133" t="n">
        <v>1</v>
      </c>
      <c r="C4133" t="n">
        <v>2012</v>
      </c>
      <c r="D4133" t="n">
        <v>2012</v>
      </c>
      <c r="E4133" t="inlineStr">
        <is>
          <t>Jack Reacher</t>
        </is>
      </c>
      <c r="F4133" t="inlineStr">
        <is>
          <t>F0171</t>
        </is>
      </c>
    </row>
    <row r="4134">
      <c r="A4134" t="inlineStr">
        <is>
          <t>Sophie Guest</t>
        </is>
      </c>
      <c r="B4134" t="n">
        <v>1</v>
      </c>
      <c r="C4134" t="n">
        <v>2012</v>
      </c>
      <c r="D4134" t="n">
        <v>2012</v>
      </c>
      <c r="E4134" t="inlineStr">
        <is>
          <t>Jack Reacher</t>
        </is>
      </c>
      <c r="F4134" t="inlineStr">
        <is>
          <t>F0171</t>
        </is>
      </c>
    </row>
    <row r="4135">
      <c r="A4135" t="inlineStr">
        <is>
          <t>Michael Minor</t>
        </is>
      </c>
      <c r="B4135" t="n">
        <v>1</v>
      </c>
      <c r="C4135" t="n">
        <v>2012</v>
      </c>
      <c r="D4135" t="n">
        <v>2012</v>
      </c>
      <c r="E4135" t="inlineStr">
        <is>
          <t>Jack Reacher</t>
        </is>
      </c>
      <c r="F4135" t="inlineStr">
        <is>
          <t>F0171</t>
        </is>
      </c>
    </row>
    <row r="4136">
      <c r="A4136" t="inlineStr">
        <is>
          <t>Scott A. Martin</t>
        </is>
      </c>
      <c r="B4136" t="n">
        <v>1</v>
      </c>
      <c r="C4136" t="n">
        <v>2012</v>
      </c>
      <c r="D4136" t="n">
        <v>2012</v>
      </c>
      <c r="E4136" t="inlineStr">
        <is>
          <t>Jack Reacher</t>
        </is>
      </c>
      <c r="F4136" t="inlineStr">
        <is>
          <t>F0171</t>
        </is>
      </c>
    </row>
    <row r="4137">
      <c r="A4137" t="inlineStr">
        <is>
          <t>CJ Ramirez</t>
        </is>
      </c>
      <c r="B4137" t="n">
        <v>1</v>
      </c>
      <c r="C4137" t="n">
        <v>2012</v>
      </c>
      <c r="D4137" t="n">
        <v>2012</v>
      </c>
      <c r="E4137" t="inlineStr">
        <is>
          <t>Jack Reacher</t>
        </is>
      </c>
      <c r="F4137" t="inlineStr">
        <is>
          <t>F0171</t>
        </is>
      </c>
    </row>
    <row r="4138">
      <c r="A4138" t="inlineStr">
        <is>
          <t>Teri Clark</t>
        </is>
      </c>
      <c r="B4138" t="n">
        <v>1</v>
      </c>
      <c r="C4138" t="n">
        <v>2012</v>
      </c>
      <c r="D4138" t="n">
        <v>2012</v>
      </c>
      <c r="E4138" t="inlineStr">
        <is>
          <t>Jack Reacher</t>
        </is>
      </c>
      <c r="F4138" t="inlineStr">
        <is>
          <t>F0171</t>
        </is>
      </c>
    </row>
    <row r="4139">
      <c r="A4139" t="inlineStr">
        <is>
          <t>Jarid Faubel</t>
        </is>
      </c>
      <c r="B4139" t="n">
        <v>1</v>
      </c>
      <c r="C4139" t="n">
        <v>2012</v>
      </c>
      <c r="D4139" t="n">
        <v>2012</v>
      </c>
      <c r="E4139" t="inlineStr">
        <is>
          <t>Jack Reacher</t>
        </is>
      </c>
      <c r="F4139" t="inlineStr">
        <is>
          <t>F0171</t>
        </is>
      </c>
    </row>
    <row r="4140">
      <c r="A4140" t="inlineStr">
        <is>
          <t>Jason 'Wee Man' Acuña</t>
        </is>
      </c>
      <c r="B4140" t="n">
        <v>1</v>
      </c>
      <c r="C4140" t="n">
        <v>2010</v>
      </c>
      <c r="D4140" t="n">
        <v>2010</v>
      </c>
      <c r="E4140" t="inlineStr">
        <is>
          <t>Jackass 3D</t>
        </is>
      </c>
      <c r="F4140" t="inlineStr">
        <is>
          <t>F0172</t>
        </is>
      </c>
    </row>
    <row r="4141">
      <c r="A4141" t="inlineStr">
        <is>
          <t>Preston Lacy</t>
        </is>
      </c>
      <c r="B4141" t="n">
        <v>1</v>
      </c>
      <c r="C4141" t="n">
        <v>2010</v>
      </c>
      <c r="D4141" t="n">
        <v>2010</v>
      </c>
      <c r="E4141" t="inlineStr">
        <is>
          <t>Jackass 3D</t>
        </is>
      </c>
      <c r="F4141" t="inlineStr">
        <is>
          <t>F0172</t>
        </is>
      </c>
    </row>
    <row r="4142">
      <c r="A4142" t="inlineStr">
        <is>
          <t>Ehren McGhehey</t>
        </is>
      </c>
      <c r="B4142" t="n">
        <v>1</v>
      </c>
      <c r="C4142" t="n">
        <v>2010</v>
      </c>
      <c r="D4142" t="n">
        <v>2010</v>
      </c>
      <c r="E4142" t="inlineStr">
        <is>
          <t>Jackass 3D</t>
        </is>
      </c>
      <c r="F4142" t="inlineStr">
        <is>
          <t>F0172</t>
        </is>
      </c>
    </row>
    <row r="4143">
      <c r="A4143" t="inlineStr">
        <is>
          <t>Dave England</t>
        </is>
      </c>
      <c r="B4143" t="n">
        <v>1</v>
      </c>
      <c r="C4143" t="n">
        <v>2010</v>
      </c>
      <c r="D4143" t="n">
        <v>2010</v>
      </c>
      <c r="E4143" t="inlineStr">
        <is>
          <t>Jackass 3D</t>
        </is>
      </c>
      <c r="F4143" t="inlineStr">
        <is>
          <t>F0172</t>
        </is>
      </c>
    </row>
    <row r="4144">
      <c r="A4144" t="inlineStr">
        <is>
          <t>Phil Margera</t>
        </is>
      </c>
      <c r="B4144" t="n">
        <v>1</v>
      </c>
      <c r="C4144" t="n">
        <v>2010</v>
      </c>
      <c r="D4144" t="n">
        <v>2010</v>
      </c>
      <c r="E4144" t="inlineStr">
        <is>
          <t>Jackass 3D</t>
        </is>
      </c>
      <c r="F4144" t="inlineStr">
        <is>
          <t>F0172</t>
        </is>
      </c>
    </row>
    <row r="4145">
      <c r="A4145" t="inlineStr">
        <is>
          <t>April Margera</t>
        </is>
      </c>
      <c r="B4145" t="n">
        <v>1</v>
      </c>
      <c r="C4145" t="n">
        <v>2010</v>
      </c>
      <c r="D4145" t="n">
        <v>2010</v>
      </c>
      <c r="E4145" t="inlineStr">
        <is>
          <t>Jackass 3D</t>
        </is>
      </c>
      <c r="F4145" t="inlineStr">
        <is>
          <t>F0172</t>
        </is>
      </c>
    </row>
    <row r="4146">
      <c r="A4146" t="inlineStr">
        <is>
          <t>Loomis Fall</t>
        </is>
      </c>
      <c r="B4146" t="n">
        <v>1</v>
      </c>
      <c r="C4146" t="n">
        <v>2010</v>
      </c>
      <c r="D4146" t="n">
        <v>2010</v>
      </c>
      <c r="E4146" t="inlineStr">
        <is>
          <t>Jackass 3D</t>
        </is>
      </c>
      <c r="F4146" t="inlineStr">
        <is>
          <t>F0172</t>
        </is>
      </c>
    </row>
    <row r="4147">
      <c r="A4147" t="inlineStr">
        <is>
          <t>Jeff Tremaine</t>
        </is>
      </c>
      <c r="B4147" t="n">
        <v>1</v>
      </c>
      <c r="C4147" t="n">
        <v>2010</v>
      </c>
      <c r="D4147" t="n">
        <v>2010</v>
      </c>
      <c r="E4147" t="inlineStr">
        <is>
          <t>Jackass 3D</t>
        </is>
      </c>
      <c r="F4147" t="inlineStr">
        <is>
          <t>F0172</t>
        </is>
      </c>
    </row>
    <row r="4148">
      <c r="A4148" t="inlineStr">
        <is>
          <t>Brandon Novak</t>
        </is>
      </c>
      <c r="B4148" t="n">
        <v>1</v>
      </c>
      <c r="C4148" t="n">
        <v>2010</v>
      </c>
      <c r="D4148" t="n">
        <v>2010</v>
      </c>
      <c r="E4148" t="inlineStr">
        <is>
          <t>Jackass 3D</t>
        </is>
      </c>
      <c r="F4148" t="inlineStr">
        <is>
          <t>F0172</t>
        </is>
      </c>
    </row>
    <row r="4149">
      <c r="A4149" t="inlineStr">
        <is>
          <t>Tony Hawk</t>
        </is>
      </c>
      <c r="B4149" t="n">
        <v>1</v>
      </c>
      <c r="C4149" t="n">
        <v>2010</v>
      </c>
      <c r="D4149" t="n">
        <v>2010</v>
      </c>
      <c r="E4149" t="inlineStr">
        <is>
          <t>Jackass 3D</t>
        </is>
      </c>
      <c r="F4149" t="inlineStr">
        <is>
          <t>F0172</t>
        </is>
      </c>
    </row>
    <row r="4150">
      <c r="A4150" t="inlineStr">
        <is>
          <t>Eric Koston</t>
        </is>
      </c>
      <c r="B4150" t="n">
        <v>1</v>
      </c>
      <c r="C4150" t="n">
        <v>2010</v>
      </c>
      <c r="D4150" t="n">
        <v>2010</v>
      </c>
      <c r="E4150" t="inlineStr">
        <is>
          <t>Jackass 3D</t>
        </is>
      </c>
      <c r="F4150" t="inlineStr">
        <is>
          <t>F0172</t>
        </is>
      </c>
    </row>
    <row r="4151">
      <c r="A4151" t="inlineStr">
        <is>
          <t>Spike Jonze</t>
        </is>
      </c>
      <c r="B4151" t="n">
        <v>1</v>
      </c>
      <c r="C4151" t="n">
        <v>2010</v>
      </c>
      <c r="D4151" t="n">
        <v>2010</v>
      </c>
      <c r="E4151" t="inlineStr">
        <is>
          <t>Jackass 3D</t>
        </is>
      </c>
      <c r="F4151" t="inlineStr">
        <is>
          <t>F0172</t>
        </is>
      </c>
    </row>
    <row r="4152">
      <c r="A4152" t="inlineStr">
        <is>
          <t>Trip Taylor</t>
        </is>
      </c>
      <c r="B4152" t="n">
        <v>1</v>
      </c>
      <c r="C4152" t="n">
        <v>2010</v>
      </c>
      <c r="D4152" t="n">
        <v>2010</v>
      </c>
      <c r="E4152" t="inlineStr">
        <is>
          <t>Jackass 3D</t>
        </is>
      </c>
      <c r="F4152" t="inlineStr">
        <is>
          <t>F0172</t>
        </is>
      </c>
    </row>
    <row r="4153">
      <c r="A4153" t="inlineStr">
        <is>
          <t>Rick Kosick</t>
        </is>
      </c>
      <c r="B4153" t="n">
        <v>1</v>
      </c>
      <c r="C4153" t="n">
        <v>2010</v>
      </c>
      <c r="D4153" t="n">
        <v>2010</v>
      </c>
      <c r="E4153" t="inlineStr">
        <is>
          <t>Jackass 3D</t>
        </is>
      </c>
      <c r="F4153" t="inlineStr">
        <is>
          <t>F0172</t>
        </is>
      </c>
    </row>
    <row r="4154">
      <c r="A4154" t="inlineStr">
        <is>
          <t>Dimitry Elyashkevich</t>
        </is>
      </c>
      <c r="B4154" t="n">
        <v>1</v>
      </c>
      <c r="C4154" t="n">
        <v>2010</v>
      </c>
      <c r="D4154" t="n">
        <v>2010</v>
      </c>
      <c r="E4154" t="inlineStr">
        <is>
          <t>Jackass 3D</t>
        </is>
      </c>
      <c r="F4154" t="inlineStr">
        <is>
          <t>F0172</t>
        </is>
      </c>
    </row>
    <row r="4155">
      <c r="A4155" t="inlineStr">
        <is>
          <t>Greg Iguchi</t>
        </is>
      </c>
      <c r="B4155" t="n">
        <v>1</v>
      </c>
      <c r="C4155" t="n">
        <v>2010</v>
      </c>
      <c r="D4155" t="n">
        <v>2010</v>
      </c>
      <c r="E4155" t="inlineStr">
        <is>
          <t>Jackass 3D</t>
        </is>
      </c>
      <c r="F4155" t="inlineStr">
        <is>
          <t>F0172</t>
        </is>
      </c>
    </row>
    <row r="4156">
      <c r="A4156" t="inlineStr">
        <is>
          <t>Manny Puig</t>
        </is>
      </c>
      <c r="B4156" t="n">
        <v>1</v>
      </c>
      <c r="C4156" t="n">
        <v>2010</v>
      </c>
      <c r="D4156" t="n">
        <v>2010</v>
      </c>
      <c r="E4156" t="inlineStr">
        <is>
          <t>Jackass 3D</t>
        </is>
      </c>
      <c r="F4156" t="inlineStr">
        <is>
          <t>F0172</t>
        </is>
      </c>
    </row>
    <row r="4157">
      <c r="A4157" t="inlineStr">
        <is>
          <t>Erik Roner</t>
        </is>
      </c>
      <c r="B4157" t="n">
        <v>1</v>
      </c>
      <c r="C4157" t="n">
        <v>2010</v>
      </c>
      <c r="D4157" t="n">
        <v>2010</v>
      </c>
      <c r="E4157" t="inlineStr">
        <is>
          <t>Jackass 3D</t>
        </is>
      </c>
      <c r="F4157" t="inlineStr">
        <is>
          <t>F0172</t>
        </is>
      </c>
    </row>
    <row r="4158">
      <c r="A4158" t="inlineStr">
        <is>
          <t>Judd Leffew</t>
        </is>
      </c>
      <c r="B4158" t="n">
        <v>1</v>
      </c>
      <c r="C4158" t="n">
        <v>2010</v>
      </c>
      <c r="D4158" t="n">
        <v>2010</v>
      </c>
      <c r="E4158" t="inlineStr">
        <is>
          <t>Jackass 3D</t>
        </is>
      </c>
      <c r="F4158" t="inlineStr">
        <is>
          <t>F0172</t>
        </is>
      </c>
    </row>
    <row r="4159">
      <c r="A4159" t="inlineStr">
        <is>
          <t>Lance Bangs</t>
        </is>
      </c>
      <c r="B4159" t="n">
        <v>1</v>
      </c>
      <c r="C4159" t="n">
        <v>2010</v>
      </c>
      <c r="D4159" t="n">
        <v>2010</v>
      </c>
      <c r="E4159" t="inlineStr">
        <is>
          <t>Jackass 3D</t>
        </is>
      </c>
      <c r="F4159" t="inlineStr">
        <is>
          <t>F0172</t>
        </is>
      </c>
    </row>
    <row r="4160">
      <c r="A4160" t="inlineStr">
        <is>
          <t>Gregory J. Wolf</t>
        </is>
      </c>
      <c r="B4160" t="n">
        <v>1</v>
      </c>
      <c r="C4160" t="n">
        <v>2010</v>
      </c>
      <c r="D4160" t="n">
        <v>2010</v>
      </c>
      <c r="E4160" t="inlineStr">
        <is>
          <t>Jackass 3D</t>
        </is>
      </c>
      <c r="F4160" t="inlineStr">
        <is>
          <t>F0172</t>
        </is>
      </c>
    </row>
    <row r="4161">
      <c r="A4161" t="inlineStr">
        <is>
          <t>Josh Brown</t>
        </is>
      </c>
      <c r="B4161" t="n">
        <v>1</v>
      </c>
      <c r="C4161" t="n">
        <v>2010</v>
      </c>
      <c r="D4161" t="n">
        <v>2010</v>
      </c>
      <c r="E4161" t="inlineStr">
        <is>
          <t>Jackass 3D</t>
        </is>
      </c>
      <c r="F4161" t="inlineStr">
        <is>
          <t>F0172</t>
        </is>
      </c>
    </row>
    <row r="4162">
      <c r="A4162" t="inlineStr">
        <is>
          <t>Mat Hoffman</t>
        </is>
      </c>
      <c r="B4162" t="n">
        <v>1</v>
      </c>
      <c r="C4162" t="n">
        <v>2010</v>
      </c>
      <c r="D4162" t="n">
        <v>2010</v>
      </c>
      <c r="E4162" t="inlineStr">
        <is>
          <t>Jackass 3D</t>
        </is>
      </c>
      <c r="F4162" t="inlineStr">
        <is>
          <t>F0172</t>
        </is>
      </c>
    </row>
    <row r="4163">
      <c r="A4163" t="inlineStr">
        <is>
          <t>Rake Yohn</t>
        </is>
      </c>
      <c r="B4163" t="n">
        <v>1</v>
      </c>
      <c r="C4163" t="n">
        <v>2010</v>
      </c>
      <c r="D4163" t="n">
        <v>2010</v>
      </c>
      <c r="E4163" t="inlineStr">
        <is>
          <t>Jackass 3D</t>
        </is>
      </c>
      <c r="F4163" t="inlineStr">
        <is>
          <t>F0172</t>
        </is>
      </c>
    </row>
    <row r="4164">
      <c r="A4164" t="inlineStr">
        <is>
          <t>Omar Von Muller</t>
        </is>
      </c>
      <c r="B4164" t="n">
        <v>1</v>
      </c>
      <c r="C4164" t="n">
        <v>2010</v>
      </c>
      <c r="D4164" t="n">
        <v>2010</v>
      </c>
      <c r="E4164" t="inlineStr">
        <is>
          <t>Jackass 3D</t>
        </is>
      </c>
      <c r="F4164" t="inlineStr">
        <is>
          <t>F0172</t>
        </is>
      </c>
    </row>
    <row r="4165">
      <c r="A4165" t="inlineStr">
        <is>
          <t>John Gallagher Jr.</t>
        </is>
      </c>
      <c r="B4165" t="n">
        <v>1</v>
      </c>
      <c r="C4165" t="n">
        <v>2010</v>
      </c>
      <c r="D4165" t="n">
        <v>2010</v>
      </c>
      <c r="E4165" t="inlineStr">
        <is>
          <t>Jonah Hex</t>
        </is>
      </c>
      <c r="F4165" t="inlineStr">
        <is>
          <t>F0173</t>
        </is>
      </c>
    </row>
    <row r="4166">
      <c r="A4166" t="inlineStr">
        <is>
          <t>Jeffrey Dean Morgan</t>
        </is>
      </c>
      <c r="B4166" t="n">
        <v>1</v>
      </c>
      <c r="C4166" t="n">
        <v>2010</v>
      </c>
      <c r="D4166" t="n">
        <v>2010</v>
      </c>
      <c r="E4166" t="inlineStr">
        <is>
          <t>Jonah Hex</t>
        </is>
      </c>
      <c r="F4166" t="inlineStr">
        <is>
          <t>F0173</t>
        </is>
      </c>
    </row>
    <row r="4167">
      <c r="A4167" t="inlineStr">
        <is>
          <t>Julia Jones</t>
        </is>
      </c>
      <c r="B4167" t="n">
        <v>1</v>
      </c>
      <c r="C4167" t="n">
        <v>2010</v>
      </c>
      <c r="D4167" t="n">
        <v>2010</v>
      </c>
      <c r="E4167" t="inlineStr">
        <is>
          <t>Jonah Hex</t>
        </is>
      </c>
      <c r="F4167" t="inlineStr">
        <is>
          <t>F0173</t>
        </is>
      </c>
    </row>
    <row r="4168">
      <c r="A4168" t="inlineStr">
        <is>
          <t>Rio Hackford</t>
        </is>
      </c>
      <c r="B4168" t="n">
        <v>1</v>
      </c>
      <c r="C4168" t="n">
        <v>2010</v>
      </c>
      <c r="D4168" t="n">
        <v>2010</v>
      </c>
      <c r="E4168" t="inlineStr">
        <is>
          <t>Jonah Hex</t>
        </is>
      </c>
      <c r="F4168" t="inlineStr">
        <is>
          <t>F0173</t>
        </is>
      </c>
    </row>
    <row r="4169">
      <c r="A4169" t="inlineStr">
        <is>
          <t>Luke James Fleischmann</t>
        </is>
      </c>
      <c r="B4169" t="n">
        <v>1</v>
      </c>
      <c r="C4169" t="n">
        <v>2010</v>
      </c>
      <c r="D4169" t="n">
        <v>2010</v>
      </c>
      <c r="E4169" t="inlineStr">
        <is>
          <t>Jonah Hex</t>
        </is>
      </c>
      <c r="F4169" t="inlineStr">
        <is>
          <t>F0173</t>
        </is>
      </c>
    </row>
    <row r="4170">
      <c r="A4170" t="inlineStr">
        <is>
          <t>Billy Blair</t>
        </is>
      </c>
      <c r="B4170" t="n">
        <v>1</v>
      </c>
      <c r="C4170" t="n">
        <v>2010</v>
      </c>
      <c r="D4170" t="n">
        <v>2010</v>
      </c>
      <c r="E4170" t="inlineStr">
        <is>
          <t>Jonah Hex</t>
        </is>
      </c>
      <c r="F4170" t="inlineStr">
        <is>
          <t>F0173</t>
        </is>
      </c>
    </row>
    <row r="4171">
      <c r="A4171" t="inlineStr">
        <is>
          <t>Sean Boyd</t>
        </is>
      </c>
      <c r="B4171" t="n">
        <v>3</v>
      </c>
      <c r="C4171" t="n">
        <v>2010</v>
      </c>
      <c r="D4171" t="n">
        <v>2016</v>
      </c>
      <c r="E4171" t="inlineStr">
        <is>
          <t>Jonah Hex, The Magnificent Seven, Olympus Has Fallen</t>
        </is>
      </c>
      <c r="F4171" t="inlineStr">
        <is>
          <t>F0173, F0207, F0240</t>
        </is>
      </c>
    </row>
    <row r="4172">
      <c r="A4172" t="inlineStr">
        <is>
          <t>John McConnell</t>
        </is>
      </c>
      <c r="B4172" t="n">
        <v>2</v>
      </c>
      <c r="C4172" t="n">
        <v>2010</v>
      </c>
      <c r="D4172" t="n">
        <v>2012</v>
      </c>
      <c r="E4172" t="inlineStr">
        <is>
          <t>Jonah Hex, Killing Them Softly</t>
        </is>
      </c>
      <c r="F4172" t="inlineStr">
        <is>
          <t>F0173, F0187</t>
        </is>
      </c>
    </row>
    <row r="4173">
      <c r="A4173" t="inlineStr">
        <is>
          <t>Jackson Townsend</t>
        </is>
      </c>
      <c r="B4173" t="n">
        <v>1</v>
      </c>
      <c r="C4173" t="n">
        <v>2010</v>
      </c>
      <c r="D4173" t="n">
        <v>2010</v>
      </c>
      <c r="E4173" t="inlineStr">
        <is>
          <t>Jonah Hex</t>
        </is>
      </c>
      <c r="F4173" t="inlineStr">
        <is>
          <t>F0173</t>
        </is>
      </c>
    </row>
    <row r="4174">
      <c r="A4174" t="inlineStr">
        <is>
          <t>T.J. Toups</t>
        </is>
      </c>
      <c r="B4174" t="n">
        <v>1</v>
      </c>
      <c r="C4174" t="n">
        <v>2010</v>
      </c>
      <c r="D4174" t="n">
        <v>2010</v>
      </c>
      <c r="E4174" t="inlineStr">
        <is>
          <t>Jonah Hex</t>
        </is>
      </c>
      <c r="F4174" t="inlineStr">
        <is>
          <t>F0173</t>
        </is>
      </c>
    </row>
    <row r="4175">
      <c r="A4175" t="inlineStr">
        <is>
          <t>Ned Coleman</t>
        </is>
      </c>
      <c r="B4175" t="n">
        <v>1</v>
      </c>
      <c r="C4175" t="n">
        <v>2010</v>
      </c>
      <c r="D4175" t="n">
        <v>2010</v>
      </c>
      <c r="E4175" t="inlineStr">
        <is>
          <t>Jonah Hex</t>
        </is>
      </c>
      <c r="F4175" t="inlineStr">
        <is>
          <t>F0173</t>
        </is>
      </c>
    </row>
    <row r="4176">
      <c r="A4176" t="inlineStr">
        <is>
          <t>John Wirt</t>
        </is>
      </c>
      <c r="B4176" t="n">
        <v>1</v>
      </c>
      <c r="C4176" t="n">
        <v>2010</v>
      </c>
      <c r="D4176" t="n">
        <v>2010</v>
      </c>
      <c r="E4176" t="inlineStr">
        <is>
          <t>Jonah Hex</t>
        </is>
      </c>
      <c r="F4176" t="inlineStr">
        <is>
          <t>F0173</t>
        </is>
      </c>
    </row>
    <row r="4177">
      <c r="A4177" t="inlineStr">
        <is>
          <t>Ty Holland</t>
        </is>
      </c>
      <c r="B4177" t="n">
        <v>1</v>
      </c>
      <c r="C4177" t="n">
        <v>2010</v>
      </c>
      <c r="D4177" t="n">
        <v>2010</v>
      </c>
      <c r="E4177" t="inlineStr">
        <is>
          <t>Jonah Hex</t>
        </is>
      </c>
      <c r="F4177" t="inlineStr">
        <is>
          <t>F0173</t>
        </is>
      </c>
    </row>
    <row r="4178">
      <c r="A4178" t="inlineStr">
        <is>
          <t>J.D. Evermore</t>
        </is>
      </c>
      <c r="B4178" t="n">
        <v>2</v>
      </c>
      <c r="C4178" t="n">
        <v>2010</v>
      </c>
      <c r="D4178" t="n">
        <v>2014</v>
      </c>
      <c r="E4178" t="inlineStr">
        <is>
          <t>Jonah Hex, Dawn of the Planet of the Apes</t>
        </is>
      </c>
      <c r="F4178" t="inlineStr">
        <is>
          <t>F0173, F0254</t>
        </is>
      </c>
    </row>
    <row r="4179">
      <c r="A4179" t="inlineStr">
        <is>
          <t>Scott Staggers</t>
        </is>
      </c>
      <c r="B4179" t="n">
        <v>1</v>
      </c>
      <c r="C4179" t="n">
        <v>2010</v>
      </c>
      <c r="D4179" t="n">
        <v>2010</v>
      </c>
      <c r="E4179" t="inlineStr">
        <is>
          <t>Jonah Hex</t>
        </is>
      </c>
      <c r="F4179" t="inlineStr">
        <is>
          <t>F0173</t>
        </is>
      </c>
    </row>
    <row r="4180">
      <c r="A4180" t="inlineStr">
        <is>
          <t>Jimmy Hayward</t>
        </is>
      </c>
      <c r="B4180" t="n">
        <v>1</v>
      </c>
      <c r="C4180" t="n">
        <v>2010</v>
      </c>
      <c r="D4180" t="n">
        <v>2010</v>
      </c>
      <c r="E4180" t="inlineStr">
        <is>
          <t>Jonah Hex</t>
        </is>
      </c>
      <c r="F4180" t="inlineStr">
        <is>
          <t>F0173</t>
        </is>
      </c>
    </row>
    <row r="4181">
      <c r="A4181" t="inlineStr">
        <is>
          <t>Michael Arnona</t>
        </is>
      </c>
      <c r="B4181" t="n">
        <v>1</v>
      </c>
      <c r="C4181" t="n">
        <v>2010</v>
      </c>
      <c r="D4181" t="n">
        <v>2010</v>
      </c>
      <c r="E4181" t="inlineStr">
        <is>
          <t>Jonah Hex</t>
        </is>
      </c>
      <c r="F4181" t="inlineStr">
        <is>
          <t>F0173</t>
        </is>
      </c>
    </row>
    <row r="4182">
      <c r="A4182" t="inlineStr">
        <is>
          <t>Noel Murano</t>
        </is>
      </c>
      <c r="B4182" t="n">
        <v>1</v>
      </c>
      <c r="C4182" t="n">
        <v>2010</v>
      </c>
      <c r="D4182" t="n">
        <v>2010</v>
      </c>
      <c r="E4182" t="inlineStr">
        <is>
          <t>Jonah Hex</t>
        </is>
      </c>
      <c r="F4182" t="inlineStr">
        <is>
          <t>F0173</t>
        </is>
      </c>
    </row>
    <row r="4183">
      <c r="A4183" t="inlineStr">
        <is>
          <t>Preston Acuff</t>
        </is>
      </c>
      <c r="B4183" t="n">
        <v>1</v>
      </c>
      <c r="C4183" t="n">
        <v>2010</v>
      </c>
      <c r="D4183" t="n">
        <v>2010</v>
      </c>
      <c r="E4183" t="inlineStr">
        <is>
          <t>Jonah Hex</t>
        </is>
      </c>
      <c r="F4183" t="inlineStr">
        <is>
          <t>F0173</t>
        </is>
      </c>
    </row>
    <row r="4184">
      <c r="A4184" t="inlineStr">
        <is>
          <t>Jane Wheeler</t>
        </is>
      </c>
      <c r="B4184" t="n">
        <v>1</v>
      </c>
      <c r="C4184" t="n">
        <v>2008</v>
      </c>
      <c r="D4184" t="n">
        <v>2008</v>
      </c>
      <c r="E4184" t="inlineStr">
        <is>
          <t>Journey to the Center of the Earth</t>
        </is>
      </c>
      <c r="F4184" t="inlineStr">
        <is>
          <t>F0174</t>
        </is>
      </c>
    </row>
    <row r="4185">
      <c r="A4185" t="inlineStr">
        <is>
          <t>Frank Fontaine</t>
        </is>
      </c>
      <c r="B4185" t="n">
        <v>1</v>
      </c>
      <c r="C4185" t="n">
        <v>2008</v>
      </c>
      <c r="D4185" t="n">
        <v>2008</v>
      </c>
      <c r="E4185" t="inlineStr">
        <is>
          <t>Journey to the Center of the Earth</t>
        </is>
      </c>
      <c r="F4185" t="inlineStr">
        <is>
          <t>F0174</t>
        </is>
      </c>
    </row>
    <row r="4186">
      <c r="A4186" t="inlineStr">
        <is>
          <t>Giancarlo Caltabiano</t>
        </is>
      </c>
      <c r="B4186" t="n">
        <v>1</v>
      </c>
      <c r="C4186" t="n">
        <v>2008</v>
      </c>
      <c r="D4186" t="n">
        <v>2008</v>
      </c>
      <c r="E4186" t="inlineStr">
        <is>
          <t>Journey to the Center of the Earth</t>
        </is>
      </c>
      <c r="F4186" t="inlineStr">
        <is>
          <t>F0174</t>
        </is>
      </c>
    </row>
    <row r="4187">
      <c r="A4187" t="inlineStr">
        <is>
          <t>Kaniehtiio Horn</t>
        </is>
      </c>
      <c r="B4187" t="n">
        <v>1</v>
      </c>
      <c r="C4187" t="n">
        <v>2008</v>
      </c>
      <c r="D4187" t="n">
        <v>2008</v>
      </c>
      <c r="E4187" t="inlineStr">
        <is>
          <t>Journey to the Center of the Earth</t>
        </is>
      </c>
      <c r="F4187" t="inlineStr">
        <is>
          <t>F0174</t>
        </is>
      </c>
    </row>
    <row r="4188">
      <c r="A4188" t="inlineStr">
        <is>
          <t>Garth Gilker</t>
        </is>
      </c>
      <c r="B4188" t="n">
        <v>1</v>
      </c>
      <c r="C4188" t="n">
        <v>2008</v>
      </c>
      <c r="D4188" t="n">
        <v>2008</v>
      </c>
      <c r="E4188" t="inlineStr">
        <is>
          <t>Journey to the Center of the Earth</t>
        </is>
      </c>
      <c r="F4188" t="inlineStr">
        <is>
          <t>F0174</t>
        </is>
      </c>
    </row>
    <row r="4189">
      <c r="A4189" t="inlineStr">
        <is>
          <t>AnnaSophia Robb</t>
        </is>
      </c>
      <c r="B4189" t="n">
        <v>1</v>
      </c>
      <c r="C4189" t="n">
        <v>2008</v>
      </c>
      <c r="D4189" t="n">
        <v>2008</v>
      </c>
      <c r="E4189" t="inlineStr">
        <is>
          <t>Jumper</t>
        </is>
      </c>
      <c r="F4189" t="inlineStr">
        <is>
          <t>F0175</t>
        </is>
      </c>
    </row>
    <row r="4190">
      <c r="A4190" t="inlineStr">
        <is>
          <t>Max Thieriot</t>
        </is>
      </c>
      <c r="B4190" t="n">
        <v>1</v>
      </c>
      <c r="C4190" t="n">
        <v>2008</v>
      </c>
      <c r="D4190" t="n">
        <v>2008</v>
      </c>
      <c r="E4190" t="inlineStr">
        <is>
          <t>Jumper</t>
        </is>
      </c>
      <c r="F4190" t="inlineStr">
        <is>
          <t>F0175</t>
        </is>
      </c>
    </row>
    <row r="4191">
      <c r="A4191" t="inlineStr">
        <is>
          <t>Jesse James</t>
        </is>
      </c>
      <c r="B4191" t="n">
        <v>2</v>
      </c>
      <c r="C4191" t="n">
        <v>2001</v>
      </c>
      <c r="D4191" t="n">
        <v>2008</v>
      </c>
      <c r="E4191" t="inlineStr">
        <is>
          <t>Jumper, Pearl Harbor</t>
        </is>
      </c>
      <c r="F4191" t="inlineStr">
        <is>
          <t>F0175, F0246</t>
        </is>
      </c>
    </row>
    <row r="4192">
      <c r="A4192" t="inlineStr">
        <is>
          <t>Tom Hulce</t>
        </is>
      </c>
      <c r="B4192" t="n">
        <v>1</v>
      </c>
      <c r="C4192" t="n">
        <v>2008</v>
      </c>
      <c r="D4192" t="n">
        <v>2008</v>
      </c>
      <c r="E4192" t="inlineStr">
        <is>
          <t>Jumper</t>
        </is>
      </c>
      <c r="F4192" t="inlineStr">
        <is>
          <t>F0175</t>
        </is>
      </c>
    </row>
    <row r="4193">
      <c r="A4193" t="inlineStr">
        <is>
          <t>Teddy Dunn</t>
        </is>
      </c>
      <c r="B4193" t="n">
        <v>1</v>
      </c>
      <c r="C4193" t="n">
        <v>2008</v>
      </c>
      <c r="D4193" t="n">
        <v>2008</v>
      </c>
      <c r="E4193" t="inlineStr">
        <is>
          <t>Jumper</t>
        </is>
      </c>
      <c r="F4193" t="inlineStr">
        <is>
          <t>F0175</t>
        </is>
      </c>
    </row>
    <row r="4194">
      <c r="A4194" t="inlineStr">
        <is>
          <t>Barbara Garrick</t>
        </is>
      </c>
      <c r="B4194" t="n">
        <v>1</v>
      </c>
      <c r="C4194" t="n">
        <v>2008</v>
      </c>
      <c r="D4194" t="n">
        <v>2008</v>
      </c>
      <c r="E4194" t="inlineStr">
        <is>
          <t>Jumper</t>
        </is>
      </c>
      <c r="F4194" t="inlineStr">
        <is>
          <t>F0175</t>
        </is>
      </c>
    </row>
    <row r="4195">
      <c r="A4195" t="inlineStr">
        <is>
          <t>Michael Winther</t>
        </is>
      </c>
      <c r="B4195" t="n">
        <v>1</v>
      </c>
      <c r="C4195" t="n">
        <v>2008</v>
      </c>
      <c r="D4195" t="n">
        <v>2008</v>
      </c>
      <c r="E4195" t="inlineStr">
        <is>
          <t>Jumper</t>
        </is>
      </c>
      <c r="F4195" t="inlineStr">
        <is>
          <t>F0175</t>
        </is>
      </c>
    </row>
    <row r="4196">
      <c r="A4196" t="inlineStr">
        <is>
          <t>Massimiliano Pazzaglia</t>
        </is>
      </c>
      <c r="B4196" t="n">
        <v>1</v>
      </c>
      <c r="C4196" t="n">
        <v>2008</v>
      </c>
      <c r="D4196" t="n">
        <v>2008</v>
      </c>
      <c r="E4196" t="inlineStr">
        <is>
          <t>Jumper</t>
        </is>
      </c>
      <c r="F4196" t="inlineStr">
        <is>
          <t>F0175</t>
        </is>
      </c>
    </row>
    <row r="4197">
      <c r="A4197" t="inlineStr">
        <is>
          <t>Shawn Roberts</t>
        </is>
      </c>
      <c r="B4197" t="n">
        <v>1</v>
      </c>
      <c r="C4197" t="n">
        <v>2008</v>
      </c>
      <c r="D4197" t="n">
        <v>2008</v>
      </c>
      <c r="E4197" t="inlineStr">
        <is>
          <t>Jumper</t>
        </is>
      </c>
      <c r="F4197" t="inlineStr">
        <is>
          <t>F0175</t>
        </is>
      </c>
    </row>
    <row r="4198">
      <c r="A4198" t="inlineStr">
        <is>
          <t>Nathalie Cox</t>
        </is>
      </c>
      <c r="B4198" t="n">
        <v>1</v>
      </c>
      <c r="C4198" t="n">
        <v>2008</v>
      </c>
      <c r="D4198" t="n">
        <v>2008</v>
      </c>
      <c r="E4198" t="inlineStr">
        <is>
          <t>Jumper</t>
        </is>
      </c>
      <c r="F4198" t="inlineStr">
        <is>
          <t>F0175</t>
        </is>
      </c>
    </row>
    <row r="4199">
      <c r="A4199" t="inlineStr">
        <is>
          <t>Meredith Henderson</t>
        </is>
      </c>
      <c r="B4199" t="n">
        <v>1</v>
      </c>
      <c r="C4199" t="n">
        <v>2008</v>
      </c>
      <c r="D4199" t="n">
        <v>2008</v>
      </c>
      <c r="E4199" t="inlineStr">
        <is>
          <t>Jumper</t>
        </is>
      </c>
      <c r="F4199" t="inlineStr">
        <is>
          <t>F0175</t>
        </is>
      </c>
    </row>
    <row r="4200">
      <c r="A4200" t="inlineStr">
        <is>
          <t>Tony Nappo</t>
        </is>
      </c>
      <c r="B4200" t="n">
        <v>1</v>
      </c>
      <c r="C4200" t="n">
        <v>2008</v>
      </c>
      <c r="D4200" t="n">
        <v>2008</v>
      </c>
      <c r="E4200" t="inlineStr">
        <is>
          <t>Jumper</t>
        </is>
      </c>
      <c r="F4200" t="inlineStr">
        <is>
          <t>F0175</t>
        </is>
      </c>
    </row>
    <row r="4201">
      <c r="A4201" t="inlineStr">
        <is>
          <t>Clark Beasley Jr.</t>
        </is>
      </c>
      <c r="B4201" t="n">
        <v>1</v>
      </c>
      <c r="C4201" t="n">
        <v>2008</v>
      </c>
      <c r="D4201" t="n">
        <v>2008</v>
      </c>
      <c r="E4201" t="inlineStr">
        <is>
          <t>Jumper</t>
        </is>
      </c>
      <c r="F4201" t="inlineStr">
        <is>
          <t>F0175</t>
        </is>
      </c>
    </row>
    <row r="4202">
      <c r="A4202" t="inlineStr">
        <is>
          <t>Valentino Visentini</t>
        </is>
      </c>
      <c r="B4202" t="n">
        <v>1</v>
      </c>
      <c r="C4202" t="n">
        <v>2008</v>
      </c>
      <c r="D4202" t="n">
        <v>2008</v>
      </c>
      <c r="E4202" t="inlineStr">
        <is>
          <t>Jumper</t>
        </is>
      </c>
      <c r="F4202" t="inlineStr">
        <is>
          <t>F0175</t>
        </is>
      </c>
    </row>
    <row r="4203">
      <c r="A4203" t="inlineStr">
        <is>
          <t>Angelica Lisk-Hann</t>
        </is>
      </c>
      <c r="B4203" t="n">
        <v>1</v>
      </c>
      <c r="C4203" t="n">
        <v>2008</v>
      </c>
      <c r="D4203" t="n">
        <v>2008</v>
      </c>
      <c r="E4203" t="inlineStr">
        <is>
          <t>Jumper</t>
        </is>
      </c>
      <c r="F4203" t="inlineStr">
        <is>
          <t>F0175</t>
        </is>
      </c>
    </row>
    <row r="4204">
      <c r="A4204" t="inlineStr">
        <is>
          <t>Damir Andrei</t>
        </is>
      </c>
      <c r="B4204" t="n">
        <v>1</v>
      </c>
      <c r="C4204" t="n">
        <v>2008</v>
      </c>
      <c r="D4204" t="n">
        <v>2008</v>
      </c>
      <c r="E4204" t="inlineStr">
        <is>
          <t>Jumper</t>
        </is>
      </c>
      <c r="F4204" t="inlineStr">
        <is>
          <t>F0175</t>
        </is>
      </c>
    </row>
    <row r="4205">
      <c r="A4205" t="inlineStr">
        <is>
          <t>George King</t>
        </is>
      </c>
      <c r="B4205" t="n">
        <v>1</v>
      </c>
      <c r="C4205" t="n">
        <v>2008</v>
      </c>
      <c r="D4205" t="n">
        <v>2008</v>
      </c>
      <c r="E4205" t="inlineStr">
        <is>
          <t>Jumper</t>
        </is>
      </c>
      <c r="F4205" t="inlineStr">
        <is>
          <t>F0175</t>
        </is>
      </c>
    </row>
    <row r="4206">
      <c r="A4206" t="inlineStr">
        <is>
          <t>Simona Lisi</t>
        </is>
      </c>
      <c r="B4206" t="n">
        <v>1</v>
      </c>
      <c r="C4206" t="n">
        <v>2008</v>
      </c>
      <c r="D4206" t="n">
        <v>2008</v>
      </c>
      <c r="E4206" t="inlineStr">
        <is>
          <t>Jumper</t>
        </is>
      </c>
      <c r="F4206" t="inlineStr">
        <is>
          <t>F0175</t>
        </is>
      </c>
    </row>
    <row r="4207">
      <c r="A4207" t="inlineStr">
        <is>
          <t>Matteo Carlomagno</t>
        </is>
      </c>
      <c r="B4207" t="n">
        <v>1</v>
      </c>
      <c r="C4207" t="n">
        <v>2008</v>
      </c>
      <c r="D4207" t="n">
        <v>2008</v>
      </c>
      <c r="E4207" t="inlineStr">
        <is>
          <t>Jumper</t>
        </is>
      </c>
      <c r="F4207" t="inlineStr">
        <is>
          <t>F0175</t>
        </is>
      </c>
    </row>
    <row r="4208">
      <c r="A4208" t="inlineStr">
        <is>
          <t>Fabrizio Bucci</t>
        </is>
      </c>
      <c r="B4208" t="n">
        <v>1</v>
      </c>
      <c r="C4208" t="n">
        <v>2008</v>
      </c>
      <c r="D4208" t="n">
        <v>2008</v>
      </c>
      <c r="E4208" t="inlineStr">
        <is>
          <t>Jumper</t>
        </is>
      </c>
      <c r="F4208" t="inlineStr">
        <is>
          <t>F0175</t>
        </is>
      </c>
    </row>
    <row r="4209">
      <c r="A4209" t="inlineStr">
        <is>
          <t>Giorgio Santangelo</t>
        </is>
      </c>
      <c r="B4209" t="n">
        <v>1</v>
      </c>
      <c r="C4209" t="n">
        <v>2008</v>
      </c>
      <c r="D4209" t="n">
        <v>2008</v>
      </c>
      <c r="E4209" t="inlineStr">
        <is>
          <t>Jumper</t>
        </is>
      </c>
      <c r="F4209" t="inlineStr">
        <is>
          <t>F0175</t>
        </is>
      </c>
    </row>
    <row r="4210">
      <c r="A4210" t="inlineStr">
        <is>
          <t>Marcello Santoni</t>
        </is>
      </c>
      <c r="B4210" t="n">
        <v>1</v>
      </c>
      <c r="C4210" t="n">
        <v>2008</v>
      </c>
      <c r="D4210" t="n">
        <v>2008</v>
      </c>
      <c r="E4210" t="inlineStr">
        <is>
          <t>Jumper</t>
        </is>
      </c>
      <c r="F4210" t="inlineStr">
        <is>
          <t>F0175</t>
        </is>
      </c>
    </row>
    <row r="4211">
      <c r="A4211" t="inlineStr">
        <is>
          <t>Franco Salvatore Di Stefano</t>
        </is>
      </c>
      <c r="B4211" t="n">
        <v>1</v>
      </c>
      <c r="C4211" t="n">
        <v>2008</v>
      </c>
      <c r="D4211" t="n">
        <v>2008</v>
      </c>
      <c r="E4211" t="inlineStr">
        <is>
          <t>Jumper</t>
        </is>
      </c>
      <c r="F4211" t="inlineStr">
        <is>
          <t>F0175</t>
        </is>
      </c>
    </row>
    <row r="4212">
      <c r="A4212" t="inlineStr">
        <is>
          <t>Martin Ferrero</t>
        </is>
      </c>
      <c r="B4212" t="n">
        <v>1</v>
      </c>
      <c r="C4212" t="n">
        <v>1993</v>
      </c>
      <c r="D4212" t="n">
        <v>1993</v>
      </c>
      <c r="E4212" t="inlineStr">
        <is>
          <t>Jurassic Park</t>
        </is>
      </c>
      <c r="F4212" t="inlineStr">
        <is>
          <t>F0176</t>
        </is>
      </c>
    </row>
    <row r="4213">
      <c r="A4213" t="inlineStr">
        <is>
          <t>BD Wong</t>
        </is>
      </c>
      <c r="B4213" t="n">
        <v>4</v>
      </c>
      <c r="C4213" t="n">
        <v>1993</v>
      </c>
      <c r="D4213" t="n">
        <v>2022</v>
      </c>
      <c r="E4213" t="inlineStr">
        <is>
          <t>Jurassic Park, Jurassic World, Jurassic World: Fallen Kingdom, Jurassic World Dominion</t>
        </is>
      </c>
      <c r="F4213" t="inlineStr">
        <is>
          <t>F0176, F0179, F0180, F0181</t>
        </is>
      </c>
    </row>
    <row r="4214">
      <c r="A4214" t="inlineStr">
        <is>
          <t>Ariana Richards</t>
        </is>
      </c>
      <c r="B4214" t="n">
        <v>2</v>
      </c>
      <c r="C4214" t="n">
        <v>1993</v>
      </c>
      <c r="D4214" t="n">
        <v>1997</v>
      </c>
      <c r="E4214" t="inlineStr">
        <is>
          <t>Jurassic Park, The Lost World: Jurassic Park</t>
        </is>
      </c>
      <c r="F4214" t="inlineStr">
        <is>
          <t>F0176, F0177</t>
        </is>
      </c>
    </row>
    <row r="4215">
      <c r="A4215" t="inlineStr">
        <is>
          <t>Gerald R. Molen</t>
        </is>
      </c>
      <c r="B4215" t="n">
        <v>1</v>
      </c>
      <c r="C4215" t="n">
        <v>1993</v>
      </c>
      <c r="D4215" t="n">
        <v>1993</v>
      </c>
      <c r="E4215" t="inlineStr">
        <is>
          <t>Jurassic Park</t>
        </is>
      </c>
      <c r="F4215" t="inlineStr">
        <is>
          <t>F0176</t>
        </is>
      </c>
    </row>
    <row r="4216">
      <c r="A4216" t="inlineStr">
        <is>
          <t>Miguel Sandoval</t>
        </is>
      </c>
      <c r="B4216" t="n">
        <v>1</v>
      </c>
      <c r="C4216" t="n">
        <v>1993</v>
      </c>
      <c r="D4216" t="n">
        <v>1993</v>
      </c>
      <c r="E4216" t="inlineStr">
        <is>
          <t>Jurassic Park</t>
        </is>
      </c>
      <c r="F4216" t="inlineStr">
        <is>
          <t>F0176</t>
        </is>
      </c>
    </row>
    <row r="4217">
      <c r="A4217" t="inlineStr">
        <is>
          <t>Cameron Thor</t>
        </is>
      </c>
      <c r="B4217" t="n">
        <v>1</v>
      </c>
      <c r="C4217" t="n">
        <v>1993</v>
      </c>
      <c r="D4217" t="n">
        <v>1993</v>
      </c>
      <c r="E4217" t="inlineStr">
        <is>
          <t>Jurassic Park</t>
        </is>
      </c>
      <c r="F4217" t="inlineStr">
        <is>
          <t>F0176</t>
        </is>
      </c>
    </row>
    <row r="4218">
      <c r="A4218" t="inlineStr">
        <is>
          <t>Whit Hertford</t>
        </is>
      </c>
      <c r="B4218" t="n">
        <v>1</v>
      </c>
      <c r="C4218" t="n">
        <v>1993</v>
      </c>
      <c r="D4218" t="n">
        <v>1993</v>
      </c>
      <c r="E4218" t="inlineStr">
        <is>
          <t>Jurassic Park</t>
        </is>
      </c>
      <c r="F4218" t="inlineStr">
        <is>
          <t>F0176</t>
        </is>
      </c>
    </row>
    <row r="4219">
      <c r="A4219" t="inlineStr">
        <is>
          <t>Dean Cundey</t>
        </is>
      </c>
      <c r="B4219" t="n">
        <v>1</v>
      </c>
      <c r="C4219" t="n">
        <v>1993</v>
      </c>
      <c r="D4219" t="n">
        <v>1993</v>
      </c>
      <c r="E4219" t="inlineStr">
        <is>
          <t>Jurassic Park</t>
        </is>
      </c>
      <c r="F4219" t="inlineStr">
        <is>
          <t>F0176</t>
        </is>
      </c>
    </row>
    <row r="4220">
      <c r="A4220" t="inlineStr">
        <is>
          <t>Jophery C. Brown</t>
        </is>
      </c>
      <c r="B4220" t="n">
        <v>1</v>
      </c>
      <c r="C4220" t="n">
        <v>1993</v>
      </c>
      <c r="D4220" t="n">
        <v>1993</v>
      </c>
      <c r="E4220" t="inlineStr">
        <is>
          <t>Jurassic Park</t>
        </is>
      </c>
      <c r="F4220" t="inlineStr">
        <is>
          <t>F0176</t>
        </is>
      </c>
    </row>
    <row r="4221">
      <c r="A4221" t="inlineStr">
        <is>
          <t>Tom Mishler</t>
        </is>
      </c>
      <c r="B4221" t="n">
        <v>1</v>
      </c>
      <c r="C4221" t="n">
        <v>1993</v>
      </c>
      <c r="D4221" t="n">
        <v>1993</v>
      </c>
      <c r="E4221" t="inlineStr">
        <is>
          <t>Jurassic Park</t>
        </is>
      </c>
      <c r="F4221" t="inlineStr">
        <is>
          <t>F0176</t>
        </is>
      </c>
    </row>
    <row r="4222">
      <c r="A4222" t="inlineStr">
        <is>
          <t>Greg Burson</t>
        </is>
      </c>
      <c r="B4222" t="n">
        <v>1</v>
      </c>
      <c r="C4222" t="n">
        <v>1993</v>
      </c>
      <c r="D4222" t="n">
        <v>1993</v>
      </c>
      <c r="E4222" t="inlineStr">
        <is>
          <t>Jurassic Park</t>
        </is>
      </c>
      <c r="F4222" t="inlineStr">
        <is>
          <t>F0176</t>
        </is>
      </c>
    </row>
    <row r="4223">
      <c r="A4223" t="inlineStr">
        <is>
          <t>Adrian Escober</t>
        </is>
      </c>
      <c r="B4223" t="n">
        <v>1</v>
      </c>
      <c r="C4223" t="n">
        <v>1993</v>
      </c>
      <c r="D4223" t="n">
        <v>1993</v>
      </c>
      <c r="E4223" t="inlineStr">
        <is>
          <t>Jurassic Park</t>
        </is>
      </c>
      <c r="F4223" t="inlineStr">
        <is>
          <t>F0176</t>
        </is>
      </c>
    </row>
    <row r="4224">
      <c r="A4224" t="inlineStr">
        <is>
          <t>Richard Kiley</t>
        </is>
      </c>
      <c r="B4224" t="n">
        <v>1</v>
      </c>
      <c r="C4224" t="n">
        <v>1993</v>
      </c>
      <c r="D4224" t="n">
        <v>1993</v>
      </c>
      <c r="E4224" t="inlineStr">
        <is>
          <t>Jurassic Park</t>
        </is>
      </c>
      <c r="F4224" t="inlineStr">
        <is>
          <t>F0176</t>
        </is>
      </c>
    </row>
    <row r="4225">
      <c r="A4225" t="inlineStr">
        <is>
          <t>Vanessa Lee Chester</t>
        </is>
      </c>
      <c r="B4225" t="n">
        <v>1</v>
      </c>
      <c r="C4225" t="n">
        <v>1997</v>
      </c>
      <c r="D4225" t="n">
        <v>1997</v>
      </c>
      <c r="E4225" t="inlineStr">
        <is>
          <t>The Lost World: Jurassic Park</t>
        </is>
      </c>
      <c r="F4225" t="inlineStr">
        <is>
          <t>F0177</t>
        </is>
      </c>
    </row>
    <row r="4226">
      <c r="A4226" t="inlineStr">
        <is>
          <t>Harvey Jason</t>
        </is>
      </c>
      <c r="B4226" t="n">
        <v>1</v>
      </c>
      <c r="C4226" t="n">
        <v>1997</v>
      </c>
      <c r="D4226" t="n">
        <v>1997</v>
      </c>
      <c r="E4226" t="inlineStr">
        <is>
          <t>The Lost World: Jurassic Park</t>
        </is>
      </c>
      <c r="F4226" t="inlineStr">
        <is>
          <t>F0177</t>
        </is>
      </c>
    </row>
    <row r="4227">
      <c r="A4227" t="inlineStr">
        <is>
          <t>Richard Schiff</t>
        </is>
      </c>
      <c r="B4227" t="n">
        <v>2</v>
      </c>
      <c r="C4227" t="n">
        <v>1997</v>
      </c>
      <c r="D4227" t="n">
        <v>2013</v>
      </c>
      <c r="E4227" t="inlineStr">
        <is>
          <t>The Lost World: Jurassic Park, Man of Steel</t>
        </is>
      </c>
      <c r="F4227" t="inlineStr">
        <is>
          <t>F0177, F0211</t>
        </is>
      </c>
    </row>
    <row r="4228">
      <c r="A4228" t="inlineStr">
        <is>
          <t>Thomas F. Duffy</t>
        </is>
      </c>
      <c r="B4228" t="n">
        <v>1</v>
      </c>
      <c r="C4228" t="n">
        <v>1997</v>
      </c>
      <c r="D4228" t="n">
        <v>1997</v>
      </c>
      <c r="E4228" t="inlineStr">
        <is>
          <t>The Lost World: Jurassic Park</t>
        </is>
      </c>
      <c r="F4228" t="inlineStr">
        <is>
          <t>F0177</t>
        </is>
      </c>
    </row>
    <row r="4229">
      <c r="A4229" t="inlineStr">
        <is>
          <t>Camilla Belle</t>
        </is>
      </c>
      <c r="B4229" t="n">
        <v>1</v>
      </c>
      <c r="C4229" t="n">
        <v>1997</v>
      </c>
      <c r="D4229" t="n">
        <v>1997</v>
      </c>
      <c r="E4229" t="inlineStr">
        <is>
          <t>The Lost World: Jurassic Park</t>
        </is>
      </c>
      <c r="F4229" t="inlineStr">
        <is>
          <t>F0177</t>
        </is>
      </c>
    </row>
    <row r="4230">
      <c r="A4230" t="inlineStr">
        <is>
          <t>Cyd Strittmatter</t>
        </is>
      </c>
      <c r="B4230" t="n">
        <v>1</v>
      </c>
      <c r="C4230" t="n">
        <v>1997</v>
      </c>
      <c r="D4230" t="n">
        <v>1997</v>
      </c>
      <c r="E4230" t="inlineStr">
        <is>
          <t>The Lost World: Jurassic Park</t>
        </is>
      </c>
      <c r="F4230" t="inlineStr">
        <is>
          <t>F0177</t>
        </is>
      </c>
    </row>
    <row r="4231">
      <c r="A4231" t="inlineStr">
        <is>
          <t>Robin Sachs</t>
        </is>
      </c>
      <c r="B4231" t="n">
        <v>1</v>
      </c>
      <c r="C4231" t="n">
        <v>1997</v>
      </c>
      <c r="D4231" t="n">
        <v>1997</v>
      </c>
      <c r="E4231" t="inlineStr">
        <is>
          <t>The Lost World: Jurassic Park</t>
        </is>
      </c>
      <c r="F4231" t="inlineStr">
        <is>
          <t>F0177</t>
        </is>
      </c>
    </row>
    <row r="4232">
      <c r="A4232" t="inlineStr">
        <is>
          <t>Ross Partridge</t>
        </is>
      </c>
      <c r="B4232" t="n">
        <v>1</v>
      </c>
      <c r="C4232" t="n">
        <v>1997</v>
      </c>
      <c r="D4232" t="n">
        <v>1997</v>
      </c>
      <c r="E4232" t="inlineStr">
        <is>
          <t>The Lost World: Jurassic Park</t>
        </is>
      </c>
      <c r="F4232" t="inlineStr">
        <is>
          <t>F0177</t>
        </is>
      </c>
    </row>
    <row r="4233">
      <c r="A4233" t="inlineStr">
        <is>
          <t>Ian Abercrombie</t>
        </is>
      </c>
      <c r="B4233" t="n">
        <v>1</v>
      </c>
      <c r="C4233" t="n">
        <v>1997</v>
      </c>
      <c r="D4233" t="n">
        <v>1997</v>
      </c>
      <c r="E4233" t="inlineStr">
        <is>
          <t>The Lost World: Jurassic Park</t>
        </is>
      </c>
      <c r="F4233" t="inlineStr">
        <is>
          <t>F0177</t>
        </is>
      </c>
    </row>
    <row r="4234">
      <c r="A4234" t="inlineStr">
        <is>
          <t>David Sawyer</t>
        </is>
      </c>
      <c r="B4234" t="n">
        <v>1</v>
      </c>
      <c r="C4234" t="n">
        <v>1997</v>
      </c>
      <c r="D4234" t="n">
        <v>1997</v>
      </c>
      <c r="E4234" t="inlineStr">
        <is>
          <t>The Lost World: Jurassic Park</t>
        </is>
      </c>
      <c r="F4234" t="inlineStr">
        <is>
          <t>F0177</t>
        </is>
      </c>
    </row>
    <row r="4235">
      <c r="A4235" t="inlineStr">
        <is>
          <t>Geno Silva</t>
        </is>
      </c>
      <c r="B4235" t="n">
        <v>1</v>
      </c>
      <c r="C4235" t="n">
        <v>1997</v>
      </c>
      <c r="D4235" t="n">
        <v>1997</v>
      </c>
      <c r="E4235" t="inlineStr">
        <is>
          <t>The Lost World: Jurassic Park</t>
        </is>
      </c>
      <c r="F4235" t="inlineStr">
        <is>
          <t>F0177</t>
        </is>
      </c>
    </row>
    <row r="4236">
      <c r="A4236" t="inlineStr">
        <is>
          <t>Alejandro Miranda</t>
        </is>
      </c>
      <c r="B4236" t="n">
        <v>1</v>
      </c>
      <c r="C4236" t="n">
        <v>1997</v>
      </c>
      <c r="D4236" t="n">
        <v>1997</v>
      </c>
      <c r="E4236" t="inlineStr">
        <is>
          <t>The Lost World: Jurassic Park</t>
        </is>
      </c>
      <c r="F4236" t="inlineStr">
        <is>
          <t>F0177</t>
        </is>
      </c>
    </row>
    <row r="4237">
      <c r="A4237" t="inlineStr">
        <is>
          <t>Robert 'Bobby Z' Zajonc</t>
        </is>
      </c>
      <c r="B4237" t="n">
        <v>1</v>
      </c>
      <c r="C4237" t="n">
        <v>1997</v>
      </c>
      <c r="D4237" t="n">
        <v>1997</v>
      </c>
      <c r="E4237" t="inlineStr">
        <is>
          <t>The Lost World: Jurassic Park</t>
        </is>
      </c>
      <c r="F4237" t="inlineStr">
        <is>
          <t>F0177</t>
        </is>
      </c>
    </row>
    <row r="4238">
      <c r="A4238" t="inlineStr">
        <is>
          <t>Bob Boehm</t>
        </is>
      </c>
      <c r="B4238" t="n">
        <v>1</v>
      </c>
      <c r="C4238" t="n">
        <v>1997</v>
      </c>
      <c r="D4238" t="n">
        <v>1997</v>
      </c>
      <c r="E4238" t="inlineStr">
        <is>
          <t>The Lost World: Jurassic Park</t>
        </is>
      </c>
      <c r="F4238" t="inlineStr">
        <is>
          <t>F0177</t>
        </is>
      </c>
    </row>
    <row r="4239">
      <c r="A4239" t="inlineStr">
        <is>
          <t>Bradley Jensen</t>
        </is>
      </c>
      <c r="B4239" t="n">
        <v>1</v>
      </c>
      <c r="C4239" t="n">
        <v>1997</v>
      </c>
      <c r="D4239" t="n">
        <v>1997</v>
      </c>
      <c r="E4239" t="inlineStr">
        <is>
          <t>The Lost World: Jurassic Park</t>
        </is>
      </c>
      <c r="F4239" t="inlineStr">
        <is>
          <t>F0177</t>
        </is>
      </c>
    </row>
    <row r="4240">
      <c r="A4240" t="inlineStr">
        <is>
          <t>Alan D. Purwin</t>
        </is>
      </c>
      <c r="B4240" t="n">
        <v>1</v>
      </c>
      <c r="C4240" t="n">
        <v>1997</v>
      </c>
      <c r="D4240" t="n">
        <v>1997</v>
      </c>
      <c r="E4240" t="inlineStr">
        <is>
          <t>The Lost World: Jurassic Park</t>
        </is>
      </c>
      <c r="F4240" t="inlineStr">
        <is>
          <t>F0177</t>
        </is>
      </c>
    </row>
    <row r="4241">
      <c r="A4241" t="inlineStr">
        <is>
          <t>Ben Skorstad</t>
        </is>
      </c>
      <c r="B4241" t="n">
        <v>1</v>
      </c>
      <c r="C4241" t="n">
        <v>1997</v>
      </c>
      <c r="D4241" t="n">
        <v>1997</v>
      </c>
      <c r="E4241" t="inlineStr">
        <is>
          <t>The Lost World: Jurassic Park</t>
        </is>
      </c>
      <c r="F4241" t="inlineStr">
        <is>
          <t>F0177</t>
        </is>
      </c>
    </row>
    <row r="4242">
      <c r="A4242" t="inlineStr">
        <is>
          <t>Rick Wheeler</t>
        </is>
      </c>
      <c r="B4242" t="n">
        <v>1</v>
      </c>
      <c r="C4242" t="n">
        <v>1997</v>
      </c>
      <c r="D4242" t="n">
        <v>1997</v>
      </c>
      <c r="E4242" t="inlineStr">
        <is>
          <t>The Lost World: Jurassic Park</t>
        </is>
      </c>
      <c r="F4242" t="inlineStr">
        <is>
          <t>F0177</t>
        </is>
      </c>
    </row>
    <row r="4243">
      <c r="A4243" t="inlineStr">
        <is>
          <t>Kenyon Williams</t>
        </is>
      </c>
      <c r="B4243" t="n">
        <v>1</v>
      </c>
      <c r="C4243" t="n">
        <v>1997</v>
      </c>
      <c r="D4243" t="n">
        <v>1997</v>
      </c>
      <c r="E4243" t="inlineStr">
        <is>
          <t>The Lost World: Jurassic Park</t>
        </is>
      </c>
      <c r="F4243" t="inlineStr">
        <is>
          <t>F0177</t>
        </is>
      </c>
    </row>
    <row r="4244">
      <c r="A4244" t="inlineStr">
        <is>
          <t>Christopher Caso</t>
        </is>
      </c>
      <c r="B4244" t="n">
        <v>1</v>
      </c>
      <c r="C4244" t="n">
        <v>1997</v>
      </c>
      <c r="D4244" t="n">
        <v>1997</v>
      </c>
      <c r="E4244" t="inlineStr">
        <is>
          <t>The Lost World: Jurassic Park</t>
        </is>
      </c>
      <c r="F4244" t="inlineStr">
        <is>
          <t>F0177</t>
        </is>
      </c>
    </row>
    <row r="4245">
      <c r="A4245" t="inlineStr">
        <is>
          <t>Michael Jeter</t>
        </is>
      </c>
      <c r="B4245" t="n">
        <v>1</v>
      </c>
      <c r="C4245" t="n">
        <v>2001</v>
      </c>
      <c r="D4245" t="n">
        <v>2001</v>
      </c>
      <c r="E4245" t="inlineStr">
        <is>
          <t>Jurassic Park III</t>
        </is>
      </c>
      <c r="F4245" t="inlineStr">
        <is>
          <t>F0178</t>
        </is>
      </c>
    </row>
    <row r="4246">
      <c r="A4246" t="inlineStr">
        <is>
          <t>John Diehl</t>
        </is>
      </c>
      <c r="B4246" t="n">
        <v>1</v>
      </c>
      <c r="C4246" t="n">
        <v>2001</v>
      </c>
      <c r="D4246" t="n">
        <v>2001</v>
      </c>
      <c r="E4246" t="inlineStr">
        <is>
          <t>Jurassic Park III</t>
        </is>
      </c>
      <c r="F4246" t="inlineStr">
        <is>
          <t>F0178</t>
        </is>
      </c>
    </row>
    <row r="4247">
      <c r="A4247" t="inlineStr">
        <is>
          <t>Bruce A. Young</t>
        </is>
      </c>
      <c r="B4247" t="n">
        <v>1</v>
      </c>
      <c r="C4247" t="n">
        <v>2001</v>
      </c>
      <c r="D4247" t="n">
        <v>2001</v>
      </c>
      <c r="E4247" t="inlineStr">
        <is>
          <t>Jurassic Park III</t>
        </is>
      </c>
      <c r="F4247" t="inlineStr">
        <is>
          <t>F0178</t>
        </is>
      </c>
    </row>
    <row r="4248">
      <c r="A4248" t="inlineStr">
        <is>
          <t>Taylor Nichols</t>
        </is>
      </c>
      <c r="B4248" t="n">
        <v>1</v>
      </c>
      <c r="C4248" t="n">
        <v>2001</v>
      </c>
      <c r="D4248" t="n">
        <v>2001</v>
      </c>
      <c r="E4248" t="inlineStr">
        <is>
          <t>Jurassic Park III</t>
        </is>
      </c>
      <c r="F4248" t="inlineStr">
        <is>
          <t>F0178</t>
        </is>
      </c>
    </row>
    <row r="4249">
      <c r="A4249" t="inlineStr">
        <is>
          <t>Mark Harelik</t>
        </is>
      </c>
      <c r="B4249" t="n">
        <v>1</v>
      </c>
      <c r="C4249" t="n">
        <v>2001</v>
      </c>
      <c r="D4249" t="n">
        <v>2001</v>
      </c>
      <c r="E4249" t="inlineStr">
        <is>
          <t>Jurassic Park III</t>
        </is>
      </c>
      <c r="F4249" t="inlineStr">
        <is>
          <t>F0178</t>
        </is>
      </c>
    </row>
    <row r="4250">
      <c r="A4250" t="inlineStr">
        <is>
          <t>Blake Michael Bryan</t>
        </is>
      </c>
      <c r="B4250" t="n">
        <v>1</v>
      </c>
      <c r="C4250" t="n">
        <v>2001</v>
      </c>
      <c r="D4250" t="n">
        <v>2001</v>
      </c>
      <c r="E4250" t="inlineStr">
        <is>
          <t>Jurassic Park III</t>
        </is>
      </c>
      <c r="F4250" t="inlineStr">
        <is>
          <t>F0178</t>
        </is>
      </c>
    </row>
    <row r="4251">
      <c r="A4251" t="inlineStr">
        <is>
          <t>Sarah Danielle Madison</t>
        </is>
      </c>
      <c r="B4251" t="n">
        <v>1</v>
      </c>
      <c r="C4251" t="n">
        <v>2001</v>
      </c>
      <c r="D4251" t="n">
        <v>2001</v>
      </c>
      <c r="E4251" t="inlineStr">
        <is>
          <t>Jurassic Park III</t>
        </is>
      </c>
      <c r="F4251" t="inlineStr">
        <is>
          <t>F0178</t>
        </is>
      </c>
    </row>
    <row r="4252">
      <c r="A4252" t="inlineStr">
        <is>
          <t>Linda Park</t>
        </is>
      </c>
      <c r="B4252" t="n">
        <v>1</v>
      </c>
      <c r="C4252" t="n">
        <v>2001</v>
      </c>
      <c r="D4252" t="n">
        <v>2001</v>
      </c>
      <c r="E4252" t="inlineStr">
        <is>
          <t>Jurassic Park III</t>
        </is>
      </c>
      <c r="F4252" t="inlineStr">
        <is>
          <t>F0178</t>
        </is>
      </c>
    </row>
    <row r="4253">
      <c r="A4253" t="inlineStr">
        <is>
          <t>Sonia Jackson</t>
        </is>
      </c>
      <c r="B4253" t="n">
        <v>1</v>
      </c>
      <c r="C4253" t="n">
        <v>2001</v>
      </c>
      <c r="D4253" t="n">
        <v>2001</v>
      </c>
      <c r="E4253" t="inlineStr">
        <is>
          <t>Jurassic Park III</t>
        </is>
      </c>
      <c r="F4253" t="inlineStr">
        <is>
          <t>F0178</t>
        </is>
      </c>
    </row>
    <row r="4254">
      <c r="A4254" t="inlineStr">
        <is>
          <t>Bruce French</t>
        </is>
      </c>
      <c r="B4254" t="n">
        <v>2</v>
      </c>
      <c r="C4254" t="n">
        <v>2001</v>
      </c>
      <c r="D4254" t="n">
        <v>2006</v>
      </c>
      <c r="E4254" t="inlineStr">
        <is>
          <t>Jurassic Park III, Mission: Impossible III</t>
        </is>
      </c>
      <c r="F4254" t="inlineStr">
        <is>
          <t>F0178, F0223</t>
        </is>
      </c>
    </row>
    <row r="4255">
      <c r="A4255" t="inlineStr">
        <is>
          <t>Bernard Zilinskas</t>
        </is>
      </c>
      <c r="B4255" t="n">
        <v>1</v>
      </c>
      <c r="C4255" t="n">
        <v>2001</v>
      </c>
      <c r="D4255" t="n">
        <v>2001</v>
      </c>
      <c r="E4255" t="inlineStr">
        <is>
          <t>Jurassic Park III</t>
        </is>
      </c>
      <c r="F4255" t="inlineStr">
        <is>
          <t>F0178</t>
        </is>
      </c>
    </row>
    <row r="4256">
      <c r="A4256" t="inlineStr">
        <is>
          <t>Rona Benson</t>
        </is>
      </c>
      <c r="B4256" t="n">
        <v>1</v>
      </c>
      <c r="C4256" t="n">
        <v>2001</v>
      </c>
      <c r="D4256" t="n">
        <v>2001</v>
      </c>
      <c r="E4256" t="inlineStr">
        <is>
          <t>Jurassic Park III</t>
        </is>
      </c>
      <c r="F4256" t="inlineStr">
        <is>
          <t>F0178</t>
        </is>
      </c>
    </row>
    <row r="4257">
      <c r="A4257" t="inlineStr">
        <is>
          <t>Frank Clem</t>
        </is>
      </c>
      <c r="B4257" t="n">
        <v>1</v>
      </c>
      <c r="C4257" t="n">
        <v>2001</v>
      </c>
      <c r="D4257" t="n">
        <v>2001</v>
      </c>
      <c r="E4257" t="inlineStr">
        <is>
          <t>Jurassic Park III</t>
        </is>
      </c>
      <c r="F4257" t="inlineStr">
        <is>
          <t>F0178</t>
        </is>
      </c>
    </row>
    <row r="4258">
      <c r="A4258" t="inlineStr">
        <is>
          <t>Sean Coffey</t>
        </is>
      </c>
      <c r="B4258" t="n">
        <v>1</v>
      </c>
      <c r="C4258" t="n">
        <v>2001</v>
      </c>
      <c r="D4258" t="n">
        <v>2001</v>
      </c>
      <c r="E4258" t="inlineStr">
        <is>
          <t>Jurassic Park III</t>
        </is>
      </c>
      <c r="F4258" t="inlineStr">
        <is>
          <t>F0178</t>
        </is>
      </c>
    </row>
    <row r="4259">
      <c r="A4259" t="inlineStr">
        <is>
          <t>Karin M. Gaarder</t>
        </is>
      </c>
      <c r="B4259" t="n">
        <v>1</v>
      </c>
      <c r="C4259" t="n">
        <v>2001</v>
      </c>
      <c r="D4259" t="n">
        <v>2001</v>
      </c>
      <c r="E4259" t="inlineStr">
        <is>
          <t>Jurassic Park III</t>
        </is>
      </c>
      <c r="F4259" t="inlineStr">
        <is>
          <t>F0178</t>
        </is>
      </c>
    </row>
    <row r="4260">
      <c r="A4260" t="inlineStr">
        <is>
          <t>Edward C. Gillow</t>
        </is>
      </c>
      <c r="B4260" t="n">
        <v>1</v>
      </c>
      <c r="C4260" t="n">
        <v>2001</v>
      </c>
      <c r="D4260" t="n">
        <v>2001</v>
      </c>
      <c r="E4260" t="inlineStr">
        <is>
          <t>Jurassic Park III</t>
        </is>
      </c>
      <c r="F4260" t="inlineStr">
        <is>
          <t>F0178</t>
        </is>
      </c>
    </row>
    <row r="4261">
      <c r="A4261" t="inlineStr">
        <is>
          <t>Craig Richards</t>
        </is>
      </c>
      <c r="B4261" t="n">
        <v>1</v>
      </c>
      <c r="C4261" t="n">
        <v>2001</v>
      </c>
      <c r="D4261" t="n">
        <v>2001</v>
      </c>
      <c r="E4261" t="inlineStr">
        <is>
          <t>Jurassic Park III</t>
        </is>
      </c>
      <c r="F4261" t="inlineStr">
        <is>
          <t>F0178</t>
        </is>
      </c>
    </row>
    <row r="4262">
      <c r="A4262" t="inlineStr">
        <is>
          <t>Brad Everett Young</t>
        </is>
      </c>
      <c r="B4262" t="n">
        <v>1</v>
      </c>
      <c r="C4262" t="n">
        <v>2001</v>
      </c>
      <c r="D4262" t="n">
        <v>2001</v>
      </c>
      <c r="E4262" t="inlineStr">
        <is>
          <t>Jurassic Park III</t>
        </is>
      </c>
      <c r="F4262" t="inlineStr">
        <is>
          <t>F0178</t>
        </is>
      </c>
    </row>
    <row r="4263">
      <c r="A4263" t="inlineStr">
        <is>
          <t>Nick Robinson</t>
        </is>
      </c>
      <c r="B4263" t="n">
        <v>1</v>
      </c>
      <c r="C4263" t="n">
        <v>2015</v>
      </c>
      <c r="D4263" t="n">
        <v>2015</v>
      </c>
      <c r="E4263" t="inlineStr">
        <is>
          <t>Jurassic World</t>
        </is>
      </c>
      <c r="F4263" t="inlineStr">
        <is>
          <t>F0179</t>
        </is>
      </c>
    </row>
    <row r="4264">
      <c r="A4264" t="inlineStr">
        <is>
          <t>Omar Sy</t>
        </is>
      </c>
      <c r="B4264" t="n">
        <v>3</v>
      </c>
      <c r="C4264" t="n">
        <v>2014</v>
      </c>
      <c r="D4264" t="n">
        <v>2022</v>
      </c>
      <c r="E4264" t="inlineStr">
        <is>
          <t>Jurassic World, Jurassic World Dominion, X-Men: Days of Future Past</t>
        </is>
      </c>
      <c r="F4264" t="inlineStr">
        <is>
          <t>F0179, F0181, F0341</t>
        </is>
      </c>
    </row>
    <row r="4265">
      <c r="A4265" t="inlineStr">
        <is>
          <t>Judy Greer</t>
        </is>
      </c>
      <c r="B4265" t="n">
        <v>3</v>
      </c>
      <c r="C4265" t="n">
        <v>2014</v>
      </c>
      <c r="D4265" t="n">
        <v>2017</v>
      </c>
      <c r="E4265" t="inlineStr">
        <is>
          <t>Jurassic World, Dawn of the Planet of the Apes, War for the Planet of the Apes</t>
        </is>
      </c>
      <c r="F4265" t="inlineStr">
        <is>
          <t>F0179, F0254, F0255</t>
        </is>
      </c>
    </row>
    <row r="4266">
      <c r="A4266" t="inlineStr">
        <is>
          <t>Lauren Lapkus</t>
        </is>
      </c>
      <c r="B4266" t="n">
        <v>1</v>
      </c>
      <c r="C4266" t="n">
        <v>2015</v>
      </c>
      <c r="D4266" t="n">
        <v>2015</v>
      </c>
      <c r="E4266" t="inlineStr">
        <is>
          <t>Jurassic World</t>
        </is>
      </c>
      <c r="F4266" t="inlineStr">
        <is>
          <t>F0179</t>
        </is>
      </c>
    </row>
    <row r="4267">
      <c r="A4267" t="inlineStr">
        <is>
          <t>Katie McGrath</t>
        </is>
      </c>
      <c r="B4267" t="n">
        <v>1</v>
      </c>
      <c r="C4267" t="n">
        <v>2015</v>
      </c>
      <c r="D4267" t="n">
        <v>2015</v>
      </c>
      <c r="E4267" t="inlineStr">
        <is>
          <t>Jurassic World</t>
        </is>
      </c>
      <c r="F4267" t="inlineStr">
        <is>
          <t>F0179</t>
        </is>
      </c>
    </row>
    <row r="4268">
      <c r="A4268" t="inlineStr">
        <is>
          <t>Eric Edelstein</t>
        </is>
      </c>
      <c r="B4268" t="n">
        <v>1</v>
      </c>
      <c r="C4268" t="n">
        <v>2015</v>
      </c>
      <c r="D4268" t="n">
        <v>2015</v>
      </c>
      <c r="E4268" t="inlineStr">
        <is>
          <t>Jurassic World</t>
        </is>
      </c>
      <c r="F4268" t="inlineStr">
        <is>
          <t>F0179</t>
        </is>
      </c>
    </row>
    <row r="4269">
      <c r="A4269" t="inlineStr">
        <is>
          <t>Courtney James Clark</t>
        </is>
      </c>
      <c r="B4269" t="n">
        <v>1</v>
      </c>
      <c r="C4269" t="n">
        <v>2015</v>
      </c>
      <c r="D4269" t="n">
        <v>2015</v>
      </c>
      <c r="E4269" t="inlineStr">
        <is>
          <t>Jurassic World</t>
        </is>
      </c>
      <c r="F4269" t="inlineStr">
        <is>
          <t>F0179</t>
        </is>
      </c>
    </row>
    <row r="4270">
      <c r="A4270" t="inlineStr">
        <is>
          <t>Colby Boothman-Shepard</t>
        </is>
      </c>
      <c r="B4270" t="n">
        <v>1</v>
      </c>
      <c r="C4270" t="n">
        <v>2015</v>
      </c>
      <c r="D4270" t="n">
        <v>2015</v>
      </c>
      <c r="E4270" t="inlineStr">
        <is>
          <t>Jurassic World</t>
        </is>
      </c>
      <c r="F4270" t="inlineStr">
        <is>
          <t>F0179</t>
        </is>
      </c>
    </row>
    <row r="4271">
      <c r="A4271" t="inlineStr">
        <is>
          <t>Jimmy Fallon</t>
        </is>
      </c>
      <c r="B4271" t="n">
        <v>1</v>
      </c>
      <c r="C4271" t="n">
        <v>2015</v>
      </c>
      <c r="D4271" t="n">
        <v>2015</v>
      </c>
      <c r="E4271" t="inlineStr">
        <is>
          <t>Jurassic World</t>
        </is>
      </c>
      <c r="F4271" t="inlineStr">
        <is>
          <t>F0179</t>
        </is>
      </c>
    </row>
    <row r="4272">
      <c r="A4272" t="inlineStr">
        <is>
          <t>James DuMont</t>
        </is>
      </c>
      <c r="B4272" t="n">
        <v>1</v>
      </c>
      <c r="C4272" t="n">
        <v>2015</v>
      </c>
      <c r="D4272" t="n">
        <v>2015</v>
      </c>
      <c r="E4272" t="inlineStr">
        <is>
          <t>Jurassic World</t>
        </is>
      </c>
      <c r="F4272" t="inlineStr">
        <is>
          <t>F0179</t>
        </is>
      </c>
    </row>
    <row r="4273">
      <c r="A4273" t="inlineStr">
        <is>
          <t>Matt Burke</t>
        </is>
      </c>
      <c r="B4273" t="n">
        <v>1</v>
      </c>
      <c r="C4273" t="n">
        <v>2015</v>
      </c>
      <c r="D4273" t="n">
        <v>2015</v>
      </c>
      <c r="E4273" t="inlineStr">
        <is>
          <t>Jurassic World</t>
        </is>
      </c>
      <c r="F4273" t="inlineStr">
        <is>
          <t>F0179</t>
        </is>
      </c>
    </row>
    <row r="4274">
      <c r="A4274" t="inlineStr">
        <is>
          <t>Anna Talakkottur</t>
        </is>
      </c>
      <c r="B4274" t="n">
        <v>1</v>
      </c>
      <c r="C4274" t="n">
        <v>2015</v>
      </c>
      <c r="D4274" t="n">
        <v>2015</v>
      </c>
      <c r="E4274" t="inlineStr">
        <is>
          <t>Jurassic World</t>
        </is>
      </c>
      <c r="F4274" t="inlineStr">
        <is>
          <t>F0179</t>
        </is>
      </c>
    </row>
    <row r="4275">
      <c r="A4275" t="inlineStr">
        <is>
          <t>Matty Cardarople</t>
        </is>
      </c>
      <c r="B4275" t="n">
        <v>1</v>
      </c>
      <c r="C4275" t="n">
        <v>2015</v>
      </c>
      <c r="D4275" t="n">
        <v>2015</v>
      </c>
      <c r="E4275" t="inlineStr">
        <is>
          <t>Jurassic World</t>
        </is>
      </c>
      <c r="F4275" t="inlineStr">
        <is>
          <t>F0179</t>
        </is>
      </c>
    </row>
    <row r="4276">
      <c r="A4276" t="inlineStr">
        <is>
          <t>Michael Papajohn</t>
        </is>
      </c>
      <c r="B4276" t="n">
        <v>6</v>
      </c>
      <c r="C4276" t="n">
        <v>2002</v>
      </c>
      <c r="D4276" t="n">
        <v>2015</v>
      </c>
      <c r="E4276" t="inlineStr">
        <is>
          <t>Jurassic World, Dawn of the Planet of the Apes, Spider-Man, Spider-Man 3, Terminator Salvation, Transformers: Revenge of the Fallen</t>
        </is>
      </c>
      <c r="F4276" t="inlineStr">
        <is>
          <t>F0179, F0254, F0287, F0289, F0310, F0317</t>
        </is>
      </c>
    </row>
    <row r="4277">
      <c r="A4277" t="inlineStr">
        <is>
          <t>William Gary Smith</t>
        </is>
      </c>
      <c r="B4277" t="n">
        <v>1</v>
      </c>
      <c r="C4277" t="n">
        <v>2015</v>
      </c>
      <c r="D4277" t="n">
        <v>2015</v>
      </c>
      <c r="E4277" t="inlineStr">
        <is>
          <t>Jurassic World</t>
        </is>
      </c>
      <c r="F4277" t="inlineStr">
        <is>
          <t>F0179</t>
        </is>
      </c>
    </row>
    <row r="4278">
      <c r="A4278" t="inlineStr">
        <is>
          <t>Kelly Washington</t>
        </is>
      </c>
      <c r="B4278" t="n">
        <v>1</v>
      </c>
      <c r="C4278" t="n">
        <v>2015</v>
      </c>
      <c r="D4278" t="n">
        <v>2015</v>
      </c>
      <c r="E4278" t="inlineStr">
        <is>
          <t>Jurassic World</t>
        </is>
      </c>
      <c r="F4278" t="inlineStr">
        <is>
          <t>F0179</t>
        </is>
      </c>
    </row>
    <row r="4279">
      <c r="A4279" t="inlineStr">
        <is>
          <t>Isaac Keys</t>
        </is>
      </c>
      <c r="B4279" t="n">
        <v>1</v>
      </c>
      <c r="C4279" t="n">
        <v>2015</v>
      </c>
      <c r="D4279" t="n">
        <v>2015</v>
      </c>
      <c r="E4279" t="inlineStr">
        <is>
          <t>Jurassic World</t>
        </is>
      </c>
      <c r="F4279" t="inlineStr">
        <is>
          <t>F0179</t>
        </is>
      </c>
    </row>
    <row r="4280">
      <c r="A4280" t="inlineStr">
        <is>
          <t>Bill Ogilvie</t>
        </is>
      </c>
      <c r="B4280" t="n">
        <v>1</v>
      </c>
      <c r="C4280" t="n">
        <v>2015</v>
      </c>
      <c r="D4280" t="n">
        <v>2015</v>
      </c>
      <c r="E4280" t="inlineStr">
        <is>
          <t>Jurassic World</t>
        </is>
      </c>
      <c r="F4280" t="inlineStr">
        <is>
          <t>F0179</t>
        </is>
      </c>
    </row>
    <row r="4281">
      <c r="A4281" t="inlineStr">
        <is>
          <t>Geraldine Chaplin</t>
        </is>
      </c>
      <c r="B4281" t="n">
        <v>1</v>
      </c>
      <c r="C4281" t="n">
        <v>2018</v>
      </c>
      <c r="D4281" t="n">
        <v>2018</v>
      </c>
      <c r="E4281" t="inlineStr">
        <is>
          <t>Jurassic World: Fallen Kingdom</t>
        </is>
      </c>
      <c r="F4281" t="inlineStr">
        <is>
          <t>F0180</t>
        </is>
      </c>
    </row>
    <row r="4282">
      <c r="A4282" t="inlineStr">
        <is>
          <t>Isabella Sermon</t>
        </is>
      </c>
      <c r="B4282" t="n">
        <v>2</v>
      </c>
      <c r="C4282" t="n">
        <v>2018</v>
      </c>
      <c r="D4282" t="n">
        <v>2022</v>
      </c>
      <c r="E4282" t="inlineStr">
        <is>
          <t>Jurassic World: Fallen Kingdom, Jurassic World Dominion</t>
        </is>
      </c>
      <c r="F4282" t="inlineStr">
        <is>
          <t>F0180, F0181</t>
        </is>
      </c>
    </row>
    <row r="4283">
      <c r="A4283" t="inlineStr">
        <is>
          <t>Robert Emms</t>
        </is>
      </c>
      <c r="B4283" t="n">
        <v>2</v>
      </c>
      <c r="C4283" t="n">
        <v>2013</v>
      </c>
      <c r="D4283" t="n">
        <v>2018</v>
      </c>
      <c r="E4283" t="inlineStr">
        <is>
          <t>Jurassic World: Fallen Kingdom, Kick-Ass 2</t>
        </is>
      </c>
      <c r="F4283" t="inlineStr">
        <is>
          <t>F0180, F0186</t>
        </is>
      </c>
    </row>
    <row r="4284">
      <c r="A4284" t="inlineStr">
        <is>
          <t>Peter Jason</t>
        </is>
      </c>
      <c r="B4284" t="n">
        <v>1</v>
      </c>
      <c r="C4284" t="n">
        <v>2018</v>
      </c>
      <c r="D4284" t="n">
        <v>2018</v>
      </c>
      <c r="E4284" t="inlineStr">
        <is>
          <t>Jurassic World: Fallen Kingdom</t>
        </is>
      </c>
      <c r="F4284" t="inlineStr">
        <is>
          <t>F0180</t>
        </is>
      </c>
    </row>
    <row r="4285">
      <c r="A4285" t="inlineStr">
        <is>
          <t>Kevin Layne</t>
        </is>
      </c>
      <c r="B4285" t="n">
        <v>1</v>
      </c>
      <c r="C4285" t="n">
        <v>2018</v>
      </c>
      <c r="D4285" t="n">
        <v>2018</v>
      </c>
      <c r="E4285" t="inlineStr">
        <is>
          <t>Jurassic World: Fallen Kingdom</t>
        </is>
      </c>
      <c r="F4285" t="inlineStr">
        <is>
          <t>F0180</t>
        </is>
      </c>
    </row>
    <row r="4286">
      <c r="A4286" t="inlineStr">
        <is>
          <t>John Schwab</t>
        </is>
      </c>
      <c r="B4286" t="n">
        <v>2</v>
      </c>
      <c r="C4286" t="n">
        <v>2012</v>
      </c>
      <c r="D4286" t="n">
        <v>2018</v>
      </c>
      <c r="E4286" t="inlineStr">
        <is>
          <t>Jurassic World: Fallen Kingdom, Zero Dark Thirty</t>
        </is>
      </c>
      <c r="F4286" t="inlineStr">
        <is>
          <t>F0180, F0349</t>
        </is>
      </c>
    </row>
    <row r="4287">
      <c r="A4287" t="inlineStr">
        <is>
          <t>Charlie Rawes</t>
        </is>
      </c>
      <c r="B4287" t="n">
        <v>1</v>
      </c>
      <c r="C4287" t="n">
        <v>2018</v>
      </c>
      <c r="D4287" t="n">
        <v>2018</v>
      </c>
      <c r="E4287" t="inlineStr">
        <is>
          <t>Jurassic World: Fallen Kingdom</t>
        </is>
      </c>
      <c r="F4287" t="inlineStr">
        <is>
          <t>F0180</t>
        </is>
      </c>
    </row>
    <row r="4288">
      <c r="A4288" t="inlineStr">
        <is>
          <t>Alex Dower</t>
        </is>
      </c>
      <c r="B4288" t="n">
        <v>1</v>
      </c>
      <c r="C4288" t="n">
        <v>2018</v>
      </c>
      <c r="D4288" t="n">
        <v>2018</v>
      </c>
      <c r="E4288" t="inlineStr">
        <is>
          <t>Jurassic World: Fallen Kingdom</t>
        </is>
      </c>
      <c r="F4288" t="inlineStr">
        <is>
          <t>F0180</t>
        </is>
      </c>
    </row>
    <row r="4289">
      <c r="A4289" t="inlineStr">
        <is>
          <t>Honey Holmes</t>
        </is>
      </c>
      <c r="B4289" t="n">
        <v>1</v>
      </c>
      <c r="C4289" t="n">
        <v>2018</v>
      </c>
      <c r="D4289" t="n">
        <v>2018</v>
      </c>
      <c r="E4289" t="inlineStr">
        <is>
          <t>Jurassic World: Fallen Kingdom</t>
        </is>
      </c>
      <c r="F4289" t="inlineStr">
        <is>
          <t>F0180</t>
        </is>
      </c>
    </row>
    <row r="4290">
      <c r="A4290" t="inlineStr">
        <is>
          <t>Neil Bishop</t>
        </is>
      </c>
      <c r="B4290" t="n">
        <v>1</v>
      </c>
      <c r="C4290" t="n">
        <v>2018</v>
      </c>
      <c r="D4290" t="n">
        <v>2018</v>
      </c>
      <c r="E4290" t="inlineStr">
        <is>
          <t>Jurassic World: Fallen Kingdom</t>
        </is>
      </c>
      <c r="F4290" t="inlineStr">
        <is>
          <t>F0180</t>
        </is>
      </c>
    </row>
    <row r="4291">
      <c r="A4291" t="inlineStr">
        <is>
          <t>Philippa Thomas</t>
        </is>
      </c>
      <c r="B4291" t="n">
        <v>1</v>
      </c>
      <c r="C4291" t="n">
        <v>2018</v>
      </c>
      <c r="D4291" t="n">
        <v>2018</v>
      </c>
      <c r="E4291" t="inlineStr">
        <is>
          <t>Jurassic World: Fallen Kingdom</t>
        </is>
      </c>
      <c r="F4291" t="inlineStr">
        <is>
          <t>F0180</t>
        </is>
      </c>
    </row>
    <row r="4292">
      <c r="A4292" t="inlineStr">
        <is>
          <t>Ronan Summers</t>
        </is>
      </c>
      <c r="B4292" t="n">
        <v>1</v>
      </c>
      <c r="C4292" t="n">
        <v>2018</v>
      </c>
      <c r="D4292" t="n">
        <v>2018</v>
      </c>
      <c r="E4292" t="inlineStr">
        <is>
          <t>Jurassic World: Fallen Kingdom</t>
        </is>
      </c>
      <c r="F4292" t="inlineStr">
        <is>
          <t>F0180</t>
        </is>
      </c>
    </row>
    <row r="4293">
      <c r="A4293" t="inlineStr">
        <is>
          <t>Cory Peterson</t>
        </is>
      </c>
      <c r="B4293" t="n">
        <v>1</v>
      </c>
      <c r="C4293" t="n">
        <v>2018</v>
      </c>
      <c r="D4293" t="n">
        <v>2018</v>
      </c>
      <c r="E4293" t="inlineStr">
        <is>
          <t>Jurassic World: Fallen Kingdom</t>
        </is>
      </c>
      <c r="F4293" t="inlineStr">
        <is>
          <t>F0180</t>
        </is>
      </c>
    </row>
    <row r="4294">
      <c r="A4294" t="inlineStr">
        <is>
          <t>Jeremy Gilbert</t>
        </is>
      </c>
      <c r="B4294" t="n">
        <v>1</v>
      </c>
      <c r="C4294" t="n">
        <v>2018</v>
      </c>
      <c r="D4294" t="n">
        <v>2018</v>
      </c>
      <c r="E4294" t="inlineStr">
        <is>
          <t>Jurassic World: Fallen Kingdom</t>
        </is>
      </c>
      <c r="F4294" t="inlineStr">
        <is>
          <t>F0180</t>
        </is>
      </c>
    </row>
    <row r="4295">
      <c r="A4295" t="inlineStr">
        <is>
          <t>Daryl Kwan</t>
        </is>
      </c>
      <c r="B4295" t="n">
        <v>1</v>
      </c>
      <c r="C4295" t="n">
        <v>2018</v>
      </c>
      <c r="D4295" t="n">
        <v>2018</v>
      </c>
      <c r="E4295" t="inlineStr">
        <is>
          <t>Jurassic World: Fallen Kingdom</t>
        </is>
      </c>
      <c r="F4295" t="inlineStr">
        <is>
          <t>F0180</t>
        </is>
      </c>
    </row>
    <row r="4296">
      <c r="A4296" t="inlineStr">
        <is>
          <t>Ben Peel</t>
        </is>
      </c>
      <c r="B4296" t="n">
        <v>1</v>
      </c>
      <c r="C4296" t="n">
        <v>2018</v>
      </c>
      <c r="D4296" t="n">
        <v>2018</v>
      </c>
      <c r="E4296" t="inlineStr">
        <is>
          <t>Jurassic World: Fallen Kingdom</t>
        </is>
      </c>
      <c r="F4296" t="inlineStr">
        <is>
          <t>F0180</t>
        </is>
      </c>
    </row>
    <row r="4297">
      <c r="A4297" t="inlineStr">
        <is>
          <t>DeWanda Wise</t>
        </is>
      </c>
      <c r="B4297" t="n">
        <v>1</v>
      </c>
      <c r="C4297" t="n">
        <v>2022</v>
      </c>
      <c r="D4297" t="n">
        <v>2022</v>
      </c>
      <c r="E4297" t="inlineStr">
        <is>
          <t>Jurassic World Dominion</t>
        </is>
      </c>
      <c r="F4297" t="inlineStr">
        <is>
          <t>F0181</t>
        </is>
      </c>
    </row>
    <row r="4298">
      <c r="A4298" t="inlineStr">
        <is>
          <t>Mamoudou Athie</t>
        </is>
      </c>
      <c r="B4298" t="n">
        <v>1</v>
      </c>
      <c r="C4298" t="n">
        <v>2022</v>
      </c>
      <c r="D4298" t="n">
        <v>2022</v>
      </c>
      <c r="E4298" t="inlineStr">
        <is>
          <t>Jurassic World Dominion</t>
        </is>
      </c>
      <c r="F4298" t="inlineStr">
        <is>
          <t>F0181</t>
        </is>
      </c>
    </row>
    <row r="4299">
      <c r="A4299" t="inlineStr">
        <is>
          <t>Scott Haze</t>
        </is>
      </c>
      <c r="B4299" t="n">
        <v>1</v>
      </c>
      <c r="C4299" t="n">
        <v>2022</v>
      </c>
      <c r="D4299" t="n">
        <v>2022</v>
      </c>
      <c r="E4299" t="inlineStr">
        <is>
          <t>Jurassic World Dominion</t>
        </is>
      </c>
      <c r="F4299" t="inlineStr">
        <is>
          <t>F0181</t>
        </is>
      </c>
    </row>
    <row r="4300">
      <c r="A4300" t="inlineStr">
        <is>
          <t>Dichen Lachman</t>
        </is>
      </c>
      <c r="B4300" t="n">
        <v>2</v>
      </c>
      <c r="C4300" t="n">
        <v>2022</v>
      </c>
      <c r="D4300" t="n">
        <v>2024</v>
      </c>
      <c r="E4300" t="inlineStr">
        <is>
          <t>Jurassic World Dominion, Kingdom of the Planet of the Apes</t>
        </is>
      </c>
      <c r="F4300" t="inlineStr">
        <is>
          <t>F0181, F0256</t>
        </is>
      </c>
    </row>
    <row r="4301">
      <c r="A4301" t="inlineStr">
        <is>
          <t>Kristoffer Polaha</t>
        </is>
      </c>
      <c r="B4301" t="n">
        <v>1</v>
      </c>
      <c r="C4301" t="n">
        <v>2022</v>
      </c>
      <c r="D4301" t="n">
        <v>2022</v>
      </c>
      <c r="E4301" t="inlineStr">
        <is>
          <t>Jurassic World Dominion</t>
        </is>
      </c>
      <c r="F4301" t="inlineStr">
        <is>
          <t>F0181</t>
        </is>
      </c>
    </row>
    <row r="4302">
      <c r="A4302" t="inlineStr">
        <is>
          <t>Caleb Hearon</t>
        </is>
      </c>
      <c r="B4302" t="n">
        <v>1</v>
      </c>
      <c r="C4302" t="n">
        <v>2022</v>
      </c>
      <c r="D4302" t="n">
        <v>2022</v>
      </c>
      <c r="E4302" t="inlineStr">
        <is>
          <t>Jurassic World Dominion</t>
        </is>
      </c>
      <c r="F4302" t="inlineStr">
        <is>
          <t>F0181</t>
        </is>
      </c>
    </row>
    <row r="4303">
      <c r="A4303" t="inlineStr">
        <is>
          <t>Freya Parker</t>
        </is>
      </c>
      <c r="B4303" t="n">
        <v>2</v>
      </c>
      <c r="C4303" t="n">
        <v>2022</v>
      </c>
      <c r="D4303" t="n">
        <v>2023</v>
      </c>
      <c r="E4303" t="inlineStr">
        <is>
          <t>Jurassic World Dominion, Wonka</t>
        </is>
      </c>
      <c r="F4303" t="inlineStr">
        <is>
          <t>F0181, F0338</t>
        </is>
      </c>
    </row>
    <row r="4304">
      <c r="A4304" t="inlineStr">
        <is>
          <t>Alexander Owen</t>
        </is>
      </c>
      <c r="B4304" t="n">
        <v>1</v>
      </c>
      <c r="C4304" t="n">
        <v>2022</v>
      </c>
      <c r="D4304" t="n">
        <v>2022</v>
      </c>
      <c r="E4304" t="inlineStr">
        <is>
          <t>Jurassic World Dominion</t>
        </is>
      </c>
      <c r="F4304" t="inlineStr">
        <is>
          <t>F0181</t>
        </is>
      </c>
    </row>
    <row r="4305">
      <c r="A4305" t="inlineStr">
        <is>
          <t>Ahir Shah</t>
        </is>
      </c>
      <c r="B4305" t="n">
        <v>1</v>
      </c>
      <c r="C4305" t="n">
        <v>2022</v>
      </c>
      <c r="D4305" t="n">
        <v>2022</v>
      </c>
      <c r="E4305" t="inlineStr">
        <is>
          <t>Jurassic World Dominion</t>
        </is>
      </c>
      <c r="F4305" t="inlineStr">
        <is>
          <t>F0181</t>
        </is>
      </c>
    </row>
    <row r="4306">
      <c r="A4306" t="inlineStr">
        <is>
          <t>Elva Trill</t>
        </is>
      </c>
      <c r="B4306" t="n">
        <v>1</v>
      </c>
      <c r="C4306" t="n">
        <v>2022</v>
      </c>
      <c r="D4306" t="n">
        <v>2022</v>
      </c>
      <c r="E4306" t="inlineStr">
        <is>
          <t>Jurassic World Dominion</t>
        </is>
      </c>
      <c r="F4306" t="inlineStr">
        <is>
          <t>F0181</t>
        </is>
      </c>
    </row>
    <row r="4307">
      <c r="A4307" t="inlineStr">
        <is>
          <t>Teresa Cendon-Garcia</t>
        </is>
      </c>
      <c r="B4307" t="n">
        <v>1</v>
      </c>
      <c r="C4307" t="n">
        <v>2022</v>
      </c>
      <c r="D4307" t="n">
        <v>2022</v>
      </c>
      <c r="E4307" t="inlineStr">
        <is>
          <t>Jurassic World Dominion</t>
        </is>
      </c>
      <c r="F4307" t="inlineStr">
        <is>
          <t>F0181</t>
        </is>
      </c>
    </row>
    <row r="4308">
      <c r="A4308" t="inlineStr">
        <is>
          <t>Manuela Mora</t>
        </is>
      </c>
      <c r="B4308" t="n">
        <v>1</v>
      </c>
      <c r="C4308" t="n">
        <v>2022</v>
      </c>
      <c r="D4308" t="n">
        <v>2022</v>
      </c>
      <c r="E4308" t="inlineStr">
        <is>
          <t>Jurassic World Dominion</t>
        </is>
      </c>
      <c r="F4308" t="inlineStr">
        <is>
          <t>F0181</t>
        </is>
      </c>
    </row>
    <row r="4309">
      <c r="A4309" t="inlineStr">
        <is>
          <t>Bastian Antonio Fuentes</t>
        </is>
      </c>
      <c r="B4309" t="n">
        <v>1</v>
      </c>
      <c r="C4309" t="n">
        <v>2022</v>
      </c>
      <c r="D4309" t="n">
        <v>2022</v>
      </c>
      <c r="E4309" t="inlineStr">
        <is>
          <t>Jurassic World Dominion</t>
        </is>
      </c>
      <c r="F4309" t="inlineStr">
        <is>
          <t>F0181</t>
        </is>
      </c>
    </row>
    <row r="4310">
      <c r="A4310" t="inlineStr">
        <is>
          <t>Jasmine Chiu</t>
        </is>
      </c>
      <c r="B4310" t="n">
        <v>1</v>
      </c>
      <c r="C4310" t="n">
        <v>2022</v>
      </c>
      <c r="D4310" t="n">
        <v>2022</v>
      </c>
      <c r="E4310" t="inlineStr">
        <is>
          <t>Jurassic World Dominion</t>
        </is>
      </c>
      <c r="F4310" t="inlineStr">
        <is>
          <t>F0181</t>
        </is>
      </c>
    </row>
    <row r="4311">
      <c r="A4311" t="inlineStr">
        <is>
          <t>Varada Sethu</t>
        </is>
      </c>
      <c r="B4311" t="n">
        <v>1</v>
      </c>
      <c r="C4311" t="n">
        <v>2022</v>
      </c>
      <c r="D4311" t="n">
        <v>2022</v>
      </c>
      <c r="E4311" t="inlineStr">
        <is>
          <t>Jurassic World Dominion</t>
        </is>
      </c>
      <c r="F4311" t="inlineStr">
        <is>
          <t>F0181</t>
        </is>
      </c>
    </row>
    <row r="4312">
      <c r="A4312" t="inlineStr">
        <is>
          <t>Ben Ashenden</t>
        </is>
      </c>
      <c r="B4312" t="n">
        <v>1</v>
      </c>
      <c r="C4312" t="n">
        <v>2022</v>
      </c>
      <c r="D4312" t="n">
        <v>2022</v>
      </c>
      <c r="E4312" t="inlineStr">
        <is>
          <t>Jurassic World Dominion</t>
        </is>
      </c>
      <c r="F4312" t="inlineStr">
        <is>
          <t>F0181</t>
        </is>
      </c>
    </row>
    <row r="4313">
      <c r="A4313" t="inlineStr">
        <is>
          <t>Enzo Squillino Jr.</t>
        </is>
      </c>
      <c r="B4313" t="n">
        <v>2</v>
      </c>
      <c r="C4313" t="n">
        <v>2008</v>
      </c>
      <c r="D4313" t="n">
        <v>2022</v>
      </c>
      <c r="E4313" t="inlineStr">
        <is>
          <t>Jurassic World Dominion, Mamma Mia!</t>
        </is>
      </c>
      <c r="F4313" t="inlineStr">
        <is>
          <t>F0181, F0209</t>
        </is>
      </c>
    </row>
    <row r="4314">
      <c r="A4314" t="inlineStr">
        <is>
          <t>Glynis Davies</t>
        </is>
      </c>
      <c r="B4314" t="n">
        <v>1</v>
      </c>
      <c r="C4314" t="n">
        <v>2022</v>
      </c>
      <c r="D4314" t="n">
        <v>2022</v>
      </c>
      <c r="E4314" t="inlineStr">
        <is>
          <t>Jurassic World Dominion</t>
        </is>
      </c>
      <c r="F4314" t="inlineStr">
        <is>
          <t>F0181</t>
        </is>
      </c>
    </row>
    <row r="4315">
      <c r="A4315" t="inlineStr">
        <is>
          <t>Mo Brings Plenty</t>
        </is>
      </c>
      <c r="B4315" t="n">
        <v>1</v>
      </c>
      <c r="C4315" t="n">
        <v>2022</v>
      </c>
      <c r="D4315" t="n">
        <v>2022</v>
      </c>
      <c r="E4315" t="inlineStr">
        <is>
          <t>Jurassic World Dominion</t>
        </is>
      </c>
      <c r="F4315" t="inlineStr">
        <is>
          <t>F0181</t>
        </is>
      </c>
    </row>
    <row r="4316">
      <c r="A4316" t="inlineStr">
        <is>
          <t>Luna Blaise</t>
        </is>
      </c>
      <c r="B4316" t="n">
        <v>1</v>
      </c>
      <c r="C4316" t="n">
        <v>2025</v>
      </c>
      <c r="D4316" t="n">
        <v>2025</v>
      </c>
      <c r="E4316" t="inlineStr">
        <is>
          <t>Jurassic World Rebirth</t>
        </is>
      </c>
      <c r="F4316" t="inlineStr">
        <is>
          <t>F0182</t>
        </is>
      </c>
    </row>
    <row r="4317">
      <c r="A4317" t="inlineStr">
        <is>
          <t>David Iacono</t>
        </is>
      </c>
      <c r="B4317" t="n">
        <v>1</v>
      </c>
      <c r="C4317" t="n">
        <v>2025</v>
      </c>
      <c r="D4317" t="n">
        <v>2025</v>
      </c>
      <c r="E4317" t="inlineStr">
        <is>
          <t>Jurassic World Rebirth</t>
        </is>
      </c>
      <c r="F4317" t="inlineStr">
        <is>
          <t>F0182</t>
        </is>
      </c>
    </row>
    <row r="4318">
      <c r="A4318" t="inlineStr">
        <is>
          <t>Audrina Miranda</t>
        </is>
      </c>
      <c r="B4318" t="n">
        <v>1</v>
      </c>
      <c r="C4318" t="n">
        <v>2025</v>
      </c>
      <c r="D4318" t="n">
        <v>2025</v>
      </c>
      <c r="E4318" t="inlineStr">
        <is>
          <t>Jurassic World Rebirth</t>
        </is>
      </c>
      <c r="F4318" t="inlineStr">
        <is>
          <t>F0182</t>
        </is>
      </c>
    </row>
    <row r="4319">
      <c r="A4319" t="inlineStr">
        <is>
          <t>Philippine Velge</t>
        </is>
      </c>
      <c r="B4319" t="n">
        <v>1</v>
      </c>
      <c r="C4319" t="n">
        <v>2025</v>
      </c>
      <c r="D4319" t="n">
        <v>2025</v>
      </c>
      <c r="E4319" t="inlineStr">
        <is>
          <t>Jurassic World Rebirth</t>
        </is>
      </c>
      <c r="F4319" t="inlineStr">
        <is>
          <t>F0182</t>
        </is>
      </c>
    </row>
    <row r="4320">
      <c r="A4320" t="inlineStr">
        <is>
          <t>Bechir Sylvain</t>
        </is>
      </c>
      <c r="B4320" t="n">
        <v>1</v>
      </c>
      <c r="C4320" t="n">
        <v>2025</v>
      </c>
      <c r="D4320" t="n">
        <v>2025</v>
      </c>
      <c r="E4320" t="inlineStr">
        <is>
          <t>Jurassic World Rebirth</t>
        </is>
      </c>
      <c r="F4320" t="inlineStr">
        <is>
          <t>F0182</t>
        </is>
      </c>
    </row>
    <row r="4321">
      <c r="A4321" t="inlineStr">
        <is>
          <t>Adam Loxley</t>
        </is>
      </c>
      <c r="B4321" t="n">
        <v>1</v>
      </c>
      <c r="C4321" t="n">
        <v>2025</v>
      </c>
      <c r="D4321" t="n">
        <v>2025</v>
      </c>
      <c r="E4321" t="inlineStr">
        <is>
          <t>Jurassic World Rebirth</t>
        </is>
      </c>
      <c r="F4321" t="inlineStr">
        <is>
          <t>F0182</t>
        </is>
      </c>
    </row>
    <row r="4322">
      <c r="A4322" t="inlineStr">
        <is>
          <t>Niamh Finlay</t>
        </is>
      </c>
      <c r="B4322" t="n">
        <v>1</v>
      </c>
      <c r="C4322" t="n">
        <v>2025</v>
      </c>
      <c r="D4322" t="n">
        <v>2025</v>
      </c>
      <c r="E4322" t="inlineStr">
        <is>
          <t>Jurassic World Rebirth</t>
        </is>
      </c>
      <c r="F4322" t="inlineStr">
        <is>
          <t>F0182</t>
        </is>
      </c>
    </row>
    <row r="4323">
      <c r="A4323" t="inlineStr">
        <is>
          <t>Julian Edgar</t>
        </is>
      </c>
      <c r="B4323" t="n">
        <v>1</v>
      </c>
      <c r="C4323" t="n">
        <v>2025</v>
      </c>
      <c r="D4323" t="n">
        <v>2025</v>
      </c>
      <c r="E4323" t="inlineStr">
        <is>
          <t>Jurassic World Rebirth</t>
        </is>
      </c>
      <c r="F4323" t="inlineStr">
        <is>
          <t>F0182</t>
        </is>
      </c>
    </row>
    <row r="4324">
      <c r="A4324" t="inlineStr">
        <is>
          <t>Lucy Thackeray</t>
        </is>
      </c>
      <c r="B4324" t="n">
        <v>1</v>
      </c>
      <c r="C4324" t="n">
        <v>2025</v>
      </c>
      <c r="D4324" t="n">
        <v>2025</v>
      </c>
      <c r="E4324" t="inlineStr">
        <is>
          <t>Jurassic World Rebirth</t>
        </is>
      </c>
      <c r="F4324" t="inlineStr">
        <is>
          <t>F0182</t>
        </is>
      </c>
    </row>
    <row r="4325">
      <c r="A4325" t="inlineStr">
        <is>
          <t>Jonny Lavelle</t>
        </is>
      </c>
      <c r="B4325" t="n">
        <v>1</v>
      </c>
      <c r="C4325" t="n">
        <v>2025</v>
      </c>
      <c r="D4325" t="n">
        <v>2025</v>
      </c>
      <c r="E4325" t="inlineStr">
        <is>
          <t>Jurassic World Rebirth</t>
        </is>
      </c>
      <c r="F4325" t="inlineStr">
        <is>
          <t>F0182</t>
        </is>
      </c>
    </row>
    <row r="4326">
      <c r="A4326" t="inlineStr">
        <is>
          <t>Bailee Madison</t>
        </is>
      </c>
      <c r="B4326" t="n">
        <v>1</v>
      </c>
      <c r="C4326" t="n">
        <v>2011</v>
      </c>
      <c r="D4326" t="n">
        <v>2011</v>
      </c>
      <c r="E4326" t="inlineStr">
        <is>
          <t>Just Go with It</t>
        </is>
      </c>
      <c r="F4326" t="inlineStr">
        <is>
          <t>F0183</t>
        </is>
      </c>
    </row>
    <row r="4327">
      <c r="A4327" t="inlineStr">
        <is>
          <t>Griffin Gluck</t>
        </is>
      </c>
      <c r="B4327" t="n">
        <v>1</v>
      </c>
      <c r="C4327" t="n">
        <v>2011</v>
      </c>
      <c r="D4327" t="n">
        <v>2011</v>
      </c>
      <c r="E4327" t="inlineStr">
        <is>
          <t>Just Go with It</t>
        </is>
      </c>
      <c r="F4327" t="inlineStr">
        <is>
          <t>F0183</t>
        </is>
      </c>
    </row>
    <row r="4328">
      <c r="A4328" t="inlineStr">
        <is>
          <t>Dave Matthews</t>
        </is>
      </c>
      <c r="B4328" t="n">
        <v>1</v>
      </c>
      <c r="C4328" t="n">
        <v>2011</v>
      </c>
      <c r="D4328" t="n">
        <v>2011</v>
      </c>
      <c r="E4328" t="inlineStr">
        <is>
          <t>Just Go with It</t>
        </is>
      </c>
      <c r="F4328" t="inlineStr">
        <is>
          <t>F0183</t>
        </is>
      </c>
    </row>
    <row r="4329">
      <c r="A4329" t="inlineStr">
        <is>
          <t>Kevin Nealon</t>
        </is>
      </c>
      <c r="B4329" t="n">
        <v>1</v>
      </c>
      <c r="C4329" t="n">
        <v>2011</v>
      </c>
      <c r="D4329" t="n">
        <v>2011</v>
      </c>
      <c r="E4329" t="inlineStr">
        <is>
          <t>Just Go with It</t>
        </is>
      </c>
      <c r="F4329" t="inlineStr">
        <is>
          <t>F0183</t>
        </is>
      </c>
    </row>
    <row r="4330">
      <c r="A4330" t="inlineStr">
        <is>
          <t>Rachel Dratch</t>
        </is>
      </c>
      <c r="B4330" t="n">
        <v>1</v>
      </c>
      <c r="C4330" t="n">
        <v>2011</v>
      </c>
      <c r="D4330" t="n">
        <v>2011</v>
      </c>
      <c r="E4330" t="inlineStr">
        <is>
          <t>Just Go with It</t>
        </is>
      </c>
      <c r="F4330" t="inlineStr">
        <is>
          <t>F0183</t>
        </is>
      </c>
    </row>
    <row r="4331">
      <c r="A4331" t="inlineStr">
        <is>
          <t>Minka Kelly</t>
        </is>
      </c>
      <c r="B4331" t="n">
        <v>1</v>
      </c>
      <c r="C4331" t="n">
        <v>2011</v>
      </c>
      <c r="D4331" t="n">
        <v>2011</v>
      </c>
      <c r="E4331" t="inlineStr">
        <is>
          <t>Just Go with It</t>
        </is>
      </c>
      <c r="F4331" t="inlineStr">
        <is>
          <t>F0183</t>
        </is>
      </c>
    </row>
    <row r="4332">
      <c r="A4332" t="inlineStr">
        <is>
          <t>Jackie Sandler</t>
        </is>
      </c>
      <c r="B4332" t="n">
        <v>1</v>
      </c>
      <c r="C4332" t="n">
        <v>2011</v>
      </c>
      <c r="D4332" t="n">
        <v>2011</v>
      </c>
      <c r="E4332" t="inlineStr">
        <is>
          <t>Just Go with It</t>
        </is>
      </c>
      <c r="F4332" t="inlineStr">
        <is>
          <t>F0183</t>
        </is>
      </c>
    </row>
    <row r="4333">
      <c r="A4333" t="inlineStr">
        <is>
          <t>Rakefet Abergel</t>
        </is>
      </c>
      <c r="B4333" t="n">
        <v>1</v>
      </c>
      <c r="C4333" t="n">
        <v>2011</v>
      </c>
      <c r="D4333" t="n">
        <v>2011</v>
      </c>
      <c r="E4333" t="inlineStr">
        <is>
          <t>Just Go with It</t>
        </is>
      </c>
      <c r="F4333" t="inlineStr">
        <is>
          <t>F0183</t>
        </is>
      </c>
    </row>
    <row r="4334">
      <c r="A4334" t="inlineStr">
        <is>
          <t>Dana Goodman</t>
        </is>
      </c>
      <c r="B4334" t="n">
        <v>1</v>
      </c>
      <c r="C4334" t="n">
        <v>2011</v>
      </c>
      <c r="D4334" t="n">
        <v>2011</v>
      </c>
      <c r="E4334" t="inlineStr">
        <is>
          <t>Just Go with It</t>
        </is>
      </c>
      <c r="F4334" t="inlineStr">
        <is>
          <t>F0183</t>
        </is>
      </c>
    </row>
    <row r="4335">
      <c r="A4335" t="inlineStr">
        <is>
          <t>Julia Lea Wolov</t>
        </is>
      </c>
      <c r="B4335" t="n">
        <v>1</v>
      </c>
      <c r="C4335" t="n">
        <v>2011</v>
      </c>
      <c r="D4335" t="n">
        <v>2011</v>
      </c>
      <c r="E4335" t="inlineStr">
        <is>
          <t>Just Go with It</t>
        </is>
      </c>
      <c r="F4335" t="inlineStr">
        <is>
          <t>F0183</t>
        </is>
      </c>
    </row>
    <row r="4336">
      <c r="A4336" t="inlineStr">
        <is>
          <t>Colby Kline</t>
        </is>
      </c>
      <c r="B4336" t="n">
        <v>1</v>
      </c>
      <c r="C4336" t="n">
        <v>2011</v>
      </c>
      <c r="D4336" t="n">
        <v>2011</v>
      </c>
      <c r="E4336" t="inlineStr">
        <is>
          <t>Just Go with It</t>
        </is>
      </c>
      <c r="F4336" t="inlineStr">
        <is>
          <t>F0183</t>
        </is>
      </c>
    </row>
    <row r="4337">
      <c r="A4337" t="inlineStr">
        <is>
          <t>Jana Sandler</t>
        </is>
      </c>
      <c r="B4337" t="n">
        <v>1</v>
      </c>
      <c r="C4337" t="n">
        <v>2011</v>
      </c>
      <c r="D4337" t="n">
        <v>2011</v>
      </c>
      <c r="E4337" t="inlineStr">
        <is>
          <t>Just Go with It</t>
        </is>
      </c>
      <c r="F4337" t="inlineStr">
        <is>
          <t>F0183</t>
        </is>
      </c>
    </row>
    <row r="4338">
      <c r="A4338" t="inlineStr">
        <is>
          <t>Michael Laskin</t>
        </is>
      </c>
      <c r="B4338" t="n">
        <v>1</v>
      </c>
      <c r="C4338" t="n">
        <v>2011</v>
      </c>
      <c r="D4338" t="n">
        <v>2011</v>
      </c>
      <c r="E4338" t="inlineStr">
        <is>
          <t>Just Go with It</t>
        </is>
      </c>
      <c r="F4338" t="inlineStr">
        <is>
          <t>F0183</t>
        </is>
      </c>
    </row>
    <row r="4339">
      <c r="A4339" t="inlineStr">
        <is>
          <t>Carol Ann Susi</t>
        </is>
      </c>
      <c r="B4339" t="n">
        <v>1</v>
      </c>
      <c r="C4339" t="n">
        <v>2011</v>
      </c>
      <c r="D4339" t="n">
        <v>2011</v>
      </c>
      <c r="E4339" t="inlineStr">
        <is>
          <t>Just Go with It</t>
        </is>
      </c>
      <c r="F4339" t="inlineStr">
        <is>
          <t>F0183</t>
        </is>
      </c>
    </row>
    <row r="4340">
      <c r="A4340" t="inlineStr">
        <is>
          <t>Gene Pompa</t>
        </is>
      </c>
      <c r="B4340" t="n">
        <v>1</v>
      </c>
      <c r="C4340" t="n">
        <v>2011</v>
      </c>
      <c r="D4340" t="n">
        <v>2011</v>
      </c>
      <c r="E4340" t="inlineStr">
        <is>
          <t>Just Go with It</t>
        </is>
      </c>
      <c r="F4340" t="inlineStr">
        <is>
          <t>F0183</t>
        </is>
      </c>
    </row>
    <row r="4341">
      <c r="A4341" t="inlineStr">
        <is>
          <t>Mario Joyner</t>
        </is>
      </c>
      <c r="B4341" t="n">
        <v>1</v>
      </c>
      <c r="C4341" t="n">
        <v>2011</v>
      </c>
      <c r="D4341" t="n">
        <v>2011</v>
      </c>
      <c r="E4341" t="inlineStr">
        <is>
          <t>Just Go with It</t>
        </is>
      </c>
      <c r="F4341" t="inlineStr">
        <is>
          <t>F0183</t>
        </is>
      </c>
    </row>
    <row r="4342">
      <c r="A4342" t="inlineStr">
        <is>
          <t>Heidi Montag</t>
        </is>
      </c>
      <c r="B4342" t="n">
        <v>1</v>
      </c>
      <c r="C4342" t="n">
        <v>2011</v>
      </c>
      <c r="D4342" t="n">
        <v>2011</v>
      </c>
      <c r="E4342" t="inlineStr">
        <is>
          <t>Just Go with It</t>
        </is>
      </c>
      <c r="F4342" t="inlineStr">
        <is>
          <t>F0183</t>
        </is>
      </c>
    </row>
    <row r="4343">
      <c r="A4343" t="inlineStr">
        <is>
          <t>Andy Roddick</t>
        </is>
      </c>
      <c r="B4343" t="n">
        <v>1</v>
      </c>
      <c r="C4343" t="n">
        <v>2011</v>
      </c>
      <c r="D4343" t="n">
        <v>2011</v>
      </c>
      <c r="E4343" t="inlineStr">
        <is>
          <t>Just Go with It</t>
        </is>
      </c>
      <c r="F4343" t="inlineStr">
        <is>
          <t>F0183</t>
        </is>
      </c>
    </row>
    <row r="4344">
      <c r="A4344" t="inlineStr">
        <is>
          <t>Jillian Nelson</t>
        </is>
      </c>
      <c r="B4344" t="n">
        <v>1</v>
      </c>
      <c r="C4344" t="n">
        <v>2011</v>
      </c>
      <c r="D4344" t="n">
        <v>2011</v>
      </c>
      <c r="E4344" t="inlineStr">
        <is>
          <t>Just Go with It</t>
        </is>
      </c>
      <c r="F4344" t="inlineStr">
        <is>
          <t>F0183</t>
        </is>
      </c>
    </row>
    <row r="4345">
      <c r="A4345" t="inlineStr">
        <is>
          <t>Lilian Tapia</t>
        </is>
      </c>
      <c r="B4345" t="n">
        <v>1</v>
      </c>
      <c r="C4345" t="n">
        <v>2011</v>
      </c>
      <c r="D4345" t="n">
        <v>2011</v>
      </c>
      <c r="E4345" t="inlineStr">
        <is>
          <t>Just Go with It</t>
        </is>
      </c>
      <c r="F4345" t="inlineStr">
        <is>
          <t>F0183</t>
        </is>
      </c>
    </row>
    <row r="4346">
      <c r="A4346" t="inlineStr">
        <is>
          <t>Zac Wang</t>
        </is>
      </c>
      <c r="B4346" t="n">
        <v>1</v>
      </c>
      <c r="C4346" t="n">
        <v>2010</v>
      </c>
      <c r="D4346" t="n">
        <v>2010</v>
      </c>
      <c r="E4346" t="inlineStr">
        <is>
          <t>The Karate Kid</t>
        </is>
      </c>
      <c r="F4346" t="inlineStr">
        <is>
          <t>F0184</t>
        </is>
      </c>
    </row>
    <row r="4347">
      <c r="A4347" t="inlineStr">
        <is>
          <t>Yu Rongguang</t>
        </is>
      </c>
      <c r="B4347" t="n">
        <v>1</v>
      </c>
      <c r="C4347" t="n">
        <v>2010</v>
      </c>
      <c r="D4347" t="n">
        <v>2010</v>
      </c>
      <c r="E4347" t="inlineStr">
        <is>
          <t>The Karate Kid</t>
        </is>
      </c>
      <c r="F4347" t="inlineStr">
        <is>
          <t>F0184</t>
        </is>
      </c>
    </row>
    <row r="4348">
      <c r="A4348" t="inlineStr">
        <is>
          <t>Wu Zhensu</t>
        </is>
      </c>
      <c r="B4348" t="n">
        <v>1</v>
      </c>
      <c r="C4348" t="n">
        <v>2010</v>
      </c>
      <c r="D4348" t="n">
        <v>2010</v>
      </c>
      <c r="E4348" t="inlineStr">
        <is>
          <t>The Karate Kid</t>
        </is>
      </c>
      <c r="F4348" t="inlineStr">
        <is>
          <t>F0184</t>
        </is>
      </c>
    </row>
    <row r="4349">
      <c r="A4349" t="inlineStr">
        <is>
          <t>Wang Ji</t>
        </is>
      </c>
      <c r="B4349" t="n">
        <v>1</v>
      </c>
      <c r="C4349" t="n">
        <v>2010</v>
      </c>
      <c r="D4349" t="n">
        <v>2010</v>
      </c>
      <c r="E4349" t="inlineStr">
        <is>
          <t>The Karate Kid</t>
        </is>
      </c>
      <c r="F4349" t="inlineStr">
        <is>
          <t>F0184</t>
        </is>
      </c>
    </row>
    <row r="4350">
      <c r="A4350" t="inlineStr">
        <is>
          <t>Tess Liu</t>
        </is>
      </c>
      <c r="B4350" t="n">
        <v>1</v>
      </c>
      <c r="C4350" t="n">
        <v>2010</v>
      </c>
      <c r="D4350" t="n">
        <v>2010</v>
      </c>
      <c r="E4350" t="inlineStr">
        <is>
          <t>The Karate Kid</t>
        </is>
      </c>
      <c r="F4350" t="inlineStr">
        <is>
          <t>F0184</t>
        </is>
      </c>
    </row>
    <row r="4351">
      <c r="A4351" t="inlineStr">
        <is>
          <t>Xu Ming</t>
        </is>
      </c>
      <c r="B4351" t="n">
        <v>1</v>
      </c>
      <c r="C4351" t="n">
        <v>2010</v>
      </c>
      <c r="D4351" t="n">
        <v>2010</v>
      </c>
      <c r="E4351" t="inlineStr">
        <is>
          <t>The Karate Kid</t>
        </is>
      </c>
      <c r="F4351" t="inlineStr">
        <is>
          <t>F0184</t>
        </is>
      </c>
    </row>
    <row r="4352">
      <c r="A4352" t="inlineStr">
        <is>
          <t>Zhao Yi</t>
        </is>
      </c>
      <c r="B4352" t="n">
        <v>1</v>
      </c>
      <c r="C4352" t="n">
        <v>2010</v>
      </c>
      <c r="D4352" t="n">
        <v>2010</v>
      </c>
      <c r="E4352" t="inlineStr">
        <is>
          <t>The Karate Kid</t>
        </is>
      </c>
      <c r="F4352" t="inlineStr">
        <is>
          <t>F0184</t>
        </is>
      </c>
    </row>
    <row r="4353">
      <c r="A4353" t="inlineStr">
        <is>
          <t>Lü Shijia</t>
        </is>
      </c>
      <c r="B4353" t="n">
        <v>1</v>
      </c>
      <c r="C4353" t="n">
        <v>2010</v>
      </c>
      <c r="D4353" t="n">
        <v>2010</v>
      </c>
      <c r="E4353" t="inlineStr">
        <is>
          <t>The Karate Kid</t>
        </is>
      </c>
      <c r="F4353" t="inlineStr">
        <is>
          <t>F0184</t>
        </is>
      </c>
    </row>
    <row r="4354">
      <c r="A4354" t="inlineStr">
        <is>
          <t>Luke Carberry</t>
        </is>
      </c>
      <c r="B4354" t="n">
        <v>1</v>
      </c>
      <c r="C4354" t="n">
        <v>2010</v>
      </c>
      <c r="D4354" t="n">
        <v>2010</v>
      </c>
      <c r="E4354" t="inlineStr">
        <is>
          <t>The Karate Kid</t>
        </is>
      </c>
      <c r="F4354" t="inlineStr">
        <is>
          <t>F0184</t>
        </is>
      </c>
    </row>
    <row r="4355">
      <c r="A4355" t="inlineStr">
        <is>
          <t>Liang Geliang</t>
        </is>
      </c>
      <c r="B4355" t="n">
        <v>1</v>
      </c>
      <c r="C4355" t="n">
        <v>2010</v>
      </c>
      <c r="D4355" t="n">
        <v>2010</v>
      </c>
      <c r="E4355" t="inlineStr">
        <is>
          <t>The Karate Kid</t>
        </is>
      </c>
      <c r="F4355" t="inlineStr">
        <is>
          <t>F0184</t>
        </is>
      </c>
    </row>
    <row r="4356">
      <c r="A4356" t="inlineStr">
        <is>
          <t>Zhang Bo</t>
        </is>
      </c>
      <c r="B4356" t="n">
        <v>1</v>
      </c>
      <c r="C4356" t="n">
        <v>2010</v>
      </c>
      <c r="D4356" t="n">
        <v>2010</v>
      </c>
      <c r="E4356" t="inlineStr">
        <is>
          <t>The Karate Kid</t>
        </is>
      </c>
      <c r="F4356" t="inlineStr">
        <is>
          <t>F0184</t>
        </is>
      </c>
    </row>
    <row r="4357">
      <c r="A4357" t="inlineStr">
        <is>
          <t>Jared Minns</t>
        </is>
      </c>
      <c r="B4357" t="n">
        <v>1</v>
      </c>
      <c r="C4357" t="n">
        <v>2010</v>
      </c>
      <c r="D4357" t="n">
        <v>2010</v>
      </c>
      <c r="E4357" t="inlineStr">
        <is>
          <t>The Karate Kid</t>
        </is>
      </c>
      <c r="F4357" t="inlineStr">
        <is>
          <t>F0184</t>
        </is>
      </c>
    </row>
    <row r="4358">
      <c r="A4358" t="inlineStr">
        <is>
          <t>Cameron Hillman</t>
        </is>
      </c>
      <c r="B4358" t="n">
        <v>1</v>
      </c>
      <c r="C4358" t="n">
        <v>2010</v>
      </c>
      <c r="D4358" t="n">
        <v>2010</v>
      </c>
      <c r="E4358" t="inlineStr">
        <is>
          <t>The Karate Kid</t>
        </is>
      </c>
      <c r="F4358" t="inlineStr">
        <is>
          <t>F0184</t>
        </is>
      </c>
    </row>
    <row r="4359">
      <c r="A4359" t="inlineStr">
        <is>
          <t>Ghye Samuel Brown</t>
        </is>
      </c>
      <c r="B4359" t="n">
        <v>1</v>
      </c>
      <c r="C4359" t="n">
        <v>2010</v>
      </c>
      <c r="D4359" t="n">
        <v>2010</v>
      </c>
      <c r="E4359" t="inlineStr">
        <is>
          <t>The Karate Kid</t>
        </is>
      </c>
      <c r="F4359" t="inlineStr">
        <is>
          <t>F0184</t>
        </is>
      </c>
    </row>
    <row r="4360">
      <c r="A4360" t="inlineStr">
        <is>
          <t>Zhiheng Wang</t>
        </is>
      </c>
      <c r="B4360" t="n">
        <v>1</v>
      </c>
      <c r="C4360" t="n">
        <v>2010</v>
      </c>
      <c r="D4360" t="n">
        <v>2010</v>
      </c>
      <c r="E4360" t="inlineStr">
        <is>
          <t>The Karate Kid</t>
        </is>
      </c>
      <c r="F4360" t="inlineStr">
        <is>
          <t>F0184</t>
        </is>
      </c>
    </row>
    <row r="4361">
      <c r="A4361" t="inlineStr">
        <is>
          <t>Deborah Twiss</t>
        </is>
      </c>
      <c r="B4361" t="n">
        <v>1</v>
      </c>
      <c r="C4361" t="n">
        <v>2010</v>
      </c>
      <c r="D4361" t="n">
        <v>2010</v>
      </c>
      <c r="E4361" t="inlineStr">
        <is>
          <t>Kick-Ass</t>
        </is>
      </c>
      <c r="F4361" t="inlineStr">
        <is>
          <t>F0185</t>
        </is>
      </c>
    </row>
    <row r="4362">
      <c r="A4362" t="inlineStr">
        <is>
          <t>Xander Berkeley</t>
        </is>
      </c>
      <c r="B4362" t="n">
        <v>2</v>
      </c>
      <c r="C4362" t="n">
        <v>2008</v>
      </c>
      <c r="D4362" t="n">
        <v>2010</v>
      </c>
      <c r="E4362" t="inlineStr">
        <is>
          <t>Kick-Ass, Taken</t>
        </is>
      </c>
      <c r="F4362" t="inlineStr">
        <is>
          <t>F0185, F0306</t>
        </is>
      </c>
    </row>
    <row r="4363">
      <c r="A4363" t="inlineStr">
        <is>
          <t>Garrett M. Brown</t>
        </is>
      </c>
      <c r="B4363" t="n">
        <v>2</v>
      </c>
      <c r="C4363" t="n">
        <v>2010</v>
      </c>
      <c r="D4363" t="n">
        <v>2013</v>
      </c>
      <c r="E4363" t="inlineStr">
        <is>
          <t>Kick-Ass, Kick-Ass 2</t>
        </is>
      </c>
      <c r="F4363" t="inlineStr">
        <is>
          <t>F0185, F0186</t>
        </is>
      </c>
    </row>
    <row r="4364">
      <c r="A4364" t="inlineStr">
        <is>
          <t>Evan Peters</t>
        </is>
      </c>
      <c r="B4364" t="n">
        <v>3</v>
      </c>
      <c r="C4364" t="n">
        <v>2010</v>
      </c>
      <c r="D4364" t="n">
        <v>2016</v>
      </c>
      <c r="E4364" t="inlineStr">
        <is>
          <t>Kick-Ass, X-Men: Days of Future Past, X-Men: Apocalypse</t>
        </is>
      </c>
      <c r="F4364" t="inlineStr">
        <is>
          <t>F0185, F0341, F0342</t>
        </is>
      </c>
    </row>
    <row r="4365">
      <c r="A4365" t="inlineStr">
        <is>
          <t>Sophie Wu</t>
        </is>
      </c>
      <c r="B4365" t="n">
        <v>2</v>
      </c>
      <c r="C4365" t="n">
        <v>2010</v>
      </c>
      <c r="D4365" t="n">
        <v>2013</v>
      </c>
      <c r="E4365" t="inlineStr">
        <is>
          <t>Kick-Ass, Kick-Ass 2</t>
        </is>
      </c>
      <c r="F4365" t="inlineStr">
        <is>
          <t>F0185, F0186</t>
        </is>
      </c>
    </row>
    <row r="4366">
      <c r="A4366" t="inlineStr">
        <is>
          <t>Stu 'Large' Riley</t>
        </is>
      </c>
      <c r="B4366" t="n">
        <v>1</v>
      </c>
      <c r="C4366" t="n">
        <v>2010</v>
      </c>
      <c r="D4366" t="n">
        <v>2010</v>
      </c>
      <c r="E4366" t="inlineStr">
        <is>
          <t>Kick-Ass</t>
        </is>
      </c>
      <c r="F4366" t="inlineStr">
        <is>
          <t>F0185</t>
        </is>
      </c>
    </row>
    <row r="4367">
      <c r="A4367" t="inlineStr">
        <is>
          <t>Michael Rispoli</t>
        </is>
      </c>
      <c r="B4367" t="n">
        <v>1</v>
      </c>
      <c r="C4367" t="n">
        <v>2010</v>
      </c>
      <c r="D4367" t="n">
        <v>2010</v>
      </c>
      <c r="E4367" t="inlineStr">
        <is>
          <t>Kick-Ass</t>
        </is>
      </c>
      <c r="F4367" t="inlineStr">
        <is>
          <t>F0185</t>
        </is>
      </c>
    </row>
    <row r="4368">
      <c r="A4368" t="inlineStr">
        <is>
          <t>Kenneth Simmons</t>
        </is>
      </c>
      <c r="B4368" t="n">
        <v>1</v>
      </c>
      <c r="C4368" t="n">
        <v>2010</v>
      </c>
      <c r="D4368" t="n">
        <v>2010</v>
      </c>
      <c r="E4368" t="inlineStr">
        <is>
          <t>Kick-Ass</t>
        </is>
      </c>
      <c r="F4368" t="inlineStr">
        <is>
          <t>F0185</t>
        </is>
      </c>
    </row>
    <row r="4369">
      <c r="A4369" t="inlineStr">
        <is>
          <t>Anthony Desio</t>
        </is>
      </c>
      <c r="B4369" t="n">
        <v>1</v>
      </c>
      <c r="C4369" t="n">
        <v>2010</v>
      </c>
      <c r="D4369" t="n">
        <v>2010</v>
      </c>
      <c r="E4369" t="inlineStr">
        <is>
          <t>Kick-Ass</t>
        </is>
      </c>
      <c r="F4369" t="inlineStr">
        <is>
          <t>F0185</t>
        </is>
      </c>
    </row>
    <row r="4370">
      <c r="A4370" t="inlineStr">
        <is>
          <t>Randall Batinkoff</t>
        </is>
      </c>
      <c r="B4370" t="n">
        <v>1</v>
      </c>
      <c r="C4370" t="n">
        <v>2010</v>
      </c>
      <c r="D4370" t="n">
        <v>2010</v>
      </c>
      <c r="E4370" t="inlineStr">
        <is>
          <t>Kick-Ass</t>
        </is>
      </c>
      <c r="F4370" t="inlineStr">
        <is>
          <t>F0185</t>
        </is>
      </c>
    </row>
    <row r="4371">
      <c r="A4371" t="inlineStr">
        <is>
          <t>Dexter Fletcher</t>
        </is>
      </c>
      <c r="B4371" t="n">
        <v>1</v>
      </c>
      <c r="C4371" t="n">
        <v>2010</v>
      </c>
      <c r="D4371" t="n">
        <v>2010</v>
      </c>
      <c r="E4371" t="inlineStr">
        <is>
          <t>Kick-Ass</t>
        </is>
      </c>
      <c r="F4371" t="inlineStr">
        <is>
          <t>F0185</t>
        </is>
      </c>
    </row>
    <row r="4372">
      <c r="A4372" t="inlineStr">
        <is>
          <t>Yancy Butler</t>
        </is>
      </c>
      <c r="B4372" t="n">
        <v>2</v>
      </c>
      <c r="C4372" t="n">
        <v>2010</v>
      </c>
      <c r="D4372" t="n">
        <v>2013</v>
      </c>
      <c r="E4372" t="inlineStr">
        <is>
          <t>Kick-Ass, Kick-Ass 2</t>
        </is>
      </c>
      <c r="F4372" t="inlineStr">
        <is>
          <t>F0185, F0186</t>
        </is>
      </c>
    </row>
    <row r="4373">
      <c r="A4373" t="inlineStr">
        <is>
          <t>Joe Bacino</t>
        </is>
      </c>
      <c r="B4373" t="n">
        <v>1</v>
      </c>
      <c r="C4373" t="n">
        <v>2010</v>
      </c>
      <c r="D4373" t="n">
        <v>2010</v>
      </c>
      <c r="E4373" t="inlineStr">
        <is>
          <t>Kick-Ass</t>
        </is>
      </c>
      <c r="F4373" t="inlineStr">
        <is>
          <t>F0185</t>
        </is>
      </c>
    </row>
    <row r="4374">
      <c r="A4374" t="inlineStr">
        <is>
          <t>Johnny Hopkins</t>
        </is>
      </c>
      <c r="B4374" t="n">
        <v>1</v>
      </c>
      <c r="C4374" t="n">
        <v>2010</v>
      </c>
      <c r="D4374" t="n">
        <v>2010</v>
      </c>
      <c r="E4374" t="inlineStr">
        <is>
          <t>Kick-Ass</t>
        </is>
      </c>
      <c r="F4374" t="inlineStr">
        <is>
          <t>F0185</t>
        </is>
      </c>
    </row>
    <row r="4375">
      <c r="A4375" t="inlineStr">
        <is>
          <t>Ohene Cornelius</t>
        </is>
      </c>
      <c r="B4375" t="n">
        <v>1</v>
      </c>
      <c r="C4375" t="n">
        <v>2010</v>
      </c>
      <c r="D4375" t="n">
        <v>2010</v>
      </c>
      <c r="E4375" t="inlineStr">
        <is>
          <t>Kick-Ass</t>
        </is>
      </c>
      <c r="F4375" t="inlineStr">
        <is>
          <t>F0185</t>
        </is>
      </c>
    </row>
    <row r="4376">
      <c r="A4376" t="inlineStr">
        <is>
          <t>Carlos Besse Peres</t>
        </is>
      </c>
      <c r="B4376" t="n">
        <v>1</v>
      </c>
      <c r="C4376" t="n">
        <v>2010</v>
      </c>
      <c r="D4376" t="n">
        <v>2010</v>
      </c>
      <c r="E4376" t="inlineStr">
        <is>
          <t>Kick-Ass</t>
        </is>
      </c>
      <c r="F4376" t="inlineStr">
        <is>
          <t>F0185</t>
        </is>
      </c>
    </row>
    <row r="4377">
      <c r="A4377" t="inlineStr">
        <is>
          <t>Russell Bentley</t>
        </is>
      </c>
      <c r="B4377" t="n">
        <v>1</v>
      </c>
      <c r="C4377" t="n">
        <v>2010</v>
      </c>
      <c r="D4377" t="n">
        <v>2010</v>
      </c>
      <c r="E4377" t="inlineStr">
        <is>
          <t>Kick-Ass</t>
        </is>
      </c>
      <c r="F4377" t="inlineStr">
        <is>
          <t>F0185</t>
        </is>
      </c>
    </row>
    <row r="4378">
      <c r="A4378" t="inlineStr">
        <is>
          <t>Iain Glen</t>
        </is>
      </c>
      <c r="B4378" t="n">
        <v>1</v>
      </c>
      <c r="C4378" t="n">
        <v>2013</v>
      </c>
      <c r="D4378" t="n">
        <v>2013</v>
      </c>
      <c r="E4378" t="inlineStr">
        <is>
          <t>Kick-Ass 2</t>
        </is>
      </c>
      <c r="F4378" t="inlineStr">
        <is>
          <t>F0186</t>
        </is>
      </c>
    </row>
    <row r="4379">
      <c r="A4379" t="inlineStr">
        <is>
          <t>Lindy Booth</t>
        </is>
      </c>
      <c r="B4379" t="n">
        <v>1</v>
      </c>
      <c r="C4379" t="n">
        <v>2013</v>
      </c>
      <c r="D4379" t="n">
        <v>2013</v>
      </c>
      <c r="E4379" t="inlineStr">
        <is>
          <t>Kick-Ass 2</t>
        </is>
      </c>
      <c r="F4379" t="inlineStr">
        <is>
          <t>F0186</t>
        </is>
      </c>
    </row>
    <row r="4380">
      <c r="A4380" t="inlineStr">
        <is>
          <t>Morris Chestnut</t>
        </is>
      </c>
      <c r="B4380" t="n">
        <v>1</v>
      </c>
      <c r="C4380" t="n">
        <v>2013</v>
      </c>
      <c r="D4380" t="n">
        <v>2013</v>
      </c>
      <c r="E4380" t="inlineStr">
        <is>
          <t>Kick-Ass 2</t>
        </is>
      </c>
      <c r="F4380" t="inlineStr">
        <is>
          <t>F0186</t>
        </is>
      </c>
    </row>
    <row r="4381">
      <c r="A4381" t="inlineStr">
        <is>
          <t>Donald Faison</t>
        </is>
      </c>
      <c r="B4381" t="n">
        <v>1</v>
      </c>
      <c r="C4381" t="n">
        <v>2013</v>
      </c>
      <c r="D4381" t="n">
        <v>2013</v>
      </c>
      <c r="E4381" t="inlineStr">
        <is>
          <t>Kick-Ass 2</t>
        </is>
      </c>
      <c r="F4381" t="inlineStr">
        <is>
          <t>F0186</t>
        </is>
      </c>
    </row>
    <row r="4382">
      <c r="A4382" t="inlineStr">
        <is>
          <t>Augustus Prew</t>
        </is>
      </c>
      <c r="B4382" t="n">
        <v>1</v>
      </c>
      <c r="C4382" t="n">
        <v>2013</v>
      </c>
      <c r="D4382" t="n">
        <v>2013</v>
      </c>
      <c r="E4382" t="inlineStr">
        <is>
          <t>Kick-Ass 2</t>
        </is>
      </c>
      <c r="F4382" t="inlineStr">
        <is>
          <t>F0186</t>
        </is>
      </c>
    </row>
    <row r="4383">
      <c r="A4383" t="inlineStr">
        <is>
          <t>Daniel Kaluuya</t>
        </is>
      </c>
      <c r="B4383" t="n">
        <v>1</v>
      </c>
      <c r="C4383" t="n">
        <v>2013</v>
      </c>
      <c r="D4383" t="n">
        <v>2013</v>
      </c>
      <c r="E4383" t="inlineStr">
        <is>
          <t>Kick-Ass 2</t>
        </is>
      </c>
      <c r="F4383" t="inlineStr">
        <is>
          <t>F0186</t>
        </is>
      </c>
    </row>
    <row r="4384">
      <c r="A4384" t="inlineStr">
        <is>
          <t>Olga Kurkulina</t>
        </is>
      </c>
      <c r="B4384" t="n">
        <v>1</v>
      </c>
      <c r="C4384" t="n">
        <v>2013</v>
      </c>
      <c r="D4384" t="n">
        <v>2013</v>
      </c>
      <c r="E4384" t="inlineStr">
        <is>
          <t>Kick-Ass 2</t>
        </is>
      </c>
      <c r="F4384" t="inlineStr">
        <is>
          <t>F0186</t>
        </is>
      </c>
    </row>
    <row r="4385">
      <c r="A4385" t="inlineStr">
        <is>
          <t>Claudia Lee</t>
        </is>
      </c>
      <c r="B4385" t="n">
        <v>1</v>
      </c>
      <c r="C4385" t="n">
        <v>2013</v>
      </c>
      <c r="D4385" t="n">
        <v>2013</v>
      </c>
      <c r="E4385" t="inlineStr">
        <is>
          <t>Kick-Ass 2</t>
        </is>
      </c>
      <c r="F4385" t="inlineStr">
        <is>
          <t>F0186</t>
        </is>
      </c>
    </row>
    <row r="4386">
      <c r="A4386" t="inlineStr">
        <is>
          <t>Ella Purnell</t>
        </is>
      </c>
      <c r="B4386" t="n">
        <v>1</v>
      </c>
      <c r="C4386" t="n">
        <v>2013</v>
      </c>
      <c r="D4386" t="n">
        <v>2013</v>
      </c>
      <c r="E4386" t="inlineStr">
        <is>
          <t>Kick-Ass 2</t>
        </is>
      </c>
      <c r="F4386" t="inlineStr">
        <is>
          <t>F0186</t>
        </is>
      </c>
    </row>
    <row r="4387">
      <c r="A4387" t="inlineStr">
        <is>
          <t>Tanyaradzwa Fear</t>
        </is>
      </c>
      <c r="B4387" t="n">
        <v>1</v>
      </c>
      <c r="C4387" t="n">
        <v>2013</v>
      </c>
      <c r="D4387" t="n">
        <v>2013</v>
      </c>
      <c r="E4387" t="inlineStr">
        <is>
          <t>Kick-Ass 2</t>
        </is>
      </c>
      <c r="F4387" t="inlineStr">
        <is>
          <t>F0186</t>
        </is>
      </c>
    </row>
    <row r="4388">
      <c r="A4388" t="inlineStr">
        <is>
          <t>Amy Anzel</t>
        </is>
      </c>
      <c r="B4388" t="n">
        <v>1</v>
      </c>
      <c r="C4388" t="n">
        <v>2013</v>
      </c>
      <c r="D4388" t="n">
        <v>2013</v>
      </c>
      <c r="E4388" t="inlineStr">
        <is>
          <t>Kick-Ass 2</t>
        </is>
      </c>
      <c r="F4388" t="inlineStr">
        <is>
          <t>F0186</t>
        </is>
      </c>
    </row>
    <row r="4389">
      <c r="A4389" t="inlineStr">
        <is>
          <t>Matt Steinberg</t>
        </is>
      </c>
      <c r="B4389" t="n">
        <v>1</v>
      </c>
      <c r="C4389" t="n">
        <v>2013</v>
      </c>
      <c r="D4389" t="n">
        <v>2013</v>
      </c>
      <c r="E4389" t="inlineStr">
        <is>
          <t>Kick-Ass 2</t>
        </is>
      </c>
      <c r="F4389" t="inlineStr">
        <is>
          <t>F0186</t>
        </is>
      </c>
    </row>
    <row r="4390">
      <c r="A4390" t="inlineStr">
        <is>
          <t>Trenyce</t>
        </is>
      </c>
      <c r="B4390" t="n">
        <v>1</v>
      </c>
      <c r="C4390" t="n">
        <v>2013</v>
      </c>
      <c r="D4390" t="n">
        <v>2013</v>
      </c>
      <c r="E4390" t="inlineStr">
        <is>
          <t>Kick-Ass 2</t>
        </is>
      </c>
      <c r="F4390" t="inlineStr">
        <is>
          <t>F0186</t>
        </is>
      </c>
    </row>
    <row r="4391">
      <c r="A4391" t="inlineStr">
        <is>
          <t>Angelica Jopling</t>
        </is>
      </c>
      <c r="B4391" t="n">
        <v>1</v>
      </c>
      <c r="C4391" t="n">
        <v>2013</v>
      </c>
      <c r="D4391" t="n">
        <v>2013</v>
      </c>
      <c r="E4391" t="inlineStr">
        <is>
          <t>Kick-Ass 2</t>
        </is>
      </c>
      <c r="F4391" t="inlineStr">
        <is>
          <t>F0186</t>
        </is>
      </c>
    </row>
    <row r="4392">
      <c r="A4392" t="inlineStr">
        <is>
          <t>Vincent Curatola</t>
        </is>
      </c>
      <c r="B4392" t="n">
        <v>1</v>
      </c>
      <c r="C4392" t="n">
        <v>2012</v>
      </c>
      <c r="D4392" t="n">
        <v>2012</v>
      </c>
      <c r="E4392" t="inlineStr">
        <is>
          <t>Killing Them Softly</t>
        </is>
      </c>
      <c r="F4392" t="inlineStr">
        <is>
          <t>F0187</t>
        </is>
      </c>
    </row>
    <row r="4393">
      <c r="A4393" t="inlineStr">
        <is>
          <t>George Carroll</t>
        </is>
      </c>
      <c r="B4393" t="n">
        <v>1</v>
      </c>
      <c r="C4393" t="n">
        <v>2012</v>
      </c>
      <c r="D4393" t="n">
        <v>2012</v>
      </c>
      <c r="E4393" t="inlineStr">
        <is>
          <t>Killing Them Softly</t>
        </is>
      </c>
      <c r="F4393" t="inlineStr">
        <is>
          <t>F0187</t>
        </is>
      </c>
    </row>
    <row r="4394">
      <c r="A4394" t="inlineStr">
        <is>
          <t>Max Casella</t>
        </is>
      </c>
      <c r="B4394" t="n">
        <v>1</v>
      </c>
      <c r="C4394" t="n">
        <v>2012</v>
      </c>
      <c r="D4394" t="n">
        <v>2012</v>
      </c>
      <c r="E4394" t="inlineStr">
        <is>
          <t>Killing Them Softly</t>
        </is>
      </c>
      <c r="F4394" t="inlineStr">
        <is>
          <t>F0187</t>
        </is>
      </c>
    </row>
    <row r="4395">
      <c r="A4395" t="inlineStr">
        <is>
          <t>Trevor Long</t>
        </is>
      </c>
      <c r="B4395" t="n">
        <v>1</v>
      </c>
      <c r="C4395" t="n">
        <v>2012</v>
      </c>
      <c r="D4395" t="n">
        <v>2012</v>
      </c>
      <c r="E4395" t="inlineStr">
        <is>
          <t>Killing Them Softly</t>
        </is>
      </c>
      <c r="F4395" t="inlineStr">
        <is>
          <t>F0187</t>
        </is>
      </c>
    </row>
    <row r="4396">
      <c r="A4396" t="inlineStr">
        <is>
          <t>Linara Washington</t>
        </is>
      </c>
      <c r="B4396" t="n">
        <v>1</v>
      </c>
      <c r="C4396" t="n">
        <v>2012</v>
      </c>
      <c r="D4396" t="n">
        <v>2012</v>
      </c>
      <c r="E4396" t="inlineStr">
        <is>
          <t>Killing Them Softly</t>
        </is>
      </c>
      <c r="F4396" t="inlineStr">
        <is>
          <t>F0187</t>
        </is>
      </c>
    </row>
    <row r="4397">
      <c r="A4397" t="inlineStr">
        <is>
          <t>Ross Brodar</t>
        </is>
      </c>
      <c r="B4397" t="n">
        <v>1</v>
      </c>
      <c r="C4397" t="n">
        <v>2012</v>
      </c>
      <c r="D4397" t="n">
        <v>2012</v>
      </c>
      <c r="E4397" t="inlineStr">
        <is>
          <t>Killing Them Softly</t>
        </is>
      </c>
      <c r="F4397" t="inlineStr">
        <is>
          <t>F0187</t>
        </is>
      </c>
    </row>
    <row r="4398">
      <c r="A4398" t="inlineStr">
        <is>
          <t>Wade Allen</t>
        </is>
      </c>
      <c r="B4398" t="n">
        <v>1</v>
      </c>
      <c r="C4398" t="n">
        <v>2012</v>
      </c>
      <c r="D4398" t="n">
        <v>2012</v>
      </c>
      <c r="E4398" t="inlineStr">
        <is>
          <t>Killing Them Softly</t>
        </is>
      </c>
      <c r="F4398" t="inlineStr">
        <is>
          <t>F0187</t>
        </is>
      </c>
    </row>
    <row r="4399">
      <c r="A4399" t="inlineStr">
        <is>
          <t>Christopher Berry</t>
        </is>
      </c>
      <c r="B4399" t="n">
        <v>1</v>
      </c>
      <c r="C4399" t="n">
        <v>2012</v>
      </c>
      <c r="D4399" t="n">
        <v>2012</v>
      </c>
      <c r="E4399" t="inlineStr">
        <is>
          <t>Killing Them Softly</t>
        </is>
      </c>
      <c r="F4399" t="inlineStr">
        <is>
          <t>F0187</t>
        </is>
      </c>
    </row>
    <row r="4400">
      <c r="A4400" t="inlineStr">
        <is>
          <t>Mustafa Harris</t>
        </is>
      </c>
      <c r="B4400" t="n">
        <v>2</v>
      </c>
      <c r="C4400" t="n">
        <v>2012</v>
      </c>
      <c r="D4400" t="n">
        <v>2014</v>
      </c>
      <c r="E4400" t="inlineStr">
        <is>
          <t>Killing Them Softly, Dawn of the Planet of the Apes</t>
        </is>
      </c>
      <c r="F4400" t="inlineStr">
        <is>
          <t>F0187, F0254</t>
        </is>
      </c>
    </row>
    <row r="4401">
      <c r="A4401" t="inlineStr">
        <is>
          <t>Dared Wright</t>
        </is>
      </c>
      <c r="B4401" t="n">
        <v>1</v>
      </c>
      <c r="C4401" t="n">
        <v>2012</v>
      </c>
      <c r="D4401" t="n">
        <v>2012</v>
      </c>
      <c r="E4401" t="inlineStr">
        <is>
          <t>Killing Them Softly</t>
        </is>
      </c>
      <c r="F4401" t="inlineStr">
        <is>
          <t>F0187</t>
        </is>
      </c>
    </row>
    <row r="4402">
      <c r="A4402" t="inlineStr">
        <is>
          <t>Elvin Yoshida</t>
        </is>
      </c>
      <c r="B4402" t="n">
        <v>1</v>
      </c>
      <c r="C4402" t="n">
        <v>2012</v>
      </c>
      <c r="D4402" t="n">
        <v>2012</v>
      </c>
      <c r="E4402" t="inlineStr">
        <is>
          <t>Killing Them Softly</t>
        </is>
      </c>
      <c r="F4402" t="inlineStr">
        <is>
          <t>F0187</t>
        </is>
      </c>
    </row>
    <row r="4403">
      <c r="A4403" t="inlineStr">
        <is>
          <t>Glen Warner</t>
        </is>
      </c>
      <c r="B4403" t="n">
        <v>1</v>
      </c>
      <c r="C4403" t="n">
        <v>2012</v>
      </c>
      <c r="D4403" t="n">
        <v>2012</v>
      </c>
      <c r="E4403" t="inlineStr">
        <is>
          <t>Killing Them Softly</t>
        </is>
      </c>
      <c r="F4403" t="inlineStr">
        <is>
          <t>F0187</t>
        </is>
      </c>
    </row>
    <row r="4404">
      <c r="A4404" t="inlineStr">
        <is>
          <t>Logan Douglas Smith</t>
        </is>
      </c>
      <c r="B4404" t="n">
        <v>1</v>
      </c>
      <c r="C4404" t="n">
        <v>2012</v>
      </c>
      <c r="D4404" t="n">
        <v>2012</v>
      </c>
      <c r="E4404" t="inlineStr">
        <is>
          <t>Killing Them Softly</t>
        </is>
      </c>
      <c r="F4404" t="inlineStr">
        <is>
          <t>F0187</t>
        </is>
      </c>
    </row>
    <row r="4405">
      <c r="A4405" t="inlineStr">
        <is>
          <t>Adam Sibley</t>
        </is>
      </c>
      <c r="B4405" t="n">
        <v>1</v>
      </c>
      <c r="C4405" t="n">
        <v>2012</v>
      </c>
      <c r="D4405" t="n">
        <v>2012</v>
      </c>
      <c r="E4405" t="inlineStr">
        <is>
          <t>Killing Them Softly</t>
        </is>
      </c>
      <c r="F4405" t="inlineStr">
        <is>
          <t>F0187</t>
        </is>
      </c>
    </row>
    <row r="4406">
      <c r="A4406" t="inlineStr">
        <is>
          <t>Henry Paulson</t>
        </is>
      </c>
      <c r="B4406" t="n">
        <v>1</v>
      </c>
      <c r="C4406" t="n">
        <v>2012</v>
      </c>
      <c r="D4406" t="n">
        <v>2012</v>
      </c>
      <c r="E4406" t="inlineStr">
        <is>
          <t>Killing Them Softly</t>
        </is>
      </c>
      <c r="F4406" t="inlineStr">
        <is>
          <t>F0187</t>
        </is>
      </c>
    </row>
    <row r="4407">
      <c r="A4407" t="inlineStr">
        <is>
          <t>Barack Obama</t>
        </is>
      </c>
      <c r="B4407" t="n">
        <v>1</v>
      </c>
      <c r="C4407" t="n">
        <v>2012</v>
      </c>
      <c r="D4407" t="n">
        <v>2012</v>
      </c>
      <c r="E4407" t="inlineStr">
        <is>
          <t>Killing Them Softly</t>
        </is>
      </c>
      <c r="F4407" t="inlineStr">
        <is>
          <t>F0187</t>
        </is>
      </c>
    </row>
    <row r="4408">
      <c r="A4408" t="inlineStr">
        <is>
          <t>John McCain</t>
        </is>
      </c>
      <c r="B4408" t="n">
        <v>1</v>
      </c>
      <c r="C4408" t="n">
        <v>2012</v>
      </c>
      <c r="D4408" t="n">
        <v>2012</v>
      </c>
      <c r="E4408" t="inlineStr">
        <is>
          <t>Killing Them Softly</t>
        </is>
      </c>
      <c r="F4408" t="inlineStr">
        <is>
          <t>F0187</t>
        </is>
      </c>
    </row>
    <row r="4409">
      <c r="A4409" t="inlineStr">
        <is>
          <t>David Joseph Martinez</t>
        </is>
      </c>
      <c r="B4409" t="n">
        <v>1</v>
      </c>
      <c r="C4409" t="n">
        <v>2012</v>
      </c>
      <c r="D4409" t="n">
        <v>2012</v>
      </c>
      <c r="E4409" t="inlineStr">
        <is>
          <t>Killing Them Softly</t>
        </is>
      </c>
      <c r="F4409" t="inlineStr">
        <is>
          <t>F0187</t>
        </is>
      </c>
    </row>
    <row r="4410">
      <c r="A4410" t="inlineStr">
        <is>
          <t>Raymond Lapino</t>
        </is>
      </c>
      <c r="B4410" t="n">
        <v>1</v>
      </c>
      <c r="C4410" t="n">
        <v>2012</v>
      </c>
      <c r="D4410" t="n">
        <v>2012</v>
      </c>
      <c r="E4410" t="inlineStr">
        <is>
          <t>Killing Them Softly</t>
        </is>
      </c>
      <c r="F4410" t="inlineStr">
        <is>
          <t>F0187</t>
        </is>
      </c>
    </row>
    <row r="4411">
      <c r="A4411" t="inlineStr">
        <is>
          <t>Shadoe Knight</t>
        </is>
      </c>
      <c r="B4411" t="n">
        <v>1</v>
      </c>
      <c r="C4411" t="n">
        <v>2012</v>
      </c>
      <c r="D4411" t="n">
        <v>2012</v>
      </c>
      <c r="E4411" t="inlineStr">
        <is>
          <t>Killing Them Softly</t>
        </is>
      </c>
      <c r="F4411" t="inlineStr">
        <is>
          <t>F0187</t>
        </is>
      </c>
    </row>
    <row r="4412">
      <c r="A4412" t="inlineStr">
        <is>
          <t>Thomas Kretschmann</t>
        </is>
      </c>
      <c r="B4412" t="n">
        <v>1</v>
      </c>
      <c r="C4412" t="n">
        <v>2005</v>
      </c>
      <c r="D4412" t="n">
        <v>2005</v>
      </c>
      <c r="E4412" t="inlineStr">
        <is>
          <t>King Kong</t>
        </is>
      </c>
      <c r="F4412" t="inlineStr">
        <is>
          <t>F0188</t>
        </is>
      </c>
    </row>
    <row r="4413">
      <c r="A4413" t="inlineStr">
        <is>
          <t>Evan Parke</t>
        </is>
      </c>
      <c r="B4413" t="n">
        <v>1</v>
      </c>
      <c r="C4413" t="n">
        <v>2005</v>
      </c>
      <c r="D4413" t="n">
        <v>2005</v>
      </c>
      <c r="E4413" t="inlineStr">
        <is>
          <t>King Kong</t>
        </is>
      </c>
      <c r="F4413" t="inlineStr">
        <is>
          <t>F0188</t>
        </is>
      </c>
    </row>
    <row r="4414">
      <c r="A4414" t="inlineStr">
        <is>
          <t>Lobo Chan</t>
        </is>
      </c>
      <c r="B4414" t="n">
        <v>1</v>
      </c>
      <c r="C4414" t="n">
        <v>2005</v>
      </c>
      <c r="D4414" t="n">
        <v>2005</v>
      </c>
      <c r="E4414" t="inlineStr">
        <is>
          <t>King Kong</t>
        </is>
      </c>
      <c r="F4414" t="inlineStr">
        <is>
          <t>F0188</t>
        </is>
      </c>
    </row>
    <row r="4415">
      <c r="A4415" t="inlineStr">
        <is>
          <t>Craig Hall</t>
        </is>
      </c>
      <c r="B4415" t="n">
        <v>1</v>
      </c>
      <c r="C4415" t="n">
        <v>2005</v>
      </c>
      <c r="D4415" t="n">
        <v>2005</v>
      </c>
      <c r="E4415" t="inlineStr">
        <is>
          <t>King Kong</t>
        </is>
      </c>
      <c r="F4415" t="inlineStr">
        <is>
          <t>F0188</t>
        </is>
      </c>
    </row>
    <row r="4416">
      <c r="A4416" t="inlineStr">
        <is>
          <t>Peter McKenzie</t>
        </is>
      </c>
      <c r="B4416" t="n">
        <v>2</v>
      </c>
      <c r="C4416" t="n">
        <v>2001</v>
      </c>
      <c r="D4416" t="n">
        <v>2005</v>
      </c>
      <c r="E4416" t="inlineStr">
        <is>
          <t>King Kong, The Lord of the Rings: The Fellowship of the Ring</t>
        </is>
      </c>
      <c r="F4416" t="inlineStr">
        <is>
          <t>F0188, F0203</t>
        </is>
      </c>
    </row>
    <row r="4417">
      <c r="A4417" t="inlineStr">
        <is>
          <t>William Johnson</t>
        </is>
      </c>
      <c r="B4417" t="n">
        <v>1</v>
      </c>
      <c r="C4417" t="n">
        <v>2005</v>
      </c>
      <c r="D4417" t="n">
        <v>2005</v>
      </c>
      <c r="E4417" t="inlineStr">
        <is>
          <t>King Kong</t>
        </is>
      </c>
      <c r="F4417" t="inlineStr">
        <is>
          <t>F0188</t>
        </is>
      </c>
    </row>
    <row r="4418">
      <c r="A4418" t="inlineStr">
        <is>
          <t>David Pittu</t>
        </is>
      </c>
      <c r="B4418" t="n">
        <v>1</v>
      </c>
      <c r="C4418" t="n">
        <v>2005</v>
      </c>
      <c r="D4418" t="n">
        <v>2005</v>
      </c>
      <c r="E4418" t="inlineStr">
        <is>
          <t>King Kong</t>
        </is>
      </c>
      <c r="F4418" t="inlineStr">
        <is>
          <t>F0188</t>
        </is>
      </c>
    </row>
    <row r="4419">
      <c r="A4419" t="inlineStr">
        <is>
          <t>Geraldine Brophy</t>
        </is>
      </c>
      <c r="B4419" t="n">
        <v>2</v>
      </c>
      <c r="C4419" t="n">
        <v>2005</v>
      </c>
      <c r="D4419" t="n">
        <v>2009</v>
      </c>
      <c r="E4419" t="inlineStr">
        <is>
          <t>King Kong, Underworld: Rise of the Lycans</t>
        </is>
      </c>
      <c r="F4419" t="inlineStr">
        <is>
          <t>F0188, F0327</t>
        </is>
      </c>
    </row>
    <row r="4420">
      <c r="A4420" t="inlineStr">
        <is>
          <t>David Dennis</t>
        </is>
      </c>
      <c r="B4420" t="n">
        <v>1</v>
      </c>
      <c r="C4420" t="n">
        <v>2005</v>
      </c>
      <c r="D4420" t="n">
        <v>2005</v>
      </c>
      <c r="E4420" t="inlineStr">
        <is>
          <t>King Kong</t>
        </is>
      </c>
      <c r="F4420" t="inlineStr">
        <is>
          <t>F0188</t>
        </is>
      </c>
    </row>
    <row r="4421">
      <c r="A4421" t="inlineStr">
        <is>
          <t>Pip Mushin</t>
        </is>
      </c>
      <c r="B4421" t="n">
        <v>1</v>
      </c>
      <c r="C4421" t="n">
        <v>2005</v>
      </c>
      <c r="D4421" t="n">
        <v>2005</v>
      </c>
      <c r="E4421" t="inlineStr">
        <is>
          <t>King Kong</t>
        </is>
      </c>
      <c r="F4421" t="inlineStr">
        <is>
          <t>F0188</t>
        </is>
      </c>
    </row>
    <row r="4422">
      <c r="A4422" t="inlineStr">
        <is>
          <t>Jim Knobeloch</t>
        </is>
      </c>
      <c r="B4422" t="n">
        <v>1</v>
      </c>
      <c r="C4422" t="n">
        <v>2005</v>
      </c>
      <c r="D4422" t="n">
        <v>2005</v>
      </c>
      <c r="E4422" t="inlineStr">
        <is>
          <t>King Kong</t>
        </is>
      </c>
      <c r="F4422" t="inlineStr">
        <is>
          <t>F0188</t>
        </is>
      </c>
    </row>
    <row r="4423">
      <c r="A4423" t="inlineStr">
        <is>
          <t>Ric Herbert</t>
        </is>
      </c>
      <c r="B4423" t="n">
        <v>1</v>
      </c>
      <c r="C4423" t="n">
        <v>2005</v>
      </c>
      <c r="D4423" t="n">
        <v>2005</v>
      </c>
      <c r="E4423" t="inlineStr">
        <is>
          <t>King Kong</t>
        </is>
      </c>
      <c r="F4423" t="inlineStr">
        <is>
          <t>F0188</t>
        </is>
      </c>
    </row>
    <row r="4424">
      <c r="A4424" t="inlineStr">
        <is>
          <t>Lee Donahue</t>
        </is>
      </c>
      <c r="B4424" t="n">
        <v>1</v>
      </c>
      <c r="C4424" t="n">
        <v>2005</v>
      </c>
      <c r="D4424" t="n">
        <v>2005</v>
      </c>
      <c r="E4424" t="inlineStr">
        <is>
          <t>King Kong</t>
        </is>
      </c>
      <c r="F4424" t="inlineStr">
        <is>
          <t>F0188</t>
        </is>
      </c>
    </row>
    <row r="4425">
      <c r="A4425" t="inlineStr">
        <is>
          <t>Tom Hobbs</t>
        </is>
      </c>
      <c r="B4425" t="n">
        <v>1</v>
      </c>
      <c r="C4425" t="n">
        <v>2005</v>
      </c>
      <c r="D4425" t="n">
        <v>2005</v>
      </c>
      <c r="E4425" t="inlineStr">
        <is>
          <t>King Kong</t>
        </is>
      </c>
      <c r="F4425" t="inlineStr">
        <is>
          <t>F0188</t>
        </is>
      </c>
    </row>
    <row r="4426">
      <c r="A4426" t="inlineStr">
        <is>
          <t>Tiriel Mora</t>
        </is>
      </c>
      <c r="B4426" t="n">
        <v>1</v>
      </c>
      <c r="C4426" t="n">
        <v>2005</v>
      </c>
      <c r="D4426" t="n">
        <v>2005</v>
      </c>
      <c r="E4426" t="inlineStr">
        <is>
          <t>King Kong</t>
        </is>
      </c>
      <c r="F4426" t="inlineStr">
        <is>
          <t>F0188</t>
        </is>
      </c>
    </row>
    <row r="4427">
      <c r="A4427" t="inlineStr">
        <is>
          <t>John Wraight</t>
        </is>
      </c>
      <c r="B4427" t="n">
        <v>1</v>
      </c>
      <c r="C4427" t="n">
        <v>2005</v>
      </c>
      <c r="D4427" t="n">
        <v>2005</v>
      </c>
      <c r="E4427" t="inlineStr">
        <is>
          <t>King Kong</t>
        </is>
      </c>
      <c r="F4427" t="inlineStr">
        <is>
          <t>F0188</t>
        </is>
      </c>
    </row>
    <row r="4428">
      <c r="A4428" t="inlineStr">
        <is>
          <t>Will Wallace</t>
        </is>
      </c>
      <c r="B4428" t="n">
        <v>2</v>
      </c>
      <c r="C4428" t="n">
        <v>2005</v>
      </c>
      <c r="D4428" t="n">
        <v>2010</v>
      </c>
      <c r="E4428" t="inlineStr">
        <is>
          <t>King Kong, Yogi Bear</t>
        </is>
      </c>
      <c r="F4428" t="inlineStr">
        <is>
          <t>F0188, F0348</t>
        </is>
      </c>
    </row>
    <row r="4429">
      <c r="A4429" t="inlineStr">
        <is>
          <t>Frank Edwards</t>
        </is>
      </c>
      <c r="B4429" t="n">
        <v>1</v>
      </c>
      <c r="C4429" t="n">
        <v>2005</v>
      </c>
      <c r="D4429" t="n">
        <v>2005</v>
      </c>
      <c r="E4429" t="inlineStr">
        <is>
          <t>King Kong</t>
        </is>
      </c>
      <c r="F4429" t="inlineStr">
        <is>
          <t>F0188</t>
        </is>
      </c>
    </row>
    <row r="4430">
      <c r="A4430" t="inlineStr">
        <is>
          <t>Crawford Thomson</t>
        </is>
      </c>
      <c r="B4430" t="n">
        <v>1</v>
      </c>
      <c r="C4430" t="n">
        <v>2005</v>
      </c>
      <c r="D4430" t="n">
        <v>2005</v>
      </c>
      <c r="E4430" t="inlineStr">
        <is>
          <t>King Kong</t>
        </is>
      </c>
      <c r="F4430" t="inlineStr">
        <is>
          <t>F0188</t>
        </is>
      </c>
    </row>
    <row r="4431">
      <c r="A4431" t="inlineStr">
        <is>
          <t>Richard Kavanagh</t>
        </is>
      </c>
      <c r="B4431" t="n">
        <v>1</v>
      </c>
      <c r="C4431" t="n">
        <v>2005</v>
      </c>
      <c r="D4431" t="n">
        <v>2005</v>
      </c>
      <c r="E4431" t="inlineStr">
        <is>
          <t>King Kong</t>
        </is>
      </c>
      <c r="F4431" t="inlineStr">
        <is>
          <t>F0188</t>
        </is>
      </c>
    </row>
    <row r="4432">
      <c r="A4432" t="inlineStr">
        <is>
          <t>Freya Wilson</t>
        </is>
      </c>
      <c r="B4432" t="n">
        <v>1</v>
      </c>
      <c r="C4432" t="n">
        <v>2010</v>
      </c>
      <c r="D4432" t="n">
        <v>2010</v>
      </c>
      <c r="E4432" t="inlineStr">
        <is>
          <t>The King's Speech</t>
        </is>
      </c>
      <c r="F4432" t="inlineStr">
        <is>
          <t>F0189</t>
        </is>
      </c>
    </row>
    <row r="4433">
      <c r="A4433" t="inlineStr">
        <is>
          <t>Ramona Marquez</t>
        </is>
      </c>
      <c r="B4433" t="n">
        <v>1</v>
      </c>
      <c r="C4433" t="n">
        <v>2010</v>
      </c>
      <c r="D4433" t="n">
        <v>2010</v>
      </c>
      <c r="E4433" t="inlineStr">
        <is>
          <t>The King's Speech</t>
        </is>
      </c>
      <c r="F4433" t="inlineStr">
        <is>
          <t>F0189</t>
        </is>
      </c>
    </row>
    <row r="4434">
      <c r="A4434" t="inlineStr">
        <is>
          <t>Richard Dixon</t>
        </is>
      </c>
      <c r="B4434" t="n">
        <v>2</v>
      </c>
      <c r="C4434" t="n">
        <v>2010</v>
      </c>
      <c r="D4434" t="n">
        <v>2012</v>
      </c>
      <c r="E4434" t="inlineStr">
        <is>
          <t>The King's Speech, Les Misérables</t>
        </is>
      </c>
      <c r="F4434" t="inlineStr">
        <is>
          <t>F0189, F0199</t>
        </is>
      </c>
    </row>
    <row r="4435">
      <c r="A4435" t="inlineStr">
        <is>
          <t>Robert Portal</t>
        </is>
      </c>
      <c r="B4435" t="n">
        <v>1</v>
      </c>
      <c r="C4435" t="n">
        <v>2010</v>
      </c>
      <c r="D4435" t="n">
        <v>2010</v>
      </c>
      <c r="E4435" t="inlineStr">
        <is>
          <t>The King's Speech</t>
        </is>
      </c>
      <c r="F4435" t="inlineStr">
        <is>
          <t>F0189</t>
        </is>
      </c>
    </row>
    <row r="4436">
      <c r="A4436" t="inlineStr">
        <is>
          <t>Eve Best</t>
        </is>
      </c>
      <c r="B4436" t="n">
        <v>1</v>
      </c>
      <c r="C4436" t="n">
        <v>2010</v>
      </c>
      <c r="D4436" t="n">
        <v>2010</v>
      </c>
      <c r="E4436" t="inlineStr">
        <is>
          <t>The King's Speech</t>
        </is>
      </c>
      <c r="F4436" t="inlineStr">
        <is>
          <t>F0189</t>
        </is>
      </c>
    </row>
    <row r="4437">
      <c r="A4437" t="inlineStr">
        <is>
          <t>Paul Trussell</t>
        </is>
      </c>
      <c r="B4437" t="n">
        <v>1</v>
      </c>
      <c r="C4437" t="n">
        <v>2010</v>
      </c>
      <c r="D4437" t="n">
        <v>2010</v>
      </c>
      <c r="E4437" t="inlineStr">
        <is>
          <t>The King's Speech</t>
        </is>
      </c>
      <c r="F4437" t="inlineStr">
        <is>
          <t>F0189</t>
        </is>
      </c>
    </row>
    <row r="4438">
      <c r="A4438" t="inlineStr">
        <is>
          <t>Adrian Scarborough</t>
        </is>
      </c>
      <c r="B4438" t="n">
        <v>1</v>
      </c>
      <c r="C4438" t="n">
        <v>2010</v>
      </c>
      <c r="D4438" t="n">
        <v>2010</v>
      </c>
      <c r="E4438" t="inlineStr">
        <is>
          <t>The King's Speech</t>
        </is>
      </c>
      <c r="F4438" t="inlineStr">
        <is>
          <t>F0189</t>
        </is>
      </c>
    </row>
    <row r="4439">
      <c r="A4439" t="inlineStr">
        <is>
          <t>Charles Armstrong</t>
        </is>
      </c>
      <c r="B4439" t="n">
        <v>1</v>
      </c>
      <c r="C4439" t="n">
        <v>2010</v>
      </c>
      <c r="D4439" t="n">
        <v>2010</v>
      </c>
      <c r="E4439" t="inlineStr">
        <is>
          <t>The King's Speech</t>
        </is>
      </c>
      <c r="F4439" t="inlineStr">
        <is>
          <t>F0189</t>
        </is>
      </c>
    </row>
    <row r="4440">
      <c r="A4440" t="inlineStr">
        <is>
          <t>Roger Hammond</t>
        </is>
      </c>
      <c r="B4440" t="n">
        <v>1</v>
      </c>
      <c r="C4440" t="n">
        <v>2010</v>
      </c>
      <c r="D4440" t="n">
        <v>2010</v>
      </c>
      <c r="E4440" t="inlineStr">
        <is>
          <t>The King's Speech</t>
        </is>
      </c>
      <c r="F4440" t="inlineStr">
        <is>
          <t>F0189</t>
        </is>
      </c>
    </row>
    <row r="4441">
      <c r="A4441" t="inlineStr">
        <is>
          <t>Calum Gittins</t>
        </is>
      </c>
      <c r="B4441" t="n">
        <v>2</v>
      </c>
      <c r="C4441" t="n">
        <v>2002</v>
      </c>
      <c r="D4441" t="n">
        <v>2010</v>
      </c>
      <c r="E4441" t="inlineStr">
        <is>
          <t>The King's Speech, The Lord of the Rings: The Two Towers</t>
        </is>
      </c>
      <c r="F4441" t="inlineStr">
        <is>
          <t>F0189, F0204</t>
        </is>
      </c>
    </row>
    <row r="4442">
      <c r="A4442" t="inlineStr">
        <is>
          <t>Dominic Applewhite</t>
        </is>
      </c>
      <c r="B4442" t="n">
        <v>1</v>
      </c>
      <c r="C4442" t="n">
        <v>2010</v>
      </c>
      <c r="D4442" t="n">
        <v>2010</v>
      </c>
      <c r="E4442" t="inlineStr">
        <is>
          <t>The King's Speech</t>
        </is>
      </c>
      <c r="F4442" t="inlineStr">
        <is>
          <t>F0189</t>
        </is>
      </c>
    </row>
    <row r="4443">
      <c r="A4443" t="inlineStr">
        <is>
          <t>Ben Wimsett</t>
        </is>
      </c>
      <c r="B4443" t="n">
        <v>1</v>
      </c>
      <c r="C4443" t="n">
        <v>2010</v>
      </c>
      <c r="D4443" t="n">
        <v>2010</v>
      </c>
      <c r="E4443" t="inlineStr">
        <is>
          <t>The King's Speech</t>
        </is>
      </c>
      <c r="F4443" t="inlineStr">
        <is>
          <t>F0189</t>
        </is>
      </c>
    </row>
    <row r="4444">
      <c r="A4444" t="inlineStr">
        <is>
          <t>Jake Hathaway</t>
        </is>
      </c>
      <c r="B4444" t="n">
        <v>1</v>
      </c>
      <c r="C4444" t="n">
        <v>2010</v>
      </c>
      <c r="D4444" t="n">
        <v>2010</v>
      </c>
      <c r="E4444" t="inlineStr">
        <is>
          <t>The King's Speech</t>
        </is>
      </c>
      <c r="F4444" t="inlineStr">
        <is>
          <t>F0189</t>
        </is>
      </c>
    </row>
    <row r="4445">
      <c r="A4445" t="inlineStr">
        <is>
          <t>Patrick Ryecart</t>
        </is>
      </c>
      <c r="B4445" t="n">
        <v>1</v>
      </c>
      <c r="C4445" t="n">
        <v>2010</v>
      </c>
      <c r="D4445" t="n">
        <v>2010</v>
      </c>
      <c r="E4445" t="inlineStr">
        <is>
          <t>The King's Speech</t>
        </is>
      </c>
      <c r="F4445" t="inlineStr">
        <is>
          <t>F0189</t>
        </is>
      </c>
    </row>
    <row r="4446">
      <c r="A4446" t="inlineStr">
        <is>
          <t>Teresa Gallagher</t>
        </is>
      </c>
      <c r="B4446" t="n">
        <v>1</v>
      </c>
      <c r="C4446" t="n">
        <v>2010</v>
      </c>
      <c r="D4446" t="n">
        <v>2010</v>
      </c>
      <c r="E4446" t="inlineStr">
        <is>
          <t>The King's Speech</t>
        </is>
      </c>
      <c r="F4446" t="inlineStr">
        <is>
          <t>F0189</t>
        </is>
      </c>
    </row>
    <row r="4447">
      <c r="A4447" t="inlineStr">
        <is>
          <t>Simon Chandler</t>
        </is>
      </c>
      <c r="B4447" t="n">
        <v>1</v>
      </c>
      <c r="C4447" t="n">
        <v>2010</v>
      </c>
      <c r="D4447" t="n">
        <v>2010</v>
      </c>
      <c r="E4447" t="inlineStr">
        <is>
          <t>The King's Speech</t>
        </is>
      </c>
      <c r="F4447" t="inlineStr">
        <is>
          <t>F0189</t>
        </is>
      </c>
    </row>
    <row r="4448">
      <c r="A4448" t="inlineStr">
        <is>
          <t>Claire Bloom</t>
        </is>
      </c>
      <c r="B4448" t="n">
        <v>1</v>
      </c>
      <c r="C4448" t="n">
        <v>2010</v>
      </c>
      <c r="D4448" t="n">
        <v>2010</v>
      </c>
      <c r="E4448" t="inlineStr">
        <is>
          <t>The King's Speech</t>
        </is>
      </c>
      <c r="F4448" t="inlineStr">
        <is>
          <t>F0189</t>
        </is>
      </c>
    </row>
    <row r="4449">
      <c r="A4449" t="inlineStr">
        <is>
          <t>Orlando Wells</t>
        </is>
      </c>
      <c r="B4449" t="n">
        <v>1</v>
      </c>
      <c r="C4449" t="n">
        <v>2010</v>
      </c>
      <c r="D4449" t="n">
        <v>2010</v>
      </c>
      <c r="E4449" t="inlineStr">
        <is>
          <t>The King's Speech</t>
        </is>
      </c>
      <c r="F4449" t="inlineStr">
        <is>
          <t>F0189</t>
        </is>
      </c>
    </row>
    <row r="4450">
      <c r="A4450" t="inlineStr">
        <is>
          <t>Tim Downie</t>
        </is>
      </c>
      <c r="B4450" t="n">
        <v>3</v>
      </c>
      <c r="C4450" t="n">
        <v>2010</v>
      </c>
      <c r="D4450" t="n">
        <v>2014</v>
      </c>
      <c r="E4450" t="inlineStr">
        <is>
          <t>The King's Speech, Les Misérables, Paddington</t>
        </is>
      </c>
      <c r="F4450" t="inlineStr">
        <is>
          <t>F0189, F0199, F0244</t>
        </is>
      </c>
    </row>
    <row r="4451">
      <c r="A4451" t="inlineStr">
        <is>
          <t>Dick Ward</t>
        </is>
      </c>
      <c r="B4451" t="n">
        <v>1</v>
      </c>
      <c r="C4451" t="n">
        <v>2010</v>
      </c>
      <c r="D4451" t="n">
        <v>2010</v>
      </c>
      <c r="E4451" t="inlineStr">
        <is>
          <t>The King's Speech</t>
        </is>
      </c>
      <c r="F4451" t="inlineStr">
        <is>
          <t>F0189</t>
        </is>
      </c>
    </row>
    <row r="4452">
      <c r="A4452" t="inlineStr">
        <is>
          <t>Thomas Mann</t>
        </is>
      </c>
      <c r="B4452" t="n">
        <v>1</v>
      </c>
      <c r="C4452" t="n">
        <v>2017</v>
      </c>
      <c r="D4452" t="n">
        <v>2017</v>
      </c>
      <c r="E4452" t="inlineStr">
        <is>
          <t>Kong: Skull Island</t>
        </is>
      </c>
      <c r="F4452" t="inlineStr">
        <is>
          <t>F0190</t>
        </is>
      </c>
    </row>
    <row r="4453">
      <c r="A4453" t="inlineStr">
        <is>
          <t>Eugene Cordero</t>
        </is>
      </c>
      <c r="B4453" t="n">
        <v>1</v>
      </c>
      <c r="C4453" t="n">
        <v>2017</v>
      </c>
      <c r="D4453" t="n">
        <v>2017</v>
      </c>
      <c r="E4453" t="inlineStr">
        <is>
          <t>Kong: Skull Island</t>
        </is>
      </c>
      <c r="F4453" t="inlineStr">
        <is>
          <t>F0190</t>
        </is>
      </c>
    </row>
    <row r="4454">
      <c r="A4454" t="inlineStr">
        <is>
          <t>MIYAVI</t>
        </is>
      </c>
      <c r="B4454" t="n">
        <v>1</v>
      </c>
      <c r="C4454" t="n">
        <v>2017</v>
      </c>
      <c r="D4454" t="n">
        <v>2017</v>
      </c>
      <c r="E4454" t="inlineStr">
        <is>
          <t>Kong: Skull Island</t>
        </is>
      </c>
      <c r="F4454" t="inlineStr">
        <is>
          <t>F0190</t>
        </is>
      </c>
    </row>
    <row r="4455">
      <c r="A4455" t="inlineStr">
        <is>
          <t>Will Brittain</t>
        </is>
      </c>
      <c r="B4455" t="n">
        <v>1</v>
      </c>
      <c r="C4455" t="n">
        <v>2017</v>
      </c>
      <c r="D4455" t="n">
        <v>2017</v>
      </c>
      <c r="E4455" t="inlineStr">
        <is>
          <t>Kong: Skull Island</t>
        </is>
      </c>
      <c r="F4455" t="inlineStr">
        <is>
          <t>F0190</t>
        </is>
      </c>
    </row>
    <row r="4456">
      <c r="A4456" t="inlineStr">
        <is>
          <t>Allyn Rachel</t>
        </is>
      </c>
      <c r="B4456" t="n">
        <v>1</v>
      </c>
      <c r="C4456" t="n">
        <v>2017</v>
      </c>
      <c r="D4456" t="n">
        <v>2017</v>
      </c>
      <c r="E4456" t="inlineStr">
        <is>
          <t>Kong: Skull Island</t>
        </is>
      </c>
      <c r="F4456" t="inlineStr">
        <is>
          <t>F0190</t>
        </is>
      </c>
    </row>
    <row r="4457">
      <c r="A4457" t="inlineStr">
        <is>
          <t>Robert Taylor</t>
        </is>
      </c>
      <c r="B4457" t="n">
        <v>2</v>
      </c>
      <c r="C4457" t="n">
        <v>1999</v>
      </c>
      <c r="D4457" t="n">
        <v>2017</v>
      </c>
      <c r="E4457" t="inlineStr">
        <is>
          <t>Kong: Skull Island, The Matrix</t>
        </is>
      </c>
      <c r="F4457" t="inlineStr">
        <is>
          <t>F0190, F0214</t>
        </is>
      </c>
    </row>
    <row r="4458">
      <c r="A4458" t="inlineStr">
        <is>
          <t>James M. Connor</t>
        </is>
      </c>
      <c r="B4458" t="n">
        <v>1</v>
      </c>
      <c r="C4458" t="n">
        <v>2017</v>
      </c>
      <c r="D4458" t="n">
        <v>2017</v>
      </c>
      <c r="E4458" t="inlineStr">
        <is>
          <t>Kong: Skull Island</t>
        </is>
      </c>
      <c r="F4458" t="inlineStr">
        <is>
          <t>F0190</t>
        </is>
      </c>
    </row>
    <row r="4459">
      <c r="A4459" t="inlineStr">
        <is>
          <t>Brady Novak</t>
        </is>
      </c>
      <c r="B4459" t="n">
        <v>1</v>
      </c>
      <c r="C4459" t="n">
        <v>2017</v>
      </c>
      <c r="D4459" t="n">
        <v>2017</v>
      </c>
      <c r="E4459" t="inlineStr">
        <is>
          <t>Kong: Skull Island</t>
        </is>
      </c>
      <c r="F4459" t="inlineStr">
        <is>
          <t>F0190</t>
        </is>
      </c>
    </row>
    <row r="4460">
      <c r="A4460" t="inlineStr">
        <is>
          <t>Peter Karinen</t>
        </is>
      </c>
      <c r="B4460" t="n">
        <v>1</v>
      </c>
      <c r="C4460" t="n">
        <v>2017</v>
      </c>
      <c r="D4460" t="n">
        <v>2017</v>
      </c>
      <c r="E4460" t="inlineStr">
        <is>
          <t>Kong: Skull Island</t>
        </is>
      </c>
      <c r="F4460" t="inlineStr">
        <is>
          <t>F0190</t>
        </is>
      </c>
    </row>
    <row r="4461">
      <c r="A4461" t="inlineStr">
        <is>
          <t>Brian Sacca</t>
        </is>
      </c>
      <c r="B4461" t="n">
        <v>1</v>
      </c>
      <c r="C4461" t="n">
        <v>2017</v>
      </c>
      <c r="D4461" t="n">
        <v>2017</v>
      </c>
      <c r="E4461" t="inlineStr">
        <is>
          <t>Kong: Skull Island</t>
        </is>
      </c>
      <c r="F4461" t="inlineStr">
        <is>
          <t>F0190</t>
        </is>
      </c>
    </row>
    <row r="4462">
      <c r="A4462" t="inlineStr">
        <is>
          <t>Joshua Funk</t>
        </is>
      </c>
      <c r="B4462" t="n">
        <v>1</v>
      </c>
      <c r="C4462" t="n">
        <v>2017</v>
      </c>
      <c r="D4462" t="n">
        <v>2017</v>
      </c>
      <c r="E4462" t="inlineStr">
        <is>
          <t>Kong: Skull Island</t>
        </is>
      </c>
      <c r="F4462" t="inlineStr">
        <is>
          <t>F0190</t>
        </is>
      </c>
    </row>
    <row r="4463">
      <c r="A4463" t="inlineStr">
        <is>
          <t>Daniel F. Malone</t>
        </is>
      </c>
      <c r="B4463" t="n">
        <v>1</v>
      </c>
      <c r="C4463" t="n">
        <v>2017</v>
      </c>
      <c r="D4463" t="n">
        <v>2017</v>
      </c>
      <c r="E4463" t="inlineStr">
        <is>
          <t>Kong: Skull Island</t>
        </is>
      </c>
      <c r="F4463" t="inlineStr">
        <is>
          <t>F0190</t>
        </is>
      </c>
    </row>
    <row r="4464">
      <c r="A4464" t="inlineStr">
        <is>
          <t>Glenn Kiwi Hall</t>
        </is>
      </c>
      <c r="B4464" t="n">
        <v>1</v>
      </c>
      <c r="C4464" t="n">
        <v>2017</v>
      </c>
      <c r="D4464" t="n">
        <v>2017</v>
      </c>
      <c r="E4464" t="inlineStr">
        <is>
          <t>Kong: Skull Island</t>
        </is>
      </c>
      <c r="F4464" t="inlineStr">
        <is>
          <t>F0190</t>
        </is>
      </c>
    </row>
    <row r="4465">
      <c r="A4465" t="inlineStr">
        <is>
          <t>Garreth Hadfield</t>
        </is>
      </c>
      <c r="B4465" t="n">
        <v>1</v>
      </c>
      <c r="C4465" t="n">
        <v>2017</v>
      </c>
      <c r="D4465" t="n">
        <v>2017</v>
      </c>
      <c r="E4465" t="inlineStr">
        <is>
          <t>Kong: Skull Island</t>
        </is>
      </c>
      <c r="F4465" t="inlineStr">
        <is>
          <t>F0190</t>
        </is>
      </c>
    </row>
    <row r="4466">
      <c r="A4466" t="inlineStr">
        <is>
          <t>Shannon Brimelow</t>
        </is>
      </c>
      <c r="B4466" t="n">
        <v>1</v>
      </c>
      <c r="C4466" t="n">
        <v>2017</v>
      </c>
      <c r="D4466" t="n">
        <v>2017</v>
      </c>
      <c r="E4466" t="inlineStr">
        <is>
          <t>Kong: Skull Island</t>
        </is>
      </c>
      <c r="F4466" t="inlineStr">
        <is>
          <t>F0190</t>
        </is>
      </c>
    </row>
    <row r="4467">
      <c r="A4467" t="inlineStr">
        <is>
          <t>Gregory Itzin</t>
        </is>
      </c>
      <c r="B4467" t="n">
        <v>1</v>
      </c>
      <c r="C4467" t="n">
        <v>2009</v>
      </c>
      <c r="D4467" t="n">
        <v>2009</v>
      </c>
      <c r="E4467" t="inlineStr">
        <is>
          <t>Law Abiding Citizen</t>
        </is>
      </c>
      <c r="F4467" t="inlineStr">
        <is>
          <t>F0191</t>
        </is>
      </c>
    </row>
    <row r="4468">
      <c r="A4468" t="inlineStr">
        <is>
          <t>Regina Hall</t>
        </is>
      </c>
      <c r="B4468" t="n">
        <v>1</v>
      </c>
      <c r="C4468" t="n">
        <v>2009</v>
      </c>
      <c r="D4468" t="n">
        <v>2009</v>
      </c>
      <c r="E4468" t="inlineStr">
        <is>
          <t>Law Abiding Citizen</t>
        </is>
      </c>
      <c r="F4468" t="inlineStr">
        <is>
          <t>F0191</t>
        </is>
      </c>
    </row>
    <row r="4469">
      <c r="A4469" t="inlineStr">
        <is>
          <t>Emerald-Angel Young</t>
        </is>
      </c>
      <c r="B4469" t="n">
        <v>1</v>
      </c>
      <c r="C4469" t="n">
        <v>2009</v>
      </c>
      <c r="D4469" t="n">
        <v>2009</v>
      </c>
      <c r="E4469" t="inlineStr">
        <is>
          <t>Law Abiding Citizen</t>
        </is>
      </c>
      <c r="F4469" t="inlineStr">
        <is>
          <t>F0191</t>
        </is>
      </c>
    </row>
    <row r="4470">
      <c r="A4470" t="inlineStr">
        <is>
          <t>Brooke Stacy Mills</t>
        </is>
      </c>
      <c r="B4470" t="n">
        <v>1</v>
      </c>
      <c r="C4470" t="n">
        <v>2009</v>
      </c>
      <c r="D4470" t="n">
        <v>2009</v>
      </c>
      <c r="E4470" t="inlineStr">
        <is>
          <t>Law Abiding Citizen</t>
        </is>
      </c>
      <c r="F4470" t="inlineStr">
        <is>
          <t>F0191</t>
        </is>
      </c>
    </row>
    <row r="4471">
      <c r="A4471" t="inlineStr">
        <is>
          <t>Christian Stolte</t>
        </is>
      </c>
      <c r="B4471" t="n">
        <v>1</v>
      </c>
      <c r="C4471" t="n">
        <v>2009</v>
      </c>
      <c r="D4471" t="n">
        <v>2009</v>
      </c>
      <c r="E4471" t="inlineStr">
        <is>
          <t>Law Abiding Citizen</t>
        </is>
      </c>
      <c r="F4471" t="inlineStr">
        <is>
          <t>F0191</t>
        </is>
      </c>
    </row>
    <row r="4472">
      <c r="A4472" t="inlineStr">
        <is>
          <t>Annie Corley</t>
        </is>
      </c>
      <c r="B4472" t="n">
        <v>1</v>
      </c>
      <c r="C4472" t="n">
        <v>2009</v>
      </c>
      <c r="D4472" t="n">
        <v>2009</v>
      </c>
      <c r="E4472" t="inlineStr">
        <is>
          <t>Law Abiding Citizen</t>
        </is>
      </c>
      <c r="F4472" t="inlineStr">
        <is>
          <t>F0191</t>
        </is>
      </c>
    </row>
    <row r="4473">
      <c r="A4473" t="inlineStr">
        <is>
          <t>Richard Portnow</t>
        </is>
      </c>
      <c r="B4473" t="n">
        <v>2</v>
      </c>
      <c r="C4473" t="n">
        <v>1995</v>
      </c>
      <c r="D4473" t="n">
        <v>2009</v>
      </c>
      <c r="E4473" t="inlineStr">
        <is>
          <t>Law Abiding Citizen, Se7en</t>
        </is>
      </c>
      <c r="F4473" t="inlineStr">
        <is>
          <t>F0191, F0276</t>
        </is>
      </c>
    </row>
    <row r="4474">
      <c r="A4474" t="inlineStr">
        <is>
          <t>Michael Kelly</t>
        </is>
      </c>
      <c r="B4474" t="n">
        <v>3</v>
      </c>
      <c r="C4474" t="n">
        <v>2009</v>
      </c>
      <c r="D4474" t="n">
        <v>2023</v>
      </c>
      <c r="E4474" t="inlineStr">
        <is>
          <t>Law Abiding Citizen, Man of Steel, Transformers: Rise of the Beasts</t>
        </is>
      </c>
      <c r="F4474" t="inlineStr">
        <is>
          <t>F0191, F0211, F0321</t>
        </is>
      </c>
    </row>
    <row r="4475">
      <c r="A4475" t="inlineStr">
        <is>
          <t>Dan Bittner</t>
        </is>
      </c>
      <c r="B4475" t="n">
        <v>1</v>
      </c>
      <c r="C4475" t="n">
        <v>2009</v>
      </c>
      <c r="D4475" t="n">
        <v>2009</v>
      </c>
      <c r="E4475" t="inlineStr">
        <is>
          <t>Law Abiding Citizen</t>
        </is>
      </c>
      <c r="F4475" t="inlineStr">
        <is>
          <t>F0191</t>
        </is>
      </c>
    </row>
    <row r="4476">
      <c r="A4476" t="inlineStr">
        <is>
          <t>Patrick McDade</t>
        </is>
      </c>
      <c r="B4476" t="n">
        <v>1</v>
      </c>
      <c r="C4476" t="n">
        <v>2009</v>
      </c>
      <c r="D4476" t="n">
        <v>2009</v>
      </c>
      <c r="E4476" t="inlineStr">
        <is>
          <t>Law Abiding Citizen</t>
        </is>
      </c>
      <c r="F4476" t="inlineStr">
        <is>
          <t>F0191</t>
        </is>
      </c>
    </row>
    <row r="4477">
      <c r="A4477" t="inlineStr">
        <is>
          <t>Richard Barlow</t>
        </is>
      </c>
      <c r="B4477" t="n">
        <v>1</v>
      </c>
      <c r="C4477" t="n">
        <v>2009</v>
      </c>
      <c r="D4477" t="n">
        <v>2009</v>
      </c>
      <c r="E4477" t="inlineStr">
        <is>
          <t>Law Abiding Citizen</t>
        </is>
      </c>
      <c r="F4477" t="inlineStr">
        <is>
          <t>F0191</t>
        </is>
      </c>
    </row>
    <row r="4478">
      <c r="A4478" t="inlineStr">
        <is>
          <t>Greg Young</t>
        </is>
      </c>
      <c r="B4478" t="n">
        <v>1</v>
      </c>
      <c r="C4478" t="n">
        <v>2009</v>
      </c>
      <c r="D4478" t="n">
        <v>2009</v>
      </c>
      <c r="E4478" t="inlineStr">
        <is>
          <t>Law Abiding Citizen</t>
        </is>
      </c>
      <c r="F4478" t="inlineStr">
        <is>
          <t>F0191</t>
        </is>
      </c>
    </row>
    <row r="4479">
      <c r="A4479" t="inlineStr">
        <is>
          <t>Jim Gushue</t>
        </is>
      </c>
      <c r="B4479" t="n">
        <v>1</v>
      </c>
      <c r="C4479" t="n">
        <v>2009</v>
      </c>
      <c r="D4479" t="n">
        <v>2009</v>
      </c>
      <c r="E4479" t="inlineStr">
        <is>
          <t>Law Abiding Citizen</t>
        </is>
      </c>
      <c r="F4479" t="inlineStr">
        <is>
          <t>F0191</t>
        </is>
      </c>
    </row>
    <row r="4480">
      <c r="A4480" t="inlineStr">
        <is>
          <t>Anthony Lawton</t>
        </is>
      </c>
      <c r="B4480" t="n">
        <v>1</v>
      </c>
      <c r="C4480" t="n">
        <v>2009</v>
      </c>
      <c r="D4480" t="n">
        <v>2009</v>
      </c>
      <c r="E4480" t="inlineStr">
        <is>
          <t>Law Abiding Citizen</t>
        </is>
      </c>
      <c r="F4480" t="inlineStr">
        <is>
          <t>F0191</t>
        </is>
      </c>
    </row>
    <row r="4481">
      <c r="A4481" t="inlineStr">
        <is>
          <t>David Villalobos</t>
        </is>
      </c>
      <c r="B4481" t="n">
        <v>1</v>
      </c>
      <c r="C4481" t="n">
        <v>2009</v>
      </c>
      <c r="D4481" t="n">
        <v>2009</v>
      </c>
      <c r="E4481" t="inlineStr">
        <is>
          <t>Law Abiding Citizen</t>
        </is>
      </c>
      <c r="F4481" t="inlineStr">
        <is>
          <t>F0191</t>
        </is>
      </c>
    </row>
    <row r="4482">
      <c r="A4482" t="inlineStr">
        <is>
          <t>Ksenia Hulayev</t>
        </is>
      </c>
      <c r="B4482" t="n">
        <v>1</v>
      </c>
      <c r="C4482" t="n">
        <v>2009</v>
      </c>
      <c r="D4482" t="n">
        <v>2009</v>
      </c>
      <c r="E4482" t="inlineStr">
        <is>
          <t>Law Abiding Citizen</t>
        </is>
      </c>
      <c r="F4482" t="inlineStr">
        <is>
          <t>F0191</t>
        </is>
      </c>
    </row>
    <row r="4483">
      <c r="A4483" t="inlineStr">
        <is>
          <t>Todd Lewis</t>
        </is>
      </c>
      <c r="B4483" t="n">
        <v>2</v>
      </c>
      <c r="C4483" t="n">
        <v>2004</v>
      </c>
      <c r="D4483" t="n">
        <v>2009</v>
      </c>
      <c r="E4483" t="inlineStr">
        <is>
          <t>Law Abiding Citizen, The Notebook</t>
        </is>
      </c>
      <c r="F4483" t="inlineStr">
        <is>
          <t>F0191, F0237</t>
        </is>
      </c>
    </row>
    <row r="4484">
      <c r="A4484" t="inlineStr">
        <is>
          <t>Bijean Ngo</t>
        </is>
      </c>
      <c r="B4484" t="n">
        <v>1</v>
      </c>
      <c r="C4484" t="n">
        <v>2009</v>
      </c>
      <c r="D4484" t="n">
        <v>2009</v>
      </c>
      <c r="E4484" t="inlineStr">
        <is>
          <t>Law Abiding Citizen</t>
        </is>
      </c>
      <c r="F4484" t="inlineStr">
        <is>
          <t>F0191</t>
        </is>
      </c>
    </row>
    <row r="4485">
      <c r="A4485" t="inlineStr">
        <is>
          <t>Cecelia Ann Birt</t>
        </is>
      </c>
      <c r="B4485" t="n">
        <v>1</v>
      </c>
      <c r="C4485" t="n">
        <v>2009</v>
      </c>
      <c r="D4485" t="n">
        <v>2009</v>
      </c>
      <c r="E4485" t="inlineStr">
        <is>
          <t>Law Abiding Citizen</t>
        </is>
      </c>
      <c r="F4485" t="inlineStr">
        <is>
          <t>F0191</t>
        </is>
      </c>
    </row>
    <row r="4486">
      <c r="A4486" t="inlineStr">
        <is>
          <t>Lamont Clayton</t>
        </is>
      </c>
      <c r="B4486" t="n">
        <v>1</v>
      </c>
      <c r="C4486" t="n">
        <v>2009</v>
      </c>
      <c r="D4486" t="n">
        <v>2009</v>
      </c>
      <c r="E4486" t="inlineStr">
        <is>
          <t>Law Abiding Citizen</t>
        </is>
      </c>
      <c r="F4486" t="inlineStr">
        <is>
          <t>F0191</t>
        </is>
      </c>
    </row>
    <row r="4487">
      <c r="A4487" t="inlineStr">
        <is>
          <t>Dave Huddleston</t>
        </is>
      </c>
      <c r="B4487" t="n">
        <v>1</v>
      </c>
      <c r="C4487" t="n">
        <v>2009</v>
      </c>
      <c r="D4487" t="n">
        <v>2009</v>
      </c>
      <c r="E4487" t="inlineStr">
        <is>
          <t>Law Abiding Citizen</t>
        </is>
      </c>
      <c r="F4487" t="inlineStr">
        <is>
          <t>F0191</t>
        </is>
      </c>
    </row>
    <row r="4488">
      <c r="A4488" t="inlineStr">
        <is>
          <t>Mia Wasikowska</t>
        </is>
      </c>
      <c r="B4488" t="n">
        <v>1</v>
      </c>
      <c r="C4488" t="n">
        <v>2012</v>
      </c>
      <c r="D4488" t="n">
        <v>2012</v>
      </c>
      <c r="E4488" t="inlineStr">
        <is>
          <t>Lawless</t>
        </is>
      </c>
      <c r="F4488" t="inlineStr">
        <is>
          <t>F0192</t>
        </is>
      </c>
    </row>
    <row r="4489">
      <c r="A4489" t="inlineStr">
        <is>
          <t>Dane DeHaan</t>
        </is>
      </c>
      <c r="B4489" t="n">
        <v>2</v>
      </c>
      <c r="C4489" t="n">
        <v>2012</v>
      </c>
      <c r="D4489" t="n">
        <v>2023</v>
      </c>
      <c r="E4489" t="inlineStr">
        <is>
          <t>Lawless, Oppenheimer</t>
        </is>
      </c>
      <c r="F4489" t="inlineStr">
        <is>
          <t>F0192, F0242</t>
        </is>
      </c>
    </row>
    <row r="4490">
      <c r="A4490" t="inlineStr">
        <is>
          <t>Lew Temple</t>
        </is>
      </c>
      <c r="B4490" t="n">
        <v>1</v>
      </c>
      <c r="C4490" t="n">
        <v>2012</v>
      </c>
      <c r="D4490" t="n">
        <v>2012</v>
      </c>
      <c r="E4490" t="inlineStr">
        <is>
          <t>Lawless</t>
        </is>
      </c>
      <c r="F4490" t="inlineStr">
        <is>
          <t>F0192</t>
        </is>
      </c>
    </row>
    <row r="4491">
      <c r="A4491" t="inlineStr">
        <is>
          <t>Chris McGarry</t>
        </is>
      </c>
      <c r="B4491" t="n">
        <v>1</v>
      </c>
      <c r="C4491" t="n">
        <v>2012</v>
      </c>
      <c r="D4491" t="n">
        <v>2012</v>
      </c>
      <c r="E4491" t="inlineStr">
        <is>
          <t>Lawless</t>
        </is>
      </c>
      <c r="F4491" t="inlineStr">
        <is>
          <t>F0192</t>
        </is>
      </c>
    </row>
    <row r="4492">
      <c r="A4492" t="inlineStr">
        <is>
          <t>Tim Tolin</t>
        </is>
      </c>
      <c r="B4492" t="n">
        <v>1</v>
      </c>
      <c r="C4492" t="n">
        <v>2012</v>
      </c>
      <c r="D4492" t="n">
        <v>2012</v>
      </c>
      <c r="E4492" t="inlineStr">
        <is>
          <t>Lawless</t>
        </is>
      </c>
      <c r="F4492" t="inlineStr">
        <is>
          <t>F0192</t>
        </is>
      </c>
    </row>
    <row r="4493">
      <c r="A4493" t="inlineStr">
        <is>
          <t>Marcus Hester</t>
        </is>
      </c>
      <c r="B4493" t="n">
        <v>1</v>
      </c>
      <c r="C4493" t="n">
        <v>2012</v>
      </c>
      <c r="D4493" t="n">
        <v>2012</v>
      </c>
      <c r="E4493" t="inlineStr">
        <is>
          <t>Lawless</t>
        </is>
      </c>
      <c r="F4493" t="inlineStr">
        <is>
          <t>F0192</t>
        </is>
      </c>
    </row>
    <row r="4494">
      <c r="A4494" t="inlineStr">
        <is>
          <t>Bill Camp</t>
        </is>
      </c>
      <c r="B4494" t="n">
        <v>1</v>
      </c>
      <c r="C4494" t="n">
        <v>2012</v>
      </c>
      <c r="D4494" t="n">
        <v>2012</v>
      </c>
      <c r="E4494" t="inlineStr">
        <is>
          <t>Lawless</t>
        </is>
      </c>
      <c r="F4494" t="inlineStr">
        <is>
          <t>F0192</t>
        </is>
      </c>
    </row>
    <row r="4495">
      <c r="A4495" t="inlineStr">
        <is>
          <t>Alex Van</t>
        </is>
      </c>
      <c r="B4495" t="n">
        <v>1</v>
      </c>
      <c r="C4495" t="n">
        <v>2012</v>
      </c>
      <c r="D4495" t="n">
        <v>2012</v>
      </c>
      <c r="E4495" t="inlineStr">
        <is>
          <t>Lawless</t>
        </is>
      </c>
      <c r="F4495" t="inlineStr">
        <is>
          <t>F0192</t>
        </is>
      </c>
    </row>
    <row r="4496">
      <c r="A4496" t="inlineStr">
        <is>
          <t>Noah Taylor</t>
        </is>
      </c>
      <c r="B4496" t="n">
        <v>1</v>
      </c>
      <c r="C4496" t="n">
        <v>2012</v>
      </c>
      <c r="D4496" t="n">
        <v>2012</v>
      </c>
      <c r="E4496" t="inlineStr">
        <is>
          <t>Lawless</t>
        </is>
      </c>
      <c r="F4496" t="inlineStr">
        <is>
          <t>F0192</t>
        </is>
      </c>
    </row>
    <row r="4497">
      <c r="A4497" t="inlineStr">
        <is>
          <t>Mark Ashworth</t>
        </is>
      </c>
      <c r="B4497" t="n">
        <v>2</v>
      </c>
      <c r="C4497" t="n">
        <v>2012</v>
      </c>
      <c r="D4497" t="n">
        <v>2016</v>
      </c>
      <c r="E4497" t="inlineStr">
        <is>
          <t>Lawless, The Magnificent Seven</t>
        </is>
      </c>
      <c r="F4497" t="inlineStr">
        <is>
          <t>F0192, F0207</t>
        </is>
      </c>
    </row>
    <row r="4498">
      <c r="A4498" t="inlineStr">
        <is>
          <t>Tom Proctor</t>
        </is>
      </c>
      <c r="B4498" t="n">
        <v>1</v>
      </c>
      <c r="C4498" t="n">
        <v>2012</v>
      </c>
      <c r="D4498" t="n">
        <v>2012</v>
      </c>
      <c r="E4498" t="inlineStr">
        <is>
          <t>Lawless</t>
        </is>
      </c>
      <c r="F4498" t="inlineStr">
        <is>
          <t>F0192</t>
        </is>
      </c>
    </row>
    <row r="4499">
      <c r="A4499" t="inlineStr">
        <is>
          <t>Bruce McKinnon</t>
        </is>
      </c>
      <c r="B4499" t="n">
        <v>1</v>
      </c>
      <c r="C4499" t="n">
        <v>2012</v>
      </c>
      <c r="D4499" t="n">
        <v>2012</v>
      </c>
      <c r="E4499" t="inlineStr">
        <is>
          <t>Lawless</t>
        </is>
      </c>
      <c r="F4499" t="inlineStr">
        <is>
          <t>F0192</t>
        </is>
      </c>
    </row>
    <row r="4500">
      <c r="A4500" t="inlineStr">
        <is>
          <t>Eric Mendenhall</t>
        </is>
      </c>
      <c r="B4500" t="n">
        <v>1</v>
      </c>
      <c r="C4500" t="n">
        <v>2012</v>
      </c>
      <c r="D4500" t="n">
        <v>2012</v>
      </c>
      <c r="E4500" t="inlineStr">
        <is>
          <t>Lawless</t>
        </is>
      </c>
      <c r="F4500" t="inlineStr">
        <is>
          <t>F0192</t>
        </is>
      </c>
    </row>
    <row r="4501">
      <c r="A4501" t="inlineStr">
        <is>
          <t>Toni Byrd</t>
        </is>
      </c>
      <c r="B4501" t="n">
        <v>1</v>
      </c>
      <c r="C4501" t="n">
        <v>2012</v>
      </c>
      <c r="D4501" t="n">
        <v>2012</v>
      </c>
      <c r="E4501" t="inlineStr">
        <is>
          <t>Lawless</t>
        </is>
      </c>
      <c r="F4501" t="inlineStr">
        <is>
          <t>F0192</t>
        </is>
      </c>
    </row>
    <row r="4502">
      <c r="A4502" t="inlineStr">
        <is>
          <t>Robert T. Smith</t>
        </is>
      </c>
      <c r="B4502" t="n">
        <v>1</v>
      </c>
      <c r="C4502" t="n">
        <v>2012</v>
      </c>
      <c r="D4502" t="n">
        <v>2012</v>
      </c>
      <c r="E4502" t="inlineStr">
        <is>
          <t>Lawless</t>
        </is>
      </c>
      <c r="F4502" t="inlineStr">
        <is>
          <t>F0192</t>
        </is>
      </c>
    </row>
    <row r="4503">
      <c r="A4503" t="inlineStr">
        <is>
          <t>Jake Nash</t>
        </is>
      </c>
      <c r="B4503" t="n">
        <v>1</v>
      </c>
      <c r="C4503" t="n">
        <v>2012</v>
      </c>
      <c r="D4503" t="n">
        <v>2012</v>
      </c>
      <c r="E4503" t="inlineStr">
        <is>
          <t>Lawless</t>
        </is>
      </c>
      <c r="F4503" t="inlineStr">
        <is>
          <t>F0192</t>
        </is>
      </c>
    </row>
    <row r="4504">
      <c r="A4504" t="inlineStr">
        <is>
          <t>William J. Harrison</t>
        </is>
      </c>
      <c r="B4504" t="n">
        <v>1</v>
      </c>
      <c r="C4504" t="n">
        <v>2012</v>
      </c>
      <c r="D4504" t="n">
        <v>2012</v>
      </c>
      <c r="E4504" t="inlineStr">
        <is>
          <t>Lawless</t>
        </is>
      </c>
      <c r="F4504" t="inlineStr">
        <is>
          <t>F0192</t>
        </is>
      </c>
    </row>
    <row r="4505">
      <c r="A4505" t="inlineStr">
        <is>
          <t>Joyce Baxter</t>
        </is>
      </c>
      <c r="B4505" t="n">
        <v>1</v>
      </c>
      <c r="C4505" t="n">
        <v>2012</v>
      </c>
      <c r="D4505" t="n">
        <v>2012</v>
      </c>
      <c r="E4505" t="inlineStr">
        <is>
          <t>Lawless</t>
        </is>
      </c>
      <c r="F4505" t="inlineStr">
        <is>
          <t>F0192</t>
        </is>
      </c>
    </row>
    <row r="4506">
      <c r="A4506" t="inlineStr">
        <is>
          <t>Jeff Braun</t>
        </is>
      </c>
      <c r="B4506" t="n">
        <v>1</v>
      </c>
      <c r="C4506" t="n">
        <v>2012</v>
      </c>
      <c r="D4506" t="n">
        <v>2012</v>
      </c>
      <c r="E4506" t="inlineStr">
        <is>
          <t>Lawless</t>
        </is>
      </c>
      <c r="F4506" t="inlineStr">
        <is>
          <t>F0192</t>
        </is>
      </c>
    </row>
    <row r="4507">
      <c r="A4507" t="inlineStr">
        <is>
          <t>Malinda Baker</t>
        </is>
      </c>
      <c r="B4507" t="n">
        <v>1</v>
      </c>
      <c r="C4507" t="n">
        <v>2012</v>
      </c>
      <c r="D4507" t="n">
        <v>2012</v>
      </c>
      <c r="E4507" t="inlineStr">
        <is>
          <t>Lawless</t>
        </is>
      </c>
      <c r="F4507" t="inlineStr">
        <is>
          <t>F0192</t>
        </is>
      </c>
    </row>
    <row r="4508">
      <c r="A4508" t="inlineStr">
        <is>
          <t>Tom Turbiville</t>
        </is>
      </c>
      <c r="B4508" t="n">
        <v>1</v>
      </c>
      <c r="C4508" t="n">
        <v>2012</v>
      </c>
      <c r="D4508" t="n">
        <v>2012</v>
      </c>
      <c r="E4508" t="inlineStr">
        <is>
          <t>Lawless</t>
        </is>
      </c>
      <c r="F4508" t="inlineStr">
        <is>
          <t>F0192</t>
        </is>
      </c>
    </row>
    <row r="4509">
      <c r="A4509" t="inlineStr">
        <is>
          <t>Terry Keasler</t>
        </is>
      </c>
      <c r="B4509" t="n">
        <v>1</v>
      </c>
      <c r="C4509" t="n">
        <v>2012</v>
      </c>
      <c r="D4509" t="n">
        <v>2012</v>
      </c>
      <c r="E4509" t="inlineStr">
        <is>
          <t>Lawless</t>
        </is>
      </c>
      <c r="F4509" t="inlineStr">
        <is>
          <t>F0192</t>
        </is>
      </c>
    </row>
    <row r="4510">
      <c r="A4510" t="inlineStr">
        <is>
          <t>Duncan Nicholson</t>
        </is>
      </c>
      <c r="B4510" t="n">
        <v>1</v>
      </c>
      <c r="C4510" t="n">
        <v>2012</v>
      </c>
      <c r="D4510" t="n">
        <v>2012</v>
      </c>
      <c r="E4510" t="inlineStr">
        <is>
          <t>Lawless</t>
        </is>
      </c>
      <c r="F4510" t="inlineStr">
        <is>
          <t>F0192</t>
        </is>
      </c>
    </row>
    <row r="4511">
      <c r="A4511" t="inlineStr">
        <is>
          <t>Conan O'Brien</t>
        </is>
      </c>
      <c r="B4511" t="n">
        <v>1</v>
      </c>
      <c r="C4511" t="n">
        <v>2017</v>
      </c>
      <c r="D4511" t="n">
        <v>2017</v>
      </c>
      <c r="E4511" t="inlineStr">
        <is>
          <t>The Lego Batman Movie</t>
        </is>
      </c>
      <c r="F4511" t="inlineStr">
        <is>
          <t>F0193</t>
        </is>
      </c>
    </row>
    <row r="4512">
      <c r="A4512" t="inlineStr">
        <is>
          <t>Doug Benson</t>
        </is>
      </c>
      <c r="B4512" t="n">
        <v>1</v>
      </c>
      <c r="C4512" t="n">
        <v>2017</v>
      </c>
      <c r="D4512" t="n">
        <v>2017</v>
      </c>
      <c r="E4512" t="inlineStr">
        <is>
          <t>The Lego Batman Movie</t>
        </is>
      </c>
      <c r="F4512" t="inlineStr">
        <is>
          <t>F0193</t>
        </is>
      </c>
    </row>
    <row r="4513">
      <c r="A4513" t="inlineStr">
        <is>
          <t>Kate Micucci</t>
        </is>
      </c>
      <c r="B4513" t="n">
        <v>1</v>
      </c>
      <c r="C4513" t="n">
        <v>2017</v>
      </c>
      <c r="D4513" t="n">
        <v>2017</v>
      </c>
      <c r="E4513" t="inlineStr">
        <is>
          <t>The Lego Batman Movie</t>
        </is>
      </c>
      <c r="F4513" t="inlineStr">
        <is>
          <t>F0193</t>
        </is>
      </c>
    </row>
    <row r="4514">
      <c r="A4514" t="inlineStr">
        <is>
          <t>Riki Lindhome</t>
        </is>
      </c>
      <c r="B4514" t="n">
        <v>1</v>
      </c>
      <c r="C4514" t="n">
        <v>2017</v>
      </c>
      <c r="D4514" t="n">
        <v>2017</v>
      </c>
      <c r="E4514" t="inlineStr">
        <is>
          <t>The Lego Batman Movie</t>
        </is>
      </c>
      <c r="F4514" t="inlineStr">
        <is>
          <t>F0193</t>
        </is>
      </c>
    </row>
    <row r="4515">
      <c r="A4515" t="inlineStr">
        <is>
          <t>Suzy Eddie Izzard</t>
        </is>
      </c>
      <c r="B4515" t="n">
        <v>1</v>
      </c>
      <c r="C4515" t="n">
        <v>2017</v>
      </c>
      <c r="D4515" t="n">
        <v>2017</v>
      </c>
      <c r="E4515" t="inlineStr">
        <is>
          <t>The Lego Batman Movie</t>
        </is>
      </c>
      <c r="F4515" t="inlineStr">
        <is>
          <t>F0193</t>
        </is>
      </c>
    </row>
    <row r="4516">
      <c r="A4516" t="inlineStr">
        <is>
          <t>Seth Green</t>
        </is>
      </c>
      <c r="B4516" t="n">
        <v>1</v>
      </c>
      <c r="C4516" t="n">
        <v>2017</v>
      </c>
      <c r="D4516" t="n">
        <v>2017</v>
      </c>
      <c r="E4516" t="inlineStr">
        <is>
          <t>The Lego Batman Movie</t>
        </is>
      </c>
      <c r="F4516" t="inlineStr">
        <is>
          <t>F0193</t>
        </is>
      </c>
    </row>
    <row r="4517">
      <c r="A4517" t="inlineStr">
        <is>
          <t>Adam Devine</t>
        </is>
      </c>
      <c r="B4517" t="n">
        <v>3</v>
      </c>
      <c r="C4517" t="n">
        <v>2012</v>
      </c>
      <c r="D4517" t="n">
        <v>2017</v>
      </c>
      <c r="E4517" t="inlineStr">
        <is>
          <t>The Lego Batman Movie, Pitch Perfect, Pitch Perfect 2</t>
        </is>
      </c>
      <c r="F4517" t="inlineStr">
        <is>
          <t>F0193, F0250, F0251</t>
        </is>
      </c>
    </row>
    <row r="4518">
      <c r="A4518" t="inlineStr">
        <is>
          <t>Héctor Elizondo</t>
        </is>
      </c>
      <c r="B4518" t="n">
        <v>1</v>
      </c>
      <c r="C4518" t="n">
        <v>2017</v>
      </c>
      <c r="D4518" t="n">
        <v>2017</v>
      </c>
      <c r="E4518" t="inlineStr">
        <is>
          <t>The Lego Batman Movie</t>
        </is>
      </c>
      <c r="F4518" t="inlineStr">
        <is>
          <t>F0193</t>
        </is>
      </c>
    </row>
    <row r="4519">
      <c r="A4519" t="inlineStr">
        <is>
          <t>Mariah Carey</t>
        </is>
      </c>
      <c r="B4519" t="n">
        <v>1</v>
      </c>
      <c r="C4519" t="n">
        <v>2017</v>
      </c>
      <c r="D4519" t="n">
        <v>2017</v>
      </c>
      <c r="E4519" t="inlineStr">
        <is>
          <t>The Lego Batman Movie</t>
        </is>
      </c>
      <c r="F4519" t="inlineStr">
        <is>
          <t>F0193</t>
        </is>
      </c>
    </row>
    <row r="4520">
      <c r="A4520" t="inlineStr">
        <is>
          <t>Lauren White</t>
        </is>
      </c>
      <c r="B4520" t="n">
        <v>1</v>
      </c>
      <c r="C4520" t="n">
        <v>2017</v>
      </c>
      <c r="D4520" t="n">
        <v>2017</v>
      </c>
      <c r="E4520" t="inlineStr">
        <is>
          <t>The Lego Batman Movie</t>
        </is>
      </c>
      <c r="F4520" t="inlineStr">
        <is>
          <t>F0193</t>
        </is>
      </c>
    </row>
    <row r="4521">
      <c r="A4521" t="inlineStr">
        <is>
          <t>David Burrows</t>
        </is>
      </c>
      <c r="B4521" t="n">
        <v>2</v>
      </c>
      <c r="C4521" t="n">
        <v>2014</v>
      </c>
      <c r="D4521" t="n">
        <v>2017</v>
      </c>
      <c r="E4521" t="inlineStr">
        <is>
          <t>The Lego Batman Movie, The Lego Movie</t>
        </is>
      </c>
      <c r="F4521" t="inlineStr">
        <is>
          <t>F0193, F0195</t>
        </is>
      </c>
    </row>
    <row r="4522">
      <c r="A4522" t="inlineStr">
        <is>
          <t>Brent Musburger</t>
        </is>
      </c>
      <c r="B4522" t="n">
        <v>1</v>
      </c>
      <c r="C4522" t="n">
        <v>2017</v>
      </c>
      <c r="D4522" t="n">
        <v>2017</v>
      </c>
      <c r="E4522" t="inlineStr">
        <is>
          <t>The Lego Batman Movie</t>
        </is>
      </c>
      <c r="F4522" t="inlineStr">
        <is>
          <t>F0193</t>
        </is>
      </c>
    </row>
    <row r="4523">
      <c r="A4523" t="inlineStr">
        <is>
          <t>Chris Hardwick</t>
        </is>
      </c>
      <c r="B4523" t="n">
        <v>1</v>
      </c>
      <c r="C4523" t="n">
        <v>2017</v>
      </c>
      <c r="D4523" t="n">
        <v>2017</v>
      </c>
      <c r="E4523" t="inlineStr">
        <is>
          <t>The Lego Batman Movie</t>
        </is>
      </c>
      <c r="F4523" t="inlineStr">
        <is>
          <t>F0193</t>
        </is>
      </c>
    </row>
    <row r="4524">
      <c r="A4524" t="inlineStr">
        <is>
          <t>Todd Hansen</t>
        </is>
      </c>
      <c r="B4524" t="n">
        <v>3</v>
      </c>
      <c r="C4524" t="n">
        <v>2014</v>
      </c>
      <c r="D4524" t="n">
        <v>2019</v>
      </c>
      <c r="E4524" t="inlineStr">
        <is>
          <t>The Lego Batman Movie, The Lego Movie, The Lego Movie 2: The Second Part</t>
        </is>
      </c>
      <c r="F4524" t="inlineStr">
        <is>
          <t>F0193, F0195, F0196</t>
        </is>
      </c>
    </row>
    <row r="4525">
      <c r="A4525" t="inlineStr">
        <is>
          <t>Chris McKay</t>
        </is>
      </c>
      <c r="B4525" t="n">
        <v>2</v>
      </c>
      <c r="C4525" t="n">
        <v>2014</v>
      </c>
      <c r="D4525" t="n">
        <v>2017</v>
      </c>
      <c r="E4525" t="inlineStr">
        <is>
          <t>The Lego Batman Movie, The Lego Movie</t>
        </is>
      </c>
      <c r="F4525" t="inlineStr">
        <is>
          <t>F0193, F0195</t>
        </is>
      </c>
    </row>
    <row r="4526">
      <c r="A4526" t="inlineStr">
        <is>
          <t>Rob Paulsen</t>
        </is>
      </c>
      <c r="B4526" t="n">
        <v>1</v>
      </c>
      <c r="C4526" t="n">
        <v>2013</v>
      </c>
      <c r="D4526" t="n">
        <v>2013</v>
      </c>
      <c r="E4526" t="inlineStr">
        <is>
          <t>Lego Batman: The Movie - DC Super Heroes Unite</t>
        </is>
      </c>
      <c r="F4526" t="inlineStr">
        <is>
          <t>F0194</t>
        </is>
      </c>
    </row>
    <row r="4527">
      <c r="A4527" t="inlineStr">
        <is>
          <t>Townsend Coleman</t>
        </is>
      </c>
      <c r="B4527" t="n">
        <v>1</v>
      </c>
      <c r="C4527" t="n">
        <v>2013</v>
      </c>
      <c r="D4527" t="n">
        <v>2013</v>
      </c>
      <c r="E4527" t="inlineStr">
        <is>
          <t>Lego Batman: The Movie - DC Super Heroes Unite</t>
        </is>
      </c>
      <c r="F4527" t="inlineStr">
        <is>
          <t>F0194</t>
        </is>
      </c>
    </row>
    <row r="4528">
      <c r="A4528" t="inlineStr">
        <is>
          <t>Laura Bailey</t>
        </is>
      </c>
      <c r="B4528" t="n">
        <v>1</v>
      </c>
      <c r="C4528" t="n">
        <v>2013</v>
      </c>
      <c r="D4528" t="n">
        <v>2013</v>
      </c>
      <c r="E4528" t="inlineStr">
        <is>
          <t>Lego Batman: The Movie - DC Super Heroes Unite</t>
        </is>
      </c>
      <c r="F4528" t="inlineStr">
        <is>
          <t>F0194</t>
        </is>
      </c>
    </row>
    <row r="4529">
      <c r="A4529" t="inlineStr">
        <is>
          <t>Kari Wahlgren</t>
        </is>
      </c>
      <c r="B4529" t="n">
        <v>3</v>
      </c>
      <c r="C4529" t="n">
        <v>2013</v>
      </c>
      <c r="D4529" t="n">
        <v>2016</v>
      </c>
      <c r="E4529" t="inlineStr">
        <is>
          <t>Lego Batman: The Movie - DC Super Heroes Unite, Lego DC Comics Super Heroes: Justice League vs. Bizarro League, Lego DC Comics Super Heroes: Justice League - Gotham City Breakout</t>
        </is>
      </c>
      <c r="F4529" t="inlineStr">
        <is>
          <t>F0194, F0197, F0198</t>
        </is>
      </c>
    </row>
    <row r="4530">
      <c r="A4530" t="inlineStr">
        <is>
          <t>Katherine Von Till</t>
        </is>
      </c>
      <c r="B4530" t="n">
        <v>1</v>
      </c>
      <c r="C4530" t="n">
        <v>2013</v>
      </c>
      <c r="D4530" t="n">
        <v>2013</v>
      </c>
      <c r="E4530" t="inlineStr">
        <is>
          <t>Lego Batman: The Movie - DC Super Heroes Unite</t>
        </is>
      </c>
      <c r="F4530" t="inlineStr">
        <is>
          <t>F0194</t>
        </is>
      </c>
    </row>
    <row r="4531">
      <c r="A4531" t="inlineStr">
        <is>
          <t>Steve Blum</t>
        </is>
      </c>
      <c r="B4531" t="n">
        <v>1</v>
      </c>
      <c r="C4531" t="n">
        <v>2013</v>
      </c>
      <c r="D4531" t="n">
        <v>2013</v>
      </c>
      <c r="E4531" t="inlineStr">
        <is>
          <t>Lego Batman: The Movie - DC Super Heroes Unite</t>
        </is>
      </c>
      <c r="F4531" t="inlineStr">
        <is>
          <t>F0194</t>
        </is>
      </c>
    </row>
    <row r="4532">
      <c r="A4532" t="inlineStr">
        <is>
          <t>Erin Shanagher</t>
        </is>
      </c>
      <c r="B4532" t="n">
        <v>1</v>
      </c>
      <c r="C4532" t="n">
        <v>2013</v>
      </c>
      <c r="D4532" t="n">
        <v>2013</v>
      </c>
      <c r="E4532" t="inlineStr">
        <is>
          <t>Lego Batman: The Movie - DC Super Heroes Unite</t>
        </is>
      </c>
      <c r="F4532" t="inlineStr">
        <is>
          <t>F0194</t>
        </is>
      </c>
    </row>
    <row r="4533">
      <c r="A4533" t="inlineStr">
        <is>
          <t>Alison Brie</t>
        </is>
      </c>
      <c r="B4533" t="n">
        <v>2</v>
      </c>
      <c r="C4533" t="n">
        <v>2014</v>
      </c>
      <c r="D4533" t="n">
        <v>2019</v>
      </c>
      <c r="E4533" t="inlineStr">
        <is>
          <t>The Lego Movie, The Lego Movie 2: The Second Part</t>
        </is>
      </c>
      <c r="F4533" t="inlineStr">
        <is>
          <t>F0195, F0196</t>
        </is>
      </c>
    </row>
    <row r="4534">
      <c r="A4534" t="inlineStr">
        <is>
          <t>Jadon Sand</t>
        </is>
      </c>
      <c r="B4534" t="n">
        <v>2</v>
      </c>
      <c r="C4534" t="n">
        <v>2014</v>
      </c>
      <c r="D4534" t="n">
        <v>2019</v>
      </c>
      <c r="E4534" t="inlineStr">
        <is>
          <t>The Lego Movie, The Lego Movie 2: The Second Part</t>
        </is>
      </c>
      <c r="F4534" t="inlineStr">
        <is>
          <t>F0195, F0196</t>
        </is>
      </c>
    </row>
    <row r="4535">
      <c r="A4535" t="inlineStr">
        <is>
          <t>Keith Ferguson</t>
        </is>
      </c>
      <c r="B4535" t="n">
        <v>2</v>
      </c>
      <c r="C4535" t="n">
        <v>2014</v>
      </c>
      <c r="D4535" t="n">
        <v>2015</v>
      </c>
      <c r="E4535" t="inlineStr">
        <is>
          <t>The Lego Movie, Minions</t>
        </is>
      </c>
      <c r="F4535" t="inlineStr">
        <is>
          <t>F0195, F0220</t>
        </is>
      </c>
    </row>
    <row r="4536">
      <c r="A4536" t="inlineStr">
        <is>
          <t>Jorma Taccone</t>
        </is>
      </c>
      <c r="B4536" t="n">
        <v>2</v>
      </c>
      <c r="C4536" t="n">
        <v>2014</v>
      </c>
      <c r="D4536" t="n">
        <v>2019</v>
      </c>
      <c r="E4536" t="inlineStr">
        <is>
          <t>The Lego Movie, The Lego Movie 2: The Second Part</t>
        </is>
      </c>
      <c r="F4536" t="inlineStr">
        <is>
          <t>F0195, F0196</t>
        </is>
      </c>
    </row>
    <row r="4537">
      <c r="A4537" t="inlineStr">
        <is>
          <t>Christopher Miller</t>
        </is>
      </c>
      <c r="B4537" t="n">
        <v>1</v>
      </c>
      <c r="C4537" t="n">
        <v>2014</v>
      </c>
      <c r="D4537" t="n">
        <v>2014</v>
      </c>
      <c r="E4537" t="inlineStr">
        <is>
          <t>The Lego Movie</t>
        </is>
      </c>
      <c r="F4537" t="inlineStr">
        <is>
          <t>F0195</t>
        </is>
      </c>
    </row>
    <row r="4538">
      <c r="A4538" t="inlineStr">
        <is>
          <t>Chris Romano</t>
        </is>
      </c>
      <c r="B4538" t="n">
        <v>1</v>
      </c>
      <c r="C4538" t="n">
        <v>2014</v>
      </c>
      <c r="D4538" t="n">
        <v>2014</v>
      </c>
      <c r="E4538" t="inlineStr">
        <is>
          <t>The Lego Movie</t>
        </is>
      </c>
      <c r="F4538" t="inlineStr">
        <is>
          <t>F0195</t>
        </is>
      </c>
    </row>
    <row r="4539">
      <c r="A4539" t="inlineStr">
        <is>
          <t>Kelly Lafferty</t>
        </is>
      </c>
      <c r="B4539" t="n">
        <v>1</v>
      </c>
      <c r="C4539" t="n">
        <v>2014</v>
      </c>
      <c r="D4539" t="n">
        <v>2014</v>
      </c>
      <c r="E4539" t="inlineStr">
        <is>
          <t>The Lego Movie</t>
        </is>
      </c>
      <c r="F4539" t="inlineStr">
        <is>
          <t>F0195</t>
        </is>
      </c>
    </row>
    <row r="4540">
      <c r="A4540" t="inlineStr">
        <is>
          <t>Amanda Farinos</t>
        </is>
      </c>
      <c r="B4540" t="n">
        <v>1</v>
      </c>
      <c r="C4540" t="n">
        <v>2014</v>
      </c>
      <c r="D4540" t="n">
        <v>2014</v>
      </c>
      <c r="E4540" t="inlineStr">
        <is>
          <t>The Lego Movie</t>
        </is>
      </c>
      <c r="F4540" t="inlineStr">
        <is>
          <t>F0195</t>
        </is>
      </c>
    </row>
    <row r="4541">
      <c r="A4541" t="inlineStr">
        <is>
          <t>Craig Berry</t>
        </is>
      </c>
      <c r="B4541" t="n">
        <v>1</v>
      </c>
      <c r="C4541" t="n">
        <v>2014</v>
      </c>
      <c r="D4541" t="n">
        <v>2014</v>
      </c>
      <c r="E4541" t="inlineStr">
        <is>
          <t>The Lego Movie</t>
        </is>
      </c>
      <c r="F4541" t="inlineStr">
        <is>
          <t>F0195</t>
        </is>
      </c>
    </row>
    <row r="4542">
      <c r="A4542" t="inlineStr">
        <is>
          <t>Brooklynn Prince</t>
        </is>
      </c>
      <c r="B4542" t="n">
        <v>1</v>
      </c>
      <c r="C4542" t="n">
        <v>2019</v>
      </c>
      <c r="D4542" t="n">
        <v>2019</v>
      </c>
      <c r="E4542" t="inlineStr">
        <is>
          <t>The Lego Movie 2: The Second Part</t>
        </is>
      </c>
      <c r="F4542" t="inlineStr">
        <is>
          <t>F0196</t>
        </is>
      </c>
    </row>
    <row r="4543">
      <c r="A4543" t="inlineStr">
        <is>
          <t>Richard Ayoade</t>
        </is>
      </c>
      <c r="B4543" t="n">
        <v>1</v>
      </c>
      <c r="C4543" t="n">
        <v>2019</v>
      </c>
      <c r="D4543" t="n">
        <v>2019</v>
      </c>
      <c r="E4543" t="inlineStr">
        <is>
          <t>The Lego Movie 2: The Second Part</t>
        </is>
      </c>
      <c r="F4543" t="inlineStr">
        <is>
          <t>F0196</t>
        </is>
      </c>
    </row>
    <row r="4544">
      <c r="A4544" t="inlineStr">
        <is>
          <t>Ben Schwartz</t>
        </is>
      </c>
      <c r="B4544" t="n">
        <v>1</v>
      </c>
      <c r="C4544" t="n">
        <v>2019</v>
      </c>
      <c r="D4544" t="n">
        <v>2019</v>
      </c>
      <c r="E4544" t="inlineStr">
        <is>
          <t>The Lego Movie 2: The Second Part</t>
        </is>
      </c>
      <c r="F4544" t="inlineStr">
        <is>
          <t>F0196</t>
        </is>
      </c>
    </row>
    <row r="4545">
      <c r="A4545" t="inlineStr">
        <is>
          <t>Noel Fielding</t>
        </is>
      </c>
      <c r="B4545" t="n">
        <v>1</v>
      </c>
      <c r="C4545" t="n">
        <v>2019</v>
      </c>
      <c r="D4545" t="n">
        <v>2019</v>
      </c>
      <c r="E4545" t="inlineStr">
        <is>
          <t>The Lego Movie 2: The Second Part</t>
        </is>
      </c>
      <c r="F4545" t="inlineStr">
        <is>
          <t>F0196</t>
        </is>
      </c>
    </row>
    <row r="4546">
      <c r="A4546" t="inlineStr">
        <is>
          <t>Ike Barinholtz</t>
        </is>
      </c>
      <c r="B4546" t="n">
        <v>1</v>
      </c>
      <c r="C4546" t="n">
        <v>2019</v>
      </c>
      <c r="D4546" t="n">
        <v>2019</v>
      </c>
      <c r="E4546" t="inlineStr">
        <is>
          <t>The Lego Movie 2: The Second Part</t>
        </is>
      </c>
      <c r="F4546" t="inlineStr">
        <is>
          <t>F0196</t>
        </is>
      </c>
    </row>
    <row r="4547">
      <c r="A4547" t="inlineStr">
        <is>
          <t>Jimmy O. Yang</t>
        </is>
      </c>
      <c r="B4547" t="n">
        <v>1</v>
      </c>
      <c r="C4547" t="n">
        <v>2019</v>
      </c>
      <c r="D4547" t="n">
        <v>2019</v>
      </c>
      <c r="E4547" t="inlineStr">
        <is>
          <t>The Lego Movie 2: The Second Part</t>
        </is>
      </c>
      <c r="F4547" t="inlineStr">
        <is>
          <t>F0196</t>
        </is>
      </c>
    </row>
    <row r="4548">
      <c r="A4548" t="inlineStr">
        <is>
          <t>Gary Payton</t>
        </is>
      </c>
      <c r="B4548" t="n">
        <v>1</v>
      </c>
      <c r="C4548" t="n">
        <v>2019</v>
      </c>
      <c r="D4548" t="n">
        <v>2019</v>
      </c>
      <c r="E4548" t="inlineStr">
        <is>
          <t>The Lego Movie 2: The Second Part</t>
        </is>
      </c>
      <c r="F4548" t="inlineStr">
        <is>
          <t>F0196</t>
        </is>
      </c>
    </row>
    <row r="4549">
      <c r="A4549" t="inlineStr">
        <is>
          <t>Sheryl Swoopes</t>
        </is>
      </c>
      <c r="B4549" t="n">
        <v>1</v>
      </c>
      <c r="C4549" t="n">
        <v>2019</v>
      </c>
      <c r="D4549" t="n">
        <v>2019</v>
      </c>
      <c r="E4549" t="inlineStr">
        <is>
          <t>The Lego Movie 2: The Second Part</t>
        </is>
      </c>
      <c r="F4549" t="inlineStr">
        <is>
          <t>F0196</t>
        </is>
      </c>
    </row>
    <row r="4550">
      <c r="A4550" t="inlineStr">
        <is>
          <t>Doug Nicholas</t>
        </is>
      </c>
      <c r="B4550" t="n">
        <v>1</v>
      </c>
      <c r="C4550" t="n">
        <v>2019</v>
      </c>
      <c r="D4550" t="n">
        <v>2019</v>
      </c>
      <c r="E4550" t="inlineStr">
        <is>
          <t>The Lego Movie 2: The Second Part</t>
        </is>
      </c>
      <c r="F4550" t="inlineStr">
        <is>
          <t>F0196</t>
        </is>
      </c>
    </row>
    <row r="4551">
      <c r="A4551" t="inlineStr">
        <is>
          <t>Liam Knight</t>
        </is>
      </c>
      <c r="B4551" t="n">
        <v>1</v>
      </c>
      <c r="C4551" t="n">
        <v>2019</v>
      </c>
      <c r="D4551" t="n">
        <v>2019</v>
      </c>
      <c r="E4551" t="inlineStr">
        <is>
          <t>The Lego Movie 2: The Second Part</t>
        </is>
      </c>
      <c r="F4551" t="inlineStr">
        <is>
          <t>F0196</t>
        </is>
      </c>
    </row>
    <row r="4552">
      <c r="A4552" t="inlineStr">
        <is>
          <t>Tom Kenny</t>
        </is>
      </c>
      <c r="B4552" t="n">
        <v>1</v>
      </c>
      <c r="C4552" t="n">
        <v>2015</v>
      </c>
      <c r="D4552" t="n">
        <v>2015</v>
      </c>
      <c r="E4552" t="inlineStr">
        <is>
          <t>Lego DC Comics Super Heroes: Justice League vs. Bizarro League</t>
        </is>
      </c>
      <c r="F4552" t="inlineStr">
        <is>
          <t>F0197</t>
        </is>
      </c>
    </row>
    <row r="4553">
      <c r="A4553" t="inlineStr">
        <is>
          <t>Phil Morris</t>
        </is>
      </c>
      <c r="B4553" t="n">
        <v>2</v>
      </c>
      <c r="C4553" t="n">
        <v>2015</v>
      </c>
      <c r="D4553" t="n">
        <v>2016</v>
      </c>
      <c r="E4553" t="inlineStr">
        <is>
          <t>Lego DC Comics Super Heroes: Justice League vs. Bizarro League, Lego DC Comics Super Heroes: Justice League - Gotham City Breakout</t>
        </is>
      </c>
      <c r="F4553" t="inlineStr">
        <is>
          <t>F0197, F0198</t>
        </is>
      </c>
    </row>
    <row r="4554">
      <c r="A4554" t="inlineStr">
        <is>
          <t>Kevin Michael Richardson</t>
        </is>
      </c>
      <c r="B4554" t="n">
        <v>2</v>
      </c>
      <c r="C4554" t="n">
        <v>2015</v>
      </c>
      <c r="D4554" t="n">
        <v>2023</v>
      </c>
      <c r="E4554" t="inlineStr">
        <is>
          <t>Lego DC Comics Super Heroes: Justice League vs. Bizarro League, The Super Mario Bros. Movie</t>
        </is>
      </c>
      <c r="F4554" t="inlineStr">
        <is>
          <t>F0197, F0212</t>
        </is>
      </c>
    </row>
    <row r="4555">
      <c r="A4555" t="inlineStr">
        <is>
          <t>Grey DeLisle</t>
        </is>
      </c>
      <c r="B4555" t="n">
        <v>1</v>
      </c>
      <c r="C4555" t="n">
        <v>2016</v>
      </c>
      <c r="D4555" t="n">
        <v>2016</v>
      </c>
      <c r="E4555" t="inlineStr">
        <is>
          <t>Lego DC Comics Super Heroes: Justice League - Gotham City Breakout</t>
        </is>
      </c>
      <c r="F4555" t="inlineStr">
        <is>
          <t>F0198</t>
        </is>
      </c>
    </row>
    <row r="4556">
      <c r="A4556" t="inlineStr">
        <is>
          <t>Phil LaMarr</t>
        </is>
      </c>
      <c r="B4556" t="n">
        <v>2</v>
      </c>
      <c r="C4556" t="n">
        <v>2016</v>
      </c>
      <c r="D4556" t="n">
        <v>2023</v>
      </c>
      <c r="E4556" t="inlineStr">
        <is>
          <t>Lego DC Comics Super Heroes: Justice League - Gotham City Breakout, The Super Mario Bros. Movie</t>
        </is>
      </c>
      <c r="F4556" t="inlineStr">
        <is>
          <t>F0198, F0212</t>
        </is>
      </c>
    </row>
    <row r="4557">
      <c r="A4557" t="inlineStr">
        <is>
          <t>Andy Milder</t>
        </is>
      </c>
      <c r="B4557" t="n">
        <v>1</v>
      </c>
      <c r="C4557" t="n">
        <v>2016</v>
      </c>
      <c r="D4557" t="n">
        <v>2016</v>
      </c>
      <c r="E4557" t="inlineStr">
        <is>
          <t>Lego DC Comics Super Heroes: Justice League - Gotham City Breakout</t>
        </is>
      </c>
      <c r="F4557" t="inlineStr">
        <is>
          <t>F0198</t>
        </is>
      </c>
    </row>
    <row r="4558">
      <c r="A4558" t="inlineStr">
        <is>
          <t>Jessica DiCicco</t>
        </is>
      </c>
      <c r="B4558" t="n">
        <v>2</v>
      </c>
      <c r="C4558" t="n">
        <v>2016</v>
      </c>
      <c r="D4558" t="n">
        <v>2023</v>
      </c>
      <c r="E4558" t="inlineStr">
        <is>
          <t>Lego DC Comics Super Heroes: Justice League - Gotham City Breakout, The Super Mario Bros. Movie</t>
        </is>
      </c>
      <c r="F4558" t="inlineStr">
        <is>
          <t>F0198, F0212</t>
        </is>
      </c>
    </row>
    <row r="4559">
      <c r="A4559" t="inlineStr">
        <is>
          <t>Jason Spisak</t>
        </is>
      </c>
      <c r="B4559" t="n">
        <v>1</v>
      </c>
      <c r="C4559" t="n">
        <v>2016</v>
      </c>
      <c r="D4559" t="n">
        <v>2016</v>
      </c>
      <c r="E4559" t="inlineStr">
        <is>
          <t>Lego DC Comics Super Heroes: Justice League - Gotham City Breakout</t>
        </is>
      </c>
      <c r="F4559" t="inlineStr">
        <is>
          <t>F0198</t>
        </is>
      </c>
    </row>
    <row r="4560">
      <c r="A4560" t="inlineStr">
        <is>
          <t>Aaron Tveit</t>
        </is>
      </c>
      <c r="B4560" t="n">
        <v>1</v>
      </c>
      <c r="C4560" t="n">
        <v>2012</v>
      </c>
      <c r="D4560" t="n">
        <v>2012</v>
      </c>
      <c r="E4560" t="inlineStr">
        <is>
          <t>Les Misérables</t>
        </is>
      </c>
      <c r="F4560" t="inlineStr">
        <is>
          <t>F0199</t>
        </is>
      </c>
    </row>
    <row r="4561">
      <c r="A4561" t="inlineStr">
        <is>
          <t>Samantha Barks</t>
        </is>
      </c>
      <c r="B4561" t="n">
        <v>1</v>
      </c>
      <c r="C4561" t="n">
        <v>2012</v>
      </c>
      <c r="D4561" t="n">
        <v>2012</v>
      </c>
      <c r="E4561" t="inlineStr">
        <is>
          <t>Les Misérables</t>
        </is>
      </c>
      <c r="F4561" t="inlineStr">
        <is>
          <t>F0199</t>
        </is>
      </c>
    </row>
    <row r="4562">
      <c r="A4562" t="inlineStr">
        <is>
          <t>Daniel Huttlestone</t>
        </is>
      </c>
      <c r="B4562" t="n">
        <v>1</v>
      </c>
      <c r="C4562" t="n">
        <v>2012</v>
      </c>
      <c r="D4562" t="n">
        <v>2012</v>
      </c>
      <c r="E4562" t="inlineStr">
        <is>
          <t>Les Misérables</t>
        </is>
      </c>
      <c r="F4562" t="inlineStr">
        <is>
          <t>F0199</t>
        </is>
      </c>
    </row>
    <row r="4563">
      <c r="A4563" t="inlineStr">
        <is>
          <t>Fra Fee</t>
        </is>
      </c>
      <c r="B4563" t="n">
        <v>1</v>
      </c>
      <c r="C4563" t="n">
        <v>2012</v>
      </c>
      <c r="D4563" t="n">
        <v>2012</v>
      </c>
      <c r="E4563" t="inlineStr">
        <is>
          <t>Les Misérables</t>
        </is>
      </c>
      <c r="F4563" t="inlineStr">
        <is>
          <t>F0199</t>
        </is>
      </c>
    </row>
    <row r="4564">
      <c r="A4564" t="inlineStr">
        <is>
          <t>Hugh Skinner</t>
        </is>
      </c>
      <c r="B4564" t="n">
        <v>1</v>
      </c>
      <c r="C4564" t="n">
        <v>2012</v>
      </c>
      <c r="D4564" t="n">
        <v>2012</v>
      </c>
      <c r="E4564" t="inlineStr">
        <is>
          <t>Les Misérables</t>
        </is>
      </c>
      <c r="F4564" t="inlineStr">
        <is>
          <t>F0199</t>
        </is>
      </c>
    </row>
    <row r="4565">
      <c r="A4565" t="inlineStr">
        <is>
          <t>Alistair Brammer</t>
        </is>
      </c>
      <c r="B4565" t="n">
        <v>1</v>
      </c>
      <c r="C4565" t="n">
        <v>2012</v>
      </c>
      <c r="D4565" t="n">
        <v>2012</v>
      </c>
      <c r="E4565" t="inlineStr">
        <is>
          <t>Les Misérables</t>
        </is>
      </c>
      <c r="F4565" t="inlineStr">
        <is>
          <t>F0199</t>
        </is>
      </c>
    </row>
    <row r="4566">
      <c r="A4566" t="inlineStr">
        <is>
          <t>Killian Donnelly</t>
        </is>
      </c>
      <c r="B4566" t="n">
        <v>1</v>
      </c>
      <c r="C4566" t="n">
        <v>2012</v>
      </c>
      <c r="D4566" t="n">
        <v>2012</v>
      </c>
      <c r="E4566" t="inlineStr">
        <is>
          <t>Les Misérables</t>
        </is>
      </c>
      <c r="F4566" t="inlineStr">
        <is>
          <t>F0199</t>
        </is>
      </c>
    </row>
    <row r="4567">
      <c r="A4567" t="inlineStr">
        <is>
          <t>Adam Pearce</t>
        </is>
      </c>
      <c r="B4567" t="n">
        <v>1</v>
      </c>
      <c r="C4567" t="n">
        <v>2012</v>
      </c>
      <c r="D4567" t="n">
        <v>2012</v>
      </c>
      <c r="E4567" t="inlineStr">
        <is>
          <t>Les Misérables</t>
        </is>
      </c>
      <c r="F4567" t="inlineStr">
        <is>
          <t>F0199</t>
        </is>
      </c>
    </row>
    <row r="4568">
      <c r="A4568" t="inlineStr">
        <is>
          <t>Bertie Carvel</t>
        </is>
      </c>
      <c r="B4568" t="n">
        <v>1</v>
      </c>
      <c r="C4568" t="n">
        <v>2012</v>
      </c>
      <c r="D4568" t="n">
        <v>2012</v>
      </c>
      <c r="E4568" t="inlineStr">
        <is>
          <t>Les Misérables</t>
        </is>
      </c>
      <c r="F4568" t="inlineStr">
        <is>
          <t>F0199</t>
        </is>
      </c>
    </row>
    <row r="4569">
      <c r="A4569" t="inlineStr">
        <is>
          <t>Colm Wilkinson</t>
        </is>
      </c>
      <c r="B4569" t="n">
        <v>1</v>
      </c>
      <c r="C4569" t="n">
        <v>2012</v>
      </c>
      <c r="D4569" t="n">
        <v>2012</v>
      </c>
      <c r="E4569" t="inlineStr">
        <is>
          <t>Les Misérables</t>
        </is>
      </c>
      <c r="F4569" t="inlineStr">
        <is>
          <t>F0199</t>
        </is>
      </c>
    </row>
    <row r="4570">
      <c r="A4570" t="inlineStr">
        <is>
          <t>Isabelle Allen</t>
        </is>
      </c>
      <c r="B4570" t="n">
        <v>1</v>
      </c>
      <c r="C4570" t="n">
        <v>2012</v>
      </c>
      <c r="D4570" t="n">
        <v>2012</v>
      </c>
      <c r="E4570" t="inlineStr">
        <is>
          <t>Les Misérables</t>
        </is>
      </c>
      <c r="F4570" t="inlineStr">
        <is>
          <t>F0199</t>
        </is>
      </c>
    </row>
    <row r="4571">
      <c r="A4571" t="inlineStr">
        <is>
          <t>Natalya Wallace</t>
        </is>
      </c>
      <c r="B4571" t="n">
        <v>1</v>
      </c>
      <c r="C4571" t="n">
        <v>2012</v>
      </c>
      <c r="D4571" t="n">
        <v>2012</v>
      </c>
      <c r="E4571" t="inlineStr">
        <is>
          <t>Les Misérables</t>
        </is>
      </c>
      <c r="F4571" t="inlineStr">
        <is>
          <t>F0199</t>
        </is>
      </c>
    </row>
    <row r="4572">
      <c r="A4572" t="inlineStr">
        <is>
          <t>Tony Rohr</t>
        </is>
      </c>
      <c r="B4572" t="n">
        <v>1</v>
      </c>
      <c r="C4572" t="n">
        <v>2012</v>
      </c>
      <c r="D4572" t="n">
        <v>2012</v>
      </c>
      <c r="E4572" t="inlineStr">
        <is>
          <t>Les Misérables</t>
        </is>
      </c>
      <c r="F4572" t="inlineStr">
        <is>
          <t>F0199</t>
        </is>
      </c>
    </row>
    <row r="4573">
      <c r="A4573" t="inlineStr">
        <is>
          <t>Andy Beckwith</t>
        </is>
      </c>
      <c r="B4573" t="n">
        <v>1</v>
      </c>
      <c r="C4573" t="n">
        <v>2012</v>
      </c>
      <c r="D4573" t="n">
        <v>2012</v>
      </c>
      <c r="E4573" t="inlineStr">
        <is>
          <t>Les Misérables</t>
        </is>
      </c>
      <c r="F4573" t="inlineStr">
        <is>
          <t>F0199</t>
        </is>
      </c>
    </row>
    <row r="4574">
      <c r="A4574" t="inlineStr">
        <is>
          <t>Stephen Bent</t>
        </is>
      </c>
      <c r="B4574" t="n">
        <v>1</v>
      </c>
      <c r="C4574" t="n">
        <v>2012</v>
      </c>
      <c r="D4574" t="n">
        <v>2012</v>
      </c>
      <c r="E4574" t="inlineStr">
        <is>
          <t>Les Misérables</t>
        </is>
      </c>
      <c r="F4574" t="inlineStr">
        <is>
          <t>F0199</t>
        </is>
      </c>
    </row>
    <row r="4575">
      <c r="A4575" t="inlineStr">
        <is>
          <t>Heather Chasen</t>
        </is>
      </c>
      <c r="B4575" t="n">
        <v>1</v>
      </c>
      <c r="C4575" t="n">
        <v>2012</v>
      </c>
      <c r="D4575" t="n">
        <v>2012</v>
      </c>
      <c r="E4575" t="inlineStr">
        <is>
          <t>Les Misérables</t>
        </is>
      </c>
      <c r="F4575" t="inlineStr">
        <is>
          <t>F0199</t>
        </is>
      </c>
    </row>
    <row r="4576">
      <c r="A4576" t="inlineStr">
        <is>
          <t>Stephen Tate</t>
        </is>
      </c>
      <c r="B4576" t="n">
        <v>1</v>
      </c>
      <c r="C4576" t="n">
        <v>2012</v>
      </c>
      <c r="D4576" t="n">
        <v>2012</v>
      </c>
      <c r="E4576" t="inlineStr">
        <is>
          <t>Les Misérables</t>
        </is>
      </c>
      <c r="F4576" t="inlineStr">
        <is>
          <t>F0199</t>
        </is>
      </c>
    </row>
    <row r="4577">
      <c r="A4577" t="inlineStr">
        <is>
          <t>Jeremy Irons</t>
        </is>
      </c>
      <c r="B4577" t="n">
        <v>1</v>
      </c>
      <c r="C4577" t="n">
        <v>1994</v>
      </c>
      <c r="D4577" t="n">
        <v>1994</v>
      </c>
      <c r="E4577" t="inlineStr">
        <is>
          <t>The Lion King</t>
        </is>
      </c>
      <c r="F4577" t="inlineStr">
        <is>
          <t>F0200</t>
        </is>
      </c>
    </row>
    <row r="4578">
      <c r="A4578" t="inlineStr">
        <is>
          <t>Robert Guillaume</t>
        </is>
      </c>
      <c r="B4578" t="n">
        <v>1</v>
      </c>
      <c r="C4578" t="n">
        <v>1994</v>
      </c>
      <c r="D4578" t="n">
        <v>1994</v>
      </c>
      <c r="E4578" t="inlineStr">
        <is>
          <t>The Lion King</t>
        </is>
      </c>
      <c r="F4578" t="inlineStr">
        <is>
          <t>F0200</t>
        </is>
      </c>
    </row>
    <row r="4579">
      <c r="A4579" t="inlineStr">
        <is>
          <t>Rowan Atkinson</t>
        </is>
      </c>
      <c r="B4579" t="n">
        <v>2</v>
      </c>
      <c r="C4579" t="n">
        <v>1994</v>
      </c>
      <c r="D4579" t="n">
        <v>2023</v>
      </c>
      <c r="E4579" t="inlineStr">
        <is>
          <t>The Lion King, Wonka</t>
        </is>
      </c>
      <c r="F4579" t="inlineStr">
        <is>
          <t>F0200, F0338</t>
        </is>
      </c>
    </row>
    <row r="4580">
      <c r="A4580" t="inlineStr">
        <is>
          <t>Whoopi Goldberg</t>
        </is>
      </c>
      <c r="B4580" t="n">
        <v>3</v>
      </c>
      <c r="C4580" t="n">
        <v>1994</v>
      </c>
      <c r="D4580" t="n">
        <v>2014</v>
      </c>
      <c r="E4580" t="inlineStr">
        <is>
          <t>The Lion King, Teenage Mutant Ninja Turtles, Toy Story 3</t>
        </is>
      </c>
      <c r="F4580" t="inlineStr">
        <is>
          <t>F0200, F0309, F0314</t>
        </is>
      </c>
    </row>
    <row r="4581">
      <c r="A4581" t="inlineStr">
        <is>
          <t>Cheech Marin</t>
        </is>
      </c>
      <c r="B4581" t="n">
        <v>1</v>
      </c>
      <c r="C4581" t="n">
        <v>1994</v>
      </c>
      <c r="D4581" t="n">
        <v>1994</v>
      </c>
      <c r="E4581" t="inlineStr">
        <is>
          <t>The Lion King</t>
        </is>
      </c>
      <c r="F4581" t="inlineStr">
        <is>
          <t>F0200</t>
        </is>
      </c>
    </row>
    <row r="4582">
      <c r="A4582" t="inlineStr">
        <is>
          <t>Jonathan Taylor Thomas</t>
        </is>
      </c>
      <c r="B4582" t="n">
        <v>1</v>
      </c>
      <c r="C4582" t="n">
        <v>1994</v>
      </c>
      <c r="D4582" t="n">
        <v>1994</v>
      </c>
      <c r="E4582" t="inlineStr">
        <is>
          <t>The Lion King</t>
        </is>
      </c>
      <c r="F4582" t="inlineStr">
        <is>
          <t>F0200</t>
        </is>
      </c>
    </row>
    <row r="4583">
      <c r="A4583" t="inlineStr">
        <is>
          <t>Niketa Calame-Harris</t>
        </is>
      </c>
      <c r="B4583" t="n">
        <v>1</v>
      </c>
      <c r="C4583" t="n">
        <v>1994</v>
      </c>
      <c r="D4583" t="n">
        <v>1994</v>
      </c>
      <c r="E4583" t="inlineStr">
        <is>
          <t>The Lion King</t>
        </is>
      </c>
      <c r="F4583" t="inlineStr">
        <is>
          <t>F0200</t>
        </is>
      </c>
    </row>
    <row r="4584">
      <c r="A4584" t="inlineStr">
        <is>
          <t>Madge Sinclair</t>
        </is>
      </c>
      <c r="B4584" t="n">
        <v>1</v>
      </c>
      <c r="C4584" t="n">
        <v>1994</v>
      </c>
      <c r="D4584" t="n">
        <v>1994</v>
      </c>
      <c r="E4584" t="inlineStr">
        <is>
          <t>The Lion King</t>
        </is>
      </c>
      <c r="F4584" t="inlineStr">
        <is>
          <t>F0200</t>
        </is>
      </c>
    </row>
    <row r="4585">
      <c r="A4585" t="inlineStr">
        <is>
          <t>Zoe Leader</t>
        </is>
      </c>
      <c r="B4585" t="n">
        <v>1</v>
      </c>
      <c r="C4585" t="n">
        <v>1994</v>
      </c>
      <c r="D4585" t="n">
        <v>1994</v>
      </c>
      <c r="E4585" t="inlineStr">
        <is>
          <t>The Lion King</t>
        </is>
      </c>
      <c r="F4585" t="inlineStr">
        <is>
          <t>F0200</t>
        </is>
      </c>
    </row>
    <row r="4586">
      <c r="A4586" t="inlineStr">
        <is>
          <t>Cathy Cavadini</t>
        </is>
      </c>
      <c r="B4586" t="n">
        <v>2</v>
      </c>
      <c r="C4586" t="n">
        <v>1994</v>
      </c>
      <c r="D4586" t="n">
        <v>2023</v>
      </c>
      <c r="E4586" t="inlineStr">
        <is>
          <t>The Lion King, The Super Mario Bros. Movie</t>
        </is>
      </c>
      <c r="F4586" t="inlineStr">
        <is>
          <t>F0200, F0212</t>
        </is>
      </c>
    </row>
    <row r="4587">
      <c r="A4587" t="inlineStr">
        <is>
          <t>Judi Durand</t>
        </is>
      </c>
      <c r="B4587" t="n">
        <v>1</v>
      </c>
      <c r="C4587" t="n">
        <v>1994</v>
      </c>
      <c r="D4587" t="n">
        <v>1994</v>
      </c>
      <c r="E4587" t="inlineStr">
        <is>
          <t>The Lion King</t>
        </is>
      </c>
      <c r="F4587" t="inlineStr">
        <is>
          <t>F0200</t>
        </is>
      </c>
    </row>
    <row r="4588">
      <c r="A4588" t="inlineStr">
        <is>
          <t>Daamen J. Krall</t>
        </is>
      </c>
      <c r="B4588" t="n">
        <v>1</v>
      </c>
      <c r="C4588" t="n">
        <v>1994</v>
      </c>
      <c r="D4588" t="n">
        <v>1994</v>
      </c>
      <c r="E4588" t="inlineStr">
        <is>
          <t>The Lion King</t>
        </is>
      </c>
      <c r="F4588" t="inlineStr">
        <is>
          <t>F0200</t>
        </is>
      </c>
    </row>
    <row r="4589">
      <c r="A4589" t="inlineStr">
        <is>
          <t>David McCharen</t>
        </is>
      </c>
      <c r="B4589" t="n">
        <v>1</v>
      </c>
      <c r="C4589" t="n">
        <v>1994</v>
      </c>
      <c r="D4589" t="n">
        <v>1994</v>
      </c>
      <c r="E4589" t="inlineStr">
        <is>
          <t>The Lion King</t>
        </is>
      </c>
      <c r="F4589" t="inlineStr">
        <is>
          <t>F0200</t>
        </is>
      </c>
    </row>
    <row r="4590">
      <c r="A4590" t="inlineStr">
        <is>
          <t>Mary Linda Phillips</t>
        </is>
      </c>
      <c r="B4590" t="n">
        <v>1</v>
      </c>
      <c r="C4590" t="n">
        <v>1994</v>
      </c>
      <c r="D4590" t="n">
        <v>1994</v>
      </c>
      <c r="E4590" t="inlineStr">
        <is>
          <t>The Lion King</t>
        </is>
      </c>
      <c r="F4590" t="inlineStr">
        <is>
          <t>F0200</t>
        </is>
      </c>
    </row>
    <row r="4591">
      <c r="A4591" t="inlineStr">
        <is>
          <t>Phil Proctor</t>
        </is>
      </c>
      <c r="B4591" t="n">
        <v>1</v>
      </c>
      <c r="C4591" t="n">
        <v>1994</v>
      </c>
      <c r="D4591" t="n">
        <v>1994</v>
      </c>
      <c r="E4591" t="inlineStr">
        <is>
          <t>The Lion King</t>
        </is>
      </c>
      <c r="F4591" t="inlineStr">
        <is>
          <t>F0200</t>
        </is>
      </c>
    </row>
    <row r="4592">
      <c r="A4592" t="inlineStr">
        <is>
          <t>David J. Randolph</t>
        </is>
      </c>
      <c r="B4592" t="n">
        <v>1</v>
      </c>
      <c r="C4592" t="n">
        <v>1994</v>
      </c>
      <c r="D4592" t="n">
        <v>1994</v>
      </c>
      <c r="E4592" t="inlineStr">
        <is>
          <t>The Lion King</t>
        </is>
      </c>
      <c r="F4592" t="inlineStr">
        <is>
          <t>F0200</t>
        </is>
      </c>
    </row>
    <row r="4593">
      <c r="A4593" t="inlineStr">
        <is>
          <t>Brian Tochi</t>
        </is>
      </c>
      <c r="B4593" t="n">
        <v>1</v>
      </c>
      <c r="C4593" t="n">
        <v>1994</v>
      </c>
      <c r="D4593" t="n">
        <v>1994</v>
      </c>
      <c r="E4593" t="inlineStr">
        <is>
          <t>The Lion King</t>
        </is>
      </c>
      <c r="F4593" t="inlineStr">
        <is>
          <t>F0200</t>
        </is>
      </c>
    </row>
    <row r="4594">
      <c r="A4594" t="inlineStr">
        <is>
          <t>Roger Allers</t>
        </is>
      </c>
      <c r="B4594" t="n">
        <v>1</v>
      </c>
      <c r="C4594" t="n">
        <v>1994</v>
      </c>
      <c r="D4594" t="n">
        <v>1994</v>
      </c>
      <c r="E4594" t="inlineStr">
        <is>
          <t>The Lion King</t>
        </is>
      </c>
      <c r="F4594" t="inlineStr">
        <is>
          <t>F0200</t>
        </is>
      </c>
    </row>
    <row r="4595">
      <c r="A4595" t="inlineStr">
        <is>
          <t>Rob Minkoff</t>
        </is>
      </c>
      <c r="B4595" t="n">
        <v>1</v>
      </c>
      <c r="C4595" t="n">
        <v>1994</v>
      </c>
      <c r="D4595" t="n">
        <v>1994</v>
      </c>
      <c r="E4595" t="inlineStr">
        <is>
          <t>The Lion King</t>
        </is>
      </c>
      <c r="F4595" t="inlineStr">
        <is>
          <t>F0200</t>
        </is>
      </c>
    </row>
    <row r="4596">
      <c r="A4596" t="inlineStr">
        <is>
          <t>Jason Weaver</t>
        </is>
      </c>
      <c r="B4596" t="n">
        <v>1</v>
      </c>
      <c r="C4596" t="n">
        <v>1994</v>
      </c>
      <c r="D4596" t="n">
        <v>1994</v>
      </c>
      <c r="E4596" t="inlineStr">
        <is>
          <t>The Lion King</t>
        </is>
      </c>
      <c r="F4596" t="inlineStr">
        <is>
          <t>F0200</t>
        </is>
      </c>
    </row>
    <row r="4597">
      <c r="A4597" t="inlineStr">
        <is>
          <t>Stephen Dunlevy</t>
        </is>
      </c>
      <c r="B4597" t="n">
        <v>1</v>
      </c>
      <c r="C4597" t="n">
        <v>2017</v>
      </c>
      <c r="D4597" t="n">
        <v>2017</v>
      </c>
      <c r="E4597" t="inlineStr">
        <is>
          <t>Logan</t>
        </is>
      </c>
      <c r="F4597" t="inlineStr">
        <is>
          <t>F0201</t>
        </is>
      </c>
    </row>
    <row r="4598">
      <c r="A4598" t="inlineStr">
        <is>
          <t>Eriq La Salle</t>
        </is>
      </c>
      <c r="B4598" t="n">
        <v>1</v>
      </c>
      <c r="C4598" t="n">
        <v>2017</v>
      </c>
      <c r="D4598" t="n">
        <v>2017</v>
      </c>
      <c r="E4598" t="inlineStr">
        <is>
          <t>Logan</t>
        </is>
      </c>
      <c r="F4598" t="inlineStr">
        <is>
          <t>F0201</t>
        </is>
      </c>
    </row>
    <row r="4599">
      <c r="A4599" t="inlineStr">
        <is>
          <t>Elise Neal</t>
        </is>
      </c>
      <c r="B4599" t="n">
        <v>1</v>
      </c>
      <c r="C4599" t="n">
        <v>2017</v>
      </c>
      <c r="D4599" t="n">
        <v>2017</v>
      </c>
      <c r="E4599" t="inlineStr">
        <is>
          <t>Logan</t>
        </is>
      </c>
      <c r="F4599" t="inlineStr">
        <is>
          <t>F0201</t>
        </is>
      </c>
    </row>
    <row r="4600">
      <c r="A4600" t="inlineStr">
        <is>
          <t>Quincy Fouse</t>
        </is>
      </c>
      <c r="B4600" t="n">
        <v>1</v>
      </c>
      <c r="C4600" t="n">
        <v>2017</v>
      </c>
      <c r="D4600" t="n">
        <v>2017</v>
      </c>
      <c r="E4600" t="inlineStr">
        <is>
          <t>Logan</t>
        </is>
      </c>
      <c r="F4600" t="inlineStr">
        <is>
          <t>F0201</t>
        </is>
      </c>
    </row>
    <row r="4601">
      <c r="A4601" t="inlineStr">
        <is>
          <t>Al Coronel</t>
        </is>
      </c>
      <c r="B4601" t="n">
        <v>1</v>
      </c>
      <c r="C4601" t="n">
        <v>2017</v>
      </c>
      <c r="D4601" t="n">
        <v>2017</v>
      </c>
      <c r="E4601" t="inlineStr">
        <is>
          <t>Logan</t>
        </is>
      </c>
      <c r="F4601" t="inlineStr">
        <is>
          <t>F0201</t>
        </is>
      </c>
    </row>
    <row r="4602">
      <c r="A4602" t="inlineStr">
        <is>
          <t>Frank Gallegos</t>
        </is>
      </c>
      <c r="B4602" t="n">
        <v>1</v>
      </c>
      <c r="C4602" t="n">
        <v>2017</v>
      </c>
      <c r="D4602" t="n">
        <v>2017</v>
      </c>
      <c r="E4602" t="inlineStr">
        <is>
          <t>Logan</t>
        </is>
      </c>
      <c r="F4602" t="inlineStr">
        <is>
          <t>F0201</t>
        </is>
      </c>
    </row>
    <row r="4603">
      <c r="A4603" t="inlineStr">
        <is>
          <t>Anthony Escobar</t>
        </is>
      </c>
      <c r="B4603" t="n">
        <v>1</v>
      </c>
      <c r="C4603" t="n">
        <v>2017</v>
      </c>
      <c r="D4603" t="n">
        <v>2017</v>
      </c>
      <c r="E4603" t="inlineStr">
        <is>
          <t>Logan</t>
        </is>
      </c>
      <c r="F4603" t="inlineStr">
        <is>
          <t>F0201</t>
        </is>
      </c>
    </row>
    <row r="4604">
      <c r="A4604" t="inlineStr">
        <is>
          <t>Krzysztof Soszynski</t>
        </is>
      </c>
      <c r="B4604" t="n">
        <v>1</v>
      </c>
      <c r="C4604" t="n">
        <v>2017</v>
      </c>
      <c r="D4604" t="n">
        <v>2017</v>
      </c>
      <c r="E4604" t="inlineStr">
        <is>
          <t>Logan</t>
        </is>
      </c>
      <c r="F4604" t="inlineStr">
        <is>
          <t>F0201</t>
        </is>
      </c>
    </row>
    <row r="4605">
      <c r="A4605" t="inlineStr">
        <is>
          <t>Daniel Bernhardt</t>
        </is>
      </c>
      <c r="B4605" t="n">
        <v>2</v>
      </c>
      <c r="C4605" t="n">
        <v>2003</v>
      </c>
      <c r="D4605" t="n">
        <v>2017</v>
      </c>
      <c r="E4605" t="inlineStr">
        <is>
          <t>Logan, The Matrix Reloaded</t>
        </is>
      </c>
      <c r="F4605" t="inlineStr">
        <is>
          <t>F0201, F0215</t>
        </is>
      </c>
    </row>
    <row r="4606">
      <c r="A4606" t="inlineStr">
        <is>
          <t>Ryan Sturz</t>
        </is>
      </c>
      <c r="B4606" t="n">
        <v>1</v>
      </c>
      <c r="C4606" t="n">
        <v>2017</v>
      </c>
      <c r="D4606" t="n">
        <v>2017</v>
      </c>
      <c r="E4606" t="inlineStr">
        <is>
          <t>Logan</t>
        </is>
      </c>
      <c r="F4606" t="inlineStr">
        <is>
          <t>F0201</t>
        </is>
      </c>
    </row>
    <row r="4607">
      <c r="A4607" t="inlineStr">
        <is>
          <t>Jef Groff</t>
        </is>
      </c>
      <c r="B4607" t="n">
        <v>1</v>
      </c>
      <c r="C4607" t="n">
        <v>2017</v>
      </c>
      <c r="D4607" t="n">
        <v>2017</v>
      </c>
      <c r="E4607" t="inlineStr">
        <is>
          <t>Logan</t>
        </is>
      </c>
      <c r="F4607" t="inlineStr">
        <is>
          <t>F0201</t>
        </is>
      </c>
    </row>
    <row r="4608">
      <c r="A4608" t="inlineStr">
        <is>
          <t>Brandon Melendy</t>
        </is>
      </c>
      <c r="B4608" t="n">
        <v>1</v>
      </c>
      <c r="C4608" t="n">
        <v>2017</v>
      </c>
      <c r="D4608" t="n">
        <v>2017</v>
      </c>
      <c r="E4608" t="inlineStr">
        <is>
          <t>Logan</t>
        </is>
      </c>
      <c r="F4608" t="inlineStr">
        <is>
          <t>F0201</t>
        </is>
      </c>
    </row>
    <row r="4609">
      <c r="A4609" t="inlineStr">
        <is>
          <t>Jeremy Fitzgerald</t>
        </is>
      </c>
      <c r="B4609" t="n">
        <v>1</v>
      </c>
      <c r="C4609" t="n">
        <v>2017</v>
      </c>
      <c r="D4609" t="n">
        <v>2017</v>
      </c>
      <c r="E4609" t="inlineStr">
        <is>
          <t>Logan</t>
        </is>
      </c>
      <c r="F4609" t="inlineStr">
        <is>
          <t>F0201</t>
        </is>
      </c>
    </row>
    <row r="4610">
      <c r="A4610" t="inlineStr">
        <is>
          <t>Paul O'Connor</t>
        </is>
      </c>
      <c r="B4610" t="n">
        <v>1</v>
      </c>
      <c r="C4610" t="n">
        <v>2017</v>
      </c>
      <c r="D4610" t="n">
        <v>2017</v>
      </c>
      <c r="E4610" t="inlineStr">
        <is>
          <t>Logan</t>
        </is>
      </c>
      <c r="F4610" t="inlineStr">
        <is>
          <t>F0201</t>
        </is>
      </c>
    </row>
    <row r="4611">
      <c r="A4611" t="inlineStr">
        <is>
          <t>Clinton Roberts</t>
        </is>
      </c>
      <c r="B4611" t="n">
        <v>1</v>
      </c>
      <c r="C4611" t="n">
        <v>2017</v>
      </c>
      <c r="D4611" t="n">
        <v>2017</v>
      </c>
      <c r="E4611" t="inlineStr">
        <is>
          <t>Logan</t>
        </is>
      </c>
      <c r="F4611" t="inlineStr">
        <is>
          <t>F0201</t>
        </is>
      </c>
    </row>
    <row r="4612">
      <c r="A4612" t="inlineStr">
        <is>
          <t>Rocky Abou-Sakher</t>
        </is>
      </c>
      <c r="B4612" t="n">
        <v>1</v>
      </c>
      <c r="C4612" t="n">
        <v>2017</v>
      </c>
      <c r="D4612" t="n">
        <v>2017</v>
      </c>
      <c r="E4612" t="inlineStr">
        <is>
          <t>Logan</t>
        </is>
      </c>
      <c r="F4612" t="inlineStr">
        <is>
          <t>F0201</t>
        </is>
      </c>
    </row>
    <row r="4613">
      <c r="A4613" t="inlineStr">
        <is>
          <t>Keith Jardine</t>
        </is>
      </c>
      <c r="B4613" t="n">
        <v>1</v>
      </c>
      <c r="C4613" t="n">
        <v>2017</v>
      </c>
      <c r="D4613" t="n">
        <v>2017</v>
      </c>
      <c r="E4613" t="inlineStr">
        <is>
          <t>Logan</t>
        </is>
      </c>
      <c r="F4613" t="inlineStr">
        <is>
          <t>F0201</t>
        </is>
      </c>
    </row>
    <row r="4614">
      <c r="A4614" t="inlineStr">
        <is>
          <t>Jean Claude Leuyer</t>
        </is>
      </c>
      <c r="B4614" t="n">
        <v>1</v>
      </c>
      <c r="C4614" t="n">
        <v>2017</v>
      </c>
      <c r="D4614" t="n">
        <v>2017</v>
      </c>
      <c r="E4614" t="inlineStr">
        <is>
          <t>Logan</t>
        </is>
      </c>
      <c r="F4614" t="inlineStr">
        <is>
          <t>F0201</t>
        </is>
      </c>
    </row>
    <row r="4615">
      <c r="A4615" t="inlineStr">
        <is>
          <t>Andrew Arrabito</t>
        </is>
      </c>
      <c r="B4615" t="n">
        <v>1</v>
      </c>
      <c r="C4615" t="n">
        <v>2017</v>
      </c>
      <c r="D4615" t="n">
        <v>2017</v>
      </c>
      <c r="E4615" t="inlineStr">
        <is>
          <t>Logan</t>
        </is>
      </c>
      <c r="F4615" t="inlineStr">
        <is>
          <t>F0201</t>
        </is>
      </c>
    </row>
    <row r="4616">
      <c r="A4616" t="inlineStr">
        <is>
          <t>Sebastian James</t>
        </is>
      </c>
      <c r="B4616" t="n">
        <v>1</v>
      </c>
      <c r="C4616" t="n">
        <v>2017</v>
      </c>
      <c r="D4616" t="n">
        <v>2017</v>
      </c>
      <c r="E4616" t="inlineStr">
        <is>
          <t>Logan</t>
        </is>
      </c>
      <c r="F4616" t="inlineStr">
        <is>
          <t>F0201</t>
        </is>
      </c>
    </row>
    <row r="4617">
      <c r="A4617" t="inlineStr">
        <is>
          <t>Jerry Ferrara</t>
        </is>
      </c>
      <c r="B4617" t="n">
        <v>1</v>
      </c>
      <c r="C4617" t="n">
        <v>2013</v>
      </c>
      <c r="D4617" t="n">
        <v>2013</v>
      </c>
      <c r="E4617" t="inlineStr">
        <is>
          <t>Lone Survivor</t>
        </is>
      </c>
      <c r="F4617" t="inlineStr">
        <is>
          <t>F0202</t>
        </is>
      </c>
    </row>
    <row r="4618">
      <c r="A4618" t="inlineStr">
        <is>
          <t>Scott Elrod</t>
        </is>
      </c>
      <c r="B4618" t="n">
        <v>1</v>
      </c>
      <c r="C4618" t="n">
        <v>2013</v>
      </c>
      <c r="D4618" t="n">
        <v>2013</v>
      </c>
      <c r="E4618" t="inlineStr">
        <is>
          <t>Lone Survivor</t>
        </is>
      </c>
      <c r="F4618" t="inlineStr">
        <is>
          <t>F0202</t>
        </is>
      </c>
    </row>
    <row r="4619">
      <c r="A4619" t="inlineStr">
        <is>
          <t>Josh Berry</t>
        </is>
      </c>
      <c r="B4619" t="n">
        <v>1</v>
      </c>
      <c r="C4619" t="n">
        <v>2013</v>
      </c>
      <c r="D4619" t="n">
        <v>2013</v>
      </c>
      <c r="E4619" t="inlineStr">
        <is>
          <t>Lone Survivor</t>
        </is>
      </c>
      <c r="F4619" t="inlineStr">
        <is>
          <t>F0202</t>
        </is>
      </c>
    </row>
    <row r="4620">
      <c r="A4620" t="inlineStr">
        <is>
          <t>Yousuf Azami</t>
        </is>
      </c>
      <c r="B4620" t="n">
        <v>1</v>
      </c>
      <c r="C4620" t="n">
        <v>2013</v>
      </c>
      <c r="D4620" t="n">
        <v>2013</v>
      </c>
      <c r="E4620" t="inlineStr">
        <is>
          <t>Lone Survivor</t>
        </is>
      </c>
      <c r="F4620" t="inlineStr">
        <is>
          <t>F0202</t>
        </is>
      </c>
    </row>
    <row r="4621">
      <c r="A4621" t="inlineStr">
        <is>
          <t>Sammy Sheik</t>
        </is>
      </c>
      <c r="B4621" t="n">
        <v>1</v>
      </c>
      <c r="C4621" t="n">
        <v>2013</v>
      </c>
      <c r="D4621" t="n">
        <v>2013</v>
      </c>
      <c r="E4621" t="inlineStr">
        <is>
          <t>Lone Survivor</t>
        </is>
      </c>
      <c r="F4621" t="inlineStr">
        <is>
          <t>F0202</t>
        </is>
      </c>
    </row>
    <row r="4622">
      <c r="A4622" t="inlineStr">
        <is>
          <t>Rich Ting</t>
        </is>
      </c>
      <c r="B4622" t="n">
        <v>1</v>
      </c>
      <c r="C4622" t="n">
        <v>2013</v>
      </c>
      <c r="D4622" t="n">
        <v>2013</v>
      </c>
      <c r="E4622" t="inlineStr">
        <is>
          <t>Lone Survivor</t>
        </is>
      </c>
      <c r="F4622" t="inlineStr">
        <is>
          <t>F0202</t>
        </is>
      </c>
    </row>
    <row r="4623">
      <c r="A4623" t="inlineStr">
        <is>
          <t>Dan Bilzerian</t>
        </is>
      </c>
      <c r="B4623" t="n">
        <v>1</v>
      </c>
      <c r="C4623" t="n">
        <v>2013</v>
      </c>
      <c r="D4623" t="n">
        <v>2013</v>
      </c>
      <c r="E4623" t="inlineStr">
        <is>
          <t>Lone Survivor</t>
        </is>
      </c>
      <c r="F4623" t="inlineStr">
        <is>
          <t>F0202</t>
        </is>
      </c>
    </row>
    <row r="4624">
      <c r="A4624" t="inlineStr">
        <is>
          <t>Rick Vargas</t>
        </is>
      </c>
      <c r="B4624" t="n">
        <v>1</v>
      </c>
      <c r="C4624" t="n">
        <v>2013</v>
      </c>
      <c r="D4624" t="n">
        <v>2013</v>
      </c>
      <c r="E4624" t="inlineStr">
        <is>
          <t>Lone Survivor</t>
        </is>
      </c>
      <c r="F4624" t="inlineStr">
        <is>
          <t>F0202</t>
        </is>
      </c>
    </row>
    <row r="4625">
      <c r="A4625" t="inlineStr">
        <is>
          <t>Gregory Rockwood</t>
        </is>
      </c>
      <c r="B4625" t="n">
        <v>1</v>
      </c>
      <c r="C4625" t="n">
        <v>2013</v>
      </c>
      <c r="D4625" t="n">
        <v>2013</v>
      </c>
      <c r="E4625" t="inlineStr">
        <is>
          <t>Lone Survivor</t>
        </is>
      </c>
      <c r="F4625" t="inlineStr">
        <is>
          <t>F0202</t>
        </is>
      </c>
    </row>
    <row r="4626">
      <c r="A4626" t="inlineStr">
        <is>
          <t>Ryan Kay</t>
        </is>
      </c>
      <c r="B4626" t="n">
        <v>1</v>
      </c>
      <c r="C4626" t="n">
        <v>2013</v>
      </c>
      <c r="D4626" t="n">
        <v>2013</v>
      </c>
      <c r="E4626" t="inlineStr">
        <is>
          <t>Lone Survivor</t>
        </is>
      </c>
      <c r="F4626" t="inlineStr">
        <is>
          <t>F0202</t>
        </is>
      </c>
    </row>
    <row r="4627">
      <c r="A4627" t="inlineStr">
        <is>
          <t>Patrick Griffin</t>
        </is>
      </c>
      <c r="B4627" t="n">
        <v>1</v>
      </c>
      <c r="C4627" t="n">
        <v>2013</v>
      </c>
      <c r="D4627" t="n">
        <v>2013</v>
      </c>
      <c r="E4627" t="inlineStr">
        <is>
          <t>Lone Survivor</t>
        </is>
      </c>
      <c r="F4627" t="inlineStr">
        <is>
          <t>F0202</t>
        </is>
      </c>
    </row>
    <row r="4628">
      <c r="A4628" t="inlineStr">
        <is>
          <t>Eric Steinig</t>
        </is>
      </c>
      <c r="B4628" t="n">
        <v>1</v>
      </c>
      <c r="C4628" t="n">
        <v>2013</v>
      </c>
      <c r="D4628" t="n">
        <v>2013</v>
      </c>
      <c r="E4628" t="inlineStr">
        <is>
          <t>Lone Survivor</t>
        </is>
      </c>
      <c r="F4628" t="inlineStr">
        <is>
          <t>F0202</t>
        </is>
      </c>
    </row>
    <row r="4629">
      <c r="A4629" t="inlineStr">
        <is>
          <t>Justin Tade</t>
        </is>
      </c>
      <c r="B4629" t="n">
        <v>1</v>
      </c>
      <c r="C4629" t="n">
        <v>2013</v>
      </c>
      <c r="D4629" t="n">
        <v>2013</v>
      </c>
      <c r="E4629" t="inlineStr">
        <is>
          <t>Lone Survivor</t>
        </is>
      </c>
      <c r="F4629" t="inlineStr">
        <is>
          <t>F0202</t>
        </is>
      </c>
    </row>
    <row r="4630">
      <c r="A4630" t="inlineStr">
        <is>
          <t>Sterling Jones</t>
        </is>
      </c>
      <c r="B4630" t="n">
        <v>1</v>
      </c>
      <c r="C4630" t="n">
        <v>2013</v>
      </c>
      <c r="D4630" t="n">
        <v>2013</v>
      </c>
      <c r="E4630" t="inlineStr">
        <is>
          <t>Lone Survivor</t>
        </is>
      </c>
      <c r="F4630" t="inlineStr">
        <is>
          <t>F0202</t>
        </is>
      </c>
    </row>
    <row r="4631">
      <c r="A4631" t="inlineStr">
        <is>
          <t>Jason Riggins</t>
        </is>
      </c>
      <c r="B4631" t="n">
        <v>1</v>
      </c>
      <c r="C4631" t="n">
        <v>2013</v>
      </c>
      <c r="D4631" t="n">
        <v>2013</v>
      </c>
      <c r="E4631" t="inlineStr">
        <is>
          <t>Lone Survivor</t>
        </is>
      </c>
      <c r="F4631" t="inlineStr">
        <is>
          <t>F0202</t>
        </is>
      </c>
    </row>
    <row r="4632">
      <c r="A4632" t="inlineStr">
        <is>
          <t>Matthew Page</t>
        </is>
      </c>
      <c r="B4632" t="n">
        <v>1</v>
      </c>
      <c r="C4632" t="n">
        <v>2013</v>
      </c>
      <c r="D4632" t="n">
        <v>2013</v>
      </c>
      <c r="E4632" t="inlineStr">
        <is>
          <t>Lone Survivor</t>
        </is>
      </c>
      <c r="F4632" t="inlineStr">
        <is>
          <t>F0202</t>
        </is>
      </c>
    </row>
    <row r="4633">
      <c r="A4633" t="inlineStr">
        <is>
          <t>Nicholas Patel</t>
        </is>
      </c>
      <c r="B4633" t="n">
        <v>1</v>
      </c>
      <c r="C4633" t="n">
        <v>2013</v>
      </c>
      <c r="D4633" t="n">
        <v>2013</v>
      </c>
      <c r="E4633" t="inlineStr">
        <is>
          <t>Lone Survivor</t>
        </is>
      </c>
      <c r="F4633" t="inlineStr">
        <is>
          <t>F0202</t>
        </is>
      </c>
    </row>
    <row r="4634">
      <c r="A4634" t="inlineStr">
        <is>
          <t>Daniel Arroyo</t>
        </is>
      </c>
      <c r="B4634" t="n">
        <v>1</v>
      </c>
      <c r="C4634" t="n">
        <v>2013</v>
      </c>
      <c r="D4634" t="n">
        <v>2013</v>
      </c>
      <c r="E4634" t="inlineStr">
        <is>
          <t>Lone Survivor</t>
        </is>
      </c>
      <c r="F4634" t="inlineStr">
        <is>
          <t>F0202</t>
        </is>
      </c>
    </row>
    <row r="4635">
      <c r="A4635" t="inlineStr">
        <is>
          <t>Zarin Rahimi</t>
        </is>
      </c>
      <c r="B4635" t="n">
        <v>1</v>
      </c>
      <c r="C4635" t="n">
        <v>2013</v>
      </c>
      <c r="D4635" t="n">
        <v>2013</v>
      </c>
      <c r="E4635" t="inlineStr">
        <is>
          <t>Lone Survivor</t>
        </is>
      </c>
      <c r="F4635" t="inlineStr">
        <is>
          <t>F0202</t>
        </is>
      </c>
    </row>
    <row r="4636">
      <c r="A4636" t="inlineStr">
        <is>
          <t>Rohan Chand</t>
        </is>
      </c>
      <c r="B4636" t="n">
        <v>1</v>
      </c>
      <c r="C4636" t="n">
        <v>2013</v>
      </c>
      <c r="D4636" t="n">
        <v>2013</v>
      </c>
      <c r="E4636" t="inlineStr">
        <is>
          <t>Lone Survivor</t>
        </is>
      </c>
      <c r="F4636" t="inlineStr">
        <is>
          <t>F0202</t>
        </is>
      </c>
    </row>
    <row r="4637">
      <c r="A4637" t="inlineStr">
        <is>
          <t>Anthony McKenzie</t>
        </is>
      </c>
      <c r="B4637" t="n">
        <v>1</v>
      </c>
      <c r="C4637" t="n">
        <v>2013</v>
      </c>
      <c r="D4637" t="n">
        <v>2013</v>
      </c>
      <c r="E4637" t="inlineStr">
        <is>
          <t>Lone Survivor</t>
        </is>
      </c>
      <c r="F4637" t="inlineStr">
        <is>
          <t>F0202</t>
        </is>
      </c>
    </row>
    <row r="4638">
      <c r="A4638" t="inlineStr">
        <is>
          <t>Brian Call</t>
        </is>
      </c>
      <c r="B4638" t="n">
        <v>2</v>
      </c>
      <c r="C4638" t="n">
        <v>2011</v>
      </c>
      <c r="D4638" t="n">
        <v>2013</v>
      </c>
      <c r="E4638" t="inlineStr">
        <is>
          <t>Lone Survivor, Transformers: Dark of the Moon</t>
        </is>
      </c>
      <c r="F4638" t="inlineStr">
        <is>
          <t>F0202, F0318</t>
        </is>
      </c>
    </row>
    <row r="4639">
      <c r="A4639" t="inlineStr">
        <is>
          <t>Ishmael Antonio</t>
        </is>
      </c>
      <c r="B4639" t="n">
        <v>1</v>
      </c>
      <c r="C4639" t="n">
        <v>2013</v>
      </c>
      <c r="D4639" t="n">
        <v>2013</v>
      </c>
      <c r="E4639" t="inlineStr">
        <is>
          <t>Lone Survivor</t>
        </is>
      </c>
      <c r="F4639" t="inlineStr">
        <is>
          <t>F0202</t>
        </is>
      </c>
    </row>
    <row r="4640">
      <c r="A4640" t="inlineStr">
        <is>
          <t>Liv Tyler</t>
        </is>
      </c>
      <c r="B4640" t="n">
        <v>3</v>
      </c>
      <c r="C4640" t="n">
        <v>2001</v>
      </c>
      <c r="D4640" t="n">
        <v>2003</v>
      </c>
      <c r="E4640" t="inlineStr">
        <is>
          <t>The Lord of the Rings: The Fellowship of the Ring, The Lord of the Rings: The Two Towers, The Lord of the Rings: The Return of the King</t>
        </is>
      </c>
      <c r="F4640" t="inlineStr">
        <is>
          <t>F0203, F0204, F0205</t>
        </is>
      </c>
    </row>
    <row r="4641">
      <c r="A4641" t="inlineStr">
        <is>
          <t>Sean Bean</t>
        </is>
      </c>
      <c r="B4641" t="n">
        <v>3</v>
      </c>
      <c r="C4641" t="n">
        <v>2001</v>
      </c>
      <c r="D4641" t="n">
        <v>2015</v>
      </c>
      <c r="E4641" t="inlineStr">
        <is>
          <t>The Lord of the Rings: The Fellowship of the Ring, The Lord of the Rings: The Return of the King, The Martian</t>
        </is>
      </c>
      <c r="F4641" t="inlineStr">
        <is>
          <t>F0203, F0205, F0213</t>
        </is>
      </c>
    </row>
    <row r="4642">
      <c r="A4642" t="inlineStr">
        <is>
          <t>Billy Boyd</t>
        </is>
      </c>
      <c r="B4642" t="n">
        <v>3</v>
      </c>
      <c r="C4642" t="n">
        <v>2001</v>
      </c>
      <c r="D4642" t="n">
        <v>2003</v>
      </c>
      <c r="E4642" t="inlineStr">
        <is>
          <t>The Lord of the Rings: The Fellowship of the Ring, The Lord of the Rings: The Two Towers, The Lord of the Rings: The Return of the King</t>
        </is>
      </c>
      <c r="F4642" t="inlineStr">
        <is>
          <t>F0203, F0204, F0205</t>
        </is>
      </c>
    </row>
    <row r="4643">
      <c r="A4643" t="inlineStr">
        <is>
          <t>Dominic Monaghan</t>
        </is>
      </c>
      <c r="B4643" t="n">
        <v>5</v>
      </c>
      <c r="C4643" t="n">
        <v>2001</v>
      </c>
      <c r="D4643" t="n">
        <v>2019</v>
      </c>
      <c r="E4643" t="inlineStr">
        <is>
          <t>The Lord of the Rings: The Fellowship of the Ring, The Lord of the Rings: The Two Towers, The Lord of the Rings: The Return of the King, Star Wars: The Rise of Skywalker, X-Men Origins: Wolverine</t>
        </is>
      </c>
      <c r="F4643" t="inlineStr">
        <is>
          <t>F0203, F0204, F0205, F0300, F0343</t>
        </is>
      </c>
    </row>
    <row r="4644">
      <c r="A4644" t="inlineStr">
        <is>
          <t>John Rhys-Davies</t>
        </is>
      </c>
      <c r="B4644" t="n">
        <v>3</v>
      </c>
      <c r="C4644" t="n">
        <v>2001</v>
      </c>
      <c r="D4644" t="n">
        <v>2003</v>
      </c>
      <c r="E4644" t="inlineStr">
        <is>
          <t>The Lord of the Rings: The Fellowship of the Ring, The Lord of the Rings: The Two Towers, The Lord of the Rings: The Return of the King</t>
        </is>
      </c>
      <c r="F4644" t="inlineStr">
        <is>
          <t>F0203, F0204, F0205</t>
        </is>
      </c>
    </row>
    <row r="4645">
      <c r="A4645" t="inlineStr">
        <is>
          <t>Craig Parker</t>
        </is>
      </c>
      <c r="B4645" t="n">
        <v>3</v>
      </c>
      <c r="C4645" t="n">
        <v>2001</v>
      </c>
      <c r="D4645" t="n">
        <v>2009</v>
      </c>
      <c r="E4645" t="inlineStr">
        <is>
          <t>The Lord of the Rings: The Fellowship of the Ring, The Lord of the Rings: The Two Towers, Underworld: Rise of the Lycans</t>
        </is>
      </c>
      <c r="F4645" t="inlineStr">
        <is>
          <t>F0203, F0204, F0327</t>
        </is>
      </c>
    </row>
    <row r="4646">
      <c r="A4646" t="inlineStr">
        <is>
          <t>Brent McIntyre</t>
        </is>
      </c>
      <c r="B4646" t="n">
        <v>1</v>
      </c>
      <c r="C4646" t="n">
        <v>2001</v>
      </c>
      <c r="D4646" t="n">
        <v>2001</v>
      </c>
      <c r="E4646" t="inlineStr">
        <is>
          <t>The Lord of the Rings: The Fellowship of the Ring</t>
        </is>
      </c>
      <c r="F4646" t="inlineStr">
        <is>
          <t>F0203</t>
        </is>
      </c>
    </row>
    <row r="4647">
      <c r="A4647" t="inlineStr">
        <is>
          <t>Sala Baker</t>
        </is>
      </c>
      <c r="B4647" t="n">
        <v>2</v>
      </c>
      <c r="C4647" t="n">
        <v>2001</v>
      </c>
      <c r="D4647" t="n">
        <v>2002</v>
      </c>
      <c r="E4647" t="inlineStr">
        <is>
          <t>The Lord of the Rings: The Fellowship of the Ring, The Lord of the Rings: The Two Towers</t>
        </is>
      </c>
      <c r="F4647" t="inlineStr">
        <is>
          <t>F0203, F0204</t>
        </is>
      </c>
    </row>
    <row r="4648">
      <c r="A4648" t="inlineStr">
        <is>
          <t>Mark Ferguson</t>
        </is>
      </c>
      <c r="B4648" t="n">
        <v>1</v>
      </c>
      <c r="C4648" t="n">
        <v>2001</v>
      </c>
      <c r="D4648" t="n">
        <v>2001</v>
      </c>
      <c r="E4648" t="inlineStr">
        <is>
          <t>The Lord of the Rings: The Fellowship of the Ring</t>
        </is>
      </c>
      <c r="F4648" t="inlineStr">
        <is>
          <t>F0203</t>
        </is>
      </c>
    </row>
    <row r="4649">
      <c r="A4649" t="inlineStr">
        <is>
          <t>Harry Sinclair</t>
        </is>
      </c>
      <c r="B4649" t="n">
        <v>1</v>
      </c>
      <c r="C4649" t="n">
        <v>2001</v>
      </c>
      <c r="D4649" t="n">
        <v>2001</v>
      </c>
      <c r="E4649" t="inlineStr">
        <is>
          <t>The Lord of the Rings: The Fellowship of the Ring</t>
        </is>
      </c>
      <c r="F4649" t="inlineStr">
        <is>
          <t>F0203</t>
        </is>
      </c>
    </row>
    <row r="4650">
      <c r="A4650" t="inlineStr">
        <is>
          <t>Noel Appleby</t>
        </is>
      </c>
      <c r="B4650" t="n">
        <v>2</v>
      </c>
      <c r="C4650" t="n">
        <v>2001</v>
      </c>
      <c r="D4650" t="n">
        <v>2003</v>
      </c>
      <c r="E4650" t="inlineStr">
        <is>
          <t>The Lord of the Rings: The Fellowship of the Ring, The Lord of the Rings: The Return of the King</t>
        </is>
      </c>
      <c r="F4650" t="inlineStr">
        <is>
          <t>F0203, F0205</t>
        </is>
      </c>
    </row>
    <row r="4651">
      <c r="A4651" t="inlineStr">
        <is>
          <t>Megan Edwards</t>
        </is>
      </c>
      <c r="B4651" t="n">
        <v>1</v>
      </c>
      <c r="C4651" t="n">
        <v>2001</v>
      </c>
      <c r="D4651" t="n">
        <v>2001</v>
      </c>
      <c r="E4651" t="inlineStr">
        <is>
          <t>The Lord of the Rings: The Fellowship of the Ring</t>
        </is>
      </c>
      <c r="F4651" t="inlineStr">
        <is>
          <t>F0203</t>
        </is>
      </c>
    </row>
    <row r="4652">
      <c r="A4652" t="inlineStr">
        <is>
          <t>Sarah McLeod</t>
        </is>
      </c>
      <c r="B4652" t="n">
        <v>2</v>
      </c>
      <c r="C4652" t="n">
        <v>2001</v>
      </c>
      <c r="D4652" t="n">
        <v>2003</v>
      </c>
      <c r="E4652" t="inlineStr">
        <is>
          <t>The Lord of the Rings: The Fellowship of the Ring, The Lord of the Rings: The Return of the King</t>
        </is>
      </c>
      <c r="F4652" t="inlineStr">
        <is>
          <t>F0203, F0205</t>
        </is>
      </c>
    </row>
    <row r="4653">
      <c r="A4653" t="inlineStr">
        <is>
          <t>David Weatherley</t>
        </is>
      </c>
      <c r="B4653" t="n">
        <v>1</v>
      </c>
      <c r="C4653" t="n">
        <v>2001</v>
      </c>
      <c r="D4653" t="n">
        <v>2001</v>
      </c>
      <c r="E4653" t="inlineStr">
        <is>
          <t>The Lord of the Rings: The Fellowship of the Ring</t>
        </is>
      </c>
      <c r="F4653" t="inlineStr">
        <is>
          <t>F0203</t>
        </is>
      </c>
    </row>
    <row r="4654">
      <c r="A4654" t="inlineStr">
        <is>
          <t>Ian Mune</t>
        </is>
      </c>
      <c r="B4654" t="n">
        <v>1</v>
      </c>
      <c r="C4654" t="n">
        <v>2001</v>
      </c>
      <c r="D4654" t="n">
        <v>2001</v>
      </c>
      <c r="E4654" t="inlineStr">
        <is>
          <t>The Lord of the Rings: The Fellowship of the Ring</t>
        </is>
      </c>
      <c r="F4654" t="inlineStr">
        <is>
          <t>F0203</t>
        </is>
      </c>
    </row>
    <row r="4655">
      <c r="A4655" t="inlineStr">
        <is>
          <t>Michael Elsworth</t>
        </is>
      </c>
      <c r="B4655" t="n">
        <v>1</v>
      </c>
      <c r="C4655" t="n">
        <v>2001</v>
      </c>
      <c r="D4655" t="n">
        <v>2001</v>
      </c>
      <c r="E4655" t="inlineStr">
        <is>
          <t>The Lord of the Rings: The Fellowship of the Ring</t>
        </is>
      </c>
      <c r="F4655" t="inlineStr">
        <is>
          <t>F0203</t>
        </is>
      </c>
    </row>
    <row r="4656">
      <c r="A4656" t="inlineStr">
        <is>
          <t>Cameron Rhodes</t>
        </is>
      </c>
      <c r="B4656" t="n">
        <v>1</v>
      </c>
      <c r="C4656" t="n">
        <v>2001</v>
      </c>
      <c r="D4656" t="n">
        <v>2001</v>
      </c>
      <c r="E4656" t="inlineStr">
        <is>
          <t>The Lord of the Rings: The Fellowship of the Ring</t>
        </is>
      </c>
      <c r="F4656" t="inlineStr">
        <is>
          <t>F0203</t>
        </is>
      </c>
    </row>
    <row r="4657">
      <c r="A4657" t="inlineStr">
        <is>
          <t>Bernard Hill</t>
        </is>
      </c>
      <c r="B4657" t="n">
        <v>2</v>
      </c>
      <c r="C4657" t="n">
        <v>2002</v>
      </c>
      <c r="D4657" t="n">
        <v>2003</v>
      </c>
      <c r="E4657" t="inlineStr">
        <is>
          <t>The Lord of the Rings: The Two Towers, The Lord of the Rings: The Return of the King</t>
        </is>
      </c>
      <c r="F4657" t="inlineStr">
        <is>
          <t>F0204, F0205</t>
        </is>
      </c>
    </row>
    <row r="4658">
      <c r="A4658" t="inlineStr">
        <is>
          <t>David Wenham</t>
        </is>
      </c>
      <c r="B4658" t="n">
        <v>2</v>
      </c>
      <c r="C4658" t="n">
        <v>2002</v>
      </c>
      <c r="D4658" t="n">
        <v>2003</v>
      </c>
      <c r="E4658" t="inlineStr">
        <is>
          <t>The Lord of the Rings: The Two Towers, The Lord of the Rings: The Return of the King</t>
        </is>
      </c>
      <c r="F4658" t="inlineStr">
        <is>
          <t>F0204, F0205</t>
        </is>
      </c>
    </row>
    <row r="4659">
      <c r="A4659" t="inlineStr">
        <is>
          <t>Bruce Allpress</t>
        </is>
      </c>
      <c r="B4659" t="n">
        <v>1</v>
      </c>
      <c r="C4659" t="n">
        <v>2002</v>
      </c>
      <c r="D4659" t="n">
        <v>2002</v>
      </c>
      <c r="E4659" t="inlineStr">
        <is>
          <t>The Lord of the Rings: The Two Towers</t>
        </is>
      </c>
      <c r="F4659" t="inlineStr">
        <is>
          <t>F0204</t>
        </is>
      </c>
    </row>
    <row r="4660">
      <c r="A4660" t="inlineStr">
        <is>
          <t>John Bach</t>
        </is>
      </c>
      <c r="B4660" t="n">
        <v>2</v>
      </c>
      <c r="C4660" t="n">
        <v>2002</v>
      </c>
      <c r="D4660" t="n">
        <v>2003</v>
      </c>
      <c r="E4660" t="inlineStr">
        <is>
          <t>The Lord of the Rings: The Two Towers, The Lord of the Rings: The Return of the King</t>
        </is>
      </c>
      <c r="F4660" t="inlineStr">
        <is>
          <t>F0204, F0205</t>
        </is>
      </c>
    </row>
    <row r="4661">
      <c r="A4661" t="inlineStr">
        <is>
          <t>Sam Comery</t>
        </is>
      </c>
      <c r="B4661" t="n">
        <v>1</v>
      </c>
      <c r="C4661" t="n">
        <v>2002</v>
      </c>
      <c r="D4661" t="n">
        <v>2002</v>
      </c>
      <c r="E4661" t="inlineStr">
        <is>
          <t>The Lord of the Rings: The Two Towers</t>
        </is>
      </c>
      <c r="F4661" t="inlineStr">
        <is>
          <t>F0204</t>
        </is>
      </c>
    </row>
    <row r="4662">
      <c r="A4662" t="inlineStr">
        <is>
          <t>Phil Grieve</t>
        </is>
      </c>
      <c r="B4662" t="n">
        <v>1</v>
      </c>
      <c r="C4662" t="n">
        <v>2002</v>
      </c>
      <c r="D4662" t="n">
        <v>2002</v>
      </c>
      <c r="E4662" t="inlineStr">
        <is>
          <t>The Lord of the Rings: The Two Towers</t>
        </is>
      </c>
      <c r="F4662" t="inlineStr">
        <is>
          <t>F0204</t>
        </is>
      </c>
    </row>
    <row r="4663">
      <c r="A4663" t="inlineStr">
        <is>
          <t>Bruce Hopkins</t>
        </is>
      </c>
      <c r="B4663" t="n">
        <v>1</v>
      </c>
      <c r="C4663" t="n">
        <v>2002</v>
      </c>
      <c r="D4663" t="n">
        <v>2002</v>
      </c>
      <c r="E4663" t="inlineStr">
        <is>
          <t>The Lord of the Rings: The Two Towers</t>
        </is>
      </c>
      <c r="F4663" t="inlineStr">
        <is>
          <t>F0204</t>
        </is>
      </c>
    </row>
    <row r="4664">
      <c r="A4664" t="inlineStr">
        <is>
          <t>Paris Howe Strewe</t>
        </is>
      </c>
      <c r="B4664" t="n">
        <v>1</v>
      </c>
      <c r="C4664" t="n">
        <v>2002</v>
      </c>
      <c r="D4664" t="n">
        <v>2002</v>
      </c>
      <c r="E4664" t="inlineStr">
        <is>
          <t>The Lord of the Rings: The Two Towers</t>
        </is>
      </c>
      <c r="F4664" t="inlineStr">
        <is>
          <t>F0204</t>
        </is>
      </c>
    </row>
    <row r="4665">
      <c r="A4665" t="inlineStr">
        <is>
          <t>Nathaniel Lees</t>
        </is>
      </c>
      <c r="B4665" t="n">
        <v>2</v>
      </c>
      <c r="C4665" t="n">
        <v>2002</v>
      </c>
      <c r="D4665" t="n">
        <v>2003</v>
      </c>
      <c r="E4665" t="inlineStr">
        <is>
          <t>The Lord of the Rings: The Two Towers, The Matrix Revolutions</t>
        </is>
      </c>
      <c r="F4665" t="inlineStr">
        <is>
          <t>F0204, F0216</t>
        </is>
      </c>
    </row>
    <row r="4666">
      <c r="A4666" t="inlineStr">
        <is>
          <t>John Leigh</t>
        </is>
      </c>
      <c r="B4666" t="n">
        <v>1</v>
      </c>
      <c r="C4666" t="n">
        <v>2002</v>
      </c>
      <c r="D4666" t="n">
        <v>2002</v>
      </c>
      <c r="E4666" t="inlineStr">
        <is>
          <t>The Lord of the Rings: The Two Towers</t>
        </is>
      </c>
      <c r="F4666" t="inlineStr">
        <is>
          <t>F0204</t>
        </is>
      </c>
    </row>
    <row r="4667">
      <c r="A4667" t="inlineStr">
        <is>
          <t>John Noble</t>
        </is>
      </c>
      <c r="B4667" t="n">
        <v>1</v>
      </c>
      <c r="C4667" t="n">
        <v>2003</v>
      </c>
      <c r="D4667" t="n">
        <v>2003</v>
      </c>
      <c r="E4667" t="inlineStr">
        <is>
          <t>The Lord of the Rings: The Return of the King</t>
        </is>
      </c>
      <c r="F4667" t="inlineStr">
        <is>
          <t>F0205</t>
        </is>
      </c>
    </row>
    <row r="4668">
      <c r="A4668" t="inlineStr">
        <is>
          <t>Paul Norell</t>
        </is>
      </c>
      <c r="B4668" t="n">
        <v>1</v>
      </c>
      <c r="C4668" t="n">
        <v>2003</v>
      </c>
      <c r="D4668" t="n">
        <v>2003</v>
      </c>
      <c r="E4668" t="inlineStr">
        <is>
          <t>The Lord of the Rings: The Return of the King</t>
        </is>
      </c>
      <c r="F4668" t="inlineStr">
        <is>
          <t>F0205</t>
        </is>
      </c>
    </row>
    <row r="4669">
      <c r="A4669" t="inlineStr">
        <is>
          <t>Ali Astin</t>
        </is>
      </c>
      <c r="B4669" t="n">
        <v>1</v>
      </c>
      <c r="C4669" t="n">
        <v>2003</v>
      </c>
      <c r="D4669" t="n">
        <v>2003</v>
      </c>
      <c r="E4669" t="inlineStr">
        <is>
          <t>The Lord of the Rings: The Return of the King</t>
        </is>
      </c>
      <c r="F4669" t="inlineStr">
        <is>
          <t>F0205</t>
        </is>
      </c>
    </row>
    <row r="4670">
      <c r="A4670" t="inlineStr">
        <is>
          <t>Maisy McLeod-Riera</t>
        </is>
      </c>
      <c r="B4670" t="n">
        <v>1</v>
      </c>
      <c r="C4670" t="n">
        <v>2003</v>
      </c>
      <c r="D4670" t="n">
        <v>2003</v>
      </c>
      <c r="E4670" t="inlineStr">
        <is>
          <t>The Lord of the Rings: The Return of the King</t>
        </is>
      </c>
      <c r="F4670" t="inlineStr">
        <is>
          <t>F0205</t>
        </is>
      </c>
    </row>
    <row r="4671">
      <c r="A4671" t="inlineStr">
        <is>
          <t>David Aston</t>
        </is>
      </c>
      <c r="B4671" t="n">
        <v>3</v>
      </c>
      <c r="C4671" t="n">
        <v>1999</v>
      </c>
      <c r="D4671" t="n">
        <v>2009</v>
      </c>
      <c r="E4671" t="inlineStr">
        <is>
          <t>The Lord of the Rings: The Return of the King, The Matrix, Underworld: Rise of the Lycans</t>
        </is>
      </c>
      <c r="F4671" t="inlineStr">
        <is>
          <t>F0205, F0214, F0327</t>
        </is>
      </c>
    </row>
    <row r="4672">
      <c r="A4672" t="inlineStr">
        <is>
          <t>Sadwyn Brophy</t>
        </is>
      </c>
      <c r="B4672" t="n">
        <v>1</v>
      </c>
      <c r="C4672" t="n">
        <v>2003</v>
      </c>
      <c r="D4672" t="n">
        <v>2003</v>
      </c>
      <c r="E4672" t="inlineStr">
        <is>
          <t>The Lord of the Rings: The Return of the King</t>
        </is>
      </c>
      <c r="F4672" t="inlineStr">
        <is>
          <t>F0205</t>
        </is>
      </c>
    </row>
    <row r="4673">
      <c r="A4673" t="inlineStr">
        <is>
          <t>Alistair Browning</t>
        </is>
      </c>
      <c r="B4673" t="n">
        <v>1</v>
      </c>
      <c r="C4673" t="n">
        <v>2003</v>
      </c>
      <c r="D4673" t="n">
        <v>2003</v>
      </c>
      <c r="E4673" t="inlineStr">
        <is>
          <t>The Lord of the Rings: The Return of the King</t>
        </is>
      </c>
      <c r="F4673" t="inlineStr">
        <is>
          <t>F0205</t>
        </is>
      </c>
    </row>
    <row r="4674">
      <c r="A4674" t="inlineStr">
        <is>
          <t>Joe Manganiello</t>
        </is>
      </c>
      <c r="B4674" t="n">
        <v>3</v>
      </c>
      <c r="C4674" t="n">
        <v>2002</v>
      </c>
      <c r="D4674" t="n">
        <v>2012</v>
      </c>
      <c r="E4674" t="inlineStr">
        <is>
          <t>Magic Mike, Spider-Man, Spider-Man 3</t>
        </is>
      </c>
      <c r="F4674" t="inlineStr">
        <is>
          <t>F0206, F0287, F0289</t>
        </is>
      </c>
    </row>
    <row r="4675">
      <c r="A4675" t="inlineStr">
        <is>
          <t>Reid Carolin</t>
        </is>
      </c>
      <c r="B4675" t="n">
        <v>1</v>
      </c>
      <c r="C4675" t="n">
        <v>2012</v>
      </c>
      <c r="D4675" t="n">
        <v>2012</v>
      </c>
      <c r="E4675" t="inlineStr">
        <is>
          <t>Magic Mike</t>
        </is>
      </c>
      <c r="F4675" t="inlineStr">
        <is>
          <t>F0206</t>
        </is>
      </c>
    </row>
    <row r="4676">
      <c r="A4676" t="inlineStr">
        <is>
          <t>Adam Rodriguez</t>
        </is>
      </c>
      <c r="B4676" t="n">
        <v>1</v>
      </c>
      <c r="C4676" t="n">
        <v>2012</v>
      </c>
      <c r="D4676" t="n">
        <v>2012</v>
      </c>
      <c r="E4676" t="inlineStr">
        <is>
          <t>Magic Mike</t>
        </is>
      </c>
      <c r="F4676" t="inlineStr">
        <is>
          <t>F0206</t>
        </is>
      </c>
    </row>
    <row r="4677">
      <c r="A4677" t="inlineStr">
        <is>
          <t>Kevin Nash</t>
        </is>
      </c>
      <c r="B4677" t="n">
        <v>1</v>
      </c>
      <c r="C4677" t="n">
        <v>2012</v>
      </c>
      <c r="D4677" t="n">
        <v>2012</v>
      </c>
      <c r="E4677" t="inlineStr">
        <is>
          <t>Magic Mike</t>
        </is>
      </c>
      <c r="F4677" t="inlineStr">
        <is>
          <t>F0206</t>
        </is>
      </c>
    </row>
    <row r="4678">
      <c r="A4678" t="inlineStr">
        <is>
          <t>Gabriel Iglesias</t>
        </is>
      </c>
      <c r="B4678" t="n">
        <v>1</v>
      </c>
      <c r="C4678" t="n">
        <v>2012</v>
      </c>
      <c r="D4678" t="n">
        <v>2012</v>
      </c>
      <c r="E4678" t="inlineStr">
        <is>
          <t>Magic Mike</t>
        </is>
      </c>
      <c r="F4678" t="inlineStr">
        <is>
          <t>F0206</t>
        </is>
      </c>
    </row>
    <row r="4679">
      <c r="A4679" t="inlineStr">
        <is>
          <t>Riley Keough</t>
        </is>
      </c>
      <c r="B4679" t="n">
        <v>1</v>
      </c>
      <c r="C4679" t="n">
        <v>2012</v>
      </c>
      <c r="D4679" t="n">
        <v>2012</v>
      </c>
      <c r="E4679" t="inlineStr">
        <is>
          <t>Magic Mike</t>
        </is>
      </c>
      <c r="F4679" t="inlineStr">
        <is>
          <t>F0206</t>
        </is>
      </c>
    </row>
    <row r="4680">
      <c r="A4680" t="inlineStr">
        <is>
          <t>Michael Roark</t>
        </is>
      </c>
      <c r="B4680" t="n">
        <v>1</v>
      </c>
      <c r="C4680" t="n">
        <v>2012</v>
      </c>
      <c r="D4680" t="n">
        <v>2012</v>
      </c>
      <c r="E4680" t="inlineStr">
        <is>
          <t>Magic Mike</t>
        </is>
      </c>
      <c r="F4680" t="inlineStr">
        <is>
          <t>F0206</t>
        </is>
      </c>
    </row>
    <row r="4681">
      <c r="A4681" t="inlineStr">
        <is>
          <t>Betsy Brandt</t>
        </is>
      </c>
      <c r="B4681" t="n">
        <v>1</v>
      </c>
      <c r="C4681" t="n">
        <v>2012</v>
      </c>
      <c r="D4681" t="n">
        <v>2012</v>
      </c>
      <c r="E4681" t="inlineStr">
        <is>
          <t>Magic Mike</t>
        </is>
      </c>
      <c r="F4681" t="inlineStr">
        <is>
          <t>F0206</t>
        </is>
      </c>
    </row>
    <row r="4682">
      <c r="A4682" t="inlineStr">
        <is>
          <t>Mircea Monroe</t>
        </is>
      </c>
      <c r="B4682" t="n">
        <v>1</v>
      </c>
      <c r="C4682" t="n">
        <v>2012</v>
      </c>
      <c r="D4682" t="n">
        <v>2012</v>
      </c>
      <c r="E4682" t="inlineStr">
        <is>
          <t>Magic Mike</t>
        </is>
      </c>
      <c r="F4682" t="inlineStr">
        <is>
          <t>F0206</t>
        </is>
      </c>
    </row>
    <row r="4683">
      <c r="A4683" t="inlineStr">
        <is>
          <t>Avery Bigelow</t>
        </is>
      </c>
      <c r="B4683" t="n">
        <v>1</v>
      </c>
      <c r="C4683" t="n">
        <v>2012</v>
      </c>
      <c r="D4683" t="n">
        <v>2012</v>
      </c>
      <c r="E4683" t="inlineStr">
        <is>
          <t>Magic Mike</t>
        </is>
      </c>
      <c r="F4683" t="inlineStr">
        <is>
          <t>F0206</t>
        </is>
      </c>
    </row>
    <row r="4684">
      <c r="A4684" t="inlineStr">
        <is>
          <t>George A. Sack</t>
        </is>
      </c>
      <c r="B4684" t="n">
        <v>1</v>
      </c>
      <c r="C4684" t="n">
        <v>2012</v>
      </c>
      <c r="D4684" t="n">
        <v>2012</v>
      </c>
      <c r="E4684" t="inlineStr">
        <is>
          <t>Magic Mike</t>
        </is>
      </c>
      <c r="F4684" t="inlineStr">
        <is>
          <t>F0206</t>
        </is>
      </c>
    </row>
    <row r="4685">
      <c r="A4685" t="inlineStr">
        <is>
          <t>Micaela Johnson</t>
        </is>
      </c>
      <c r="B4685" t="n">
        <v>1</v>
      </c>
      <c r="C4685" t="n">
        <v>2012</v>
      </c>
      <c r="D4685" t="n">
        <v>2012</v>
      </c>
      <c r="E4685" t="inlineStr">
        <is>
          <t>Magic Mike</t>
        </is>
      </c>
      <c r="F4685" t="inlineStr">
        <is>
          <t>F0206</t>
        </is>
      </c>
    </row>
    <row r="4686">
      <c r="A4686" t="inlineStr">
        <is>
          <t>Denise Vasi</t>
        </is>
      </c>
      <c r="B4686" t="n">
        <v>1</v>
      </c>
      <c r="C4686" t="n">
        <v>2012</v>
      </c>
      <c r="D4686" t="n">
        <v>2012</v>
      </c>
      <c r="E4686" t="inlineStr">
        <is>
          <t>Magic Mike</t>
        </is>
      </c>
      <c r="F4686" t="inlineStr">
        <is>
          <t>F0206</t>
        </is>
      </c>
    </row>
    <row r="4687">
      <c r="A4687" t="inlineStr">
        <is>
          <t>Camryn Grimes</t>
        </is>
      </c>
      <c r="B4687" t="n">
        <v>1</v>
      </c>
      <c r="C4687" t="n">
        <v>2012</v>
      </c>
      <c r="D4687" t="n">
        <v>2012</v>
      </c>
      <c r="E4687" t="inlineStr">
        <is>
          <t>Magic Mike</t>
        </is>
      </c>
      <c r="F4687" t="inlineStr">
        <is>
          <t>F0206</t>
        </is>
      </c>
    </row>
    <row r="4688">
      <c r="A4688" t="inlineStr">
        <is>
          <t>Kate Easton</t>
        </is>
      </c>
      <c r="B4688" t="n">
        <v>1</v>
      </c>
      <c r="C4688" t="n">
        <v>2012</v>
      </c>
      <c r="D4688" t="n">
        <v>2012</v>
      </c>
      <c r="E4688" t="inlineStr">
        <is>
          <t>Magic Mike</t>
        </is>
      </c>
      <c r="F4688" t="inlineStr">
        <is>
          <t>F0206</t>
        </is>
      </c>
    </row>
    <row r="4689">
      <c r="A4689" t="inlineStr">
        <is>
          <t>Asher Wallis</t>
        </is>
      </c>
      <c r="B4689" t="n">
        <v>1</v>
      </c>
      <c r="C4689" t="n">
        <v>2012</v>
      </c>
      <c r="D4689" t="n">
        <v>2012</v>
      </c>
      <c r="E4689" t="inlineStr">
        <is>
          <t>Magic Mike</t>
        </is>
      </c>
      <c r="F4689" t="inlineStr">
        <is>
          <t>F0206</t>
        </is>
      </c>
    </row>
    <row r="4690">
      <c r="A4690" t="inlineStr">
        <is>
          <t>Alison Faulk</t>
        </is>
      </c>
      <c r="B4690" t="n">
        <v>1</v>
      </c>
      <c r="C4690" t="n">
        <v>2012</v>
      </c>
      <c r="D4690" t="n">
        <v>2012</v>
      </c>
      <c r="E4690" t="inlineStr">
        <is>
          <t>Magic Mike</t>
        </is>
      </c>
      <c r="F4690" t="inlineStr">
        <is>
          <t>F0206</t>
        </is>
      </c>
    </row>
    <row r="4691">
      <c r="A4691" t="inlineStr">
        <is>
          <t>Catherine Lynn Stone</t>
        </is>
      </c>
      <c r="B4691" t="n">
        <v>1</v>
      </c>
      <c r="C4691" t="n">
        <v>2012</v>
      </c>
      <c r="D4691" t="n">
        <v>2012</v>
      </c>
      <c r="E4691" t="inlineStr">
        <is>
          <t>Magic Mike</t>
        </is>
      </c>
      <c r="F4691" t="inlineStr">
        <is>
          <t>F0206</t>
        </is>
      </c>
    </row>
    <row r="4692">
      <c r="A4692" t="inlineStr">
        <is>
          <t>Jennifer Skinner</t>
        </is>
      </c>
      <c r="B4692" t="n">
        <v>1</v>
      </c>
      <c r="C4692" t="n">
        <v>2012</v>
      </c>
      <c r="D4692" t="n">
        <v>2012</v>
      </c>
      <c r="E4692" t="inlineStr">
        <is>
          <t>Magic Mike</t>
        </is>
      </c>
      <c r="F4692" t="inlineStr">
        <is>
          <t>F0206</t>
        </is>
      </c>
    </row>
    <row r="4693">
      <c r="A4693" t="inlineStr">
        <is>
          <t>Vanessa Ryan</t>
        </is>
      </c>
      <c r="B4693" t="n">
        <v>1</v>
      </c>
      <c r="C4693" t="n">
        <v>2012</v>
      </c>
      <c r="D4693" t="n">
        <v>2012</v>
      </c>
      <c r="E4693" t="inlineStr">
        <is>
          <t>Magic Mike</t>
        </is>
      </c>
      <c r="F4693" t="inlineStr">
        <is>
          <t>F0206</t>
        </is>
      </c>
    </row>
    <row r="4694">
      <c r="A4694" t="inlineStr">
        <is>
          <t>Teresa Espinosa</t>
        </is>
      </c>
      <c r="B4694" t="n">
        <v>1</v>
      </c>
      <c r="C4694" t="n">
        <v>2012</v>
      </c>
      <c r="D4694" t="n">
        <v>2012</v>
      </c>
      <c r="E4694" t="inlineStr">
        <is>
          <t>Magic Mike</t>
        </is>
      </c>
      <c r="F4694" t="inlineStr">
        <is>
          <t>F0206</t>
        </is>
      </c>
    </row>
    <row r="4695">
      <c r="A4695" t="inlineStr">
        <is>
          <t>Monica Garcia Pérez</t>
        </is>
      </c>
      <c r="B4695" t="n">
        <v>1</v>
      </c>
      <c r="C4695" t="n">
        <v>2012</v>
      </c>
      <c r="D4695" t="n">
        <v>2012</v>
      </c>
      <c r="E4695" t="inlineStr">
        <is>
          <t>Magic Mike</t>
        </is>
      </c>
      <c r="F4695" t="inlineStr">
        <is>
          <t>F0206</t>
        </is>
      </c>
    </row>
    <row r="4696">
      <c r="A4696" t="inlineStr">
        <is>
          <t>Annette Houlihan Verdolino</t>
        </is>
      </c>
      <c r="B4696" t="n">
        <v>1</v>
      </c>
      <c r="C4696" t="n">
        <v>2012</v>
      </c>
      <c r="D4696" t="n">
        <v>2012</v>
      </c>
      <c r="E4696" t="inlineStr">
        <is>
          <t>Magic Mike</t>
        </is>
      </c>
      <c r="F4696" t="inlineStr">
        <is>
          <t>F0206</t>
        </is>
      </c>
    </row>
    <row r="4697">
      <c r="A4697" t="inlineStr">
        <is>
          <t>Martin Sensmeier</t>
        </is>
      </c>
      <c r="B4697" t="n">
        <v>1</v>
      </c>
      <c r="C4697" t="n">
        <v>2016</v>
      </c>
      <c r="D4697" t="n">
        <v>2016</v>
      </c>
      <c r="E4697" t="inlineStr">
        <is>
          <t>The Magnificent Seven</t>
        </is>
      </c>
      <c r="F4697" t="inlineStr">
        <is>
          <t>F0207</t>
        </is>
      </c>
    </row>
    <row r="4698">
      <c r="A4698" t="inlineStr">
        <is>
          <t>Haley Bennett</t>
        </is>
      </c>
      <c r="B4698" t="n">
        <v>1</v>
      </c>
      <c r="C4698" t="n">
        <v>2016</v>
      </c>
      <c r="D4698" t="n">
        <v>2016</v>
      </c>
      <c r="E4698" t="inlineStr">
        <is>
          <t>The Magnificent Seven</t>
        </is>
      </c>
      <c r="F4698" t="inlineStr">
        <is>
          <t>F0207</t>
        </is>
      </c>
    </row>
    <row r="4699">
      <c r="A4699" t="inlineStr">
        <is>
          <t>Luke Grimes</t>
        </is>
      </c>
      <c r="B4699" t="n">
        <v>2</v>
      </c>
      <c r="C4699" t="n">
        <v>2012</v>
      </c>
      <c r="D4699" t="n">
        <v>2016</v>
      </c>
      <c r="E4699" t="inlineStr">
        <is>
          <t>The Magnificent Seven, Taken 2</t>
        </is>
      </c>
      <c r="F4699" t="inlineStr">
        <is>
          <t>F0207, F0307</t>
        </is>
      </c>
    </row>
    <row r="4700">
      <c r="A4700" t="inlineStr">
        <is>
          <t>Jonathan Joss</t>
        </is>
      </c>
      <c r="B4700" t="n">
        <v>2</v>
      </c>
      <c r="C4700" t="n">
        <v>2010</v>
      </c>
      <c r="D4700" t="n">
        <v>2016</v>
      </c>
      <c r="E4700" t="inlineStr">
        <is>
          <t>The Magnificent Seven, True Grit</t>
        </is>
      </c>
      <c r="F4700" t="inlineStr">
        <is>
          <t>F0207, F0325</t>
        </is>
      </c>
    </row>
    <row r="4701">
      <c r="A4701" t="inlineStr">
        <is>
          <t>Cam Gigandet</t>
        </is>
      </c>
      <c r="B4701" t="n">
        <v>1</v>
      </c>
      <c r="C4701" t="n">
        <v>2016</v>
      </c>
      <c r="D4701" t="n">
        <v>2016</v>
      </c>
      <c r="E4701" t="inlineStr">
        <is>
          <t>The Magnificent Seven</t>
        </is>
      </c>
      <c r="F4701" t="inlineStr">
        <is>
          <t>F0207</t>
        </is>
      </c>
    </row>
    <row r="4702">
      <c r="A4702" t="inlineStr">
        <is>
          <t>Emil Beheshti</t>
        </is>
      </c>
      <c r="B4702" t="n">
        <v>1</v>
      </c>
      <c r="C4702" t="n">
        <v>2016</v>
      </c>
      <c r="D4702" t="n">
        <v>2016</v>
      </c>
      <c r="E4702" t="inlineStr">
        <is>
          <t>The Magnificent Seven</t>
        </is>
      </c>
      <c r="F4702" t="inlineStr">
        <is>
          <t>F0207</t>
        </is>
      </c>
    </row>
    <row r="4703">
      <c r="A4703" t="inlineStr">
        <is>
          <t>Billy Slaughter</t>
        </is>
      </c>
      <c r="B4703" t="n">
        <v>1</v>
      </c>
      <c r="C4703" t="n">
        <v>2016</v>
      </c>
      <c r="D4703" t="n">
        <v>2016</v>
      </c>
      <c r="E4703" t="inlineStr">
        <is>
          <t>The Magnificent Seven</t>
        </is>
      </c>
      <c r="F4703" t="inlineStr">
        <is>
          <t>F0207</t>
        </is>
      </c>
    </row>
    <row r="4704">
      <c r="A4704" t="inlineStr">
        <is>
          <t>Dodge Prince</t>
        </is>
      </c>
      <c r="B4704" t="n">
        <v>1</v>
      </c>
      <c r="C4704" t="n">
        <v>2016</v>
      </c>
      <c r="D4704" t="n">
        <v>2016</v>
      </c>
      <c r="E4704" t="inlineStr">
        <is>
          <t>The Magnificent Seven</t>
        </is>
      </c>
      <c r="F4704" t="inlineStr">
        <is>
          <t>F0207</t>
        </is>
      </c>
    </row>
    <row r="4705">
      <c r="A4705" t="inlineStr">
        <is>
          <t>Matthew Posey</t>
        </is>
      </c>
      <c r="B4705" t="n">
        <v>1</v>
      </c>
      <c r="C4705" t="n">
        <v>2016</v>
      </c>
      <c r="D4705" t="n">
        <v>2016</v>
      </c>
      <c r="E4705" t="inlineStr">
        <is>
          <t>The Magnificent Seven</t>
        </is>
      </c>
      <c r="F4705" t="inlineStr">
        <is>
          <t>F0207</t>
        </is>
      </c>
    </row>
    <row r="4706">
      <c r="A4706" t="inlineStr">
        <is>
          <t>Carrie Lazar</t>
        </is>
      </c>
      <c r="B4706" t="n">
        <v>1</v>
      </c>
      <c r="C4706" t="n">
        <v>2016</v>
      </c>
      <c r="D4706" t="n">
        <v>2016</v>
      </c>
      <c r="E4706" t="inlineStr">
        <is>
          <t>The Magnificent Seven</t>
        </is>
      </c>
      <c r="F4706" t="inlineStr">
        <is>
          <t>F0207</t>
        </is>
      </c>
    </row>
    <row r="4707">
      <c r="A4707" t="inlineStr">
        <is>
          <t>Jody Mullins</t>
        </is>
      </c>
      <c r="B4707" t="n">
        <v>1</v>
      </c>
      <c r="C4707" t="n">
        <v>2016</v>
      </c>
      <c r="D4707" t="n">
        <v>2016</v>
      </c>
      <c r="E4707" t="inlineStr">
        <is>
          <t>The Magnificent Seven</t>
        </is>
      </c>
      <c r="F4707" t="inlineStr">
        <is>
          <t>F0207</t>
        </is>
      </c>
    </row>
    <row r="4708">
      <c r="A4708" t="inlineStr">
        <is>
          <t>Clint James</t>
        </is>
      </c>
      <c r="B4708" t="n">
        <v>1</v>
      </c>
      <c r="C4708" t="n">
        <v>2016</v>
      </c>
      <c r="D4708" t="n">
        <v>2016</v>
      </c>
      <c r="E4708" t="inlineStr">
        <is>
          <t>The Magnificent Seven</t>
        </is>
      </c>
      <c r="F4708" t="inlineStr">
        <is>
          <t>F0207</t>
        </is>
      </c>
    </row>
    <row r="4709">
      <c r="A4709" t="inlineStr">
        <is>
          <t>Dane Rhodes</t>
        </is>
      </c>
      <c r="B4709" t="n">
        <v>1</v>
      </c>
      <c r="C4709" t="n">
        <v>2016</v>
      </c>
      <c r="D4709" t="n">
        <v>2016</v>
      </c>
      <c r="E4709" t="inlineStr">
        <is>
          <t>The Magnificent Seven</t>
        </is>
      </c>
      <c r="F4709" t="inlineStr">
        <is>
          <t>F0207</t>
        </is>
      </c>
    </row>
    <row r="4710">
      <c r="A4710" t="inlineStr">
        <is>
          <t>Ritchie Montgomery</t>
        </is>
      </c>
      <c r="B4710" t="n">
        <v>1</v>
      </c>
      <c r="C4710" t="n">
        <v>2016</v>
      </c>
      <c r="D4710" t="n">
        <v>2016</v>
      </c>
      <c r="E4710" t="inlineStr">
        <is>
          <t>The Magnificent Seven</t>
        </is>
      </c>
      <c r="F4710" t="inlineStr">
        <is>
          <t>F0207</t>
        </is>
      </c>
    </row>
    <row r="4711">
      <c r="A4711" t="inlineStr">
        <is>
          <t>Sean Bridgers</t>
        </is>
      </c>
      <c r="B4711" t="n">
        <v>1</v>
      </c>
      <c r="C4711" t="n">
        <v>2016</v>
      </c>
      <c r="D4711" t="n">
        <v>2016</v>
      </c>
      <c r="E4711" t="inlineStr">
        <is>
          <t>The Magnificent Seven</t>
        </is>
      </c>
      <c r="F4711" t="inlineStr">
        <is>
          <t>F0207</t>
        </is>
      </c>
    </row>
    <row r="4712">
      <c r="A4712" t="inlineStr">
        <is>
          <t>William Lee Scott</t>
        </is>
      </c>
      <c r="B4712" t="n">
        <v>2</v>
      </c>
      <c r="C4712" t="n">
        <v>2001</v>
      </c>
      <c r="D4712" t="n">
        <v>2016</v>
      </c>
      <c r="E4712" t="inlineStr">
        <is>
          <t>The Magnificent Seven, Pearl Harbor</t>
        </is>
      </c>
      <c r="F4712" t="inlineStr">
        <is>
          <t>F0207, F0246</t>
        </is>
      </c>
    </row>
    <row r="4713">
      <c r="A4713" t="inlineStr">
        <is>
          <t>David Kallaway</t>
        </is>
      </c>
      <c r="B4713" t="n">
        <v>1</v>
      </c>
      <c r="C4713" t="n">
        <v>2016</v>
      </c>
      <c r="D4713" t="n">
        <v>2016</v>
      </c>
      <c r="E4713" t="inlineStr">
        <is>
          <t>The Magnificent Seven</t>
        </is>
      </c>
      <c r="F4713" t="inlineStr">
        <is>
          <t>F0207</t>
        </is>
      </c>
    </row>
    <row r="4714">
      <c r="A4714" t="inlineStr">
        <is>
          <t>Griff Furst</t>
        </is>
      </c>
      <c r="B4714" t="n">
        <v>1</v>
      </c>
      <c r="C4714" t="n">
        <v>2016</v>
      </c>
      <c r="D4714" t="n">
        <v>2016</v>
      </c>
      <c r="E4714" t="inlineStr">
        <is>
          <t>The Magnificent Seven</t>
        </is>
      </c>
      <c r="F4714" t="inlineStr">
        <is>
          <t>F0207</t>
        </is>
      </c>
    </row>
    <row r="4715">
      <c r="A4715" t="inlineStr">
        <is>
          <t>Alix Angelis</t>
        </is>
      </c>
      <c r="B4715" t="n">
        <v>1</v>
      </c>
      <c r="C4715" t="n">
        <v>2016</v>
      </c>
      <c r="D4715" t="n">
        <v>2016</v>
      </c>
      <c r="E4715" t="inlineStr">
        <is>
          <t>The Magnificent Seven</t>
        </is>
      </c>
      <c r="F4715" t="inlineStr">
        <is>
          <t>F0207</t>
        </is>
      </c>
    </row>
    <row r="4716">
      <c r="A4716" t="inlineStr">
        <is>
          <t>Rob Mello</t>
        </is>
      </c>
      <c r="B4716" t="n">
        <v>1</v>
      </c>
      <c r="C4716" t="n">
        <v>2016</v>
      </c>
      <c r="D4716" t="n">
        <v>2016</v>
      </c>
      <c r="E4716" t="inlineStr">
        <is>
          <t>The Magnificent Seven</t>
        </is>
      </c>
      <c r="F4716" t="inlineStr">
        <is>
          <t>F0207</t>
        </is>
      </c>
    </row>
    <row r="4717">
      <c r="A4717" t="inlineStr">
        <is>
          <t>Sam Riley</t>
        </is>
      </c>
      <c r="B4717" t="n">
        <v>1</v>
      </c>
      <c r="C4717" t="n">
        <v>2014</v>
      </c>
      <c r="D4717" t="n">
        <v>2014</v>
      </c>
      <c r="E4717" t="inlineStr">
        <is>
          <t>Maleficent</t>
        </is>
      </c>
      <c r="F4717" t="inlineStr">
        <is>
          <t>F0208</t>
        </is>
      </c>
    </row>
    <row r="4718">
      <c r="A4718" t="inlineStr">
        <is>
          <t>Brenton Thwaites</t>
        </is>
      </c>
      <c r="B4718" t="n">
        <v>1</v>
      </c>
      <c r="C4718" t="n">
        <v>2014</v>
      </c>
      <c r="D4718" t="n">
        <v>2014</v>
      </c>
      <c r="E4718" t="inlineStr">
        <is>
          <t>Maleficent</t>
        </is>
      </c>
      <c r="F4718" t="inlineStr">
        <is>
          <t>F0208</t>
        </is>
      </c>
    </row>
    <row r="4719">
      <c r="A4719" t="inlineStr">
        <is>
          <t>Sarah Flind</t>
        </is>
      </c>
      <c r="B4719" t="n">
        <v>1</v>
      </c>
      <c r="C4719" t="n">
        <v>2014</v>
      </c>
      <c r="D4719" t="n">
        <v>2014</v>
      </c>
      <c r="E4719" t="inlineStr">
        <is>
          <t>Maleficent</t>
        </is>
      </c>
      <c r="F4719" t="inlineStr">
        <is>
          <t>F0208</t>
        </is>
      </c>
    </row>
    <row r="4720">
      <c r="A4720" t="inlineStr">
        <is>
          <t>Michael Higgins</t>
        </is>
      </c>
      <c r="B4720" t="n">
        <v>1</v>
      </c>
      <c r="C4720" t="n">
        <v>2014</v>
      </c>
      <c r="D4720" t="n">
        <v>2014</v>
      </c>
      <c r="E4720" t="inlineStr">
        <is>
          <t>Maleficent</t>
        </is>
      </c>
      <c r="F4720" t="inlineStr">
        <is>
          <t>F0208</t>
        </is>
      </c>
    </row>
    <row r="4721">
      <c r="A4721" t="inlineStr">
        <is>
          <t>Isobelle Molloy</t>
        </is>
      </c>
      <c r="B4721" t="n">
        <v>1</v>
      </c>
      <c r="C4721" t="n">
        <v>2014</v>
      </c>
      <c r="D4721" t="n">
        <v>2014</v>
      </c>
      <c r="E4721" t="inlineStr">
        <is>
          <t>Maleficent</t>
        </is>
      </c>
      <c r="F4721" t="inlineStr">
        <is>
          <t>F0208</t>
        </is>
      </c>
    </row>
    <row r="4722">
      <c r="A4722" t="inlineStr">
        <is>
          <t>Jackson Bews</t>
        </is>
      </c>
      <c r="B4722" t="n">
        <v>1</v>
      </c>
      <c r="C4722" t="n">
        <v>2014</v>
      </c>
      <c r="D4722" t="n">
        <v>2014</v>
      </c>
      <c r="E4722" t="inlineStr">
        <is>
          <t>Maleficent</t>
        </is>
      </c>
      <c r="F4722" t="inlineStr">
        <is>
          <t>F0208</t>
        </is>
      </c>
    </row>
    <row r="4723">
      <c r="A4723" t="inlineStr">
        <is>
          <t>Jamie Sives</t>
        </is>
      </c>
      <c r="B4723" t="n">
        <v>2</v>
      </c>
      <c r="C4723" t="n">
        <v>2013</v>
      </c>
      <c r="D4723" t="n">
        <v>2014</v>
      </c>
      <c r="E4723" t="inlineStr">
        <is>
          <t>Maleficent, Rush</t>
        </is>
      </c>
      <c r="F4723" t="inlineStr">
        <is>
          <t>F0208, F0270</t>
        </is>
      </c>
    </row>
    <row r="4724">
      <c r="A4724" t="inlineStr">
        <is>
          <t>Hannah New</t>
        </is>
      </c>
      <c r="B4724" t="n">
        <v>1</v>
      </c>
      <c r="C4724" t="n">
        <v>2014</v>
      </c>
      <c r="D4724" t="n">
        <v>2014</v>
      </c>
      <c r="E4724" t="inlineStr">
        <is>
          <t>Maleficent</t>
        </is>
      </c>
      <c r="F4724" t="inlineStr">
        <is>
          <t>F0208</t>
        </is>
      </c>
    </row>
    <row r="4725">
      <c r="A4725" t="inlineStr">
        <is>
          <t>Oliver Maltman</t>
        </is>
      </c>
      <c r="B4725" t="n">
        <v>1</v>
      </c>
      <c r="C4725" t="n">
        <v>2014</v>
      </c>
      <c r="D4725" t="n">
        <v>2014</v>
      </c>
      <c r="E4725" t="inlineStr">
        <is>
          <t>Maleficent</t>
        </is>
      </c>
      <c r="F4725" t="inlineStr">
        <is>
          <t>F0208</t>
        </is>
      </c>
    </row>
    <row r="4726">
      <c r="A4726" t="inlineStr">
        <is>
          <t>Gary Cargill</t>
        </is>
      </c>
      <c r="B4726" t="n">
        <v>1</v>
      </c>
      <c r="C4726" t="n">
        <v>2014</v>
      </c>
      <c r="D4726" t="n">
        <v>2014</v>
      </c>
      <c r="E4726" t="inlineStr">
        <is>
          <t>Maleficent</t>
        </is>
      </c>
      <c r="F4726" t="inlineStr">
        <is>
          <t>F0208</t>
        </is>
      </c>
    </row>
    <row r="4727">
      <c r="A4727" t="inlineStr">
        <is>
          <t>John O'Toole</t>
        </is>
      </c>
      <c r="B4727" t="n">
        <v>1</v>
      </c>
      <c r="C4727" t="n">
        <v>2014</v>
      </c>
      <c r="D4727" t="n">
        <v>2014</v>
      </c>
      <c r="E4727" t="inlineStr">
        <is>
          <t>Maleficent</t>
        </is>
      </c>
      <c r="F4727" t="inlineStr">
        <is>
          <t>F0208</t>
        </is>
      </c>
    </row>
    <row r="4728">
      <c r="A4728" t="inlineStr">
        <is>
          <t>Janet McTeer</t>
        </is>
      </c>
      <c r="B4728" t="n">
        <v>2</v>
      </c>
      <c r="C4728" t="n">
        <v>2014</v>
      </c>
      <c r="D4728" t="n">
        <v>2025</v>
      </c>
      <c r="E4728" t="inlineStr">
        <is>
          <t>Maleficent, Mission: Impossible - The Final Reckoning</t>
        </is>
      </c>
      <c r="F4728" t="inlineStr">
        <is>
          <t>F0208, F0228</t>
        </is>
      </c>
    </row>
    <row r="4729">
      <c r="A4729" t="inlineStr">
        <is>
          <t>Harry Attwell</t>
        </is>
      </c>
      <c r="B4729" t="n">
        <v>1</v>
      </c>
      <c r="C4729" t="n">
        <v>2014</v>
      </c>
      <c r="D4729" t="n">
        <v>2014</v>
      </c>
      <c r="E4729" t="inlineStr">
        <is>
          <t>Maleficent</t>
        </is>
      </c>
      <c r="F4729" t="inlineStr">
        <is>
          <t>F0208</t>
        </is>
      </c>
    </row>
    <row r="4730">
      <c r="A4730" t="inlineStr">
        <is>
          <t>Mark Caven</t>
        </is>
      </c>
      <c r="B4730" t="n">
        <v>1</v>
      </c>
      <c r="C4730" t="n">
        <v>2014</v>
      </c>
      <c r="D4730" t="n">
        <v>2014</v>
      </c>
      <c r="E4730" t="inlineStr">
        <is>
          <t>Maleficent</t>
        </is>
      </c>
      <c r="F4730" t="inlineStr">
        <is>
          <t>F0208</t>
        </is>
      </c>
    </row>
    <row r="4731">
      <c r="A4731" t="inlineStr">
        <is>
          <t>James Hicks</t>
        </is>
      </c>
      <c r="B4731" t="n">
        <v>1</v>
      </c>
      <c r="C4731" t="n">
        <v>2014</v>
      </c>
      <c r="D4731" t="n">
        <v>2014</v>
      </c>
      <c r="E4731" t="inlineStr">
        <is>
          <t>Maleficent</t>
        </is>
      </c>
      <c r="F4731" t="inlineStr">
        <is>
          <t>F0208</t>
        </is>
      </c>
    </row>
    <row r="4732">
      <c r="A4732" t="inlineStr">
        <is>
          <t>Anthony May</t>
        </is>
      </c>
      <c r="B4732" t="n">
        <v>1</v>
      </c>
      <c r="C4732" t="n">
        <v>2014</v>
      </c>
      <c r="D4732" t="n">
        <v>2014</v>
      </c>
      <c r="E4732" t="inlineStr">
        <is>
          <t>Maleficent</t>
        </is>
      </c>
      <c r="F4732" t="inlineStr">
        <is>
          <t>F0208</t>
        </is>
      </c>
    </row>
    <row r="4733">
      <c r="A4733" t="inlineStr">
        <is>
          <t>Stephan Chase</t>
        </is>
      </c>
      <c r="B4733" t="n">
        <v>1</v>
      </c>
      <c r="C4733" t="n">
        <v>2014</v>
      </c>
      <c r="D4733" t="n">
        <v>2014</v>
      </c>
      <c r="E4733" t="inlineStr">
        <is>
          <t>Maleficent</t>
        </is>
      </c>
      <c r="F4733" t="inlineStr">
        <is>
          <t>F0208</t>
        </is>
      </c>
    </row>
    <row r="4734">
      <c r="A4734" t="inlineStr">
        <is>
          <t>Chris Leaney</t>
        </is>
      </c>
      <c r="B4734" t="n">
        <v>1</v>
      </c>
      <c r="C4734" t="n">
        <v>2014</v>
      </c>
      <c r="D4734" t="n">
        <v>2014</v>
      </c>
      <c r="E4734" t="inlineStr">
        <is>
          <t>Maleficent</t>
        </is>
      </c>
      <c r="F4734" t="inlineStr">
        <is>
          <t>F0208</t>
        </is>
      </c>
    </row>
    <row r="4735">
      <c r="A4735" t="inlineStr">
        <is>
          <t>Jamie Maclachlan</t>
        </is>
      </c>
      <c r="B4735" t="n">
        <v>1</v>
      </c>
      <c r="C4735" t="n">
        <v>2014</v>
      </c>
      <c r="D4735" t="n">
        <v>2014</v>
      </c>
      <c r="E4735" t="inlineStr">
        <is>
          <t>Maleficent</t>
        </is>
      </c>
      <c r="F4735" t="inlineStr">
        <is>
          <t>F0208</t>
        </is>
      </c>
    </row>
    <row r="4736">
      <c r="A4736" t="inlineStr">
        <is>
          <t>Vivienne Jolie</t>
        </is>
      </c>
      <c r="B4736" t="n">
        <v>1</v>
      </c>
      <c r="C4736" t="n">
        <v>2014</v>
      </c>
      <c r="D4736" t="n">
        <v>2014</v>
      </c>
      <c r="E4736" t="inlineStr">
        <is>
          <t>Maleficent</t>
        </is>
      </c>
      <c r="F4736" t="inlineStr">
        <is>
          <t>F0208</t>
        </is>
      </c>
    </row>
    <row r="4737">
      <c r="A4737" t="inlineStr">
        <is>
          <t>Eleanor Worthington-Cox</t>
        </is>
      </c>
      <c r="B4737" t="n">
        <v>1</v>
      </c>
      <c r="C4737" t="n">
        <v>2014</v>
      </c>
      <c r="D4737" t="n">
        <v>2014</v>
      </c>
      <c r="E4737" t="inlineStr">
        <is>
          <t>Maleficent</t>
        </is>
      </c>
      <c r="F4737" t="inlineStr">
        <is>
          <t>F0208</t>
        </is>
      </c>
    </row>
    <row r="4738">
      <c r="A4738" t="inlineStr">
        <is>
          <t>Christine Baranski</t>
        </is>
      </c>
      <c r="B4738" t="n">
        <v>1</v>
      </c>
      <c r="C4738" t="n">
        <v>2008</v>
      </c>
      <c r="D4738" t="n">
        <v>2008</v>
      </c>
      <c r="E4738" t="inlineStr">
        <is>
          <t>Mamma Mia!</t>
        </is>
      </c>
      <c r="F4738" t="inlineStr">
        <is>
          <t>F0209</t>
        </is>
      </c>
    </row>
    <row r="4739">
      <c r="A4739" t="inlineStr">
        <is>
          <t>Ashley Lilley</t>
        </is>
      </c>
      <c r="B4739" t="n">
        <v>1</v>
      </c>
      <c r="C4739" t="n">
        <v>2008</v>
      </c>
      <c r="D4739" t="n">
        <v>2008</v>
      </c>
      <c r="E4739" t="inlineStr">
        <is>
          <t>Mamma Mia!</t>
        </is>
      </c>
      <c r="F4739" t="inlineStr">
        <is>
          <t>F0209</t>
        </is>
      </c>
    </row>
    <row r="4740">
      <c r="A4740" t="inlineStr">
        <is>
          <t>Rachel McDowall</t>
        </is>
      </c>
      <c r="B4740" t="n">
        <v>1</v>
      </c>
      <c r="C4740" t="n">
        <v>2008</v>
      </c>
      <c r="D4740" t="n">
        <v>2008</v>
      </c>
      <c r="E4740" t="inlineStr">
        <is>
          <t>Mamma Mia!</t>
        </is>
      </c>
      <c r="F4740" t="inlineStr">
        <is>
          <t>F0209</t>
        </is>
      </c>
    </row>
    <row r="4741">
      <c r="A4741" t="inlineStr">
        <is>
          <t>Chris Jarvis</t>
        </is>
      </c>
      <c r="B4741" t="n">
        <v>1</v>
      </c>
      <c r="C4741" t="n">
        <v>2008</v>
      </c>
      <c r="D4741" t="n">
        <v>2008</v>
      </c>
      <c r="E4741" t="inlineStr">
        <is>
          <t>Mamma Mia!</t>
        </is>
      </c>
      <c r="F4741" t="inlineStr">
        <is>
          <t>F0209</t>
        </is>
      </c>
    </row>
    <row r="4742">
      <c r="A4742" t="inlineStr">
        <is>
          <t>Philip Michael</t>
        </is>
      </c>
      <c r="B4742" t="n">
        <v>1</v>
      </c>
      <c r="C4742" t="n">
        <v>2008</v>
      </c>
      <c r="D4742" t="n">
        <v>2008</v>
      </c>
      <c r="E4742" t="inlineStr">
        <is>
          <t>Mamma Mia!</t>
        </is>
      </c>
      <c r="F4742" t="inlineStr">
        <is>
          <t>F0209</t>
        </is>
      </c>
    </row>
    <row r="4743">
      <c r="A4743" t="inlineStr">
        <is>
          <t>Juan Pablo Di Pace</t>
        </is>
      </c>
      <c r="B4743" t="n">
        <v>1</v>
      </c>
      <c r="C4743" t="n">
        <v>2008</v>
      </c>
      <c r="D4743" t="n">
        <v>2008</v>
      </c>
      <c r="E4743" t="inlineStr">
        <is>
          <t>Mamma Mia!</t>
        </is>
      </c>
      <c r="F4743" t="inlineStr">
        <is>
          <t>F0209</t>
        </is>
      </c>
    </row>
    <row r="4744">
      <c r="A4744" t="inlineStr">
        <is>
          <t>Ricardo Montez</t>
        </is>
      </c>
      <c r="B4744" t="n">
        <v>1</v>
      </c>
      <c r="C4744" t="n">
        <v>2008</v>
      </c>
      <c r="D4744" t="n">
        <v>2008</v>
      </c>
      <c r="E4744" t="inlineStr">
        <is>
          <t>Mamma Mia!</t>
        </is>
      </c>
      <c r="F4744" t="inlineStr">
        <is>
          <t>F0209</t>
        </is>
      </c>
    </row>
    <row r="4745">
      <c r="A4745" t="inlineStr">
        <is>
          <t>Benny Andersson</t>
        </is>
      </c>
      <c r="B4745" t="n">
        <v>1</v>
      </c>
      <c r="C4745" t="n">
        <v>2008</v>
      </c>
      <c r="D4745" t="n">
        <v>2008</v>
      </c>
      <c r="E4745" t="inlineStr">
        <is>
          <t>Mamma Mia!</t>
        </is>
      </c>
      <c r="F4745" t="inlineStr">
        <is>
          <t>F0209</t>
        </is>
      </c>
    </row>
    <row r="4746">
      <c r="A4746" t="inlineStr">
        <is>
          <t>Spencer Kayden</t>
        </is>
      </c>
      <c r="B4746" t="n">
        <v>1</v>
      </c>
      <c r="C4746" t="n">
        <v>2008</v>
      </c>
      <c r="D4746" t="n">
        <v>2008</v>
      </c>
      <c r="E4746" t="inlineStr">
        <is>
          <t>Mamma Mia!</t>
        </is>
      </c>
      <c r="F4746" t="inlineStr">
        <is>
          <t>F0209</t>
        </is>
      </c>
    </row>
    <row r="4747">
      <c r="A4747" t="inlineStr">
        <is>
          <t>Björn Ulvaeus</t>
        </is>
      </c>
      <c r="B4747" t="n">
        <v>1</v>
      </c>
      <c r="C4747" t="n">
        <v>2008</v>
      </c>
      <c r="D4747" t="n">
        <v>2008</v>
      </c>
      <c r="E4747" t="inlineStr">
        <is>
          <t>Mamma Mia!</t>
        </is>
      </c>
      <c r="F4747" t="inlineStr">
        <is>
          <t>F0209</t>
        </is>
      </c>
    </row>
    <row r="4748">
      <c r="A4748" t="inlineStr">
        <is>
          <t>Rita Wilson</t>
        </is>
      </c>
      <c r="B4748" t="n">
        <v>1</v>
      </c>
      <c r="C4748" t="n">
        <v>2008</v>
      </c>
      <c r="D4748" t="n">
        <v>2008</v>
      </c>
      <c r="E4748" t="inlineStr">
        <is>
          <t>Mamma Mia!</t>
        </is>
      </c>
      <c r="F4748" t="inlineStr">
        <is>
          <t>F0209</t>
        </is>
      </c>
    </row>
    <row r="4749">
      <c r="A4749" t="inlineStr">
        <is>
          <t>Nancy Baldwin</t>
        </is>
      </c>
      <c r="B4749" t="n">
        <v>1</v>
      </c>
      <c r="C4749" t="n">
        <v>2008</v>
      </c>
      <c r="D4749" t="n">
        <v>2008</v>
      </c>
      <c r="E4749" t="inlineStr">
        <is>
          <t>Mamma Mia!</t>
        </is>
      </c>
      <c r="F4749" t="inlineStr">
        <is>
          <t>F0209</t>
        </is>
      </c>
    </row>
    <row r="4750">
      <c r="A4750" t="inlineStr">
        <is>
          <t>Heather Emmanuel</t>
        </is>
      </c>
      <c r="B4750" t="n">
        <v>1</v>
      </c>
      <c r="C4750" t="n">
        <v>2008</v>
      </c>
      <c r="D4750" t="n">
        <v>2008</v>
      </c>
      <c r="E4750" t="inlineStr">
        <is>
          <t>Mamma Mia!</t>
        </is>
      </c>
      <c r="F4750" t="inlineStr">
        <is>
          <t>F0209</t>
        </is>
      </c>
    </row>
    <row r="4751">
      <c r="A4751" t="inlineStr">
        <is>
          <t>Colin Davis</t>
        </is>
      </c>
      <c r="B4751" t="n">
        <v>1</v>
      </c>
      <c r="C4751" t="n">
        <v>2008</v>
      </c>
      <c r="D4751" t="n">
        <v>2008</v>
      </c>
      <c r="E4751" t="inlineStr">
        <is>
          <t>Mamma Mia!</t>
        </is>
      </c>
      <c r="F4751" t="inlineStr">
        <is>
          <t>F0209</t>
        </is>
      </c>
    </row>
    <row r="4752">
      <c r="A4752" t="inlineStr">
        <is>
          <t>Mia Soteriou</t>
        </is>
      </c>
      <c r="B4752" t="n">
        <v>1</v>
      </c>
      <c r="C4752" t="n">
        <v>2008</v>
      </c>
      <c r="D4752" t="n">
        <v>2008</v>
      </c>
      <c r="E4752" t="inlineStr">
        <is>
          <t>Mamma Mia!</t>
        </is>
      </c>
      <c r="F4752" t="inlineStr">
        <is>
          <t>F0209</t>
        </is>
      </c>
    </row>
    <row r="4753">
      <c r="A4753" t="inlineStr">
        <is>
          <t>George Georgiou</t>
        </is>
      </c>
      <c r="B4753" t="n">
        <v>1</v>
      </c>
      <c r="C4753" t="n">
        <v>2008</v>
      </c>
      <c r="D4753" t="n">
        <v>2008</v>
      </c>
      <c r="E4753" t="inlineStr">
        <is>
          <t>Mamma Mia!</t>
        </is>
      </c>
      <c r="F4753" t="inlineStr">
        <is>
          <t>F0209</t>
        </is>
      </c>
    </row>
    <row r="4754">
      <c r="A4754" t="inlineStr">
        <is>
          <t>Hemi Yeroham</t>
        </is>
      </c>
      <c r="B4754" t="n">
        <v>1</v>
      </c>
      <c r="C4754" t="n">
        <v>2008</v>
      </c>
      <c r="D4754" t="n">
        <v>2008</v>
      </c>
      <c r="E4754" t="inlineStr">
        <is>
          <t>Mamma Mia!</t>
        </is>
      </c>
      <c r="F4754" t="inlineStr">
        <is>
          <t>F0209</t>
        </is>
      </c>
    </row>
    <row r="4755">
      <c r="A4755" t="inlineStr">
        <is>
          <t>Maria Lopiano</t>
        </is>
      </c>
      <c r="B4755" t="n">
        <v>1</v>
      </c>
      <c r="C4755" t="n">
        <v>2008</v>
      </c>
      <c r="D4755" t="n">
        <v>2008</v>
      </c>
      <c r="E4755" t="inlineStr">
        <is>
          <t>Mamma Mia!</t>
        </is>
      </c>
      <c r="F4755" t="inlineStr">
        <is>
          <t>F0209</t>
        </is>
      </c>
    </row>
    <row r="4756">
      <c r="A4756" t="inlineStr">
        <is>
          <t>Norma Atallah</t>
        </is>
      </c>
      <c r="B4756" t="n">
        <v>1</v>
      </c>
      <c r="C4756" t="n">
        <v>2008</v>
      </c>
      <c r="D4756" t="n">
        <v>2008</v>
      </c>
      <c r="E4756" t="inlineStr">
        <is>
          <t>Mamma Mia!</t>
        </is>
      </c>
      <c r="F4756" t="inlineStr">
        <is>
          <t>F0209</t>
        </is>
      </c>
    </row>
    <row r="4757">
      <c r="A4757" t="inlineStr">
        <is>
          <t>Myra McFadyen</t>
        </is>
      </c>
      <c r="B4757" t="n">
        <v>1</v>
      </c>
      <c r="C4757" t="n">
        <v>2008</v>
      </c>
      <c r="D4757" t="n">
        <v>2008</v>
      </c>
      <c r="E4757" t="inlineStr">
        <is>
          <t>Mamma Mia!</t>
        </is>
      </c>
      <c r="F4757" t="inlineStr">
        <is>
          <t>F0209</t>
        </is>
      </c>
    </row>
    <row r="4758">
      <c r="A4758" t="inlineStr">
        <is>
          <t>Leonie Hill</t>
        </is>
      </c>
      <c r="B4758" t="n">
        <v>1</v>
      </c>
      <c r="C4758" t="n">
        <v>2008</v>
      </c>
      <c r="D4758" t="n">
        <v>2008</v>
      </c>
      <c r="E4758" t="inlineStr">
        <is>
          <t>Mamma Mia!</t>
        </is>
      </c>
      <c r="F4758" t="inlineStr">
        <is>
          <t>F0209</t>
        </is>
      </c>
    </row>
    <row r="4759">
      <c r="A4759" t="inlineStr">
        <is>
          <t>Kyra Sedgwick</t>
        </is>
      </c>
      <c r="B4759" t="n">
        <v>1</v>
      </c>
      <c r="C4759" t="n">
        <v>2012</v>
      </c>
      <c r="D4759" t="n">
        <v>2012</v>
      </c>
      <c r="E4759" t="inlineStr">
        <is>
          <t>Man on a Ledge</t>
        </is>
      </c>
      <c r="F4759" t="inlineStr">
        <is>
          <t>F0210</t>
        </is>
      </c>
    </row>
    <row r="4760">
      <c r="A4760" t="inlineStr">
        <is>
          <t>J. Smith-Cameron</t>
        </is>
      </c>
      <c r="B4760" t="n">
        <v>1</v>
      </c>
      <c r="C4760" t="n">
        <v>2012</v>
      </c>
      <c r="D4760" t="n">
        <v>2012</v>
      </c>
      <c r="E4760" t="inlineStr">
        <is>
          <t>Man on a Ledge</t>
        </is>
      </c>
      <c r="F4760" t="inlineStr">
        <is>
          <t>F0210</t>
        </is>
      </c>
    </row>
    <row r="4761">
      <c r="A4761" t="inlineStr">
        <is>
          <t>Robert Clohessy</t>
        </is>
      </c>
      <c r="B4761" t="n">
        <v>1</v>
      </c>
      <c r="C4761" t="n">
        <v>2012</v>
      </c>
      <c r="D4761" t="n">
        <v>2012</v>
      </c>
      <c r="E4761" t="inlineStr">
        <is>
          <t>Man on a Ledge</t>
        </is>
      </c>
      <c r="F4761" t="inlineStr">
        <is>
          <t>F0210</t>
        </is>
      </c>
    </row>
    <row r="4762">
      <c r="A4762" t="inlineStr">
        <is>
          <t>Mandy Gonzalez</t>
        </is>
      </c>
      <c r="B4762" t="n">
        <v>1</v>
      </c>
      <c r="C4762" t="n">
        <v>2012</v>
      </c>
      <c r="D4762" t="n">
        <v>2012</v>
      </c>
      <c r="E4762" t="inlineStr">
        <is>
          <t>Man on a Ledge</t>
        </is>
      </c>
      <c r="F4762" t="inlineStr">
        <is>
          <t>F0210</t>
        </is>
      </c>
    </row>
    <row r="4763">
      <c r="A4763" t="inlineStr">
        <is>
          <t>Afton Williamson</t>
        </is>
      </c>
      <c r="B4763" t="n">
        <v>1</v>
      </c>
      <c r="C4763" t="n">
        <v>2012</v>
      </c>
      <c r="D4763" t="n">
        <v>2012</v>
      </c>
      <c r="E4763" t="inlineStr">
        <is>
          <t>Man on a Ledge</t>
        </is>
      </c>
      <c r="F4763" t="inlineStr">
        <is>
          <t>F0210</t>
        </is>
      </c>
    </row>
    <row r="4764">
      <c r="A4764" t="inlineStr">
        <is>
          <t>Jonathan Walker</t>
        </is>
      </c>
      <c r="B4764" t="n">
        <v>1</v>
      </c>
      <c r="C4764" t="n">
        <v>2012</v>
      </c>
      <c r="D4764" t="n">
        <v>2012</v>
      </c>
      <c r="E4764" t="inlineStr">
        <is>
          <t>Man on a Ledge</t>
        </is>
      </c>
      <c r="F4764" t="inlineStr">
        <is>
          <t>F0210</t>
        </is>
      </c>
    </row>
    <row r="4765">
      <c r="A4765" t="inlineStr">
        <is>
          <t>Daniel Sauli</t>
        </is>
      </c>
      <c r="B4765" t="n">
        <v>1</v>
      </c>
      <c r="C4765" t="n">
        <v>2012</v>
      </c>
      <c r="D4765" t="n">
        <v>2012</v>
      </c>
      <c r="E4765" t="inlineStr">
        <is>
          <t>Man on a Ledge</t>
        </is>
      </c>
      <c r="F4765" t="inlineStr">
        <is>
          <t>F0210</t>
        </is>
      </c>
    </row>
    <row r="4766">
      <c r="A4766" t="inlineStr">
        <is>
          <t>Barbara Marineau</t>
        </is>
      </c>
      <c r="B4766" t="n">
        <v>1</v>
      </c>
      <c r="C4766" t="n">
        <v>2012</v>
      </c>
      <c r="D4766" t="n">
        <v>2012</v>
      </c>
      <c r="E4766" t="inlineStr">
        <is>
          <t>Man on a Ledge</t>
        </is>
      </c>
      <c r="F4766" t="inlineStr">
        <is>
          <t>F0210</t>
        </is>
      </c>
    </row>
    <row r="4767">
      <c r="A4767" t="inlineStr">
        <is>
          <t>Patrick Collins</t>
        </is>
      </c>
      <c r="B4767" t="n">
        <v>1</v>
      </c>
      <c r="C4767" t="n">
        <v>2012</v>
      </c>
      <c r="D4767" t="n">
        <v>2012</v>
      </c>
      <c r="E4767" t="inlineStr">
        <is>
          <t>Man on a Ledge</t>
        </is>
      </c>
      <c r="F4767" t="inlineStr">
        <is>
          <t>F0210</t>
        </is>
      </c>
    </row>
    <row r="4768">
      <c r="A4768" t="inlineStr">
        <is>
          <t>Joe Lisi</t>
        </is>
      </c>
      <c r="B4768" t="n">
        <v>1</v>
      </c>
      <c r="C4768" t="n">
        <v>2012</v>
      </c>
      <c r="D4768" t="n">
        <v>2012</v>
      </c>
      <c r="E4768" t="inlineStr">
        <is>
          <t>Man on a Ledge</t>
        </is>
      </c>
      <c r="F4768" t="inlineStr">
        <is>
          <t>F0210</t>
        </is>
      </c>
    </row>
    <row r="4769">
      <c r="A4769" t="inlineStr">
        <is>
          <t>Candice McKoy</t>
        </is>
      </c>
      <c r="B4769" t="n">
        <v>1</v>
      </c>
      <c r="C4769" t="n">
        <v>2012</v>
      </c>
      <c r="D4769" t="n">
        <v>2012</v>
      </c>
      <c r="E4769" t="inlineStr">
        <is>
          <t>Man on a Ledge</t>
        </is>
      </c>
      <c r="F4769" t="inlineStr">
        <is>
          <t>F0210</t>
        </is>
      </c>
    </row>
    <row r="4770">
      <c r="A4770" t="inlineStr">
        <is>
          <t>Johnny Solo</t>
        </is>
      </c>
      <c r="B4770" t="n">
        <v>1</v>
      </c>
      <c r="C4770" t="n">
        <v>2012</v>
      </c>
      <c r="D4770" t="n">
        <v>2012</v>
      </c>
      <c r="E4770" t="inlineStr">
        <is>
          <t>Man on a Ledge</t>
        </is>
      </c>
      <c r="F4770" t="inlineStr">
        <is>
          <t>F0210</t>
        </is>
      </c>
    </row>
    <row r="4771">
      <c r="A4771" t="inlineStr">
        <is>
          <t>James Yaegashi</t>
        </is>
      </c>
      <c r="B4771" t="n">
        <v>1</v>
      </c>
      <c r="C4771" t="n">
        <v>2012</v>
      </c>
      <c r="D4771" t="n">
        <v>2012</v>
      </c>
      <c r="E4771" t="inlineStr">
        <is>
          <t>Man on a Ledge</t>
        </is>
      </c>
      <c r="F4771" t="inlineStr">
        <is>
          <t>F0210</t>
        </is>
      </c>
    </row>
    <row r="4772">
      <c r="A4772" t="inlineStr">
        <is>
          <t>Frank Pando</t>
        </is>
      </c>
      <c r="B4772" t="n">
        <v>1</v>
      </c>
      <c r="C4772" t="n">
        <v>2012</v>
      </c>
      <c r="D4772" t="n">
        <v>2012</v>
      </c>
      <c r="E4772" t="inlineStr">
        <is>
          <t>Man on a Ledge</t>
        </is>
      </c>
      <c r="F4772" t="inlineStr">
        <is>
          <t>F0210</t>
        </is>
      </c>
    </row>
    <row r="4773">
      <c r="A4773" t="inlineStr">
        <is>
          <t>Jason Kolotouros</t>
        </is>
      </c>
      <c r="B4773" t="n">
        <v>1</v>
      </c>
      <c r="C4773" t="n">
        <v>2012</v>
      </c>
      <c r="D4773" t="n">
        <v>2012</v>
      </c>
      <c r="E4773" t="inlineStr">
        <is>
          <t>Man on a Ledge</t>
        </is>
      </c>
      <c r="F4773" t="inlineStr">
        <is>
          <t>F0210</t>
        </is>
      </c>
    </row>
    <row r="4774">
      <c r="A4774" t="inlineStr">
        <is>
          <t>Michael Laurence</t>
        </is>
      </c>
      <c r="B4774" t="n">
        <v>1</v>
      </c>
      <c r="C4774" t="n">
        <v>2012</v>
      </c>
      <c r="D4774" t="n">
        <v>2012</v>
      </c>
      <c r="E4774" t="inlineStr">
        <is>
          <t>Man on a Ledge</t>
        </is>
      </c>
      <c r="F4774" t="inlineStr">
        <is>
          <t>F0210</t>
        </is>
      </c>
    </row>
    <row r="4775">
      <c r="A4775" t="inlineStr">
        <is>
          <t>Don Castro</t>
        </is>
      </c>
      <c r="B4775" t="n">
        <v>1</v>
      </c>
      <c r="C4775" t="n">
        <v>2012</v>
      </c>
      <c r="D4775" t="n">
        <v>2012</v>
      </c>
      <c r="E4775" t="inlineStr">
        <is>
          <t>Man on a Ledge</t>
        </is>
      </c>
      <c r="F4775" t="inlineStr">
        <is>
          <t>F0210</t>
        </is>
      </c>
    </row>
    <row r="4776">
      <c r="A4776" t="inlineStr">
        <is>
          <t>Pooja Kumar</t>
        </is>
      </c>
      <c r="B4776" t="n">
        <v>1</v>
      </c>
      <c r="C4776" t="n">
        <v>2012</v>
      </c>
      <c r="D4776" t="n">
        <v>2012</v>
      </c>
      <c r="E4776" t="inlineStr">
        <is>
          <t>Man on a Ledge</t>
        </is>
      </c>
      <c r="F4776" t="inlineStr">
        <is>
          <t>F0210</t>
        </is>
      </c>
    </row>
    <row r="4777">
      <c r="A4777" t="inlineStr">
        <is>
          <t>John Dossett</t>
        </is>
      </c>
      <c r="B4777" t="n">
        <v>1</v>
      </c>
      <c r="C4777" t="n">
        <v>2012</v>
      </c>
      <c r="D4777" t="n">
        <v>2012</v>
      </c>
      <c r="E4777" t="inlineStr">
        <is>
          <t>Man on a Ledge</t>
        </is>
      </c>
      <c r="F4777" t="inlineStr">
        <is>
          <t>F0210</t>
        </is>
      </c>
    </row>
    <row r="4778">
      <c r="A4778" t="inlineStr">
        <is>
          <t>Sylvia Kauders</t>
        </is>
      </c>
      <c r="B4778" t="n">
        <v>1</v>
      </c>
      <c r="C4778" t="n">
        <v>2012</v>
      </c>
      <c r="D4778" t="n">
        <v>2012</v>
      </c>
      <c r="E4778" t="inlineStr">
        <is>
          <t>Man on a Ledge</t>
        </is>
      </c>
      <c r="F4778" t="inlineStr">
        <is>
          <t>F0210</t>
        </is>
      </c>
    </row>
    <row r="4779">
      <c r="A4779" t="inlineStr">
        <is>
          <t>Felix Solis</t>
        </is>
      </c>
      <c r="B4779" t="n">
        <v>1</v>
      </c>
      <c r="C4779" t="n">
        <v>2012</v>
      </c>
      <c r="D4779" t="n">
        <v>2012</v>
      </c>
      <c r="E4779" t="inlineStr">
        <is>
          <t>Man on a Ledge</t>
        </is>
      </c>
      <c r="F4779" t="inlineStr">
        <is>
          <t>F0210</t>
        </is>
      </c>
    </row>
    <row r="4780">
      <c r="A4780" t="inlineStr">
        <is>
          <t>Antje Traue</t>
        </is>
      </c>
      <c r="B4780" t="n">
        <v>1</v>
      </c>
      <c r="C4780" t="n">
        <v>2013</v>
      </c>
      <c r="D4780" t="n">
        <v>2013</v>
      </c>
      <c r="E4780" t="inlineStr">
        <is>
          <t>Man of Steel</t>
        </is>
      </c>
      <c r="F4780" t="inlineStr">
        <is>
          <t>F0211</t>
        </is>
      </c>
    </row>
    <row r="4781">
      <c r="A4781" t="inlineStr">
        <is>
          <t>Harry Lennix</t>
        </is>
      </c>
      <c r="B4781" t="n">
        <v>3</v>
      </c>
      <c r="C4781" t="n">
        <v>2003</v>
      </c>
      <c r="D4781" t="n">
        <v>2013</v>
      </c>
      <c r="E4781" t="inlineStr">
        <is>
          <t>Man of Steel, The Matrix Reloaded, The Matrix Revolutions</t>
        </is>
      </c>
      <c r="F4781" t="inlineStr">
        <is>
          <t>F0211, F0215, F0216</t>
        </is>
      </c>
    </row>
    <row r="4782">
      <c r="A4782" t="inlineStr">
        <is>
          <t>Christopher Meloni</t>
        </is>
      </c>
      <c r="B4782" t="n">
        <v>1</v>
      </c>
      <c r="C4782" t="n">
        <v>2013</v>
      </c>
      <c r="D4782" t="n">
        <v>2013</v>
      </c>
      <c r="E4782" t="inlineStr">
        <is>
          <t>Man of Steel</t>
        </is>
      </c>
      <c r="F4782" t="inlineStr">
        <is>
          <t>F0211</t>
        </is>
      </c>
    </row>
    <row r="4783">
      <c r="A4783" t="inlineStr">
        <is>
          <t>Kevin Costner</t>
        </is>
      </c>
      <c r="B4783" t="n">
        <v>1</v>
      </c>
      <c r="C4783" t="n">
        <v>2013</v>
      </c>
      <c r="D4783" t="n">
        <v>2013</v>
      </c>
      <c r="E4783" t="inlineStr">
        <is>
          <t>Man of Steel</t>
        </is>
      </c>
      <c r="F4783" t="inlineStr">
        <is>
          <t>F0211</t>
        </is>
      </c>
    </row>
    <row r="4784">
      <c r="A4784" t="inlineStr">
        <is>
          <t>Dylan Sprayberry</t>
        </is>
      </c>
      <c r="B4784" t="n">
        <v>1</v>
      </c>
      <c r="C4784" t="n">
        <v>2013</v>
      </c>
      <c r="D4784" t="n">
        <v>2013</v>
      </c>
      <c r="E4784" t="inlineStr">
        <is>
          <t>Man of Steel</t>
        </is>
      </c>
      <c r="F4784" t="inlineStr">
        <is>
          <t>F0211</t>
        </is>
      </c>
    </row>
    <row r="4785">
      <c r="A4785" t="inlineStr">
        <is>
          <t>Cooper Timberline</t>
        </is>
      </c>
      <c r="B4785" t="n">
        <v>1</v>
      </c>
      <c r="C4785" t="n">
        <v>2013</v>
      </c>
      <c r="D4785" t="n">
        <v>2013</v>
      </c>
      <c r="E4785" t="inlineStr">
        <is>
          <t>Man of Steel</t>
        </is>
      </c>
      <c r="F4785" t="inlineStr">
        <is>
          <t>F0211</t>
        </is>
      </c>
    </row>
    <row r="4786">
      <c r="A4786" t="inlineStr">
        <is>
          <t>Richard Cetrone</t>
        </is>
      </c>
      <c r="B4786" t="n">
        <v>3</v>
      </c>
      <c r="C4786" t="n">
        <v>2006</v>
      </c>
      <c r="D4786" t="n">
        <v>2013</v>
      </c>
      <c r="E4786" t="inlineStr">
        <is>
          <t>Man of Steel, Underworld: Evolution, Underworld: Awakening</t>
        </is>
      </c>
      <c r="F4786" t="inlineStr">
        <is>
          <t>F0211, F0326, F0328</t>
        </is>
      </c>
    </row>
    <row r="4787">
      <c r="A4787" t="inlineStr">
        <is>
          <t>Mackenzie Gray</t>
        </is>
      </c>
      <c r="B4787" t="n">
        <v>1</v>
      </c>
      <c r="C4787" t="n">
        <v>2013</v>
      </c>
      <c r="D4787" t="n">
        <v>2013</v>
      </c>
      <c r="E4787" t="inlineStr">
        <is>
          <t>Man of Steel</t>
        </is>
      </c>
      <c r="F4787" t="inlineStr">
        <is>
          <t>F0211</t>
        </is>
      </c>
    </row>
    <row r="4788">
      <c r="A4788" t="inlineStr">
        <is>
          <t>Julian Richings</t>
        </is>
      </c>
      <c r="B4788" t="n">
        <v>1</v>
      </c>
      <c r="C4788" t="n">
        <v>2013</v>
      </c>
      <c r="D4788" t="n">
        <v>2013</v>
      </c>
      <c r="E4788" t="inlineStr">
        <is>
          <t>Man of Steel</t>
        </is>
      </c>
      <c r="F4788" t="inlineStr">
        <is>
          <t>F0211</t>
        </is>
      </c>
    </row>
    <row r="4789">
      <c r="A4789" t="inlineStr">
        <is>
          <t>Mary Black</t>
        </is>
      </c>
      <c r="B4789" t="n">
        <v>1</v>
      </c>
      <c r="C4789" t="n">
        <v>2013</v>
      </c>
      <c r="D4789" t="n">
        <v>2013</v>
      </c>
      <c r="E4789" t="inlineStr">
        <is>
          <t>Man of Steel</t>
        </is>
      </c>
      <c r="F4789" t="inlineStr">
        <is>
          <t>F0211</t>
        </is>
      </c>
    </row>
    <row r="4790">
      <c r="A4790" t="inlineStr">
        <is>
          <t>Samantha Win</t>
        </is>
      </c>
      <c r="B4790" t="n">
        <v>1</v>
      </c>
      <c r="C4790" t="n">
        <v>2013</v>
      </c>
      <c r="D4790" t="n">
        <v>2013</v>
      </c>
      <c r="E4790" t="inlineStr">
        <is>
          <t>Man of Steel</t>
        </is>
      </c>
      <c r="F4790" t="inlineStr">
        <is>
          <t>F0211</t>
        </is>
      </c>
    </row>
    <row r="4791">
      <c r="A4791" t="inlineStr">
        <is>
          <t>Rebecca Buller</t>
        </is>
      </c>
      <c r="B4791" t="n">
        <v>1</v>
      </c>
      <c r="C4791" t="n">
        <v>2013</v>
      </c>
      <c r="D4791" t="n">
        <v>2013</v>
      </c>
      <c r="E4791" t="inlineStr">
        <is>
          <t>Man of Steel</t>
        </is>
      </c>
      <c r="F4791" t="inlineStr">
        <is>
          <t>F0211</t>
        </is>
      </c>
    </row>
    <row r="4792">
      <c r="A4792" t="inlineStr">
        <is>
          <t>Christina Wren</t>
        </is>
      </c>
      <c r="B4792" t="n">
        <v>1</v>
      </c>
      <c r="C4792" t="n">
        <v>2013</v>
      </c>
      <c r="D4792" t="n">
        <v>2013</v>
      </c>
      <c r="E4792" t="inlineStr">
        <is>
          <t>Man of Steel</t>
        </is>
      </c>
      <c r="F4792" t="inlineStr">
        <is>
          <t>F0211</t>
        </is>
      </c>
    </row>
    <row r="4793">
      <c r="A4793" t="inlineStr">
        <is>
          <t>Tahmoh Penikett</t>
        </is>
      </c>
      <c r="B4793" t="n">
        <v>1</v>
      </c>
      <c r="C4793" t="n">
        <v>2013</v>
      </c>
      <c r="D4793" t="n">
        <v>2013</v>
      </c>
      <c r="E4793" t="inlineStr">
        <is>
          <t>Man of Steel</t>
        </is>
      </c>
      <c r="F4793" t="inlineStr">
        <is>
          <t>F0211</t>
        </is>
      </c>
    </row>
    <row r="4794">
      <c r="A4794" t="inlineStr">
        <is>
          <t>Doug Abrahams</t>
        </is>
      </c>
      <c r="B4794" t="n">
        <v>1</v>
      </c>
      <c r="C4794" t="n">
        <v>2013</v>
      </c>
      <c r="D4794" t="n">
        <v>2013</v>
      </c>
      <c r="E4794" t="inlineStr">
        <is>
          <t>Man of Steel</t>
        </is>
      </c>
      <c r="F4794" t="inlineStr">
        <is>
          <t>F0211</t>
        </is>
      </c>
    </row>
    <row r="4795">
      <c r="A4795" t="inlineStr">
        <is>
          <t>Brad Kelly</t>
        </is>
      </c>
      <c r="B4795" t="n">
        <v>1</v>
      </c>
      <c r="C4795" t="n">
        <v>2013</v>
      </c>
      <c r="D4795" t="n">
        <v>2013</v>
      </c>
      <c r="E4795" t="inlineStr">
        <is>
          <t>Man of Steel</t>
        </is>
      </c>
      <c r="F4795" t="inlineStr">
        <is>
          <t>F0211</t>
        </is>
      </c>
    </row>
    <row r="4796">
      <c r="A4796" t="inlineStr">
        <is>
          <t>David Paetkau</t>
        </is>
      </c>
      <c r="B4796" t="n">
        <v>1</v>
      </c>
      <c r="C4796" t="n">
        <v>2013</v>
      </c>
      <c r="D4796" t="n">
        <v>2013</v>
      </c>
      <c r="E4796" t="inlineStr">
        <is>
          <t>Man of Steel</t>
        </is>
      </c>
      <c r="F4796" t="inlineStr">
        <is>
          <t>F0211</t>
        </is>
      </c>
    </row>
    <row r="4797">
      <c r="A4797" t="inlineStr">
        <is>
          <t>Ian Rozylo</t>
        </is>
      </c>
      <c r="B4797" t="n">
        <v>2</v>
      </c>
      <c r="C4797" t="n">
        <v>2012</v>
      </c>
      <c r="D4797" t="n">
        <v>2013</v>
      </c>
      <c r="E4797" t="inlineStr">
        <is>
          <t>Man of Steel, Underworld: Awakening</t>
        </is>
      </c>
      <c r="F4797" t="inlineStr">
        <is>
          <t>F0211, F0328</t>
        </is>
      </c>
    </row>
    <row r="4798">
      <c r="A4798" t="inlineStr">
        <is>
          <t>Sebastian Maniscalco</t>
        </is>
      </c>
      <c r="B4798" t="n">
        <v>1</v>
      </c>
      <c r="C4798" t="n">
        <v>2023</v>
      </c>
      <c r="D4798" t="n">
        <v>2023</v>
      </c>
      <c r="E4798" t="inlineStr">
        <is>
          <t>The Super Mario Bros. Movie</t>
        </is>
      </c>
      <c r="F4798" t="inlineStr">
        <is>
          <t>F0212</t>
        </is>
      </c>
    </row>
    <row r="4799">
      <c r="A4799" t="inlineStr">
        <is>
          <t>Charles Martinet</t>
        </is>
      </c>
      <c r="B4799" t="n">
        <v>1</v>
      </c>
      <c r="C4799" t="n">
        <v>2023</v>
      </c>
      <c r="D4799" t="n">
        <v>2023</v>
      </c>
      <c r="E4799" t="inlineStr">
        <is>
          <t>The Super Mario Bros. Movie</t>
        </is>
      </c>
      <c r="F4799" t="inlineStr">
        <is>
          <t>F0212</t>
        </is>
      </c>
    </row>
    <row r="4800">
      <c r="A4800" t="inlineStr">
        <is>
          <t>Rino Romano</t>
        </is>
      </c>
      <c r="B4800" t="n">
        <v>1</v>
      </c>
      <c r="C4800" t="n">
        <v>2023</v>
      </c>
      <c r="D4800" t="n">
        <v>2023</v>
      </c>
      <c r="E4800" t="inlineStr">
        <is>
          <t>The Super Mario Bros. Movie</t>
        </is>
      </c>
      <c r="F4800" t="inlineStr">
        <is>
          <t>F0212</t>
        </is>
      </c>
    </row>
    <row r="4801">
      <c r="A4801" t="inlineStr">
        <is>
          <t>Juliet Jelenic</t>
        </is>
      </c>
      <c r="B4801" t="n">
        <v>1</v>
      </c>
      <c r="C4801" t="n">
        <v>2023</v>
      </c>
      <c r="D4801" t="n">
        <v>2023</v>
      </c>
      <c r="E4801" t="inlineStr">
        <is>
          <t>The Super Mario Bros. Movie</t>
        </is>
      </c>
      <c r="F4801" t="inlineStr">
        <is>
          <t>F0212</t>
        </is>
      </c>
    </row>
    <row r="4802">
      <c r="A4802" t="inlineStr">
        <is>
          <t>Jason Broad</t>
        </is>
      </c>
      <c r="B4802" t="n">
        <v>1</v>
      </c>
      <c r="C4802" t="n">
        <v>2023</v>
      </c>
      <c r="D4802" t="n">
        <v>2023</v>
      </c>
      <c r="E4802" t="inlineStr">
        <is>
          <t>The Super Mario Bros. Movie</t>
        </is>
      </c>
      <c r="F4802" t="inlineStr">
        <is>
          <t>F0212</t>
        </is>
      </c>
    </row>
    <row r="4803">
      <c r="A4803" t="inlineStr">
        <is>
          <t>Ashly Burch</t>
        </is>
      </c>
      <c r="B4803" t="n">
        <v>1</v>
      </c>
      <c r="C4803" t="n">
        <v>2023</v>
      </c>
      <c r="D4803" t="n">
        <v>2023</v>
      </c>
      <c r="E4803" t="inlineStr">
        <is>
          <t>The Super Mario Bros. Movie</t>
        </is>
      </c>
      <c r="F4803" t="inlineStr">
        <is>
          <t>F0212</t>
        </is>
      </c>
    </row>
    <row r="4804">
      <c r="A4804" t="inlineStr">
        <is>
          <t>Rachel Butera</t>
        </is>
      </c>
      <c r="B4804" t="n">
        <v>1</v>
      </c>
      <c r="C4804" t="n">
        <v>2023</v>
      </c>
      <c r="D4804" t="n">
        <v>2023</v>
      </c>
      <c r="E4804" t="inlineStr">
        <is>
          <t>The Super Mario Bros. Movie</t>
        </is>
      </c>
      <c r="F4804" t="inlineStr">
        <is>
          <t>F0212</t>
        </is>
      </c>
    </row>
    <row r="4805">
      <c r="A4805" t="inlineStr">
        <is>
          <t>Will Collyer</t>
        </is>
      </c>
      <c r="B4805" t="n">
        <v>1</v>
      </c>
      <c r="C4805" t="n">
        <v>2023</v>
      </c>
      <c r="D4805" t="n">
        <v>2023</v>
      </c>
      <c r="E4805" t="inlineStr">
        <is>
          <t>The Super Mario Bros. Movie</t>
        </is>
      </c>
      <c r="F4805" t="inlineStr">
        <is>
          <t>F0212</t>
        </is>
      </c>
    </row>
    <row r="4806">
      <c r="A4806" t="inlineStr">
        <is>
          <t>Django Craig</t>
        </is>
      </c>
      <c r="B4806" t="n">
        <v>1</v>
      </c>
      <c r="C4806" t="n">
        <v>2023</v>
      </c>
      <c r="D4806" t="n">
        <v>2023</v>
      </c>
      <c r="E4806" t="inlineStr">
        <is>
          <t>The Super Mario Bros. Movie</t>
        </is>
      </c>
      <c r="F4806" t="inlineStr">
        <is>
          <t>F0212</t>
        </is>
      </c>
    </row>
    <row r="4807">
      <c r="A4807" t="inlineStr">
        <is>
          <t>Willow Geer</t>
        </is>
      </c>
      <c r="B4807" t="n">
        <v>1</v>
      </c>
      <c r="C4807" t="n">
        <v>2023</v>
      </c>
      <c r="D4807" t="n">
        <v>2023</v>
      </c>
      <c r="E4807" t="inlineStr">
        <is>
          <t>The Super Mario Bros. Movie</t>
        </is>
      </c>
      <c r="F4807" t="inlineStr">
        <is>
          <t>F0212</t>
        </is>
      </c>
    </row>
    <row r="4808">
      <c r="A4808" t="inlineStr">
        <is>
          <t>Aaron Hendry</t>
        </is>
      </c>
      <c r="B4808" t="n">
        <v>1</v>
      </c>
      <c r="C4808" t="n">
        <v>2023</v>
      </c>
      <c r="D4808" t="n">
        <v>2023</v>
      </c>
      <c r="E4808" t="inlineStr">
        <is>
          <t>The Super Mario Bros. Movie</t>
        </is>
      </c>
      <c r="F4808" t="inlineStr">
        <is>
          <t>F0212</t>
        </is>
      </c>
    </row>
    <row r="4809">
      <c r="A4809" t="inlineStr">
        <is>
          <t>Andy Hirsch</t>
        </is>
      </c>
      <c r="B4809" t="n">
        <v>1</v>
      </c>
      <c r="C4809" t="n">
        <v>2023</v>
      </c>
      <c r="D4809" t="n">
        <v>2023</v>
      </c>
      <c r="E4809" t="inlineStr">
        <is>
          <t>The Super Mario Bros. Movie</t>
        </is>
      </c>
      <c r="F4809" t="inlineStr">
        <is>
          <t>F0212</t>
        </is>
      </c>
    </row>
    <row r="4810">
      <c r="A4810" t="inlineStr">
        <is>
          <t>Barbara Harris</t>
        </is>
      </c>
      <c r="B4810" t="n">
        <v>1</v>
      </c>
      <c r="C4810" t="n">
        <v>2023</v>
      </c>
      <c r="D4810" t="n">
        <v>2023</v>
      </c>
      <c r="E4810" t="inlineStr">
        <is>
          <t>The Super Mario Bros. Movie</t>
        </is>
      </c>
      <c r="F4810" t="inlineStr">
        <is>
          <t>F0212</t>
        </is>
      </c>
    </row>
    <row r="4811">
      <c r="A4811" t="inlineStr">
        <is>
          <t>Jeremy Maxwell</t>
        </is>
      </c>
      <c r="B4811" t="n">
        <v>1</v>
      </c>
      <c r="C4811" t="n">
        <v>2023</v>
      </c>
      <c r="D4811" t="n">
        <v>2023</v>
      </c>
      <c r="E4811" t="inlineStr">
        <is>
          <t>The Super Mario Bros. Movie</t>
        </is>
      </c>
      <c r="F4811" t="inlineStr">
        <is>
          <t>F0212</t>
        </is>
      </c>
    </row>
    <row r="4812">
      <c r="A4812" t="inlineStr">
        <is>
          <t>Kate Mara</t>
        </is>
      </c>
      <c r="B4812" t="n">
        <v>1</v>
      </c>
      <c r="C4812" t="n">
        <v>2015</v>
      </c>
      <c r="D4812" t="n">
        <v>2015</v>
      </c>
      <c r="E4812" t="inlineStr">
        <is>
          <t>The Martian</t>
        </is>
      </c>
      <c r="F4812" t="inlineStr">
        <is>
          <t>F0213</t>
        </is>
      </c>
    </row>
    <row r="4813">
      <c r="A4813" t="inlineStr">
        <is>
          <t>Mackenzie Davis</t>
        </is>
      </c>
      <c r="B4813" t="n">
        <v>1</v>
      </c>
      <c r="C4813" t="n">
        <v>2015</v>
      </c>
      <c r="D4813" t="n">
        <v>2015</v>
      </c>
      <c r="E4813" t="inlineStr">
        <is>
          <t>The Martian</t>
        </is>
      </c>
      <c r="F4813" t="inlineStr">
        <is>
          <t>F0213</t>
        </is>
      </c>
    </row>
    <row r="4814">
      <c r="A4814" t="inlineStr">
        <is>
          <t>Donald Glover</t>
        </is>
      </c>
      <c r="B4814" t="n">
        <v>1</v>
      </c>
      <c r="C4814" t="n">
        <v>2015</v>
      </c>
      <c r="D4814" t="n">
        <v>2015</v>
      </c>
      <c r="E4814" t="inlineStr">
        <is>
          <t>The Martian</t>
        </is>
      </c>
      <c r="F4814" t="inlineStr">
        <is>
          <t>F0213</t>
        </is>
      </c>
    </row>
    <row r="4815">
      <c r="A4815" t="inlineStr">
        <is>
          <t>Nick Mohammed</t>
        </is>
      </c>
      <c r="B4815" t="n">
        <v>1</v>
      </c>
      <c r="C4815" t="n">
        <v>2015</v>
      </c>
      <c r="D4815" t="n">
        <v>2015</v>
      </c>
      <c r="E4815" t="inlineStr">
        <is>
          <t>The Martian</t>
        </is>
      </c>
      <c r="F4815" t="inlineStr">
        <is>
          <t>F0213</t>
        </is>
      </c>
    </row>
    <row r="4816">
      <c r="A4816" t="inlineStr">
        <is>
          <t>Chen Shu</t>
        </is>
      </c>
      <c r="B4816" t="n">
        <v>1</v>
      </c>
      <c r="C4816" t="n">
        <v>2015</v>
      </c>
      <c r="D4816" t="n">
        <v>2015</v>
      </c>
      <c r="E4816" t="inlineStr">
        <is>
          <t>The Martian</t>
        </is>
      </c>
      <c r="F4816" t="inlineStr">
        <is>
          <t>F0213</t>
        </is>
      </c>
    </row>
    <row r="4817">
      <c r="A4817" t="inlineStr">
        <is>
          <t>Eddy Ko Hung</t>
        </is>
      </c>
      <c r="B4817" t="n">
        <v>1</v>
      </c>
      <c r="C4817" t="n">
        <v>2015</v>
      </c>
      <c r="D4817" t="n">
        <v>2015</v>
      </c>
      <c r="E4817" t="inlineStr">
        <is>
          <t>The Martian</t>
        </is>
      </c>
      <c r="F4817" t="inlineStr">
        <is>
          <t>F0213</t>
        </is>
      </c>
    </row>
    <row r="4818">
      <c r="A4818" t="inlineStr">
        <is>
          <t>Enzo Cilenti</t>
        </is>
      </c>
      <c r="B4818" t="n">
        <v>2</v>
      </c>
      <c r="C4818" t="n">
        <v>2014</v>
      </c>
      <c r="D4818" t="n">
        <v>2015</v>
      </c>
      <c r="E4818" t="inlineStr">
        <is>
          <t>The Martian, The Theory of Everything</t>
        </is>
      </c>
      <c r="F4818" t="inlineStr">
        <is>
          <t>F0213, F0311</t>
        </is>
      </c>
    </row>
    <row r="4819">
      <c r="A4819" t="inlineStr">
        <is>
          <t>Gruffudd Glyn</t>
        </is>
      </c>
      <c r="B4819" t="n">
        <v>2</v>
      </c>
      <c r="C4819" t="n">
        <v>2014</v>
      </c>
      <c r="D4819" t="n">
        <v>2015</v>
      </c>
      <c r="E4819" t="inlineStr">
        <is>
          <t>The Martian, The Theory of Everything</t>
        </is>
      </c>
      <c r="F4819" t="inlineStr">
        <is>
          <t>F0213, F0311</t>
        </is>
      </c>
    </row>
    <row r="4820">
      <c r="A4820" t="inlineStr">
        <is>
          <t>Geoffrey Thomas</t>
        </is>
      </c>
      <c r="B4820" t="n">
        <v>1</v>
      </c>
      <c r="C4820" t="n">
        <v>2015</v>
      </c>
      <c r="D4820" t="n">
        <v>2015</v>
      </c>
      <c r="E4820" t="inlineStr">
        <is>
          <t>The Martian</t>
        </is>
      </c>
      <c r="F4820" t="inlineStr">
        <is>
          <t>F0213</t>
        </is>
      </c>
    </row>
    <row r="4821">
      <c r="A4821" t="inlineStr">
        <is>
          <t>Yang Haiwen</t>
        </is>
      </c>
      <c r="B4821" t="n">
        <v>1</v>
      </c>
      <c r="C4821" t="n">
        <v>2015</v>
      </c>
      <c r="D4821" t="n">
        <v>2015</v>
      </c>
      <c r="E4821" t="inlineStr">
        <is>
          <t>The Martian</t>
        </is>
      </c>
      <c r="F4821" t="inlineStr">
        <is>
          <t>F0213</t>
        </is>
      </c>
    </row>
    <row r="4822">
      <c r="A4822" t="inlineStr">
        <is>
          <t>Narantsogt Tsogtsaikhan</t>
        </is>
      </c>
      <c r="B4822" t="n">
        <v>1</v>
      </c>
      <c r="C4822" t="n">
        <v>2015</v>
      </c>
      <c r="D4822" t="n">
        <v>2015</v>
      </c>
      <c r="E4822" t="inlineStr">
        <is>
          <t>The Martian</t>
        </is>
      </c>
      <c r="F4822" t="inlineStr">
        <is>
          <t>F0213</t>
        </is>
      </c>
    </row>
    <row r="4823">
      <c r="A4823" t="inlineStr">
        <is>
          <t>Szonja Oroszlán</t>
        </is>
      </c>
      <c r="B4823" t="n">
        <v>1</v>
      </c>
      <c r="C4823" t="n">
        <v>2015</v>
      </c>
      <c r="D4823" t="n">
        <v>2015</v>
      </c>
      <c r="E4823" t="inlineStr">
        <is>
          <t>The Martian</t>
        </is>
      </c>
      <c r="F4823" t="inlineStr">
        <is>
          <t>F0213</t>
        </is>
      </c>
    </row>
    <row r="4824">
      <c r="A4824" t="inlineStr">
        <is>
          <t>Mark O'Neal</t>
        </is>
      </c>
      <c r="B4824" t="n">
        <v>1</v>
      </c>
      <c r="C4824" t="n">
        <v>2015</v>
      </c>
      <c r="D4824" t="n">
        <v>2015</v>
      </c>
      <c r="E4824" t="inlineStr">
        <is>
          <t>The Martian</t>
        </is>
      </c>
      <c r="F4824" t="inlineStr">
        <is>
          <t>F0213</t>
        </is>
      </c>
    </row>
    <row r="4825">
      <c r="A4825" t="inlineStr">
        <is>
          <t>Karen Gagnon</t>
        </is>
      </c>
      <c r="B4825" t="n">
        <v>1</v>
      </c>
      <c r="C4825" t="n">
        <v>2015</v>
      </c>
      <c r="D4825" t="n">
        <v>2015</v>
      </c>
      <c r="E4825" t="inlineStr">
        <is>
          <t>The Martian</t>
        </is>
      </c>
      <c r="F4825" t="inlineStr">
        <is>
          <t>F0213</t>
        </is>
      </c>
    </row>
    <row r="4826">
      <c r="A4826" t="inlineStr">
        <is>
          <t>Lili Bordán</t>
        </is>
      </c>
      <c r="B4826" t="n">
        <v>1</v>
      </c>
      <c r="C4826" t="n">
        <v>2015</v>
      </c>
      <c r="D4826" t="n">
        <v>2015</v>
      </c>
      <c r="E4826" t="inlineStr">
        <is>
          <t>The Martian</t>
        </is>
      </c>
      <c r="F4826" t="inlineStr">
        <is>
          <t>F0213</t>
        </is>
      </c>
    </row>
    <row r="4827">
      <c r="A4827" t="inlineStr">
        <is>
          <t>Nikolett Barabas</t>
        </is>
      </c>
      <c r="B4827" t="n">
        <v>1</v>
      </c>
      <c r="C4827" t="n">
        <v>2015</v>
      </c>
      <c r="D4827" t="n">
        <v>2015</v>
      </c>
      <c r="E4827" t="inlineStr">
        <is>
          <t>The Martian</t>
        </is>
      </c>
      <c r="F4827" t="inlineStr">
        <is>
          <t>F0213</t>
        </is>
      </c>
    </row>
    <row r="4828">
      <c r="A4828" t="inlineStr">
        <is>
          <t>Dilyana Bouklieva</t>
        </is>
      </c>
      <c r="B4828" t="n">
        <v>1</v>
      </c>
      <c r="C4828" t="n">
        <v>2015</v>
      </c>
      <c r="D4828" t="n">
        <v>2015</v>
      </c>
      <c r="E4828" t="inlineStr">
        <is>
          <t>The Martian</t>
        </is>
      </c>
      <c r="F4828" t="inlineStr">
        <is>
          <t>F0213</t>
        </is>
      </c>
    </row>
    <row r="4829">
      <c r="A4829" t="inlineStr">
        <is>
          <t>Björn Freiberg</t>
        </is>
      </c>
      <c r="B4829" t="n">
        <v>1</v>
      </c>
      <c r="C4829" t="n">
        <v>2015</v>
      </c>
      <c r="D4829" t="n">
        <v>2015</v>
      </c>
      <c r="E4829" t="inlineStr">
        <is>
          <t>The Martian</t>
        </is>
      </c>
      <c r="F4829" t="inlineStr">
        <is>
          <t>F0213</t>
        </is>
      </c>
    </row>
    <row r="4830">
      <c r="A4830" t="inlineStr">
        <is>
          <t>Marcus Chong</t>
        </is>
      </c>
      <c r="B4830" t="n">
        <v>1</v>
      </c>
      <c r="C4830" t="n">
        <v>1999</v>
      </c>
      <c r="D4830" t="n">
        <v>1999</v>
      </c>
      <c r="E4830" t="inlineStr">
        <is>
          <t>The Matrix</t>
        </is>
      </c>
      <c r="F4830" t="inlineStr">
        <is>
          <t>F0214</t>
        </is>
      </c>
    </row>
    <row r="4831">
      <c r="A4831" t="inlineStr">
        <is>
          <t>Julian Arahanga</t>
        </is>
      </c>
      <c r="B4831" t="n">
        <v>1</v>
      </c>
      <c r="C4831" t="n">
        <v>1999</v>
      </c>
      <c r="D4831" t="n">
        <v>1999</v>
      </c>
      <c r="E4831" t="inlineStr">
        <is>
          <t>The Matrix</t>
        </is>
      </c>
      <c r="F4831" t="inlineStr">
        <is>
          <t>F0214</t>
        </is>
      </c>
    </row>
    <row r="4832">
      <c r="A4832" t="inlineStr">
        <is>
          <t>Matt Doran</t>
        </is>
      </c>
      <c r="B4832" t="n">
        <v>2</v>
      </c>
      <c r="C4832" t="n">
        <v>1999</v>
      </c>
      <c r="D4832" t="n">
        <v>2002</v>
      </c>
      <c r="E4832" t="inlineStr">
        <is>
          <t>The Matrix, Star Wars: Episode II – Attack of the Clones</t>
        </is>
      </c>
      <c r="F4832" t="inlineStr">
        <is>
          <t>F0214, F0293</t>
        </is>
      </c>
    </row>
    <row r="4833">
      <c r="A4833" t="inlineStr">
        <is>
          <t>Belinda McClory</t>
        </is>
      </c>
      <c r="B4833" t="n">
        <v>1</v>
      </c>
      <c r="C4833" t="n">
        <v>1999</v>
      </c>
      <c r="D4833" t="n">
        <v>1999</v>
      </c>
      <c r="E4833" t="inlineStr">
        <is>
          <t>The Matrix</t>
        </is>
      </c>
      <c r="F4833" t="inlineStr">
        <is>
          <t>F0214</t>
        </is>
      </c>
    </row>
    <row r="4834">
      <c r="A4834" t="inlineStr">
        <is>
          <t>Anthony Ray Parker</t>
        </is>
      </c>
      <c r="B4834" t="n">
        <v>1</v>
      </c>
      <c r="C4834" t="n">
        <v>1999</v>
      </c>
      <c r="D4834" t="n">
        <v>1999</v>
      </c>
      <c r="E4834" t="inlineStr">
        <is>
          <t>The Matrix</t>
        </is>
      </c>
      <c r="F4834" t="inlineStr">
        <is>
          <t>F0214</t>
        </is>
      </c>
    </row>
    <row r="4835">
      <c r="A4835" t="inlineStr">
        <is>
          <t>Paul Goddard</t>
        </is>
      </c>
      <c r="B4835" t="n">
        <v>1</v>
      </c>
      <c r="C4835" t="n">
        <v>1999</v>
      </c>
      <c r="D4835" t="n">
        <v>1999</v>
      </c>
      <c r="E4835" t="inlineStr">
        <is>
          <t>The Matrix</t>
        </is>
      </c>
      <c r="F4835" t="inlineStr">
        <is>
          <t>F0214</t>
        </is>
      </c>
    </row>
    <row r="4836">
      <c r="A4836" t="inlineStr">
        <is>
          <t>Marc Aden Gray</t>
        </is>
      </c>
      <c r="B4836" t="n">
        <v>1</v>
      </c>
      <c r="C4836" t="n">
        <v>1999</v>
      </c>
      <c r="D4836" t="n">
        <v>1999</v>
      </c>
      <c r="E4836" t="inlineStr">
        <is>
          <t>The Matrix</t>
        </is>
      </c>
      <c r="F4836" t="inlineStr">
        <is>
          <t>F0214</t>
        </is>
      </c>
    </row>
    <row r="4837">
      <c r="A4837" t="inlineStr">
        <is>
          <t>Ada Nicodemou</t>
        </is>
      </c>
      <c r="B4837" t="n">
        <v>1</v>
      </c>
      <c r="C4837" t="n">
        <v>1999</v>
      </c>
      <c r="D4837" t="n">
        <v>1999</v>
      </c>
      <c r="E4837" t="inlineStr">
        <is>
          <t>The Matrix</t>
        </is>
      </c>
      <c r="F4837" t="inlineStr">
        <is>
          <t>F0214</t>
        </is>
      </c>
    </row>
    <row r="4838">
      <c r="A4838" t="inlineStr">
        <is>
          <t>Deni Gordon</t>
        </is>
      </c>
      <c r="B4838" t="n">
        <v>1</v>
      </c>
      <c r="C4838" t="n">
        <v>1999</v>
      </c>
      <c r="D4838" t="n">
        <v>1999</v>
      </c>
      <c r="E4838" t="inlineStr">
        <is>
          <t>The Matrix</t>
        </is>
      </c>
      <c r="F4838" t="inlineStr">
        <is>
          <t>F0214</t>
        </is>
      </c>
    </row>
    <row r="4839">
      <c r="A4839" t="inlineStr">
        <is>
          <t>Rowan Witt</t>
        </is>
      </c>
      <c r="B4839" t="n">
        <v>1</v>
      </c>
      <c r="C4839" t="n">
        <v>1999</v>
      </c>
      <c r="D4839" t="n">
        <v>1999</v>
      </c>
      <c r="E4839" t="inlineStr">
        <is>
          <t>The Matrix</t>
        </is>
      </c>
      <c r="F4839" t="inlineStr">
        <is>
          <t>F0214</t>
        </is>
      </c>
    </row>
    <row r="4840">
      <c r="A4840" t="inlineStr">
        <is>
          <t>Eleanor Witt</t>
        </is>
      </c>
      <c r="B4840" t="n">
        <v>1</v>
      </c>
      <c r="C4840" t="n">
        <v>1999</v>
      </c>
      <c r="D4840" t="n">
        <v>1999</v>
      </c>
      <c r="E4840" t="inlineStr">
        <is>
          <t>The Matrix</t>
        </is>
      </c>
      <c r="F4840" t="inlineStr">
        <is>
          <t>F0214</t>
        </is>
      </c>
    </row>
    <row r="4841">
      <c r="A4841" t="inlineStr">
        <is>
          <t>Tamara Brown</t>
        </is>
      </c>
      <c r="B4841" t="n">
        <v>1</v>
      </c>
      <c r="C4841" t="n">
        <v>1999</v>
      </c>
      <c r="D4841" t="n">
        <v>1999</v>
      </c>
      <c r="E4841" t="inlineStr">
        <is>
          <t>The Matrix</t>
        </is>
      </c>
      <c r="F4841" t="inlineStr">
        <is>
          <t>F0214</t>
        </is>
      </c>
    </row>
    <row r="4842">
      <c r="A4842" t="inlineStr">
        <is>
          <t>Janaya Pender</t>
        </is>
      </c>
      <c r="B4842" t="n">
        <v>1</v>
      </c>
      <c r="C4842" t="n">
        <v>1999</v>
      </c>
      <c r="D4842" t="n">
        <v>1999</v>
      </c>
      <c r="E4842" t="inlineStr">
        <is>
          <t>The Matrix</t>
        </is>
      </c>
      <c r="F4842" t="inlineStr">
        <is>
          <t>F0214</t>
        </is>
      </c>
    </row>
    <row r="4843">
      <c r="A4843" t="inlineStr">
        <is>
          <t>Adryn White</t>
        </is>
      </c>
      <c r="B4843" t="n">
        <v>1</v>
      </c>
      <c r="C4843" t="n">
        <v>1999</v>
      </c>
      <c r="D4843" t="n">
        <v>1999</v>
      </c>
      <c r="E4843" t="inlineStr">
        <is>
          <t>The Matrix</t>
        </is>
      </c>
      <c r="F4843" t="inlineStr">
        <is>
          <t>F0214</t>
        </is>
      </c>
    </row>
    <row r="4844">
      <c r="A4844" t="inlineStr">
        <is>
          <t>Natalie Tjen</t>
        </is>
      </c>
      <c r="B4844" t="n">
        <v>1</v>
      </c>
      <c r="C4844" t="n">
        <v>1999</v>
      </c>
      <c r="D4844" t="n">
        <v>1999</v>
      </c>
      <c r="E4844" t="inlineStr">
        <is>
          <t>The Matrix</t>
        </is>
      </c>
      <c r="F4844" t="inlineStr">
        <is>
          <t>F0214</t>
        </is>
      </c>
    </row>
    <row r="4845">
      <c r="A4845" t="inlineStr">
        <is>
          <t>Bill Young</t>
        </is>
      </c>
      <c r="B4845" t="n">
        <v>1</v>
      </c>
      <c r="C4845" t="n">
        <v>1999</v>
      </c>
      <c r="D4845" t="n">
        <v>1999</v>
      </c>
      <c r="E4845" t="inlineStr">
        <is>
          <t>The Matrix</t>
        </is>
      </c>
      <c r="F4845" t="inlineStr">
        <is>
          <t>F0214</t>
        </is>
      </c>
    </row>
    <row r="4846">
      <c r="A4846" t="inlineStr">
        <is>
          <t>David O'Connor</t>
        </is>
      </c>
      <c r="B4846" t="n">
        <v>1</v>
      </c>
      <c r="C4846" t="n">
        <v>1999</v>
      </c>
      <c r="D4846" t="n">
        <v>1999</v>
      </c>
      <c r="E4846" t="inlineStr">
        <is>
          <t>The Matrix</t>
        </is>
      </c>
      <c r="F4846" t="inlineStr">
        <is>
          <t>F0214</t>
        </is>
      </c>
    </row>
    <row r="4847">
      <c r="A4847" t="inlineStr">
        <is>
          <t>Jeremy Ball</t>
        </is>
      </c>
      <c r="B4847" t="n">
        <v>1</v>
      </c>
      <c r="C4847" t="n">
        <v>1999</v>
      </c>
      <c r="D4847" t="n">
        <v>1999</v>
      </c>
      <c r="E4847" t="inlineStr">
        <is>
          <t>The Matrix</t>
        </is>
      </c>
      <c r="F4847" t="inlineStr">
        <is>
          <t>F0214</t>
        </is>
      </c>
    </row>
    <row r="4848">
      <c r="A4848" t="inlineStr">
        <is>
          <t>Fiona Johnson</t>
        </is>
      </c>
      <c r="B4848" t="n">
        <v>1</v>
      </c>
      <c r="C4848" t="n">
        <v>1999</v>
      </c>
      <c r="D4848" t="n">
        <v>1999</v>
      </c>
      <c r="E4848" t="inlineStr">
        <is>
          <t>The Matrix</t>
        </is>
      </c>
      <c r="F4848" t="inlineStr">
        <is>
          <t>F0214</t>
        </is>
      </c>
    </row>
    <row r="4849">
      <c r="A4849" t="inlineStr">
        <is>
          <t>Harry Lawrence</t>
        </is>
      </c>
      <c r="B4849" t="n">
        <v>1</v>
      </c>
      <c r="C4849" t="n">
        <v>1999</v>
      </c>
      <c r="D4849" t="n">
        <v>1999</v>
      </c>
      <c r="E4849" t="inlineStr">
        <is>
          <t>The Matrix</t>
        </is>
      </c>
      <c r="F4849" t="inlineStr">
        <is>
          <t>F0214</t>
        </is>
      </c>
    </row>
    <row r="4850">
      <c r="A4850" t="inlineStr">
        <is>
          <t>Steve Dodd</t>
        </is>
      </c>
      <c r="B4850" t="n">
        <v>1</v>
      </c>
      <c r="C4850" t="n">
        <v>1999</v>
      </c>
      <c r="D4850" t="n">
        <v>1999</v>
      </c>
      <c r="E4850" t="inlineStr">
        <is>
          <t>The Matrix</t>
        </is>
      </c>
      <c r="F4850" t="inlineStr">
        <is>
          <t>F0214</t>
        </is>
      </c>
    </row>
    <row r="4851">
      <c r="A4851" t="inlineStr">
        <is>
          <t>Luke Quinton</t>
        </is>
      </c>
      <c r="B4851" t="n">
        <v>1</v>
      </c>
      <c r="C4851" t="n">
        <v>1999</v>
      </c>
      <c r="D4851" t="n">
        <v>1999</v>
      </c>
      <c r="E4851" t="inlineStr">
        <is>
          <t>The Matrix</t>
        </is>
      </c>
      <c r="F4851" t="inlineStr">
        <is>
          <t>F0214</t>
        </is>
      </c>
    </row>
    <row r="4852">
      <c r="A4852" t="inlineStr">
        <is>
          <t>Harold Perrineau</t>
        </is>
      </c>
      <c r="B4852" t="n">
        <v>3</v>
      </c>
      <c r="C4852" t="n">
        <v>2003</v>
      </c>
      <c r="D4852" t="n">
        <v>2012</v>
      </c>
      <c r="E4852" t="inlineStr">
        <is>
          <t>The Matrix Reloaded, The Matrix Revolutions, Zero Dark Thirty</t>
        </is>
      </c>
      <c r="F4852" t="inlineStr">
        <is>
          <t>F0215, F0216, F0349</t>
        </is>
      </c>
    </row>
    <row r="4853">
      <c r="A4853" t="inlineStr">
        <is>
          <t>Lambert Wilson</t>
        </is>
      </c>
      <c r="B4853" t="n">
        <v>2</v>
      </c>
      <c r="C4853" t="n">
        <v>2003</v>
      </c>
      <c r="D4853" t="n">
        <v>2003</v>
      </c>
      <c r="E4853" t="inlineStr">
        <is>
          <t>The Matrix Reloaded, The Matrix Revolutions</t>
        </is>
      </c>
      <c r="F4853" t="inlineStr">
        <is>
          <t>F0215, F0216</t>
        </is>
      </c>
    </row>
    <row r="4854">
      <c r="A4854" t="inlineStr">
        <is>
          <t>Randall Duk Kim</t>
        </is>
      </c>
      <c r="B4854" t="n">
        <v>1</v>
      </c>
      <c r="C4854" t="n">
        <v>2003</v>
      </c>
      <c r="D4854" t="n">
        <v>2003</v>
      </c>
      <c r="E4854" t="inlineStr">
        <is>
          <t>The Matrix Reloaded</t>
        </is>
      </c>
      <c r="F4854" t="inlineStr">
        <is>
          <t>F0215</t>
        </is>
      </c>
    </row>
    <row r="4855">
      <c r="A4855" t="inlineStr">
        <is>
          <t>Nona Gaye</t>
        </is>
      </c>
      <c r="B4855" t="n">
        <v>2</v>
      </c>
      <c r="C4855" t="n">
        <v>2003</v>
      </c>
      <c r="D4855" t="n">
        <v>2003</v>
      </c>
      <c r="E4855" t="inlineStr">
        <is>
          <t>The Matrix Reloaded, The Matrix Revolutions</t>
        </is>
      </c>
      <c r="F4855" t="inlineStr">
        <is>
          <t>F0215, F0216</t>
        </is>
      </c>
    </row>
    <row r="4856">
      <c r="A4856" t="inlineStr">
        <is>
          <t>Helmut Bakaitis</t>
        </is>
      </c>
      <c r="B4856" t="n">
        <v>2</v>
      </c>
      <c r="C4856" t="n">
        <v>2003</v>
      </c>
      <c r="D4856" t="n">
        <v>2003</v>
      </c>
      <c r="E4856" t="inlineStr">
        <is>
          <t>The Matrix Reloaded, The Matrix Revolutions</t>
        </is>
      </c>
      <c r="F4856" t="inlineStr">
        <is>
          <t>F0215, F0216</t>
        </is>
      </c>
    </row>
    <row r="4857">
      <c r="A4857" t="inlineStr">
        <is>
          <t>David Kilde</t>
        </is>
      </c>
      <c r="B4857" t="n">
        <v>1</v>
      </c>
      <c r="C4857" t="n">
        <v>2003</v>
      </c>
      <c r="D4857" t="n">
        <v>2003</v>
      </c>
      <c r="E4857" t="inlineStr">
        <is>
          <t>The Matrix Reloaded</t>
        </is>
      </c>
      <c r="F4857" t="inlineStr">
        <is>
          <t>F0215</t>
        </is>
      </c>
    </row>
    <row r="4858">
      <c r="A4858" t="inlineStr">
        <is>
          <t>Matt McColm</t>
        </is>
      </c>
      <c r="B4858" t="n">
        <v>1</v>
      </c>
      <c r="C4858" t="n">
        <v>2003</v>
      </c>
      <c r="D4858" t="n">
        <v>2003</v>
      </c>
      <c r="E4858" t="inlineStr">
        <is>
          <t>The Matrix Reloaded</t>
        </is>
      </c>
      <c r="F4858" t="inlineStr">
        <is>
          <t>F0215</t>
        </is>
      </c>
    </row>
    <row r="4859">
      <c r="A4859" t="inlineStr">
        <is>
          <t>Collin Chou</t>
        </is>
      </c>
      <c r="B4859" t="n">
        <v>2</v>
      </c>
      <c r="C4859" t="n">
        <v>2003</v>
      </c>
      <c r="D4859" t="n">
        <v>2003</v>
      </c>
      <c r="E4859" t="inlineStr">
        <is>
          <t>The Matrix Reloaded, The Matrix Revolutions</t>
        </is>
      </c>
      <c r="F4859" t="inlineStr">
        <is>
          <t>F0215, F0216</t>
        </is>
      </c>
    </row>
    <row r="4860">
      <c r="A4860" t="inlineStr">
        <is>
          <t>Neil Rayment</t>
        </is>
      </c>
      <c r="B4860" t="n">
        <v>1</v>
      </c>
      <c r="C4860" t="n">
        <v>2003</v>
      </c>
      <c r="D4860" t="n">
        <v>2003</v>
      </c>
      <c r="E4860" t="inlineStr">
        <is>
          <t>The Matrix Reloaded</t>
        </is>
      </c>
      <c r="F4860" t="inlineStr">
        <is>
          <t>F0215</t>
        </is>
      </c>
    </row>
    <row r="4861">
      <c r="A4861" t="inlineStr">
        <is>
          <t>Adrian Rayment</t>
        </is>
      </c>
      <c r="B4861" t="n">
        <v>1</v>
      </c>
      <c r="C4861" t="n">
        <v>2003</v>
      </c>
      <c r="D4861" t="n">
        <v>2003</v>
      </c>
      <c r="E4861" t="inlineStr">
        <is>
          <t>The Matrix Reloaded</t>
        </is>
      </c>
      <c r="F4861" t="inlineStr">
        <is>
          <t>F0215</t>
        </is>
      </c>
    </row>
    <row r="4862">
      <c r="A4862" t="inlineStr">
        <is>
          <t>Don Battee</t>
        </is>
      </c>
      <c r="B4862" t="n">
        <v>1</v>
      </c>
      <c r="C4862" t="n">
        <v>2003</v>
      </c>
      <c r="D4862" t="n">
        <v>2003</v>
      </c>
      <c r="E4862" t="inlineStr">
        <is>
          <t>The Matrix Reloaded</t>
        </is>
      </c>
      <c r="F4862" t="inlineStr">
        <is>
          <t>F0215</t>
        </is>
      </c>
    </row>
    <row r="4863">
      <c r="A4863" t="inlineStr">
        <is>
          <t>Valerie Berry</t>
        </is>
      </c>
      <c r="B4863" t="n">
        <v>1</v>
      </c>
      <c r="C4863" t="n">
        <v>2003</v>
      </c>
      <c r="D4863" t="n">
        <v>2003</v>
      </c>
      <c r="E4863" t="inlineStr">
        <is>
          <t>The Matrix Reloaded</t>
        </is>
      </c>
      <c r="F4863" t="inlineStr">
        <is>
          <t>F0215</t>
        </is>
      </c>
    </row>
    <row r="4864">
      <c r="A4864" t="inlineStr">
        <is>
          <t>Steve Bastoni</t>
        </is>
      </c>
      <c r="B4864" t="n">
        <v>1</v>
      </c>
      <c r="C4864" t="n">
        <v>2003</v>
      </c>
      <c r="D4864" t="n">
        <v>2003</v>
      </c>
      <c r="E4864" t="inlineStr">
        <is>
          <t>The Matrix Reloaded</t>
        </is>
      </c>
      <c r="F4864" t="inlineStr">
        <is>
          <t>F0215</t>
        </is>
      </c>
    </row>
    <row r="4865">
      <c r="A4865" t="inlineStr">
        <is>
          <t>Ian Bliss</t>
        </is>
      </c>
      <c r="B4865" t="n">
        <v>2</v>
      </c>
      <c r="C4865" t="n">
        <v>2003</v>
      </c>
      <c r="D4865" t="n">
        <v>2003</v>
      </c>
      <c r="E4865" t="inlineStr">
        <is>
          <t>The Matrix Reloaded, The Matrix Revolutions</t>
        </is>
      </c>
      <c r="F4865" t="inlineStr">
        <is>
          <t>F0215, F0216</t>
        </is>
      </c>
    </row>
    <row r="4866">
      <c r="A4866" t="inlineStr">
        <is>
          <t>Liliana Bogatko</t>
        </is>
      </c>
      <c r="B4866" t="n">
        <v>1</v>
      </c>
      <c r="C4866" t="n">
        <v>2003</v>
      </c>
      <c r="D4866" t="n">
        <v>2003</v>
      </c>
      <c r="E4866" t="inlineStr">
        <is>
          <t>The Matrix Reloaded</t>
        </is>
      </c>
      <c r="F4866" t="inlineStr">
        <is>
          <t>F0215</t>
        </is>
      </c>
    </row>
    <row r="4867">
      <c r="A4867" t="inlineStr">
        <is>
          <t>Michael Budd</t>
        </is>
      </c>
      <c r="B4867" t="n">
        <v>1</v>
      </c>
      <c r="C4867" t="n">
        <v>2003</v>
      </c>
      <c r="D4867" t="n">
        <v>2003</v>
      </c>
      <c r="E4867" t="inlineStr">
        <is>
          <t>The Matrix Reloaded</t>
        </is>
      </c>
      <c r="F4867" t="inlineStr">
        <is>
          <t>F0215</t>
        </is>
      </c>
    </row>
    <row r="4868">
      <c r="A4868" t="inlineStr">
        <is>
          <t>Stoney Burke</t>
        </is>
      </c>
      <c r="B4868" t="n">
        <v>1</v>
      </c>
      <c r="C4868" t="n">
        <v>2003</v>
      </c>
      <c r="D4868" t="n">
        <v>2003</v>
      </c>
      <c r="E4868" t="inlineStr">
        <is>
          <t>The Matrix Reloaded</t>
        </is>
      </c>
      <c r="F4868" t="inlineStr">
        <is>
          <t>F0215</t>
        </is>
      </c>
    </row>
    <row r="4869">
      <c r="A4869" t="inlineStr">
        <is>
          <t>Kelly Butler</t>
        </is>
      </c>
      <c r="B4869" t="n">
        <v>1</v>
      </c>
      <c r="C4869" t="n">
        <v>2003</v>
      </c>
      <c r="D4869" t="n">
        <v>2003</v>
      </c>
      <c r="E4869" t="inlineStr">
        <is>
          <t>The Matrix Reloaded</t>
        </is>
      </c>
      <c r="F4869" t="inlineStr">
        <is>
          <t>F0215</t>
        </is>
      </c>
    </row>
    <row r="4870">
      <c r="A4870" t="inlineStr">
        <is>
          <t>Josephine Byrnes</t>
        </is>
      </c>
      <c r="B4870" t="n">
        <v>1</v>
      </c>
      <c r="C4870" t="n">
        <v>2003</v>
      </c>
      <c r="D4870" t="n">
        <v>2003</v>
      </c>
      <c r="E4870" t="inlineStr">
        <is>
          <t>The Matrix Reloaded</t>
        </is>
      </c>
      <c r="F4870" t="inlineStr">
        <is>
          <t>F0215</t>
        </is>
      </c>
    </row>
    <row r="4871">
      <c r="A4871" t="inlineStr">
        <is>
          <t>Noris Campos</t>
        </is>
      </c>
      <c r="B4871" t="n">
        <v>1</v>
      </c>
      <c r="C4871" t="n">
        <v>2003</v>
      </c>
      <c r="D4871" t="n">
        <v>2003</v>
      </c>
      <c r="E4871" t="inlineStr">
        <is>
          <t>The Matrix Reloaded</t>
        </is>
      </c>
      <c r="F4871" t="inlineStr">
        <is>
          <t>F0215</t>
        </is>
      </c>
    </row>
    <row r="4872">
      <c r="A4872" t="inlineStr">
        <is>
          <t>Mary Alice</t>
        </is>
      </c>
      <c r="B4872" t="n">
        <v>1</v>
      </c>
      <c r="C4872" t="n">
        <v>2003</v>
      </c>
      <c r="D4872" t="n">
        <v>2003</v>
      </c>
      <c r="E4872" t="inlineStr">
        <is>
          <t>The Matrix Revolutions</t>
        </is>
      </c>
      <c r="F4872" t="inlineStr">
        <is>
          <t>F0216</t>
        </is>
      </c>
    </row>
    <row r="4873">
      <c r="A4873" t="inlineStr">
        <is>
          <t>Tanveer K. Atwal</t>
        </is>
      </c>
      <c r="B4873" t="n">
        <v>1</v>
      </c>
      <c r="C4873" t="n">
        <v>2003</v>
      </c>
      <c r="D4873" t="n">
        <v>2003</v>
      </c>
      <c r="E4873" t="inlineStr">
        <is>
          <t>The Matrix Revolutions</t>
        </is>
      </c>
      <c r="F4873" t="inlineStr">
        <is>
          <t>F0216</t>
        </is>
      </c>
    </row>
    <row r="4874">
      <c r="A4874" t="inlineStr">
        <is>
          <t>Kate Beahan</t>
        </is>
      </c>
      <c r="B4874" t="n">
        <v>1</v>
      </c>
      <c r="C4874" t="n">
        <v>2003</v>
      </c>
      <c r="D4874" t="n">
        <v>2003</v>
      </c>
      <c r="E4874" t="inlineStr">
        <is>
          <t>The Matrix Revolutions</t>
        </is>
      </c>
      <c r="F4874" t="inlineStr">
        <is>
          <t>F0216</t>
        </is>
      </c>
    </row>
    <row r="4875">
      <c r="A4875" t="inlineStr">
        <is>
          <t>Francine Bell</t>
        </is>
      </c>
      <c r="B4875" t="n">
        <v>1</v>
      </c>
      <c r="C4875" t="n">
        <v>2003</v>
      </c>
      <c r="D4875" t="n">
        <v>2003</v>
      </c>
      <c r="E4875" t="inlineStr">
        <is>
          <t>The Matrix Revolutions</t>
        </is>
      </c>
      <c r="F4875" t="inlineStr">
        <is>
          <t>F0216</t>
        </is>
      </c>
    </row>
    <row r="4876">
      <c r="A4876" t="inlineStr">
        <is>
          <t>Rachel Blackman</t>
        </is>
      </c>
      <c r="B4876" t="n">
        <v>1</v>
      </c>
      <c r="C4876" t="n">
        <v>2003</v>
      </c>
      <c r="D4876" t="n">
        <v>2003</v>
      </c>
      <c r="E4876" t="inlineStr">
        <is>
          <t>The Matrix Revolutions</t>
        </is>
      </c>
      <c r="F4876" t="inlineStr">
        <is>
          <t>F0216</t>
        </is>
      </c>
    </row>
    <row r="4877">
      <c r="A4877" t="inlineStr">
        <is>
          <t>Henry Blasingame</t>
        </is>
      </c>
      <c r="B4877" t="n">
        <v>1</v>
      </c>
      <c r="C4877" t="n">
        <v>2003</v>
      </c>
      <c r="D4877" t="n">
        <v>2003</v>
      </c>
      <c r="E4877" t="inlineStr">
        <is>
          <t>The Matrix Revolutions</t>
        </is>
      </c>
      <c r="F4877" t="inlineStr">
        <is>
          <t>F0216</t>
        </is>
      </c>
    </row>
    <row r="4878">
      <c r="A4878" t="inlineStr">
        <is>
          <t>Matt Castelli</t>
        </is>
      </c>
      <c r="B4878" t="n">
        <v>1</v>
      </c>
      <c r="C4878" t="n">
        <v>2003</v>
      </c>
      <c r="D4878" t="n">
        <v>2003</v>
      </c>
      <c r="E4878" t="inlineStr">
        <is>
          <t>The Matrix Revolutions</t>
        </is>
      </c>
      <c r="F4878" t="inlineStr">
        <is>
          <t>F0216</t>
        </is>
      </c>
    </row>
    <row r="4879">
      <c r="A4879" t="inlineStr">
        <is>
          <t>Essie Davis</t>
        </is>
      </c>
      <c r="B4879" t="n">
        <v>1</v>
      </c>
      <c r="C4879" t="n">
        <v>2003</v>
      </c>
      <c r="D4879" t="n">
        <v>2003</v>
      </c>
      <c r="E4879" t="inlineStr">
        <is>
          <t>The Matrix Revolutions</t>
        </is>
      </c>
      <c r="F4879" t="inlineStr">
        <is>
          <t>F0216</t>
        </is>
      </c>
    </row>
    <row r="4880">
      <c r="A4880" t="inlineStr">
        <is>
          <t>David Bowers</t>
        </is>
      </c>
      <c r="B4880" t="n">
        <v>2</v>
      </c>
      <c r="C4880" t="n">
        <v>2003</v>
      </c>
      <c r="D4880" t="n">
        <v>2005</v>
      </c>
      <c r="E4880" t="inlineStr">
        <is>
          <t>The Matrix Revolutions, Star Wars: Episode III – Revenge of the Sith</t>
        </is>
      </c>
      <c r="F4880" t="inlineStr">
        <is>
          <t>F0216, F0294</t>
        </is>
      </c>
    </row>
    <row r="4881">
      <c r="A4881" t="inlineStr">
        <is>
          <t>Dion Horstmans</t>
        </is>
      </c>
      <c r="B4881" t="n">
        <v>1</v>
      </c>
      <c r="C4881" t="n">
        <v>2003</v>
      </c>
      <c r="D4881" t="n">
        <v>2003</v>
      </c>
      <c r="E4881" t="inlineStr">
        <is>
          <t>The Matrix Revolutions</t>
        </is>
      </c>
      <c r="F4881" t="inlineStr">
        <is>
          <t>F0216</t>
        </is>
      </c>
    </row>
    <row r="4882">
      <c r="A4882" t="inlineStr">
        <is>
          <t>Lachy Hulme</t>
        </is>
      </c>
      <c r="B4882" t="n">
        <v>1</v>
      </c>
      <c r="C4882" t="n">
        <v>2003</v>
      </c>
      <c r="D4882" t="n">
        <v>2003</v>
      </c>
      <c r="E4882" t="inlineStr">
        <is>
          <t>The Matrix Revolutions</t>
        </is>
      </c>
      <c r="F4882" t="inlineStr">
        <is>
          <t>F0216</t>
        </is>
      </c>
    </row>
    <row r="4883">
      <c r="A4883" t="inlineStr">
        <is>
          <t>Christopher Kirby</t>
        </is>
      </c>
      <c r="B4883" t="n">
        <v>1</v>
      </c>
      <c r="C4883" t="n">
        <v>2003</v>
      </c>
      <c r="D4883" t="n">
        <v>2003</v>
      </c>
      <c r="E4883" t="inlineStr">
        <is>
          <t>The Matrix Revolutions</t>
        </is>
      </c>
      <c r="F4883" t="inlineStr">
        <is>
          <t>F0216</t>
        </is>
      </c>
    </row>
    <row r="4884">
      <c r="A4884" t="inlineStr">
        <is>
          <t>Peter Lamb</t>
        </is>
      </c>
      <c r="B4884" t="n">
        <v>1</v>
      </c>
      <c r="C4884" t="n">
        <v>2003</v>
      </c>
      <c r="D4884" t="n">
        <v>2003</v>
      </c>
      <c r="E4884" t="inlineStr">
        <is>
          <t>The Matrix Revolutions</t>
        </is>
      </c>
      <c r="F4884" t="inlineStr">
        <is>
          <t>F0216</t>
        </is>
      </c>
    </row>
    <row r="4885">
      <c r="A4885" t="inlineStr">
        <is>
          <t>Robert Mammone</t>
        </is>
      </c>
      <c r="B4885" t="n">
        <v>1</v>
      </c>
      <c r="C4885" t="n">
        <v>2003</v>
      </c>
      <c r="D4885" t="n">
        <v>2003</v>
      </c>
      <c r="E4885" t="inlineStr">
        <is>
          <t>The Matrix Revolutions</t>
        </is>
      </c>
      <c r="F4885" t="inlineStr">
        <is>
          <t>F0216</t>
        </is>
      </c>
    </row>
    <row r="4886">
      <c r="A4886" t="inlineStr">
        <is>
          <t>Will Poulter</t>
        </is>
      </c>
      <c r="B4886" t="n">
        <v>1</v>
      </c>
      <c r="C4886" t="n">
        <v>2014</v>
      </c>
      <c r="D4886" t="n">
        <v>2014</v>
      </c>
      <c r="E4886" t="inlineStr">
        <is>
          <t>The Maze Runner</t>
        </is>
      </c>
      <c r="F4886" t="inlineStr">
        <is>
          <t>F0217</t>
        </is>
      </c>
    </row>
    <row r="4887">
      <c r="A4887" t="inlineStr">
        <is>
          <t>Patricia Clarkson</t>
        </is>
      </c>
      <c r="B4887" t="n">
        <v>1</v>
      </c>
      <c r="C4887" t="n">
        <v>2014</v>
      </c>
      <c r="D4887" t="n">
        <v>2014</v>
      </c>
      <c r="E4887" t="inlineStr">
        <is>
          <t>The Maze Runner</t>
        </is>
      </c>
      <c r="F4887" t="inlineStr">
        <is>
          <t>F0217</t>
        </is>
      </c>
    </row>
    <row r="4888">
      <c r="A4888" t="inlineStr">
        <is>
          <t>Blake Cooper</t>
        </is>
      </c>
      <c r="B4888" t="n">
        <v>1</v>
      </c>
      <c r="C4888" t="n">
        <v>2014</v>
      </c>
      <c r="D4888" t="n">
        <v>2014</v>
      </c>
      <c r="E4888" t="inlineStr">
        <is>
          <t>The Maze Runner</t>
        </is>
      </c>
      <c r="F4888" t="inlineStr">
        <is>
          <t>F0217</t>
        </is>
      </c>
    </row>
    <row r="4889">
      <c r="A4889" t="inlineStr">
        <is>
          <t>Dexter Darden</t>
        </is>
      </c>
      <c r="B4889" t="n">
        <v>1</v>
      </c>
      <c r="C4889" t="n">
        <v>2014</v>
      </c>
      <c r="D4889" t="n">
        <v>2014</v>
      </c>
      <c r="E4889" t="inlineStr">
        <is>
          <t>The Maze Runner</t>
        </is>
      </c>
      <c r="F4889" t="inlineStr">
        <is>
          <t>F0217</t>
        </is>
      </c>
    </row>
    <row r="4890">
      <c r="A4890" t="inlineStr">
        <is>
          <t>Jacob Latimore</t>
        </is>
      </c>
      <c r="B4890" t="n">
        <v>1</v>
      </c>
      <c r="C4890" t="n">
        <v>2014</v>
      </c>
      <c r="D4890" t="n">
        <v>2014</v>
      </c>
      <c r="E4890" t="inlineStr">
        <is>
          <t>The Maze Runner</t>
        </is>
      </c>
      <c r="F4890" t="inlineStr">
        <is>
          <t>F0217</t>
        </is>
      </c>
    </row>
    <row r="4891">
      <c r="A4891" t="inlineStr">
        <is>
          <t>Chris Sheffield</t>
        </is>
      </c>
      <c r="B4891" t="n">
        <v>1</v>
      </c>
      <c r="C4891" t="n">
        <v>2014</v>
      </c>
      <c r="D4891" t="n">
        <v>2014</v>
      </c>
      <c r="E4891" t="inlineStr">
        <is>
          <t>The Maze Runner</t>
        </is>
      </c>
      <c r="F4891" t="inlineStr">
        <is>
          <t>F0217</t>
        </is>
      </c>
    </row>
    <row r="4892">
      <c r="A4892" t="inlineStr">
        <is>
          <t>Joe Adler</t>
        </is>
      </c>
      <c r="B4892" t="n">
        <v>1</v>
      </c>
      <c r="C4892" t="n">
        <v>2014</v>
      </c>
      <c r="D4892" t="n">
        <v>2014</v>
      </c>
      <c r="E4892" t="inlineStr">
        <is>
          <t>The Maze Runner</t>
        </is>
      </c>
      <c r="F4892" t="inlineStr">
        <is>
          <t>F0217</t>
        </is>
      </c>
    </row>
    <row r="4893">
      <c r="A4893" t="inlineStr">
        <is>
          <t>Randall D. Cunningham</t>
        </is>
      </c>
      <c r="B4893" t="n">
        <v>1</v>
      </c>
      <c r="C4893" t="n">
        <v>2014</v>
      </c>
      <c r="D4893" t="n">
        <v>2014</v>
      </c>
      <c r="E4893" t="inlineStr">
        <is>
          <t>The Maze Runner</t>
        </is>
      </c>
      <c r="F4893" t="inlineStr">
        <is>
          <t>F0217</t>
        </is>
      </c>
    </row>
    <row r="4894">
      <c r="A4894" t="inlineStr">
        <is>
          <t>Alexander Flores</t>
        </is>
      </c>
      <c r="B4894" t="n">
        <v>1</v>
      </c>
      <c r="C4894" t="n">
        <v>2014</v>
      </c>
      <c r="D4894" t="n">
        <v>2014</v>
      </c>
      <c r="E4894" t="inlineStr">
        <is>
          <t>The Maze Runner</t>
        </is>
      </c>
      <c r="F4894" t="inlineStr">
        <is>
          <t>F0217</t>
        </is>
      </c>
    </row>
    <row r="4895">
      <c r="A4895" t="inlineStr">
        <is>
          <t>Don McManus</t>
        </is>
      </c>
      <c r="B4895" t="n">
        <v>1</v>
      </c>
      <c r="C4895" t="n">
        <v>2014</v>
      </c>
      <c r="D4895" t="n">
        <v>2014</v>
      </c>
      <c r="E4895" t="inlineStr">
        <is>
          <t>The Maze Runner</t>
        </is>
      </c>
      <c r="F4895" t="inlineStr">
        <is>
          <t>F0217</t>
        </is>
      </c>
    </row>
    <row r="4896">
      <c r="A4896" t="inlineStr">
        <is>
          <t>Michael Bow</t>
        </is>
      </c>
      <c r="B4896" t="n">
        <v>1</v>
      </c>
      <c r="C4896" t="n">
        <v>2014</v>
      </c>
      <c r="D4896" t="n">
        <v>2014</v>
      </c>
      <c r="E4896" t="inlineStr">
        <is>
          <t>The Maze Runner</t>
        </is>
      </c>
      <c r="F4896" t="inlineStr">
        <is>
          <t>F0217</t>
        </is>
      </c>
    </row>
    <row r="4897">
      <c r="A4897" t="inlineStr">
        <is>
          <t>Jerry Clark</t>
        </is>
      </c>
      <c r="B4897" t="n">
        <v>1</v>
      </c>
      <c r="C4897" t="n">
        <v>2014</v>
      </c>
      <c r="D4897" t="n">
        <v>2014</v>
      </c>
      <c r="E4897" t="inlineStr">
        <is>
          <t>The Maze Runner</t>
        </is>
      </c>
      <c r="F4897" t="inlineStr">
        <is>
          <t>F0217</t>
        </is>
      </c>
    </row>
    <row r="4898">
      <c r="A4898" t="inlineStr">
        <is>
          <t>Michael Deville</t>
        </is>
      </c>
      <c r="B4898" t="n">
        <v>1</v>
      </c>
      <c r="C4898" t="n">
        <v>2014</v>
      </c>
      <c r="D4898" t="n">
        <v>2014</v>
      </c>
      <c r="E4898" t="inlineStr">
        <is>
          <t>The Maze Runner</t>
        </is>
      </c>
      <c r="F4898" t="inlineStr">
        <is>
          <t>F0217</t>
        </is>
      </c>
    </row>
    <row r="4899">
      <c r="A4899" t="inlineStr">
        <is>
          <t>Dylan Gaspard</t>
        </is>
      </c>
      <c r="B4899" t="n">
        <v>1</v>
      </c>
      <c r="C4899" t="n">
        <v>2014</v>
      </c>
      <c r="D4899" t="n">
        <v>2014</v>
      </c>
      <c r="E4899" t="inlineStr">
        <is>
          <t>The Maze Runner</t>
        </is>
      </c>
      <c r="F4899" t="inlineStr">
        <is>
          <t>F0217</t>
        </is>
      </c>
    </row>
    <row r="4900">
      <c r="A4900" t="inlineStr">
        <is>
          <t>Cory Gooding</t>
        </is>
      </c>
      <c r="B4900" t="n">
        <v>1</v>
      </c>
      <c r="C4900" t="n">
        <v>2014</v>
      </c>
      <c r="D4900" t="n">
        <v>2014</v>
      </c>
      <c r="E4900" t="inlineStr">
        <is>
          <t>The Maze Runner</t>
        </is>
      </c>
      <c r="F4900" t="inlineStr">
        <is>
          <t>F0217</t>
        </is>
      </c>
    </row>
    <row r="4901">
      <c r="A4901" t="inlineStr">
        <is>
          <t>Cazi Greene</t>
        </is>
      </c>
      <c r="B4901" t="n">
        <v>1</v>
      </c>
      <c r="C4901" t="n">
        <v>2014</v>
      </c>
      <c r="D4901" t="n">
        <v>2014</v>
      </c>
      <c r="E4901" t="inlineStr">
        <is>
          <t>The Maze Runner</t>
        </is>
      </c>
      <c r="F4901" t="inlineStr">
        <is>
          <t>F0217</t>
        </is>
      </c>
    </row>
    <row r="4902">
      <c r="A4902" t="inlineStr">
        <is>
          <t>Dustin Guitreau</t>
        </is>
      </c>
      <c r="B4902" t="n">
        <v>1</v>
      </c>
      <c r="C4902" t="n">
        <v>2014</v>
      </c>
      <c r="D4902" t="n">
        <v>2014</v>
      </c>
      <c r="E4902" t="inlineStr">
        <is>
          <t>The Maze Runner</t>
        </is>
      </c>
      <c r="F4902" t="inlineStr">
        <is>
          <t>F0217</t>
        </is>
      </c>
    </row>
    <row r="4903">
      <c r="A4903" t="inlineStr">
        <is>
          <t>Tyler Harrison</t>
        </is>
      </c>
      <c r="B4903" t="n">
        <v>1</v>
      </c>
      <c r="C4903" t="n">
        <v>2014</v>
      </c>
      <c r="D4903" t="n">
        <v>2014</v>
      </c>
      <c r="E4903" t="inlineStr">
        <is>
          <t>The Maze Runner</t>
        </is>
      </c>
      <c r="F4903" t="inlineStr">
        <is>
          <t>F0217</t>
        </is>
      </c>
    </row>
    <row r="4904">
      <c r="A4904" t="inlineStr">
        <is>
          <t>Landon Hazel</t>
        </is>
      </c>
      <c r="B4904" t="n">
        <v>1</v>
      </c>
      <c r="C4904" t="n">
        <v>2014</v>
      </c>
      <c r="D4904" t="n">
        <v>2014</v>
      </c>
      <c r="E4904" t="inlineStr">
        <is>
          <t>The Maze Runner</t>
        </is>
      </c>
      <c r="F4904" t="inlineStr">
        <is>
          <t>F0217</t>
        </is>
      </c>
    </row>
    <row r="4905">
      <c r="A4905" t="inlineStr">
        <is>
          <t>Gary Hood</t>
        </is>
      </c>
      <c r="B4905" t="n">
        <v>1</v>
      </c>
      <c r="C4905" t="n">
        <v>2014</v>
      </c>
      <c r="D4905" t="n">
        <v>2014</v>
      </c>
      <c r="E4905" t="inlineStr">
        <is>
          <t>The Maze Runner</t>
        </is>
      </c>
      <c r="F4905" t="inlineStr">
        <is>
          <t>F0217</t>
        </is>
      </c>
    </row>
    <row r="4906">
      <c r="A4906" t="inlineStr">
        <is>
          <t>Nick Killebrew</t>
        </is>
      </c>
      <c r="B4906" t="n">
        <v>1</v>
      </c>
      <c r="C4906" t="n">
        <v>2014</v>
      </c>
      <c r="D4906" t="n">
        <v>2014</v>
      </c>
      <c r="E4906" t="inlineStr">
        <is>
          <t>The Maze Runner</t>
        </is>
      </c>
      <c r="F4906" t="inlineStr">
        <is>
          <t>F0217</t>
        </is>
      </c>
    </row>
    <row r="4907">
      <c r="A4907" t="inlineStr">
        <is>
          <t>John Langston</t>
        </is>
      </c>
      <c r="B4907" t="n">
        <v>1</v>
      </c>
      <c r="C4907" t="n">
        <v>2014</v>
      </c>
      <c r="D4907" t="n">
        <v>2014</v>
      </c>
      <c r="E4907" t="inlineStr">
        <is>
          <t>The Maze Runner</t>
        </is>
      </c>
      <c r="F4907" t="inlineStr">
        <is>
          <t>F0217</t>
        </is>
      </c>
    </row>
    <row r="4908">
      <c r="A4908" t="inlineStr">
        <is>
          <t>Chad Martinez</t>
        </is>
      </c>
      <c r="B4908" t="n">
        <v>1</v>
      </c>
      <c r="C4908" t="n">
        <v>2014</v>
      </c>
      <c r="D4908" t="n">
        <v>2014</v>
      </c>
      <c r="E4908" t="inlineStr">
        <is>
          <t>The Maze Runner</t>
        </is>
      </c>
      <c r="F4908" t="inlineStr">
        <is>
          <t>F0217</t>
        </is>
      </c>
    </row>
    <row r="4909">
      <c r="A4909" t="inlineStr">
        <is>
          <t>Lester Millet</t>
        </is>
      </c>
      <c r="B4909" t="n">
        <v>1</v>
      </c>
      <c r="C4909" t="n">
        <v>2014</v>
      </c>
      <c r="D4909" t="n">
        <v>2014</v>
      </c>
      <c r="E4909" t="inlineStr">
        <is>
          <t>The Maze Runner</t>
        </is>
      </c>
      <c r="F4909" t="inlineStr">
        <is>
          <t>F0217</t>
        </is>
      </c>
    </row>
    <row r="4910">
      <c r="A4910" t="inlineStr">
        <is>
          <t>Sawyer Pierce</t>
        </is>
      </c>
      <c r="B4910" t="n">
        <v>1</v>
      </c>
      <c r="C4910" t="n">
        <v>2014</v>
      </c>
      <c r="D4910" t="n">
        <v>2014</v>
      </c>
      <c r="E4910" t="inlineStr">
        <is>
          <t>The Maze Runner</t>
        </is>
      </c>
      <c r="F4910" t="inlineStr">
        <is>
          <t>F0217</t>
        </is>
      </c>
    </row>
    <row r="4911">
      <c r="A4911" t="inlineStr">
        <is>
          <t>Tony Shalhoub</t>
        </is>
      </c>
      <c r="B4911" t="n">
        <v>2</v>
      </c>
      <c r="C4911" t="n">
        <v>1997</v>
      </c>
      <c r="D4911" t="n">
        <v>2014</v>
      </c>
      <c r="E4911" t="inlineStr">
        <is>
          <t>Men in Black, Teenage Mutant Ninja Turtles</t>
        </is>
      </c>
      <c r="F4911" t="inlineStr">
        <is>
          <t>F0218, F0309</t>
        </is>
      </c>
    </row>
    <row r="4912">
      <c r="A4912" t="inlineStr">
        <is>
          <t>Siobhan Fallon Hogan</t>
        </is>
      </c>
      <c r="B4912" t="n">
        <v>1</v>
      </c>
      <c r="C4912" t="n">
        <v>1997</v>
      </c>
      <c r="D4912" t="n">
        <v>1997</v>
      </c>
      <c r="E4912" t="inlineStr">
        <is>
          <t>Men in Black</t>
        </is>
      </c>
      <c r="F4912" t="inlineStr">
        <is>
          <t>F0218</t>
        </is>
      </c>
    </row>
    <row r="4913">
      <c r="A4913" t="inlineStr">
        <is>
          <t>Mike Nussbaum</t>
        </is>
      </c>
      <c r="B4913" t="n">
        <v>1</v>
      </c>
      <c r="C4913" t="n">
        <v>1997</v>
      </c>
      <c r="D4913" t="n">
        <v>1997</v>
      </c>
      <c r="E4913" t="inlineStr">
        <is>
          <t>Men in Black</t>
        </is>
      </c>
      <c r="F4913" t="inlineStr">
        <is>
          <t>F0218</t>
        </is>
      </c>
    </row>
    <row r="4914">
      <c r="A4914" t="inlineStr">
        <is>
          <t>Sergio Calderón</t>
        </is>
      </c>
      <c r="B4914" t="n">
        <v>1</v>
      </c>
      <c r="C4914" t="n">
        <v>1997</v>
      </c>
      <c r="D4914" t="n">
        <v>1997</v>
      </c>
      <c r="E4914" t="inlineStr">
        <is>
          <t>Men in Black</t>
        </is>
      </c>
      <c r="F4914" t="inlineStr">
        <is>
          <t>F0218</t>
        </is>
      </c>
    </row>
    <row r="4915">
      <c r="A4915" t="inlineStr">
        <is>
          <t>Carel Struycken</t>
        </is>
      </c>
      <c r="B4915" t="n">
        <v>1</v>
      </c>
      <c r="C4915" t="n">
        <v>1997</v>
      </c>
      <c r="D4915" t="n">
        <v>1997</v>
      </c>
      <c r="E4915" t="inlineStr">
        <is>
          <t>Men in Black</t>
        </is>
      </c>
      <c r="F4915" t="inlineStr">
        <is>
          <t>F0218</t>
        </is>
      </c>
    </row>
    <row r="4916">
      <c r="A4916" t="inlineStr">
        <is>
          <t>Richard Hamilton</t>
        </is>
      </c>
      <c r="B4916" t="n">
        <v>1</v>
      </c>
      <c r="C4916" t="n">
        <v>1997</v>
      </c>
      <c r="D4916" t="n">
        <v>1997</v>
      </c>
      <c r="E4916" t="inlineStr">
        <is>
          <t>Men in Black</t>
        </is>
      </c>
      <c r="F4916" t="inlineStr">
        <is>
          <t>F0218</t>
        </is>
      </c>
    </row>
    <row r="4917">
      <c r="A4917" t="inlineStr">
        <is>
          <t>Kent Faulcon</t>
        </is>
      </c>
      <c r="B4917" t="n">
        <v>1</v>
      </c>
      <c r="C4917" t="n">
        <v>1997</v>
      </c>
      <c r="D4917" t="n">
        <v>1997</v>
      </c>
      <c r="E4917" t="inlineStr">
        <is>
          <t>Men in Black</t>
        </is>
      </c>
      <c r="F4917" t="inlineStr">
        <is>
          <t>F0218</t>
        </is>
      </c>
    </row>
    <row r="4918">
      <c r="A4918" t="inlineStr">
        <is>
          <t>John Alexander</t>
        </is>
      </c>
      <c r="B4918" t="n">
        <v>1</v>
      </c>
      <c r="C4918" t="n">
        <v>1997</v>
      </c>
      <c r="D4918" t="n">
        <v>1997</v>
      </c>
      <c r="E4918" t="inlineStr">
        <is>
          <t>Men in Black</t>
        </is>
      </c>
      <c r="F4918" t="inlineStr">
        <is>
          <t>F0218</t>
        </is>
      </c>
    </row>
    <row r="4919">
      <c r="A4919" t="inlineStr">
        <is>
          <t>Ken Thorley</t>
        </is>
      </c>
      <c r="B4919" t="n">
        <v>1</v>
      </c>
      <c r="C4919" t="n">
        <v>1997</v>
      </c>
      <c r="D4919" t="n">
        <v>1997</v>
      </c>
      <c r="E4919" t="inlineStr">
        <is>
          <t>Men in Black</t>
        </is>
      </c>
      <c r="F4919" t="inlineStr">
        <is>
          <t>F0218</t>
        </is>
      </c>
    </row>
    <row r="4920">
      <c r="A4920" t="inlineStr">
        <is>
          <t>Patrick Breen</t>
        </is>
      </c>
      <c r="B4920" t="n">
        <v>1</v>
      </c>
      <c r="C4920" t="n">
        <v>1997</v>
      </c>
      <c r="D4920" t="n">
        <v>1997</v>
      </c>
      <c r="E4920" t="inlineStr">
        <is>
          <t>Men in Black</t>
        </is>
      </c>
      <c r="F4920" t="inlineStr">
        <is>
          <t>F0218</t>
        </is>
      </c>
    </row>
    <row r="4921">
      <c r="A4921" t="inlineStr">
        <is>
          <t>Becky Ann Baker</t>
        </is>
      </c>
      <c r="B4921" t="n">
        <v>2</v>
      </c>
      <c r="C4921" t="n">
        <v>1997</v>
      </c>
      <c r="D4921" t="n">
        <v>2007</v>
      </c>
      <c r="E4921" t="inlineStr">
        <is>
          <t>Men in Black, Spider-Man 3</t>
        </is>
      </c>
      <c r="F4921" t="inlineStr">
        <is>
          <t>F0218, F0289</t>
        </is>
      </c>
    </row>
    <row r="4922">
      <c r="A4922" t="inlineStr">
        <is>
          <t>Sean Whalen</t>
        </is>
      </c>
      <c r="B4922" t="n">
        <v>1</v>
      </c>
      <c r="C4922" t="n">
        <v>1997</v>
      </c>
      <c r="D4922" t="n">
        <v>1997</v>
      </c>
      <c r="E4922" t="inlineStr">
        <is>
          <t>Men in Black</t>
        </is>
      </c>
      <c r="F4922" t="inlineStr">
        <is>
          <t>F0218</t>
        </is>
      </c>
    </row>
    <row r="4923">
      <c r="A4923" t="inlineStr">
        <is>
          <t>Harsh Nayyar</t>
        </is>
      </c>
      <c r="B4923" t="n">
        <v>1</v>
      </c>
      <c r="C4923" t="n">
        <v>1997</v>
      </c>
      <c r="D4923" t="n">
        <v>1997</v>
      </c>
      <c r="E4923" t="inlineStr">
        <is>
          <t>Men in Black</t>
        </is>
      </c>
      <c r="F4923" t="inlineStr">
        <is>
          <t>F0218</t>
        </is>
      </c>
    </row>
    <row r="4924">
      <c r="A4924" t="inlineStr">
        <is>
          <t>Michael Willis</t>
        </is>
      </c>
      <c r="B4924" t="n">
        <v>1</v>
      </c>
      <c r="C4924" t="n">
        <v>1997</v>
      </c>
      <c r="D4924" t="n">
        <v>1997</v>
      </c>
      <c r="E4924" t="inlineStr">
        <is>
          <t>Men in Black</t>
        </is>
      </c>
      <c r="F4924" t="inlineStr">
        <is>
          <t>F0218</t>
        </is>
      </c>
    </row>
    <row r="4925">
      <c r="A4925" t="inlineStr">
        <is>
          <t>Willie C. Carpenter</t>
        </is>
      </c>
      <c r="B4925" t="n">
        <v>1</v>
      </c>
      <c r="C4925" t="n">
        <v>1997</v>
      </c>
      <c r="D4925" t="n">
        <v>1997</v>
      </c>
      <c r="E4925" t="inlineStr">
        <is>
          <t>Men in Black</t>
        </is>
      </c>
      <c r="F4925" t="inlineStr">
        <is>
          <t>F0218</t>
        </is>
      </c>
    </row>
    <row r="4926">
      <c r="A4926" t="inlineStr">
        <is>
          <t>Peter Linari</t>
        </is>
      </c>
      <c r="B4926" t="n">
        <v>1</v>
      </c>
      <c r="C4926" t="n">
        <v>1997</v>
      </c>
      <c r="D4926" t="n">
        <v>1997</v>
      </c>
      <c r="E4926" t="inlineStr">
        <is>
          <t>Men in Black</t>
        </is>
      </c>
      <c r="F4926" t="inlineStr">
        <is>
          <t>F0218</t>
        </is>
      </c>
    </row>
    <row r="4927">
      <c r="A4927" t="inlineStr">
        <is>
          <t>David Cross</t>
        </is>
      </c>
      <c r="B4927" t="n">
        <v>2</v>
      </c>
      <c r="C4927" t="n">
        <v>1997</v>
      </c>
      <c r="D4927" t="n">
        <v>2015</v>
      </c>
      <c r="E4927" t="inlineStr">
        <is>
          <t>Men in Black, Pitch Perfect 2</t>
        </is>
      </c>
      <c r="F4927" t="inlineStr">
        <is>
          <t>F0218, F0251</t>
        </is>
      </c>
    </row>
    <row r="4928">
      <c r="A4928" t="inlineStr">
        <is>
          <t>Charles C. Stevenson Jr.</t>
        </is>
      </c>
      <c r="B4928" t="n">
        <v>1</v>
      </c>
      <c r="C4928" t="n">
        <v>1997</v>
      </c>
      <c r="D4928" t="n">
        <v>1997</v>
      </c>
      <c r="E4928" t="inlineStr">
        <is>
          <t>Men in Black</t>
        </is>
      </c>
      <c r="F4928" t="inlineStr">
        <is>
          <t>F0218</t>
        </is>
      </c>
    </row>
    <row r="4929">
      <c r="A4929" t="inlineStr">
        <is>
          <t>Boris Lyoskin</t>
        </is>
      </c>
      <c r="B4929" t="n">
        <v>1</v>
      </c>
      <c r="C4929" t="n">
        <v>1997</v>
      </c>
      <c r="D4929" t="n">
        <v>1997</v>
      </c>
      <c r="E4929" t="inlineStr">
        <is>
          <t>Men in Black</t>
        </is>
      </c>
      <c r="F4929" t="inlineStr">
        <is>
          <t>F0218</t>
        </is>
      </c>
    </row>
    <row r="4930">
      <c r="A4930" t="inlineStr">
        <is>
          <t>Steve Rankin</t>
        </is>
      </c>
      <c r="B4930" t="n">
        <v>2</v>
      </c>
      <c r="C4930" t="n">
        <v>1997</v>
      </c>
      <c r="D4930" t="n">
        <v>2001</v>
      </c>
      <c r="E4930" t="inlineStr">
        <is>
          <t>Men in Black, Pearl Harbor</t>
        </is>
      </c>
      <c r="F4930" t="inlineStr">
        <is>
          <t>F0218, F0246</t>
        </is>
      </c>
    </row>
    <row r="4931">
      <c r="A4931" t="inlineStr">
        <is>
          <t>Andy Prosky</t>
        </is>
      </c>
      <c r="B4931" t="n">
        <v>1</v>
      </c>
      <c r="C4931" t="n">
        <v>1997</v>
      </c>
      <c r="D4931" t="n">
        <v>1997</v>
      </c>
      <c r="E4931" t="inlineStr">
        <is>
          <t>Men in Black</t>
        </is>
      </c>
      <c r="F4931" t="inlineStr">
        <is>
          <t>F0218</t>
        </is>
      </c>
    </row>
    <row r="4932">
      <c r="A4932" t="inlineStr">
        <is>
          <t>Michael Goldfinger</t>
        </is>
      </c>
      <c r="B4932" t="n">
        <v>1</v>
      </c>
      <c r="C4932" t="n">
        <v>1997</v>
      </c>
      <c r="D4932" t="n">
        <v>1997</v>
      </c>
      <c r="E4932" t="inlineStr">
        <is>
          <t>Men in Black</t>
        </is>
      </c>
      <c r="F4932" t="inlineStr">
        <is>
          <t>F0218</t>
        </is>
      </c>
    </row>
    <row r="4933">
      <c r="A4933" t="inlineStr">
        <is>
          <t>Mike Colter</t>
        </is>
      </c>
      <c r="B4933" t="n">
        <v>2</v>
      </c>
      <c r="C4933" t="n">
        <v>2012</v>
      </c>
      <c r="D4933" t="n">
        <v>2012</v>
      </c>
      <c r="E4933" t="inlineStr">
        <is>
          <t>Men in Black 3, Zero Dark Thirty</t>
        </is>
      </c>
      <c r="F4933" t="inlineStr">
        <is>
          <t>F0219, F0349</t>
        </is>
      </c>
    </row>
    <row r="4934">
      <c r="A4934" t="inlineStr">
        <is>
          <t>Nicole Scherzinger</t>
        </is>
      </c>
      <c r="B4934" t="n">
        <v>1</v>
      </c>
      <c r="C4934" t="n">
        <v>2012</v>
      </c>
      <c r="D4934" t="n">
        <v>2012</v>
      </c>
      <c r="E4934" t="inlineStr">
        <is>
          <t>Men in Black 3</t>
        </is>
      </c>
      <c r="F4934" t="inlineStr">
        <is>
          <t>F0219</t>
        </is>
      </c>
    </row>
    <row r="4935">
      <c r="A4935" t="inlineStr">
        <is>
          <t>Alice Eve</t>
        </is>
      </c>
      <c r="B4935" t="n">
        <v>1</v>
      </c>
      <c r="C4935" t="n">
        <v>2012</v>
      </c>
      <c r="D4935" t="n">
        <v>2012</v>
      </c>
      <c r="E4935" t="inlineStr">
        <is>
          <t>Men in Black 3</t>
        </is>
      </c>
      <c r="F4935" t="inlineStr">
        <is>
          <t>F0219</t>
        </is>
      </c>
    </row>
    <row r="4936">
      <c r="A4936" t="inlineStr">
        <is>
          <t>David Rasche</t>
        </is>
      </c>
      <c r="B4936" t="n">
        <v>1</v>
      </c>
      <c r="C4936" t="n">
        <v>2012</v>
      </c>
      <c r="D4936" t="n">
        <v>2012</v>
      </c>
      <c r="E4936" t="inlineStr">
        <is>
          <t>Men in Black 3</t>
        </is>
      </c>
      <c r="F4936" t="inlineStr">
        <is>
          <t>F0219</t>
        </is>
      </c>
    </row>
    <row r="4937">
      <c r="A4937" t="inlineStr">
        <is>
          <t>Keone Young</t>
        </is>
      </c>
      <c r="B4937" t="n">
        <v>1</v>
      </c>
      <c r="C4937" t="n">
        <v>2012</v>
      </c>
      <c r="D4937" t="n">
        <v>2012</v>
      </c>
      <c r="E4937" t="inlineStr">
        <is>
          <t>Men in Black 3</t>
        </is>
      </c>
      <c r="F4937" t="inlineStr">
        <is>
          <t>F0219</t>
        </is>
      </c>
    </row>
    <row r="4938">
      <c r="A4938" t="inlineStr">
        <is>
          <t>Cayen Martin</t>
        </is>
      </c>
      <c r="B4938" t="n">
        <v>1</v>
      </c>
      <c r="C4938" t="n">
        <v>2012</v>
      </c>
      <c r="D4938" t="n">
        <v>2012</v>
      </c>
      <c r="E4938" t="inlineStr">
        <is>
          <t>Men in Black 3</t>
        </is>
      </c>
      <c r="F4938" t="inlineStr">
        <is>
          <t>F0219</t>
        </is>
      </c>
    </row>
    <row r="4939">
      <c r="A4939" t="inlineStr">
        <is>
          <t>Clarke Thorell</t>
        </is>
      </c>
      <c r="B4939" t="n">
        <v>1</v>
      </c>
      <c r="C4939" t="n">
        <v>2012</v>
      </c>
      <c r="D4939" t="n">
        <v>2012</v>
      </c>
      <c r="E4939" t="inlineStr">
        <is>
          <t>Men in Black 3</t>
        </is>
      </c>
      <c r="F4939" t="inlineStr">
        <is>
          <t>F0219</t>
        </is>
      </c>
    </row>
    <row r="4940">
      <c r="A4940" t="inlineStr">
        <is>
          <t>Adam Mucci</t>
        </is>
      </c>
      <c r="B4940" t="n">
        <v>1</v>
      </c>
      <c r="C4940" t="n">
        <v>2012</v>
      </c>
      <c r="D4940" t="n">
        <v>2012</v>
      </c>
      <c r="E4940" t="inlineStr">
        <is>
          <t>Men in Black 3</t>
        </is>
      </c>
      <c r="F4940" t="inlineStr">
        <is>
          <t>F0219</t>
        </is>
      </c>
    </row>
    <row r="4941">
      <c r="A4941" t="inlineStr">
        <is>
          <t>Tom McComas</t>
        </is>
      </c>
      <c r="B4941" t="n">
        <v>1</v>
      </c>
      <c r="C4941" t="n">
        <v>2012</v>
      </c>
      <c r="D4941" t="n">
        <v>2012</v>
      </c>
      <c r="E4941" t="inlineStr">
        <is>
          <t>Men in Black 3</t>
        </is>
      </c>
      <c r="F4941" t="inlineStr">
        <is>
          <t>F0219</t>
        </is>
      </c>
    </row>
    <row r="4942">
      <c r="A4942" t="inlineStr">
        <is>
          <t>Douglas Crosby</t>
        </is>
      </c>
      <c r="B4942" t="n">
        <v>1</v>
      </c>
      <c r="C4942" t="n">
        <v>2012</v>
      </c>
      <c r="D4942" t="n">
        <v>2012</v>
      </c>
      <c r="E4942" t="inlineStr">
        <is>
          <t>Men in Black 3</t>
        </is>
      </c>
      <c r="F4942" t="inlineStr">
        <is>
          <t>F0219</t>
        </is>
      </c>
    </row>
    <row r="4943">
      <c r="A4943" t="inlineStr">
        <is>
          <t>Woodie King Jr.</t>
        </is>
      </c>
      <c r="B4943" t="n">
        <v>1</v>
      </c>
      <c r="C4943" t="n">
        <v>2012</v>
      </c>
      <c r="D4943" t="n">
        <v>2012</v>
      </c>
      <c r="E4943" t="inlineStr">
        <is>
          <t>Men in Black 3</t>
        </is>
      </c>
      <c r="F4943" t="inlineStr">
        <is>
          <t>F0219</t>
        </is>
      </c>
    </row>
    <row r="4944">
      <c r="A4944" t="inlineStr">
        <is>
          <t>Jack A. O'Connell</t>
        </is>
      </c>
      <c r="B4944" t="n">
        <v>1</v>
      </c>
      <c r="C4944" t="n">
        <v>2012</v>
      </c>
      <c r="D4944" t="n">
        <v>2012</v>
      </c>
      <c r="E4944" t="inlineStr">
        <is>
          <t>Men in Black 3</t>
        </is>
      </c>
      <c r="F4944" t="inlineStr">
        <is>
          <t>F0219</t>
        </is>
      </c>
    </row>
    <row r="4945">
      <c r="A4945" t="inlineStr">
        <is>
          <t>Tobias Segal</t>
        </is>
      </c>
      <c r="B4945" t="n">
        <v>1</v>
      </c>
      <c r="C4945" t="n">
        <v>2012</v>
      </c>
      <c r="D4945" t="n">
        <v>2012</v>
      </c>
      <c r="E4945" t="inlineStr">
        <is>
          <t>Men in Black 3</t>
        </is>
      </c>
      <c r="F4945" t="inlineStr">
        <is>
          <t>F0219</t>
        </is>
      </c>
    </row>
    <row r="4946">
      <c r="A4946" t="inlineStr">
        <is>
          <t>Jon Shaver</t>
        </is>
      </c>
      <c r="B4946" t="n">
        <v>1</v>
      </c>
      <c r="C4946" t="n">
        <v>2012</v>
      </c>
      <c r="D4946" t="n">
        <v>2012</v>
      </c>
      <c r="E4946" t="inlineStr">
        <is>
          <t>Men in Black 3</t>
        </is>
      </c>
      <c r="F4946" t="inlineStr">
        <is>
          <t>F0219</t>
        </is>
      </c>
    </row>
    <row r="4947">
      <c r="A4947" t="inlineStr">
        <is>
          <t>Gerritt Vandermeer</t>
        </is>
      </c>
      <c r="B4947" t="n">
        <v>1</v>
      </c>
      <c r="C4947" t="n">
        <v>2012</v>
      </c>
      <c r="D4947" t="n">
        <v>2012</v>
      </c>
      <c r="E4947" t="inlineStr">
        <is>
          <t>Men in Black 3</t>
        </is>
      </c>
      <c r="F4947" t="inlineStr">
        <is>
          <t>F0219</t>
        </is>
      </c>
    </row>
    <row r="4948">
      <c r="A4948" t="inlineStr">
        <is>
          <t>Alexandra O'Hara</t>
        </is>
      </c>
      <c r="B4948" t="n">
        <v>1</v>
      </c>
      <c r="C4948" t="n">
        <v>2012</v>
      </c>
      <c r="D4948" t="n">
        <v>2012</v>
      </c>
      <c r="E4948" t="inlineStr">
        <is>
          <t>Men in Black 3</t>
        </is>
      </c>
      <c r="F4948" t="inlineStr">
        <is>
          <t>F0219</t>
        </is>
      </c>
    </row>
    <row r="4949">
      <c r="A4949" t="inlineStr">
        <is>
          <t>Violet O'Hara</t>
        </is>
      </c>
      <c r="B4949" t="n">
        <v>1</v>
      </c>
      <c r="C4949" t="n">
        <v>2012</v>
      </c>
      <c r="D4949" t="n">
        <v>2012</v>
      </c>
      <c r="E4949" t="inlineStr">
        <is>
          <t>Men in Black 3</t>
        </is>
      </c>
      <c r="F4949" t="inlineStr">
        <is>
          <t>F0219</t>
        </is>
      </c>
    </row>
    <row r="4950">
      <c r="A4950" t="inlineStr">
        <is>
          <t>Valence Thomas</t>
        </is>
      </c>
      <c r="B4950" t="n">
        <v>1</v>
      </c>
      <c r="C4950" t="n">
        <v>2012</v>
      </c>
      <c r="D4950" t="n">
        <v>2012</v>
      </c>
      <c r="E4950" t="inlineStr">
        <is>
          <t>Men in Black 3</t>
        </is>
      </c>
      <c r="F4950" t="inlineStr">
        <is>
          <t>F0219</t>
        </is>
      </c>
    </row>
    <row r="4951">
      <c r="A4951" t="inlineStr">
        <is>
          <t>Chloe Sonnenfeld</t>
        </is>
      </c>
      <c r="B4951" t="n">
        <v>1</v>
      </c>
      <c r="C4951" t="n">
        <v>2012</v>
      </c>
      <c r="D4951" t="n">
        <v>2012</v>
      </c>
      <c r="E4951" t="inlineStr">
        <is>
          <t>Men in Black 3</t>
        </is>
      </c>
      <c r="F4951" t="inlineStr">
        <is>
          <t>F0219</t>
        </is>
      </c>
    </row>
    <row r="4952">
      <c r="A4952" t="inlineStr">
        <is>
          <t>Lanny Flaherty</t>
        </is>
      </c>
      <c r="B4952" t="n">
        <v>1</v>
      </c>
      <c r="C4952" t="n">
        <v>2012</v>
      </c>
      <c r="D4952" t="n">
        <v>2012</v>
      </c>
      <c r="E4952" t="inlineStr">
        <is>
          <t>Men in Black 3</t>
        </is>
      </c>
      <c r="F4952" t="inlineStr">
        <is>
          <t>F0219</t>
        </is>
      </c>
    </row>
    <row r="4953">
      <c r="A4953" t="inlineStr">
        <is>
          <t>Jonathan O'Hara</t>
        </is>
      </c>
      <c r="B4953" t="n">
        <v>1</v>
      </c>
      <c r="C4953" t="n">
        <v>2012</v>
      </c>
      <c r="D4953" t="n">
        <v>2012</v>
      </c>
      <c r="E4953" t="inlineStr">
        <is>
          <t>Men in Black 3</t>
        </is>
      </c>
      <c r="F4953" t="inlineStr">
        <is>
          <t>F0219</t>
        </is>
      </c>
    </row>
    <row r="4954">
      <c r="A4954" t="inlineStr">
        <is>
          <t>Rick Baker</t>
        </is>
      </c>
      <c r="B4954" t="n">
        <v>1</v>
      </c>
      <c r="C4954" t="n">
        <v>2012</v>
      </c>
      <c r="D4954" t="n">
        <v>2012</v>
      </c>
      <c r="E4954" t="inlineStr">
        <is>
          <t>Men in Black 3</t>
        </is>
      </c>
      <c r="F4954" t="inlineStr">
        <is>
          <t>F0219</t>
        </is>
      </c>
    </row>
    <row r="4955">
      <c r="A4955" t="inlineStr">
        <is>
          <t>Jennifer Saunders</t>
        </is>
      </c>
      <c r="B4955" t="n">
        <v>2</v>
      </c>
      <c r="C4955" t="n">
        <v>2015</v>
      </c>
      <c r="D4955" t="n">
        <v>2016</v>
      </c>
      <c r="E4955" t="inlineStr">
        <is>
          <t>Minions, Sing</t>
        </is>
      </c>
      <c r="F4955" t="inlineStr">
        <is>
          <t>F0220, F0280</t>
        </is>
      </c>
    </row>
    <row r="4956">
      <c r="A4956" t="inlineStr">
        <is>
          <t>Katy Mixon</t>
        </is>
      </c>
      <c r="B4956" t="n">
        <v>1</v>
      </c>
      <c r="C4956" t="n">
        <v>2015</v>
      </c>
      <c r="D4956" t="n">
        <v>2015</v>
      </c>
      <c r="E4956" t="inlineStr">
        <is>
          <t>Minions</t>
        </is>
      </c>
      <c r="F4956" t="inlineStr">
        <is>
          <t>F0220</t>
        </is>
      </c>
    </row>
    <row r="4957">
      <c r="A4957" t="inlineStr">
        <is>
          <t>Dave Rosenbaum</t>
        </is>
      </c>
      <c r="B4957" t="n">
        <v>1</v>
      </c>
      <c r="C4957" t="n">
        <v>2015</v>
      </c>
      <c r="D4957" t="n">
        <v>2015</v>
      </c>
      <c r="E4957" t="inlineStr">
        <is>
          <t>Minions</t>
        </is>
      </c>
      <c r="F4957" t="inlineStr">
        <is>
          <t>F0220</t>
        </is>
      </c>
    </row>
    <row r="4958">
      <c r="A4958" t="inlineStr">
        <is>
          <t>Alex Dowding</t>
        </is>
      </c>
      <c r="B4958" t="n">
        <v>1</v>
      </c>
      <c r="C4958" t="n">
        <v>2015</v>
      </c>
      <c r="D4958" t="n">
        <v>2015</v>
      </c>
      <c r="E4958" t="inlineStr">
        <is>
          <t>Minions</t>
        </is>
      </c>
      <c r="F4958" t="inlineStr">
        <is>
          <t>F0220</t>
        </is>
      </c>
    </row>
    <row r="4959">
      <c r="A4959" t="inlineStr">
        <is>
          <t>Paul Thornley</t>
        </is>
      </c>
      <c r="B4959" t="n">
        <v>1</v>
      </c>
      <c r="C4959" t="n">
        <v>2015</v>
      </c>
      <c r="D4959" t="n">
        <v>2015</v>
      </c>
      <c r="E4959" t="inlineStr">
        <is>
          <t>Minions</t>
        </is>
      </c>
      <c r="F4959" t="inlineStr">
        <is>
          <t>F0220</t>
        </is>
      </c>
    </row>
    <row r="4960">
      <c r="A4960" t="inlineStr">
        <is>
          <t>Daniel Barker</t>
        </is>
      </c>
      <c r="B4960" t="n">
        <v>1</v>
      </c>
      <c r="C4960" t="n">
        <v>2015</v>
      </c>
      <c r="D4960" t="n">
        <v>2015</v>
      </c>
      <c r="E4960" t="inlineStr">
        <is>
          <t>Minions</t>
        </is>
      </c>
      <c r="F4960" t="inlineStr">
        <is>
          <t>F0220</t>
        </is>
      </c>
    </row>
    <row r="4961">
      <c r="A4961" t="inlineStr">
        <is>
          <t>Eve Karpf</t>
        </is>
      </c>
      <c r="B4961" t="n">
        <v>1</v>
      </c>
      <c r="C4961" t="n">
        <v>2015</v>
      </c>
      <c r="D4961" t="n">
        <v>2015</v>
      </c>
      <c r="E4961" t="inlineStr">
        <is>
          <t>Minions</t>
        </is>
      </c>
      <c r="F4961" t="inlineStr">
        <is>
          <t>F0220</t>
        </is>
      </c>
    </row>
    <row r="4962">
      <c r="A4962" t="inlineStr">
        <is>
          <t>Kristin Scott Thomas</t>
        </is>
      </c>
      <c r="B4962" t="n">
        <v>1</v>
      </c>
      <c r="C4962" t="n">
        <v>1996</v>
      </c>
      <c r="D4962" t="n">
        <v>1996</v>
      </c>
      <c r="E4962" t="inlineStr">
        <is>
          <t>Mission: Impossible</t>
        </is>
      </c>
      <c r="F4962" t="inlineStr">
        <is>
          <t>F0221</t>
        </is>
      </c>
    </row>
    <row r="4963">
      <c r="A4963" t="inlineStr">
        <is>
          <t>Vanessa Redgrave</t>
        </is>
      </c>
      <c r="B4963" t="n">
        <v>1</v>
      </c>
      <c r="C4963" t="n">
        <v>1996</v>
      </c>
      <c r="D4963" t="n">
        <v>1996</v>
      </c>
      <c r="E4963" t="inlineStr">
        <is>
          <t>Mission: Impossible</t>
        </is>
      </c>
      <c r="F4963" t="inlineStr">
        <is>
          <t>F0221</t>
        </is>
      </c>
    </row>
    <row r="4964">
      <c r="A4964" t="inlineStr">
        <is>
          <t>Ingeborga Dapkūnaitė</t>
        </is>
      </c>
      <c r="B4964" t="n">
        <v>1</v>
      </c>
      <c r="C4964" t="n">
        <v>1996</v>
      </c>
      <c r="D4964" t="n">
        <v>1996</v>
      </c>
      <c r="E4964" t="inlineStr">
        <is>
          <t>Mission: Impossible</t>
        </is>
      </c>
      <c r="F4964" t="inlineStr">
        <is>
          <t>F0221</t>
        </is>
      </c>
    </row>
    <row r="4965">
      <c r="A4965" t="inlineStr">
        <is>
          <t>Valentina Yakunina</t>
        </is>
      </c>
      <c r="B4965" t="n">
        <v>1</v>
      </c>
      <c r="C4965" t="n">
        <v>1996</v>
      </c>
      <c r="D4965" t="n">
        <v>1996</v>
      </c>
      <c r="E4965" t="inlineStr">
        <is>
          <t>Mission: Impossible</t>
        </is>
      </c>
      <c r="F4965" t="inlineStr">
        <is>
          <t>F0221</t>
        </is>
      </c>
    </row>
    <row r="4966">
      <c r="A4966" t="inlineStr">
        <is>
          <t>Marek Vašut</t>
        </is>
      </c>
      <c r="B4966" t="n">
        <v>1</v>
      </c>
      <c r="C4966" t="n">
        <v>1996</v>
      </c>
      <c r="D4966" t="n">
        <v>1996</v>
      </c>
      <c r="E4966" t="inlineStr">
        <is>
          <t>Mission: Impossible</t>
        </is>
      </c>
      <c r="F4966" t="inlineStr">
        <is>
          <t>F0221</t>
        </is>
      </c>
    </row>
    <row r="4967">
      <c r="A4967" t="inlineStr">
        <is>
          <t>Nathan Osgood</t>
        </is>
      </c>
      <c r="B4967" t="n">
        <v>1</v>
      </c>
      <c r="C4967" t="n">
        <v>1996</v>
      </c>
      <c r="D4967" t="n">
        <v>1996</v>
      </c>
      <c r="E4967" t="inlineStr">
        <is>
          <t>Mission: Impossible</t>
        </is>
      </c>
      <c r="F4967" t="inlineStr">
        <is>
          <t>F0221</t>
        </is>
      </c>
    </row>
    <row r="4968">
      <c r="A4968" t="inlineStr">
        <is>
          <t>John McLaughlin</t>
        </is>
      </c>
      <c r="B4968" t="n">
        <v>1</v>
      </c>
      <c r="C4968" t="n">
        <v>1996</v>
      </c>
      <c r="D4968" t="n">
        <v>1996</v>
      </c>
      <c r="E4968" t="inlineStr">
        <is>
          <t>Mission: Impossible</t>
        </is>
      </c>
      <c r="F4968" t="inlineStr">
        <is>
          <t>F0221</t>
        </is>
      </c>
    </row>
    <row r="4969">
      <c r="A4969" t="inlineStr">
        <is>
          <t>Rolf Saxon</t>
        </is>
      </c>
      <c r="B4969" t="n">
        <v>2</v>
      </c>
      <c r="C4969" t="n">
        <v>1996</v>
      </c>
      <c r="D4969" t="n">
        <v>2025</v>
      </c>
      <c r="E4969" t="inlineStr">
        <is>
          <t>Mission: Impossible, Mission: Impossible - The Final Reckoning</t>
        </is>
      </c>
      <c r="F4969" t="inlineStr">
        <is>
          <t>F0221, F0228</t>
        </is>
      </c>
    </row>
    <row r="4970">
      <c r="A4970" t="inlineStr">
        <is>
          <t>Karel Dobrý</t>
        </is>
      </c>
      <c r="B4970" t="n">
        <v>1</v>
      </c>
      <c r="C4970" t="n">
        <v>1996</v>
      </c>
      <c r="D4970" t="n">
        <v>1996</v>
      </c>
      <c r="E4970" t="inlineStr">
        <is>
          <t>Mission: Impossible</t>
        </is>
      </c>
      <c r="F4970" t="inlineStr">
        <is>
          <t>F0221</t>
        </is>
      </c>
    </row>
    <row r="4971">
      <c r="A4971" t="inlineStr">
        <is>
          <t>Andreas Wisniewski</t>
        </is>
      </c>
      <c r="B4971" t="n">
        <v>1</v>
      </c>
      <c r="C4971" t="n">
        <v>1996</v>
      </c>
      <c r="D4971" t="n">
        <v>1996</v>
      </c>
      <c r="E4971" t="inlineStr">
        <is>
          <t>Mission: Impossible</t>
        </is>
      </c>
      <c r="F4971" t="inlineStr">
        <is>
          <t>F0221</t>
        </is>
      </c>
    </row>
    <row r="4972">
      <c r="A4972" t="inlineStr">
        <is>
          <t>David Shaeffer</t>
        </is>
      </c>
      <c r="B4972" t="n">
        <v>1</v>
      </c>
      <c r="C4972" t="n">
        <v>1996</v>
      </c>
      <c r="D4972" t="n">
        <v>1996</v>
      </c>
      <c r="E4972" t="inlineStr">
        <is>
          <t>Mission: Impossible</t>
        </is>
      </c>
      <c r="F4972" t="inlineStr">
        <is>
          <t>F0221</t>
        </is>
      </c>
    </row>
    <row r="4973">
      <c r="A4973" t="inlineStr">
        <is>
          <t>Rudolf Pechan</t>
        </is>
      </c>
      <c r="B4973" t="n">
        <v>1</v>
      </c>
      <c r="C4973" t="n">
        <v>1996</v>
      </c>
      <c r="D4973" t="n">
        <v>1996</v>
      </c>
      <c r="E4973" t="inlineStr">
        <is>
          <t>Mission: Impossible</t>
        </is>
      </c>
      <c r="F4973" t="inlineStr">
        <is>
          <t>F0221</t>
        </is>
      </c>
    </row>
    <row r="4974">
      <c r="A4974" t="inlineStr">
        <is>
          <t>Gaston Šubert</t>
        </is>
      </c>
      <c r="B4974" t="n">
        <v>1</v>
      </c>
      <c r="C4974" t="n">
        <v>1996</v>
      </c>
      <c r="D4974" t="n">
        <v>1996</v>
      </c>
      <c r="E4974" t="inlineStr">
        <is>
          <t>Mission: Impossible</t>
        </is>
      </c>
      <c r="F4974" t="inlineStr">
        <is>
          <t>F0221</t>
        </is>
      </c>
    </row>
    <row r="4975">
      <c r="A4975" t="inlineStr">
        <is>
          <t>Mark Houghton</t>
        </is>
      </c>
      <c r="B4975" t="n">
        <v>1</v>
      </c>
      <c r="C4975" t="n">
        <v>1996</v>
      </c>
      <c r="D4975" t="n">
        <v>1996</v>
      </c>
      <c r="E4975" t="inlineStr">
        <is>
          <t>Mission: Impossible</t>
        </is>
      </c>
      <c r="F4975" t="inlineStr">
        <is>
          <t>F0221</t>
        </is>
      </c>
    </row>
    <row r="4976">
      <c r="A4976" t="inlineStr">
        <is>
          <t>Bob Friend</t>
        </is>
      </c>
      <c r="B4976" t="n">
        <v>1</v>
      </c>
      <c r="C4976" t="n">
        <v>1996</v>
      </c>
      <c r="D4976" t="n">
        <v>1996</v>
      </c>
      <c r="E4976" t="inlineStr">
        <is>
          <t>Mission: Impossible</t>
        </is>
      </c>
      <c r="F4976" t="inlineStr">
        <is>
          <t>F0221</t>
        </is>
      </c>
    </row>
    <row r="4977">
      <c r="A4977" t="inlineStr">
        <is>
          <t>Annabel Mullion</t>
        </is>
      </c>
      <c r="B4977" t="n">
        <v>1</v>
      </c>
      <c r="C4977" t="n">
        <v>1996</v>
      </c>
      <c r="D4977" t="n">
        <v>1996</v>
      </c>
      <c r="E4977" t="inlineStr">
        <is>
          <t>Mission: Impossible</t>
        </is>
      </c>
      <c r="F4977" t="inlineStr">
        <is>
          <t>F0221</t>
        </is>
      </c>
    </row>
    <row r="4978">
      <c r="A4978" t="inlineStr">
        <is>
          <t>Garrick Hagon</t>
        </is>
      </c>
      <c r="B4978" t="n">
        <v>2</v>
      </c>
      <c r="C4978" t="n">
        <v>1977</v>
      </c>
      <c r="D4978" t="n">
        <v>1996</v>
      </c>
      <c r="E4978" t="inlineStr">
        <is>
          <t>Mission: Impossible, Star Wars: Episode IV – A New Hope</t>
        </is>
      </c>
      <c r="F4978" t="inlineStr">
        <is>
          <t>F0221, F0295</t>
        </is>
      </c>
    </row>
    <row r="4979">
      <c r="A4979" t="inlineStr">
        <is>
          <t>Jiřina Třebická</t>
        </is>
      </c>
      <c r="B4979" t="n">
        <v>1</v>
      </c>
      <c r="C4979" t="n">
        <v>1996</v>
      </c>
      <c r="D4979" t="n">
        <v>1996</v>
      </c>
      <c r="E4979" t="inlineStr">
        <is>
          <t>Mission: Impossible</t>
        </is>
      </c>
      <c r="F4979" t="inlineStr">
        <is>
          <t>F0221</t>
        </is>
      </c>
    </row>
    <row r="4980">
      <c r="A4980" t="inlineStr">
        <is>
          <t>Andrzej Borkowski</t>
        </is>
      </c>
      <c r="B4980" t="n">
        <v>1</v>
      </c>
      <c r="C4980" t="n">
        <v>1996</v>
      </c>
      <c r="D4980" t="n">
        <v>1996</v>
      </c>
      <c r="E4980" t="inlineStr">
        <is>
          <t>Mission: Impossible</t>
        </is>
      </c>
      <c r="F4980" t="inlineStr">
        <is>
          <t>F0221</t>
        </is>
      </c>
    </row>
    <row r="4981">
      <c r="A4981" t="inlineStr">
        <is>
          <t>Maya Dokic</t>
        </is>
      </c>
      <c r="B4981" t="n">
        <v>1</v>
      </c>
      <c r="C4981" t="n">
        <v>1996</v>
      </c>
      <c r="D4981" t="n">
        <v>1996</v>
      </c>
      <c r="E4981" t="inlineStr">
        <is>
          <t>Mission: Impossible</t>
        </is>
      </c>
      <c r="F4981" t="inlineStr">
        <is>
          <t>F0221</t>
        </is>
      </c>
    </row>
    <row r="4982">
      <c r="A4982" t="inlineStr">
        <is>
          <t>Sam Douglas</t>
        </is>
      </c>
      <c r="B4982" t="n">
        <v>1</v>
      </c>
      <c r="C4982" t="n">
        <v>1996</v>
      </c>
      <c r="D4982" t="n">
        <v>1996</v>
      </c>
      <c r="E4982" t="inlineStr">
        <is>
          <t>Mission: Impossible</t>
        </is>
      </c>
      <c r="F4982" t="inlineStr">
        <is>
          <t>F0221</t>
        </is>
      </c>
    </row>
    <row r="4983">
      <c r="A4983" t="inlineStr">
        <is>
          <t>Olegar Fedoro</t>
        </is>
      </c>
      <c r="B4983" t="n">
        <v>1</v>
      </c>
      <c r="C4983" t="n">
        <v>1996</v>
      </c>
      <c r="D4983" t="n">
        <v>1996</v>
      </c>
      <c r="E4983" t="inlineStr">
        <is>
          <t>Mission: Impossible</t>
        </is>
      </c>
      <c r="F4983" t="inlineStr">
        <is>
          <t>F0221</t>
        </is>
      </c>
    </row>
    <row r="4984">
      <c r="A4984" t="inlineStr">
        <is>
          <t>Carmela Marner</t>
        </is>
      </c>
      <c r="B4984" t="n">
        <v>1</v>
      </c>
      <c r="C4984" t="n">
        <v>1996</v>
      </c>
      <c r="D4984" t="n">
        <v>1996</v>
      </c>
      <c r="E4984" t="inlineStr">
        <is>
          <t>Mission: Impossible</t>
        </is>
      </c>
      <c r="F4984" t="inlineStr">
        <is>
          <t>F0221</t>
        </is>
      </c>
    </row>
    <row r="4985">
      <c r="A4985" t="inlineStr">
        <is>
          <t>John Polson</t>
        </is>
      </c>
      <c r="B4985" t="n">
        <v>1</v>
      </c>
      <c r="C4985" t="n">
        <v>2000</v>
      </c>
      <c r="D4985" t="n">
        <v>2000</v>
      </c>
      <c r="E4985" t="inlineStr">
        <is>
          <t>Mission: Impossible II</t>
        </is>
      </c>
      <c r="F4985" t="inlineStr">
        <is>
          <t>F0222</t>
        </is>
      </c>
    </row>
    <row r="4986">
      <c r="A4986" t="inlineStr">
        <is>
          <t>William Mapother</t>
        </is>
      </c>
      <c r="B4986" t="n">
        <v>1</v>
      </c>
      <c r="C4986" t="n">
        <v>2000</v>
      </c>
      <c r="D4986" t="n">
        <v>2000</v>
      </c>
      <c r="E4986" t="inlineStr">
        <is>
          <t>Mission: Impossible II</t>
        </is>
      </c>
      <c r="F4986" t="inlineStr">
        <is>
          <t>F0222</t>
        </is>
      </c>
    </row>
    <row r="4987">
      <c r="A4987" t="inlineStr">
        <is>
          <t>Dominic Purcell</t>
        </is>
      </c>
      <c r="B4987" t="n">
        <v>1</v>
      </c>
      <c r="C4987" t="n">
        <v>2000</v>
      </c>
      <c r="D4987" t="n">
        <v>2000</v>
      </c>
      <c r="E4987" t="inlineStr">
        <is>
          <t>Mission: Impossible II</t>
        </is>
      </c>
      <c r="F4987" t="inlineStr">
        <is>
          <t>F0222</t>
        </is>
      </c>
    </row>
    <row r="4988">
      <c r="A4988" t="inlineStr">
        <is>
          <t>Mathew Wilkinson</t>
        </is>
      </c>
      <c r="B4988" t="n">
        <v>1</v>
      </c>
      <c r="C4988" t="n">
        <v>2000</v>
      </c>
      <c r="D4988" t="n">
        <v>2000</v>
      </c>
      <c r="E4988" t="inlineStr">
        <is>
          <t>Mission: Impossible II</t>
        </is>
      </c>
      <c r="F4988" t="inlineStr">
        <is>
          <t>F0222</t>
        </is>
      </c>
    </row>
    <row r="4989">
      <c r="A4989" t="inlineStr">
        <is>
          <t>Cristina Brogeras</t>
        </is>
      </c>
      <c r="B4989" t="n">
        <v>1</v>
      </c>
      <c r="C4989" t="n">
        <v>2000</v>
      </c>
      <c r="D4989" t="n">
        <v>2000</v>
      </c>
      <c r="E4989" t="inlineStr">
        <is>
          <t>Mission: Impossible II</t>
        </is>
      </c>
      <c r="F4989" t="inlineStr">
        <is>
          <t>F0222</t>
        </is>
      </c>
    </row>
    <row r="4990">
      <c r="A4990" t="inlineStr">
        <is>
          <t>Kee Chan</t>
        </is>
      </c>
      <c r="B4990" t="n">
        <v>1</v>
      </c>
      <c r="C4990" t="n">
        <v>2000</v>
      </c>
      <c r="D4990" t="n">
        <v>2000</v>
      </c>
      <c r="E4990" t="inlineStr">
        <is>
          <t>Mission: Impossible II</t>
        </is>
      </c>
      <c r="F4990" t="inlineStr">
        <is>
          <t>F0222</t>
        </is>
      </c>
    </row>
    <row r="4991">
      <c r="A4991" t="inlineStr">
        <is>
          <t>Kim Fleming</t>
        </is>
      </c>
      <c r="B4991" t="n">
        <v>1</v>
      </c>
      <c r="C4991" t="n">
        <v>2000</v>
      </c>
      <c r="D4991" t="n">
        <v>2000</v>
      </c>
      <c r="E4991" t="inlineStr">
        <is>
          <t>Mission: Impossible II</t>
        </is>
      </c>
      <c r="F4991" t="inlineStr">
        <is>
          <t>F0222</t>
        </is>
      </c>
    </row>
    <row r="4992">
      <c r="A4992" t="inlineStr">
        <is>
          <t>Alan Lovell</t>
        </is>
      </c>
      <c r="B4992" t="n">
        <v>1</v>
      </c>
      <c r="C4992" t="n">
        <v>2000</v>
      </c>
      <c r="D4992" t="n">
        <v>2000</v>
      </c>
      <c r="E4992" t="inlineStr">
        <is>
          <t>Mission: Impossible II</t>
        </is>
      </c>
      <c r="F4992" t="inlineStr">
        <is>
          <t>F0222</t>
        </is>
      </c>
    </row>
    <row r="4993">
      <c r="A4993" t="inlineStr">
        <is>
          <t>Dan Luxton</t>
        </is>
      </c>
      <c r="B4993" t="n">
        <v>1</v>
      </c>
      <c r="C4993" t="n">
        <v>2000</v>
      </c>
      <c r="D4993" t="n">
        <v>2000</v>
      </c>
      <c r="E4993" t="inlineStr">
        <is>
          <t>Mission: Impossible II</t>
        </is>
      </c>
      <c r="F4993" t="inlineStr">
        <is>
          <t>F0222</t>
        </is>
      </c>
    </row>
    <row r="4994">
      <c r="A4994" t="inlineStr">
        <is>
          <t>Christian Manon</t>
        </is>
      </c>
      <c r="B4994" t="n">
        <v>1</v>
      </c>
      <c r="C4994" t="n">
        <v>2000</v>
      </c>
      <c r="D4994" t="n">
        <v>2000</v>
      </c>
      <c r="E4994" t="inlineStr">
        <is>
          <t>Mission: Impossible II</t>
        </is>
      </c>
      <c r="F4994" t="inlineStr">
        <is>
          <t>F0222</t>
        </is>
      </c>
    </row>
    <row r="4995">
      <c r="A4995" t="inlineStr">
        <is>
          <t>Karl McMillan</t>
        </is>
      </c>
      <c r="B4995" t="n">
        <v>1</v>
      </c>
      <c r="C4995" t="n">
        <v>2000</v>
      </c>
      <c r="D4995" t="n">
        <v>2000</v>
      </c>
      <c r="E4995" t="inlineStr">
        <is>
          <t>Mission: Impossible II</t>
        </is>
      </c>
      <c r="F4995" t="inlineStr">
        <is>
          <t>F0222</t>
        </is>
      </c>
    </row>
    <row r="4996">
      <c r="A4996" t="inlineStr">
        <is>
          <t>Lester Morris</t>
        </is>
      </c>
      <c r="B4996" t="n">
        <v>1</v>
      </c>
      <c r="C4996" t="n">
        <v>2000</v>
      </c>
      <c r="D4996" t="n">
        <v>2000</v>
      </c>
      <c r="E4996" t="inlineStr">
        <is>
          <t>Mission: Impossible II</t>
        </is>
      </c>
      <c r="F4996" t="inlineStr">
        <is>
          <t>F0222</t>
        </is>
      </c>
    </row>
    <row r="4997">
      <c r="A4997" t="inlineStr">
        <is>
          <t>Kelly Ons</t>
        </is>
      </c>
      <c r="B4997" t="n">
        <v>1</v>
      </c>
      <c r="C4997" t="n">
        <v>2000</v>
      </c>
      <c r="D4997" t="n">
        <v>2000</v>
      </c>
      <c r="E4997" t="inlineStr">
        <is>
          <t>Mission: Impossible II</t>
        </is>
      </c>
      <c r="F4997" t="inlineStr">
        <is>
          <t>F0222</t>
        </is>
      </c>
    </row>
    <row r="4998">
      <c r="A4998" t="inlineStr">
        <is>
          <t>Nicholas Papademetriou</t>
        </is>
      </c>
      <c r="B4998" t="n">
        <v>1</v>
      </c>
      <c r="C4998" t="n">
        <v>2000</v>
      </c>
      <c r="D4998" t="n">
        <v>2000</v>
      </c>
      <c r="E4998" t="inlineStr">
        <is>
          <t>Mission: Impossible II</t>
        </is>
      </c>
      <c r="F4998" t="inlineStr">
        <is>
          <t>F0222</t>
        </is>
      </c>
    </row>
    <row r="4999">
      <c r="A4999" t="inlineStr">
        <is>
          <t>Brett Partridge</t>
        </is>
      </c>
      <c r="B4999" t="n">
        <v>1</v>
      </c>
      <c r="C4999" t="n">
        <v>2000</v>
      </c>
      <c r="D4999" t="n">
        <v>2000</v>
      </c>
      <c r="E4999" t="inlineStr">
        <is>
          <t>Mission: Impossible II</t>
        </is>
      </c>
      <c r="F4999" t="inlineStr">
        <is>
          <t>F0222</t>
        </is>
      </c>
    </row>
    <row r="5000">
      <c r="A5000" t="inlineStr">
        <is>
          <t>Candice Partridge</t>
        </is>
      </c>
      <c r="B5000" t="n">
        <v>1</v>
      </c>
      <c r="C5000" t="n">
        <v>2000</v>
      </c>
      <c r="D5000" t="n">
        <v>2000</v>
      </c>
      <c r="E5000" t="inlineStr">
        <is>
          <t>Mission: Impossible II</t>
        </is>
      </c>
      <c r="F5000" t="inlineStr">
        <is>
          <t>F0222</t>
        </is>
      </c>
    </row>
    <row r="5001">
      <c r="A5001" t="inlineStr">
        <is>
          <t>Natalie Reis</t>
        </is>
      </c>
      <c r="B5001" t="n">
        <v>1</v>
      </c>
      <c r="C5001" t="n">
        <v>2000</v>
      </c>
      <c r="D5001" t="n">
        <v>2000</v>
      </c>
      <c r="E5001" t="inlineStr">
        <is>
          <t>Mission: Impossible II</t>
        </is>
      </c>
      <c r="F5001" t="inlineStr">
        <is>
          <t>F0222</t>
        </is>
      </c>
    </row>
    <row r="5002">
      <c r="A5002" t="inlineStr">
        <is>
          <t>Daniel Roberts</t>
        </is>
      </c>
      <c r="B5002" t="n">
        <v>1</v>
      </c>
      <c r="C5002" t="n">
        <v>2000</v>
      </c>
      <c r="D5002" t="n">
        <v>2000</v>
      </c>
      <c r="E5002" t="inlineStr">
        <is>
          <t>Mission: Impossible II</t>
        </is>
      </c>
      <c r="F5002" t="inlineStr">
        <is>
          <t>F0222</t>
        </is>
      </c>
    </row>
    <row r="5003">
      <c r="A5003" t="inlineStr">
        <is>
          <t>Adriana Rodríguez</t>
        </is>
      </c>
      <c r="B5003" t="n">
        <v>1</v>
      </c>
      <c r="C5003" t="n">
        <v>2000</v>
      </c>
      <c r="D5003" t="n">
        <v>2000</v>
      </c>
      <c r="E5003" t="inlineStr">
        <is>
          <t>Mission: Impossible II</t>
        </is>
      </c>
      <c r="F5003" t="inlineStr">
        <is>
          <t>F0222</t>
        </is>
      </c>
    </row>
    <row r="5004">
      <c r="A5004" t="inlineStr">
        <is>
          <t>Sandra Rodríguez</t>
        </is>
      </c>
      <c r="B5004" t="n">
        <v>1</v>
      </c>
      <c r="C5004" t="n">
        <v>2000</v>
      </c>
      <c r="D5004" t="n">
        <v>2000</v>
      </c>
      <c r="E5004" t="inlineStr">
        <is>
          <t>Mission: Impossible II</t>
        </is>
      </c>
      <c r="F5004" t="inlineStr">
        <is>
          <t>F0222</t>
        </is>
      </c>
    </row>
    <row r="5005">
      <c r="A5005" t="inlineStr">
        <is>
          <t>Nada Rogic</t>
        </is>
      </c>
      <c r="B5005" t="n">
        <v>1</v>
      </c>
      <c r="C5005" t="n">
        <v>2000</v>
      </c>
      <c r="D5005" t="n">
        <v>2000</v>
      </c>
      <c r="E5005" t="inlineStr">
        <is>
          <t>Mission: Impossible II</t>
        </is>
      </c>
      <c r="F5005" t="inlineStr">
        <is>
          <t>F0222</t>
        </is>
      </c>
    </row>
    <row r="5006">
      <c r="A5006" t="inlineStr">
        <is>
          <t>Antonio Vargas</t>
        </is>
      </c>
      <c r="B5006" t="n">
        <v>1</v>
      </c>
      <c r="C5006" t="n">
        <v>2000</v>
      </c>
      <c r="D5006" t="n">
        <v>2000</v>
      </c>
      <c r="E5006" t="inlineStr">
        <is>
          <t>Mission: Impossible II</t>
        </is>
      </c>
      <c r="F5006" t="inlineStr">
        <is>
          <t>F0222</t>
        </is>
      </c>
    </row>
    <row r="5007">
      <c r="A5007" t="inlineStr">
        <is>
          <t>Jonathan Rhys Meyers</t>
        </is>
      </c>
      <c r="B5007" t="n">
        <v>1</v>
      </c>
      <c r="C5007" t="n">
        <v>2006</v>
      </c>
      <c r="D5007" t="n">
        <v>2006</v>
      </c>
      <c r="E5007" t="inlineStr">
        <is>
          <t>Mission: Impossible III</t>
        </is>
      </c>
      <c r="F5007" t="inlineStr">
        <is>
          <t>F0223</t>
        </is>
      </c>
    </row>
    <row r="5008">
      <c r="A5008" t="inlineStr">
        <is>
          <t>Bahar Soomekh</t>
        </is>
      </c>
      <c r="B5008" t="n">
        <v>1</v>
      </c>
      <c r="C5008" t="n">
        <v>2006</v>
      </c>
      <c r="D5008" t="n">
        <v>2006</v>
      </c>
      <c r="E5008" t="inlineStr">
        <is>
          <t>Mission: Impossible III</t>
        </is>
      </c>
      <c r="F5008" t="inlineStr">
        <is>
          <t>F0223</t>
        </is>
      </c>
    </row>
    <row r="5009">
      <c r="A5009" t="inlineStr">
        <is>
          <t>Jeff Chase</t>
        </is>
      </c>
      <c r="B5009" t="n">
        <v>1</v>
      </c>
      <c r="C5009" t="n">
        <v>2006</v>
      </c>
      <c r="D5009" t="n">
        <v>2006</v>
      </c>
      <c r="E5009" t="inlineStr">
        <is>
          <t>Mission: Impossible III</t>
        </is>
      </c>
      <c r="F5009" t="inlineStr">
        <is>
          <t>F0223</t>
        </is>
      </c>
    </row>
    <row r="5010">
      <c r="A5010" t="inlineStr">
        <is>
          <t>Bellamy Young</t>
        </is>
      </c>
      <c r="B5010" t="n">
        <v>1</v>
      </c>
      <c r="C5010" t="n">
        <v>2006</v>
      </c>
      <c r="D5010" t="n">
        <v>2006</v>
      </c>
      <c r="E5010" t="inlineStr">
        <is>
          <t>Mission: Impossible III</t>
        </is>
      </c>
      <c r="F5010" t="inlineStr">
        <is>
          <t>F0223</t>
        </is>
      </c>
    </row>
    <row r="5011">
      <c r="A5011" t="inlineStr">
        <is>
          <t>Paul Keeley</t>
        </is>
      </c>
      <c r="B5011" t="n">
        <v>1</v>
      </c>
      <c r="C5011" t="n">
        <v>2006</v>
      </c>
      <c r="D5011" t="n">
        <v>2006</v>
      </c>
      <c r="E5011" t="inlineStr">
        <is>
          <t>Mission: Impossible III</t>
        </is>
      </c>
      <c r="F5011" t="inlineStr">
        <is>
          <t>F0223</t>
        </is>
      </c>
    </row>
    <row r="5012">
      <c r="A5012" t="inlineStr">
        <is>
          <t>Jane Daly</t>
        </is>
      </c>
      <c r="B5012" t="n">
        <v>1</v>
      </c>
      <c r="C5012" t="n">
        <v>2006</v>
      </c>
      <c r="D5012" t="n">
        <v>2006</v>
      </c>
      <c r="E5012" t="inlineStr">
        <is>
          <t>Mission: Impossible III</t>
        </is>
      </c>
      <c r="F5012" t="inlineStr">
        <is>
          <t>F0223</t>
        </is>
      </c>
    </row>
    <row r="5013">
      <c r="A5013" t="inlineStr">
        <is>
          <t>Greg Grunberg</t>
        </is>
      </c>
      <c r="B5013" t="n">
        <v>4</v>
      </c>
      <c r="C5013" t="n">
        <v>2006</v>
      </c>
      <c r="D5013" t="n">
        <v>2019</v>
      </c>
      <c r="E5013" t="inlineStr">
        <is>
          <t>Mission: Impossible III, Star Wars: The Force Awakens, Star Wars: The Rise of Skywalker, Super 8</t>
        </is>
      </c>
      <c r="F5013" t="inlineStr">
        <is>
          <t>F0223, F0298, F0300, F0302</t>
        </is>
      </c>
    </row>
    <row r="5014">
      <c r="A5014" t="inlineStr">
        <is>
          <t>Sabra Williams</t>
        </is>
      </c>
      <c r="B5014" t="n">
        <v>1</v>
      </c>
      <c r="C5014" t="n">
        <v>2006</v>
      </c>
      <c r="D5014" t="n">
        <v>2006</v>
      </c>
      <c r="E5014" t="inlineStr">
        <is>
          <t>Mission: Impossible III</t>
        </is>
      </c>
      <c r="F5014" t="inlineStr">
        <is>
          <t>F0223</t>
        </is>
      </c>
    </row>
    <row r="5015">
      <c r="A5015" t="inlineStr">
        <is>
          <t>Rose Rollins</t>
        </is>
      </c>
      <c r="B5015" t="n">
        <v>1</v>
      </c>
      <c r="C5015" t="n">
        <v>2006</v>
      </c>
      <c r="D5015" t="n">
        <v>2006</v>
      </c>
      <c r="E5015" t="inlineStr">
        <is>
          <t>Mission: Impossible III</t>
        </is>
      </c>
      <c r="F5015" t="inlineStr">
        <is>
          <t>F0223</t>
        </is>
      </c>
    </row>
    <row r="5016">
      <c r="A5016" t="inlineStr">
        <is>
          <t>Sasha Alexander</t>
        </is>
      </c>
      <c r="B5016" t="n">
        <v>1</v>
      </c>
      <c r="C5016" t="n">
        <v>2006</v>
      </c>
      <c r="D5016" t="n">
        <v>2006</v>
      </c>
      <c r="E5016" t="inlineStr">
        <is>
          <t>Mission: Impossible III</t>
        </is>
      </c>
      <c r="F5016" t="inlineStr">
        <is>
          <t>F0223</t>
        </is>
      </c>
    </row>
    <row r="5017">
      <c r="A5017" t="inlineStr">
        <is>
          <t>Tracy Middendorf</t>
        </is>
      </c>
      <c r="B5017" t="n">
        <v>1</v>
      </c>
      <c r="C5017" t="n">
        <v>2006</v>
      </c>
      <c r="D5017" t="n">
        <v>2006</v>
      </c>
      <c r="E5017" t="inlineStr">
        <is>
          <t>Mission: Impossible III</t>
        </is>
      </c>
      <c r="F5017" t="inlineStr">
        <is>
          <t>F0223</t>
        </is>
      </c>
    </row>
    <row r="5018">
      <c r="A5018" t="inlineStr">
        <is>
          <t>Kathryn Fiore</t>
        </is>
      </c>
      <c r="B5018" t="n">
        <v>1</v>
      </c>
      <c r="C5018" t="n">
        <v>2006</v>
      </c>
      <c r="D5018" t="n">
        <v>2006</v>
      </c>
      <c r="E5018" t="inlineStr">
        <is>
          <t>Mission: Impossible III</t>
        </is>
      </c>
      <c r="F5018" t="inlineStr">
        <is>
          <t>F0223</t>
        </is>
      </c>
    </row>
    <row r="5019">
      <c r="A5019" t="inlineStr">
        <is>
          <t>Colleen Crozier</t>
        </is>
      </c>
      <c r="B5019" t="n">
        <v>1</v>
      </c>
      <c r="C5019" t="n">
        <v>2006</v>
      </c>
      <c r="D5019" t="n">
        <v>2006</v>
      </c>
      <c r="E5019" t="inlineStr">
        <is>
          <t>Mission: Impossible III</t>
        </is>
      </c>
      <c r="F5019" t="inlineStr">
        <is>
          <t>F0223</t>
        </is>
      </c>
    </row>
    <row r="5020">
      <c r="A5020" t="inlineStr">
        <is>
          <t>Sean O'Bryan</t>
        </is>
      </c>
      <c r="B5020" t="n">
        <v>2</v>
      </c>
      <c r="C5020" t="n">
        <v>2006</v>
      </c>
      <c r="D5020" t="n">
        <v>2013</v>
      </c>
      <c r="E5020" t="inlineStr">
        <is>
          <t>Mission: Impossible III, Olympus Has Fallen</t>
        </is>
      </c>
      <c r="F5020" t="inlineStr">
        <is>
          <t>F0223, F0240</t>
        </is>
      </c>
    </row>
    <row r="5021">
      <c r="A5021" t="inlineStr">
        <is>
          <t>Ellen Bry</t>
        </is>
      </c>
      <c r="B5021" t="n">
        <v>1</v>
      </c>
      <c r="C5021" t="n">
        <v>2006</v>
      </c>
      <c r="D5021" t="n">
        <v>2006</v>
      </c>
      <c r="E5021" t="inlineStr">
        <is>
          <t>Mission: Impossible III</t>
        </is>
      </c>
      <c r="F5021" t="inlineStr">
        <is>
          <t>F0223</t>
        </is>
      </c>
    </row>
    <row r="5022">
      <c r="A5022" t="inlineStr">
        <is>
          <t>Patrick Pankhurst</t>
        </is>
      </c>
      <c r="B5022" t="n">
        <v>1</v>
      </c>
      <c r="C5022" t="n">
        <v>2006</v>
      </c>
      <c r="D5022" t="n">
        <v>2006</v>
      </c>
      <c r="E5022" t="inlineStr">
        <is>
          <t>Mission: Impossible III</t>
        </is>
      </c>
      <c r="F5022" t="inlineStr">
        <is>
          <t>F0223</t>
        </is>
      </c>
    </row>
    <row r="5023">
      <c r="A5023" t="inlineStr">
        <is>
          <t>Vladimir Mashkov</t>
        </is>
      </c>
      <c r="B5023" t="n">
        <v>1</v>
      </c>
      <c r="C5023" t="n">
        <v>2011</v>
      </c>
      <c r="D5023" t="n">
        <v>2011</v>
      </c>
      <c r="E5023" t="inlineStr">
        <is>
          <t>Mission: Impossible - Ghost Protocol</t>
        </is>
      </c>
      <c r="F5023" t="inlineStr">
        <is>
          <t>F0224</t>
        </is>
      </c>
    </row>
    <row r="5024">
      <c r="A5024" t="inlineStr">
        <is>
          <t>Samuli Edelmann</t>
        </is>
      </c>
      <c r="B5024" t="n">
        <v>1</v>
      </c>
      <c r="C5024" t="n">
        <v>2011</v>
      </c>
      <c r="D5024" t="n">
        <v>2011</v>
      </c>
      <c r="E5024" t="inlineStr">
        <is>
          <t>Mission: Impossible - Ghost Protocol</t>
        </is>
      </c>
      <c r="F5024" t="inlineStr">
        <is>
          <t>F0224</t>
        </is>
      </c>
    </row>
    <row r="5025">
      <c r="A5025" t="inlineStr">
        <is>
          <t>Ivan Shvedoff</t>
        </is>
      </c>
      <c r="B5025" t="n">
        <v>1</v>
      </c>
      <c r="C5025" t="n">
        <v>2011</v>
      </c>
      <c r="D5025" t="n">
        <v>2011</v>
      </c>
      <c r="E5025" t="inlineStr">
        <is>
          <t>Mission: Impossible - Ghost Protocol</t>
        </is>
      </c>
      <c r="F5025" t="inlineStr">
        <is>
          <t>F0224</t>
        </is>
      </c>
    </row>
    <row r="5026">
      <c r="A5026" t="inlineStr">
        <is>
          <t>Josh Holloway</t>
        </is>
      </c>
      <c r="B5026" t="n">
        <v>1</v>
      </c>
      <c r="C5026" t="n">
        <v>2011</v>
      </c>
      <c r="D5026" t="n">
        <v>2011</v>
      </c>
      <c r="E5026" t="inlineStr">
        <is>
          <t>Mission: Impossible - Ghost Protocol</t>
        </is>
      </c>
      <c r="F5026" t="inlineStr">
        <is>
          <t>F0224</t>
        </is>
      </c>
    </row>
    <row r="5027">
      <c r="A5027" t="inlineStr">
        <is>
          <t>Pavel Kříž</t>
        </is>
      </c>
      <c r="B5027" t="n">
        <v>1</v>
      </c>
      <c r="C5027" t="n">
        <v>2011</v>
      </c>
      <c r="D5027" t="n">
        <v>2011</v>
      </c>
      <c r="E5027" t="inlineStr">
        <is>
          <t>Mission: Impossible - Ghost Protocol</t>
        </is>
      </c>
      <c r="F5027" t="inlineStr">
        <is>
          <t>F0224</t>
        </is>
      </c>
    </row>
    <row r="5028">
      <c r="A5028" t="inlineStr">
        <is>
          <t>Ilia Volok</t>
        </is>
      </c>
      <c r="B5028" t="n">
        <v>1</v>
      </c>
      <c r="C5028" t="n">
        <v>2011</v>
      </c>
      <c r="D5028" t="n">
        <v>2011</v>
      </c>
      <c r="E5028" t="inlineStr">
        <is>
          <t>Mission: Impossible - Ghost Protocol</t>
        </is>
      </c>
      <c r="F5028" t="inlineStr">
        <is>
          <t>F0224</t>
        </is>
      </c>
    </row>
    <row r="5029">
      <c r="A5029" t="inlineStr">
        <is>
          <t>Goran Navojec</t>
        </is>
      </c>
      <c r="B5029" t="n">
        <v>1</v>
      </c>
      <c r="C5029" t="n">
        <v>2011</v>
      </c>
      <c r="D5029" t="n">
        <v>2011</v>
      </c>
      <c r="E5029" t="inlineStr">
        <is>
          <t>Mission: Impossible - Ghost Protocol</t>
        </is>
      </c>
      <c r="F5029" t="inlineStr">
        <is>
          <t>F0224</t>
        </is>
      </c>
    </row>
    <row r="5030">
      <c r="A5030" t="inlineStr">
        <is>
          <t>Pavel Bezděk</t>
        </is>
      </c>
      <c r="B5030" t="n">
        <v>1</v>
      </c>
      <c r="C5030" t="n">
        <v>2011</v>
      </c>
      <c r="D5030" t="n">
        <v>2011</v>
      </c>
      <c r="E5030" t="inlineStr">
        <is>
          <t>Mission: Impossible - Ghost Protocol</t>
        </is>
      </c>
      <c r="F5030" t="inlineStr">
        <is>
          <t>F0224</t>
        </is>
      </c>
    </row>
    <row r="5031">
      <c r="A5031" t="inlineStr">
        <is>
          <t>Ladislav Beran</t>
        </is>
      </c>
      <c r="B5031" t="n">
        <v>1</v>
      </c>
      <c r="C5031" t="n">
        <v>2011</v>
      </c>
      <c r="D5031" t="n">
        <v>2011</v>
      </c>
      <c r="E5031" t="inlineStr">
        <is>
          <t>Mission: Impossible - Ghost Protocol</t>
        </is>
      </c>
      <c r="F5031" t="inlineStr">
        <is>
          <t>F0224</t>
        </is>
      </c>
    </row>
    <row r="5032">
      <c r="A5032" t="inlineStr">
        <is>
          <t>Jan Filipenský</t>
        </is>
      </c>
      <c r="B5032" t="n">
        <v>1</v>
      </c>
      <c r="C5032" t="n">
        <v>2011</v>
      </c>
      <c r="D5032" t="n">
        <v>2011</v>
      </c>
      <c r="E5032" t="inlineStr">
        <is>
          <t>Mission: Impossible - Ghost Protocol</t>
        </is>
      </c>
      <c r="F5032" t="inlineStr">
        <is>
          <t>F0224</t>
        </is>
      </c>
    </row>
    <row r="5033">
      <c r="A5033" t="inlineStr">
        <is>
          <t>Jiří Kraus</t>
        </is>
      </c>
      <c r="B5033" t="n">
        <v>1</v>
      </c>
      <c r="C5033" t="n">
        <v>2011</v>
      </c>
      <c r="D5033" t="n">
        <v>2011</v>
      </c>
      <c r="E5033" t="inlineStr">
        <is>
          <t>Mission: Impossible - Ghost Protocol</t>
        </is>
      </c>
      <c r="F5033" t="inlineStr">
        <is>
          <t>F0224</t>
        </is>
      </c>
    </row>
    <row r="5034">
      <c r="A5034" t="inlineStr">
        <is>
          <t>Ales Putik</t>
        </is>
      </c>
      <c r="B5034" t="n">
        <v>1</v>
      </c>
      <c r="C5034" t="n">
        <v>2011</v>
      </c>
      <c r="D5034" t="n">
        <v>2011</v>
      </c>
      <c r="E5034" t="inlineStr">
        <is>
          <t>Mission: Impossible - Ghost Protocol</t>
        </is>
      </c>
      <c r="F5034" t="inlineStr">
        <is>
          <t>F0224</t>
        </is>
      </c>
    </row>
    <row r="5035">
      <c r="A5035" t="inlineStr">
        <is>
          <t>Tomáš Valík</t>
        </is>
      </c>
      <c r="B5035" t="n">
        <v>1</v>
      </c>
      <c r="C5035" t="n">
        <v>2011</v>
      </c>
      <c r="D5035" t="n">
        <v>2011</v>
      </c>
      <c r="E5035" t="inlineStr">
        <is>
          <t>Mission: Impossible - Ghost Protocol</t>
        </is>
      </c>
      <c r="F5035" t="inlineStr">
        <is>
          <t>F0224</t>
        </is>
      </c>
    </row>
    <row r="5036">
      <c r="A5036" t="inlineStr">
        <is>
          <t>Pavel Cajzl</t>
        </is>
      </c>
      <c r="B5036" t="n">
        <v>1</v>
      </c>
      <c r="C5036" t="n">
        <v>2011</v>
      </c>
      <c r="D5036" t="n">
        <v>2011</v>
      </c>
      <c r="E5036" t="inlineStr">
        <is>
          <t>Mission: Impossible - Ghost Protocol</t>
        </is>
      </c>
      <c r="F5036" t="inlineStr">
        <is>
          <t>F0224</t>
        </is>
      </c>
    </row>
    <row r="5037">
      <c r="A5037" t="inlineStr">
        <is>
          <t>Randy Hall</t>
        </is>
      </c>
      <c r="B5037" t="n">
        <v>1</v>
      </c>
      <c r="C5037" t="n">
        <v>2011</v>
      </c>
      <c r="D5037" t="n">
        <v>2011</v>
      </c>
      <c r="E5037" t="inlineStr">
        <is>
          <t>Mission: Impossible - Ghost Protocol</t>
        </is>
      </c>
      <c r="F5037" t="inlineStr">
        <is>
          <t>F0224</t>
        </is>
      </c>
    </row>
    <row r="5038">
      <c r="A5038" t="inlineStr">
        <is>
          <t>Vitaly Kravchenko</t>
        </is>
      </c>
      <c r="B5038" t="n">
        <v>1</v>
      </c>
      <c r="C5038" t="n">
        <v>2011</v>
      </c>
      <c r="D5038" t="n">
        <v>2011</v>
      </c>
      <c r="E5038" t="inlineStr">
        <is>
          <t>Mission: Impossible - Ghost Protocol</t>
        </is>
      </c>
      <c r="F5038" t="inlineStr">
        <is>
          <t>F0224</t>
        </is>
      </c>
    </row>
    <row r="5039">
      <c r="A5039" t="inlineStr">
        <is>
          <t>Andrej Bestchastny</t>
        </is>
      </c>
      <c r="B5039" t="n">
        <v>1</v>
      </c>
      <c r="C5039" t="n">
        <v>2011</v>
      </c>
      <c r="D5039" t="n">
        <v>2011</v>
      </c>
      <c r="E5039" t="inlineStr">
        <is>
          <t>Mission: Impossible - Ghost Protocol</t>
        </is>
      </c>
      <c r="F5039" t="inlineStr">
        <is>
          <t>F0224</t>
        </is>
      </c>
    </row>
    <row r="5040">
      <c r="A5040" t="inlineStr">
        <is>
          <t>Mike Dopud</t>
        </is>
      </c>
      <c r="B5040" t="n">
        <v>2</v>
      </c>
      <c r="C5040" t="n">
        <v>2011</v>
      </c>
      <c r="D5040" t="n">
        <v>2014</v>
      </c>
      <c r="E5040" t="inlineStr">
        <is>
          <t>Mission: Impossible - Ghost Protocol, X-Men: Days of Future Past</t>
        </is>
      </c>
      <c r="F5040" t="inlineStr">
        <is>
          <t>F0224, F0341</t>
        </is>
      </c>
    </row>
    <row r="5041">
      <c r="A5041" t="inlineStr">
        <is>
          <t>Martin Hub</t>
        </is>
      </c>
      <c r="B5041" t="n">
        <v>1</v>
      </c>
      <c r="C5041" t="n">
        <v>2011</v>
      </c>
      <c r="D5041" t="n">
        <v>2011</v>
      </c>
      <c r="E5041" t="inlineStr">
        <is>
          <t>Mission: Impossible - Ghost Protocol</t>
        </is>
      </c>
      <c r="F5041" t="inlineStr">
        <is>
          <t>F0224</t>
        </is>
      </c>
    </row>
    <row r="5042">
      <c r="A5042" t="inlineStr">
        <is>
          <t>Ivo Novák</t>
        </is>
      </c>
      <c r="B5042" t="n">
        <v>1</v>
      </c>
      <c r="C5042" t="n">
        <v>2011</v>
      </c>
      <c r="D5042" t="n">
        <v>2011</v>
      </c>
      <c r="E5042" t="inlineStr">
        <is>
          <t>Mission: Impossible - Ghost Protocol</t>
        </is>
      </c>
      <c r="F5042" t="inlineStr">
        <is>
          <t>F0224</t>
        </is>
      </c>
    </row>
    <row r="5043">
      <c r="A5043" t="inlineStr">
        <is>
          <t>Anastasiya Novikova</t>
        </is>
      </c>
      <c r="B5043" t="n">
        <v>1</v>
      </c>
      <c r="C5043" t="n">
        <v>2011</v>
      </c>
      <c r="D5043" t="n">
        <v>2011</v>
      </c>
      <c r="E5043" t="inlineStr">
        <is>
          <t>Mission: Impossible - Ghost Protocol</t>
        </is>
      </c>
      <c r="F5043" t="inlineStr">
        <is>
          <t>F0224</t>
        </is>
      </c>
    </row>
    <row r="5044">
      <c r="A5044" t="inlineStr">
        <is>
          <t>Marek Dobeš</t>
        </is>
      </c>
      <c r="B5044" t="n">
        <v>1</v>
      </c>
      <c r="C5044" t="n">
        <v>2011</v>
      </c>
      <c r="D5044" t="n">
        <v>2011</v>
      </c>
      <c r="E5044" t="inlineStr">
        <is>
          <t>Mission: Impossible - Ghost Protocol</t>
        </is>
      </c>
      <c r="F5044" t="inlineStr">
        <is>
          <t>F0224</t>
        </is>
      </c>
    </row>
    <row r="5045">
      <c r="A5045" t="inlineStr">
        <is>
          <t>Sean Harris</t>
        </is>
      </c>
      <c r="B5045" t="n">
        <v>3</v>
      </c>
      <c r="C5045" t="n">
        <v>2012</v>
      </c>
      <c r="D5045" t="n">
        <v>2018</v>
      </c>
      <c r="E5045" t="inlineStr">
        <is>
          <t>Mission: Impossible - Rogue Nation, Mission: Impossible - Fallout, Prometheus</t>
        </is>
      </c>
      <c r="F5045" t="inlineStr">
        <is>
          <t>F0225, F0226, F0259</t>
        </is>
      </c>
    </row>
    <row r="5046">
      <c r="A5046" t="inlineStr">
        <is>
          <t>Zhang Jingchu</t>
        </is>
      </c>
      <c r="B5046" t="n">
        <v>2</v>
      </c>
      <c r="C5046" t="n">
        <v>2007</v>
      </c>
      <c r="D5046" t="n">
        <v>2015</v>
      </c>
      <c r="E5046" t="inlineStr">
        <is>
          <t>Mission: Impossible - Rogue Nation, Rush Hour 3</t>
        </is>
      </c>
      <c r="F5046" t="inlineStr">
        <is>
          <t>F0225, F0271</t>
        </is>
      </c>
    </row>
    <row r="5047">
      <c r="A5047" t="inlineStr">
        <is>
          <t>Jens Hultén</t>
        </is>
      </c>
      <c r="B5047" t="n">
        <v>1</v>
      </c>
      <c r="C5047" t="n">
        <v>2015</v>
      </c>
      <c r="D5047" t="n">
        <v>2015</v>
      </c>
      <c r="E5047" t="inlineStr">
        <is>
          <t>Mission: Impossible - Rogue Nation</t>
        </is>
      </c>
      <c r="F5047" t="inlineStr">
        <is>
          <t>F0225</t>
        </is>
      </c>
    </row>
    <row r="5048">
      <c r="A5048" t="inlineStr">
        <is>
          <t>Mateo Rufino</t>
        </is>
      </c>
      <c r="B5048" t="n">
        <v>1</v>
      </c>
      <c r="C5048" t="n">
        <v>2015</v>
      </c>
      <c r="D5048" t="n">
        <v>2015</v>
      </c>
      <c r="E5048" t="inlineStr">
        <is>
          <t>Mission: Impossible - Rogue Nation</t>
        </is>
      </c>
      <c r="F5048" t="inlineStr">
        <is>
          <t>F0225</t>
        </is>
      </c>
    </row>
    <row r="5049">
      <c r="A5049" t="inlineStr">
        <is>
          <t>Fernando Abadie</t>
        </is>
      </c>
      <c r="B5049" t="n">
        <v>1</v>
      </c>
      <c r="C5049" t="n">
        <v>2015</v>
      </c>
      <c r="D5049" t="n">
        <v>2015</v>
      </c>
      <c r="E5049" t="inlineStr">
        <is>
          <t>Mission: Impossible - Rogue Nation</t>
        </is>
      </c>
      <c r="F5049" t="inlineStr">
        <is>
          <t>F0225</t>
        </is>
      </c>
    </row>
    <row r="5050">
      <c r="A5050" t="inlineStr">
        <is>
          <t>Alec Utgoff</t>
        </is>
      </c>
      <c r="B5050" t="n">
        <v>1</v>
      </c>
      <c r="C5050" t="n">
        <v>2015</v>
      </c>
      <c r="D5050" t="n">
        <v>2015</v>
      </c>
      <c r="E5050" t="inlineStr">
        <is>
          <t>Mission: Impossible - Rogue Nation</t>
        </is>
      </c>
      <c r="F5050" t="inlineStr">
        <is>
          <t>F0225</t>
        </is>
      </c>
    </row>
    <row r="5051">
      <c r="A5051" t="inlineStr">
        <is>
          <t>Hermione Corfield</t>
        </is>
      </c>
      <c r="B5051" t="n">
        <v>2</v>
      </c>
      <c r="C5051" t="n">
        <v>2015</v>
      </c>
      <c r="D5051" t="n">
        <v>2017</v>
      </c>
      <c r="E5051" t="inlineStr">
        <is>
          <t>Mission: Impossible - Rogue Nation, Star Wars: The Last Jedi</t>
        </is>
      </c>
      <c r="F5051" t="inlineStr">
        <is>
          <t>F0225, F0299</t>
        </is>
      </c>
    </row>
    <row r="5052">
      <c r="A5052" t="inlineStr">
        <is>
          <t>Nigel Barber</t>
        </is>
      </c>
      <c r="B5052" t="n">
        <v>1</v>
      </c>
      <c r="C5052" t="n">
        <v>2015</v>
      </c>
      <c r="D5052" t="n">
        <v>2015</v>
      </c>
      <c r="E5052" t="inlineStr">
        <is>
          <t>Mission: Impossible - Rogue Nation</t>
        </is>
      </c>
      <c r="F5052" t="inlineStr">
        <is>
          <t>F0225</t>
        </is>
      </c>
    </row>
    <row r="5053">
      <c r="A5053" t="inlineStr">
        <is>
          <t>William Roberts</t>
        </is>
      </c>
      <c r="B5053" t="n">
        <v>1</v>
      </c>
      <c r="C5053" t="n">
        <v>2015</v>
      </c>
      <c r="D5053" t="n">
        <v>2015</v>
      </c>
      <c r="E5053" t="inlineStr">
        <is>
          <t>Mission: Impossible - Rogue Nation</t>
        </is>
      </c>
      <c r="F5053" t="inlineStr">
        <is>
          <t>F0225</t>
        </is>
      </c>
    </row>
    <row r="5054">
      <c r="A5054" t="inlineStr">
        <is>
          <t>Patrick Poletti</t>
        </is>
      </c>
      <c r="B5054" t="n">
        <v>1</v>
      </c>
      <c r="C5054" t="n">
        <v>2015</v>
      </c>
      <c r="D5054" t="n">
        <v>2015</v>
      </c>
      <c r="E5054" t="inlineStr">
        <is>
          <t>Mission: Impossible - Rogue Nation</t>
        </is>
      </c>
      <c r="F5054" t="inlineStr">
        <is>
          <t>F0225</t>
        </is>
      </c>
    </row>
    <row r="5055">
      <c r="A5055" t="inlineStr">
        <is>
          <t>Martin Cochrane</t>
        </is>
      </c>
      <c r="B5055" t="n">
        <v>1</v>
      </c>
      <c r="C5055" t="n">
        <v>2015</v>
      </c>
      <c r="D5055" t="n">
        <v>2015</v>
      </c>
      <c r="E5055" t="inlineStr">
        <is>
          <t>Mission: Impossible - Rogue Nation</t>
        </is>
      </c>
      <c r="F5055" t="inlineStr">
        <is>
          <t>F0225</t>
        </is>
      </c>
    </row>
    <row r="5056">
      <c r="A5056" t="inlineStr">
        <is>
          <t>David Peart</t>
        </is>
      </c>
      <c r="B5056" t="n">
        <v>1</v>
      </c>
      <c r="C5056" t="n">
        <v>2015</v>
      </c>
      <c r="D5056" t="n">
        <v>2015</v>
      </c>
      <c r="E5056" t="inlineStr">
        <is>
          <t>Mission: Impossible - Rogue Nation</t>
        </is>
      </c>
      <c r="F5056" t="inlineStr">
        <is>
          <t>F0225</t>
        </is>
      </c>
    </row>
    <row r="5057">
      <c r="A5057" t="inlineStr">
        <is>
          <t>Barnabás Réti</t>
        </is>
      </c>
      <c r="B5057" t="n">
        <v>1</v>
      </c>
      <c r="C5057" t="n">
        <v>2015</v>
      </c>
      <c r="D5057" t="n">
        <v>2015</v>
      </c>
      <c r="E5057" t="inlineStr">
        <is>
          <t>Mission: Impossible - Rogue Nation</t>
        </is>
      </c>
      <c r="F5057" t="inlineStr">
        <is>
          <t>F0225</t>
        </is>
      </c>
    </row>
    <row r="5058">
      <c r="A5058" t="inlineStr">
        <is>
          <t>Ash Merat</t>
        </is>
      </c>
      <c r="B5058" t="n">
        <v>1</v>
      </c>
      <c r="C5058" t="n">
        <v>2015</v>
      </c>
      <c r="D5058" t="n">
        <v>2015</v>
      </c>
      <c r="E5058" t="inlineStr">
        <is>
          <t>Mission: Impossible - Rogue Nation</t>
        </is>
      </c>
      <c r="F5058" t="inlineStr">
        <is>
          <t>F0225</t>
        </is>
      </c>
    </row>
    <row r="5059">
      <c r="A5059" t="inlineStr">
        <is>
          <t>James Weber Brown</t>
        </is>
      </c>
      <c r="B5059" t="n">
        <v>1</v>
      </c>
      <c r="C5059" t="n">
        <v>2015</v>
      </c>
      <c r="D5059" t="n">
        <v>2015</v>
      </c>
      <c r="E5059" t="inlineStr">
        <is>
          <t>Mission: Impossible - Rogue Nation</t>
        </is>
      </c>
      <c r="F5059" t="inlineStr">
        <is>
          <t>F0225</t>
        </is>
      </c>
    </row>
    <row r="5060">
      <c r="A5060" t="inlineStr">
        <is>
          <t>Robert Maaser</t>
        </is>
      </c>
      <c r="B5060" t="n">
        <v>1</v>
      </c>
      <c r="C5060" t="n">
        <v>2015</v>
      </c>
      <c r="D5060" t="n">
        <v>2015</v>
      </c>
      <c r="E5060" t="inlineStr">
        <is>
          <t>Mission: Impossible - Rogue Nation</t>
        </is>
      </c>
      <c r="F5060" t="inlineStr">
        <is>
          <t>F0225</t>
        </is>
      </c>
    </row>
    <row r="5061">
      <c r="A5061" t="inlineStr">
        <is>
          <t>Wolfgang Stegemann</t>
        </is>
      </c>
      <c r="B5061" t="n">
        <v>1</v>
      </c>
      <c r="C5061" t="n">
        <v>2015</v>
      </c>
      <c r="D5061" t="n">
        <v>2015</v>
      </c>
      <c r="E5061" t="inlineStr">
        <is>
          <t>Mission: Impossible - Rogue Nation</t>
        </is>
      </c>
      <c r="F5061" t="inlineStr">
        <is>
          <t>F0225</t>
        </is>
      </c>
    </row>
    <row r="5062">
      <c r="A5062" t="inlineStr">
        <is>
          <t>Eva-Marie Becker</t>
        </is>
      </c>
      <c r="B5062" t="n">
        <v>1</v>
      </c>
      <c r="C5062" t="n">
        <v>2015</v>
      </c>
      <c r="D5062" t="n">
        <v>2015</v>
      </c>
      <c r="E5062" t="inlineStr">
        <is>
          <t>Mission: Impossible - Rogue Nation</t>
        </is>
      </c>
      <c r="F5062" t="inlineStr">
        <is>
          <t>F0225</t>
        </is>
      </c>
    </row>
    <row r="5063">
      <c r="A5063" t="inlineStr">
        <is>
          <t>Jesus Alvarez</t>
        </is>
      </c>
      <c r="B5063" t="n">
        <v>1</v>
      </c>
      <c r="C5063" t="n">
        <v>2015</v>
      </c>
      <c r="D5063" t="n">
        <v>2015</v>
      </c>
      <c r="E5063" t="inlineStr">
        <is>
          <t>Mission: Impossible - Rogue Nation</t>
        </is>
      </c>
      <c r="F5063" t="inlineStr">
        <is>
          <t>F0225</t>
        </is>
      </c>
    </row>
    <row r="5064">
      <c r="A5064" t="inlineStr">
        <is>
          <t>America Olivo</t>
        </is>
      </c>
      <c r="B5064" t="n">
        <v>2</v>
      </c>
      <c r="C5064" t="n">
        <v>2009</v>
      </c>
      <c r="D5064" t="n">
        <v>2015</v>
      </c>
      <c r="E5064" t="inlineStr">
        <is>
          <t>Mission: Impossible - Rogue Nation, Transformers: Revenge of the Fallen</t>
        </is>
      </c>
      <c r="F5064" t="inlineStr">
        <is>
          <t>F0225, F0317</t>
        </is>
      </c>
    </row>
    <row r="5065">
      <c r="A5065" t="inlineStr">
        <is>
          <t>James Cleverton</t>
        </is>
      </c>
      <c r="B5065" t="n">
        <v>1</v>
      </c>
      <c r="C5065" t="n">
        <v>2015</v>
      </c>
      <c r="D5065" t="n">
        <v>2015</v>
      </c>
      <c r="E5065" t="inlineStr">
        <is>
          <t>Mission: Impossible - Rogue Nation</t>
        </is>
      </c>
      <c r="F5065" t="inlineStr">
        <is>
          <t>F0225</t>
        </is>
      </c>
    </row>
    <row r="5066">
      <c r="A5066" t="inlineStr">
        <is>
          <t>Frederick Schmidt</t>
        </is>
      </c>
      <c r="B5066" t="n">
        <v>2</v>
      </c>
      <c r="C5066" t="n">
        <v>2018</v>
      </c>
      <c r="D5066" t="n">
        <v>2023</v>
      </c>
      <c r="E5066" t="inlineStr">
        <is>
          <t>Mission: Impossible - Fallout, Mission: Impossible - Dead Reckoning Part One</t>
        </is>
      </c>
      <c r="F5066" t="inlineStr">
        <is>
          <t>F0226, F0227</t>
        </is>
      </c>
    </row>
    <row r="5067">
      <c r="A5067" t="inlineStr">
        <is>
          <t>Kristoffer Joner</t>
        </is>
      </c>
      <c r="B5067" t="n">
        <v>1</v>
      </c>
      <c r="C5067" t="n">
        <v>2018</v>
      </c>
      <c r="D5067" t="n">
        <v>2018</v>
      </c>
      <c r="E5067" t="inlineStr">
        <is>
          <t>Mission: Impossible - Fallout</t>
        </is>
      </c>
      <c r="F5067" t="inlineStr">
        <is>
          <t>F0226</t>
        </is>
      </c>
    </row>
    <row r="5068">
      <c r="A5068" t="inlineStr">
        <is>
          <t>Raphael Acloque</t>
        </is>
      </c>
      <c r="B5068" t="n">
        <v>1</v>
      </c>
      <c r="C5068" t="n">
        <v>2018</v>
      </c>
      <c r="D5068" t="n">
        <v>2018</v>
      </c>
      <c r="E5068" t="inlineStr">
        <is>
          <t>Mission: Impossible - Fallout</t>
        </is>
      </c>
      <c r="F5068" t="inlineStr">
        <is>
          <t>F0226</t>
        </is>
      </c>
    </row>
    <row r="5069">
      <c r="A5069" t="inlineStr">
        <is>
          <t>Andrew Cazanave Pin</t>
        </is>
      </c>
      <c r="B5069" t="n">
        <v>1</v>
      </c>
      <c r="C5069" t="n">
        <v>2018</v>
      </c>
      <c r="D5069" t="n">
        <v>2018</v>
      </c>
      <c r="E5069" t="inlineStr">
        <is>
          <t>Mission: Impossible - Fallout</t>
        </is>
      </c>
      <c r="F5069" t="inlineStr">
        <is>
          <t>F0226</t>
        </is>
      </c>
    </row>
    <row r="5070">
      <c r="A5070" t="inlineStr">
        <is>
          <t>Christophe de Choisy</t>
        </is>
      </c>
      <c r="B5070" t="n">
        <v>1</v>
      </c>
      <c r="C5070" t="n">
        <v>2018</v>
      </c>
      <c r="D5070" t="n">
        <v>2018</v>
      </c>
      <c r="E5070" t="inlineStr">
        <is>
          <t>Mission: Impossible - Fallout</t>
        </is>
      </c>
      <c r="F5070" t="inlineStr">
        <is>
          <t>F0226</t>
        </is>
      </c>
    </row>
    <row r="5071">
      <c r="A5071" t="inlineStr">
        <is>
          <t>Raphael Desprez</t>
        </is>
      </c>
      <c r="B5071" t="n">
        <v>1</v>
      </c>
      <c r="C5071" t="n">
        <v>2018</v>
      </c>
      <c r="D5071" t="n">
        <v>2018</v>
      </c>
      <c r="E5071" t="inlineStr">
        <is>
          <t>Mission: Impossible - Fallout</t>
        </is>
      </c>
      <c r="F5071" t="inlineStr">
        <is>
          <t>F0226</t>
        </is>
      </c>
    </row>
    <row r="5072">
      <c r="A5072" t="inlineStr">
        <is>
          <t>Jean Baptiste Fillon</t>
        </is>
      </c>
      <c r="B5072" t="n">
        <v>1</v>
      </c>
      <c r="C5072" t="n">
        <v>2018</v>
      </c>
      <c r="D5072" t="n">
        <v>2018</v>
      </c>
      <c r="E5072" t="inlineStr">
        <is>
          <t>Mission: Impossible - Fallout</t>
        </is>
      </c>
      <c r="F5072" t="inlineStr">
        <is>
          <t>F0226</t>
        </is>
      </c>
    </row>
    <row r="5073">
      <c r="A5073" t="inlineStr">
        <is>
          <t>Maximilian Geller</t>
        </is>
      </c>
      <c r="B5073" t="n">
        <v>1</v>
      </c>
      <c r="C5073" t="n">
        <v>2018</v>
      </c>
      <c r="D5073" t="n">
        <v>2018</v>
      </c>
      <c r="E5073" t="inlineStr">
        <is>
          <t>Mission: Impossible - Fallout</t>
        </is>
      </c>
      <c r="F5073" t="inlineStr">
        <is>
          <t>F0226</t>
        </is>
      </c>
    </row>
    <row r="5074">
      <c r="A5074" t="inlineStr">
        <is>
          <t>Olivier Huband</t>
        </is>
      </c>
      <c r="B5074" t="n">
        <v>1</v>
      </c>
      <c r="C5074" t="n">
        <v>2018</v>
      </c>
      <c r="D5074" t="n">
        <v>2018</v>
      </c>
      <c r="E5074" t="inlineStr">
        <is>
          <t>Mission: Impossible - Fallout</t>
        </is>
      </c>
      <c r="F5074" t="inlineStr">
        <is>
          <t>F0226</t>
        </is>
      </c>
    </row>
    <row r="5075">
      <c r="A5075" t="inlineStr">
        <is>
          <t>Vincent Latorre</t>
        </is>
      </c>
      <c r="B5075" t="n">
        <v>1</v>
      </c>
      <c r="C5075" t="n">
        <v>2018</v>
      </c>
      <c r="D5075" t="n">
        <v>2018</v>
      </c>
      <c r="E5075" t="inlineStr">
        <is>
          <t>Mission: Impossible - Fallout</t>
        </is>
      </c>
      <c r="F5075" t="inlineStr">
        <is>
          <t>F0226</t>
        </is>
      </c>
    </row>
    <row r="5076">
      <c r="A5076" t="inlineStr">
        <is>
          <t>Thierry Picaut</t>
        </is>
      </c>
      <c r="B5076" t="n">
        <v>1</v>
      </c>
      <c r="C5076" t="n">
        <v>2018</v>
      </c>
      <c r="D5076" t="n">
        <v>2018</v>
      </c>
      <c r="E5076" t="inlineStr">
        <is>
          <t>Mission: Impossible - Fallout</t>
        </is>
      </c>
      <c r="F5076" t="inlineStr">
        <is>
          <t>F0226</t>
        </is>
      </c>
    </row>
    <row r="5077">
      <c r="A5077" t="inlineStr">
        <is>
          <t>Alexandre Poole</t>
        </is>
      </c>
      <c r="B5077" t="n">
        <v>1</v>
      </c>
      <c r="C5077" t="n">
        <v>2018</v>
      </c>
      <c r="D5077" t="n">
        <v>2018</v>
      </c>
      <c r="E5077" t="inlineStr">
        <is>
          <t>Mission: Impossible - Fallout</t>
        </is>
      </c>
      <c r="F5077" t="inlineStr">
        <is>
          <t>F0226</t>
        </is>
      </c>
    </row>
    <row r="5078">
      <c r="A5078" t="inlineStr">
        <is>
          <t>Guy Remy</t>
        </is>
      </c>
      <c r="B5078" t="n">
        <v>1</v>
      </c>
      <c r="C5078" t="n">
        <v>2018</v>
      </c>
      <c r="D5078" t="n">
        <v>2018</v>
      </c>
      <c r="E5078" t="inlineStr">
        <is>
          <t>Mission: Impossible - Fallout</t>
        </is>
      </c>
      <c r="F5078" t="inlineStr">
        <is>
          <t>F0226</t>
        </is>
      </c>
    </row>
    <row r="5079">
      <c r="A5079" t="inlineStr">
        <is>
          <t>Alix Bénézech</t>
        </is>
      </c>
      <c r="B5079" t="n">
        <v>1</v>
      </c>
      <c r="C5079" t="n">
        <v>2018</v>
      </c>
      <c r="D5079" t="n">
        <v>2018</v>
      </c>
      <c r="E5079" t="inlineStr">
        <is>
          <t>Mission: Impossible - Fallout</t>
        </is>
      </c>
      <c r="F5079" t="inlineStr">
        <is>
          <t>F0226</t>
        </is>
      </c>
    </row>
    <row r="5080">
      <c r="A5080" t="inlineStr">
        <is>
          <t>Velibor Topic</t>
        </is>
      </c>
      <c r="B5080" t="n">
        <v>2</v>
      </c>
      <c r="C5080" t="n">
        <v>2010</v>
      </c>
      <c r="D5080" t="n">
        <v>2018</v>
      </c>
      <c r="E5080" t="inlineStr">
        <is>
          <t>Mission: Impossible - Fallout, Robin Hood</t>
        </is>
      </c>
      <c r="F5080" t="inlineStr">
        <is>
          <t>F0226, F0267</t>
        </is>
      </c>
    </row>
    <row r="5081">
      <c r="A5081" t="inlineStr">
        <is>
          <t>Dean Ashton</t>
        </is>
      </c>
      <c r="B5081" t="n">
        <v>1</v>
      </c>
      <c r="C5081" t="n">
        <v>2018</v>
      </c>
      <c r="D5081" t="n">
        <v>2018</v>
      </c>
      <c r="E5081" t="inlineStr">
        <is>
          <t>Mission: Impossible - Fallout</t>
        </is>
      </c>
      <c r="F5081" t="inlineStr">
        <is>
          <t>F0226</t>
        </is>
      </c>
    </row>
    <row r="5082">
      <c r="A5082" t="inlineStr">
        <is>
          <t>Greg Tarzan Davis</t>
        </is>
      </c>
      <c r="B5082" t="n">
        <v>2</v>
      </c>
      <c r="C5082" t="n">
        <v>2023</v>
      </c>
      <c r="D5082" t="n">
        <v>2025</v>
      </c>
      <c r="E5082" t="inlineStr">
        <is>
          <t>Mission: Impossible - Dead Reckoning Part One, Mission: Impossible - The Final Reckoning</t>
        </is>
      </c>
      <c r="F5082" t="inlineStr">
        <is>
          <t>F0227, F0228</t>
        </is>
      </c>
    </row>
    <row r="5083">
      <c r="A5083" t="inlineStr">
        <is>
          <t>Mariela Garriga</t>
        </is>
      </c>
      <c r="B5083" t="n">
        <v>1</v>
      </c>
      <c r="C5083" t="n">
        <v>2023</v>
      </c>
      <c r="D5083" t="n">
        <v>2023</v>
      </c>
      <c r="E5083" t="inlineStr">
        <is>
          <t>Mission: Impossible - Dead Reckoning Part One</t>
        </is>
      </c>
      <c r="F5083" t="inlineStr">
        <is>
          <t>F0227</t>
        </is>
      </c>
    </row>
    <row r="5084">
      <c r="A5084" t="inlineStr">
        <is>
          <t>Cary Elwes</t>
        </is>
      </c>
      <c r="B5084" t="n">
        <v>2</v>
      </c>
      <c r="C5084" t="n">
        <v>2023</v>
      </c>
      <c r="D5084" t="n">
        <v>2025</v>
      </c>
      <c r="E5084" t="inlineStr">
        <is>
          <t>Mission: Impossible - Dead Reckoning Part One, Mission: Impossible - The Final Reckoning</t>
        </is>
      </c>
      <c r="F5084" t="inlineStr">
        <is>
          <t>F0227, F0228</t>
        </is>
      </c>
    </row>
    <row r="5085">
      <c r="A5085" t="inlineStr">
        <is>
          <t>Charles Parnell</t>
        </is>
      </c>
      <c r="B5085" t="n">
        <v>3</v>
      </c>
      <c r="C5085" t="n">
        <v>2014</v>
      </c>
      <c r="D5085" t="n">
        <v>2025</v>
      </c>
      <c r="E5085" t="inlineStr">
        <is>
          <t>Mission: Impossible - Dead Reckoning Part One, Mission: Impossible - The Final Reckoning, Transformers: Age of Extinction</t>
        </is>
      </c>
      <c r="F5085" t="inlineStr">
        <is>
          <t>F0227, F0228, F0319</t>
        </is>
      </c>
    </row>
    <row r="5086">
      <c r="A5086" t="inlineStr">
        <is>
          <t>Mark Gatiss</t>
        </is>
      </c>
      <c r="B5086" t="n">
        <v>2</v>
      </c>
      <c r="C5086" t="n">
        <v>2023</v>
      </c>
      <c r="D5086" t="n">
        <v>2025</v>
      </c>
      <c r="E5086" t="inlineStr">
        <is>
          <t>Mission: Impossible - Dead Reckoning Part One, Mission: Impossible - The Final Reckoning</t>
        </is>
      </c>
      <c r="F5086" t="inlineStr">
        <is>
          <t>F0227, F0228</t>
        </is>
      </c>
    </row>
    <row r="5087">
      <c r="A5087" t="inlineStr">
        <is>
          <t>Indira Varma</t>
        </is>
      </c>
      <c r="B5087" t="n">
        <v>1</v>
      </c>
      <c r="C5087" t="n">
        <v>2023</v>
      </c>
      <c r="D5087" t="n">
        <v>2023</v>
      </c>
      <c r="E5087" t="inlineStr">
        <is>
          <t>Mission: Impossible - Dead Reckoning Part One</t>
        </is>
      </c>
      <c r="F5087" t="inlineStr">
        <is>
          <t>F0227</t>
        </is>
      </c>
    </row>
    <row r="5088">
      <c r="A5088" t="inlineStr">
        <is>
          <t>Marcello Walton</t>
        </is>
      </c>
      <c r="B5088" t="n">
        <v>1</v>
      </c>
      <c r="C5088" t="n">
        <v>2023</v>
      </c>
      <c r="D5088" t="n">
        <v>2023</v>
      </c>
      <c r="E5088" t="inlineStr">
        <is>
          <t>Mission: Impossible - Dead Reckoning Part One</t>
        </is>
      </c>
      <c r="F5088" t="inlineStr">
        <is>
          <t>F0227</t>
        </is>
      </c>
    </row>
    <row r="5089">
      <c r="A5089" t="inlineStr">
        <is>
          <t>Brian Law</t>
        </is>
      </c>
      <c r="B5089" t="n">
        <v>1</v>
      </c>
      <c r="C5089" t="n">
        <v>2023</v>
      </c>
      <c r="D5089" t="n">
        <v>2023</v>
      </c>
      <c r="E5089" t="inlineStr">
        <is>
          <t>Mission: Impossible - Dead Reckoning Part One</t>
        </is>
      </c>
      <c r="F5089" t="inlineStr">
        <is>
          <t>F0227</t>
        </is>
      </c>
    </row>
    <row r="5090">
      <c r="A5090" t="inlineStr">
        <is>
          <t>Lincoln Conway</t>
        </is>
      </c>
      <c r="B5090" t="n">
        <v>1</v>
      </c>
      <c r="C5090" t="n">
        <v>2023</v>
      </c>
      <c r="D5090" t="n">
        <v>2023</v>
      </c>
      <c r="E5090" t="inlineStr">
        <is>
          <t>Mission: Impossible - Dead Reckoning Part One</t>
        </is>
      </c>
      <c r="F5090" t="inlineStr">
        <is>
          <t>F0227</t>
        </is>
      </c>
    </row>
    <row r="5091">
      <c r="A5091" t="inlineStr">
        <is>
          <t>Alex James-Phelps</t>
        </is>
      </c>
      <c r="B5091" t="n">
        <v>1</v>
      </c>
      <c r="C5091" t="n">
        <v>2023</v>
      </c>
      <c r="D5091" t="n">
        <v>2023</v>
      </c>
      <c r="E5091" t="inlineStr">
        <is>
          <t>Mission: Impossible - Dead Reckoning Part One</t>
        </is>
      </c>
      <c r="F5091" t="inlineStr">
        <is>
          <t>F0227</t>
        </is>
      </c>
    </row>
    <row r="5092">
      <c r="A5092" t="inlineStr">
        <is>
          <t>Marcin Dorociński</t>
        </is>
      </c>
      <c r="B5092" t="n">
        <v>1</v>
      </c>
      <c r="C5092" t="n">
        <v>2023</v>
      </c>
      <c r="D5092" t="n">
        <v>2023</v>
      </c>
      <c r="E5092" t="inlineStr">
        <is>
          <t>Mission: Impossible - Dead Reckoning Part One</t>
        </is>
      </c>
      <c r="F5092" t="inlineStr">
        <is>
          <t>F0227</t>
        </is>
      </c>
    </row>
    <row r="5093">
      <c r="A5093" t="inlineStr">
        <is>
          <t>Ivan Ivashkin</t>
        </is>
      </c>
      <c r="B5093" t="n">
        <v>1</v>
      </c>
      <c r="C5093" t="n">
        <v>2023</v>
      </c>
      <c r="D5093" t="n">
        <v>2023</v>
      </c>
      <c r="E5093" t="inlineStr">
        <is>
          <t>Mission: Impossible - Dead Reckoning Part One</t>
        </is>
      </c>
      <c r="F5093" t="inlineStr">
        <is>
          <t>F0227</t>
        </is>
      </c>
    </row>
    <row r="5094">
      <c r="A5094" t="inlineStr">
        <is>
          <t>Zahari Baharov</t>
        </is>
      </c>
      <c r="B5094" t="n">
        <v>1</v>
      </c>
      <c r="C5094" t="n">
        <v>2023</v>
      </c>
      <c r="D5094" t="n">
        <v>2023</v>
      </c>
      <c r="E5094" t="inlineStr">
        <is>
          <t>Mission: Impossible - Dead Reckoning Part One</t>
        </is>
      </c>
      <c r="F5094" t="inlineStr">
        <is>
          <t>F0227</t>
        </is>
      </c>
    </row>
    <row r="5095">
      <c r="A5095" t="inlineStr">
        <is>
          <t>Adrian Bouchet</t>
        </is>
      </c>
      <c r="B5095" t="n">
        <v>1</v>
      </c>
      <c r="C5095" t="n">
        <v>2023</v>
      </c>
      <c r="D5095" t="n">
        <v>2023</v>
      </c>
      <c r="E5095" t="inlineStr">
        <is>
          <t>Mission: Impossible - Dead Reckoning Part One</t>
        </is>
      </c>
      <c r="F5095" t="inlineStr">
        <is>
          <t>F0227</t>
        </is>
      </c>
    </row>
    <row r="5096">
      <c r="A5096" t="inlineStr">
        <is>
          <t>Sam Barrett</t>
        </is>
      </c>
      <c r="B5096" t="n">
        <v>1</v>
      </c>
      <c r="C5096" t="n">
        <v>2023</v>
      </c>
      <c r="D5096" t="n">
        <v>2023</v>
      </c>
      <c r="E5096" t="inlineStr">
        <is>
          <t>Mission: Impossible - Dead Reckoning Part One</t>
        </is>
      </c>
      <c r="F5096" t="inlineStr">
        <is>
          <t>F0227</t>
        </is>
      </c>
    </row>
    <row r="5097">
      <c r="A5097" t="inlineStr">
        <is>
          <t>Louis Vaughan</t>
        </is>
      </c>
      <c r="B5097" t="n">
        <v>1</v>
      </c>
      <c r="C5097" t="n">
        <v>2023</v>
      </c>
      <c r="D5097" t="n">
        <v>2023</v>
      </c>
      <c r="E5097" t="inlineStr">
        <is>
          <t>Mission: Impossible - Dead Reckoning Part One</t>
        </is>
      </c>
      <c r="F5097" t="inlineStr">
        <is>
          <t>F0227</t>
        </is>
      </c>
    </row>
    <row r="5098">
      <c r="A5098" t="inlineStr">
        <is>
          <t>Jean Kartal</t>
        </is>
      </c>
      <c r="B5098" t="n">
        <v>1</v>
      </c>
      <c r="C5098" t="n">
        <v>2023</v>
      </c>
      <c r="D5098" t="n">
        <v>2023</v>
      </c>
      <c r="E5098" t="inlineStr">
        <is>
          <t>Mission: Impossible - Dead Reckoning Part One</t>
        </is>
      </c>
      <c r="F5098" t="inlineStr">
        <is>
          <t>F0227</t>
        </is>
      </c>
    </row>
    <row r="5099">
      <c r="A5099" t="inlineStr">
        <is>
          <t>Os Leanse</t>
        </is>
      </c>
      <c r="B5099" t="n">
        <v>1</v>
      </c>
      <c r="C5099" t="n">
        <v>2023</v>
      </c>
      <c r="D5099" t="n">
        <v>2023</v>
      </c>
      <c r="E5099" t="inlineStr">
        <is>
          <t>Mission: Impossible - Dead Reckoning Part One</t>
        </is>
      </c>
      <c r="F5099" t="inlineStr">
        <is>
          <t>F0227</t>
        </is>
      </c>
    </row>
    <row r="5100">
      <c r="A5100" t="inlineStr">
        <is>
          <t>Tramell Tillman</t>
        </is>
      </c>
      <c r="B5100" t="n">
        <v>1</v>
      </c>
      <c r="C5100" t="n">
        <v>2025</v>
      </c>
      <c r="D5100" t="n">
        <v>2025</v>
      </c>
      <c r="E5100" t="inlineStr">
        <is>
          <t>Mission: Impossible - The Final Reckoning</t>
        </is>
      </c>
      <c r="F5100" t="inlineStr">
        <is>
          <t>F0228</t>
        </is>
      </c>
    </row>
    <row r="5101">
      <c r="A5101" t="inlineStr">
        <is>
          <t>Lucy Tulugarjuk</t>
        </is>
      </c>
      <c r="B5101" t="n">
        <v>1</v>
      </c>
      <c r="C5101" t="n">
        <v>2025</v>
      </c>
      <c r="D5101" t="n">
        <v>2025</v>
      </c>
      <c r="E5101" t="inlineStr">
        <is>
          <t>Mission: Impossible - The Final Reckoning</t>
        </is>
      </c>
      <c r="F5101" t="inlineStr">
        <is>
          <t>F0228</t>
        </is>
      </c>
    </row>
    <row r="5102">
      <c r="A5102" t="inlineStr">
        <is>
          <t>Katy O'Brian</t>
        </is>
      </c>
      <c r="B5102" t="n">
        <v>1</v>
      </c>
      <c r="C5102" t="n">
        <v>2025</v>
      </c>
      <c r="D5102" t="n">
        <v>2025</v>
      </c>
      <c r="E5102" t="inlineStr">
        <is>
          <t>Mission: Impossible - The Final Reckoning</t>
        </is>
      </c>
      <c r="F5102" t="inlineStr">
        <is>
          <t>F0228</t>
        </is>
      </c>
    </row>
    <row r="5103">
      <c r="A5103" t="inlineStr">
        <is>
          <t>Stephen Oyoung</t>
        </is>
      </c>
      <c r="B5103" t="n">
        <v>1</v>
      </c>
      <c r="C5103" t="n">
        <v>2025</v>
      </c>
      <c r="D5103" t="n">
        <v>2025</v>
      </c>
      <c r="E5103" t="inlineStr">
        <is>
          <t>Mission: Impossible - The Final Reckoning</t>
        </is>
      </c>
      <c r="F5103" t="inlineStr">
        <is>
          <t>F0228</t>
        </is>
      </c>
    </row>
    <row r="5104">
      <c r="A5104" t="inlineStr">
        <is>
          <t>Tomás Paredes</t>
        </is>
      </c>
      <c r="B5104" t="n">
        <v>1</v>
      </c>
      <c r="C5104" t="n">
        <v>2025</v>
      </c>
      <c r="D5104" t="n">
        <v>2025</v>
      </c>
      <c r="E5104" t="inlineStr">
        <is>
          <t>Mission: Impossible - The Final Reckoning</t>
        </is>
      </c>
      <c r="F5104" t="inlineStr">
        <is>
          <t>F0228</t>
        </is>
      </c>
    </row>
    <row r="5105">
      <c r="A5105" t="inlineStr">
        <is>
          <t>Paul Bullion</t>
        </is>
      </c>
      <c r="B5105" t="n">
        <v>1</v>
      </c>
      <c r="C5105" t="n">
        <v>2025</v>
      </c>
      <c r="D5105" t="n">
        <v>2025</v>
      </c>
      <c r="E5105" t="inlineStr">
        <is>
          <t>Mission: Impossible - The Final Reckoning</t>
        </is>
      </c>
      <c r="F5105" t="inlineStr">
        <is>
          <t>F0228</t>
        </is>
      </c>
    </row>
    <row r="5106">
      <c r="A5106" t="inlineStr">
        <is>
          <t>Pasha D. Lychnikoff</t>
        </is>
      </c>
      <c r="B5106" t="n">
        <v>1</v>
      </c>
      <c r="C5106" t="n">
        <v>2025</v>
      </c>
      <c r="D5106" t="n">
        <v>2025</v>
      </c>
      <c r="E5106" t="inlineStr">
        <is>
          <t>Mission: Impossible - The Final Reckoning</t>
        </is>
      </c>
      <c r="F5106" t="inlineStr">
        <is>
          <t>F0228</t>
        </is>
      </c>
    </row>
    <row r="5107">
      <c r="A5107" t="inlineStr">
        <is>
          <t>Kwabena Ansah</t>
        </is>
      </c>
      <c r="B5107" t="n">
        <v>1</v>
      </c>
      <c r="C5107" t="n">
        <v>2025</v>
      </c>
      <c r="D5107" t="n">
        <v>2025</v>
      </c>
      <c r="E5107" t="inlineStr">
        <is>
          <t>Mission: Impossible - The Final Reckoning</t>
        </is>
      </c>
      <c r="F5107" t="inlineStr">
        <is>
          <t>F0228</t>
        </is>
      </c>
    </row>
    <row r="5108">
      <c r="A5108" t="inlineStr">
        <is>
          <t>Ryn Alleyne</t>
        </is>
      </c>
      <c r="B5108" t="n">
        <v>1</v>
      </c>
      <c r="C5108" t="n">
        <v>2025</v>
      </c>
      <c r="D5108" t="n">
        <v>2025</v>
      </c>
      <c r="E5108" t="inlineStr">
        <is>
          <t>Mission: Impossible - The Final Reckoning</t>
        </is>
      </c>
      <c r="F5108" t="inlineStr">
        <is>
          <t>F0228</t>
        </is>
      </c>
    </row>
    <row r="5109">
      <c r="A5109" t="inlineStr">
        <is>
          <t>Ned Campbell</t>
        </is>
      </c>
      <c r="B5109" t="n">
        <v>1</v>
      </c>
      <c r="C5109" t="n">
        <v>2025</v>
      </c>
      <c r="D5109" t="n">
        <v>2025</v>
      </c>
      <c r="E5109" t="inlineStr">
        <is>
          <t>Mission: Impossible - The Final Reckoning</t>
        </is>
      </c>
      <c r="F5109" t="inlineStr">
        <is>
          <t>F0228</t>
        </is>
      </c>
    </row>
    <row r="5110">
      <c r="A5110" t="inlineStr">
        <is>
          <t>Charlie Carter</t>
        </is>
      </c>
      <c r="B5110" t="n">
        <v>1</v>
      </c>
      <c r="C5110" t="n">
        <v>2025</v>
      </c>
      <c r="D5110" t="n">
        <v>2025</v>
      </c>
      <c r="E5110" t="inlineStr">
        <is>
          <t>Mission: Impossible - The Final Reckoning</t>
        </is>
      </c>
      <c r="F5110" t="inlineStr">
        <is>
          <t>F0228</t>
        </is>
      </c>
    </row>
    <row r="5111">
      <c r="A5111" t="inlineStr">
        <is>
          <t>Chantelle Roman</t>
        </is>
      </c>
      <c r="B5111" t="n">
        <v>1</v>
      </c>
      <c r="C5111" t="n">
        <v>2025</v>
      </c>
      <c r="D5111" t="n">
        <v>2025</v>
      </c>
      <c r="E5111" t="inlineStr">
        <is>
          <t>Mission: Impossible - The Final Reckoning</t>
        </is>
      </c>
      <c r="F5111" t="inlineStr">
        <is>
          <t>F0228</t>
        </is>
      </c>
    </row>
    <row r="5112">
      <c r="A5112" t="inlineStr">
        <is>
          <t>Jennifer Tilly</t>
        </is>
      </c>
      <c r="B5112" t="n">
        <v>1</v>
      </c>
      <c r="C5112" t="n">
        <v>2001</v>
      </c>
      <c r="D5112" t="n">
        <v>2001</v>
      </c>
      <c r="E5112" t="inlineStr">
        <is>
          <t>Monsters, Inc.</t>
        </is>
      </c>
      <c r="F5112" t="inlineStr">
        <is>
          <t>F0229</t>
        </is>
      </c>
    </row>
    <row r="5113">
      <c r="A5113" t="inlineStr">
        <is>
          <t>Steve Susskind</t>
        </is>
      </c>
      <c r="B5113" t="n">
        <v>1</v>
      </c>
      <c r="C5113" t="n">
        <v>2001</v>
      </c>
      <c r="D5113" t="n">
        <v>2001</v>
      </c>
      <c r="E5113" t="inlineStr">
        <is>
          <t>Monsters, Inc.</t>
        </is>
      </c>
      <c r="F5113" t="inlineStr">
        <is>
          <t>F0229</t>
        </is>
      </c>
    </row>
    <row r="5114">
      <c r="A5114" t="inlineStr">
        <is>
          <t>Jeff Pidgeon</t>
        </is>
      </c>
      <c r="B5114" t="n">
        <v>5</v>
      </c>
      <c r="C5114" t="n">
        <v>1999</v>
      </c>
      <c r="D5114" t="n">
        <v>2010</v>
      </c>
      <c r="E5114" t="inlineStr">
        <is>
          <t>Monsters, Inc., Toy Story 2, Toy Story 3, Up, WALL·E</t>
        </is>
      </c>
      <c r="F5114" t="inlineStr">
        <is>
          <t>F0229, F0313, F0314, F0330, F0331</t>
        </is>
      </c>
    </row>
    <row r="5115">
      <c r="A5115" t="inlineStr">
        <is>
          <t>Samuel Lord Black</t>
        </is>
      </c>
      <c r="B5115" t="n">
        <v>1</v>
      </c>
      <c r="C5115" t="n">
        <v>2001</v>
      </c>
      <c r="D5115" t="n">
        <v>2001</v>
      </c>
      <c r="E5115" t="inlineStr">
        <is>
          <t>Monsters, Inc.</t>
        </is>
      </c>
      <c r="F5115" t="inlineStr">
        <is>
          <t>F0229</t>
        </is>
      </c>
    </row>
    <row r="5116">
      <c r="A5116" t="inlineStr">
        <is>
          <t>Patti Deutsch</t>
        </is>
      </c>
      <c r="B5116" t="n">
        <v>1</v>
      </c>
      <c r="C5116" t="n">
        <v>2001</v>
      </c>
      <c r="D5116" t="n">
        <v>2001</v>
      </c>
      <c r="E5116" t="inlineStr">
        <is>
          <t>Monsters, Inc.</t>
        </is>
      </c>
      <c r="F5116" t="inlineStr">
        <is>
          <t>F0229</t>
        </is>
      </c>
    </row>
    <row r="5117">
      <c r="A5117" t="inlineStr">
        <is>
          <t>Bobby Edner</t>
        </is>
      </c>
      <c r="B5117" t="n">
        <v>1</v>
      </c>
      <c r="C5117" t="n">
        <v>2001</v>
      </c>
      <c r="D5117" t="n">
        <v>2001</v>
      </c>
      <c r="E5117" t="inlineStr">
        <is>
          <t>Monsters, Inc.</t>
        </is>
      </c>
      <c r="F5117" t="inlineStr">
        <is>
          <t>F0229</t>
        </is>
      </c>
    </row>
    <row r="5118">
      <c r="A5118" t="inlineStr">
        <is>
          <t>Ashley Edner</t>
        </is>
      </c>
      <c r="B5118" t="n">
        <v>1</v>
      </c>
      <c r="C5118" t="n">
        <v>2001</v>
      </c>
      <c r="D5118" t="n">
        <v>2001</v>
      </c>
      <c r="E5118" t="inlineStr">
        <is>
          <t>Monsters, Inc.</t>
        </is>
      </c>
      <c r="F5118" t="inlineStr">
        <is>
          <t>F0229</t>
        </is>
      </c>
    </row>
    <row r="5119">
      <c r="A5119" t="inlineStr">
        <is>
          <t>Katie Scarlett</t>
        </is>
      </c>
      <c r="B5119" t="n">
        <v>1</v>
      </c>
      <c r="C5119" t="n">
        <v>2001</v>
      </c>
      <c r="D5119" t="n">
        <v>2001</v>
      </c>
      <c r="E5119" t="inlineStr">
        <is>
          <t>Monsters, Inc.</t>
        </is>
      </c>
      <c r="F5119" t="inlineStr">
        <is>
          <t>F0229</t>
        </is>
      </c>
    </row>
    <row r="5120">
      <c r="A5120" t="inlineStr">
        <is>
          <t>Keegan Farrell</t>
        </is>
      </c>
      <c r="B5120" t="n">
        <v>1</v>
      </c>
      <c r="C5120" t="n">
        <v>2001</v>
      </c>
      <c r="D5120" t="n">
        <v>2001</v>
      </c>
      <c r="E5120" t="inlineStr">
        <is>
          <t>Monsters, Inc.</t>
        </is>
      </c>
      <c r="F5120" t="inlineStr">
        <is>
          <t>F0229</t>
        </is>
      </c>
    </row>
    <row r="5121">
      <c r="A5121" t="inlineStr">
        <is>
          <t>Pat Fraley</t>
        </is>
      </c>
      <c r="B5121" t="n">
        <v>2</v>
      </c>
      <c r="C5121" t="n">
        <v>1999</v>
      </c>
      <c r="D5121" t="n">
        <v>2001</v>
      </c>
      <c r="E5121" t="inlineStr">
        <is>
          <t>Monsters, Inc., Toy Story 2</t>
        </is>
      </c>
      <c r="F5121" t="inlineStr">
        <is>
          <t>F0229, F0313</t>
        </is>
      </c>
    </row>
    <row r="5122">
      <c r="A5122" t="inlineStr">
        <is>
          <t>Taylor Gifaldi</t>
        </is>
      </c>
      <c r="B5122" t="n">
        <v>1</v>
      </c>
      <c r="C5122" t="n">
        <v>2001</v>
      </c>
      <c r="D5122" t="n">
        <v>2001</v>
      </c>
      <c r="E5122" t="inlineStr">
        <is>
          <t>Monsters, Inc.</t>
        </is>
      </c>
      <c r="F5122" t="inlineStr">
        <is>
          <t>F0229</t>
        </is>
      </c>
    </row>
    <row r="5123">
      <c r="A5123" t="inlineStr">
        <is>
          <t>Joel Murray</t>
        </is>
      </c>
      <c r="B5123" t="n">
        <v>1</v>
      </c>
      <c r="C5123" t="n">
        <v>2013</v>
      </c>
      <c r="D5123" t="n">
        <v>2013</v>
      </c>
      <c r="E5123" t="inlineStr">
        <is>
          <t>Monsters University</t>
        </is>
      </c>
      <c r="F5123" t="inlineStr">
        <is>
          <t>F0230</t>
        </is>
      </c>
    </row>
    <row r="5124">
      <c r="A5124" t="inlineStr">
        <is>
          <t>Tyler Labine</t>
        </is>
      </c>
      <c r="B5124" t="n">
        <v>2</v>
      </c>
      <c r="C5124" t="n">
        <v>2011</v>
      </c>
      <c r="D5124" t="n">
        <v>2013</v>
      </c>
      <c r="E5124" t="inlineStr">
        <is>
          <t>Monsters University, Rise of the Planet of the Apes</t>
        </is>
      </c>
      <c r="F5124" t="inlineStr">
        <is>
          <t>F0230, F0253</t>
        </is>
      </c>
    </row>
    <row r="5125">
      <c r="A5125" t="inlineStr">
        <is>
          <t>Nathan Fillion</t>
        </is>
      </c>
      <c r="B5125" t="n">
        <v>2</v>
      </c>
      <c r="C5125" t="n">
        <v>2013</v>
      </c>
      <c r="D5125" t="n">
        <v>2025</v>
      </c>
      <c r="E5125" t="inlineStr">
        <is>
          <t>Monsters University, Superman</t>
        </is>
      </c>
      <c r="F5125" t="inlineStr">
        <is>
          <t>F0230, F0304</t>
        </is>
      </c>
    </row>
    <row r="5126">
      <c r="A5126" t="inlineStr">
        <is>
          <t>Noah Johnston</t>
        </is>
      </c>
      <c r="B5126" t="n">
        <v>1</v>
      </c>
      <c r="C5126" t="n">
        <v>2013</v>
      </c>
      <c r="D5126" t="n">
        <v>2013</v>
      </c>
      <c r="E5126" t="inlineStr">
        <is>
          <t>Monsters University</t>
        </is>
      </c>
      <c r="F5126" t="inlineStr">
        <is>
          <t>F0230</t>
        </is>
      </c>
    </row>
    <row r="5127">
      <c r="A5127" t="inlineStr">
        <is>
          <t>Julia Sweeney</t>
        </is>
      </c>
      <c r="B5127" t="n">
        <v>1</v>
      </c>
      <c r="C5127" t="n">
        <v>2013</v>
      </c>
      <c r="D5127" t="n">
        <v>2013</v>
      </c>
      <c r="E5127" t="inlineStr">
        <is>
          <t>Monsters University</t>
        </is>
      </c>
      <c r="F5127" t="inlineStr">
        <is>
          <t>F0230</t>
        </is>
      </c>
    </row>
    <row r="5128">
      <c r="A5128" t="inlineStr">
        <is>
          <t>John Krasinski</t>
        </is>
      </c>
      <c r="B5128" t="n">
        <v>1</v>
      </c>
      <c r="C5128" t="n">
        <v>2013</v>
      </c>
      <c r="D5128" t="n">
        <v>2013</v>
      </c>
      <c r="E5128" t="inlineStr">
        <is>
          <t>Monsters University</t>
        </is>
      </c>
      <c r="F5128" t="inlineStr">
        <is>
          <t>F0230</t>
        </is>
      </c>
    </row>
    <row r="5129">
      <c r="A5129" t="inlineStr">
        <is>
          <t>Beth Behrs</t>
        </is>
      </c>
      <c r="B5129" t="n">
        <v>1</v>
      </c>
      <c r="C5129" t="n">
        <v>2013</v>
      </c>
      <c r="D5129" t="n">
        <v>2013</v>
      </c>
      <c r="E5129" t="inlineStr">
        <is>
          <t>Monsters University</t>
        </is>
      </c>
      <c r="F5129" t="inlineStr">
        <is>
          <t>F0230</t>
        </is>
      </c>
    </row>
    <row r="5130">
      <c r="A5130" t="inlineStr">
        <is>
          <t>Neil Campbell</t>
        </is>
      </c>
      <c r="B5130" t="n">
        <v>1</v>
      </c>
      <c r="C5130" t="n">
        <v>2013</v>
      </c>
      <c r="D5130" t="n">
        <v>2013</v>
      </c>
      <c r="E5130" t="inlineStr">
        <is>
          <t>Monsters University</t>
        </is>
      </c>
      <c r="F5130" t="inlineStr">
        <is>
          <t>F0230</t>
        </is>
      </c>
    </row>
    <row r="5131">
      <c r="A5131" t="inlineStr">
        <is>
          <t>Patrick Carlyle</t>
        </is>
      </c>
      <c r="B5131" t="n">
        <v>1</v>
      </c>
      <c r="C5131" t="n">
        <v>2013</v>
      </c>
      <c r="D5131" t="n">
        <v>2013</v>
      </c>
      <c r="E5131" t="inlineStr">
        <is>
          <t>Monsters University</t>
        </is>
      </c>
      <c r="F5131" t="inlineStr">
        <is>
          <t>F0230</t>
        </is>
      </c>
    </row>
    <row r="5132">
      <c r="A5132" t="inlineStr">
        <is>
          <t>Chris Weitz</t>
        </is>
      </c>
      <c r="B5132" t="n">
        <v>1</v>
      </c>
      <c r="C5132" t="n">
        <v>2005</v>
      </c>
      <c r="D5132" t="n">
        <v>2005</v>
      </c>
      <c r="E5132" t="inlineStr">
        <is>
          <t>Mr. &amp; Mrs. Smith</t>
        </is>
      </c>
      <c r="F5132" t="inlineStr">
        <is>
          <t>F0231</t>
        </is>
      </c>
    </row>
    <row r="5133">
      <c r="A5133" t="inlineStr">
        <is>
          <t>Rachael Huntley</t>
        </is>
      </c>
      <c r="B5133" t="n">
        <v>1</v>
      </c>
      <c r="C5133" t="n">
        <v>2005</v>
      </c>
      <c r="D5133" t="n">
        <v>2005</v>
      </c>
      <c r="E5133" t="inlineStr">
        <is>
          <t>Mr. &amp; Mrs. Smith</t>
        </is>
      </c>
      <c r="F5133" t="inlineStr">
        <is>
          <t>F0231</t>
        </is>
      </c>
    </row>
    <row r="5134">
      <c r="A5134" t="inlineStr">
        <is>
          <t>Stephanie March</t>
        </is>
      </c>
      <c r="B5134" t="n">
        <v>1</v>
      </c>
      <c r="C5134" t="n">
        <v>2005</v>
      </c>
      <c r="D5134" t="n">
        <v>2005</v>
      </c>
      <c r="E5134" t="inlineStr">
        <is>
          <t>Mr. &amp; Mrs. Smith</t>
        </is>
      </c>
      <c r="F5134" t="inlineStr">
        <is>
          <t>F0231</t>
        </is>
      </c>
    </row>
    <row r="5135">
      <c r="A5135" t="inlineStr">
        <is>
          <t>Theresa Barrera</t>
        </is>
      </c>
      <c r="B5135" t="n">
        <v>1</v>
      </c>
      <c r="C5135" t="n">
        <v>2005</v>
      </c>
      <c r="D5135" t="n">
        <v>2005</v>
      </c>
      <c r="E5135" t="inlineStr">
        <is>
          <t>Mr. &amp; Mrs. Smith</t>
        </is>
      </c>
      <c r="F5135" t="inlineStr">
        <is>
          <t>F0231</t>
        </is>
      </c>
    </row>
    <row r="5136">
      <c r="A5136" t="inlineStr">
        <is>
          <t>Perrey Reeves</t>
        </is>
      </c>
      <c r="B5136" t="n">
        <v>1</v>
      </c>
      <c r="C5136" t="n">
        <v>2005</v>
      </c>
      <c r="D5136" t="n">
        <v>2005</v>
      </c>
      <c r="E5136" t="inlineStr">
        <is>
          <t>Mr. &amp; Mrs. Smith</t>
        </is>
      </c>
      <c r="F5136" t="inlineStr">
        <is>
          <t>F0231</t>
        </is>
      </c>
    </row>
    <row r="5137">
      <c r="A5137" t="inlineStr">
        <is>
          <t>Melanie Tolbert</t>
        </is>
      </c>
      <c r="B5137" t="n">
        <v>1</v>
      </c>
      <c r="C5137" t="n">
        <v>2005</v>
      </c>
      <c r="D5137" t="n">
        <v>2005</v>
      </c>
      <c r="E5137" t="inlineStr">
        <is>
          <t>Mr. &amp; Mrs. Smith</t>
        </is>
      </c>
      <c r="F5137" t="inlineStr">
        <is>
          <t>F0231</t>
        </is>
      </c>
    </row>
    <row r="5138">
      <c r="A5138" t="inlineStr">
        <is>
          <t>Jerry T. Adams</t>
        </is>
      </c>
      <c r="B5138" t="n">
        <v>1</v>
      </c>
      <c r="C5138" t="n">
        <v>2005</v>
      </c>
      <c r="D5138" t="n">
        <v>2005</v>
      </c>
      <c r="E5138" t="inlineStr">
        <is>
          <t>Mr. &amp; Mrs. Smith</t>
        </is>
      </c>
      <c r="F5138" t="inlineStr">
        <is>
          <t>F0231</t>
        </is>
      </c>
    </row>
    <row r="5139">
      <c r="A5139" t="inlineStr">
        <is>
          <t>Elijah Alexander</t>
        </is>
      </c>
      <c r="B5139" t="n">
        <v>1</v>
      </c>
      <c r="C5139" t="n">
        <v>2005</v>
      </c>
      <c r="D5139" t="n">
        <v>2005</v>
      </c>
      <c r="E5139" t="inlineStr">
        <is>
          <t>Mr. &amp; Mrs. Smith</t>
        </is>
      </c>
      <c r="F5139" t="inlineStr">
        <is>
          <t>F0231</t>
        </is>
      </c>
    </row>
    <row r="5140">
      <c r="A5140" t="inlineStr">
        <is>
          <t>Hans F. Alexander</t>
        </is>
      </c>
      <c r="B5140" t="n">
        <v>1</v>
      </c>
      <c r="C5140" t="n">
        <v>2005</v>
      </c>
      <c r="D5140" t="n">
        <v>2005</v>
      </c>
      <c r="E5140" t="inlineStr">
        <is>
          <t>Mr. &amp; Mrs. Smith</t>
        </is>
      </c>
      <c r="F5140" t="inlineStr">
        <is>
          <t>F0231</t>
        </is>
      </c>
    </row>
    <row r="5141">
      <c r="A5141" t="inlineStr">
        <is>
          <t>Lauryn Alvarez</t>
        </is>
      </c>
      <c r="B5141" t="n">
        <v>1</v>
      </c>
      <c r="C5141" t="n">
        <v>2005</v>
      </c>
      <c r="D5141" t="n">
        <v>2005</v>
      </c>
      <c r="E5141" t="inlineStr">
        <is>
          <t>Mr. &amp; Mrs. Smith</t>
        </is>
      </c>
      <c r="F5141" t="inlineStr">
        <is>
          <t>F0231</t>
        </is>
      </c>
    </row>
    <row r="5142">
      <c r="A5142" t="inlineStr">
        <is>
          <t>Burke Armstrong</t>
        </is>
      </c>
      <c r="B5142" t="n">
        <v>1</v>
      </c>
      <c r="C5142" t="n">
        <v>2005</v>
      </c>
      <c r="D5142" t="n">
        <v>2005</v>
      </c>
      <c r="E5142" t="inlineStr">
        <is>
          <t>Mr. &amp; Mrs. Smith</t>
        </is>
      </c>
      <c r="F5142" t="inlineStr">
        <is>
          <t>F0231</t>
        </is>
      </c>
    </row>
    <row r="5143">
      <c r="A5143" t="inlineStr">
        <is>
          <t>Ron Bottitta</t>
        </is>
      </c>
      <c r="B5143" t="n">
        <v>1</v>
      </c>
      <c r="C5143" t="n">
        <v>2005</v>
      </c>
      <c r="D5143" t="n">
        <v>2005</v>
      </c>
      <c r="E5143" t="inlineStr">
        <is>
          <t>Mr. &amp; Mrs. Smith</t>
        </is>
      </c>
      <c r="F5143" t="inlineStr">
        <is>
          <t>F0231</t>
        </is>
      </c>
    </row>
    <row r="5144">
      <c r="A5144" t="inlineStr">
        <is>
          <t>Earl H. Bullock</t>
        </is>
      </c>
      <c r="B5144" t="n">
        <v>1</v>
      </c>
      <c r="C5144" t="n">
        <v>2005</v>
      </c>
      <c r="D5144" t="n">
        <v>2005</v>
      </c>
      <c r="E5144" t="inlineStr">
        <is>
          <t>Mr. &amp; Mrs. Smith</t>
        </is>
      </c>
      <c r="F5144" t="inlineStr">
        <is>
          <t>F0231</t>
        </is>
      </c>
    </row>
    <row r="5145">
      <c r="A5145" t="inlineStr">
        <is>
          <t>Miguel Angel Caballero</t>
        </is>
      </c>
      <c r="B5145" t="n">
        <v>1</v>
      </c>
      <c r="C5145" t="n">
        <v>2005</v>
      </c>
      <c r="D5145" t="n">
        <v>2005</v>
      </c>
      <c r="E5145" t="inlineStr">
        <is>
          <t>Mr. &amp; Mrs. Smith</t>
        </is>
      </c>
      <c r="F5145" t="inlineStr">
        <is>
          <t>F0231</t>
        </is>
      </c>
    </row>
    <row r="5146">
      <c r="A5146" t="inlineStr">
        <is>
          <t>Victor A. Chapa</t>
        </is>
      </c>
      <c r="B5146" t="n">
        <v>1</v>
      </c>
      <c r="C5146" t="n">
        <v>2005</v>
      </c>
      <c r="D5146" t="n">
        <v>2005</v>
      </c>
      <c r="E5146" t="inlineStr">
        <is>
          <t>Mr. &amp; Mrs. Smith</t>
        </is>
      </c>
      <c r="F5146" t="inlineStr">
        <is>
          <t>F0231</t>
        </is>
      </c>
    </row>
    <row r="5147">
      <c r="A5147" t="inlineStr">
        <is>
          <t>Maree Cheatham</t>
        </is>
      </c>
      <c r="B5147" t="n">
        <v>1</v>
      </c>
      <c r="C5147" t="n">
        <v>2005</v>
      </c>
      <c r="D5147" t="n">
        <v>2005</v>
      </c>
      <c r="E5147" t="inlineStr">
        <is>
          <t>Mr. &amp; Mrs. Smith</t>
        </is>
      </c>
      <c r="F5147" t="inlineStr">
        <is>
          <t>F0231</t>
        </is>
      </c>
    </row>
    <row r="5148">
      <c r="A5148" t="inlineStr">
        <is>
          <t>Laine Collins</t>
        </is>
      </c>
      <c r="B5148" t="n">
        <v>1</v>
      </c>
      <c r="C5148" t="n">
        <v>2005</v>
      </c>
      <c r="D5148" t="n">
        <v>2005</v>
      </c>
      <c r="E5148" t="inlineStr">
        <is>
          <t>Mr. &amp; Mrs. Smith</t>
        </is>
      </c>
      <c r="F5148" t="inlineStr">
        <is>
          <t>F0231</t>
        </is>
      </c>
    </row>
    <row r="5149">
      <c r="A5149" t="inlineStr">
        <is>
          <t>Noah Dahl</t>
        </is>
      </c>
      <c r="B5149" t="n">
        <v>1</v>
      </c>
      <c r="C5149" t="n">
        <v>2005</v>
      </c>
      <c r="D5149" t="n">
        <v>2005</v>
      </c>
      <c r="E5149" t="inlineStr">
        <is>
          <t>Mr. &amp; Mrs. Smith</t>
        </is>
      </c>
      <c r="F5149" t="inlineStr">
        <is>
          <t>F0231</t>
        </is>
      </c>
    </row>
    <row r="5150">
      <c r="A5150" t="inlineStr">
        <is>
          <t>Merrilee Dale</t>
        </is>
      </c>
      <c r="B5150" t="n">
        <v>1</v>
      </c>
      <c r="C5150" t="n">
        <v>2005</v>
      </c>
      <c r="D5150" t="n">
        <v>2005</v>
      </c>
      <c r="E5150" t="inlineStr">
        <is>
          <t>Mr. &amp; Mrs. Smith</t>
        </is>
      </c>
      <c r="F5150" t="inlineStr">
        <is>
          <t>F0231</t>
        </is>
      </c>
    </row>
    <row r="5151">
      <c r="A5151" t="inlineStr">
        <is>
          <t>Chris Daniels</t>
        </is>
      </c>
      <c r="B5151" t="n">
        <v>1</v>
      </c>
      <c r="C5151" t="n">
        <v>2005</v>
      </c>
      <c r="D5151" t="n">
        <v>2005</v>
      </c>
      <c r="E5151" t="inlineStr">
        <is>
          <t>Mr. &amp; Mrs. Smith</t>
        </is>
      </c>
      <c r="F5151" t="inlineStr">
        <is>
          <t>F0231</t>
        </is>
      </c>
    </row>
    <row r="5152">
      <c r="A5152" t="inlineStr">
        <is>
          <t>Patrika Darbo</t>
        </is>
      </c>
      <c r="B5152" t="n">
        <v>1</v>
      </c>
      <c r="C5152" t="n">
        <v>2005</v>
      </c>
      <c r="D5152" t="n">
        <v>2005</v>
      </c>
      <c r="E5152" t="inlineStr">
        <is>
          <t>Mr. &amp; Mrs. Smith</t>
        </is>
      </c>
      <c r="F5152" t="inlineStr">
        <is>
          <t>F0231</t>
        </is>
      </c>
    </row>
    <row r="5153">
      <c r="A5153" t="inlineStr">
        <is>
          <t>Jennifer DeMille</t>
        </is>
      </c>
      <c r="B5153" t="n">
        <v>1</v>
      </c>
      <c r="C5153" t="n">
        <v>2005</v>
      </c>
      <c r="D5153" t="n">
        <v>2005</v>
      </c>
      <c r="E5153" t="inlineStr">
        <is>
          <t>Mr. &amp; Mrs. Smith</t>
        </is>
      </c>
      <c r="F5153" t="inlineStr">
        <is>
          <t>F0231</t>
        </is>
      </c>
    </row>
    <row r="5154">
      <c r="A5154" t="inlineStr">
        <is>
          <t>Bill Barretta</t>
        </is>
      </c>
      <c r="B5154" t="n">
        <v>1</v>
      </c>
      <c r="C5154" t="n">
        <v>2014</v>
      </c>
      <c r="D5154" t="n">
        <v>2014</v>
      </c>
      <c r="E5154" t="inlineStr">
        <is>
          <t>Muppets Most Wanted</t>
        </is>
      </c>
      <c r="F5154" t="inlineStr">
        <is>
          <t>F0232</t>
        </is>
      </c>
    </row>
    <row r="5155">
      <c r="A5155" t="inlineStr">
        <is>
          <t>David Rudman</t>
        </is>
      </c>
      <c r="B5155" t="n">
        <v>1</v>
      </c>
      <c r="C5155" t="n">
        <v>2014</v>
      </c>
      <c r="D5155" t="n">
        <v>2014</v>
      </c>
      <c r="E5155" t="inlineStr">
        <is>
          <t>Muppets Most Wanted</t>
        </is>
      </c>
      <c r="F5155" t="inlineStr">
        <is>
          <t>F0232</t>
        </is>
      </c>
    </row>
    <row r="5156">
      <c r="A5156" t="inlineStr">
        <is>
          <t>Matt Vogel</t>
        </is>
      </c>
      <c r="B5156" t="n">
        <v>1</v>
      </c>
      <c r="C5156" t="n">
        <v>2014</v>
      </c>
      <c r="D5156" t="n">
        <v>2014</v>
      </c>
      <c r="E5156" t="inlineStr">
        <is>
          <t>Muppets Most Wanted</t>
        </is>
      </c>
      <c r="F5156" t="inlineStr">
        <is>
          <t>F0232</t>
        </is>
      </c>
    </row>
    <row r="5157">
      <c r="A5157" t="inlineStr">
        <is>
          <t>Peter Linz</t>
        </is>
      </c>
      <c r="B5157" t="n">
        <v>1</v>
      </c>
      <c r="C5157" t="n">
        <v>2014</v>
      </c>
      <c r="D5157" t="n">
        <v>2014</v>
      </c>
      <c r="E5157" t="inlineStr">
        <is>
          <t>Muppets Most Wanted</t>
        </is>
      </c>
      <c r="F5157" t="inlineStr">
        <is>
          <t>F0232</t>
        </is>
      </c>
    </row>
    <row r="5158">
      <c r="A5158" t="inlineStr">
        <is>
          <t>Tony Bennett</t>
        </is>
      </c>
      <c r="B5158" t="n">
        <v>1</v>
      </c>
      <c r="C5158" t="n">
        <v>2014</v>
      </c>
      <c r="D5158" t="n">
        <v>2014</v>
      </c>
      <c r="E5158" t="inlineStr">
        <is>
          <t>Muppets Most Wanted</t>
        </is>
      </c>
      <c r="F5158" t="inlineStr">
        <is>
          <t>F0232</t>
        </is>
      </c>
    </row>
    <row r="5159">
      <c r="A5159" t="inlineStr">
        <is>
          <t>Ross Lynch</t>
        </is>
      </c>
      <c r="B5159" t="n">
        <v>1</v>
      </c>
      <c r="C5159" t="n">
        <v>2014</v>
      </c>
      <c r="D5159" t="n">
        <v>2014</v>
      </c>
      <c r="E5159" t="inlineStr">
        <is>
          <t>Muppets Most Wanted</t>
        </is>
      </c>
      <c r="F5159" t="inlineStr">
        <is>
          <t>F0232</t>
        </is>
      </c>
    </row>
    <row r="5160">
      <c r="A5160" t="inlineStr">
        <is>
          <t>James Pasierbowicz</t>
        </is>
      </c>
      <c r="B5160" t="n">
        <v>1</v>
      </c>
      <c r="C5160" t="n">
        <v>2014</v>
      </c>
      <c r="D5160" t="n">
        <v>2014</v>
      </c>
      <c r="E5160" t="inlineStr">
        <is>
          <t>Muppets Most Wanted</t>
        </is>
      </c>
      <c r="F5160" t="inlineStr">
        <is>
          <t>F0232</t>
        </is>
      </c>
    </row>
    <row r="5161">
      <c r="A5161" t="inlineStr">
        <is>
          <t>Richard Herdman</t>
        </is>
      </c>
      <c r="B5161" t="n">
        <v>1</v>
      </c>
      <c r="C5161" t="n">
        <v>2014</v>
      </c>
      <c r="D5161" t="n">
        <v>2014</v>
      </c>
      <c r="E5161" t="inlineStr">
        <is>
          <t>Muppets Most Wanted</t>
        </is>
      </c>
      <c r="F5161" t="inlineStr">
        <is>
          <t>F0232</t>
        </is>
      </c>
    </row>
    <row r="5162">
      <c r="A5162" t="inlineStr">
        <is>
          <t>Luke Howard</t>
        </is>
      </c>
      <c r="B5162" t="n">
        <v>1</v>
      </c>
      <c r="C5162" t="n">
        <v>2014</v>
      </c>
      <c r="D5162" t="n">
        <v>2014</v>
      </c>
      <c r="E5162" t="inlineStr">
        <is>
          <t>Muppets Most Wanted</t>
        </is>
      </c>
      <c r="F5162" t="inlineStr">
        <is>
          <t>F0232</t>
        </is>
      </c>
    </row>
    <row r="5163">
      <c r="A5163" t="inlineStr">
        <is>
          <t>Pete Meads</t>
        </is>
      </c>
      <c r="B5163" t="n">
        <v>1</v>
      </c>
      <c r="C5163" t="n">
        <v>2014</v>
      </c>
      <c r="D5163" t="n">
        <v>2014</v>
      </c>
      <c r="E5163" t="inlineStr">
        <is>
          <t>Muppets Most Wanted</t>
        </is>
      </c>
      <c r="F5163" t="inlineStr">
        <is>
          <t>F0232</t>
        </is>
      </c>
    </row>
    <row r="5164">
      <c r="A5164" t="inlineStr">
        <is>
          <t>Ricky Rajpal</t>
        </is>
      </c>
      <c r="B5164" t="n">
        <v>1</v>
      </c>
      <c r="C5164" t="n">
        <v>2014</v>
      </c>
      <c r="D5164" t="n">
        <v>2014</v>
      </c>
      <c r="E5164" t="inlineStr">
        <is>
          <t>Muppets Most Wanted</t>
        </is>
      </c>
      <c r="F5164" t="inlineStr">
        <is>
          <t>F0232</t>
        </is>
      </c>
    </row>
    <row r="5165">
      <c r="A5165" t="inlineStr">
        <is>
          <t>Frank Langella</t>
        </is>
      </c>
      <c r="B5165" t="n">
        <v>2</v>
      </c>
      <c r="C5165" t="n">
        <v>2011</v>
      </c>
      <c r="D5165" t="n">
        <v>2014</v>
      </c>
      <c r="E5165" t="inlineStr">
        <is>
          <t>Muppets Most Wanted, Unknown</t>
        </is>
      </c>
      <c r="F5165" t="inlineStr">
        <is>
          <t>F0232, F0329</t>
        </is>
      </c>
    </row>
    <row r="5166">
      <c r="A5166" t="inlineStr">
        <is>
          <t>Harvey Keitel</t>
        </is>
      </c>
      <c r="B5166" t="n">
        <v>1</v>
      </c>
      <c r="C5166" t="n">
        <v>2007</v>
      </c>
      <c r="D5166" t="n">
        <v>2007</v>
      </c>
      <c r="E5166" t="inlineStr">
        <is>
          <t>National Treasure: Book of Secrets</t>
        </is>
      </c>
      <c r="F5166" t="inlineStr">
        <is>
          <t>F0233</t>
        </is>
      </c>
    </row>
    <row r="5167">
      <c r="A5167" t="inlineStr">
        <is>
          <t>Michael Maize</t>
        </is>
      </c>
      <c r="B5167" t="n">
        <v>1</v>
      </c>
      <c r="C5167" t="n">
        <v>2007</v>
      </c>
      <c r="D5167" t="n">
        <v>2007</v>
      </c>
      <c r="E5167" t="inlineStr">
        <is>
          <t>National Treasure: Book of Secrets</t>
        </is>
      </c>
      <c r="F5167" t="inlineStr">
        <is>
          <t>F0233</t>
        </is>
      </c>
    </row>
    <row r="5168">
      <c r="A5168" t="inlineStr">
        <is>
          <t>Timothy V. Murphy</t>
        </is>
      </c>
      <c r="B5168" t="n">
        <v>1</v>
      </c>
      <c r="C5168" t="n">
        <v>2007</v>
      </c>
      <c r="D5168" t="n">
        <v>2007</v>
      </c>
      <c r="E5168" t="inlineStr">
        <is>
          <t>National Treasure: Book of Secrets</t>
        </is>
      </c>
      <c r="F5168" t="inlineStr">
        <is>
          <t>F0233</t>
        </is>
      </c>
    </row>
    <row r="5169">
      <c r="A5169" t="inlineStr">
        <is>
          <t>Alicia Coppola</t>
        </is>
      </c>
      <c r="B5169" t="n">
        <v>1</v>
      </c>
      <c r="C5169" t="n">
        <v>2007</v>
      </c>
      <c r="D5169" t="n">
        <v>2007</v>
      </c>
      <c r="E5169" t="inlineStr">
        <is>
          <t>National Treasure: Book of Secrets</t>
        </is>
      </c>
      <c r="F5169" t="inlineStr">
        <is>
          <t>F0233</t>
        </is>
      </c>
    </row>
    <row r="5170">
      <c r="A5170" t="inlineStr">
        <is>
          <t>Armando Riesco</t>
        </is>
      </c>
      <c r="B5170" t="n">
        <v>1</v>
      </c>
      <c r="C5170" t="n">
        <v>2007</v>
      </c>
      <c r="D5170" t="n">
        <v>2007</v>
      </c>
      <c r="E5170" t="inlineStr">
        <is>
          <t>National Treasure: Book of Secrets</t>
        </is>
      </c>
      <c r="F5170" t="inlineStr">
        <is>
          <t>F0233</t>
        </is>
      </c>
    </row>
    <row r="5171">
      <c r="A5171" t="inlineStr">
        <is>
          <t>Albert Hall</t>
        </is>
      </c>
      <c r="B5171" t="n">
        <v>1</v>
      </c>
      <c r="C5171" t="n">
        <v>2007</v>
      </c>
      <c r="D5171" t="n">
        <v>2007</v>
      </c>
      <c r="E5171" t="inlineStr">
        <is>
          <t>National Treasure: Book of Secrets</t>
        </is>
      </c>
      <c r="F5171" t="inlineStr">
        <is>
          <t>F0233</t>
        </is>
      </c>
    </row>
    <row r="5172">
      <c r="A5172" t="inlineStr">
        <is>
          <t>Joel Gretsch</t>
        </is>
      </c>
      <c r="B5172" t="n">
        <v>1</v>
      </c>
      <c r="C5172" t="n">
        <v>2007</v>
      </c>
      <c r="D5172" t="n">
        <v>2007</v>
      </c>
      <c r="E5172" t="inlineStr">
        <is>
          <t>National Treasure: Book of Secrets</t>
        </is>
      </c>
      <c r="F5172" t="inlineStr">
        <is>
          <t>F0233</t>
        </is>
      </c>
    </row>
    <row r="5173">
      <c r="A5173" t="inlineStr">
        <is>
          <t>Christian Camargo</t>
        </is>
      </c>
      <c r="B5173" t="n">
        <v>1</v>
      </c>
      <c r="C5173" t="n">
        <v>2007</v>
      </c>
      <c r="D5173" t="n">
        <v>2007</v>
      </c>
      <c r="E5173" t="inlineStr">
        <is>
          <t>National Treasure: Book of Secrets</t>
        </is>
      </c>
      <c r="F5173" t="inlineStr">
        <is>
          <t>F0233</t>
        </is>
      </c>
    </row>
    <row r="5174">
      <c r="A5174" t="inlineStr">
        <is>
          <t>Brent Briscoe</t>
        </is>
      </c>
      <c r="B5174" t="n">
        <v>2</v>
      </c>
      <c r="C5174" t="n">
        <v>2004</v>
      </c>
      <c r="D5174" t="n">
        <v>2007</v>
      </c>
      <c r="E5174" t="inlineStr">
        <is>
          <t>National Treasure: Book of Secrets, Spider-Man 2</t>
        </is>
      </c>
      <c r="F5174" t="inlineStr">
        <is>
          <t>F0233, F0288</t>
        </is>
      </c>
    </row>
    <row r="5175">
      <c r="A5175" t="inlineStr">
        <is>
          <t>William Brent</t>
        </is>
      </c>
      <c r="B5175" t="n">
        <v>1</v>
      </c>
      <c r="C5175" t="n">
        <v>2007</v>
      </c>
      <c r="D5175" t="n">
        <v>2007</v>
      </c>
      <c r="E5175" t="inlineStr">
        <is>
          <t>National Treasure: Book of Secrets</t>
        </is>
      </c>
      <c r="F5175" t="inlineStr">
        <is>
          <t>F0233</t>
        </is>
      </c>
    </row>
    <row r="5176">
      <c r="A5176" t="inlineStr">
        <is>
          <t>Michael Manuel</t>
        </is>
      </c>
      <c r="B5176" t="n">
        <v>1</v>
      </c>
      <c r="C5176" t="n">
        <v>2007</v>
      </c>
      <c r="D5176" t="n">
        <v>2007</v>
      </c>
      <c r="E5176" t="inlineStr">
        <is>
          <t>National Treasure: Book of Secrets</t>
        </is>
      </c>
      <c r="F5176" t="inlineStr">
        <is>
          <t>F0233</t>
        </is>
      </c>
    </row>
    <row r="5177">
      <c r="A5177" t="inlineStr">
        <is>
          <t>Brad Rowe</t>
        </is>
      </c>
      <c r="B5177" t="n">
        <v>1</v>
      </c>
      <c r="C5177" t="n">
        <v>2007</v>
      </c>
      <c r="D5177" t="n">
        <v>2007</v>
      </c>
      <c r="E5177" t="inlineStr">
        <is>
          <t>National Treasure: Book of Secrets</t>
        </is>
      </c>
      <c r="F5177" t="inlineStr">
        <is>
          <t>F0233</t>
        </is>
      </c>
    </row>
    <row r="5178">
      <c r="A5178" t="inlineStr">
        <is>
          <t>Zachary Gordon</t>
        </is>
      </c>
      <c r="B5178" t="n">
        <v>1</v>
      </c>
      <c r="C5178" t="n">
        <v>2007</v>
      </c>
      <c r="D5178" t="n">
        <v>2007</v>
      </c>
      <c r="E5178" t="inlineStr">
        <is>
          <t>National Treasure: Book of Secrets</t>
        </is>
      </c>
      <c r="F5178" t="inlineStr">
        <is>
          <t>F0233</t>
        </is>
      </c>
    </row>
    <row r="5179">
      <c r="A5179" t="inlineStr">
        <is>
          <t>Peter Woodward</t>
        </is>
      </c>
      <c r="B5179" t="n">
        <v>1</v>
      </c>
      <c r="C5179" t="n">
        <v>2007</v>
      </c>
      <c r="D5179" t="n">
        <v>2007</v>
      </c>
      <c r="E5179" t="inlineStr">
        <is>
          <t>National Treasure: Book of Secrets</t>
        </is>
      </c>
      <c r="F5179" t="inlineStr">
        <is>
          <t>F0233</t>
        </is>
      </c>
    </row>
    <row r="5180">
      <c r="A5180" t="inlineStr">
        <is>
          <t>Oliver Muirhead</t>
        </is>
      </c>
      <c r="B5180" t="n">
        <v>1</v>
      </c>
      <c r="C5180" t="n">
        <v>2007</v>
      </c>
      <c r="D5180" t="n">
        <v>2007</v>
      </c>
      <c r="E5180" t="inlineStr">
        <is>
          <t>National Treasure: Book of Secrets</t>
        </is>
      </c>
      <c r="F5180" t="inlineStr">
        <is>
          <t>F0233</t>
        </is>
      </c>
    </row>
    <row r="5181">
      <c r="A5181" t="inlineStr">
        <is>
          <t>Larry Cedar</t>
        </is>
      </c>
      <c r="B5181" t="n">
        <v>1</v>
      </c>
      <c r="C5181" t="n">
        <v>2007</v>
      </c>
      <c r="D5181" t="n">
        <v>2007</v>
      </c>
      <c r="E5181" t="inlineStr">
        <is>
          <t>National Treasure: Book of Secrets</t>
        </is>
      </c>
      <c r="F5181" t="inlineStr">
        <is>
          <t>F0233</t>
        </is>
      </c>
    </row>
    <row r="5182">
      <c r="A5182" t="inlineStr">
        <is>
          <t>Troy Winbush</t>
        </is>
      </c>
      <c r="B5182" t="n">
        <v>1</v>
      </c>
      <c r="C5182" t="n">
        <v>2007</v>
      </c>
      <c r="D5182" t="n">
        <v>2007</v>
      </c>
      <c r="E5182" t="inlineStr">
        <is>
          <t>National Treasure: Book of Secrets</t>
        </is>
      </c>
      <c r="F5182" t="inlineStr">
        <is>
          <t>F0233</t>
        </is>
      </c>
    </row>
    <row r="5183">
      <c r="A5183" t="inlineStr">
        <is>
          <t>Billy Devlin</t>
        </is>
      </c>
      <c r="B5183" t="n">
        <v>1</v>
      </c>
      <c r="C5183" t="n">
        <v>2007</v>
      </c>
      <c r="D5183" t="n">
        <v>2007</v>
      </c>
      <c r="E5183" t="inlineStr">
        <is>
          <t>National Treasure: Book of Secrets</t>
        </is>
      </c>
      <c r="F5183" t="inlineStr">
        <is>
          <t>F0233</t>
        </is>
      </c>
    </row>
    <row r="5184">
      <c r="A5184" t="inlineStr">
        <is>
          <t>William R. Johnson</t>
        </is>
      </c>
      <c r="B5184" t="n">
        <v>1</v>
      </c>
      <c r="C5184" t="n">
        <v>2007</v>
      </c>
      <c r="D5184" t="n">
        <v>2007</v>
      </c>
      <c r="E5184" t="inlineStr">
        <is>
          <t>National Treasure: Book of Secrets</t>
        </is>
      </c>
      <c r="F5184" t="inlineStr">
        <is>
          <t>F0233</t>
        </is>
      </c>
    </row>
    <row r="5185">
      <c r="A5185" t="inlineStr">
        <is>
          <t>Richard Cutting</t>
        </is>
      </c>
      <c r="B5185" t="n">
        <v>1</v>
      </c>
      <c r="C5185" t="n">
        <v>2007</v>
      </c>
      <c r="D5185" t="n">
        <v>2007</v>
      </c>
      <c r="E5185" t="inlineStr">
        <is>
          <t>National Treasure: Book of Secrets</t>
        </is>
      </c>
      <c r="F5185" t="inlineStr">
        <is>
          <t>F0233</t>
        </is>
      </c>
    </row>
    <row r="5186">
      <c r="A5186" t="inlineStr">
        <is>
          <t>Alicia Leigh Willis</t>
        </is>
      </c>
      <c r="B5186" t="n">
        <v>1</v>
      </c>
      <c r="C5186" t="n">
        <v>2007</v>
      </c>
      <c r="D5186" t="n">
        <v>2007</v>
      </c>
      <c r="E5186" t="inlineStr">
        <is>
          <t>National Treasure: Book of Secrets</t>
        </is>
      </c>
      <c r="F5186" t="inlineStr">
        <is>
          <t>F0233</t>
        </is>
      </c>
    </row>
    <row r="5187">
      <c r="A5187" t="inlineStr">
        <is>
          <t>Rachel Cora Wood</t>
        </is>
      </c>
      <c r="B5187" t="n">
        <v>1</v>
      </c>
      <c r="C5187" t="n">
        <v>2007</v>
      </c>
      <c r="D5187" t="n">
        <v>2007</v>
      </c>
      <c r="E5187" t="inlineStr">
        <is>
          <t>National Treasure: Book of Secrets</t>
        </is>
      </c>
      <c r="F5187" t="inlineStr">
        <is>
          <t>F0233</t>
        </is>
      </c>
    </row>
    <row r="5188">
      <c r="A5188" t="inlineStr">
        <is>
          <t>Harrison Gilbertson</t>
        </is>
      </c>
      <c r="B5188" t="n">
        <v>1</v>
      </c>
      <c r="C5188" t="n">
        <v>2014</v>
      </c>
      <c r="D5188" t="n">
        <v>2014</v>
      </c>
      <c r="E5188" t="inlineStr">
        <is>
          <t>Need for Speed</t>
        </is>
      </c>
      <c r="F5188" t="inlineStr">
        <is>
          <t>F0234</t>
        </is>
      </c>
    </row>
    <row r="5189">
      <c r="A5189" t="inlineStr">
        <is>
          <t>Stevie Ray Dallimore</t>
        </is>
      </c>
      <c r="B5189" t="n">
        <v>1</v>
      </c>
      <c r="C5189" t="n">
        <v>2014</v>
      </c>
      <c r="D5189" t="n">
        <v>2014</v>
      </c>
      <c r="E5189" t="inlineStr">
        <is>
          <t>Need for Speed</t>
        </is>
      </c>
      <c r="F5189" t="inlineStr">
        <is>
          <t>F0234</t>
        </is>
      </c>
    </row>
    <row r="5190">
      <c r="A5190" t="inlineStr">
        <is>
          <t>Alan Pflueger</t>
        </is>
      </c>
      <c r="B5190" t="n">
        <v>1</v>
      </c>
      <c r="C5190" t="n">
        <v>2014</v>
      </c>
      <c r="D5190" t="n">
        <v>2014</v>
      </c>
      <c r="E5190" t="inlineStr">
        <is>
          <t>Need for Speed</t>
        </is>
      </c>
      <c r="F5190" t="inlineStr">
        <is>
          <t>F0234</t>
        </is>
      </c>
    </row>
    <row r="5191">
      <c r="A5191" t="inlineStr">
        <is>
          <t>Brian Keaulana</t>
        </is>
      </c>
      <c r="B5191" t="n">
        <v>1</v>
      </c>
      <c r="C5191" t="n">
        <v>2014</v>
      </c>
      <c r="D5191" t="n">
        <v>2014</v>
      </c>
      <c r="E5191" t="inlineStr">
        <is>
          <t>Need for Speed</t>
        </is>
      </c>
      <c r="F5191" t="inlineStr">
        <is>
          <t>F0234</t>
        </is>
      </c>
    </row>
    <row r="5192">
      <c r="A5192" t="inlineStr">
        <is>
          <t>Logan Holladay</t>
        </is>
      </c>
      <c r="B5192" t="n">
        <v>1</v>
      </c>
      <c r="C5192" t="n">
        <v>2014</v>
      </c>
      <c r="D5192" t="n">
        <v>2014</v>
      </c>
      <c r="E5192" t="inlineStr">
        <is>
          <t>Need for Speed</t>
        </is>
      </c>
      <c r="F5192" t="inlineStr">
        <is>
          <t>F0234</t>
        </is>
      </c>
    </row>
    <row r="5193">
      <c r="A5193" t="inlineStr">
        <is>
          <t>Carmela Zumbado</t>
        </is>
      </c>
      <c r="B5193" t="n">
        <v>1</v>
      </c>
      <c r="C5193" t="n">
        <v>2014</v>
      </c>
      <c r="D5193" t="n">
        <v>2014</v>
      </c>
      <c r="E5193" t="inlineStr">
        <is>
          <t>Need for Speed</t>
        </is>
      </c>
      <c r="F5193" t="inlineStr">
        <is>
          <t>F0234</t>
        </is>
      </c>
    </row>
    <row r="5194">
      <c r="A5194" t="inlineStr">
        <is>
          <t>Jalil Jay Lynch</t>
        </is>
      </c>
      <c r="B5194" t="n">
        <v>1</v>
      </c>
      <c r="C5194" t="n">
        <v>2014</v>
      </c>
      <c r="D5194" t="n">
        <v>2014</v>
      </c>
      <c r="E5194" t="inlineStr">
        <is>
          <t>Need for Speed</t>
        </is>
      </c>
      <c r="F5194" t="inlineStr">
        <is>
          <t>F0234</t>
        </is>
      </c>
    </row>
    <row r="5195">
      <c r="A5195" t="inlineStr">
        <is>
          <t>Buddy Joe Hooker</t>
        </is>
      </c>
      <c r="B5195" t="n">
        <v>1</v>
      </c>
      <c r="C5195" t="n">
        <v>2014</v>
      </c>
      <c r="D5195" t="n">
        <v>2014</v>
      </c>
      <c r="E5195" t="inlineStr">
        <is>
          <t>Need for Speed</t>
        </is>
      </c>
      <c r="F5195" t="inlineStr">
        <is>
          <t>F0234</t>
        </is>
      </c>
    </row>
    <row r="5196">
      <c r="A5196" t="inlineStr">
        <is>
          <t>Rich Rutherford</t>
        </is>
      </c>
      <c r="B5196" t="n">
        <v>1</v>
      </c>
      <c r="C5196" t="n">
        <v>2014</v>
      </c>
      <c r="D5196" t="n">
        <v>2014</v>
      </c>
      <c r="E5196" t="inlineStr">
        <is>
          <t>Need for Speed</t>
        </is>
      </c>
      <c r="F5196" t="inlineStr">
        <is>
          <t>F0234</t>
        </is>
      </c>
    </row>
    <row r="5197">
      <c r="A5197" t="inlineStr">
        <is>
          <t>Tony Brakohiapa</t>
        </is>
      </c>
      <c r="B5197" t="n">
        <v>1</v>
      </c>
      <c r="C5197" t="n">
        <v>2014</v>
      </c>
      <c r="D5197" t="n">
        <v>2014</v>
      </c>
      <c r="E5197" t="inlineStr">
        <is>
          <t>Need for Speed</t>
        </is>
      </c>
      <c r="F5197" t="inlineStr">
        <is>
          <t>F0234</t>
        </is>
      </c>
    </row>
    <row r="5198">
      <c r="A5198" t="inlineStr">
        <is>
          <t>Brent Fletcher</t>
        </is>
      </c>
      <c r="B5198" t="n">
        <v>1</v>
      </c>
      <c r="C5198" t="n">
        <v>2014</v>
      </c>
      <c r="D5198" t="n">
        <v>2014</v>
      </c>
      <c r="E5198" t="inlineStr">
        <is>
          <t>Need for Speed</t>
        </is>
      </c>
      <c r="F5198" t="inlineStr">
        <is>
          <t>F0234</t>
        </is>
      </c>
    </row>
    <row r="5199">
      <c r="A5199" t="inlineStr">
        <is>
          <t>Paul Dallenbach</t>
        </is>
      </c>
      <c r="B5199" t="n">
        <v>1</v>
      </c>
      <c r="C5199" t="n">
        <v>2014</v>
      </c>
      <c r="D5199" t="n">
        <v>2014</v>
      </c>
      <c r="E5199" t="inlineStr">
        <is>
          <t>Need for Speed</t>
        </is>
      </c>
      <c r="F5199" t="inlineStr">
        <is>
          <t>F0234</t>
        </is>
      </c>
    </row>
    <row r="5200">
      <c r="A5200" t="inlineStr">
        <is>
          <t>Kanin Howell</t>
        </is>
      </c>
      <c r="B5200" t="n">
        <v>1</v>
      </c>
      <c r="C5200" t="n">
        <v>2014</v>
      </c>
      <c r="D5200" t="n">
        <v>2014</v>
      </c>
      <c r="E5200" t="inlineStr">
        <is>
          <t>Need for Speed</t>
        </is>
      </c>
      <c r="F5200" t="inlineStr">
        <is>
          <t>F0234</t>
        </is>
      </c>
    </row>
    <row r="5201">
      <c r="A5201" t="inlineStr">
        <is>
          <t>Michael Rose</t>
        </is>
      </c>
      <c r="B5201" t="n">
        <v>1</v>
      </c>
      <c r="C5201" t="n">
        <v>2014</v>
      </c>
      <c r="D5201" t="n">
        <v>2014</v>
      </c>
      <c r="E5201" t="inlineStr">
        <is>
          <t>Need for Speed</t>
        </is>
      </c>
      <c r="F5201" t="inlineStr">
        <is>
          <t>F0234</t>
        </is>
      </c>
    </row>
    <row r="5202">
      <c r="A5202" t="inlineStr">
        <is>
          <t>Beth Waugh</t>
        </is>
      </c>
      <c r="B5202" t="n">
        <v>1</v>
      </c>
      <c r="C5202" t="n">
        <v>2014</v>
      </c>
      <c r="D5202" t="n">
        <v>2014</v>
      </c>
      <c r="E5202" t="inlineStr">
        <is>
          <t>Need for Speed</t>
        </is>
      </c>
      <c r="F5202" t="inlineStr">
        <is>
          <t>F0234</t>
        </is>
      </c>
    </row>
    <row r="5203">
      <c r="A5203" t="inlineStr">
        <is>
          <t>Frank Brennan</t>
        </is>
      </c>
      <c r="B5203" t="n">
        <v>1</v>
      </c>
      <c r="C5203" t="n">
        <v>2014</v>
      </c>
      <c r="D5203" t="n">
        <v>2014</v>
      </c>
      <c r="E5203" t="inlineStr">
        <is>
          <t>Need for Speed</t>
        </is>
      </c>
      <c r="F5203" t="inlineStr">
        <is>
          <t>F0234</t>
        </is>
      </c>
    </row>
    <row r="5204">
      <c r="A5204" t="inlineStr">
        <is>
          <t>Tara Jones</t>
        </is>
      </c>
      <c r="B5204" t="n">
        <v>1</v>
      </c>
      <c r="C5204" t="n">
        <v>2014</v>
      </c>
      <c r="D5204" t="n">
        <v>2014</v>
      </c>
      <c r="E5204" t="inlineStr">
        <is>
          <t>Need for Speed</t>
        </is>
      </c>
      <c r="F5204" t="inlineStr">
        <is>
          <t>F0234</t>
        </is>
      </c>
    </row>
    <row r="5205">
      <c r="A5205" t="inlineStr">
        <is>
          <t>Han Soto</t>
        </is>
      </c>
      <c r="B5205" t="n">
        <v>1</v>
      </c>
      <c r="C5205" t="n">
        <v>2014</v>
      </c>
      <c r="D5205" t="n">
        <v>2014</v>
      </c>
      <c r="E5205" t="inlineStr">
        <is>
          <t>Need for Speed</t>
        </is>
      </c>
      <c r="F5205" t="inlineStr">
        <is>
          <t>F0234</t>
        </is>
      </c>
    </row>
    <row r="5206">
      <c r="A5206" t="inlineStr">
        <is>
          <t>Yaya DaCosta</t>
        </is>
      </c>
      <c r="B5206" t="n">
        <v>1</v>
      </c>
      <c r="C5206" t="n">
        <v>2016</v>
      </c>
      <c r="D5206" t="n">
        <v>2016</v>
      </c>
      <c r="E5206" t="inlineStr">
        <is>
          <t>The Nice Guys</t>
        </is>
      </c>
      <c r="F5206" t="inlineStr">
        <is>
          <t>F0235</t>
        </is>
      </c>
    </row>
    <row r="5207">
      <c r="A5207" t="inlineStr">
        <is>
          <t>Beau Knapp</t>
        </is>
      </c>
      <c r="B5207" t="n">
        <v>3</v>
      </c>
      <c r="C5207" t="n">
        <v>2011</v>
      </c>
      <c r="D5207" t="n">
        <v>2016</v>
      </c>
      <c r="E5207" t="inlineStr">
        <is>
          <t>The Nice Guys, Southpaw, Super 8</t>
        </is>
      </c>
      <c r="F5207" t="inlineStr">
        <is>
          <t>F0235, F0286, F0302</t>
        </is>
      </c>
    </row>
    <row r="5208">
      <c r="A5208" t="inlineStr">
        <is>
          <t>Lois Smith</t>
        </is>
      </c>
      <c r="B5208" t="n">
        <v>1</v>
      </c>
      <c r="C5208" t="n">
        <v>2016</v>
      </c>
      <c r="D5208" t="n">
        <v>2016</v>
      </c>
      <c r="E5208" t="inlineStr">
        <is>
          <t>The Nice Guys</t>
        </is>
      </c>
      <c r="F5208" t="inlineStr">
        <is>
          <t>F0235</t>
        </is>
      </c>
    </row>
    <row r="5209">
      <c r="A5209" t="inlineStr">
        <is>
          <t>Murielle Telio</t>
        </is>
      </c>
      <c r="B5209" t="n">
        <v>1</v>
      </c>
      <c r="C5209" t="n">
        <v>2016</v>
      </c>
      <c r="D5209" t="n">
        <v>2016</v>
      </c>
      <c r="E5209" t="inlineStr">
        <is>
          <t>The Nice Guys</t>
        </is>
      </c>
      <c r="F5209" t="inlineStr">
        <is>
          <t>F0235</t>
        </is>
      </c>
    </row>
    <row r="5210">
      <c r="A5210" t="inlineStr">
        <is>
          <t>Gil Gerard</t>
        </is>
      </c>
      <c r="B5210" t="n">
        <v>1</v>
      </c>
      <c r="C5210" t="n">
        <v>2016</v>
      </c>
      <c r="D5210" t="n">
        <v>2016</v>
      </c>
      <c r="E5210" t="inlineStr">
        <is>
          <t>The Nice Guys</t>
        </is>
      </c>
      <c r="F5210" t="inlineStr">
        <is>
          <t>F0235</t>
        </is>
      </c>
    </row>
    <row r="5211">
      <c r="A5211" t="inlineStr">
        <is>
          <t>Daisy Tahan</t>
        </is>
      </c>
      <c r="B5211" t="n">
        <v>1</v>
      </c>
      <c r="C5211" t="n">
        <v>2016</v>
      </c>
      <c r="D5211" t="n">
        <v>2016</v>
      </c>
      <c r="E5211" t="inlineStr">
        <is>
          <t>The Nice Guys</t>
        </is>
      </c>
      <c r="F5211" t="inlineStr">
        <is>
          <t>F0235</t>
        </is>
      </c>
    </row>
    <row r="5212">
      <c r="A5212" t="inlineStr">
        <is>
          <t>Kim Basinger</t>
        </is>
      </c>
      <c r="B5212" t="n">
        <v>1</v>
      </c>
      <c r="C5212" t="n">
        <v>2016</v>
      </c>
      <c r="D5212" t="n">
        <v>2016</v>
      </c>
      <c r="E5212" t="inlineStr">
        <is>
          <t>The Nice Guys</t>
        </is>
      </c>
      <c r="F5212" t="inlineStr">
        <is>
          <t>F0235</t>
        </is>
      </c>
    </row>
    <row r="5213">
      <c r="A5213" t="inlineStr">
        <is>
          <t>Jack Kilmer</t>
        </is>
      </c>
      <c r="B5213" t="n">
        <v>1</v>
      </c>
      <c r="C5213" t="n">
        <v>2016</v>
      </c>
      <c r="D5213" t="n">
        <v>2016</v>
      </c>
      <c r="E5213" t="inlineStr">
        <is>
          <t>The Nice Guys</t>
        </is>
      </c>
      <c r="F5213" t="inlineStr">
        <is>
          <t>F0235</t>
        </is>
      </c>
    </row>
    <row r="5214">
      <c r="A5214" t="inlineStr">
        <is>
          <t>Lance Valentine Butler</t>
        </is>
      </c>
      <c r="B5214" t="n">
        <v>1</v>
      </c>
      <c r="C5214" t="n">
        <v>2016</v>
      </c>
      <c r="D5214" t="n">
        <v>2016</v>
      </c>
      <c r="E5214" t="inlineStr">
        <is>
          <t>The Nice Guys</t>
        </is>
      </c>
      <c r="F5214" t="inlineStr">
        <is>
          <t>F0235</t>
        </is>
      </c>
    </row>
    <row r="5215">
      <c r="A5215" t="inlineStr">
        <is>
          <t>Cayla Brady</t>
        </is>
      </c>
      <c r="B5215" t="n">
        <v>1</v>
      </c>
      <c r="C5215" t="n">
        <v>2016</v>
      </c>
      <c r="D5215" t="n">
        <v>2016</v>
      </c>
      <c r="E5215" t="inlineStr">
        <is>
          <t>The Nice Guys</t>
        </is>
      </c>
      <c r="F5215" t="inlineStr">
        <is>
          <t>F0235</t>
        </is>
      </c>
    </row>
    <row r="5216">
      <c r="A5216" t="inlineStr">
        <is>
          <t>Tammi Arender</t>
        </is>
      </c>
      <c r="B5216" t="n">
        <v>1</v>
      </c>
      <c r="C5216" t="n">
        <v>2016</v>
      </c>
      <c r="D5216" t="n">
        <v>2016</v>
      </c>
      <c r="E5216" t="inlineStr">
        <is>
          <t>The Nice Guys</t>
        </is>
      </c>
      <c r="F5216" t="inlineStr">
        <is>
          <t>F0235</t>
        </is>
      </c>
    </row>
    <row r="5217">
      <c r="A5217" t="inlineStr">
        <is>
          <t>Rebecca Dalton Rusk</t>
        </is>
      </c>
      <c r="B5217" t="n">
        <v>1</v>
      </c>
      <c r="C5217" t="n">
        <v>2016</v>
      </c>
      <c r="D5217" t="n">
        <v>2016</v>
      </c>
      <c r="E5217" t="inlineStr">
        <is>
          <t>The Nice Guys</t>
        </is>
      </c>
      <c r="F5217" t="inlineStr">
        <is>
          <t>F0235</t>
        </is>
      </c>
    </row>
    <row r="5218">
      <c r="A5218" t="inlineStr">
        <is>
          <t>Terence Rosemore</t>
        </is>
      </c>
      <c r="B5218" t="n">
        <v>2</v>
      </c>
      <c r="C5218" t="n">
        <v>2016</v>
      </c>
      <c r="D5218" t="n">
        <v>2025</v>
      </c>
      <c r="E5218" t="inlineStr">
        <is>
          <t>The Nice Guys, Superman</t>
        </is>
      </c>
      <c r="F5218" t="inlineStr">
        <is>
          <t>F0235, F0304</t>
        </is>
      </c>
    </row>
    <row r="5219">
      <c r="A5219" t="inlineStr">
        <is>
          <t>John L. Morris</t>
        </is>
      </c>
      <c r="B5219" t="n">
        <v>1</v>
      </c>
      <c r="C5219" t="n">
        <v>2016</v>
      </c>
      <c r="D5219" t="n">
        <v>2016</v>
      </c>
      <c r="E5219" t="inlineStr">
        <is>
          <t>The Nice Guys</t>
        </is>
      </c>
      <c r="F5219" t="inlineStr">
        <is>
          <t>F0235</t>
        </is>
      </c>
    </row>
    <row r="5220">
      <c r="A5220" t="inlineStr">
        <is>
          <t>Michelle Rivera Huckaby</t>
        </is>
      </c>
      <c r="B5220" t="n">
        <v>1</v>
      </c>
      <c r="C5220" t="n">
        <v>2016</v>
      </c>
      <c r="D5220" t="n">
        <v>2016</v>
      </c>
      <c r="E5220" t="inlineStr">
        <is>
          <t>The Nice Guys</t>
        </is>
      </c>
      <c r="F5220" t="inlineStr">
        <is>
          <t>F0235</t>
        </is>
      </c>
    </row>
    <row r="5221">
      <c r="A5221" t="inlineStr">
        <is>
          <t>Nathaniel 'Nate' Scott</t>
        </is>
      </c>
      <c r="B5221" t="n">
        <v>1</v>
      </c>
      <c r="C5221" t="n">
        <v>2016</v>
      </c>
      <c r="D5221" t="n">
        <v>2016</v>
      </c>
      <c r="E5221" t="inlineStr">
        <is>
          <t>The Nice Guys</t>
        </is>
      </c>
      <c r="F5221" t="inlineStr">
        <is>
          <t>F0235</t>
        </is>
      </c>
    </row>
    <row r="5222">
      <c r="A5222" t="inlineStr">
        <is>
          <t>Amy Goddard</t>
        </is>
      </c>
      <c r="B5222" t="n">
        <v>1</v>
      </c>
      <c r="C5222" t="n">
        <v>2016</v>
      </c>
      <c r="D5222" t="n">
        <v>2016</v>
      </c>
      <c r="E5222" t="inlineStr">
        <is>
          <t>The Nice Guys</t>
        </is>
      </c>
      <c r="F5222" t="inlineStr">
        <is>
          <t>F0235</t>
        </is>
      </c>
    </row>
    <row r="5223">
      <c r="A5223" t="inlineStr">
        <is>
          <t>Frank Mottek</t>
        </is>
      </c>
      <c r="B5223" t="n">
        <v>1</v>
      </c>
      <c r="C5223" t="n">
        <v>2016</v>
      </c>
      <c r="D5223" t="n">
        <v>2016</v>
      </c>
      <c r="E5223" t="inlineStr">
        <is>
          <t>The Nice Guys</t>
        </is>
      </c>
      <c r="F5223" t="inlineStr">
        <is>
          <t>F0235</t>
        </is>
      </c>
    </row>
    <row r="5224">
      <c r="A5224" t="inlineStr">
        <is>
          <t>Joanne Spracklen</t>
        </is>
      </c>
      <c r="B5224" t="n">
        <v>1</v>
      </c>
      <c r="C5224" t="n">
        <v>2016</v>
      </c>
      <c r="D5224" t="n">
        <v>2016</v>
      </c>
      <c r="E5224" t="inlineStr">
        <is>
          <t>The Nice Guys</t>
        </is>
      </c>
      <c r="F5224" t="inlineStr">
        <is>
          <t>F0235</t>
        </is>
      </c>
    </row>
    <row r="5225">
      <c r="A5225" t="inlineStr">
        <is>
          <t>Greg Lindsay</t>
        </is>
      </c>
      <c r="B5225" t="n">
        <v>1</v>
      </c>
      <c r="C5225" t="n">
        <v>2016</v>
      </c>
      <c r="D5225" t="n">
        <v>2016</v>
      </c>
      <c r="E5225" t="inlineStr">
        <is>
          <t>The Nice Guys</t>
        </is>
      </c>
      <c r="F5225" t="inlineStr">
        <is>
          <t>F0235</t>
        </is>
      </c>
    </row>
    <row r="5226">
      <c r="A5226" t="inlineStr">
        <is>
          <t>Maddie Compton</t>
        </is>
      </c>
      <c r="B5226" t="n">
        <v>1</v>
      </c>
      <c r="C5226" t="n">
        <v>2016</v>
      </c>
      <c r="D5226" t="n">
        <v>2016</v>
      </c>
      <c r="E5226" t="inlineStr">
        <is>
          <t>The Nice Guys</t>
        </is>
      </c>
      <c r="F5226" t="inlineStr">
        <is>
          <t>F0235</t>
        </is>
      </c>
    </row>
    <row r="5227">
      <c r="A5227" t="inlineStr">
        <is>
          <t>J. Todd Anderson</t>
        </is>
      </c>
      <c r="B5227" t="n">
        <v>1</v>
      </c>
      <c r="C5227" t="n">
        <v>2016</v>
      </c>
      <c r="D5227" t="n">
        <v>2016</v>
      </c>
      <c r="E5227" t="inlineStr">
        <is>
          <t>The Nice Guys</t>
        </is>
      </c>
      <c r="F5227" t="inlineStr">
        <is>
          <t>F0235</t>
        </is>
      </c>
    </row>
    <row r="5228">
      <c r="A5228" t="inlineStr">
        <is>
          <t>Meredith Berg</t>
        </is>
      </c>
      <c r="B5228" t="n">
        <v>1</v>
      </c>
      <c r="C5228" t="n">
        <v>2016</v>
      </c>
      <c r="D5228" t="n">
        <v>2016</v>
      </c>
      <c r="E5228" t="inlineStr">
        <is>
          <t>The Nice Guys</t>
        </is>
      </c>
      <c r="F5228" t="inlineStr">
        <is>
          <t>F0235</t>
        </is>
      </c>
    </row>
    <row r="5229">
      <c r="A5229" t="inlineStr">
        <is>
          <t>Christopher Guest</t>
        </is>
      </c>
      <c r="B5229" t="n">
        <v>1</v>
      </c>
      <c r="C5229" t="n">
        <v>2009</v>
      </c>
      <c r="D5229" t="n">
        <v>2009</v>
      </c>
      <c r="E5229" t="inlineStr">
        <is>
          <t>Night at the Museum: Battle of the Smithsonian</t>
        </is>
      </c>
      <c r="F5229" t="inlineStr">
        <is>
          <t>F0236</t>
        </is>
      </c>
    </row>
    <row r="5230">
      <c r="A5230" t="inlineStr">
        <is>
          <t>Alain Chabat</t>
        </is>
      </c>
      <c r="B5230" t="n">
        <v>1</v>
      </c>
      <c r="C5230" t="n">
        <v>2009</v>
      </c>
      <c r="D5230" t="n">
        <v>2009</v>
      </c>
      <c r="E5230" t="inlineStr">
        <is>
          <t>Night at the Museum: Battle of the Smithsonian</t>
        </is>
      </c>
      <c r="F5230" t="inlineStr">
        <is>
          <t>F0236</t>
        </is>
      </c>
    </row>
    <row r="5231">
      <c r="A5231" t="inlineStr">
        <is>
          <t>Patrick Gallagher</t>
        </is>
      </c>
      <c r="B5231" t="n">
        <v>1</v>
      </c>
      <c r="C5231" t="n">
        <v>2009</v>
      </c>
      <c r="D5231" t="n">
        <v>2009</v>
      </c>
      <c r="E5231" t="inlineStr">
        <is>
          <t>Night at the Museum: Battle of the Smithsonian</t>
        </is>
      </c>
      <c r="F5231" t="inlineStr">
        <is>
          <t>F0236</t>
        </is>
      </c>
    </row>
    <row r="5232">
      <c r="A5232" t="inlineStr">
        <is>
          <t>Jake Cherry</t>
        </is>
      </c>
      <c r="B5232" t="n">
        <v>1</v>
      </c>
      <c r="C5232" t="n">
        <v>2009</v>
      </c>
      <c r="D5232" t="n">
        <v>2009</v>
      </c>
      <c r="E5232" t="inlineStr">
        <is>
          <t>Night at the Museum: Battle of the Smithsonian</t>
        </is>
      </c>
      <c r="F5232" t="inlineStr">
        <is>
          <t>F0236</t>
        </is>
      </c>
    </row>
    <row r="5233">
      <c r="A5233" t="inlineStr">
        <is>
          <t>Mizuo Peck</t>
        </is>
      </c>
      <c r="B5233" t="n">
        <v>1</v>
      </c>
      <c r="C5233" t="n">
        <v>2009</v>
      </c>
      <c r="D5233" t="n">
        <v>2009</v>
      </c>
      <c r="E5233" t="inlineStr">
        <is>
          <t>Night at the Museum: Battle of the Smithsonian</t>
        </is>
      </c>
      <c r="F5233" t="inlineStr">
        <is>
          <t>F0236</t>
        </is>
      </c>
    </row>
    <row r="5234">
      <c r="A5234" t="inlineStr">
        <is>
          <t>Kerry van der Griend</t>
        </is>
      </c>
      <c r="B5234" t="n">
        <v>1</v>
      </c>
      <c r="C5234" t="n">
        <v>2009</v>
      </c>
      <c r="D5234" t="n">
        <v>2009</v>
      </c>
      <c r="E5234" t="inlineStr">
        <is>
          <t>Night at the Museum: Battle of the Smithsonian</t>
        </is>
      </c>
      <c r="F5234" t="inlineStr">
        <is>
          <t>F0236</t>
        </is>
      </c>
    </row>
    <row r="5235">
      <c r="A5235" t="inlineStr">
        <is>
          <t>Matthew Harrison</t>
        </is>
      </c>
      <c r="B5235" t="n">
        <v>1</v>
      </c>
      <c r="C5235" t="n">
        <v>2009</v>
      </c>
      <c r="D5235" t="n">
        <v>2009</v>
      </c>
      <c r="E5235" t="inlineStr">
        <is>
          <t>Night at the Museum: Battle of the Smithsonian</t>
        </is>
      </c>
      <c r="F5235" t="inlineStr">
        <is>
          <t>F0236</t>
        </is>
      </c>
    </row>
    <row r="5236">
      <c r="A5236" t="inlineStr">
        <is>
          <t>Rick Dobran</t>
        </is>
      </c>
      <c r="B5236" t="n">
        <v>1</v>
      </c>
      <c r="C5236" t="n">
        <v>2009</v>
      </c>
      <c r="D5236" t="n">
        <v>2009</v>
      </c>
      <c r="E5236" t="inlineStr">
        <is>
          <t>Night at the Museum: Battle of the Smithsonian</t>
        </is>
      </c>
      <c r="F5236" t="inlineStr">
        <is>
          <t>F0236</t>
        </is>
      </c>
    </row>
    <row r="5237">
      <c r="A5237" t="inlineStr">
        <is>
          <t>Randy Lee</t>
        </is>
      </c>
      <c r="B5237" t="n">
        <v>1</v>
      </c>
      <c r="C5237" t="n">
        <v>2009</v>
      </c>
      <c r="D5237" t="n">
        <v>2009</v>
      </c>
      <c r="E5237" t="inlineStr">
        <is>
          <t>Night at the Museum: Battle of the Smithsonian</t>
        </is>
      </c>
      <c r="F5237" t="inlineStr">
        <is>
          <t>F0236</t>
        </is>
      </c>
    </row>
    <row r="5238">
      <c r="A5238" t="inlineStr">
        <is>
          <t>Darryl Quon</t>
        </is>
      </c>
      <c r="B5238" t="n">
        <v>1</v>
      </c>
      <c r="C5238" t="n">
        <v>2009</v>
      </c>
      <c r="D5238" t="n">
        <v>2009</v>
      </c>
      <c r="E5238" t="inlineStr">
        <is>
          <t>Night at the Museum: Battle of the Smithsonian</t>
        </is>
      </c>
      <c r="F5238" t="inlineStr">
        <is>
          <t>F0236</t>
        </is>
      </c>
    </row>
    <row r="5239">
      <c r="A5239" t="inlineStr">
        <is>
          <t>Gerald Wong</t>
        </is>
      </c>
      <c r="B5239" t="n">
        <v>1</v>
      </c>
      <c r="C5239" t="n">
        <v>2009</v>
      </c>
      <c r="D5239" t="n">
        <v>2009</v>
      </c>
      <c r="E5239" t="inlineStr">
        <is>
          <t>Night at the Museum: Battle of the Smithsonian</t>
        </is>
      </c>
      <c r="F5239" t="inlineStr">
        <is>
          <t>F0236</t>
        </is>
      </c>
    </row>
    <row r="5240">
      <c r="A5240" t="inlineStr">
        <is>
          <t>Paul Cheng</t>
        </is>
      </c>
      <c r="B5240" t="n">
        <v>1</v>
      </c>
      <c r="C5240" t="n">
        <v>2009</v>
      </c>
      <c r="D5240" t="n">
        <v>2009</v>
      </c>
      <c r="E5240" t="inlineStr">
        <is>
          <t>Night at the Museum: Battle of the Smithsonian</t>
        </is>
      </c>
      <c r="F5240" t="inlineStr">
        <is>
          <t>F0236</t>
        </is>
      </c>
    </row>
    <row r="5241">
      <c r="A5241" t="inlineStr">
        <is>
          <t>Keith Powell</t>
        </is>
      </c>
      <c r="B5241" t="n">
        <v>1</v>
      </c>
      <c r="C5241" t="n">
        <v>2009</v>
      </c>
      <c r="D5241" t="n">
        <v>2009</v>
      </c>
      <c r="E5241" t="inlineStr">
        <is>
          <t>Night at the Museum: Battle of the Smithsonian</t>
        </is>
      </c>
      <c r="F5241" t="inlineStr">
        <is>
          <t>F0236</t>
        </is>
      </c>
    </row>
    <row r="5242">
      <c r="A5242" t="inlineStr">
        <is>
          <t>Craig Robinson</t>
        </is>
      </c>
      <c r="B5242" t="n">
        <v>2</v>
      </c>
      <c r="C5242" t="n">
        <v>2008</v>
      </c>
      <c r="D5242" t="n">
        <v>2009</v>
      </c>
      <c r="E5242" t="inlineStr">
        <is>
          <t>Night at the Museum: Battle of the Smithsonian, Pineapple Express</t>
        </is>
      </c>
      <c r="F5242" t="inlineStr">
        <is>
          <t>F0236, F0247</t>
        </is>
      </c>
    </row>
    <row r="5243">
      <c r="A5243" t="inlineStr">
        <is>
          <t>Samuel Patrick Chu</t>
        </is>
      </c>
      <c r="B5243" t="n">
        <v>1</v>
      </c>
      <c r="C5243" t="n">
        <v>2009</v>
      </c>
      <c r="D5243" t="n">
        <v>2009</v>
      </c>
      <c r="E5243" t="inlineStr">
        <is>
          <t>Night at the Museum: Battle of the Smithsonian</t>
        </is>
      </c>
      <c r="F5243" t="inlineStr">
        <is>
          <t>F0236</t>
        </is>
      </c>
    </row>
    <row r="5244">
      <c r="A5244" t="inlineStr">
        <is>
          <t>Augustus Oicle</t>
        </is>
      </c>
      <c r="B5244" t="n">
        <v>1</v>
      </c>
      <c r="C5244" t="n">
        <v>2009</v>
      </c>
      <c r="D5244" t="n">
        <v>2009</v>
      </c>
      <c r="E5244" t="inlineStr">
        <is>
          <t>Night at the Museum: Battle of the Smithsonian</t>
        </is>
      </c>
      <c r="F5244" t="inlineStr">
        <is>
          <t>F0236</t>
        </is>
      </c>
    </row>
    <row r="5245">
      <c r="A5245" t="inlineStr">
        <is>
          <t>Kai James</t>
        </is>
      </c>
      <c r="B5245" t="n">
        <v>1</v>
      </c>
      <c r="C5245" t="n">
        <v>2009</v>
      </c>
      <c r="D5245" t="n">
        <v>2009</v>
      </c>
      <c r="E5245" t="inlineStr">
        <is>
          <t>Night at the Museum: Battle of the Smithsonian</t>
        </is>
      </c>
      <c r="F5245" t="inlineStr">
        <is>
          <t>F0236</t>
        </is>
      </c>
    </row>
    <row r="5246">
      <c r="A5246" t="inlineStr">
        <is>
          <t>Clint Howard</t>
        </is>
      </c>
      <c r="B5246" t="n">
        <v>1</v>
      </c>
      <c r="C5246" t="n">
        <v>2009</v>
      </c>
      <c r="D5246" t="n">
        <v>2009</v>
      </c>
      <c r="E5246" t="inlineStr">
        <is>
          <t>Night at the Museum: Battle of the Smithsonian</t>
        </is>
      </c>
      <c r="F5246" t="inlineStr">
        <is>
          <t>F0236</t>
        </is>
      </c>
    </row>
    <row r="5247">
      <c r="A5247" t="inlineStr">
        <is>
          <t>David Thornton</t>
        </is>
      </c>
      <c r="B5247" t="n">
        <v>1</v>
      </c>
      <c r="C5247" t="n">
        <v>2004</v>
      </c>
      <c r="D5247" t="n">
        <v>2004</v>
      </c>
      <c r="E5247" t="inlineStr">
        <is>
          <t>The Notebook</t>
        </is>
      </c>
      <c r="F5247" t="inlineStr">
        <is>
          <t>F0237</t>
        </is>
      </c>
    </row>
    <row r="5248">
      <c r="A5248" t="inlineStr">
        <is>
          <t>Kevin Connolly</t>
        </is>
      </c>
      <c r="B5248" t="n">
        <v>1</v>
      </c>
      <c r="C5248" t="n">
        <v>2004</v>
      </c>
      <c r="D5248" t="n">
        <v>2004</v>
      </c>
      <c r="E5248" t="inlineStr">
        <is>
          <t>The Notebook</t>
        </is>
      </c>
      <c r="F5248" t="inlineStr">
        <is>
          <t>F0237</t>
        </is>
      </c>
    </row>
    <row r="5249">
      <c r="A5249" t="inlineStr">
        <is>
          <t>Starletta DuPois</t>
        </is>
      </c>
      <c r="B5249" t="n">
        <v>1</v>
      </c>
      <c r="C5249" t="n">
        <v>2004</v>
      </c>
      <c r="D5249" t="n">
        <v>2004</v>
      </c>
      <c r="E5249" t="inlineStr">
        <is>
          <t>The Notebook</t>
        </is>
      </c>
      <c r="F5249" t="inlineStr">
        <is>
          <t>F0237</t>
        </is>
      </c>
    </row>
    <row r="5250">
      <c r="A5250" t="inlineStr">
        <is>
          <t>Ed Grady</t>
        </is>
      </c>
      <c r="B5250" t="n">
        <v>1</v>
      </c>
      <c r="C5250" t="n">
        <v>2004</v>
      </c>
      <c r="D5250" t="n">
        <v>2004</v>
      </c>
      <c r="E5250" t="inlineStr">
        <is>
          <t>The Notebook</t>
        </is>
      </c>
      <c r="F5250" t="inlineStr">
        <is>
          <t>F0237</t>
        </is>
      </c>
    </row>
    <row r="5251">
      <c r="A5251" t="inlineStr">
        <is>
          <t>Jennifer Echols</t>
        </is>
      </c>
      <c r="B5251" t="n">
        <v>1</v>
      </c>
      <c r="C5251" t="n">
        <v>2004</v>
      </c>
      <c r="D5251" t="n">
        <v>2004</v>
      </c>
      <c r="E5251" t="inlineStr">
        <is>
          <t>The Notebook</t>
        </is>
      </c>
      <c r="F5251" t="inlineStr">
        <is>
          <t>F0237</t>
        </is>
      </c>
    </row>
    <row r="5252">
      <c r="A5252" t="inlineStr">
        <is>
          <t>Heather Wahlquist</t>
        </is>
      </c>
      <c r="B5252" t="n">
        <v>1</v>
      </c>
      <c r="C5252" t="n">
        <v>2004</v>
      </c>
      <c r="D5252" t="n">
        <v>2004</v>
      </c>
      <c r="E5252" t="inlineStr">
        <is>
          <t>The Notebook</t>
        </is>
      </c>
      <c r="F5252" t="inlineStr">
        <is>
          <t>F0237</t>
        </is>
      </c>
    </row>
    <row r="5253">
      <c r="A5253" t="inlineStr">
        <is>
          <t>Thunderbird Dinwiddie</t>
        </is>
      </c>
      <c r="B5253" t="n">
        <v>1</v>
      </c>
      <c r="C5253" t="n">
        <v>2004</v>
      </c>
      <c r="D5253" t="n">
        <v>2004</v>
      </c>
      <c r="E5253" t="inlineStr">
        <is>
          <t>The Notebook</t>
        </is>
      </c>
      <c r="F5253" t="inlineStr">
        <is>
          <t>F0237</t>
        </is>
      </c>
    </row>
    <row r="5254">
      <c r="A5254" t="inlineStr">
        <is>
          <t>James Middleton</t>
        </is>
      </c>
      <c r="B5254" t="n">
        <v>1</v>
      </c>
      <c r="C5254" t="n">
        <v>2004</v>
      </c>
      <c r="D5254" t="n">
        <v>2004</v>
      </c>
      <c r="E5254" t="inlineStr">
        <is>
          <t>The Notebook</t>
        </is>
      </c>
      <c r="F5254" t="inlineStr">
        <is>
          <t>F0237</t>
        </is>
      </c>
    </row>
    <row r="5255">
      <c r="A5255" t="inlineStr">
        <is>
          <t>Peter Rosenfeld</t>
        </is>
      </c>
      <c r="B5255" t="n">
        <v>1</v>
      </c>
      <c r="C5255" t="n">
        <v>2004</v>
      </c>
      <c r="D5255" t="n">
        <v>2004</v>
      </c>
      <c r="E5255" t="inlineStr">
        <is>
          <t>The Notebook</t>
        </is>
      </c>
      <c r="F5255" t="inlineStr">
        <is>
          <t>F0237</t>
        </is>
      </c>
    </row>
    <row r="5256">
      <c r="A5256" t="inlineStr">
        <is>
          <t>Obba Babatundé</t>
        </is>
      </c>
      <c r="B5256" t="n">
        <v>1</v>
      </c>
      <c r="C5256" t="n">
        <v>2004</v>
      </c>
      <c r="D5256" t="n">
        <v>2004</v>
      </c>
      <c r="E5256" t="inlineStr">
        <is>
          <t>The Notebook</t>
        </is>
      </c>
      <c r="F5256" t="inlineStr">
        <is>
          <t>F0237</t>
        </is>
      </c>
    </row>
    <row r="5257">
      <c r="A5257" t="inlineStr">
        <is>
          <t>Mark Johnson</t>
        </is>
      </c>
      <c r="B5257" t="n">
        <v>1</v>
      </c>
      <c r="C5257" t="n">
        <v>2004</v>
      </c>
      <c r="D5257" t="n">
        <v>2004</v>
      </c>
      <c r="E5257" t="inlineStr">
        <is>
          <t>The Notebook</t>
        </is>
      </c>
      <c r="F5257" t="inlineStr">
        <is>
          <t>F0237</t>
        </is>
      </c>
    </row>
    <row r="5258">
      <c r="A5258" t="inlineStr">
        <is>
          <t>Robert Fraisse</t>
        </is>
      </c>
      <c r="B5258" t="n">
        <v>1</v>
      </c>
      <c r="C5258" t="n">
        <v>2004</v>
      </c>
      <c r="D5258" t="n">
        <v>2004</v>
      </c>
      <c r="E5258" t="inlineStr">
        <is>
          <t>The Notebook</t>
        </is>
      </c>
      <c r="F5258" t="inlineStr">
        <is>
          <t>F0237</t>
        </is>
      </c>
    </row>
    <row r="5259">
      <c r="A5259" t="inlineStr">
        <is>
          <t>Barbara Weetman</t>
        </is>
      </c>
      <c r="B5259" t="n">
        <v>1</v>
      </c>
      <c r="C5259" t="n">
        <v>2004</v>
      </c>
      <c r="D5259" t="n">
        <v>2004</v>
      </c>
      <c r="E5259" t="inlineStr">
        <is>
          <t>The Notebook</t>
        </is>
      </c>
      <c r="F5259" t="inlineStr">
        <is>
          <t>F0237</t>
        </is>
      </c>
    </row>
    <row r="5260">
      <c r="A5260" t="inlineStr">
        <is>
          <t>Daniel Chamblin</t>
        </is>
      </c>
      <c r="B5260" t="n">
        <v>1</v>
      </c>
      <c r="C5260" t="n">
        <v>2004</v>
      </c>
      <c r="D5260" t="n">
        <v>2004</v>
      </c>
      <c r="E5260" t="inlineStr">
        <is>
          <t>The Notebook</t>
        </is>
      </c>
      <c r="F5260" t="inlineStr">
        <is>
          <t>F0237</t>
        </is>
      </c>
    </row>
    <row r="5261">
      <c r="A5261" t="inlineStr">
        <is>
          <t>Sasha Azevedo</t>
        </is>
      </c>
      <c r="B5261" t="n">
        <v>1</v>
      </c>
      <c r="C5261" t="n">
        <v>2004</v>
      </c>
      <c r="D5261" t="n">
        <v>2004</v>
      </c>
      <c r="E5261" t="inlineStr">
        <is>
          <t>The Notebook</t>
        </is>
      </c>
      <c r="F5261" t="inlineStr">
        <is>
          <t>F0237</t>
        </is>
      </c>
    </row>
    <row r="5262">
      <c r="A5262" t="inlineStr">
        <is>
          <t>Jamie Anne Allman</t>
        </is>
      </c>
      <c r="B5262" t="n">
        <v>1</v>
      </c>
      <c r="C5262" t="n">
        <v>2004</v>
      </c>
      <c r="D5262" t="n">
        <v>2004</v>
      </c>
      <c r="E5262" t="inlineStr">
        <is>
          <t>The Notebook</t>
        </is>
      </c>
      <c r="F5262" t="inlineStr">
        <is>
          <t>F0237</t>
        </is>
      </c>
    </row>
    <row r="5263">
      <c r="A5263" t="inlineStr">
        <is>
          <t>Rebecca Koon</t>
        </is>
      </c>
      <c r="B5263" t="n">
        <v>1</v>
      </c>
      <c r="C5263" t="n">
        <v>2004</v>
      </c>
      <c r="D5263" t="n">
        <v>2004</v>
      </c>
      <c r="E5263" t="inlineStr">
        <is>
          <t>The Notebook</t>
        </is>
      </c>
      <c r="F5263" t="inlineStr">
        <is>
          <t>F0237</t>
        </is>
      </c>
    </row>
    <row r="5264">
      <c r="A5264" t="inlineStr">
        <is>
          <t>Sandra Elise Williams</t>
        </is>
      </c>
      <c r="B5264" t="n">
        <v>1</v>
      </c>
      <c r="C5264" t="n">
        <v>2004</v>
      </c>
      <c r="D5264" t="n">
        <v>2004</v>
      </c>
      <c r="E5264" t="inlineStr">
        <is>
          <t>The Notebook</t>
        </is>
      </c>
      <c r="F5264" t="inlineStr">
        <is>
          <t>F0237</t>
        </is>
      </c>
    </row>
    <row r="5265">
      <c r="A5265" t="inlineStr">
        <is>
          <t>Deborah Hobart</t>
        </is>
      </c>
      <c r="B5265" t="n">
        <v>1</v>
      </c>
      <c r="C5265" t="n">
        <v>2004</v>
      </c>
      <c r="D5265" t="n">
        <v>2004</v>
      </c>
      <c r="E5265" t="inlineStr">
        <is>
          <t>The Notebook</t>
        </is>
      </c>
      <c r="F5265" t="inlineStr">
        <is>
          <t>F0237</t>
        </is>
      </c>
    </row>
    <row r="5266">
      <c r="A5266" t="inlineStr">
        <is>
          <t>Sylvia Jefferies</t>
        </is>
      </c>
      <c r="B5266" t="n">
        <v>1</v>
      </c>
      <c r="C5266" t="n">
        <v>2004</v>
      </c>
      <c r="D5266" t="n">
        <v>2004</v>
      </c>
      <c r="E5266" t="inlineStr">
        <is>
          <t>The Notebook</t>
        </is>
      </c>
      <c r="F5266" t="inlineStr">
        <is>
          <t>F0237</t>
        </is>
      </c>
    </row>
    <row r="5267">
      <c r="A5267" t="inlineStr">
        <is>
          <t>Douglas Booth</t>
        </is>
      </c>
      <c r="B5267" t="n">
        <v>1</v>
      </c>
      <c r="C5267" t="n">
        <v>2014</v>
      </c>
      <c r="D5267" t="n">
        <v>2014</v>
      </c>
      <c r="E5267" t="inlineStr">
        <is>
          <t>Noah</t>
        </is>
      </c>
      <c r="F5267" t="inlineStr">
        <is>
          <t>F0238</t>
        </is>
      </c>
    </row>
    <row r="5268">
      <c r="A5268" t="inlineStr">
        <is>
          <t>Mark Margolis</t>
        </is>
      </c>
      <c r="B5268" t="n">
        <v>1</v>
      </c>
      <c r="C5268" t="n">
        <v>2014</v>
      </c>
      <c r="D5268" t="n">
        <v>2014</v>
      </c>
      <c r="E5268" t="inlineStr">
        <is>
          <t>Noah</t>
        </is>
      </c>
      <c r="F5268" t="inlineStr">
        <is>
          <t>F0238</t>
        </is>
      </c>
    </row>
    <row r="5269">
      <c r="A5269" t="inlineStr">
        <is>
          <t>Leo McHugh Carroll</t>
        </is>
      </c>
      <c r="B5269" t="n">
        <v>1</v>
      </c>
      <c r="C5269" t="n">
        <v>2014</v>
      </c>
      <c r="D5269" t="n">
        <v>2014</v>
      </c>
      <c r="E5269" t="inlineStr">
        <is>
          <t>Noah</t>
        </is>
      </c>
      <c r="F5269" t="inlineStr">
        <is>
          <t>F0238</t>
        </is>
      </c>
    </row>
    <row r="5270">
      <c r="A5270" t="inlineStr">
        <is>
          <t>Finn Wittrock</t>
        </is>
      </c>
      <c r="B5270" t="n">
        <v>1</v>
      </c>
      <c r="C5270" t="n">
        <v>2014</v>
      </c>
      <c r="D5270" t="n">
        <v>2014</v>
      </c>
      <c r="E5270" t="inlineStr">
        <is>
          <t>Noah</t>
        </is>
      </c>
      <c r="F5270" t="inlineStr">
        <is>
          <t>F0238</t>
        </is>
      </c>
    </row>
    <row r="5271">
      <c r="A5271" t="inlineStr">
        <is>
          <t>Madison Davenport</t>
        </is>
      </c>
      <c r="B5271" t="n">
        <v>1</v>
      </c>
      <c r="C5271" t="n">
        <v>2014</v>
      </c>
      <c r="D5271" t="n">
        <v>2014</v>
      </c>
      <c r="E5271" t="inlineStr">
        <is>
          <t>Noah</t>
        </is>
      </c>
      <c r="F5271" t="inlineStr">
        <is>
          <t>F0238</t>
        </is>
      </c>
    </row>
    <row r="5272">
      <c r="A5272" t="inlineStr">
        <is>
          <t>Gavin Casalegno</t>
        </is>
      </c>
      <c r="B5272" t="n">
        <v>1</v>
      </c>
      <c r="C5272" t="n">
        <v>2014</v>
      </c>
      <c r="D5272" t="n">
        <v>2014</v>
      </c>
      <c r="E5272" t="inlineStr">
        <is>
          <t>Noah</t>
        </is>
      </c>
      <c r="F5272" t="inlineStr">
        <is>
          <t>F0238</t>
        </is>
      </c>
    </row>
    <row r="5273">
      <c r="A5273" t="inlineStr">
        <is>
          <t>Nolan Gross</t>
        </is>
      </c>
      <c r="B5273" t="n">
        <v>1</v>
      </c>
      <c r="C5273" t="n">
        <v>2014</v>
      </c>
      <c r="D5273" t="n">
        <v>2014</v>
      </c>
      <c r="E5273" t="inlineStr">
        <is>
          <t>Noah</t>
        </is>
      </c>
      <c r="F5273" t="inlineStr">
        <is>
          <t>F0238</t>
        </is>
      </c>
    </row>
    <row r="5274">
      <c r="A5274" t="inlineStr">
        <is>
          <t>Skylar Burke</t>
        </is>
      </c>
      <c r="B5274" t="n">
        <v>1</v>
      </c>
      <c r="C5274" t="n">
        <v>2014</v>
      </c>
      <c r="D5274" t="n">
        <v>2014</v>
      </c>
      <c r="E5274" t="inlineStr">
        <is>
          <t>Noah</t>
        </is>
      </c>
      <c r="F5274" t="inlineStr">
        <is>
          <t>F0238</t>
        </is>
      </c>
    </row>
    <row r="5275">
      <c r="A5275" t="inlineStr">
        <is>
          <t>Dakota Goyo</t>
        </is>
      </c>
      <c r="B5275" t="n">
        <v>1</v>
      </c>
      <c r="C5275" t="n">
        <v>2014</v>
      </c>
      <c r="D5275" t="n">
        <v>2014</v>
      </c>
      <c r="E5275" t="inlineStr">
        <is>
          <t>Noah</t>
        </is>
      </c>
      <c r="F5275" t="inlineStr">
        <is>
          <t>F0238</t>
        </is>
      </c>
    </row>
    <row r="5276">
      <c r="A5276" t="inlineStr">
        <is>
          <t>Ariane Rinehart</t>
        </is>
      </c>
      <c r="B5276" t="n">
        <v>1</v>
      </c>
      <c r="C5276" t="n">
        <v>2014</v>
      </c>
      <c r="D5276" t="n">
        <v>2014</v>
      </c>
      <c r="E5276" t="inlineStr">
        <is>
          <t>Noah</t>
        </is>
      </c>
      <c r="F5276" t="inlineStr">
        <is>
          <t>F0238</t>
        </is>
      </c>
    </row>
    <row r="5277">
      <c r="A5277" t="inlineStr">
        <is>
          <t>Adam M. Griffith</t>
        </is>
      </c>
      <c r="B5277" t="n">
        <v>1</v>
      </c>
      <c r="C5277" t="n">
        <v>2014</v>
      </c>
      <c r="D5277" t="n">
        <v>2014</v>
      </c>
      <c r="E5277" t="inlineStr">
        <is>
          <t>Noah</t>
        </is>
      </c>
      <c r="F5277" t="inlineStr">
        <is>
          <t>F0238</t>
        </is>
      </c>
    </row>
    <row r="5278">
      <c r="A5278" t="inlineStr">
        <is>
          <t>Don Harvey</t>
        </is>
      </c>
      <c r="B5278" t="n">
        <v>1</v>
      </c>
      <c r="C5278" t="n">
        <v>2014</v>
      </c>
      <c r="D5278" t="n">
        <v>2014</v>
      </c>
      <c r="E5278" t="inlineStr">
        <is>
          <t>Noah</t>
        </is>
      </c>
      <c r="F5278" t="inlineStr">
        <is>
          <t>F0238</t>
        </is>
      </c>
    </row>
    <row r="5279">
      <c r="A5279" t="inlineStr">
        <is>
          <t>Sami Gayle</t>
        </is>
      </c>
      <c r="B5279" t="n">
        <v>1</v>
      </c>
      <c r="C5279" t="n">
        <v>2014</v>
      </c>
      <c r="D5279" t="n">
        <v>2014</v>
      </c>
      <c r="E5279" t="inlineStr">
        <is>
          <t>Noah</t>
        </is>
      </c>
      <c r="F5279" t="inlineStr">
        <is>
          <t>F0238</t>
        </is>
      </c>
    </row>
    <row r="5280">
      <c r="A5280" t="inlineStr">
        <is>
          <t>Sophie Nyweide</t>
        </is>
      </c>
      <c r="B5280" t="n">
        <v>1</v>
      </c>
      <c r="C5280" t="n">
        <v>2014</v>
      </c>
      <c r="D5280" t="n">
        <v>2014</v>
      </c>
      <c r="E5280" t="inlineStr">
        <is>
          <t>Noah</t>
        </is>
      </c>
      <c r="F5280" t="inlineStr">
        <is>
          <t>F0238</t>
        </is>
      </c>
    </row>
    <row r="5281">
      <c r="A5281" t="inlineStr">
        <is>
          <t>Ezra Barnes</t>
        </is>
      </c>
      <c r="B5281" t="n">
        <v>1</v>
      </c>
      <c r="C5281" t="n">
        <v>2014</v>
      </c>
      <c r="D5281" t="n">
        <v>2014</v>
      </c>
      <c r="E5281" t="inlineStr">
        <is>
          <t>Noah</t>
        </is>
      </c>
      <c r="F5281" t="inlineStr">
        <is>
          <t>F0238</t>
        </is>
      </c>
    </row>
    <row r="5282">
      <c r="A5282" t="inlineStr">
        <is>
          <t>Nurit Monacelli</t>
        </is>
      </c>
      <c r="B5282" t="n">
        <v>1</v>
      </c>
      <c r="C5282" t="n">
        <v>2014</v>
      </c>
      <c r="D5282" t="n">
        <v>2014</v>
      </c>
      <c r="E5282" t="inlineStr">
        <is>
          <t>Noah</t>
        </is>
      </c>
      <c r="F5282" t="inlineStr">
        <is>
          <t>F0238</t>
        </is>
      </c>
    </row>
    <row r="5283">
      <c r="A5283" t="inlineStr">
        <is>
          <t>Barry Sloane</t>
        </is>
      </c>
      <c r="B5283" t="n">
        <v>1</v>
      </c>
      <c r="C5283" t="n">
        <v>2014</v>
      </c>
      <c r="D5283" t="n">
        <v>2014</v>
      </c>
      <c r="E5283" t="inlineStr">
        <is>
          <t>Noah</t>
        </is>
      </c>
      <c r="F5283" t="inlineStr">
        <is>
          <t>F0238</t>
        </is>
      </c>
    </row>
    <row r="5284">
      <c r="A5284" t="inlineStr">
        <is>
          <t>Arna Magnea Danks</t>
        </is>
      </c>
      <c r="B5284" t="n">
        <v>1</v>
      </c>
      <c r="C5284" t="n">
        <v>2014</v>
      </c>
      <c r="D5284" t="n">
        <v>2014</v>
      </c>
      <c r="E5284" t="inlineStr">
        <is>
          <t>Noah</t>
        </is>
      </c>
      <c r="F5284" t="inlineStr">
        <is>
          <t>F0238</t>
        </is>
      </c>
    </row>
    <row r="5285">
      <c r="A5285" t="inlineStr">
        <is>
          <t>Vera Fried</t>
        </is>
      </c>
      <c r="B5285" t="n">
        <v>1</v>
      </c>
      <c r="C5285" t="n">
        <v>2014</v>
      </c>
      <c r="D5285" t="n">
        <v>2014</v>
      </c>
      <c r="E5285" t="inlineStr">
        <is>
          <t>Noah</t>
        </is>
      </c>
      <c r="F5285" t="inlineStr">
        <is>
          <t>F0238</t>
        </is>
      </c>
    </row>
    <row r="5286">
      <c r="A5286" t="inlineStr">
        <is>
          <t>Thor Kjartansson</t>
        </is>
      </c>
      <c r="B5286" t="n">
        <v>1</v>
      </c>
      <c r="C5286" t="n">
        <v>2014</v>
      </c>
      <c r="D5286" t="n">
        <v>2014</v>
      </c>
      <c r="E5286" t="inlineStr">
        <is>
          <t>Noah</t>
        </is>
      </c>
      <c r="F5286" t="inlineStr">
        <is>
          <t>F0238</t>
        </is>
      </c>
    </row>
    <row r="5287">
      <c r="A5287" t="inlineStr">
        <is>
          <t>Gregg Bello</t>
        </is>
      </c>
      <c r="B5287" t="n">
        <v>1</v>
      </c>
      <c r="C5287" t="n">
        <v>2014</v>
      </c>
      <c r="D5287" t="n">
        <v>2014</v>
      </c>
      <c r="E5287" t="inlineStr">
        <is>
          <t>Noah</t>
        </is>
      </c>
      <c r="F5287" t="inlineStr">
        <is>
          <t>F0238</t>
        </is>
      </c>
    </row>
    <row r="5288">
      <c r="A5288" t="inlineStr">
        <is>
          <t>Melissa Leo</t>
        </is>
      </c>
      <c r="B5288" t="n">
        <v>3</v>
      </c>
      <c r="C5288" t="n">
        <v>2013</v>
      </c>
      <c r="D5288" t="n">
        <v>2013</v>
      </c>
      <c r="E5288" t="inlineStr">
        <is>
          <t>Oblivion, Olympus Has Fallen, Prisoners</t>
        </is>
      </c>
      <c r="F5288" t="inlineStr">
        <is>
          <t>F0239, F0240, F0258</t>
        </is>
      </c>
    </row>
    <row r="5289">
      <c r="A5289" t="inlineStr">
        <is>
          <t>Zoë Bell</t>
        </is>
      </c>
      <c r="B5289" t="n">
        <v>1</v>
      </c>
      <c r="C5289" t="n">
        <v>2013</v>
      </c>
      <c r="D5289" t="n">
        <v>2013</v>
      </c>
      <c r="E5289" t="inlineStr">
        <is>
          <t>Oblivion</t>
        </is>
      </c>
      <c r="F5289" t="inlineStr">
        <is>
          <t>F0239</t>
        </is>
      </c>
    </row>
    <row r="5290">
      <c r="A5290" t="inlineStr">
        <is>
          <t>Abigail Lowe</t>
        </is>
      </c>
      <c r="B5290" t="n">
        <v>1</v>
      </c>
      <c r="C5290" t="n">
        <v>2013</v>
      </c>
      <c r="D5290" t="n">
        <v>2013</v>
      </c>
      <c r="E5290" t="inlineStr">
        <is>
          <t>Oblivion</t>
        </is>
      </c>
      <c r="F5290" t="inlineStr">
        <is>
          <t>F0239</t>
        </is>
      </c>
    </row>
    <row r="5291">
      <c r="A5291" t="inlineStr">
        <is>
          <t>Isabelle Lowe</t>
        </is>
      </c>
      <c r="B5291" t="n">
        <v>1</v>
      </c>
      <c r="C5291" t="n">
        <v>2013</v>
      </c>
      <c r="D5291" t="n">
        <v>2013</v>
      </c>
      <c r="E5291" t="inlineStr">
        <is>
          <t>Oblivion</t>
        </is>
      </c>
      <c r="F5291" t="inlineStr">
        <is>
          <t>F0239</t>
        </is>
      </c>
    </row>
    <row r="5292">
      <c r="A5292" t="inlineStr">
        <is>
          <t>Booch O'Connell</t>
        </is>
      </c>
      <c r="B5292" t="n">
        <v>1</v>
      </c>
      <c r="C5292" t="n">
        <v>2013</v>
      </c>
      <c r="D5292" t="n">
        <v>2013</v>
      </c>
      <c r="E5292" t="inlineStr">
        <is>
          <t>Oblivion</t>
        </is>
      </c>
      <c r="F5292" t="inlineStr">
        <is>
          <t>F0239</t>
        </is>
      </c>
    </row>
    <row r="5293">
      <c r="A5293" t="inlineStr">
        <is>
          <t>Radha Mitchell</t>
        </is>
      </c>
      <c r="B5293" t="n">
        <v>1</v>
      </c>
      <c r="C5293" t="n">
        <v>2013</v>
      </c>
      <c r="D5293" t="n">
        <v>2013</v>
      </c>
      <c r="E5293" t="inlineStr">
        <is>
          <t>Olympus Has Fallen</t>
        </is>
      </c>
      <c r="F5293" t="inlineStr">
        <is>
          <t>F0240</t>
        </is>
      </c>
    </row>
    <row r="5294">
      <c r="A5294" t="inlineStr">
        <is>
          <t>Phil Austin</t>
        </is>
      </c>
      <c r="B5294" t="n">
        <v>1</v>
      </c>
      <c r="C5294" t="n">
        <v>2013</v>
      </c>
      <c r="D5294" t="n">
        <v>2013</v>
      </c>
      <c r="E5294" t="inlineStr">
        <is>
          <t>Olympus Has Fallen</t>
        </is>
      </c>
      <c r="F5294" t="inlineStr">
        <is>
          <t>F0240</t>
        </is>
      </c>
    </row>
    <row r="5295">
      <c r="A5295" t="inlineStr">
        <is>
          <t>James Ingersoll</t>
        </is>
      </c>
      <c r="B5295" t="n">
        <v>1</v>
      </c>
      <c r="C5295" t="n">
        <v>2013</v>
      </c>
      <c r="D5295" t="n">
        <v>2013</v>
      </c>
      <c r="E5295" t="inlineStr">
        <is>
          <t>Olympus Has Fallen</t>
        </is>
      </c>
      <c r="F5295" t="inlineStr">
        <is>
          <t>F0240</t>
        </is>
      </c>
    </row>
    <row r="5296">
      <c r="A5296" t="inlineStr">
        <is>
          <t>Freddy Bosche</t>
        </is>
      </c>
      <c r="B5296" t="n">
        <v>1</v>
      </c>
      <c r="C5296" t="n">
        <v>2013</v>
      </c>
      <c r="D5296" t="n">
        <v>2013</v>
      </c>
      <c r="E5296" t="inlineStr">
        <is>
          <t>Olympus Has Fallen</t>
        </is>
      </c>
      <c r="F5296" t="inlineStr">
        <is>
          <t>F0240</t>
        </is>
      </c>
    </row>
    <row r="5297">
      <c r="A5297" t="inlineStr">
        <is>
          <t>Lance Broadway</t>
        </is>
      </c>
      <c r="B5297" t="n">
        <v>1</v>
      </c>
      <c r="C5297" t="n">
        <v>2013</v>
      </c>
      <c r="D5297" t="n">
        <v>2013</v>
      </c>
      <c r="E5297" t="inlineStr">
        <is>
          <t>Olympus Has Fallen</t>
        </is>
      </c>
      <c r="F5297" t="inlineStr">
        <is>
          <t>F0240</t>
        </is>
      </c>
    </row>
    <row r="5298">
      <c r="A5298" t="inlineStr">
        <is>
          <t>Keong Sim</t>
        </is>
      </c>
      <c r="B5298" t="n">
        <v>1</v>
      </c>
      <c r="C5298" t="n">
        <v>2013</v>
      </c>
      <c r="D5298" t="n">
        <v>2013</v>
      </c>
      <c r="E5298" t="inlineStr">
        <is>
          <t>Olympus Has Fallen</t>
        </is>
      </c>
      <c r="F5298" t="inlineStr">
        <is>
          <t>F0240</t>
        </is>
      </c>
    </row>
    <row r="5299">
      <c r="A5299" t="inlineStr">
        <is>
          <t>Kevin Moon</t>
        </is>
      </c>
      <c r="B5299" t="n">
        <v>1</v>
      </c>
      <c r="C5299" t="n">
        <v>2013</v>
      </c>
      <c r="D5299" t="n">
        <v>2013</v>
      </c>
      <c r="E5299" t="inlineStr">
        <is>
          <t>Olympus Has Fallen</t>
        </is>
      </c>
      <c r="F5299" t="inlineStr">
        <is>
          <t>F0240</t>
        </is>
      </c>
    </row>
    <row r="5300">
      <c r="A5300" t="inlineStr">
        <is>
          <t>Malana Lea</t>
        </is>
      </c>
      <c r="B5300" t="n">
        <v>1</v>
      </c>
      <c r="C5300" t="n">
        <v>2013</v>
      </c>
      <c r="D5300" t="n">
        <v>2013</v>
      </c>
      <c r="E5300" t="inlineStr">
        <is>
          <t>Olympus Has Fallen</t>
        </is>
      </c>
      <c r="F5300" t="inlineStr">
        <is>
          <t>F0240</t>
        </is>
      </c>
    </row>
    <row r="5301">
      <c r="A5301" t="inlineStr">
        <is>
          <t>Sam Medina</t>
        </is>
      </c>
      <c r="B5301" t="n">
        <v>1</v>
      </c>
      <c r="C5301" t="n">
        <v>2013</v>
      </c>
      <c r="D5301" t="n">
        <v>2013</v>
      </c>
      <c r="E5301" t="inlineStr">
        <is>
          <t>Olympus Has Fallen</t>
        </is>
      </c>
      <c r="F5301" t="inlineStr">
        <is>
          <t>F0240</t>
        </is>
      </c>
    </row>
    <row r="5302">
      <c r="A5302" t="inlineStr">
        <is>
          <t>Mike Snyder</t>
        </is>
      </c>
      <c r="B5302" t="n">
        <v>1</v>
      </c>
      <c r="C5302" t="n">
        <v>2013</v>
      </c>
      <c r="D5302" t="n">
        <v>2013</v>
      </c>
      <c r="E5302" t="inlineStr">
        <is>
          <t>Olympus Has Fallen</t>
        </is>
      </c>
      <c r="F5302" t="inlineStr">
        <is>
          <t>F0240</t>
        </is>
      </c>
    </row>
    <row r="5303">
      <c r="A5303" t="inlineStr">
        <is>
          <t>Josiah D. Lee</t>
        </is>
      </c>
      <c r="B5303" t="n">
        <v>1</v>
      </c>
      <c r="C5303" t="n">
        <v>2013</v>
      </c>
      <c r="D5303" t="n">
        <v>2013</v>
      </c>
      <c r="E5303" t="inlineStr">
        <is>
          <t>Olympus Has Fallen</t>
        </is>
      </c>
      <c r="F5303" t="inlineStr">
        <is>
          <t>F0240</t>
        </is>
      </c>
    </row>
    <row r="5304">
      <c r="A5304" t="inlineStr">
        <is>
          <t>Hunter Burke</t>
        </is>
      </c>
      <c r="B5304" t="n">
        <v>1</v>
      </c>
      <c r="C5304" t="n">
        <v>2013</v>
      </c>
      <c r="D5304" t="n">
        <v>2013</v>
      </c>
      <c r="E5304" t="inlineStr">
        <is>
          <t>Olympus Has Fallen</t>
        </is>
      </c>
      <c r="F5304" t="inlineStr">
        <is>
          <t>F0240</t>
        </is>
      </c>
    </row>
    <row r="5305">
      <c r="A5305" t="inlineStr">
        <is>
          <t>Aonika Laurent</t>
        </is>
      </c>
      <c r="B5305" t="n">
        <v>1</v>
      </c>
      <c r="C5305" t="n">
        <v>2013</v>
      </c>
      <c r="D5305" t="n">
        <v>2013</v>
      </c>
      <c r="E5305" t="inlineStr">
        <is>
          <t>Olympus Has Fallen</t>
        </is>
      </c>
      <c r="F5305" t="inlineStr">
        <is>
          <t>F0240</t>
        </is>
      </c>
    </row>
    <row r="5306">
      <c r="A5306" t="inlineStr">
        <is>
          <t>Jace Jeanes</t>
        </is>
      </c>
      <c r="B5306" t="n">
        <v>1</v>
      </c>
      <c r="C5306" t="n">
        <v>2013</v>
      </c>
      <c r="D5306" t="n">
        <v>2013</v>
      </c>
      <c r="E5306" t="inlineStr">
        <is>
          <t>Olympus Has Fallen</t>
        </is>
      </c>
      <c r="F5306" t="inlineStr">
        <is>
          <t>F0240</t>
        </is>
      </c>
    </row>
    <row r="5307">
      <c r="A5307" t="inlineStr">
        <is>
          <t>Sione Ma'umalanga</t>
        </is>
      </c>
      <c r="B5307" t="n">
        <v>1</v>
      </c>
      <c r="C5307" t="n">
        <v>2013</v>
      </c>
      <c r="D5307" t="n">
        <v>2013</v>
      </c>
      <c r="E5307" t="inlineStr">
        <is>
          <t>Olympus Has Fallen</t>
        </is>
      </c>
      <c r="F5307" t="inlineStr">
        <is>
          <t>F0240</t>
        </is>
      </c>
    </row>
    <row r="5308">
      <c r="A5308" t="inlineStr">
        <is>
          <t>Tory Kittles</t>
        </is>
      </c>
      <c r="B5308" t="n">
        <v>1</v>
      </c>
      <c r="C5308" t="n">
        <v>2013</v>
      </c>
      <c r="D5308" t="n">
        <v>2013</v>
      </c>
      <c r="E5308" t="inlineStr">
        <is>
          <t>Olympus Has Fallen</t>
        </is>
      </c>
      <c r="F5308" t="inlineStr">
        <is>
          <t>F0240</t>
        </is>
      </c>
    </row>
    <row r="5309">
      <c r="A5309" t="inlineStr">
        <is>
          <t>Julia Butters</t>
        </is>
      </c>
      <c r="B5309" t="n">
        <v>1</v>
      </c>
      <c r="C5309" t="n">
        <v>2019</v>
      </c>
      <c r="D5309" t="n">
        <v>2019</v>
      </c>
      <c r="E5309" t="inlineStr">
        <is>
          <t>Once Upon a Time… in Hollywood</t>
        </is>
      </c>
      <c r="F5309" t="inlineStr">
        <is>
          <t>F0241</t>
        </is>
      </c>
    </row>
    <row r="5310">
      <c r="A5310" t="inlineStr">
        <is>
          <t>Austin Butler</t>
        </is>
      </c>
      <c r="B5310" t="n">
        <v>1</v>
      </c>
      <c r="C5310" t="n">
        <v>2019</v>
      </c>
      <c r="D5310" t="n">
        <v>2019</v>
      </c>
      <c r="E5310" t="inlineStr">
        <is>
          <t>Once Upon a Time… in Hollywood</t>
        </is>
      </c>
      <c r="F5310" t="inlineStr">
        <is>
          <t>F0241</t>
        </is>
      </c>
    </row>
    <row r="5311">
      <c r="A5311" t="inlineStr">
        <is>
          <t>Mike Moh</t>
        </is>
      </c>
      <c r="B5311" t="n">
        <v>1</v>
      </c>
      <c r="C5311" t="n">
        <v>2019</v>
      </c>
      <c r="D5311" t="n">
        <v>2019</v>
      </c>
      <c r="E5311" t="inlineStr">
        <is>
          <t>Once Upon a Time… in Hollywood</t>
        </is>
      </c>
      <c r="F5311" t="inlineStr">
        <is>
          <t>F0241</t>
        </is>
      </c>
    </row>
    <row r="5312">
      <c r="A5312" t="inlineStr">
        <is>
          <t>Luke Perry</t>
        </is>
      </c>
      <c r="B5312" t="n">
        <v>1</v>
      </c>
      <c r="C5312" t="n">
        <v>2019</v>
      </c>
      <c r="D5312" t="n">
        <v>2019</v>
      </c>
      <c r="E5312" t="inlineStr">
        <is>
          <t>Once Upon a Time… in Hollywood</t>
        </is>
      </c>
      <c r="F5312" t="inlineStr">
        <is>
          <t>F0241</t>
        </is>
      </c>
    </row>
    <row r="5313">
      <c r="A5313" t="inlineStr">
        <is>
          <t>Al Pacino</t>
        </is>
      </c>
      <c r="B5313" t="n">
        <v>1</v>
      </c>
      <c r="C5313" t="n">
        <v>2019</v>
      </c>
      <c r="D5313" t="n">
        <v>2019</v>
      </c>
      <c r="E5313" t="inlineStr">
        <is>
          <t>Once Upon a Time… in Hollywood</t>
        </is>
      </c>
      <c r="F5313" t="inlineStr">
        <is>
          <t>F0241</t>
        </is>
      </c>
    </row>
    <row r="5314">
      <c r="A5314" t="inlineStr">
        <is>
          <t>Nicholas Hammond</t>
        </is>
      </c>
      <c r="B5314" t="n">
        <v>1</v>
      </c>
      <c r="C5314" t="n">
        <v>2019</v>
      </c>
      <c r="D5314" t="n">
        <v>2019</v>
      </c>
      <c r="E5314" t="inlineStr">
        <is>
          <t>Once Upon a Time… in Hollywood</t>
        </is>
      </c>
      <c r="F5314" t="inlineStr">
        <is>
          <t>F0241</t>
        </is>
      </c>
    </row>
    <row r="5315">
      <c r="A5315" t="inlineStr">
        <is>
          <t>Samantha Robinson</t>
        </is>
      </c>
      <c r="B5315" t="n">
        <v>1</v>
      </c>
      <c r="C5315" t="n">
        <v>2019</v>
      </c>
      <c r="D5315" t="n">
        <v>2019</v>
      </c>
      <c r="E5315" t="inlineStr">
        <is>
          <t>Once Upon a Time… in Hollywood</t>
        </is>
      </c>
      <c r="F5315" t="inlineStr">
        <is>
          <t>F0241</t>
        </is>
      </c>
    </row>
    <row r="5316">
      <c r="A5316" t="inlineStr">
        <is>
          <t>Rafał Zawierucha</t>
        </is>
      </c>
      <c r="B5316" t="n">
        <v>1</v>
      </c>
      <c r="C5316" t="n">
        <v>2019</v>
      </c>
      <c r="D5316" t="n">
        <v>2019</v>
      </c>
      <c r="E5316" t="inlineStr">
        <is>
          <t>Once Upon a Time… in Hollywood</t>
        </is>
      </c>
      <c r="F5316" t="inlineStr">
        <is>
          <t>F0241</t>
        </is>
      </c>
    </row>
    <row r="5317">
      <c r="A5317" t="inlineStr">
        <is>
          <t>Lorenza Izzo</t>
        </is>
      </c>
      <c r="B5317" t="n">
        <v>1</v>
      </c>
      <c r="C5317" t="n">
        <v>2019</v>
      </c>
      <c r="D5317" t="n">
        <v>2019</v>
      </c>
      <c r="E5317" t="inlineStr">
        <is>
          <t>Once Upon a Time… in Hollywood</t>
        </is>
      </c>
      <c r="F5317" t="inlineStr">
        <is>
          <t>F0241</t>
        </is>
      </c>
    </row>
    <row r="5318">
      <c r="A5318" t="inlineStr">
        <is>
          <t>Costa Ronin</t>
        </is>
      </c>
      <c r="B5318" t="n">
        <v>1</v>
      </c>
      <c r="C5318" t="n">
        <v>2019</v>
      </c>
      <c r="D5318" t="n">
        <v>2019</v>
      </c>
      <c r="E5318" t="inlineStr">
        <is>
          <t>Once Upon a Time… in Hollywood</t>
        </is>
      </c>
      <c r="F5318" t="inlineStr">
        <is>
          <t>F0241</t>
        </is>
      </c>
    </row>
    <row r="5319">
      <c r="A5319" t="inlineStr">
        <is>
          <t>Damon Herriman</t>
        </is>
      </c>
      <c r="B5319" t="n">
        <v>1</v>
      </c>
      <c r="C5319" t="n">
        <v>2019</v>
      </c>
      <c r="D5319" t="n">
        <v>2019</v>
      </c>
      <c r="E5319" t="inlineStr">
        <is>
          <t>Once Upon a Time… in Hollywood</t>
        </is>
      </c>
      <c r="F5319" t="inlineStr">
        <is>
          <t>F0241</t>
        </is>
      </c>
    </row>
    <row r="5320">
      <c r="A5320" t="inlineStr">
        <is>
          <t>Lena Dunham</t>
        </is>
      </c>
      <c r="B5320" t="n">
        <v>1</v>
      </c>
      <c r="C5320" t="n">
        <v>2019</v>
      </c>
      <c r="D5320" t="n">
        <v>2019</v>
      </c>
      <c r="E5320" t="inlineStr">
        <is>
          <t>Once Upon a Time… in Hollywood</t>
        </is>
      </c>
      <c r="F5320" t="inlineStr">
        <is>
          <t>F0241</t>
        </is>
      </c>
    </row>
    <row r="5321">
      <c r="A5321" t="inlineStr">
        <is>
          <t>Madisen Beaty</t>
        </is>
      </c>
      <c r="B5321" t="n">
        <v>1</v>
      </c>
      <c r="C5321" t="n">
        <v>2019</v>
      </c>
      <c r="D5321" t="n">
        <v>2019</v>
      </c>
      <c r="E5321" t="inlineStr">
        <is>
          <t>Once Upon a Time… in Hollywood</t>
        </is>
      </c>
      <c r="F5321" t="inlineStr">
        <is>
          <t>F0241</t>
        </is>
      </c>
    </row>
    <row r="5322">
      <c r="A5322" t="inlineStr">
        <is>
          <t>Mikey Madison</t>
        </is>
      </c>
      <c r="B5322" t="n">
        <v>1</v>
      </c>
      <c r="C5322" t="n">
        <v>2019</v>
      </c>
      <c r="D5322" t="n">
        <v>2019</v>
      </c>
      <c r="E5322" t="inlineStr">
        <is>
          <t>Once Upon a Time… in Hollywood</t>
        </is>
      </c>
      <c r="F5322" t="inlineStr">
        <is>
          <t>F0241</t>
        </is>
      </c>
    </row>
    <row r="5323">
      <c r="A5323" t="inlineStr">
        <is>
          <t>James Landry Hébert</t>
        </is>
      </c>
      <c r="B5323" t="n">
        <v>1</v>
      </c>
      <c r="C5323" t="n">
        <v>2019</v>
      </c>
      <c r="D5323" t="n">
        <v>2019</v>
      </c>
      <c r="E5323" t="inlineStr">
        <is>
          <t>Once Upon a Time… in Hollywood</t>
        </is>
      </c>
      <c r="F5323" t="inlineStr">
        <is>
          <t>F0241</t>
        </is>
      </c>
    </row>
    <row r="5324">
      <c r="A5324" t="inlineStr">
        <is>
          <t>Maya Hawke</t>
        </is>
      </c>
      <c r="B5324" t="n">
        <v>1</v>
      </c>
      <c r="C5324" t="n">
        <v>2019</v>
      </c>
      <c r="D5324" t="n">
        <v>2019</v>
      </c>
      <c r="E5324" t="inlineStr">
        <is>
          <t>Once Upon a Time… in Hollywood</t>
        </is>
      </c>
      <c r="F5324" t="inlineStr">
        <is>
          <t>F0241</t>
        </is>
      </c>
    </row>
    <row r="5325">
      <c r="A5325" t="inlineStr">
        <is>
          <t>Victoria Pedretti</t>
        </is>
      </c>
      <c r="B5325" t="n">
        <v>1</v>
      </c>
      <c r="C5325" t="n">
        <v>2019</v>
      </c>
      <c r="D5325" t="n">
        <v>2019</v>
      </c>
      <c r="E5325" t="inlineStr">
        <is>
          <t>Once Upon a Time… in Hollywood</t>
        </is>
      </c>
      <c r="F5325" t="inlineStr">
        <is>
          <t>F0241</t>
        </is>
      </c>
    </row>
    <row r="5326">
      <c r="A5326" t="inlineStr">
        <is>
          <t>Sydney Sweeney</t>
        </is>
      </c>
      <c r="B5326" t="n">
        <v>1</v>
      </c>
      <c r="C5326" t="n">
        <v>2019</v>
      </c>
      <c r="D5326" t="n">
        <v>2019</v>
      </c>
      <c r="E5326" t="inlineStr">
        <is>
          <t>Once Upon a Time… in Hollywood</t>
        </is>
      </c>
      <c r="F5326" t="inlineStr">
        <is>
          <t>F0241</t>
        </is>
      </c>
    </row>
    <row r="5327">
      <c r="A5327" t="inlineStr">
        <is>
          <t>Harley Quinn Smith</t>
        </is>
      </c>
      <c r="B5327" t="n">
        <v>1</v>
      </c>
      <c r="C5327" t="n">
        <v>2019</v>
      </c>
      <c r="D5327" t="n">
        <v>2019</v>
      </c>
      <c r="E5327" t="inlineStr">
        <is>
          <t>Once Upon a Time… in Hollywood</t>
        </is>
      </c>
      <c r="F5327" t="inlineStr">
        <is>
          <t>F0241</t>
        </is>
      </c>
    </row>
    <row r="5328">
      <c r="A5328" t="inlineStr">
        <is>
          <t>Dallas Jay Hunter</t>
        </is>
      </c>
      <c r="B5328" t="n">
        <v>1</v>
      </c>
      <c r="C5328" t="n">
        <v>2019</v>
      </c>
      <c r="D5328" t="n">
        <v>2019</v>
      </c>
      <c r="E5328" t="inlineStr">
        <is>
          <t>Once Upon a Time… in Hollywood</t>
        </is>
      </c>
      <c r="F5328" t="inlineStr">
        <is>
          <t>F0241</t>
        </is>
      </c>
    </row>
    <row r="5329">
      <c r="A5329" t="inlineStr">
        <is>
          <t>Kansas Bowling</t>
        </is>
      </c>
      <c r="B5329" t="n">
        <v>1</v>
      </c>
      <c r="C5329" t="n">
        <v>2019</v>
      </c>
      <c r="D5329" t="n">
        <v>2019</v>
      </c>
      <c r="E5329" t="inlineStr">
        <is>
          <t>Once Upon a Time… in Hollywood</t>
        </is>
      </c>
      <c r="F5329" t="inlineStr">
        <is>
          <t>F0241</t>
        </is>
      </c>
    </row>
    <row r="5330">
      <c r="A5330" t="inlineStr">
        <is>
          <t>Benny Safdie</t>
        </is>
      </c>
      <c r="B5330" t="n">
        <v>1</v>
      </c>
      <c r="C5330" t="n">
        <v>2023</v>
      </c>
      <c r="D5330" t="n">
        <v>2023</v>
      </c>
      <c r="E5330" t="inlineStr">
        <is>
          <t>Oppenheimer</t>
        </is>
      </c>
      <c r="F5330" t="inlineStr">
        <is>
          <t>F0242</t>
        </is>
      </c>
    </row>
    <row r="5331">
      <c r="A5331" t="inlineStr">
        <is>
          <t>Dylan Arnold</t>
        </is>
      </c>
      <c r="B5331" t="n">
        <v>1</v>
      </c>
      <c r="C5331" t="n">
        <v>2023</v>
      </c>
      <c r="D5331" t="n">
        <v>2023</v>
      </c>
      <c r="E5331" t="inlineStr">
        <is>
          <t>Oppenheimer</t>
        </is>
      </c>
      <c r="F5331" t="inlineStr">
        <is>
          <t>F0242</t>
        </is>
      </c>
    </row>
    <row r="5332">
      <c r="A5332" t="inlineStr">
        <is>
          <t>Tom Conti</t>
        </is>
      </c>
      <c r="B5332" t="n">
        <v>1</v>
      </c>
      <c r="C5332" t="n">
        <v>2023</v>
      </c>
      <c r="D5332" t="n">
        <v>2023</v>
      </c>
      <c r="E5332" t="inlineStr">
        <is>
          <t>Oppenheimer</t>
        </is>
      </c>
      <c r="F5332" t="inlineStr">
        <is>
          <t>F0242</t>
        </is>
      </c>
    </row>
    <row r="5333">
      <c r="A5333" t="inlineStr">
        <is>
          <t>James D'Arcy</t>
        </is>
      </c>
      <c r="B5333" t="n">
        <v>1</v>
      </c>
      <c r="C5333" t="n">
        <v>2023</v>
      </c>
      <c r="D5333" t="n">
        <v>2023</v>
      </c>
      <c r="E5333" t="inlineStr">
        <is>
          <t>Oppenheimer</t>
        </is>
      </c>
      <c r="F5333" t="inlineStr">
        <is>
          <t>F0242</t>
        </is>
      </c>
    </row>
    <row r="5334">
      <c r="A5334" t="inlineStr">
        <is>
          <t>David Dastmalchian</t>
        </is>
      </c>
      <c r="B5334" t="n">
        <v>2</v>
      </c>
      <c r="C5334" t="n">
        <v>2013</v>
      </c>
      <c r="D5334" t="n">
        <v>2023</v>
      </c>
      <c r="E5334" t="inlineStr">
        <is>
          <t>Oppenheimer, Prisoners</t>
        </is>
      </c>
      <c r="F5334" t="inlineStr">
        <is>
          <t>F0242, F0258</t>
        </is>
      </c>
    </row>
    <row r="5335">
      <c r="A5335" t="inlineStr">
        <is>
          <t>Alden Ehrenreich</t>
        </is>
      </c>
      <c r="B5335" t="n">
        <v>1</v>
      </c>
      <c r="C5335" t="n">
        <v>2023</v>
      </c>
      <c r="D5335" t="n">
        <v>2023</v>
      </c>
      <c r="E5335" t="inlineStr">
        <is>
          <t>Oppenheimer</t>
        </is>
      </c>
      <c r="F5335" t="inlineStr">
        <is>
          <t>F0242</t>
        </is>
      </c>
    </row>
    <row r="5336">
      <c r="A5336" t="inlineStr">
        <is>
          <t>Jefferson Hall</t>
        </is>
      </c>
      <c r="B5336" t="n">
        <v>2</v>
      </c>
      <c r="C5336" t="n">
        <v>2009</v>
      </c>
      <c r="D5336" t="n">
        <v>2023</v>
      </c>
      <c r="E5336" t="inlineStr">
        <is>
          <t>Oppenheimer, Sherlock Holmes</t>
        </is>
      </c>
      <c r="F5336" t="inlineStr">
        <is>
          <t>F0242, F0278</t>
        </is>
      </c>
    </row>
    <row r="5337">
      <c r="A5337" t="inlineStr">
        <is>
          <t>David Krumholtz</t>
        </is>
      </c>
      <c r="B5337" t="n">
        <v>2</v>
      </c>
      <c r="C5337" t="n">
        <v>2007</v>
      </c>
      <c r="D5337" t="n">
        <v>2023</v>
      </c>
      <c r="E5337" t="inlineStr">
        <is>
          <t>Oppenheimer, Superbad</t>
        </is>
      </c>
      <c r="F5337" t="inlineStr">
        <is>
          <t>F0242, F0303</t>
        </is>
      </c>
    </row>
    <row r="5338">
      <c r="A5338" t="inlineStr">
        <is>
          <t>Scott Grimes</t>
        </is>
      </c>
      <c r="B5338" t="n">
        <v>2</v>
      </c>
      <c r="C5338" t="n">
        <v>2010</v>
      </c>
      <c r="D5338" t="n">
        <v>2023</v>
      </c>
      <c r="E5338" t="inlineStr">
        <is>
          <t>Oppenheimer, Robin Hood</t>
        </is>
      </c>
      <c r="F5338" t="inlineStr">
        <is>
          <t>F0242, F0267</t>
        </is>
      </c>
    </row>
    <row r="5339">
      <c r="A5339" t="inlineStr">
        <is>
          <t>Kurt Koehler</t>
        </is>
      </c>
      <c r="B5339" t="n">
        <v>1</v>
      </c>
      <c r="C5339" t="n">
        <v>2023</v>
      </c>
      <c r="D5339" t="n">
        <v>2023</v>
      </c>
      <c r="E5339" t="inlineStr">
        <is>
          <t>Oppenheimer</t>
        </is>
      </c>
      <c r="F5339" t="inlineStr">
        <is>
          <t>F0242</t>
        </is>
      </c>
    </row>
    <row r="5340">
      <c r="A5340" t="inlineStr">
        <is>
          <t>John Gowans</t>
        </is>
      </c>
      <c r="B5340" t="n">
        <v>1</v>
      </c>
      <c r="C5340" t="n">
        <v>2023</v>
      </c>
      <c r="D5340" t="n">
        <v>2023</v>
      </c>
      <c r="E5340" t="inlineStr">
        <is>
          <t>Oppenheimer</t>
        </is>
      </c>
      <c r="F5340" t="inlineStr">
        <is>
          <t>F0242</t>
        </is>
      </c>
    </row>
    <row r="5341">
      <c r="A5341" t="inlineStr">
        <is>
          <t>Macon Blair</t>
        </is>
      </c>
      <c r="B5341" t="n">
        <v>1</v>
      </c>
      <c r="C5341" t="n">
        <v>2023</v>
      </c>
      <c r="D5341" t="n">
        <v>2023</v>
      </c>
      <c r="E5341" t="inlineStr">
        <is>
          <t>Oppenheimer</t>
        </is>
      </c>
      <c r="F5341" t="inlineStr">
        <is>
          <t>F0242</t>
        </is>
      </c>
    </row>
    <row r="5342">
      <c r="A5342" t="inlineStr">
        <is>
          <t>Harry Groener</t>
        </is>
      </c>
      <c r="B5342" t="n">
        <v>1</v>
      </c>
      <c r="C5342" t="n">
        <v>2023</v>
      </c>
      <c r="D5342" t="n">
        <v>2023</v>
      </c>
      <c r="E5342" t="inlineStr">
        <is>
          <t>Oppenheimer</t>
        </is>
      </c>
      <c r="F5342" t="inlineStr">
        <is>
          <t>F0242</t>
        </is>
      </c>
    </row>
    <row r="5343">
      <c r="A5343" t="inlineStr">
        <is>
          <t>Gregory Jbara</t>
        </is>
      </c>
      <c r="B5343" t="n">
        <v>1</v>
      </c>
      <c r="C5343" t="n">
        <v>2023</v>
      </c>
      <c r="D5343" t="n">
        <v>2023</v>
      </c>
      <c r="E5343" t="inlineStr">
        <is>
          <t>Oppenheimer</t>
        </is>
      </c>
      <c r="F5343" t="inlineStr">
        <is>
          <t>F0242</t>
        </is>
      </c>
    </row>
    <row r="5344">
      <c r="A5344" t="inlineStr">
        <is>
          <t>Ted King</t>
        </is>
      </c>
      <c r="B5344" t="n">
        <v>1</v>
      </c>
      <c r="C5344" t="n">
        <v>2023</v>
      </c>
      <c r="D5344" t="n">
        <v>2023</v>
      </c>
      <c r="E5344" t="inlineStr">
        <is>
          <t>Oppenheimer</t>
        </is>
      </c>
      <c r="F5344" t="inlineStr">
        <is>
          <t>F0242</t>
        </is>
      </c>
    </row>
    <row r="5345">
      <c r="A5345" t="inlineStr">
        <is>
          <t>Tim DeKay</t>
        </is>
      </c>
      <c r="B5345" t="n">
        <v>1</v>
      </c>
      <c r="C5345" t="n">
        <v>2023</v>
      </c>
      <c r="D5345" t="n">
        <v>2023</v>
      </c>
      <c r="E5345" t="inlineStr">
        <is>
          <t>Oppenheimer</t>
        </is>
      </c>
      <c r="F5345" t="inlineStr">
        <is>
          <t>F0242</t>
        </is>
      </c>
    </row>
    <row r="5346">
      <c r="A5346" t="inlineStr">
        <is>
          <t>Steven Houska</t>
        </is>
      </c>
      <c r="B5346" t="n">
        <v>1</v>
      </c>
      <c r="C5346" t="n">
        <v>2023</v>
      </c>
      <c r="D5346" t="n">
        <v>2023</v>
      </c>
      <c r="E5346" t="inlineStr">
        <is>
          <t>Oppenheimer</t>
        </is>
      </c>
      <c r="F5346" t="inlineStr">
        <is>
          <t>F0242</t>
        </is>
      </c>
    </row>
    <row r="5347">
      <c r="A5347" t="inlineStr">
        <is>
          <t>Robert Kazinsky</t>
        </is>
      </c>
      <c r="B5347" t="n">
        <v>1</v>
      </c>
      <c r="C5347" t="n">
        <v>2013</v>
      </c>
      <c r="D5347" t="n">
        <v>2013</v>
      </c>
      <c r="E5347" t="inlineStr">
        <is>
          <t>Pacific Rim</t>
        </is>
      </c>
      <c r="F5347" t="inlineStr">
        <is>
          <t>F0243</t>
        </is>
      </c>
    </row>
    <row r="5348">
      <c r="A5348" t="inlineStr">
        <is>
          <t>Heather Doerksen</t>
        </is>
      </c>
      <c r="B5348" t="n">
        <v>1</v>
      </c>
      <c r="C5348" t="n">
        <v>2013</v>
      </c>
      <c r="D5348" t="n">
        <v>2013</v>
      </c>
      <c r="E5348" t="inlineStr">
        <is>
          <t>Pacific Rim</t>
        </is>
      </c>
      <c r="F5348" t="inlineStr">
        <is>
          <t>F0243</t>
        </is>
      </c>
    </row>
    <row r="5349">
      <c r="A5349" t="inlineStr">
        <is>
          <t>Larry Joe Campbell</t>
        </is>
      </c>
      <c r="B5349" t="n">
        <v>1</v>
      </c>
      <c r="C5349" t="n">
        <v>2013</v>
      </c>
      <c r="D5349" t="n">
        <v>2013</v>
      </c>
      <c r="E5349" t="inlineStr">
        <is>
          <t>Pacific Rim</t>
        </is>
      </c>
      <c r="F5349" t="inlineStr">
        <is>
          <t>F0243</t>
        </is>
      </c>
    </row>
    <row r="5350">
      <c r="A5350" t="inlineStr">
        <is>
          <t>Diego Klattenhoff</t>
        </is>
      </c>
      <c r="B5350" t="n">
        <v>1</v>
      </c>
      <c r="C5350" t="n">
        <v>2013</v>
      </c>
      <c r="D5350" t="n">
        <v>2013</v>
      </c>
      <c r="E5350" t="inlineStr">
        <is>
          <t>Pacific Rim</t>
        </is>
      </c>
      <c r="F5350" t="inlineStr">
        <is>
          <t>F0243</t>
        </is>
      </c>
    </row>
    <row r="5351">
      <c r="A5351" t="inlineStr">
        <is>
          <t>Santiago Segura</t>
        </is>
      </c>
      <c r="B5351" t="n">
        <v>1</v>
      </c>
      <c r="C5351" t="n">
        <v>2013</v>
      </c>
      <c r="D5351" t="n">
        <v>2013</v>
      </c>
      <c r="E5351" t="inlineStr">
        <is>
          <t>Pacific Rim</t>
        </is>
      </c>
      <c r="F5351" t="inlineStr">
        <is>
          <t>F0243</t>
        </is>
      </c>
    </row>
    <row r="5352">
      <c r="A5352" t="inlineStr">
        <is>
          <t>Jane Watson</t>
        </is>
      </c>
      <c r="B5352" t="n">
        <v>1</v>
      </c>
      <c r="C5352" t="n">
        <v>2013</v>
      </c>
      <c r="D5352" t="n">
        <v>2013</v>
      </c>
      <c r="E5352" t="inlineStr">
        <is>
          <t>Pacific Rim</t>
        </is>
      </c>
      <c r="F5352" t="inlineStr">
        <is>
          <t>F0243</t>
        </is>
      </c>
    </row>
    <row r="5353">
      <c r="A5353" t="inlineStr">
        <is>
          <t>Jung-Yul Kim</t>
        </is>
      </c>
      <c r="B5353" t="n">
        <v>1</v>
      </c>
      <c r="C5353" t="n">
        <v>2013</v>
      </c>
      <c r="D5353" t="n">
        <v>2013</v>
      </c>
      <c r="E5353" t="inlineStr">
        <is>
          <t>Pacific Rim</t>
        </is>
      </c>
      <c r="F5353" t="inlineStr">
        <is>
          <t>F0243</t>
        </is>
      </c>
    </row>
    <row r="5354">
      <c r="A5354" t="inlineStr">
        <is>
          <t>Joshua Peace</t>
        </is>
      </c>
      <c r="B5354" t="n">
        <v>1</v>
      </c>
      <c r="C5354" t="n">
        <v>2013</v>
      </c>
      <c r="D5354" t="n">
        <v>2013</v>
      </c>
      <c r="E5354" t="inlineStr">
        <is>
          <t>Pacific Rim</t>
        </is>
      </c>
      <c r="F5354" t="inlineStr">
        <is>
          <t>F0243</t>
        </is>
      </c>
    </row>
    <row r="5355">
      <c r="A5355" t="inlineStr">
        <is>
          <t>Mana Ashida</t>
        </is>
      </c>
      <c r="B5355" t="n">
        <v>1</v>
      </c>
      <c r="C5355" t="n">
        <v>2013</v>
      </c>
      <c r="D5355" t="n">
        <v>2013</v>
      </c>
      <c r="E5355" t="inlineStr">
        <is>
          <t>Pacific Rim</t>
        </is>
      </c>
      <c r="F5355" t="inlineStr">
        <is>
          <t>F0243</t>
        </is>
      </c>
    </row>
    <row r="5356">
      <c r="A5356" t="inlineStr">
        <is>
          <t>Joe Pingue</t>
        </is>
      </c>
      <c r="B5356" t="n">
        <v>1</v>
      </c>
      <c r="C5356" t="n">
        <v>2013</v>
      </c>
      <c r="D5356" t="n">
        <v>2013</v>
      </c>
      <c r="E5356" t="inlineStr">
        <is>
          <t>Pacific Rim</t>
        </is>
      </c>
      <c r="F5356" t="inlineStr">
        <is>
          <t>F0243</t>
        </is>
      </c>
    </row>
    <row r="5357">
      <c r="A5357" t="inlineStr">
        <is>
          <t>Milton Barnes</t>
        </is>
      </c>
      <c r="B5357" t="n">
        <v>1</v>
      </c>
      <c r="C5357" t="n">
        <v>2013</v>
      </c>
      <c r="D5357" t="n">
        <v>2013</v>
      </c>
      <c r="E5357" t="inlineStr">
        <is>
          <t>Pacific Rim</t>
        </is>
      </c>
      <c r="F5357" t="inlineStr">
        <is>
          <t>F0243</t>
        </is>
      </c>
    </row>
    <row r="5358">
      <c r="A5358" t="inlineStr">
        <is>
          <t>Brian Frank</t>
        </is>
      </c>
      <c r="B5358" t="n">
        <v>1</v>
      </c>
      <c r="C5358" t="n">
        <v>2013</v>
      </c>
      <c r="D5358" t="n">
        <v>2013</v>
      </c>
      <c r="E5358" t="inlineStr">
        <is>
          <t>Pacific Rim</t>
        </is>
      </c>
      <c r="F5358" t="inlineStr">
        <is>
          <t>F0243</t>
        </is>
      </c>
    </row>
    <row r="5359">
      <c r="A5359" t="inlineStr">
        <is>
          <t>Ellen McLain</t>
        </is>
      </c>
      <c r="B5359" t="n">
        <v>1</v>
      </c>
      <c r="C5359" t="n">
        <v>2013</v>
      </c>
      <c r="D5359" t="n">
        <v>2013</v>
      </c>
      <c r="E5359" t="inlineStr">
        <is>
          <t>Pacific Rim</t>
        </is>
      </c>
      <c r="F5359" t="inlineStr">
        <is>
          <t>F0243</t>
        </is>
      </c>
    </row>
    <row r="5360">
      <c r="A5360" t="inlineStr">
        <is>
          <t>David Fox</t>
        </is>
      </c>
      <c r="B5360" t="n">
        <v>1</v>
      </c>
      <c r="C5360" t="n">
        <v>2013</v>
      </c>
      <c r="D5360" t="n">
        <v>2013</v>
      </c>
      <c r="E5360" t="inlineStr">
        <is>
          <t>Pacific Rim</t>
        </is>
      </c>
      <c r="F5360" t="inlineStr">
        <is>
          <t>F0243</t>
        </is>
      </c>
    </row>
    <row r="5361">
      <c r="A5361" t="inlineStr">
        <is>
          <t>Jake Goodman</t>
        </is>
      </c>
      <c r="B5361" t="n">
        <v>1</v>
      </c>
      <c r="C5361" t="n">
        <v>2013</v>
      </c>
      <c r="D5361" t="n">
        <v>2013</v>
      </c>
      <c r="E5361" t="inlineStr">
        <is>
          <t>Pacific Rim</t>
        </is>
      </c>
      <c r="F5361" t="inlineStr">
        <is>
          <t>F0243</t>
        </is>
      </c>
    </row>
    <row r="5362">
      <c r="A5362" t="inlineStr">
        <is>
          <t>Robin Thomas</t>
        </is>
      </c>
      <c r="B5362" t="n">
        <v>1</v>
      </c>
      <c r="C5362" t="n">
        <v>2013</v>
      </c>
      <c r="D5362" t="n">
        <v>2013</v>
      </c>
      <c r="E5362" t="inlineStr">
        <is>
          <t>Pacific Rim</t>
        </is>
      </c>
      <c r="F5362" t="inlineStr">
        <is>
          <t>F0243</t>
        </is>
      </c>
    </row>
    <row r="5363">
      <c r="A5363" t="inlineStr">
        <is>
          <t>Julian Barnes</t>
        </is>
      </c>
      <c r="B5363" t="n">
        <v>1</v>
      </c>
      <c r="C5363" t="n">
        <v>2013</v>
      </c>
      <c r="D5363" t="n">
        <v>2013</v>
      </c>
      <c r="E5363" t="inlineStr">
        <is>
          <t>Pacific Rim</t>
        </is>
      </c>
      <c r="F5363" t="inlineStr">
        <is>
          <t>F0243</t>
        </is>
      </c>
    </row>
    <row r="5364">
      <c r="A5364" t="inlineStr">
        <is>
          <t>David Richmond-Peck</t>
        </is>
      </c>
      <c r="B5364" t="n">
        <v>1</v>
      </c>
      <c r="C5364" t="n">
        <v>2013</v>
      </c>
      <c r="D5364" t="n">
        <v>2013</v>
      </c>
      <c r="E5364" t="inlineStr">
        <is>
          <t>Pacific Rim</t>
        </is>
      </c>
      <c r="F5364" t="inlineStr">
        <is>
          <t>F0243</t>
        </is>
      </c>
    </row>
    <row r="5365">
      <c r="A5365" t="inlineStr">
        <is>
          <t>Sebastian Pigott</t>
        </is>
      </c>
      <c r="B5365" t="n">
        <v>1</v>
      </c>
      <c r="C5365" t="n">
        <v>2013</v>
      </c>
      <c r="D5365" t="n">
        <v>2013</v>
      </c>
      <c r="E5365" t="inlineStr">
        <is>
          <t>Pacific Rim</t>
        </is>
      </c>
      <c r="F5365" t="inlineStr">
        <is>
          <t>F0243</t>
        </is>
      </c>
    </row>
    <row r="5366">
      <c r="A5366" t="inlineStr">
        <is>
          <t>J.C. Kenny</t>
        </is>
      </c>
      <c r="B5366" t="n">
        <v>1</v>
      </c>
      <c r="C5366" t="n">
        <v>2013</v>
      </c>
      <c r="D5366" t="n">
        <v>2013</v>
      </c>
      <c r="E5366" t="inlineStr">
        <is>
          <t>Pacific Rim</t>
        </is>
      </c>
      <c r="F5366" t="inlineStr">
        <is>
          <t>F0243</t>
        </is>
      </c>
    </row>
    <row r="5367">
      <c r="A5367" t="inlineStr">
        <is>
          <t>Peter Capaldi</t>
        </is>
      </c>
      <c r="B5367" t="n">
        <v>1</v>
      </c>
      <c r="C5367" t="n">
        <v>2014</v>
      </c>
      <c r="D5367" t="n">
        <v>2014</v>
      </c>
      <c r="E5367" t="inlineStr">
        <is>
          <t>Paddington</t>
        </is>
      </c>
      <c r="F5367" t="inlineStr">
        <is>
          <t>F0244</t>
        </is>
      </c>
    </row>
    <row r="5368">
      <c r="A5368" t="inlineStr">
        <is>
          <t>Madeleine Worrall</t>
        </is>
      </c>
      <c r="B5368" t="n">
        <v>1</v>
      </c>
      <c r="C5368" t="n">
        <v>2014</v>
      </c>
      <c r="D5368" t="n">
        <v>2014</v>
      </c>
      <c r="E5368" t="inlineStr">
        <is>
          <t>Paddington</t>
        </is>
      </c>
      <c r="F5368" t="inlineStr">
        <is>
          <t>F0244</t>
        </is>
      </c>
    </row>
    <row r="5369">
      <c r="A5369" t="inlineStr">
        <is>
          <t>Matt King</t>
        </is>
      </c>
      <c r="B5369" t="n">
        <v>1</v>
      </c>
      <c r="C5369" t="n">
        <v>2014</v>
      </c>
      <c r="D5369" t="n">
        <v>2014</v>
      </c>
      <c r="E5369" t="inlineStr">
        <is>
          <t>Paddington</t>
        </is>
      </c>
      <c r="F5369" t="inlineStr">
        <is>
          <t>F0244</t>
        </is>
      </c>
    </row>
    <row r="5370">
      <c r="A5370" t="inlineStr">
        <is>
          <t>Simon Farnaby</t>
        </is>
      </c>
      <c r="B5370" t="n">
        <v>2</v>
      </c>
      <c r="C5370" t="n">
        <v>2014</v>
      </c>
      <c r="D5370" t="n">
        <v>2023</v>
      </c>
      <c r="E5370" t="inlineStr">
        <is>
          <t>Paddington, Wonka</t>
        </is>
      </c>
      <c r="F5370" t="inlineStr">
        <is>
          <t>F0244, F0338</t>
        </is>
      </c>
    </row>
    <row r="5371">
      <c r="A5371" t="inlineStr">
        <is>
          <t>Kayvan Novak</t>
        </is>
      </c>
      <c r="B5371" t="n">
        <v>1</v>
      </c>
      <c r="C5371" t="n">
        <v>2014</v>
      </c>
      <c r="D5371" t="n">
        <v>2014</v>
      </c>
      <c r="E5371" t="inlineStr">
        <is>
          <t>Paddington</t>
        </is>
      </c>
      <c r="F5371" t="inlineStr">
        <is>
          <t>F0244</t>
        </is>
      </c>
    </row>
    <row r="5372">
      <c r="A5372" t="inlineStr">
        <is>
          <t>Jonathan Derbyshire</t>
        </is>
      </c>
      <c r="B5372" t="n">
        <v>1</v>
      </c>
      <c r="C5372" t="n">
        <v>2014</v>
      </c>
      <c r="D5372" t="n">
        <v>2014</v>
      </c>
      <c r="E5372" t="inlineStr">
        <is>
          <t>Paddington</t>
        </is>
      </c>
      <c r="F5372" t="inlineStr">
        <is>
          <t>F0244</t>
        </is>
      </c>
    </row>
    <row r="5373">
      <c r="A5373" t="inlineStr">
        <is>
          <t>Mary Roscoe</t>
        </is>
      </c>
      <c r="B5373" t="n">
        <v>1</v>
      </c>
      <c r="C5373" t="n">
        <v>2014</v>
      </c>
      <c r="D5373" t="n">
        <v>2014</v>
      </c>
      <c r="E5373" t="inlineStr">
        <is>
          <t>Paddington</t>
        </is>
      </c>
      <c r="F5373" t="inlineStr">
        <is>
          <t>F0244</t>
        </is>
      </c>
    </row>
    <row r="5374">
      <c r="A5374" t="inlineStr">
        <is>
          <t>Jude Wright</t>
        </is>
      </c>
      <c r="B5374" t="n">
        <v>1</v>
      </c>
      <c r="C5374" t="n">
        <v>2014</v>
      </c>
      <c r="D5374" t="n">
        <v>2014</v>
      </c>
      <c r="E5374" t="inlineStr">
        <is>
          <t>Paddington</t>
        </is>
      </c>
      <c r="F5374" t="inlineStr">
        <is>
          <t>F0244</t>
        </is>
      </c>
    </row>
    <row r="5375">
      <c r="A5375" t="inlineStr">
        <is>
          <t>Lottie Steer</t>
        </is>
      </c>
      <c r="B5375" t="n">
        <v>1</v>
      </c>
      <c r="C5375" t="n">
        <v>2014</v>
      </c>
      <c r="D5375" t="n">
        <v>2014</v>
      </c>
      <c r="E5375" t="inlineStr">
        <is>
          <t>Paddington</t>
        </is>
      </c>
      <c r="F5375" t="inlineStr">
        <is>
          <t>F0244</t>
        </is>
      </c>
    </row>
    <row r="5376">
      <c r="A5376" t="inlineStr">
        <is>
          <t>Alice Lowe</t>
        </is>
      </c>
      <c r="B5376" t="n">
        <v>1</v>
      </c>
      <c r="C5376" t="n">
        <v>2014</v>
      </c>
      <c r="D5376" t="n">
        <v>2014</v>
      </c>
      <c r="E5376" t="inlineStr">
        <is>
          <t>Paddington</t>
        </is>
      </c>
      <c r="F5376" t="inlineStr">
        <is>
          <t>F0244</t>
        </is>
      </c>
    </row>
    <row r="5377">
      <c r="A5377" t="inlineStr">
        <is>
          <t>Toby Williams</t>
        </is>
      </c>
      <c r="B5377" t="n">
        <v>1</v>
      </c>
      <c r="C5377" t="n">
        <v>2014</v>
      </c>
      <c r="D5377" t="n">
        <v>2014</v>
      </c>
      <c r="E5377" t="inlineStr">
        <is>
          <t>Paddington</t>
        </is>
      </c>
      <c r="F5377" t="inlineStr">
        <is>
          <t>F0244</t>
        </is>
      </c>
    </row>
    <row r="5378">
      <c r="A5378" t="inlineStr">
        <is>
          <t>Catherine Shepherd</t>
        </is>
      </c>
      <c r="B5378" t="n">
        <v>1</v>
      </c>
      <c r="C5378" t="n">
        <v>2014</v>
      </c>
      <c r="D5378" t="n">
        <v>2014</v>
      </c>
      <c r="E5378" t="inlineStr">
        <is>
          <t>Paddington</t>
        </is>
      </c>
      <c r="F5378" t="inlineStr">
        <is>
          <t>F0244</t>
        </is>
      </c>
    </row>
    <row r="5379">
      <c r="A5379" t="inlineStr">
        <is>
          <t>Sean Bridgeman</t>
        </is>
      </c>
      <c r="B5379" t="n">
        <v>1</v>
      </c>
      <c r="C5379" t="n">
        <v>2014</v>
      </c>
      <c r="D5379" t="n">
        <v>2014</v>
      </c>
      <c r="E5379" t="inlineStr">
        <is>
          <t>Paddington</t>
        </is>
      </c>
      <c r="F5379" t="inlineStr">
        <is>
          <t>F0244</t>
        </is>
      </c>
    </row>
    <row r="5380">
      <c r="A5380" t="inlineStr">
        <is>
          <t>Cleo Sylvestre</t>
        </is>
      </c>
      <c r="B5380" t="n">
        <v>1</v>
      </c>
      <c r="C5380" t="n">
        <v>2014</v>
      </c>
      <c r="D5380" t="n">
        <v>2014</v>
      </c>
      <c r="E5380" t="inlineStr">
        <is>
          <t>Paddington</t>
        </is>
      </c>
      <c r="F5380" t="inlineStr">
        <is>
          <t>F0244</t>
        </is>
      </c>
    </row>
    <row r="5381">
      <c r="A5381" t="inlineStr">
        <is>
          <t>Geoffrey Palmer</t>
        </is>
      </c>
      <c r="B5381" t="n">
        <v>1</v>
      </c>
      <c r="C5381" t="n">
        <v>2014</v>
      </c>
      <c r="D5381" t="n">
        <v>2014</v>
      </c>
      <c r="E5381" t="inlineStr">
        <is>
          <t>Paddington</t>
        </is>
      </c>
      <c r="F5381" t="inlineStr">
        <is>
          <t>F0244</t>
        </is>
      </c>
    </row>
    <row r="5382">
      <c r="A5382" t="inlineStr">
        <is>
          <t>Gus Brown</t>
        </is>
      </c>
      <c r="B5382" t="n">
        <v>1</v>
      </c>
      <c r="C5382" t="n">
        <v>2014</v>
      </c>
      <c r="D5382" t="n">
        <v>2014</v>
      </c>
      <c r="E5382" t="inlineStr">
        <is>
          <t>Paddington</t>
        </is>
      </c>
      <c r="F5382" t="inlineStr">
        <is>
          <t>F0244</t>
        </is>
      </c>
    </row>
    <row r="5383">
      <c r="A5383" t="inlineStr">
        <is>
          <t>Rufus Jones</t>
        </is>
      </c>
      <c r="B5383" t="n">
        <v>2</v>
      </c>
      <c r="C5383" t="n">
        <v>2014</v>
      </c>
      <c r="D5383" t="n">
        <v>2023</v>
      </c>
      <c r="E5383" t="inlineStr">
        <is>
          <t>Paddington, Wonka</t>
        </is>
      </c>
      <c r="F5383" t="inlineStr">
        <is>
          <t>F0244, F0338</t>
        </is>
      </c>
    </row>
    <row r="5384">
      <c r="A5384" t="inlineStr">
        <is>
          <t>Blythe Danner</t>
        </is>
      </c>
      <c r="B5384" t="n">
        <v>1</v>
      </c>
      <c r="C5384" t="n">
        <v>2011</v>
      </c>
      <c r="D5384" t="n">
        <v>2011</v>
      </c>
      <c r="E5384" t="inlineStr">
        <is>
          <t>Paul</t>
        </is>
      </c>
      <c r="F5384" t="inlineStr">
        <is>
          <t>F0245</t>
        </is>
      </c>
    </row>
    <row r="5385">
      <c r="A5385" t="inlineStr">
        <is>
          <t>Joe Lo Truglio</t>
        </is>
      </c>
      <c r="B5385" t="n">
        <v>5</v>
      </c>
      <c r="C5385" t="n">
        <v>2007</v>
      </c>
      <c r="D5385" t="n">
        <v>2015</v>
      </c>
      <c r="E5385" t="inlineStr">
        <is>
          <t>Paul, Pineapple Express, Pitch Perfect 2, Superbad, Wreck-It Ralph</t>
        </is>
      </c>
      <c r="F5385" t="inlineStr">
        <is>
          <t>F0245, F0247, F0251, F0303, F0336</t>
        </is>
      </c>
    </row>
    <row r="5386">
      <c r="A5386" t="inlineStr">
        <is>
          <t>Jesse Plemons</t>
        </is>
      </c>
      <c r="B5386" t="n">
        <v>1</v>
      </c>
      <c r="C5386" t="n">
        <v>2011</v>
      </c>
      <c r="D5386" t="n">
        <v>2011</v>
      </c>
      <c r="E5386" t="inlineStr">
        <is>
          <t>Paul</t>
        </is>
      </c>
      <c r="F5386" t="inlineStr">
        <is>
          <t>F0245</t>
        </is>
      </c>
    </row>
    <row r="5387">
      <c r="A5387" t="inlineStr">
        <is>
          <t>Mia Stallard</t>
        </is>
      </c>
      <c r="B5387" t="n">
        <v>1</v>
      </c>
      <c r="C5387" t="n">
        <v>2011</v>
      </c>
      <c r="D5387" t="n">
        <v>2011</v>
      </c>
      <c r="E5387" t="inlineStr">
        <is>
          <t>Paul</t>
        </is>
      </c>
      <c r="F5387" t="inlineStr">
        <is>
          <t>F0245</t>
        </is>
      </c>
    </row>
    <row r="5388">
      <c r="A5388" t="inlineStr">
        <is>
          <t>Jeremy Owen</t>
        </is>
      </c>
      <c r="B5388" t="n">
        <v>1</v>
      </c>
      <c r="C5388" t="n">
        <v>2011</v>
      </c>
      <c r="D5388" t="n">
        <v>2011</v>
      </c>
      <c r="E5388" t="inlineStr">
        <is>
          <t>Paul</t>
        </is>
      </c>
      <c r="F5388" t="inlineStr">
        <is>
          <t>F0245</t>
        </is>
      </c>
    </row>
    <row r="5389">
      <c r="A5389" t="inlineStr">
        <is>
          <t>David House</t>
        </is>
      </c>
      <c r="B5389" t="n">
        <v>1</v>
      </c>
      <c r="C5389" t="n">
        <v>2011</v>
      </c>
      <c r="D5389" t="n">
        <v>2011</v>
      </c>
      <c r="E5389" t="inlineStr">
        <is>
          <t>Paul</t>
        </is>
      </c>
      <c r="F5389" t="inlineStr">
        <is>
          <t>F0245</t>
        </is>
      </c>
    </row>
    <row r="5390">
      <c r="A5390" t="inlineStr">
        <is>
          <t>Jennifer Granger</t>
        </is>
      </c>
      <c r="B5390" t="n">
        <v>1</v>
      </c>
      <c r="C5390" t="n">
        <v>2011</v>
      </c>
      <c r="D5390" t="n">
        <v>2011</v>
      </c>
      <c r="E5390" t="inlineStr">
        <is>
          <t>Paul</t>
        </is>
      </c>
      <c r="F5390" t="inlineStr">
        <is>
          <t>F0245</t>
        </is>
      </c>
    </row>
    <row r="5391">
      <c r="A5391" t="inlineStr">
        <is>
          <t>Bobby Lee</t>
        </is>
      </c>
      <c r="B5391" t="n">
        <v>2</v>
      </c>
      <c r="C5391" t="n">
        <v>2008</v>
      </c>
      <c r="D5391" t="n">
        <v>2011</v>
      </c>
      <c r="E5391" t="inlineStr">
        <is>
          <t>Paul, Pineapple Express</t>
        </is>
      </c>
      <c r="F5391" t="inlineStr">
        <is>
          <t>F0245, F0247</t>
        </is>
      </c>
    </row>
    <row r="5392">
      <c r="A5392" t="inlineStr">
        <is>
          <t>Mark Sivertsen</t>
        </is>
      </c>
      <c r="B5392" t="n">
        <v>1</v>
      </c>
      <c r="C5392" t="n">
        <v>2011</v>
      </c>
      <c r="D5392" t="n">
        <v>2011</v>
      </c>
      <c r="E5392" t="inlineStr">
        <is>
          <t>Paul</t>
        </is>
      </c>
      <c r="F5392" t="inlineStr">
        <is>
          <t>F0245</t>
        </is>
      </c>
    </row>
    <row r="5393">
      <c r="A5393" t="inlineStr">
        <is>
          <t>Joe Berryman</t>
        </is>
      </c>
      <c r="B5393" t="n">
        <v>1</v>
      </c>
      <c r="C5393" t="n">
        <v>2011</v>
      </c>
      <c r="D5393" t="n">
        <v>2011</v>
      </c>
      <c r="E5393" t="inlineStr">
        <is>
          <t>Paul</t>
        </is>
      </c>
      <c r="F5393" t="inlineStr">
        <is>
          <t>F0245</t>
        </is>
      </c>
    </row>
    <row r="5394">
      <c r="A5394" t="inlineStr">
        <is>
          <t>Steven Spielberg</t>
        </is>
      </c>
      <c r="B5394" t="n">
        <v>1</v>
      </c>
      <c r="C5394" t="n">
        <v>2011</v>
      </c>
      <c r="D5394" t="n">
        <v>2011</v>
      </c>
      <c r="E5394" t="inlineStr">
        <is>
          <t>Paul</t>
        </is>
      </c>
      <c r="F5394" t="inlineStr">
        <is>
          <t>F0245</t>
        </is>
      </c>
    </row>
    <row r="5395">
      <c r="A5395" t="inlineStr">
        <is>
          <t>Syd Masters</t>
        </is>
      </c>
      <c r="B5395" t="n">
        <v>1</v>
      </c>
      <c r="C5395" t="n">
        <v>2011</v>
      </c>
      <c r="D5395" t="n">
        <v>2011</v>
      </c>
      <c r="E5395" t="inlineStr">
        <is>
          <t>Paul</t>
        </is>
      </c>
      <c r="F5395" t="inlineStr">
        <is>
          <t>F0245</t>
        </is>
      </c>
    </row>
    <row r="5396">
      <c r="A5396" t="inlineStr">
        <is>
          <t>Gary Roller</t>
        </is>
      </c>
      <c r="B5396" t="n">
        <v>1</v>
      </c>
      <c r="C5396" t="n">
        <v>2011</v>
      </c>
      <c r="D5396" t="n">
        <v>2011</v>
      </c>
      <c r="E5396" t="inlineStr">
        <is>
          <t>Paul</t>
        </is>
      </c>
      <c r="F5396" t="inlineStr">
        <is>
          <t>F0245</t>
        </is>
      </c>
    </row>
    <row r="5397">
      <c r="A5397" t="inlineStr">
        <is>
          <t>Oliver O'Shea</t>
        </is>
      </c>
      <c r="B5397" t="n">
        <v>1</v>
      </c>
      <c r="C5397" t="n">
        <v>2011</v>
      </c>
      <c r="D5397" t="n">
        <v>2011</v>
      </c>
      <c r="E5397" t="inlineStr">
        <is>
          <t>Paul</t>
        </is>
      </c>
      <c r="F5397" t="inlineStr">
        <is>
          <t>F0245</t>
        </is>
      </c>
    </row>
    <row r="5398">
      <c r="A5398" t="inlineStr">
        <is>
          <t>Lonnie Otha-Mayer</t>
        </is>
      </c>
      <c r="B5398" t="n">
        <v>1</v>
      </c>
      <c r="C5398" t="n">
        <v>2011</v>
      </c>
      <c r="D5398" t="n">
        <v>2011</v>
      </c>
      <c r="E5398" t="inlineStr">
        <is>
          <t>Paul</t>
        </is>
      </c>
      <c r="F5398" t="inlineStr">
        <is>
          <t>F0245</t>
        </is>
      </c>
    </row>
    <row r="5399">
      <c r="A5399" t="inlineStr">
        <is>
          <t>Will Veitch</t>
        </is>
      </c>
      <c r="B5399" t="n">
        <v>1</v>
      </c>
      <c r="C5399" t="n">
        <v>2011</v>
      </c>
      <c r="D5399" t="n">
        <v>2011</v>
      </c>
      <c r="E5399" t="inlineStr">
        <is>
          <t>Paul</t>
        </is>
      </c>
      <c r="F5399" t="inlineStr">
        <is>
          <t>F0245</t>
        </is>
      </c>
    </row>
    <row r="5400">
      <c r="A5400" t="inlineStr">
        <is>
          <t>Lori Dillen</t>
        </is>
      </c>
      <c r="B5400" t="n">
        <v>1</v>
      </c>
      <c r="C5400" t="n">
        <v>2011</v>
      </c>
      <c r="D5400" t="n">
        <v>2011</v>
      </c>
      <c r="E5400" t="inlineStr">
        <is>
          <t>Paul</t>
        </is>
      </c>
      <c r="F5400" t="inlineStr">
        <is>
          <t>F0245</t>
        </is>
      </c>
    </row>
    <row r="5401">
      <c r="A5401" t="inlineStr">
        <is>
          <t>Greg Zola</t>
        </is>
      </c>
      <c r="B5401" t="n">
        <v>1</v>
      </c>
      <c r="C5401" t="n">
        <v>2001</v>
      </c>
      <c r="D5401" t="n">
        <v>2001</v>
      </c>
      <c r="E5401" t="inlineStr">
        <is>
          <t>Pearl Harbor</t>
        </is>
      </c>
      <c r="F5401" t="inlineStr">
        <is>
          <t>F0246</t>
        </is>
      </c>
    </row>
    <row r="5402">
      <c r="A5402" t="inlineStr">
        <is>
          <t>Jaime King</t>
        </is>
      </c>
      <c r="B5402" t="n">
        <v>1</v>
      </c>
      <c r="C5402" t="n">
        <v>2001</v>
      </c>
      <c r="D5402" t="n">
        <v>2001</v>
      </c>
      <c r="E5402" t="inlineStr">
        <is>
          <t>Pearl Harbor</t>
        </is>
      </c>
      <c r="F5402" t="inlineStr">
        <is>
          <t>F0246</t>
        </is>
      </c>
    </row>
    <row r="5403">
      <c r="A5403" t="inlineStr">
        <is>
          <t>Catherine Kellner</t>
        </is>
      </c>
      <c r="B5403" t="n">
        <v>1</v>
      </c>
      <c r="C5403" t="n">
        <v>2001</v>
      </c>
      <c r="D5403" t="n">
        <v>2001</v>
      </c>
      <c r="E5403" t="inlineStr">
        <is>
          <t>Pearl Harbor</t>
        </is>
      </c>
      <c r="F5403" t="inlineStr">
        <is>
          <t>F0246</t>
        </is>
      </c>
    </row>
    <row r="5404">
      <c r="A5404" t="inlineStr">
        <is>
          <t>Matthew Davis</t>
        </is>
      </c>
      <c r="B5404" t="n">
        <v>1</v>
      </c>
      <c r="C5404" t="n">
        <v>2001</v>
      </c>
      <c r="D5404" t="n">
        <v>2001</v>
      </c>
      <c r="E5404" t="inlineStr">
        <is>
          <t>Pearl Harbor</t>
        </is>
      </c>
      <c r="F5404" t="inlineStr">
        <is>
          <t>F0246</t>
        </is>
      </c>
    </row>
    <row r="5405">
      <c r="A5405" t="inlineStr">
        <is>
          <t>Mako</t>
        </is>
      </c>
      <c r="B5405" t="n">
        <v>1</v>
      </c>
      <c r="C5405" t="n">
        <v>2001</v>
      </c>
      <c r="D5405" t="n">
        <v>2001</v>
      </c>
      <c r="E5405" t="inlineStr">
        <is>
          <t>Pearl Harbor</t>
        </is>
      </c>
      <c r="F5405" t="inlineStr">
        <is>
          <t>F0246</t>
        </is>
      </c>
    </row>
    <row r="5406">
      <c r="A5406" t="inlineStr">
        <is>
          <t>John Fujioka</t>
        </is>
      </c>
      <c r="B5406" t="n">
        <v>1</v>
      </c>
      <c r="C5406" t="n">
        <v>2001</v>
      </c>
      <c r="D5406" t="n">
        <v>2001</v>
      </c>
      <c r="E5406" t="inlineStr">
        <is>
          <t>Pearl Harbor</t>
        </is>
      </c>
      <c r="F5406" t="inlineStr">
        <is>
          <t>F0246</t>
        </is>
      </c>
    </row>
    <row r="5407">
      <c r="A5407" t="inlineStr">
        <is>
          <t>Cary-Hiroyuki Tagawa</t>
        </is>
      </c>
      <c r="B5407" t="n">
        <v>1</v>
      </c>
      <c r="C5407" t="n">
        <v>2001</v>
      </c>
      <c r="D5407" t="n">
        <v>2001</v>
      </c>
      <c r="E5407" t="inlineStr">
        <is>
          <t>Pearl Harbor</t>
        </is>
      </c>
      <c r="F5407" t="inlineStr">
        <is>
          <t>F0246</t>
        </is>
      </c>
    </row>
    <row r="5408">
      <c r="A5408" t="inlineStr">
        <is>
          <t>Colm Feore</t>
        </is>
      </c>
      <c r="B5408" t="n">
        <v>1</v>
      </c>
      <c r="C5408" t="n">
        <v>2001</v>
      </c>
      <c r="D5408" t="n">
        <v>2001</v>
      </c>
      <c r="E5408" t="inlineStr">
        <is>
          <t>Pearl Harbor</t>
        </is>
      </c>
      <c r="F5408" t="inlineStr">
        <is>
          <t>F0246</t>
        </is>
      </c>
    </row>
    <row r="5409">
      <c r="A5409" t="inlineStr">
        <is>
          <t>Reiley McClendon</t>
        </is>
      </c>
      <c r="B5409" t="n">
        <v>1</v>
      </c>
      <c r="C5409" t="n">
        <v>2001</v>
      </c>
      <c r="D5409" t="n">
        <v>2001</v>
      </c>
      <c r="E5409" t="inlineStr">
        <is>
          <t>Pearl Harbor</t>
        </is>
      </c>
      <c r="F5409" t="inlineStr">
        <is>
          <t>F0246</t>
        </is>
      </c>
    </row>
    <row r="5410">
      <c r="A5410" t="inlineStr">
        <is>
          <t>David Hornsby</t>
        </is>
      </c>
      <c r="B5410" t="n">
        <v>1</v>
      </c>
      <c r="C5410" t="n">
        <v>2001</v>
      </c>
      <c r="D5410" t="n">
        <v>2001</v>
      </c>
      <c r="E5410" t="inlineStr">
        <is>
          <t>Pearl Harbor</t>
        </is>
      </c>
      <c r="F5410" t="inlineStr">
        <is>
          <t>F0246</t>
        </is>
      </c>
    </row>
    <row r="5411">
      <c r="A5411" t="inlineStr">
        <is>
          <t>Scott Wilson</t>
        </is>
      </c>
      <c r="B5411" t="n">
        <v>1</v>
      </c>
      <c r="C5411" t="n">
        <v>2001</v>
      </c>
      <c r="D5411" t="n">
        <v>2001</v>
      </c>
      <c r="E5411" t="inlineStr">
        <is>
          <t>Pearl Harbor</t>
        </is>
      </c>
      <c r="F5411" t="inlineStr">
        <is>
          <t>F0246</t>
        </is>
      </c>
    </row>
    <row r="5412">
      <c r="A5412" t="inlineStr">
        <is>
          <t>Graham Beckel</t>
        </is>
      </c>
      <c r="B5412" t="n">
        <v>1</v>
      </c>
      <c r="C5412" t="n">
        <v>2001</v>
      </c>
      <c r="D5412" t="n">
        <v>2001</v>
      </c>
      <c r="E5412" t="inlineStr">
        <is>
          <t>Pearl Harbor</t>
        </is>
      </c>
      <c r="F5412" t="inlineStr">
        <is>
          <t>F0246</t>
        </is>
      </c>
    </row>
    <row r="5413">
      <c r="A5413" t="inlineStr">
        <is>
          <t>Randy Oglesby</t>
        </is>
      </c>
      <c r="B5413" t="n">
        <v>1</v>
      </c>
      <c r="C5413" t="n">
        <v>2001</v>
      </c>
      <c r="D5413" t="n">
        <v>2001</v>
      </c>
      <c r="E5413" t="inlineStr">
        <is>
          <t>Pearl Harbor</t>
        </is>
      </c>
      <c r="F5413" t="inlineStr">
        <is>
          <t>F0246</t>
        </is>
      </c>
    </row>
    <row r="5414">
      <c r="A5414" t="inlineStr">
        <is>
          <t>Ping Wu</t>
        </is>
      </c>
      <c r="B5414" t="n">
        <v>1</v>
      </c>
      <c r="C5414" t="n">
        <v>2001</v>
      </c>
      <c r="D5414" t="n">
        <v>2001</v>
      </c>
      <c r="E5414" t="inlineStr">
        <is>
          <t>Pearl Harbor</t>
        </is>
      </c>
      <c r="F5414" t="inlineStr">
        <is>
          <t>F0246</t>
        </is>
      </c>
    </row>
    <row r="5415">
      <c r="A5415" t="inlineStr">
        <is>
          <t>Amber Heard</t>
        </is>
      </c>
      <c r="B5415" t="n">
        <v>1</v>
      </c>
      <c r="C5415" t="n">
        <v>2008</v>
      </c>
      <c r="D5415" t="n">
        <v>2008</v>
      </c>
      <c r="E5415" t="inlineStr">
        <is>
          <t>Pineapple Express</t>
        </is>
      </c>
      <c r="F5415" t="inlineStr">
        <is>
          <t>F0247</t>
        </is>
      </c>
    </row>
    <row r="5416">
      <c r="A5416" t="inlineStr">
        <is>
          <t>Ed Begley Jr.</t>
        </is>
      </c>
      <c r="B5416" t="n">
        <v>1</v>
      </c>
      <c r="C5416" t="n">
        <v>2008</v>
      </c>
      <c r="D5416" t="n">
        <v>2008</v>
      </c>
      <c r="E5416" t="inlineStr">
        <is>
          <t>Pineapple Express</t>
        </is>
      </c>
      <c r="F5416" t="inlineStr">
        <is>
          <t>F0247</t>
        </is>
      </c>
    </row>
    <row r="5417">
      <c r="A5417" t="inlineStr">
        <is>
          <t>Nora Dunn</t>
        </is>
      </c>
      <c r="B5417" t="n">
        <v>1</v>
      </c>
      <c r="C5417" t="n">
        <v>2008</v>
      </c>
      <c r="D5417" t="n">
        <v>2008</v>
      </c>
      <c r="E5417" t="inlineStr">
        <is>
          <t>Pineapple Express</t>
        </is>
      </c>
      <c r="F5417" t="inlineStr">
        <is>
          <t>F0247</t>
        </is>
      </c>
    </row>
    <row r="5418">
      <c r="A5418" t="inlineStr">
        <is>
          <t>Art Napiontek</t>
        </is>
      </c>
      <c r="B5418" t="n">
        <v>1</v>
      </c>
      <c r="C5418" t="n">
        <v>2008</v>
      </c>
      <c r="D5418" t="n">
        <v>2008</v>
      </c>
      <c r="E5418" t="inlineStr">
        <is>
          <t>Pineapple Express</t>
        </is>
      </c>
      <c r="F5418" t="inlineStr">
        <is>
          <t>F0247</t>
        </is>
      </c>
    </row>
    <row r="5419">
      <c r="A5419" t="inlineStr">
        <is>
          <t>Jonathan Spencer</t>
        </is>
      </c>
      <c r="B5419" t="n">
        <v>1</v>
      </c>
      <c r="C5419" t="n">
        <v>2008</v>
      </c>
      <c r="D5419" t="n">
        <v>2008</v>
      </c>
      <c r="E5419" t="inlineStr">
        <is>
          <t>Pineapple Express</t>
        </is>
      </c>
      <c r="F5419" t="inlineStr">
        <is>
          <t>F0247</t>
        </is>
      </c>
    </row>
    <row r="5420">
      <c r="A5420" t="inlineStr">
        <is>
          <t>Dana Lee</t>
        </is>
      </c>
      <c r="B5420" t="n">
        <v>1</v>
      </c>
      <c r="C5420" t="n">
        <v>2008</v>
      </c>
      <c r="D5420" t="n">
        <v>2008</v>
      </c>
      <c r="E5420" t="inlineStr">
        <is>
          <t>Pineapple Express</t>
        </is>
      </c>
      <c r="F5420" t="inlineStr">
        <is>
          <t>F0247</t>
        </is>
      </c>
    </row>
    <row r="5421">
      <c r="A5421" t="inlineStr">
        <is>
          <t>David C. Cook</t>
        </is>
      </c>
      <c r="B5421" t="n">
        <v>1</v>
      </c>
      <c r="C5421" t="n">
        <v>2008</v>
      </c>
      <c r="D5421" t="n">
        <v>2008</v>
      </c>
      <c r="E5421" t="inlineStr">
        <is>
          <t>Pineapple Express</t>
        </is>
      </c>
      <c r="F5421" t="inlineStr">
        <is>
          <t>F0247</t>
        </is>
      </c>
    </row>
    <row r="5422">
      <c r="A5422" t="inlineStr">
        <is>
          <t>Howard S. Lefstein</t>
        </is>
      </c>
      <c r="B5422" t="n">
        <v>1</v>
      </c>
      <c r="C5422" t="n">
        <v>2008</v>
      </c>
      <c r="D5422" t="n">
        <v>2008</v>
      </c>
      <c r="E5422" t="inlineStr">
        <is>
          <t>Pineapple Express</t>
        </is>
      </c>
      <c r="F5422" t="inlineStr">
        <is>
          <t>F0247</t>
        </is>
      </c>
    </row>
    <row r="5423">
      <c r="A5423" t="inlineStr">
        <is>
          <t>Connie Sawyer</t>
        </is>
      </c>
      <c r="B5423" t="n">
        <v>1</v>
      </c>
      <c r="C5423" t="n">
        <v>2008</v>
      </c>
      <c r="D5423" t="n">
        <v>2008</v>
      </c>
      <c r="E5423" t="inlineStr">
        <is>
          <t>Pineapple Express</t>
        </is>
      </c>
      <c r="F5423" t="inlineStr">
        <is>
          <t>F0247</t>
        </is>
      </c>
    </row>
    <row r="5424">
      <c r="A5424" t="inlineStr">
        <is>
          <t>David McDivitt</t>
        </is>
      </c>
      <c r="B5424" t="n">
        <v>1</v>
      </c>
      <c r="C5424" t="n">
        <v>2008</v>
      </c>
      <c r="D5424" t="n">
        <v>2008</v>
      </c>
      <c r="E5424" t="inlineStr">
        <is>
          <t>Pineapple Express</t>
        </is>
      </c>
      <c r="F5424" t="inlineStr">
        <is>
          <t>F0247</t>
        </is>
      </c>
    </row>
    <row r="5425">
      <c r="A5425" t="inlineStr">
        <is>
          <t>Mae LaBorde</t>
        </is>
      </c>
      <c r="B5425" t="n">
        <v>1</v>
      </c>
      <c r="C5425" t="n">
        <v>2008</v>
      </c>
      <c r="D5425" t="n">
        <v>2008</v>
      </c>
      <c r="E5425" t="inlineStr">
        <is>
          <t>Pineapple Express</t>
        </is>
      </c>
      <c r="F5425" t="inlineStr">
        <is>
          <t>F0247</t>
        </is>
      </c>
    </row>
    <row r="5426">
      <c r="A5426" t="inlineStr">
        <is>
          <t>Kendall Carly Browne</t>
        </is>
      </c>
      <c r="B5426" t="n">
        <v>1</v>
      </c>
      <c r="C5426" t="n">
        <v>2008</v>
      </c>
      <c r="D5426" t="n">
        <v>2008</v>
      </c>
      <c r="E5426" t="inlineStr">
        <is>
          <t>Pineapple Express</t>
        </is>
      </c>
      <c r="F5426" t="inlineStr">
        <is>
          <t>F0247</t>
        </is>
      </c>
    </row>
    <row r="5427">
      <c r="A5427" t="inlineStr">
        <is>
          <t>George Lew</t>
        </is>
      </c>
      <c r="B5427" t="n">
        <v>1</v>
      </c>
      <c r="C5427" t="n">
        <v>2008</v>
      </c>
      <c r="D5427" t="n">
        <v>2008</v>
      </c>
      <c r="E5427" t="inlineStr">
        <is>
          <t>Pineapple Express</t>
        </is>
      </c>
      <c r="F5427" t="inlineStr">
        <is>
          <t>F0247</t>
        </is>
      </c>
    </row>
    <row r="5428">
      <c r="A5428" t="inlineStr">
        <is>
          <t>John Robert Tramutola</t>
        </is>
      </c>
      <c r="B5428" t="n">
        <v>1</v>
      </c>
      <c r="C5428" t="n">
        <v>2008</v>
      </c>
      <c r="D5428" t="n">
        <v>2008</v>
      </c>
      <c r="E5428" t="inlineStr">
        <is>
          <t>Pineapple Express</t>
        </is>
      </c>
      <c r="F5428" t="inlineStr">
        <is>
          <t>F0247</t>
        </is>
      </c>
    </row>
    <row r="5429">
      <c r="A5429" t="inlineStr">
        <is>
          <t>Adam Crosby</t>
        </is>
      </c>
      <c r="B5429" t="n">
        <v>1</v>
      </c>
      <c r="C5429" t="n">
        <v>2008</v>
      </c>
      <c r="D5429" t="n">
        <v>2008</v>
      </c>
      <c r="E5429" t="inlineStr">
        <is>
          <t>Pineapple Express</t>
        </is>
      </c>
      <c r="F5429" t="inlineStr">
        <is>
          <t>F0247</t>
        </is>
      </c>
    </row>
    <row r="5430">
      <c r="A5430" t="inlineStr">
        <is>
          <t>Andrew Heald</t>
        </is>
      </c>
      <c r="B5430" t="n">
        <v>1</v>
      </c>
      <c r="C5430" t="n">
        <v>2008</v>
      </c>
      <c r="D5430" t="n">
        <v>2008</v>
      </c>
      <c r="E5430" t="inlineStr">
        <is>
          <t>Pineapple Express</t>
        </is>
      </c>
      <c r="F5430" t="inlineStr">
        <is>
          <t>F0247</t>
        </is>
      </c>
    </row>
    <row r="5431">
      <c r="A5431" t="inlineStr">
        <is>
          <t>Jeannetta Arnette</t>
        </is>
      </c>
      <c r="B5431" t="n">
        <v>1</v>
      </c>
      <c r="C5431" t="n">
        <v>2008</v>
      </c>
      <c r="D5431" t="n">
        <v>2008</v>
      </c>
      <c r="E5431" t="inlineStr">
        <is>
          <t>Pineapple Express</t>
        </is>
      </c>
      <c r="F5431" t="inlineStr">
        <is>
          <t>F0247</t>
        </is>
      </c>
    </row>
    <row r="5432">
      <c r="A5432" t="inlineStr">
        <is>
          <t>Mel Blanc</t>
        </is>
      </c>
      <c r="B5432" t="n">
        <v>1</v>
      </c>
      <c r="C5432" t="n">
        <v>1940</v>
      </c>
      <c r="D5432" t="n">
        <v>1940</v>
      </c>
      <c r="E5432" t="inlineStr">
        <is>
          <t>Pinocchio</t>
        </is>
      </c>
      <c r="F5432" t="inlineStr">
        <is>
          <t>F0248</t>
        </is>
      </c>
    </row>
    <row r="5433">
      <c r="A5433" t="inlineStr">
        <is>
          <t>Charles Judels</t>
        </is>
      </c>
      <c r="B5433" t="n">
        <v>1</v>
      </c>
      <c r="C5433" t="n">
        <v>1940</v>
      </c>
      <c r="D5433" t="n">
        <v>1940</v>
      </c>
      <c r="E5433" t="inlineStr">
        <is>
          <t>Pinocchio</t>
        </is>
      </c>
      <c r="F5433" t="inlineStr">
        <is>
          <t>F0248</t>
        </is>
      </c>
    </row>
    <row r="5434">
      <c r="A5434" t="inlineStr">
        <is>
          <t>Frankie Darro</t>
        </is>
      </c>
      <c r="B5434" t="n">
        <v>1</v>
      </c>
      <c r="C5434" t="n">
        <v>1940</v>
      </c>
      <c r="D5434" t="n">
        <v>1940</v>
      </c>
      <c r="E5434" t="inlineStr">
        <is>
          <t>Pinocchio</t>
        </is>
      </c>
      <c r="F5434" t="inlineStr">
        <is>
          <t>F0248</t>
        </is>
      </c>
    </row>
    <row r="5435">
      <c r="A5435" t="inlineStr">
        <is>
          <t>Don Brodie</t>
        </is>
      </c>
      <c r="B5435" t="n">
        <v>1</v>
      </c>
      <c r="C5435" t="n">
        <v>1940</v>
      </c>
      <c r="D5435" t="n">
        <v>1940</v>
      </c>
      <c r="E5435" t="inlineStr">
        <is>
          <t>Pinocchio</t>
        </is>
      </c>
      <c r="F5435" t="inlineStr">
        <is>
          <t>F0248</t>
        </is>
      </c>
    </row>
    <row r="5436">
      <c r="A5436" t="inlineStr">
        <is>
          <t>Marion Darlington</t>
        </is>
      </c>
      <c r="B5436" t="n">
        <v>1</v>
      </c>
      <c r="C5436" t="n">
        <v>1940</v>
      </c>
      <c r="D5436" t="n">
        <v>1940</v>
      </c>
      <c r="E5436" t="inlineStr">
        <is>
          <t>Pinocchio</t>
        </is>
      </c>
      <c r="F5436" t="inlineStr">
        <is>
          <t>F0248</t>
        </is>
      </c>
    </row>
    <row r="5437">
      <c r="A5437" t="inlineStr">
        <is>
          <t>John McLeish</t>
        </is>
      </c>
      <c r="B5437" t="n">
        <v>1</v>
      </c>
      <c r="C5437" t="n">
        <v>1940</v>
      </c>
      <c r="D5437" t="n">
        <v>1940</v>
      </c>
      <c r="E5437" t="inlineStr">
        <is>
          <t>Pinocchio</t>
        </is>
      </c>
      <c r="F5437" t="inlineStr">
        <is>
          <t>F0248</t>
        </is>
      </c>
    </row>
    <row r="5438">
      <c r="A5438" t="inlineStr">
        <is>
          <t>Patricia Page</t>
        </is>
      </c>
      <c r="B5438" t="n">
        <v>1</v>
      </c>
      <c r="C5438" t="n">
        <v>1940</v>
      </c>
      <c r="D5438" t="n">
        <v>1940</v>
      </c>
      <c r="E5438" t="inlineStr">
        <is>
          <t>Pinocchio</t>
        </is>
      </c>
      <c r="F5438" t="inlineStr">
        <is>
          <t>F0248</t>
        </is>
      </c>
    </row>
    <row r="5439">
      <c r="A5439" t="inlineStr">
        <is>
          <t>Thurl Ravenscroft</t>
        </is>
      </c>
      <c r="B5439" t="n">
        <v>1</v>
      </c>
      <c r="C5439" t="n">
        <v>1940</v>
      </c>
      <c r="D5439" t="n">
        <v>1940</v>
      </c>
      <c r="E5439" t="inlineStr">
        <is>
          <t>Pinocchio</t>
        </is>
      </c>
      <c r="F5439" t="inlineStr">
        <is>
          <t>F0248</t>
        </is>
      </c>
    </row>
    <row r="5440">
      <c r="A5440" t="inlineStr">
        <is>
          <t>Stuart Buchanan</t>
        </is>
      </c>
      <c r="B5440" t="n">
        <v>1</v>
      </c>
      <c r="C5440" t="n">
        <v>1940</v>
      </c>
      <c r="D5440" t="n">
        <v>1940</v>
      </c>
      <c r="E5440" t="inlineStr">
        <is>
          <t>Pinocchio</t>
        </is>
      </c>
      <c r="F5440" t="inlineStr">
        <is>
          <t>F0248</t>
        </is>
      </c>
    </row>
    <row r="5441">
      <c r="A5441" t="inlineStr">
        <is>
          <t>Val Stanton</t>
        </is>
      </c>
      <c r="B5441" t="n">
        <v>1</v>
      </c>
      <c r="C5441" t="n">
        <v>1940</v>
      </c>
      <c r="D5441" t="n">
        <v>1940</v>
      </c>
      <c r="E5441" t="inlineStr">
        <is>
          <t>Pinocchio</t>
        </is>
      </c>
      <c r="F5441" t="inlineStr">
        <is>
          <t>F0248</t>
        </is>
      </c>
    </row>
    <row r="5442">
      <c r="A5442" t="inlineStr">
        <is>
          <t>Àstrid Bergès-Frisbey</t>
        </is>
      </c>
      <c r="B5442" t="n">
        <v>1</v>
      </c>
      <c r="C5442" t="n">
        <v>2011</v>
      </c>
      <c r="D5442" t="n">
        <v>2011</v>
      </c>
      <c r="E5442" t="inlineStr">
        <is>
          <t>Pirates of the Caribbean: On Stranger Tides</t>
        </is>
      </c>
      <c r="F5442" t="inlineStr">
        <is>
          <t>F0249</t>
        </is>
      </c>
    </row>
    <row r="5443">
      <c r="A5443" t="inlineStr">
        <is>
          <t>Stephen Graham</t>
        </is>
      </c>
      <c r="B5443" t="n">
        <v>2</v>
      </c>
      <c r="C5443" t="n">
        <v>2011</v>
      </c>
      <c r="D5443" t="n">
        <v>2019</v>
      </c>
      <c r="E5443" t="inlineStr">
        <is>
          <t>Pirates of the Caribbean: On Stranger Tides, Rocketman</t>
        </is>
      </c>
      <c r="F5443" t="inlineStr">
        <is>
          <t>F0249, F0269</t>
        </is>
      </c>
    </row>
    <row r="5444">
      <c r="A5444" t="inlineStr">
        <is>
          <t>Keith Richards</t>
        </is>
      </c>
      <c r="B5444" t="n">
        <v>1</v>
      </c>
      <c r="C5444" t="n">
        <v>2011</v>
      </c>
      <c r="D5444" t="n">
        <v>2011</v>
      </c>
      <c r="E5444" t="inlineStr">
        <is>
          <t>Pirates of the Caribbean: On Stranger Tides</t>
        </is>
      </c>
      <c r="F5444" t="inlineStr">
        <is>
          <t>F0249</t>
        </is>
      </c>
    </row>
    <row r="5445">
      <c r="A5445" t="inlineStr">
        <is>
          <t>Greg Ellis</t>
        </is>
      </c>
      <c r="B5445" t="n">
        <v>1</v>
      </c>
      <c r="C5445" t="n">
        <v>2011</v>
      </c>
      <c r="D5445" t="n">
        <v>2011</v>
      </c>
      <c r="E5445" t="inlineStr">
        <is>
          <t>Pirates of the Caribbean: On Stranger Tides</t>
        </is>
      </c>
      <c r="F5445" t="inlineStr">
        <is>
          <t>F0249</t>
        </is>
      </c>
    </row>
    <row r="5446">
      <c r="A5446" t="inlineStr">
        <is>
          <t>Damian O'Hare</t>
        </is>
      </c>
      <c r="B5446" t="n">
        <v>1</v>
      </c>
      <c r="C5446" t="n">
        <v>2011</v>
      </c>
      <c r="D5446" t="n">
        <v>2011</v>
      </c>
      <c r="E5446" t="inlineStr">
        <is>
          <t>Pirates of the Caribbean: On Stranger Tides</t>
        </is>
      </c>
      <c r="F5446" t="inlineStr">
        <is>
          <t>F0249</t>
        </is>
      </c>
    </row>
    <row r="5447">
      <c r="A5447" t="inlineStr">
        <is>
          <t>Óscar Jaenada</t>
        </is>
      </c>
      <c r="B5447" t="n">
        <v>1</v>
      </c>
      <c r="C5447" t="n">
        <v>2011</v>
      </c>
      <c r="D5447" t="n">
        <v>2011</v>
      </c>
      <c r="E5447" t="inlineStr">
        <is>
          <t>Pirates of the Caribbean: On Stranger Tides</t>
        </is>
      </c>
      <c r="F5447" t="inlineStr">
        <is>
          <t>F0249</t>
        </is>
      </c>
    </row>
    <row r="5448">
      <c r="A5448" t="inlineStr">
        <is>
          <t>Anton Lesser</t>
        </is>
      </c>
      <c r="B5448" t="n">
        <v>1</v>
      </c>
      <c r="C5448" t="n">
        <v>2011</v>
      </c>
      <c r="D5448" t="n">
        <v>2011</v>
      </c>
      <c r="E5448" t="inlineStr">
        <is>
          <t>Pirates of the Caribbean: On Stranger Tides</t>
        </is>
      </c>
      <c r="F5448" t="inlineStr">
        <is>
          <t>F0249</t>
        </is>
      </c>
    </row>
    <row r="5449">
      <c r="A5449" t="inlineStr">
        <is>
          <t>Roger Allam</t>
        </is>
      </c>
      <c r="B5449" t="n">
        <v>1</v>
      </c>
      <c r="C5449" t="n">
        <v>2011</v>
      </c>
      <c r="D5449" t="n">
        <v>2011</v>
      </c>
      <c r="E5449" t="inlineStr">
        <is>
          <t>Pirates of the Caribbean: On Stranger Tides</t>
        </is>
      </c>
      <c r="F5449" t="inlineStr">
        <is>
          <t>F0249</t>
        </is>
      </c>
    </row>
    <row r="5450">
      <c r="A5450" t="inlineStr">
        <is>
          <t>Paul Bazely</t>
        </is>
      </c>
      <c r="B5450" t="n">
        <v>1</v>
      </c>
      <c r="C5450" t="n">
        <v>2011</v>
      </c>
      <c r="D5450" t="n">
        <v>2011</v>
      </c>
      <c r="E5450" t="inlineStr">
        <is>
          <t>Pirates of the Caribbean: On Stranger Tides</t>
        </is>
      </c>
      <c r="F5450" t="inlineStr">
        <is>
          <t>F0249</t>
        </is>
      </c>
    </row>
    <row r="5451">
      <c r="A5451" t="inlineStr">
        <is>
          <t>Richard Thomson</t>
        </is>
      </c>
      <c r="B5451" t="n">
        <v>2</v>
      </c>
      <c r="C5451" t="n">
        <v>2011</v>
      </c>
      <c r="D5451" t="n">
        <v>2012</v>
      </c>
      <c r="E5451" t="inlineStr">
        <is>
          <t>Pirates of the Caribbean: On Stranger Tides, Prometheus</t>
        </is>
      </c>
      <c r="F5451" t="inlineStr">
        <is>
          <t>F0249, F0259</t>
        </is>
      </c>
    </row>
    <row r="5452">
      <c r="A5452" t="inlineStr">
        <is>
          <t>Yuki Matsuzaki</t>
        </is>
      </c>
      <c r="B5452" t="n">
        <v>1</v>
      </c>
      <c r="C5452" t="n">
        <v>2011</v>
      </c>
      <c r="D5452" t="n">
        <v>2011</v>
      </c>
      <c r="E5452" t="inlineStr">
        <is>
          <t>Pirates of the Caribbean: On Stranger Tides</t>
        </is>
      </c>
      <c r="F5452" t="inlineStr">
        <is>
          <t>F0249</t>
        </is>
      </c>
    </row>
    <row r="5453">
      <c r="A5453" t="inlineStr">
        <is>
          <t>Robbie Kay</t>
        </is>
      </c>
      <c r="B5453" t="n">
        <v>1</v>
      </c>
      <c r="C5453" t="n">
        <v>2011</v>
      </c>
      <c r="D5453" t="n">
        <v>2011</v>
      </c>
      <c r="E5453" t="inlineStr">
        <is>
          <t>Pirates of the Caribbean: On Stranger Tides</t>
        </is>
      </c>
      <c r="F5453" t="inlineStr">
        <is>
          <t>F0249</t>
        </is>
      </c>
    </row>
    <row r="5454">
      <c r="A5454" t="inlineStr">
        <is>
          <t>Steve Evets</t>
        </is>
      </c>
      <c r="B5454" t="n">
        <v>1</v>
      </c>
      <c r="C5454" t="n">
        <v>2011</v>
      </c>
      <c r="D5454" t="n">
        <v>2011</v>
      </c>
      <c r="E5454" t="inlineStr">
        <is>
          <t>Pirates of the Caribbean: On Stranger Tides</t>
        </is>
      </c>
      <c r="F5454" t="inlineStr">
        <is>
          <t>F0249</t>
        </is>
      </c>
    </row>
    <row r="5455">
      <c r="A5455" t="inlineStr">
        <is>
          <t>Ian Mercer</t>
        </is>
      </c>
      <c r="B5455" t="n">
        <v>1</v>
      </c>
      <c r="C5455" t="n">
        <v>2011</v>
      </c>
      <c r="D5455" t="n">
        <v>2011</v>
      </c>
      <c r="E5455" t="inlineStr">
        <is>
          <t>Pirates of the Caribbean: On Stranger Tides</t>
        </is>
      </c>
      <c r="F5455" t="inlineStr">
        <is>
          <t>F0249</t>
        </is>
      </c>
    </row>
    <row r="5456">
      <c r="A5456" t="inlineStr">
        <is>
          <t>Gemma Ward</t>
        </is>
      </c>
      <c r="B5456" t="n">
        <v>1</v>
      </c>
      <c r="C5456" t="n">
        <v>2011</v>
      </c>
      <c r="D5456" t="n">
        <v>2011</v>
      </c>
      <c r="E5456" t="inlineStr">
        <is>
          <t>Pirates of the Caribbean: On Stranger Tides</t>
        </is>
      </c>
      <c r="F5456" t="inlineStr">
        <is>
          <t>F0249</t>
        </is>
      </c>
    </row>
    <row r="5457">
      <c r="A5457" t="inlineStr">
        <is>
          <t>Sebastian Armesto</t>
        </is>
      </c>
      <c r="B5457" t="n">
        <v>2</v>
      </c>
      <c r="C5457" t="n">
        <v>2011</v>
      </c>
      <c r="D5457" t="n">
        <v>2015</v>
      </c>
      <c r="E5457" t="inlineStr">
        <is>
          <t>Pirates of the Caribbean: On Stranger Tides, Star Wars: The Force Awakens</t>
        </is>
      </c>
      <c r="F5457" t="inlineStr">
        <is>
          <t>F0249, F0298</t>
        </is>
      </c>
    </row>
    <row r="5458">
      <c r="A5458" t="inlineStr">
        <is>
          <t>Juan Carlos Vellido</t>
        </is>
      </c>
      <c r="B5458" t="n">
        <v>1</v>
      </c>
      <c r="C5458" t="n">
        <v>2011</v>
      </c>
      <c r="D5458" t="n">
        <v>2011</v>
      </c>
      <c r="E5458" t="inlineStr">
        <is>
          <t>Pirates of the Caribbean: On Stranger Tides</t>
        </is>
      </c>
      <c r="F5458" t="inlineStr">
        <is>
          <t>F0249</t>
        </is>
      </c>
    </row>
    <row r="5459">
      <c r="A5459" t="inlineStr">
        <is>
          <t>Tristan Laurence Perez</t>
        </is>
      </c>
      <c r="B5459" t="n">
        <v>1</v>
      </c>
      <c r="C5459" t="n">
        <v>2011</v>
      </c>
      <c r="D5459" t="n">
        <v>2011</v>
      </c>
      <c r="E5459" t="inlineStr">
        <is>
          <t>Pirates of the Caribbean: On Stranger Tides</t>
        </is>
      </c>
      <c r="F5459" t="inlineStr">
        <is>
          <t>F0249</t>
        </is>
      </c>
    </row>
    <row r="5460">
      <c r="A5460" t="inlineStr">
        <is>
          <t>Norberto Morán</t>
        </is>
      </c>
      <c r="B5460" t="n">
        <v>1</v>
      </c>
      <c r="C5460" t="n">
        <v>2011</v>
      </c>
      <c r="D5460" t="n">
        <v>2011</v>
      </c>
      <c r="E5460" t="inlineStr">
        <is>
          <t>Pirates of the Caribbean: On Stranger Tides</t>
        </is>
      </c>
      <c r="F5460" t="inlineStr">
        <is>
          <t>F0249</t>
        </is>
      </c>
    </row>
    <row r="5461">
      <c r="A5461" t="inlineStr">
        <is>
          <t>Skylar Astin</t>
        </is>
      </c>
      <c r="B5461" t="n">
        <v>3</v>
      </c>
      <c r="C5461" t="n">
        <v>2012</v>
      </c>
      <c r="D5461" t="n">
        <v>2015</v>
      </c>
      <c r="E5461" t="inlineStr">
        <is>
          <t>Pitch Perfect, Pitch Perfect 2, Wreck-It Ralph</t>
        </is>
      </c>
      <c r="F5461" t="inlineStr">
        <is>
          <t>F0250, F0251, F0336</t>
        </is>
      </c>
    </row>
    <row r="5462">
      <c r="A5462" t="inlineStr">
        <is>
          <t>Hana Mae Lee</t>
        </is>
      </c>
      <c r="B5462" t="n">
        <v>3</v>
      </c>
      <c r="C5462" t="n">
        <v>2012</v>
      </c>
      <c r="D5462" t="n">
        <v>2017</v>
      </c>
      <c r="E5462" t="inlineStr">
        <is>
          <t>Pitch Perfect, Pitch Perfect 2, Pitch Perfect 3</t>
        </is>
      </c>
      <c r="F5462" t="inlineStr">
        <is>
          <t>F0250, F0251, F0252</t>
        </is>
      </c>
    </row>
    <row r="5463">
      <c r="A5463" t="inlineStr">
        <is>
          <t>Ben Platt</t>
        </is>
      </c>
      <c r="B5463" t="n">
        <v>2</v>
      </c>
      <c r="C5463" t="n">
        <v>2012</v>
      </c>
      <c r="D5463" t="n">
        <v>2015</v>
      </c>
      <c r="E5463" t="inlineStr">
        <is>
          <t>Pitch Perfect, Pitch Perfect 2</t>
        </is>
      </c>
      <c r="F5463" t="inlineStr">
        <is>
          <t>F0250, F0251</t>
        </is>
      </c>
    </row>
    <row r="5464">
      <c r="A5464" t="inlineStr">
        <is>
          <t>Alexis Knapp</t>
        </is>
      </c>
      <c r="B5464" t="n">
        <v>3</v>
      </c>
      <c r="C5464" t="n">
        <v>2012</v>
      </c>
      <c r="D5464" t="n">
        <v>2017</v>
      </c>
      <c r="E5464" t="inlineStr">
        <is>
          <t>Pitch Perfect, Pitch Perfect 2, Pitch Perfect 3</t>
        </is>
      </c>
      <c r="F5464" t="inlineStr">
        <is>
          <t>F0250, F0251, F0252</t>
        </is>
      </c>
    </row>
    <row r="5465">
      <c r="A5465" t="inlineStr">
        <is>
          <t>Utkarsh Ambudkar</t>
        </is>
      </c>
      <c r="B5465" t="n">
        <v>1</v>
      </c>
      <c r="C5465" t="n">
        <v>2012</v>
      </c>
      <c r="D5465" t="n">
        <v>2012</v>
      </c>
      <c r="E5465" t="inlineStr">
        <is>
          <t>Pitch Perfect</t>
        </is>
      </c>
      <c r="F5465" t="inlineStr">
        <is>
          <t>F0250</t>
        </is>
      </c>
    </row>
    <row r="5466">
      <c r="A5466" t="inlineStr">
        <is>
          <t>Kelley Jakle</t>
        </is>
      </c>
      <c r="B5466" t="n">
        <v>3</v>
      </c>
      <c r="C5466" t="n">
        <v>2012</v>
      </c>
      <c r="D5466" t="n">
        <v>2017</v>
      </c>
      <c r="E5466" t="inlineStr">
        <is>
          <t>Pitch Perfect, Pitch Perfect 2, Pitch Perfect 3</t>
        </is>
      </c>
      <c r="F5466" t="inlineStr">
        <is>
          <t>F0250, F0251, F0252</t>
        </is>
      </c>
    </row>
    <row r="5467">
      <c r="A5467" t="inlineStr">
        <is>
          <t>Shelley Regner</t>
        </is>
      </c>
      <c r="B5467" t="n">
        <v>3</v>
      </c>
      <c r="C5467" t="n">
        <v>2012</v>
      </c>
      <c r="D5467" t="n">
        <v>2017</v>
      </c>
      <c r="E5467" t="inlineStr">
        <is>
          <t>Pitch Perfect, Pitch Perfect 2, Pitch Perfect 3</t>
        </is>
      </c>
      <c r="F5467" t="inlineStr">
        <is>
          <t>F0250, F0251, F0252</t>
        </is>
      </c>
    </row>
    <row r="5468">
      <c r="A5468" t="inlineStr">
        <is>
          <t>Caroline Fourmy</t>
        </is>
      </c>
      <c r="B5468" t="n">
        <v>1</v>
      </c>
      <c r="C5468" t="n">
        <v>2012</v>
      </c>
      <c r="D5468" t="n">
        <v>2012</v>
      </c>
      <c r="E5468" t="inlineStr">
        <is>
          <t>Pitch Perfect</t>
        </is>
      </c>
      <c r="F5468" t="inlineStr">
        <is>
          <t>F0250</t>
        </is>
      </c>
    </row>
    <row r="5469">
      <c r="A5469" t="inlineStr">
        <is>
          <t>Wanetah Walmsley</t>
        </is>
      </c>
      <c r="B5469" t="n">
        <v>1</v>
      </c>
      <c r="C5469" t="n">
        <v>2012</v>
      </c>
      <c r="D5469" t="n">
        <v>2012</v>
      </c>
      <c r="E5469" t="inlineStr">
        <is>
          <t>Pitch Perfect</t>
        </is>
      </c>
      <c r="F5469" t="inlineStr">
        <is>
          <t>F0250</t>
        </is>
      </c>
    </row>
    <row r="5470">
      <c r="A5470" t="inlineStr">
        <is>
          <t>Nicole Lovince</t>
        </is>
      </c>
      <c r="B5470" t="n">
        <v>1</v>
      </c>
      <c r="C5470" t="n">
        <v>2012</v>
      </c>
      <c r="D5470" t="n">
        <v>2012</v>
      </c>
      <c r="E5470" t="inlineStr">
        <is>
          <t>Pitch Perfect</t>
        </is>
      </c>
      <c r="F5470" t="inlineStr">
        <is>
          <t>F0250</t>
        </is>
      </c>
    </row>
    <row r="5471">
      <c r="A5471" t="inlineStr">
        <is>
          <t>Michael Viruet</t>
        </is>
      </c>
      <c r="B5471" t="n">
        <v>1</v>
      </c>
      <c r="C5471" t="n">
        <v>2012</v>
      </c>
      <c r="D5471" t="n">
        <v>2012</v>
      </c>
      <c r="E5471" t="inlineStr">
        <is>
          <t>Pitch Perfect</t>
        </is>
      </c>
      <c r="F5471" t="inlineStr">
        <is>
          <t>F0250</t>
        </is>
      </c>
    </row>
    <row r="5472">
      <c r="A5472" t="inlineStr">
        <is>
          <t>David Del Rio</t>
        </is>
      </c>
      <c r="B5472" t="n">
        <v>1</v>
      </c>
      <c r="C5472" t="n">
        <v>2012</v>
      </c>
      <c r="D5472" t="n">
        <v>2012</v>
      </c>
      <c r="E5472" t="inlineStr">
        <is>
          <t>Pitch Perfect</t>
        </is>
      </c>
      <c r="F5472" t="inlineStr">
        <is>
          <t>F0250</t>
        </is>
      </c>
    </row>
    <row r="5473">
      <c r="A5473" t="inlineStr">
        <is>
          <t>John Benjamin Hickey</t>
        </is>
      </c>
      <c r="B5473" t="n">
        <v>2</v>
      </c>
      <c r="C5473" t="n">
        <v>2009</v>
      </c>
      <c r="D5473" t="n">
        <v>2012</v>
      </c>
      <c r="E5473" t="inlineStr">
        <is>
          <t>Pitch Perfect, Transformers: Revenge of the Fallen</t>
        </is>
      </c>
      <c r="F5473" t="inlineStr">
        <is>
          <t>F0250, F0317</t>
        </is>
      </c>
    </row>
    <row r="5474">
      <c r="A5474" t="inlineStr">
        <is>
          <t>Jinhee Joung</t>
        </is>
      </c>
      <c r="B5474" t="n">
        <v>1</v>
      </c>
      <c r="C5474" t="n">
        <v>2012</v>
      </c>
      <c r="D5474" t="n">
        <v>2012</v>
      </c>
      <c r="E5474" t="inlineStr">
        <is>
          <t>Pitch Perfect</t>
        </is>
      </c>
      <c r="F5474" t="inlineStr">
        <is>
          <t>F0250</t>
        </is>
      </c>
    </row>
    <row r="5475">
      <c r="A5475" t="inlineStr">
        <is>
          <t>Jacob Wysocki</t>
        </is>
      </c>
      <c r="B5475" t="n">
        <v>1</v>
      </c>
      <c r="C5475" t="n">
        <v>2012</v>
      </c>
      <c r="D5475" t="n">
        <v>2012</v>
      </c>
      <c r="E5475" t="inlineStr">
        <is>
          <t>Pitch Perfect</t>
        </is>
      </c>
      <c r="F5475" t="inlineStr">
        <is>
          <t>F0250</t>
        </is>
      </c>
    </row>
    <row r="5476">
      <c r="A5476" t="inlineStr">
        <is>
          <t>Jawan Harris</t>
        </is>
      </c>
      <c r="B5476" t="n">
        <v>1</v>
      </c>
      <c r="C5476" t="n">
        <v>2012</v>
      </c>
      <c r="D5476" t="n">
        <v>2012</v>
      </c>
      <c r="E5476" t="inlineStr">
        <is>
          <t>Pitch Perfect</t>
        </is>
      </c>
      <c r="F5476" t="inlineStr">
        <is>
          <t>F0250</t>
        </is>
      </c>
    </row>
    <row r="5477">
      <c r="A5477" t="inlineStr">
        <is>
          <t>Richard Kohnke</t>
        </is>
      </c>
      <c r="B5477" t="n">
        <v>1</v>
      </c>
      <c r="C5477" t="n">
        <v>2012</v>
      </c>
      <c r="D5477" t="n">
        <v>2012</v>
      </c>
      <c r="E5477" t="inlineStr">
        <is>
          <t>Pitch Perfect</t>
        </is>
      </c>
      <c r="F5477" t="inlineStr">
        <is>
          <t>F0250</t>
        </is>
      </c>
    </row>
    <row r="5478">
      <c r="A5478" t="inlineStr">
        <is>
          <t>Scott Shilstone</t>
        </is>
      </c>
      <c r="B5478" t="n">
        <v>1</v>
      </c>
      <c r="C5478" t="n">
        <v>2012</v>
      </c>
      <c r="D5478" t="n">
        <v>2012</v>
      </c>
      <c r="E5478" t="inlineStr">
        <is>
          <t>Pitch Perfect</t>
        </is>
      </c>
      <c r="F5478" t="inlineStr">
        <is>
          <t>F0250</t>
        </is>
      </c>
    </row>
    <row r="5479">
      <c r="A5479" t="inlineStr">
        <is>
          <t>Brock Kelly</t>
        </is>
      </c>
      <c r="B5479" t="n">
        <v>1</v>
      </c>
      <c r="C5479" t="n">
        <v>2012</v>
      </c>
      <c r="D5479" t="n">
        <v>2012</v>
      </c>
      <c r="E5479" t="inlineStr">
        <is>
          <t>Pitch Perfect</t>
        </is>
      </c>
      <c r="F5479" t="inlineStr">
        <is>
          <t>F0250</t>
        </is>
      </c>
    </row>
    <row r="5480">
      <c r="A5480" t="inlineStr">
        <is>
          <t>Drew Battles</t>
        </is>
      </c>
      <c r="B5480" t="n">
        <v>1</v>
      </c>
      <c r="C5480" t="n">
        <v>2012</v>
      </c>
      <c r="D5480" t="n">
        <v>2012</v>
      </c>
      <c r="E5480" t="inlineStr">
        <is>
          <t>Pitch Perfect</t>
        </is>
      </c>
      <c r="F5480" t="inlineStr">
        <is>
          <t>F0250</t>
        </is>
      </c>
    </row>
    <row r="5481">
      <c r="A5481" t="inlineStr">
        <is>
          <t>Chrissie Fit</t>
        </is>
      </c>
      <c r="B5481" t="n">
        <v>2</v>
      </c>
      <c r="C5481" t="n">
        <v>2015</v>
      </c>
      <c r="D5481" t="n">
        <v>2017</v>
      </c>
      <c r="E5481" t="inlineStr">
        <is>
          <t>Pitch Perfect 2, Pitch Perfect 3</t>
        </is>
      </c>
      <c r="F5481" t="inlineStr">
        <is>
          <t>F0251, F0252</t>
        </is>
      </c>
    </row>
    <row r="5482">
      <c r="A5482" t="inlineStr">
        <is>
          <t>Birgitte Hjort Sørensen</t>
        </is>
      </c>
      <c r="B5482" t="n">
        <v>1</v>
      </c>
      <c r="C5482" t="n">
        <v>2015</v>
      </c>
      <c r="D5482" t="n">
        <v>2015</v>
      </c>
      <c r="E5482" t="inlineStr">
        <is>
          <t>Pitch Perfect 2</t>
        </is>
      </c>
      <c r="F5482" t="inlineStr">
        <is>
          <t>F0251</t>
        </is>
      </c>
    </row>
    <row r="5483">
      <c r="A5483" t="inlineStr">
        <is>
          <t>Flula Borg</t>
        </is>
      </c>
      <c r="B5483" t="n">
        <v>2</v>
      </c>
      <c r="C5483" t="n">
        <v>2015</v>
      </c>
      <c r="D5483" t="n">
        <v>2018</v>
      </c>
      <c r="E5483" t="inlineStr">
        <is>
          <t>Pitch Perfect 2, Ralph Breaks the Internet</t>
        </is>
      </c>
      <c r="F5483" t="inlineStr">
        <is>
          <t>F0251, F0337</t>
        </is>
      </c>
    </row>
    <row r="5484">
      <c r="A5484" t="inlineStr">
        <is>
          <t>Katey Sagal</t>
        </is>
      </c>
      <c r="B5484" t="n">
        <v>1</v>
      </c>
      <c r="C5484" t="n">
        <v>2015</v>
      </c>
      <c r="D5484" t="n">
        <v>2015</v>
      </c>
      <c r="E5484" t="inlineStr">
        <is>
          <t>Pitch Perfect 2</t>
        </is>
      </c>
      <c r="F5484" t="inlineStr">
        <is>
          <t>F0251</t>
        </is>
      </c>
    </row>
    <row r="5485">
      <c r="A5485" t="inlineStr">
        <is>
          <t>Reggie Watts</t>
        </is>
      </c>
      <c r="B5485" t="n">
        <v>1</v>
      </c>
      <c r="C5485" t="n">
        <v>2015</v>
      </c>
      <c r="D5485" t="n">
        <v>2015</v>
      </c>
      <c r="E5485" t="inlineStr">
        <is>
          <t>Pitch Perfect 2</t>
        </is>
      </c>
      <c r="F5485" t="inlineStr">
        <is>
          <t>F0251</t>
        </is>
      </c>
    </row>
    <row r="5486">
      <c r="A5486" t="inlineStr">
        <is>
          <t>John Hodgman</t>
        </is>
      </c>
      <c r="B5486" t="n">
        <v>1</v>
      </c>
      <c r="C5486" t="n">
        <v>2015</v>
      </c>
      <c r="D5486" t="n">
        <v>2015</v>
      </c>
      <c r="E5486" t="inlineStr">
        <is>
          <t>Pitch Perfect 2</t>
        </is>
      </c>
      <c r="F5486" t="inlineStr">
        <is>
          <t>F0251</t>
        </is>
      </c>
    </row>
    <row r="5487">
      <c r="A5487" t="inlineStr">
        <is>
          <t>Jason Jones</t>
        </is>
      </c>
      <c r="B5487" t="n">
        <v>1</v>
      </c>
      <c r="C5487" t="n">
        <v>2015</v>
      </c>
      <c r="D5487" t="n">
        <v>2015</v>
      </c>
      <c r="E5487" t="inlineStr">
        <is>
          <t>Pitch Perfect 2</t>
        </is>
      </c>
      <c r="F5487" t="inlineStr">
        <is>
          <t>F0251</t>
        </is>
      </c>
    </row>
    <row r="5488">
      <c r="A5488" t="inlineStr">
        <is>
          <t>Shawn Carter Peterson</t>
        </is>
      </c>
      <c r="B5488" t="n">
        <v>1</v>
      </c>
      <c r="C5488" t="n">
        <v>2015</v>
      </c>
      <c r="D5488" t="n">
        <v>2015</v>
      </c>
      <c r="E5488" t="inlineStr">
        <is>
          <t>Pitch Perfect 2</t>
        </is>
      </c>
      <c r="F5488" t="inlineStr">
        <is>
          <t>F0251</t>
        </is>
      </c>
    </row>
    <row r="5489">
      <c r="A5489" t="inlineStr">
        <is>
          <t>Clay Matthews</t>
        </is>
      </c>
      <c r="B5489" t="n">
        <v>1</v>
      </c>
      <c r="C5489" t="n">
        <v>2015</v>
      </c>
      <c r="D5489" t="n">
        <v>2015</v>
      </c>
      <c r="E5489" t="inlineStr">
        <is>
          <t>Pitch Perfect 2</t>
        </is>
      </c>
      <c r="F5489" t="inlineStr">
        <is>
          <t>F0251</t>
        </is>
      </c>
    </row>
    <row r="5490">
      <c r="A5490" t="inlineStr">
        <is>
          <t>David Bakhtiari</t>
        </is>
      </c>
      <c r="B5490" t="n">
        <v>1</v>
      </c>
      <c r="C5490" t="n">
        <v>2015</v>
      </c>
      <c r="D5490" t="n">
        <v>2015</v>
      </c>
      <c r="E5490" t="inlineStr">
        <is>
          <t>Pitch Perfect 2</t>
        </is>
      </c>
      <c r="F5490" t="inlineStr">
        <is>
          <t>F0251</t>
        </is>
      </c>
    </row>
    <row r="5491">
      <c r="A5491" t="inlineStr">
        <is>
          <t>Donny Barclay</t>
        </is>
      </c>
      <c r="B5491" t="n">
        <v>1</v>
      </c>
      <c r="C5491" t="n">
        <v>2015</v>
      </c>
      <c r="D5491" t="n">
        <v>2015</v>
      </c>
      <c r="E5491" t="inlineStr">
        <is>
          <t>Pitch Perfect 2</t>
        </is>
      </c>
      <c r="F5491" t="inlineStr">
        <is>
          <t>F0251</t>
        </is>
      </c>
    </row>
    <row r="5492">
      <c r="A5492" t="inlineStr">
        <is>
          <t>Ruby Rose</t>
        </is>
      </c>
      <c r="B5492" t="n">
        <v>1</v>
      </c>
      <c r="C5492" t="n">
        <v>2017</v>
      </c>
      <c r="D5492" t="n">
        <v>2017</v>
      </c>
      <c r="E5492" t="inlineStr">
        <is>
          <t>Pitch Perfect 3</t>
        </is>
      </c>
      <c r="F5492" t="inlineStr">
        <is>
          <t>F0252</t>
        </is>
      </c>
    </row>
    <row r="5493">
      <c r="A5493" t="inlineStr">
        <is>
          <t>Andy Allo</t>
        </is>
      </c>
      <c r="B5493" t="n">
        <v>1</v>
      </c>
      <c r="C5493" t="n">
        <v>2017</v>
      </c>
      <c r="D5493" t="n">
        <v>2017</v>
      </c>
      <c r="E5493" t="inlineStr">
        <is>
          <t>Pitch Perfect 3</t>
        </is>
      </c>
      <c r="F5493" t="inlineStr">
        <is>
          <t>F0252</t>
        </is>
      </c>
    </row>
    <row r="5494">
      <c r="A5494" t="inlineStr">
        <is>
          <t>Matt Lanter</t>
        </is>
      </c>
      <c r="B5494" t="n">
        <v>1</v>
      </c>
      <c r="C5494" t="n">
        <v>2017</v>
      </c>
      <c r="D5494" t="n">
        <v>2017</v>
      </c>
      <c r="E5494" t="inlineStr">
        <is>
          <t>Pitch Perfect 3</t>
        </is>
      </c>
      <c r="F5494" t="inlineStr">
        <is>
          <t>F0252</t>
        </is>
      </c>
    </row>
    <row r="5495">
      <c r="A5495" t="inlineStr">
        <is>
          <t>Guy Burnet</t>
        </is>
      </c>
      <c r="B5495" t="n">
        <v>1</v>
      </c>
      <c r="C5495" t="n">
        <v>2017</v>
      </c>
      <c r="D5495" t="n">
        <v>2017</v>
      </c>
      <c r="E5495" t="inlineStr">
        <is>
          <t>Pitch Perfect 3</t>
        </is>
      </c>
      <c r="F5495" t="inlineStr">
        <is>
          <t>F0252</t>
        </is>
      </c>
    </row>
    <row r="5496">
      <c r="A5496" t="inlineStr">
        <is>
          <t>DJ Khaled</t>
        </is>
      </c>
      <c r="B5496" t="n">
        <v>1</v>
      </c>
      <c r="C5496" t="n">
        <v>2017</v>
      </c>
      <c r="D5496" t="n">
        <v>2017</v>
      </c>
      <c r="E5496" t="inlineStr">
        <is>
          <t>Pitch Perfect 3</t>
        </is>
      </c>
      <c r="F5496" t="inlineStr">
        <is>
          <t>F0252</t>
        </is>
      </c>
    </row>
    <row r="5497">
      <c r="A5497" t="inlineStr">
        <is>
          <t>Niko Nedyalkov</t>
        </is>
      </c>
      <c r="B5497" t="n">
        <v>1</v>
      </c>
      <c r="C5497" t="n">
        <v>2017</v>
      </c>
      <c r="D5497" t="n">
        <v>2017</v>
      </c>
      <c r="E5497" t="inlineStr">
        <is>
          <t>Pitch Perfect 3</t>
        </is>
      </c>
      <c r="F5497" t="inlineStr">
        <is>
          <t>F0252</t>
        </is>
      </c>
    </row>
    <row r="5498">
      <c r="A5498" t="inlineStr">
        <is>
          <t>Kaley Hatfield</t>
        </is>
      </c>
      <c r="B5498" t="n">
        <v>1</v>
      </c>
      <c r="C5498" t="n">
        <v>2017</v>
      </c>
      <c r="D5498" t="n">
        <v>2017</v>
      </c>
      <c r="E5498" t="inlineStr">
        <is>
          <t>Pitch Perfect 3</t>
        </is>
      </c>
      <c r="F5498" t="inlineStr">
        <is>
          <t>F0252</t>
        </is>
      </c>
    </row>
    <row r="5499">
      <c r="A5499" t="inlineStr">
        <is>
          <t>Matthew Michael Hoffman</t>
        </is>
      </c>
      <c r="B5499" t="n">
        <v>1</v>
      </c>
      <c r="C5499" t="n">
        <v>2017</v>
      </c>
      <c r="D5499" t="n">
        <v>2017</v>
      </c>
      <c r="E5499" t="inlineStr">
        <is>
          <t>Pitch Perfect 3</t>
        </is>
      </c>
      <c r="F5499" t="inlineStr">
        <is>
          <t>F0252</t>
        </is>
      </c>
    </row>
    <row r="5500">
      <c r="A5500" t="inlineStr">
        <is>
          <t>Timothy Douglas Perez</t>
        </is>
      </c>
      <c r="B5500" t="n">
        <v>1</v>
      </c>
      <c r="C5500" t="n">
        <v>2017</v>
      </c>
      <c r="D5500" t="n">
        <v>2017</v>
      </c>
      <c r="E5500" t="inlineStr">
        <is>
          <t>Pitch Perfect 3</t>
        </is>
      </c>
      <c r="F5500" t="inlineStr">
        <is>
          <t>F0252</t>
        </is>
      </c>
    </row>
    <row r="5501">
      <c r="A5501" t="inlineStr">
        <is>
          <t>Tony Guerrero</t>
        </is>
      </c>
      <c r="B5501" t="n">
        <v>1</v>
      </c>
      <c r="C5501" t="n">
        <v>2017</v>
      </c>
      <c r="D5501" t="n">
        <v>2017</v>
      </c>
      <c r="E5501" t="inlineStr">
        <is>
          <t>Pitch Perfect 3</t>
        </is>
      </c>
      <c r="F5501" t="inlineStr">
        <is>
          <t>F0252</t>
        </is>
      </c>
    </row>
    <row r="5502">
      <c r="A5502" t="inlineStr">
        <is>
          <t>Jonathon Pawlowski</t>
        </is>
      </c>
      <c r="B5502" t="n">
        <v>1</v>
      </c>
      <c r="C5502" t="n">
        <v>2017</v>
      </c>
      <c r="D5502" t="n">
        <v>2017</v>
      </c>
      <c r="E5502" t="inlineStr">
        <is>
          <t>Pitch Perfect 3</t>
        </is>
      </c>
      <c r="F5502" t="inlineStr">
        <is>
          <t>F0252</t>
        </is>
      </c>
    </row>
    <row r="5503">
      <c r="A5503" t="inlineStr">
        <is>
          <t>Troy Ian Hall</t>
        </is>
      </c>
      <c r="B5503" t="n">
        <v>1</v>
      </c>
      <c r="C5503" t="n">
        <v>2017</v>
      </c>
      <c r="D5503" t="n">
        <v>2017</v>
      </c>
      <c r="E5503" t="inlineStr">
        <is>
          <t>Pitch Perfect 3</t>
        </is>
      </c>
      <c r="F5503" t="inlineStr">
        <is>
          <t>F0252</t>
        </is>
      </c>
    </row>
    <row r="5504">
      <c r="A5504" t="inlineStr">
        <is>
          <t>Jessica Chaffin</t>
        </is>
      </c>
      <c r="B5504" t="n">
        <v>2</v>
      </c>
      <c r="C5504" t="n">
        <v>2015</v>
      </c>
      <c r="D5504" t="n">
        <v>2017</v>
      </c>
      <c r="E5504" t="inlineStr">
        <is>
          <t>Pitch Perfect 3, Spy</t>
        </is>
      </c>
      <c r="F5504" t="inlineStr">
        <is>
          <t>F0252, F0290</t>
        </is>
      </c>
    </row>
    <row r="5505">
      <c r="A5505" t="inlineStr">
        <is>
          <t>Hannah Fairlight</t>
        </is>
      </c>
      <c r="B5505" t="n">
        <v>1</v>
      </c>
      <c r="C5505" t="n">
        <v>2017</v>
      </c>
      <c r="D5505" t="n">
        <v>2017</v>
      </c>
      <c r="E5505" t="inlineStr">
        <is>
          <t>Pitch Perfect 3</t>
        </is>
      </c>
      <c r="F5505" t="inlineStr">
        <is>
          <t>F0252</t>
        </is>
      </c>
    </row>
    <row r="5506">
      <c r="A5506" t="inlineStr">
        <is>
          <t>Trinidad James</t>
        </is>
      </c>
      <c r="B5506" t="n">
        <v>1</v>
      </c>
      <c r="C5506" t="n">
        <v>2017</v>
      </c>
      <c r="D5506" t="n">
        <v>2017</v>
      </c>
      <c r="E5506" t="inlineStr">
        <is>
          <t>Pitch Perfect 3</t>
        </is>
      </c>
      <c r="F5506" t="inlineStr">
        <is>
          <t>F0252</t>
        </is>
      </c>
    </row>
    <row r="5507">
      <c r="A5507" t="inlineStr">
        <is>
          <t>Christopher Gordon</t>
        </is>
      </c>
      <c r="B5507" t="n">
        <v>1</v>
      </c>
      <c r="C5507" t="n">
        <v>2011</v>
      </c>
      <c r="D5507" t="n">
        <v>2011</v>
      </c>
      <c r="E5507" t="inlineStr">
        <is>
          <t>Rise of the Planet of the Apes</t>
        </is>
      </c>
      <c r="F5507" t="inlineStr">
        <is>
          <t>F0253</t>
        </is>
      </c>
    </row>
    <row r="5508">
      <c r="A5508" t="inlineStr">
        <is>
          <t>Richard Ridings</t>
        </is>
      </c>
      <c r="B5508" t="n">
        <v>1</v>
      </c>
      <c r="C5508" t="n">
        <v>2011</v>
      </c>
      <c r="D5508" t="n">
        <v>2011</v>
      </c>
      <c r="E5508" t="inlineStr">
        <is>
          <t>Rise of the Planet of the Apes</t>
        </is>
      </c>
      <c r="F5508" t="inlineStr">
        <is>
          <t>F0253</t>
        </is>
      </c>
    </row>
    <row r="5509">
      <c r="A5509" t="inlineStr">
        <is>
          <t>Devyn Dalton</t>
        </is>
      </c>
      <c r="B5509" t="n">
        <v>2</v>
      </c>
      <c r="C5509" t="n">
        <v>2011</v>
      </c>
      <c r="D5509" t="n">
        <v>2017</v>
      </c>
      <c r="E5509" t="inlineStr">
        <is>
          <t>Rise of the Planet of the Apes, War for the Planet of the Apes</t>
        </is>
      </c>
      <c r="F5509" t="inlineStr">
        <is>
          <t>F0253, F0255</t>
        </is>
      </c>
    </row>
    <row r="5510">
      <c r="A5510" t="inlineStr">
        <is>
          <t>Jay Caputo</t>
        </is>
      </c>
      <c r="B5510" t="n">
        <v>1</v>
      </c>
      <c r="C5510" t="n">
        <v>2011</v>
      </c>
      <c r="D5510" t="n">
        <v>2011</v>
      </c>
      <c r="E5510" t="inlineStr">
        <is>
          <t>Rise of the Planet of the Apes</t>
        </is>
      </c>
      <c r="F5510" t="inlineStr">
        <is>
          <t>F0253</t>
        </is>
      </c>
    </row>
    <row r="5511">
      <c r="A5511" t="inlineStr">
        <is>
          <t>David Hewlett</t>
        </is>
      </c>
      <c r="B5511" t="n">
        <v>1</v>
      </c>
      <c r="C5511" t="n">
        <v>2011</v>
      </c>
      <c r="D5511" t="n">
        <v>2011</v>
      </c>
      <c r="E5511" t="inlineStr">
        <is>
          <t>Rise of the Planet of the Apes</t>
        </is>
      </c>
      <c r="F5511" t="inlineStr">
        <is>
          <t>F0253</t>
        </is>
      </c>
    </row>
    <row r="5512">
      <c r="A5512" t="inlineStr">
        <is>
          <t>Jamie Harris</t>
        </is>
      </c>
      <c r="B5512" t="n">
        <v>2</v>
      </c>
      <c r="C5512" t="n">
        <v>2006</v>
      </c>
      <c r="D5512" t="n">
        <v>2011</v>
      </c>
      <c r="E5512" t="inlineStr">
        <is>
          <t>Rise of the Planet of the Apes, The Prestige</t>
        </is>
      </c>
      <c r="F5512" t="inlineStr">
        <is>
          <t>F0253, F0257</t>
        </is>
      </c>
    </row>
    <row r="5513">
      <c r="A5513" t="inlineStr">
        <is>
          <t>Joey Roche</t>
        </is>
      </c>
      <c r="B5513" t="n">
        <v>1</v>
      </c>
      <c r="C5513" t="n">
        <v>2011</v>
      </c>
      <c r="D5513" t="n">
        <v>2011</v>
      </c>
      <c r="E5513" t="inlineStr">
        <is>
          <t>Rise of the Planet of the Apes</t>
        </is>
      </c>
      <c r="F5513" t="inlineStr">
        <is>
          <t>F0253</t>
        </is>
      </c>
    </row>
    <row r="5514">
      <c r="A5514" t="inlineStr">
        <is>
          <t>Madison Bell</t>
        </is>
      </c>
      <c r="B5514" t="n">
        <v>1</v>
      </c>
      <c r="C5514" t="n">
        <v>2011</v>
      </c>
      <c r="D5514" t="n">
        <v>2011</v>
      </c>
      <c r="E5514" t="inlineStr">
        <is>
          <t>Rise of the Planet of the Apes</t>
        </is>
      </c>
      <c r="F5514" t="inlineStr">
        <is>
          <t>F0253</t>
        </is>
      </c>
    </row>
    <row r="5515">
      <c r="A5515" t="inlineStr">
        <is>
          <t>Makena Joy</t>
        </is>
      </c>
      <c r="B5515" t="n">
        <v>1</v>
      </c>
      <c r="C5515" t="n">
        <v>2011</v>
      </c>
      <c r="D5515" t="n">
        <v>2011</v>
      </c>
      <c r="E5515" t="inlineStr">
        <is>
          <t>Rise of the Planet of the Apes</t>
        </is>
      </c>
      <c r="F5515" t="inlineStr">
        <is>
          <t>F0253</t>
        </is>
      </c>
    </row>
    <row r="5516">
      <c r="A5516" t="inlineStr">
        <is>
          <t>Kevin O'Grady</t>
        </is>
      </c>
      <c r="B5516" t="n">
        <v>1</v>
      </c>
      <c r="C5516" t="n">
        <v>2011</v>
      </c>
      <c r="D5516" t="n">
        <v>2011</v>
      </c>
      <c r="E5516" t="inlineStr">
        <is>
          <t>Rise of the Planet of the Apes</t>
        </is>
      </c>
      <c r="F5516" t="inlineStr">
        <is>
          <t>F0253</t>
        </is>
      </c>
    </row>
    <row r="5517">
      <c r="A5517" t="inlineStr">
        <is>
          <t>Sean Tyson</t>
        </is>
      </c>
      <c r="B5517" t="n">
        <v>1</v>
      </c>
      <c r="C5517" t="n">
        <v>2011</v>
      </c>
      <c r="D5517" t="n">
        <v>2011</v>
      </c>
      <c r="E5517" t="inlineStr">
        <is>
          <t>Rise of the Planet of the Apes</t>
        </is>
      </c>
      <c r="F5517" t="inlineStr">
        <is>
          <t>F0253</t>
        </is>
      </c>
    </row>
    <row r="5518">
      <c r="A5518" t="inlineStr">
        <is>
          <t xml:space="preserve">Anthony McRae </t>
        </is>
      </c>
      <c r="B5518" t="n">
        <v>1</v>
      </c>
      <c r="C5518" t="n">
        <v>2011</v>
      </c>
      <c r="D5518" t="n">
        <v>2011</v>
      </c>
      <c r="E5518" t="inlineStr">
        <is>
          <t>Rise of the Planet of the Apes</t>
        </is>
      </c>
      <c r="F5518" t="inlineStr">
        <is>
          <t>F0253</t>
        </is>
      </c>
    </row>
    <row r="5519">
      <c r="A5519" t="inlineStr">
        <is>
          <t>Jesse Reid</t>
        </is>
      </c>
      <c r="B5519" t="n">
        <v>1</v>
      </c>
      <c r="C5519" t="n">
        <v>2011</v>
      </c>
      <c r="D5519" t="n">
        <v>2011</v>
      </c>
      <c r="E5519" t="inlineStr">
        <is>
          <t>Rise of the Planet of the Apes</t>
        </is>
      </c>
      <c r="F5519" t="inlineStr">
        <is>
          <t>F0253</t>
        </is>
      </c>
    </row>
    <row r="5520">
      <c r="A5520" t="inlineStr">
        <is>
          <t>BJ Harrison</t>
        </is>
      </c>
      <c r="B5520" t="n">
        <v>1</v>
      </c>
      <c r="C5520" t="n">
        <v>2011</v>
      </c>
      <c r="D5520" t="n">
        <v>2011</v>
      </c>
      <c r="E5520" t="inlineStr">
        <is>
          <t>Rise of the Planet of the Apes</t>
        </is>
      </c>
      <c r="F5520" t="inlineStr">
        <is>
          <t>F0253</t>
        </is>
      </c>
    </row>
    <row r="5521">
      <c r="A5521" t="inlineStr">
        <is>
          <t>Leah Gibson</t>
        </is>
      </c>
      <c r="B5521" t="n">
        <v>1</v>
      </c>
      <c r="C5521" t="n">
        <v>2011</v>
      </c>
      <c r="D5521" t="n">
        <v>2011</v>
      </c>
      <c r="E5521" t="inlineStr">
        <is>
          <t>Rise of the Planet of the Apes</t>
        </is>
      </c>
      <c r="F5521" t="inlineStr">
        <is>
          <t>F0253</t>
        </is>
      </c>
    </row>
    <row r="5522">
      <c r="A5522" t="inlineStr">
        <is>
          <t>Tracy Spiridakos</t>
        </is>
      </c>
      <c r="B5522" t="n">
        <v>1</v>
      </c>
      <c r="C5522" t="n">
        <v>2011</v>
      </c>
      <c r="D5522" t="n">
        <v>2011</v>
      </c>
      <c r="E5522" t="inlineStr">
        <is>
          <t>Rise of the Planet of the Apes</t>
        </is>
      </c>
      <c r="F5522" t="inlineStr">
        <is>
          <t>F0253</t>
        </is>
      </c>
    </row>
    <row r="5523">
      <c r="A5523" t="inlineStr">
        <is>
          <t>Ivan Wanis-Ruiz</t>
        </is>
      </c>
      <c r="B5523" t="n">
        <v>1</v>
      </c>
      <c r="C5523" t="n">
        <v>2011</v>
      </c>
      <c r="D5523" t="n">
        <v>2011</v>
      </c>
      <c r="E5523" t="inlineStr">
        <is>
          <t>Rise of the Planet of the Apes</t>
        </is>
      </c>
      <c r="F5523" t="inlineStr">
        <is>
          <t>F0253</t>
        </is>
      </c>
    </row>
    <row r="5524">
      <c r="A5524" t="inlineStr">
        <is>
          <t>Trevor Carroll</t>
        </is>
      </c>
      <c r="B5524" t="n">
        <v>1</v>
      </c>
      <c r="C5524" t="n">
        <v>2011</v>
      </c>
      <c r="D5524" t="n">
        <v>2011</v>
      </c>
      <c r="E5524" t="inlineStr">
        <is>
          <t>Rise of the Planet of the Apes</t>
        </is>
      </c>
      <c r="F5524" t="inlineStr">
        <is>
          <t>F0253</t>
        </is>
      </c>
    </row>
    <row r="5525">
      <c r="A5525" t="inlineStr">
        <is>
          <t>Kodi Smit-McPhee</t>
        </is>
      </c>
      <c r="B5525" t="n">
        <v>2</v>
      </c>
      <c r="C5525" t="n">
        <v>2014</v>
      </c>
      <c r="D5525" t="n">
        <v>2016</v>
      </c>
      <c r="E5525" t="inlineStr">
        <is>
          <t>Dawn of the Planet of the Apes, X-Men: Apocalypse</t>
        </is>
      </c>
      <c r="F5525" t="inlineStr">
        <is>
          <t>F0254, F0342</t>
        </is>
      </c>
    </row>
    <row r="5526">
      <c r="A5526" t="inlineStr">
        <is>
          <t>Nick Thurston</t>
        </is>
      </c>
      <c r="B5526" t="n">
        <v>1</v>
      </c>
      <c r="C5526" t="n">
        <v>2014</v>
      </c>
      <c r="D5526" t="n">
        <v>2014</v>
      </c>
      <c r="E5526" t="inlineStr">
        <is>
          <t>Dawn of the Planet of the Apes</t>
        </is>
      </c>
      <c r="F5526" t="inlineStr">
        <is>
          <t>F0254</t>
        </is>
      </c>
    </row>
    <row r="5527">
      <c r="A5527" t="inlineStr">
        <is>
          <t>Doc Shaw</t>
        </is>
      </c>
      <c r="B5527" t="n">
        <v>1</v>
      </c>
      <c r="C5527" t="n">
        <v>2014</v>
      </c>
      <c r="D5527" t="n">
        <v>2014</v>
      </c>
      <c r="E5527" t="inlineStr">
        <is>
          <t>Dawn of the Planet of the Apes</t>
        </is>
      </c>
      <c r="F5527" t="inlineStr">
        <is>
          <t>F0254</t>
        </is>
      </c>
    </row>
    <row r="5528">
      <c r="A5528" t="inlineStr">
        <is>
          <t>Lee Ross</t>
        </is>
      </c>
      <c r="B5528" t="n">
        <v>1</v>
      </c>
      <c r="C5528" t="n">
        <v>2014</v>
      </c>
      <c r="D5528" t="n">
        <v>2014</v>
      </c>
      <c r="E5528" t="inlineStr">
        <is>
          <t>Dawn of the Planet of the Apes</t>
        </is>
      </c>
      <c r="F5528" t="inlineStr">
        <is>
          <t>F0254</t>
        </is>
      </c>
    </row>
    <row r="5529">
      <c r="A5529" t="inlineStr">
        <is>
          <t>Richard King</t>
        </is>
      </c>
      <c r="B5529" t="n">
        <v>1</v>
      </c>
      <c r="C5529" t="n">
        <v>2014</v>
      </c>
      <c r="D5529" t="n">
        <v>2014</v>
      </c>
      <c r="E5529" t="inlineStr">
        <is>
          <t>Dawn of the Planet of the Apes</t>
        </is>
      </c>
      <c r="F5529" t="inlineStr">
        <is>
          <t>F0254</t>
        </is>
      </c>
    </row>
    <row r="5530">
      <c r="A5530" t="inlineStr">
        <is>
          <t>Scott Lang</t>
        </is>
      </c>
      <c r="B5530" t="n">
        <v>1</v>
      </c>
      <c r="C5530" t="n">
        <v>2014</v>
      </c>
      <c r="D5530" t="n">
        <v>2014</v>
      </c>
      <c r="E5530" t="inlineStr">
        <is>
          <t>Dawn of the Planet of the Apes</t>
        </is>
      </c>
      <c r="F5530" t="inlineStr">
        <is>
          <t>F0254</t>
        </is>
      </c>
    </row>
    <row r="5531">
      <c r="A5531" t="inlineStr">
        <is>
          <t>Kirk Acevedo</t>
        </is>
      </c>
      <c r="B5531" t="n">
        <v>1</v>
      </c>
      <c r="C5531" t="n">
        <v>2014</v>
      </c>
      <c r="D5531" t="n">
        <v>2014</v>
      </c>
      <c r="E5531" t="inlineStr">
        <is>
          <t>Dawn of the Planet of the Apes</t>
        </is>
      </c>
      <c r="F5531" t="inlineStr">
        <is>
          <t>F0254</t>
        </is>
      </c>
    </row>
    <row r="5532">
      <c r="A5532" t="inlineStr">
        <is>
          <t>Jon Eyez</t>
        </is>
      </c>
      <c r="B5532" t="n">
        <v>1</v>
      </c>
      <c r="C5532" t="n">
        <v>2014</v>
      </c>
      <c r="D5532" t="n">
        <v>2014</v>
      </c>
      <c r="E5532" t="inlineStr">
        <is>
          <t>Dawn of the Planet of the Apes</t>
        </is>
      </c>
      <c r="F5532" t="inlineStr">
        <is>
          <t>F0254</t>
        </is>
      </c>
    </row>
    <row r="5533">
      <c r="A5533" t="inlineStr">
        <is>
          <t>Keir O'Donnell</t>
        </is>
      </c>
      <c r="B5533" t="n">
        <v>1</v>
      </c>
      <c r="C5533" t="n">
        <v>2014</v>
      </c>
      <c r="D5533" t="n">
        <v>2014</v>
      </c>
      <c r="E5533" t="inlineStr">
        <is>
          <t>Dawn of the Planet of the Apes</t>
        </is>
      </c>
      <c r="F5533" t="inlineStr">
        <is>
          <t>F0254</t>
        </is>
      </c>
    </row>
    <row r="5534">
      <c r="A5534" t="inlineStr">
        <is>
          <t>Kevin Rankin</t>
        </is>
      </c>
      <c r="B5534" t="n">
        <v>2</v>
      </c>
      <c r="C5534" t="n">
        <v>2013</v>
      </c>
      <c r="D5534" t="n">
        <v>2014</v>
      </c>
      <c r="E5534" t="inlineStr">
        <is>
          <t>Dawn of the Planet of the Apes, White House Down</t>
        </is>
      </c>
      <c r="F5534" t="inlineStr">
        <is>
          <t>F0254, F0335</t>
        </is>
      </c>
    </row>
    <row r="5535">
      <c r="A5535" t="inlineStr">
        <is>
          <t>Jocko Sims</t>
        </is>
      </c>
      <c r="B5535" t="n">
        <v>1</v>
      </c>
      <c r="C5535" t="n">
        <v>2014</v>
      </c>
      <c r="D5535" t="n">
        <v>2014</v>
      </c>
      <c r="E5535" t="inlineStr">
        <is>
          <t>Dawn of the Planet of the Apes</t>
        </is>
      </c>
      <c r="F5535" t="inlineStr">
        <is>
          <t>F0254</t>
        </is>
      </c>
    </row>
    <row r="5536">
      <c r="A5536" t="inlineStr">
        <is>
          <t>Matthew James</t>
        </is>
      </c>
      <c r="B5536" t="n">
        <v>1</v>
      </c>
      <c r="C5536" t="n">
        <v>2014</v>
      </c>
      <c r="D5536" t="n">
        <v>2014</v>
      </c>
      <c r="E5536" t="inlineStr">
        <is>
          <t>Dawn of the Planet of the Apes</t>
        </is>
      </c>
      <c r="F5536" t="inlineStr">
        <is>
          <t>F0254</t>
        </is>
      </c>
    </row>
    <row r="5537">
      <c r="A5537" t="inlineStr">
        <is>
          <t>Deneen Tyler</t>
        </is>
      </c>
      <c r="B5537" t="n">
        <v>1</v>
      </c>
      <c r="C5537" t="n">
        <v>2014</v>
      </c>
      <c r="D5537" t="n">
        <v>2014</v>
      </c>
      <c r="E5537" t="inlineStr">
        <is>
          <t>Dawn of the Planet of the Apes</t>
        </is>
      </c>
      <c r="F5537" t="inlineStr">
        <is>
          <t>F0254</t>
        </is>
      </c>
    </row>
    <row r="5538">
      <c r="A5538" t="inlineStr">
        <is>
          <t>Mike Seal</t>
        </is>
      </c>
      <c r="B5538" t="n">
        <v>1</v>
      </c>
      <c r="C5538" t="n">
        <v>2014</v>
      </c>
      <c r="D5538" t="n">
        <v>2014</v>
      </c>
      <c r="E5538" t="inlineStr">
        <is>
          <t>Dawn of the Planet of the Apes</t>
        </is>
      </c>
      <c r="F5538" t="inlineStr">
        <is>
          <t>F0254</t>
        </is>
      </c>
    </row>
    <row r="5539">
      <c r="A5539" t="inlineStr">
        <is>
          <t>Chase Boltin</t>
        </is>
      </c>
      <c r="B5539" t="n">
        <v>1</v>
      </c>
      <c r="C5539" t="n">
        <v>2014</v>
      </c>
      <c r="D5539" t="n">
        <v>2014</v>
      </c>
      <c r="E5539" t="inlineStr">
        <is>
          <t>Dawn of the Planet of the Apes</t>
        </is>
      </c>
      <c r="F5539" t="inlineStr">
        <is>
          <t>F0254</t>
        </is>
      </c>
    </row>
    <row r="5540">
      <c r="A5540" t="inlineStr">
        <is>
          <t>Amiah Miller</t>
        </is>
      </c>
      <c r="B5540" t="n">
        <v>1</v>
      </c>
      <c r="C5540" t="n">
        <v>2017</v>
      </c>
      <c r="D5540" t="n">
        <v>2017</v>
      </c>
      <c r="E5540" t="inlineStr">
        <is>
          <t>War for the Planet of the Apes</t>
        </is>
      </c>
      <c r="F5540" t="inlineStr">
        <is>
          <t>F0255</t>
        </is>
      </c>
    </row>
    <row r="5541">
      <c r="A5541" t="inlineStr">
        <is>
          <t>Gabriel Chavarria</t>
        </is>
      </c>
      <c r="B5541" t="n">
        <v>1</v>
      </c>
      <c r="C5541" t="n">
        <v>2017</v>
      </c>
      <c r="D5541" t="n">
        <v>2017</v>
      </c>
      <c r="E5541" t="inlineStr">
        <is>
          <t>War for the Planet of the Apes</t>
        </is>
      </c>
      <c r="F5541" t="inlineStr">
        <is>
          <t>F0255</t>
        </is>
      </c>
    </row>
    <row r="5542">
      <c r="A5542" t="inlineStr">
        <is>
          <t>Sara Canning</t>
        </is>
      </c>
      <c r="B5542" t="n">
        <v>1</v>
      </c>
      <c r="C5542" t="n">
        <v>2017</v>
      </c>
      <c r="D5542" t="n">
        <v>2017</v>
      </c>
      <c r="E5542" t="inlineStr">
        <is>
          <t>War for the Planet of the Apes</t>
        </is>
      </c>
      <c r="F5542" t="inlineStr">
        <is>
          <t>F0255</t>
        </is>
      </c>
    </row>
    <row r="5543">
      <c r="A5543" t="inlineStr">
        <is>
          <t>Aleks Paunovic</t>
        </is>
      </c>
      <c r="B5543" t="n">
        <v>1</v>
      </c>
      <c r="C5543" t="n">
        <v>2017</v>
      </c>
      <c r="D5543" t="n">
        <v>2017</v>
      </c>
      <c r="E5543" t="inlineStr">
        <is>
          <t>War for the Planet of the Apes</t>
        </is>
      </c>
      <c r="F5543" t="inlineStr">
        <is>
          <t>F0255</t>
        </is>
      </c>
    </row>
    <row r="5544">
      <c r="A5544" t="inlineStr">
        <is>
          <t>Alessandro Juliani</t>
        </is>
      </c>
      <c r="B5544" t="n">
        <v>1</v>
      </c>
      <c r="C5544" t="n">
        <v>2017</v>
      </c>
      <c r="D5544" t="n">
        <v>2017</v>
      </c>
      <c r="E5544" t="inlineStr">
        <is>
          <t>War for the Planet of the Apes</t>
        </is>
      </c>
      <c r="F5544" t="inlineStr">
        <is>
          <t>F0255</t>
        </is>
      </c>
    </row>
    <row r="5545">
      <c r="A5545" t="inlineStr">
        <is>
          <t>Max Lloyd-Jones</t>
        </is>
      </c>
      <c r="B5545" t="n">
        <v>1</v>
      </c>
      <c r="C5545" t="n">
        <v>2017</v>
      </c>
      <c r="D5545" t="n">
        <v>2017</v>
      </c>
      <c r="E5545" t="inlineStr">
        <is>
          <t>War for the Planet of the Apes</t>
        </is>
      </c>
      <c r="F5545" t="inlineStr">
        <is>
          <t>F0255</t>
        </is>
      </c>
    </row>
    <row r="5546">
      <c r="A5546" t="inlineStr">
        <is>
          <t>Timothy Webber</t>
        </is>
      </c>
      <c r="B5546" t="n">
        <v>1</v>
      </c>
      <c r="C5546" t="n">
        <v>2017</v>
      </c>
      <c r="D5546" t="n">
        <v>2017</v>
      </c>
      <c r="E5546" t="inlineStr">
        <is>
          <t>War for the Planet of the Apes</t>
        </is>
      </c>
      <c r="F5546" t="inlineStr">
        <is>
          <t>F0255</t>
        </is>
      </c>
    </row>
    <row r="5547">
      <c r="A5547" t="inlineStr">
        <is>
          <t>Lauro David Chartrand-DelValle</t>
        </is>
      </c>
      <c r="B5547" t="n">
        <v>1</v>
      </c>
      <c r="C5547" t="n">
        <v>2017</v>
      </c>
      <c r="D5547" t="n">
        <v>2017</v>
      </c>
      <c r="E5547" t="inlineStr">
        <is>
          <t>War for the Planet of the Apes</t>
        </is>
      </c>
      <c r="F5547" t="inlineStr">
        <is>
          <t>F0255</t>
        </is>
      </c>
    </row>
    <row r="5548">
      <c r="A5548" t="inlineStr">
        <is>
          <t>Shaun Omaid</t>
        </is>
      </c>
      <c r="B5548" t="n">
        <v>1</v>
      </c>
      <c r="C5548" t="n">
        <v>2017</v>
      </c>
      <c r="D5548" t="n">
        <v>2017</v>
      </c>
      <c r="E5548" t="inlineStr">
        <is>
          <t>War for the Planet of the Apes</t>
        </is>
      </c>
      <c r="F5548" t="inlineStr">
        <is>
          <t>F0255</t>
        </is>
      </c>
    </row>
    <row r="5549">
      <c r="A5549" t="inlineStr">
        <is>
          <t>Roger Cross</t>
        </is>
      </c>
      <c r="B5549" t="n">
        <v>2</v>
      </c>
      <c r="C5549" t="n">
        <v>2003</v>
      </c>
      <c r="D5549" t="n">
        <v>2017</v>
      </c>
      <c r="E5549" t="inlineStr">
        <is>
          <t>War for the Planet of the Apes, X2: X-Men United</t>
        </is>
      </c>
      <c r="F5549" t="inlineStr">
        <is>
          <t>F0255, F0345</t>
        </is>
      </c>
    </row>
    <row r="5550">
      <c r="A5550" t="inlineStr">
        <is>
          <t>Mercedes de la Zerda</t>
        </is>
      </c>
      <c r="B5550" t="n">
        <v>1</v>
      </c>
      <c r="C5550" t="n">
        <v>2017</v>
      </c>
      <c r="D5550" t="n">
        <v>2017</v>
      </c>
      <c r="E5550" t="inlineStr">
        <is>
          <t>War for the Planet of the Apes</t>
        </is>
      </c>
      <c r="F5550" t="inlineStr">
        <is>
          <t>F0255</t>
        </is>
      </c>
    </row>
    <row r="5551">
      <c r="A5551" t="inlineStr">
        <is>
          <t>Doug Chapman</t>
        </is>
      </c>
      <c r="B5551" t="n">
        <v>1</v>
      </c>
      <c r="C5551" t="n">
        <v>2017</v>
      </c>
      <c r="D5551" t="n">
        <v>2017</v>
      </c>
      <c r="E5551" t="inlineStr">
        <is>
          <t>War for the Planet of the Apes</t>
        </is>
      </c>
      <c r="F5551" t="inlineStr">
        <is>
          <t>F0255</t>
        </is>
      </c>
    </row>
    <row r="5552">
      <c r="A5552" t="inlineStr">
        <is>
          <t>Chad Rook</t>
        </is>
      </c>
      <c r="B5552" t="n">
        <v>1</v>
      </c>
      <c r="C5552" t="n">
        <v>2017</v>
      </c>
      <c r="D5552" t="n">
        <v>2017</v>
      </c>
      <c r="E5552" t="inlineStr">
        <is>
          <t>War for the Planet of the Apes</t>
        </is>
      </c>
      <c r="F5552" t="inlineStr">
        <is>
          <t>F0255</t>
        </is>
      </c>
    </row>
    <row r="5553">
      <c r="A5553" t="inlineStr">
        <is>
          <t>Dean Redman</t>
        </is>
      </c>
      <c r="B5553" t="n">
        <v>1</v>
      </c>
      <c r="C5553" t="n">
        <v>2017</v>
      </c>
      <c r="D5553" t="n">
        <v>2017</v>
      </c>
      <c r="E5553" t="inlineStr">
        <is>
          <t>War for the Planet of the Apes</t>
        </is>
      </c>
      <c r="F5553" t="inlineStr">
        <is>
          <t>F0255</t>
        </is>
      </c>
    </row>
    <row r="5554">
      <c r="A5554" t="inlineStr">
        <is>
          <t>Steve Baran</t>
        </is>
      </c>
      <c r="B5554" t="n">
        <v>1</v>
      </c>
      <c r="C5554" t="n">
        <v>2017</v>
      </c>
      <c r="D5554" t="n">
        <v>2017</v>
      </c>
      <c r="E5554" t="inlineStr">
        <is>
          <t>War for the Planet of the Apes</t>
        </is>
      </c>
      <c r="F5554" t="inlineStr">
        <is>
          <t>F0255</t>
        </is>
      </c>
    </row>
    <row r="5555">
      <c r="A5555" t="inlineStr">
        <is>
          <t>Sandy Robson</t>
        </is>
      </c>
      <c r="B5555" t="n">
        <v>1</v>
      </c>
      <c r="C5555" t="n">
        <v>2017</v>
      </c>
      <c r="D5555" t="n">
        <v>2017</v>
      </c>
      <c r="E5555" t="inlineStr">
        <is>
          <t>War for the Planet of the Apes</t>
        </is>
      </c>
      <c r="F5555" t="inlineStr">
        <is>
          <t>F0255</t>
        </is>
      </c>
    </row>
    <row r="5556">
      <c r="A5556" t="inlineStr">
        <is>
          <t>Levi Meaden</t>
        </is>
      </c>
      <c r="B5556" t="n">
        <v>1</v>
      </c>
      <c r="C5556" t="n">
        <v>2017</v>
      </c>
      <c r="D5556" t="n">
        <v>2017</v>
      </c>
      <c r="E5556" t="inlineStr">
        <is>
          <t>War for the Planet of the Apes</t>
        </is>
      </c>
      <c r="F5556" t="inlineStr">
        <is>
          <t>F0255</t>
        </is>
      </c>
    </row>
    <row r="5557">
      <c r="A5557" t="inlineStr">
        <is>
          <t>Billy Wickman</t>
        </is>
      </c>
      <c r="B5557" t="n">
        <v>1</v>
      </c>
      <c r="C5557" t="n">
        <v>2017</v>
      </c>
      <c r="D5557" t="n">
        <v>2017</v>
      </c>
      <c r="E5557" t="inlineStr">
        <is>
          <t>War for the Planet of the Apes</t>
        </is>
      </c>
      <c r="F5557" t="inlineStr">
        <is>
          <t>F0255</t>
        </is>
      </c>
    </row>
    <row r="5558">
      <c r="A5558" t="inlineStr">
        <is>
          <t>Albert Nicholas</t>
        </is>
      </c>
      <c r="B5558" t="n">
        <v>1</v>
      </c>
      <c r="C5558" t="n">
        <v>2017</v>
      </c>
      <c r="D5558" t="n">
        <v>2017</v>
      </c>
      <c r="E5558" t="inlineStr">
        <is>
          <t>War for the Planet of the Apes</t>
        </is>
      </c>
      <c r="F5558" t="inlineStr">
        <is>
          <t>F0255</t>
        </is>
      </c>
    </row>
    <row r="5559">
      <c r="A5559" t="inlineStr">
        <is>
          <t>Eka Darville</t>
        </is>
      </c>
      <c r="B5559" t="n">
        <v>1</v>
      </c>
      <c r="C5559" t="n">
        <v>2024</v>
      </c>
      <c r="D5559" t="n">
        <v>2024</v>
      </c>
      <c r="E5559" t="inlineStr">
        <is>
          <t>Kingdom of the Planet of the Apes</t>
        </is>
      </c>
      <c r="F5559" t="inlineStr">
        <is>
          <t>F0256</t>
        </is>
      </c>
    </row>
    <row r="5560">
      <c r="A5560" t="inlineStr">
        <is>
          <t>Travis Jeffery</t>
        </is>
      </c>
      <c r="B5560" t="n">
        <v>1</v>
      </c>
      <c r="C5560" t="n">
        <v>2024</v>
      </c>
      <c r="D5560" t="n">
        <v>2024</v>
      </c>
      <c r="E5560" t="inlineStr">
        <is>
          <t>Kingdom of the Planet of the Apes</t>
        </is>
      </c>
      <c r="F5560" t="inlineStr">
        <is>
          <t>F0256</t>
        </is>
      </c>
    </row>
    <row r="5561">
      <c r="A5561" t="inlineStr">
        <is>
          <t>Lydia Peckham</t>
        </is>
      </c>
      <c r="B5561" t="n">
        <v>1</v>
      </c>
      <c r="C5561" t="n">
        <v>2024</v>
      </c>
      <c r="D5561" t="n">
        <v>2024</v>
      </c>
      <c r="E5561" t="inlineStr">
        <is>
          <t>Kingdom of the Planet of the Apes</t>
        </is>
      </c>
      <c r="F5561" t="inlineStr">
        <is>
          <t>F0256</t>
        </is>
      </c>
    </row>
    <row r="5562">
      <c r="A5562" t="inlineStr">
        <is>
          <t>Neil Sandilands</t>
        </is>
      </c>
      <c r="B5562" t="n">
        <v>1</v>
      </c>
      <c r="C5562" t="n">
        <v>2024</v>
      </c>
      <c r="D5562" t="n">
        <v>2024</v>
      </c>
      <c r="E5562" t="inlineStr">
        <is>
          <t>Kingdom of the Planet of the Apes</t>
        </is>
      </c>
      <c r="F5562" t="inlineStr">
        <is>
          <t>F0256</t>
        </is>
      </c>
    </row>
    <row r="5563">
      <c r="A5563" t="inlineStr">
        <is>
          <t>Ras-Samuel Welda'abzgi</t>
        </is>
      </c>
      <c r="B5563" t="n">
        <v>1</v>
      </c>
      <c r="C5563" t="n">
        <v>2024</v>
      </c>
      <c r="D5563" t="n">
        <v>2024</v>
      </c>
      <c r="E5563" t="inlineStr">
        <is>
          <t>Kingdom of the Planet of the Apes</t>
        </is>
      </c>
      <c r="F5563" t="inlineStr">
        <is>
          <t>F0256</t>
        </is>
      </c>
    </row>
    <row r="5564">
      <c r="A5564" t="inlineStr">
        <is>
          <t>Sara Wiseman</t>
        </is>
      </c>
      <c r="B5564" t="n">
        <v>1</v>
      </c>
      <c r="C5564" t="n">
        <v>2024</v>
      </c>
      <c r="D5564" t="n">
        <v>2024</v>
      </c>
      <c r="E5564" t="inlineStr">
        <is>
          <t>Kingdom of the Planet of the Apes</t>
        </is>
      </c>
      <c r="F5564" t="inlineStr">
        <is>
          <t>F0256</t>
        </is>
      </c>
    </row>
    <row r="5565">
      <c r="A5565" t="inlineStr">
        <is>
          <t>Kaden Hartcher</t>
        </is>
      </c>
      <c r="B5565" t="n">
        <v>1</v>
      </c>
      <c r="C5565" t="n">
        <v>2024</v>
      </c>
      <c r="D5565" t="n">
        <v>2024</v>
      </c>
      <c r="E5565" t="inlineStr">
        <is>
          <t>Kingdom of the Planet of the Apes</t>
        </is>
      </c>
      <c r="F5565" t="inlineStr">
        <is>
          <t>F0256</t>
        </is>
      </c>
    </row>
    <row r="5566">
      <c r="A5566" t="inlineStr">
        <is>
          <t>Andy McPhee</t>
        </is>
      </c>
      <c r="B5566" t="n">
        <v>1</v>
      </c>
      <c r="C5566" t="n">
        <v>2024</v>
      </c>
      <c r="D5566" t="n">
        <v>2024</v>
      </c>
      <c r="E5566" t="inlineStr">
        <is>
          <t>Kingdom of the Planet of the Apes</t>
        </is>
      </c>
      <c r="F5566" t="inlineStr">
        <is>
          <t>F0256</t>
        </is>
      </c>
    </row>
    <row r="5567">
      <c r="A5567" t="inlineStr">
        <is>
          <t>Nina Gallas</t>
        </is>
      </c>
      <c r="B5567" t="n">
        <v>1</v>
      </c>
      <c r="C5567" t="n">
        <v>2024</v>
      </c>
      <c r="D5567" t="n">
        <v>2024</v>
      </c>
      <c r="E5567" t="inlineStr">
        <is>
          <t>Kingdom of the Planet of the Apes</t>
        </is>
      </c>
      <c r="F5567" t="inlineStr">
        <is>
          <t>F0256</t>
        </is>
      </c>
    </row>
    <row r="5568">
      <c r="A5568" t="inlineStr">
        <is>
          <t>Samuel Falé</t>
        </is>
      </c>
      <c r="B5568" t="n">
        <v>1</v>
      </c>
      <c r="C5568" t="n">
        <v>2024</v>
      </c>
      <c r="D5568" t="n">
        <v>2024</v>
      </c>
      <c r="E5568" t="inlineStr">
        <is>
          <t>Kingdom of the Planet of the Apes</t>
        </is>
      </c>
      <c r="F5568" t="inlineStr">
        <is>
          <t>F0256</t>
        </is>
      </c>
    </row>
    <row r="5569">
      <c r="A5569" t="inlineStr">
        <is>
          <t>Virginie Laverdure</t>
        </is>
      </c>
      <c r="B5569" t="n">
        <v>1</v>
      </c>
      <c r="C5569" t="n">
        <v>2024</v>
      </c>
      <c r="D5569" t="n">
        <v>2024</v>
      </c>
      <c r="E5569" t="inlineStr">
        <is>
          <t>Kingdom of the Planet of the Apes</t>
        </is>
      </c>
      <c r="F5569" t="inlineStr">
        <is>
          <t>F0256</t>
        </is>
      </c>
    </row>
    <row r="5570">
      <c r="A5570" t="inlineStr">
        <is>
          <t>Markus Hamilton</t>
        </is>
      </c>
      <c r="B5570" t="n">
        <v>1</v>
      </c>
      <c r="C5570" t="n">
        <v>2024</v>
      </c>
      <c r="D5570" t="n">
        <v>2024</v>
      </c>
      <c r="E5570" t="inlineStr">
        <is>
          <t>Kingdom of the Planet of the Apes</t>
        </is>
      </c>
      <c r="F5570" t="inlineStr">
        <is>
          <t>F0256</t>
        </is>
      </c>
    </row>
    <row r="5571">
      <c r="A5571" t="inlineStr">
        <is>
          <t>Benjamin Scott</t>
        </is>
      </c>
      <c r="B5571" t="n">
        <v>1</v>
      </c>
      <c r="C5571" t="n">
        <v>2024</v>
      </c>
      <c r="D5571" t="n">
        <v>2024</v>
      </c>
      <c r="E5571" t="inlineStr">
        <is>
          <t>Kingdom of the Planet of the Apes</t>
        </is>
      </c>
      <c r="F5571" t="inlineStr">
        <is>
          <t>F0256</t>
        </is>
      </c>
    </row>
    <row r="5572">
      <c r="A5572" t="inlineStr">
        <is>
          <t>Nirish Bhat Surambadka</t>
        </is>
      </c>
      <c r="B5572" t="n">
        <v>1</v>
      </c>
      <c r="C5572" t="n">
        <v>2024</v>
      </c>
      <c r="D5572" t="n">
        <v>2024</v>
      </c>
      <c r="E5572" t="inlineStr">
        <is>
          <t>Kingdom of the Planet of the Apes</t>
        </is>
      </c>
      <c r="F5572" t="inlineStr">
        <is>
          <t>F0256</t>
        </is>
      </c>
    </row>
    <row r="5573">
      <c r="A5573" t="inlineStr">
        <is>
          <t>Frances Berry</t>
        </is>
      </c>
      <c r="B5573" t="n">
        <v>1</v>
      </c>
      <c r="C5573" t="n">
        <v>2024</v>
      </c>
      <c r="D5573" t="n">
        <v>2024</v>
      </c>
      <c r="E5573" t="inlineStr">
        <is>
          <t>Kingdom of the Planet of the Apes</t>
        </is>
      </c>
      <c r="F5573" t="inlineStr">
        <is>
          <t>F0256</t>
        </is>
      </c>
    </row>
    <row r="5574">
      <c r="A5574" t="inlineStr">
        <is>
          <t>Peter Hayes</t>
        </is>
      </c>
      <c r="B5574" t="n">
        <v>1</v>
      </c>
      <c r="C5574" t="n">
        <v>2024</v>
      </c>
      <c r="D5574" t="n">
        <v>2024</v>
      </c>
      <c r="E5574" t="inlineStr">
        <is>
          <t>Kingdom of the Planet of the Apes</t>
        </is>
      </c>
      <c r="F5574" t="inlineStr">
        <is>
          <t>F0256</t>
        </is>
      </c>
    </row>
    <row r="5575">
      <c r="A5575" t="inlineStr">
        <is>
          <t>Sheree da Costa</t>
        </is>
      </c>
      <c r="B5575" t="n">
        <v>1</v>
      </c>
      <c r="C5575" t="n">
        <v>2024</v>
      </c>
      <c r="D5575" t="n">
        <v>2024</v>
      </c>
      <c r="E5575" t="inlineStr">
        <is>
          <t>Kingdom of the Planet of the Apes</t>
        </is>
      </c>
      <c r="F5575" t="inlineStr">
        <is>
          <t>F0256</t>
        </is>
      </c>
    </row>
    <row r="5576">
      <c r="A5576" t="inlineStr">
        <is>
          <t>Souleymane Diasse</t>
        </is>
      </c>
      <c r="B5576" t="n">
        <v>1</v>
      </c>
      <c r="C5576" t="n">
        <v>2024</v>
      </c>
      <c r="D5576" t="n">
        <v>2024</v>
      </c>
      <c r="E5576" t="inlineStr">
        <is>
          <t>Kingdom of the Planet of the Apes</t>
        </is>
      </c>
      <c r="F5576" t="inlineStr">
        <is>
          <t>F0256</t>
        </is>
      </c>
    </row>
    <row r="5577">
      <c r="A5577" t="inlineStr">
        <is>
          <t>Olga Miller</t>
        </is>
      </c>
      <c r="B5577" t="n">
        <v>1</v>
      </c>
      <c r="C5577" t="n">
        <v>2024</v>
      </c>
      <c r="D5577" t="n">
        <v>2024</v>
      </c>
      <c r="E5577" t="inlineStr">
        <is>
          <t>Kingdom of the Planet of the Apes</t>
        </is>
      </c>
      <c r="F5577" t="inlineStr">
        <is>
          <t>F0256</t>
        </is>
      </c>
    </row>
    <row r="5578">
      <c r="A5578" t="inlineStr">
        <is>
          <t>Dmitriy Miller</t>
        </is>
      </c>
      <c r="B5578" t="n">
        <v>1</v>
      </c>
      <c r="C5578" t="n">
        <v>2024</v>
      </c>
      <c r="D5578" t="n">
        <v>2024</v>
      </c>
      <c r="E5578" t="inlineStr">
        <is>
          <t>Kingdom of the Planet of the Apes</t>
        </is>
      </c>
      <c r="F5578" t="inlineStr">
        <is>
          <t>F0256</t>
        </is>
      </c>
    </row>
    <row r="5579">
      <c r="A5579" t="inlineStr">
        <is>
          <t>Anastasia Miller</t>
        </is>
      </c>
      <c r="B5579" t="n">
        <v>1</v>
      </c>
      <c r="C5579" t="n">
        <v>2024</v>
      </c>
      <c r="D5579" t="n">
        <v>2024</v>
      </c>
      <c r="E5579" t="inlineStr">
        <is>
          <t>Kingdom of the Planet of the Apes</t>
        </is>
      </c>
      <c r="F5579" t="inlineStr">
        <is>
          <t>F0256</t>
        </is>
      </c>
    </row>
    <row r="5580">
      <c r="A5580" t="inlineStr">
        <is>
          <t>Michael Spudic</t>
        </is>
      </c>
      <c r="B5580" t="n">
        <v>1</v>
      </c>
      <c r="C5580" t="n">
        <v>2024</v>
      </c>
      <c r="D5580" t="n">
        <v>2024</v>
      </c>
      <c r="E5580" t="inlineStr">
        <is>
          <t>Kingdom of the Planet of the Apes</t>
        </is>
      </c>
      <c r="F5580" t="inlineStr">
        <is>
          <t>F0256</t>
        </is>
      </c>
    </row>
    <row r="5581">
      <c r="A5581" t="inlineStr">
        <is>
          <t>Samantha Mahurin</t>
        </is>
      </c>
      <c r="B5581" t="n">
        <v>1</v>
      </c>
      <c r="C5581" t="n">
        <v>2006</v>
      </c>
      <c r="D5581" t="n">
        <v>2006</v>
      </c>
      <c r="E5581" t="inlineStr">
        <is>
          <t>The Prestige</t>
        </is>
      </c>
      <c r="F5581" t="inlineStr">
        <is>
          <t>F0257</t>
        </is>
      </c>
    </row>
    <row r="5582">
      <c r="A5582" t="inlineStr">
        <is>
          <t>David Bowie</t>
        </is>
      </c>
      <c r="B5582" t="n">
        <v>1</v>
      </c>
      <c r="C5582" t="n">
        <v>2006</v>
      </c>
      <c r="D5582" t="n">
        <v>2006</v>
      </c>
      <c r="E5582" t="inlineStr">
        <is>
          <t>The Prestige</t>
        </is>
      </c>
      <c r="F5582" t="inlineStr">
        <is>
          <t>F0257</t>
        </is>
      </c>
    </row>
    <row r="5583">
      <c r="A5583" t="inlineStr">
        <is>
          <t>Daniel Davis</t>
        </is>
      </c>
      <c r="B5583" t="n">
        <v>1</v>
      </c>
      <c r="C5583" t="n">
        <v>2006</v>
      </c>
      <c r="D5583" t="n">
        <v>2006</v>
      </c>
      <c r="E5583" t="inlineStr">
        <is>
          <t>The Prestige</t>
        </is>
      </c>
      <c r="F5583" t="inlineStr">
        <is>
          <t>F0257</t>
        </is>
      </c>
    </row>
    <row r="5584">
      <c r="A5584" t="inlineStr">
        <is>
          <t>Jim Piddock</t>
        </is>
      </c>
      <c r="B5584" t="n">
        <v>1</v>
      </c>
      <c r="C5584" t="n">
        <v>2006</v>
      </c>
      <c r="D5584" t="n">
        <v>2006</v>
      </c>
      <c r="E5584" t="inlineStr">
        <is>
          <t>The Prestige</t>
        </is>
      </c>
      <c r="F5584" t="inlineStr">
        <is>
          <t>F0257</t>
        </is>
      </c>
    </row>
    <row r="5585">
      <c r="A5585" t="inlineStr">
        <is>
          <t>Christopher Neame</t>
        </is>
      </c>
      <c r="B5585" t="n">
        <v>1</v>
      </c>
      <c r="C5585" t="n">
        <v>2006</v>
      </c>
      <c r="D5585" t="n">
        <v>2006</v>
      </c>
      <c r="E5585" t="inlineStr">
        <is>
          <t>The Prestige</t>
        </is>
      </c>
      <c r="F5585" t="inlineStr">
        <is>
          <t>F0257</t>
        </is>
      </c>
    </row>
    <row r="5586">
      <c r="A5586" t="inlineStr">
        <is>
          <t>Roger Rees</t>
        </is>
      </c>
      <c r="B5586" t="n">
        <v>1</v>
      </c>
      <c r="C5586" t="n">
        <v>2006</v>
      </c>
      <c r="D5586" t="n">
        <v>2006</v>
      </c>
      <c r="E5586" t="inlineStr">
        <is>
          <t>The Prestige</t>
        </is>
      </c>
      <c r="F5586" t="inlineStr">
        <is>
          <t>F0257</t>
        </is>
      </c>
    </row>
    <row r="5587">
      <c r="A5587" t="inlineStr">
        <is>
          <t>Monty Stuart</t>
        </is>
      </c>
      <c r="B5587" t="n">
        <v>1</v>
      </c>
      <c r="C5587" t="n">
        <v>2006</v>
      </c>
      <c r="D5587" t="n">
        <v>2006</v>
      </c>
      <c r="E5587" t="inlineStr">
        <is>
          <t>The Prestige</t>
        </is>
      </c>
      <c r="F5587" t="inlineStr">
        <is>
          <t>F0257</t>
        </is>
      </c>
    </row>
    <row r="5588">
      <c r="A5588" t="inlineStr">
        <is>
          <t>Ron Perkins</t>
        </is>
      </c>
      <c r="B5588" t="n">
        <v>2</v>
      </c>
      <c r="C5588" t="n">
        <v>2002</v>
      </c>
      <c r="D5588" t="n">
        <v>2006</v>
      </c>
      <c r="E5588" t="inlineStr">
        <is>
          <t>The Prestige, Spider-Man</t>
        </is>
      </c>
      <c r="F5588" t="inlineStr">
        <is>
          <t>F0257, F0287</t>
        </is>
      </c>
    </row>
    <row r="5589">
      <c r="A5589" t="inlineStr">
        <is>
          <t>Ricky Jay</t>
        </is>
      </c>
      <c r="B5589" t="n">
        <v>1</v>
      </c>
      <c r="C5589" t="n">
        <v>2006</v>
      </c>
      <c r="D5589" t="n">
        <v>2006</v>
      </c>
      <c r="E5589" t="inlineStr">
        <is>
          <t>The Prestige</t>
        </is>
      </c>
      <c r="F5589" t="inlineStr">
        <is>
          <t>F0257</t>
        </is>
      </c>
    </row>
    <row r="5590">
      <c r="A5590" t="inlineStr">
        <is>
          <t>J. Paul Moore</t>
        </is>
      </c>
      <c r="B5590" t="n">
        <v>1</v>
      </c>
      <c r="C5590" t="n">
        <v>2006</v>
      </c>
      <c r="D5590" t="n">
        <v>2006</v>
      </c>
      <c r="E5590" t="inlineStr">
        <is>
          <t>The Prestige</t>
        </is>
      </c>
      <c r="F5590" t="inlineStr">
        <is>
          <t>F0257</t>
        </is>
      </c>
    </row>
    <row r="5591">
      <c r="A5591" t="inlineStr">
        <is>
          <t>Anthony De Marco</t>
        </is>
      </c>
      <c r="B5591" t="n">
        <v>1</v>
      </c>
      <c r="C5591" t="n">
        <v>2006</v>
      </c>
      <c r="D5591" t="n">
        <v>2006</v>
      </c>
      <c r="E5591" t="inlineStr">
        <is>
          <t>The Prestige</t>
        </is>
      </c>
      <c r="F5591" t="inlineStr">
        <is>
          <t>F0257</t>
        </is>
      </c>
    </row>
    <row r="5592">
      <c r="A5592" t="inlineStr">
        <is>
          <t>Chao Li Chi</t>
        </is>
      </c>
      <c r="B5592" t="n">
        <v>1</v>
      </c>
      <c r="C5592" t="n">
        <v>2006</v>
      </c>
      <c r="D5592" t="n">
        <v>2006</v>
      </c>
      <c r="E5592" t="inlineStr">
        <is>
          <t>The Prestige</t>
        </is>
      </c>
      <c r="F5592" t="inlineStr">
        <is>
          <t>F0257</t>
        </is>
      </c>
    </row>
    <row r="5593">
      <c r="A5593" t="inlineStr">
        <is>
          <t>Gregory Humphreys</t>
        </is>
      </c>
      <c r="B5593" t="n">
        <v>1</v>
      </c>
      <c r="C5593" t="n">
        <v>2006</v>
      </c>
      <c r="D5593" t="n">
        <v>2006</v>
      </c>
      <c r="E5593" t="inlineStr">
        <is>
          <t>The Prestige</t>
        </is>
      </c>
      <c r="F5593" t="inlineStr">
        <is>
          <t>F0257</t>
        </is>
      </c>
    </row>
    <row r="5594">
      <c r="A5594" t="inlineStr">
        <is>
          <t>John B. Crye</t>
        </is>
      </c>
      <c r="B5594" t="n">
        <v>1</v>
      </c>
      <c r="C5594" t="n">
        <v>2006</v>
      </c>
      <c r="D5594" t="n">
        <v>2006</v>
      </c>
      <c r="E5594" t="inlineStr">
        <is>
          <t>The Prestige</t>
        </is>
      </c>
      <c r="F5594" t="inlineStr">
        <is>
          <t>F0257</t>
        </is>
      </c>
    </row>
    <row r="5595">
      <c r="A5595" t="inlineStr">
        <is>
          <t>William Morgan Sheppard</t>
        </is>
      </c>
      <c r="B5595" t="n">
        <v>2</v>
      </c>
      <c r="C5595" t="n">
        <v>2006</v>
      </c>
      <c r="D5595" t="n">
        <v>2007</v>
      </c>
      <c r="E5595" t="inlineStr">
        <is>
          <t>The Prestige, Transformers</t>
        </is>
      </c>
      <c r="F5595" t="inlineStr">
        <is>
          <t>F0257, F0316</t>
        </is>
      </c>
    </row>
    <row r="5596">
      <c r="A5596" t="inlineStr">
        <is>
          <t>Sean Howse</t>
        </is>
      </c>
      <c r="B5596" t="n">
        <v>1</v>
      </c>
      <c r="C5596" t="n">
        <v>2006</v>
      </c>
      <c r="D5596" t="n">
        <v>2006</v>
      </c>
      <c r="E5596" t="inlineStr">
        <is>
          <t>The Prestige</t>
        </is>
      </c>
      <c r="F5596" t="inlineStr">
        <is>
          <t>F0257</t>
        </is>
      </c>
    </row>
    <row r="5597">
      <c r="A5597" t="inlineStr">
        <is>
          <t>Julia Sanford</t>
        </is>
      </c>
      <c r="B5597" t="n">
        <v>1</v>
      </c>
      <c r="C5597" t="n">
        <v>2006</v>
      </c>
      <c r="D5597" t="n">
        <v>2006</v>
      </c>
      <c r="E5597" t="inlineStr">
        <is>
          <t>The Prestige</t>
        </is>
      </c>
      <c r="F5597" t="inlineStr">
        <is>
          <t>F0257</t>
        </is>
      </c>
    </row>
    <row r="5598">
      <c r="A5598" t="inlineStr">
        <is>
          <t>James Lancaster</t>
        </is>
      </c>
      <c r="B5598" t="n">
        <v>1</v>
      </c>
      <c r="C5598" t="n">
        <v>2006</v>
      </c>
      <c r="D5598" t="n">
        <v>2006</v>
      </c>
      <c r="E5598" t="inlineStr">
        <is>
          <t>The Prestige</t>
        </is>
      </c>
      <c r="F5598" t="inlineStr">
        <is>
          <t>F0257</t>
        </is>
      </c>
    </row>
    <row r="5599">
      <c r="A5599" t="inlineStr">
        <is>
          <t>Olivia Merg</t>
        </is>
      </c>
      <c r="B5599" t="n">
        <v>1</v>
      </c>
      <c r="C5599" t="n">
        <v>2006</v>
      </c>
      <c r="D5599" t="n">
        <v>2006</v>
      </c>
      <c r="E5599" t="inlineStr">
        <is>
          <t>The Prestige</t>
        </is>
      </c>
      <c r="F5599" t="inlineStr">
        <is>
          <t>F0257</t>
        </is>
      </c>
    </row>
    <row r="5600">
      <c r="A5600" t="inlineStr">
        <is>
          <t>Zoe Merg</t>
        </is>
      </c>
      <c r="B5600" t="n">
        <v>1</v>
      </c>
      <c r="C5600" t="n">
        <v>2006</v>
      </c>
      <c r="D5600" t="n">
        <v>2006</v>
      </c>
      <c r="E5600" t="inlineStr">
        <is>
          <t>The Prestige</t>
        </is>
      </c>
      <c r="F5600" t="inlineStr">
        <is>
          <t>F0257</t>
        </is>
      </c>
    </row>
    <row r="5601">
      <c r="A5601" t="inlineStr">
        <is>
          <t>Dylan Minnette</t>
        </is>
      </c>
      <c r="B5601" t="n">
        <v>1</v>
      </c>
      <c r="C5601" t="n">
        <v>2013</v>
      </c>
      <c r="D5601" t="n">
        <v>2013</v>
      </c>
      <c r="E5601" t="inlineStr">
        <is>
          <t>Prisoners</t>
        </is>
      </c>
      <c r="F5601" t="inlineStr">
        <is>
          <t>F0258</t>
        </is>
      </c>
    </row>
    <row r="5602">
      <c r="A5602" t="inlineStr">
        <is>
          <t>Zoë Soul</t>
        </is>
      </c>
      <c r="B5602" t="n">
        <v>1</v>
      </c>
      <c r="C5602" t="n">
        <v>2013</v>
      </c>
      <c r="D5602" t="n">
        <v>2013</v>
      </c>
      <c r="E5602" t="inlineStr">
        <is>
          <t>Prisoners</t>
        </is>
      </c>
      <c r="F5602" t="inlineStr">
        <is>
          <t>F0258</t>
        </is>
      </c>
    </row>
    <row r="5603">
      <c r="A5603" t="inlineStr">
        <is>
          <t>Kyla-Drew</t>
        </is>
      </c>
      <c r="B5603" t="n">
        <v>1</v>
      </c>
      <c r="C5603" t="n">
        <v>2013</v>
      </c>
      <c r="D5603" t="n">
        <v>2013</v>
      </c>
      <c r="E5603" t="inlineStr">
        <is>
          <t>Prisoners</t>
        </is>
      </c>
      <c r="F5603" t="inlineStr">
        <is>
          <t>F0258</t>
        </is>
      </c>
    </row>
    <row r="5604">
      <c r="A5604" t="inlineStr">
        <is>
          <t>Wayne Duvall</t>
        </is>
      </c>
      <c r="B5604" t="n">
        <v>1</v>
      </c>
      <c r="C5604" t="n">
        <v>2013</v>
      </c>
      <c r="D5604" t="n">
        <v>2013</v>
      </c>
      <c r="E5604" t="inlineStr">
        <is>
          <t>Prisoners</t>
        </is>
      </c>
      <c r="F5604" t="inlineStr">
        <is>
          <t>F0258</t>
        </is>
      </c>
    </row>
    <row r="5605">
      <c r="A5605" t="inlineStr">
        <is>
          <t>Brad James</t>
        </is>
      </c>
      <c r="B5605" t="n">
        <v>1</v>
      </c>
      <c r="C5605" t="n">
        <v>2013</v>
      </c>
      <c r="D5605" t="n">
        <v>2013</v>
      </c>
      <c r="E5605" t="inlineStr">
        <is>
          <t>Prisoners</t>
        </is>
      </c>
      <c r="F5605" t="inlineStr">
        <is>
          <t>F0258</t>
        </is>
      </c>
    </row>
    <row r="5606">
      <c r="A5606" t="inlineStr">
        <is>
          <t>Victoria Staley</t>
        </is>
      </c>
      <c r="B5606" t="n">
        <v>1</v>
      </c>
      <c r="C5606" t="n">
        <v>2013</v>
      </c>
      <c r="D5606" t="n">
        <v>2013</v>
      </c>
      <c r="E5606" t="inlineStr">
        <is>
          <t>Prisoners</t>
        </is>
      </c>
      <c r="F5606" t="inlineStr">
        <is>
          <t>F0258</t>
        </is>
      </c>
    </row>
    <row r="5607">
      <c r="A5607" t="inlineStr">
        <is>
          <t>Todd Truley</t>
        </is>
      </c>
      <c r="B5607" t="n">
        <v>1</v>
      </c>
      <c r="C5607" t="n">
        <v>2013</v>
      </c>
      <c r="D5607" t="n">
        <v>2013</v>
      </c>
      <c r="E5607" t="inlineStr">
        <is>
          <t>Prisoners</t>
        </is>
      </c>
      <c r="F5607" t="inlineStr">
        <is>
          <t>F0258</t>
        </is>
      </c>
    </row>
    <row r="5608">
      <c r="A5608" t="inlineStr">
        <is>
          <t>Brian Daye</t>
        </is>
      </c>
      <c r="B5608" t="n">
        <v>1</v>
      </c>
      <c r="C5608" t="n">
        <v>2013</v>
      </c>
      <c r="D5608" t="n">
        <v>2013</v>
      </c>
      <c r="E5608" t="inlineStr">
        <is>
          <t>Prisoners</t>
        </is>
      </c>
      <c r="F5608" t="inlineStr">
        <is>
          <t>F0258</t>
        </is>
      </c>
    </row>
    <row r="5609">
      <c r="A5609" t="inlineStr">
        <is>
          <t>Alisa Harris</t>
        </is>
      </c>
      <c r="B5609" t="n">
        <v>1</v>
      </c>
      <c r="C5609" t="n">
        <v>2013</v>
      </c>
      <c r="D5609" t="n">
        <v>2013</v>
      </c>
      <c r="E5609" t="inlineStr">
        <is>
          <t>Prisoners</t>
        </is>
      </c>
      <c r="F5609" t="inlineStr">
        <is>
          <t>F0258</t>
        </is>
      </c>
    </row>
    <row r="5610">
      <c r="A5610" t="inlineStr">
        <is>
          <t>Robert Mello</t>
        </is>
      </c>
      <c r="B5610" t="n">
        <v>1</v>
      </c>
      <c r="C5610" t="n">
        <v>2013</v>
      </c>
      <c r="D5610" t="n">
        <v>2013</v>
      </c>
      <c r="E5610" t="inlineStr">
        <is>
          <t>Prisoners</t>
        </is>
      </c>
      <c r="F5610" t="inlineStr">
        <is>
          <t>F0258</t>
        </is>
      </c>
    </row>
    <row r="5611">
      <c r="A5611" t="inlineStr">
        <is>
          <t>Jeff Pope</t>
        </is>
      </c>
      <c r="B5611" t="n">
        <v>1</v>
      </c>
      <c r="C5611" t="n">
        <v>2013</v>
      </c>
      <c r="D5611" t="n">
        <v>2013</v>
      </c>
      <c r="E5611" t="inlineStr">
        <is>
          <t>Prisoners</t>
        </is>
      </c>
      <c r="F5611" t="inlineStr">
        <is>
          <t>F0258</t>
        </is>
      </c>
    </row>
    <row r="5612">
      <c r="A5612" t="inlineStr">
        <is>
          <t>Rodrick Goins</t>
        </is>
      </c>
      <c r="B5612" t="n">
        <v>1</v>
      </c>
      <c r="C5612" t="n">
        <v>2013</v>
      </c>
      <c r="D5612" t="n">
        <v>2013</v>
      </c>
      <c r="E5612" t="inlineStr">
        <is>
          <t>Prisoners</t>
        </is>
      </c>
      <c r="F5612" t="inlineStr">
        <is>
          <t>F0258</t>
        </is>
      </c>
    </row>
    <row r="5613">
      <c r="A5613" t="inlineStr">
        <is>
          <t>Mark Drum</t>
        </is>
      </c>
      <c r="B5613" t="n">
        <v>1</v>
      </c>
      <c r="C5613" t="n">
        <v>2013</v>
      </c>
      <c r="D5613" t="n">
        <v>2013</v>
      </c>
      <c r="E5613" t="inlineStr">
        <is>
          <t>Prisoners</t>
        </is>
      </c>
      <c r="F5613" t="inlineStr">
        <is>
          <t>F0258</t>
        </is>
      </c>
    </row>
    <row r="5614">
      <c r="A5614" t="inlineStr">
        <is>
          <t>Lana Yoo</t>
        </is>
      </c>
      <c r="B5614" t="n">
        <v>1</v>
      </c>
      <c r="C5614" t="n">
        <v>2013</v>
      </c>
      <c r="D5614" t="n">
        <v>2013</v>
      </c>
      <c r="E5614" t="inlineStr">
        <is>
          <t>Prisoners</t>
        </is>
      </c>
      <c r="F5614" t="inlineStr">
        <is>
          <t>F0258</t>
        </is>
      </c>
    </row>
    <row r="5615">
      <c r="A5615" t="inlineStr">
        <is>
          <t>Pam Smith</t>
        </is>
      </c>
      <c r="B5615" t="n">
        <v>1</v>
      </c>
      <c r="C5615" t="n">
        <v>2013</v>
      </c>
      <c r="D5615" t="n">
        <v>2013</v>
      </c>
      <c r="E5615" t="inlineStr">
        <is>
          <t>Prisoners</t>
        </is>
      </c>
      <c r="F5615" t="inlineStr">
        <is>
          <t>F0258</t>
        </is>
      </c>
    </row>
    <row r="5616">
      <c r="A5616" t="inlineStr">
        <is>
          <t>Gloria Webber</t>
        </is>
      </c>
      <c r="B5616" t="n">
        <v>1</v>
      </c>
      <c r="C5616" t="n">
        <v>2013</v>
      </c>
      <c r="D5616" t="n">
        <v>2013</v>
      </c>
      <c r="E5616" t="inlineStr">
        <is>
          <t>Prisoners</t>
        </is>
      </c>
      <c r="F5616" t="inlineStr">
        <is>
          <t>F0258</t>
        </is>
      </c>
    </row>
    <row r="5617">
      <c r="A5617" t="inlineStr">
        <is>
          <t>Michelle Keller</t>
        </is>
      </c>
      <c r="B5617" t="n">
        <v>1</v>
      </c>
      <c r="C5617" t="n">
        <v>2013</v>
      </c>
      <c r="D5617" t="n">
        <v>2013</v>
      </c>
      <c r="E5617" t="inlineStr">
        <is>
          <t>Prisoners</t>
        </is>
      </c>
      <c r="F5617" t="inlineStr">
        <is>
          <t>F0258</t>
        </is>
      </c>
    </row>
    <row r="5618">
      <c r="A5618" t="inlineStr">
        <is>
          <t>Logan Marshall-Green</t>
        </is>
      </c>
      <c r="B5618" t="n">
        <v>1</v>
      </c>
      <c r="C5618" t="n">
        <v>2012</v>
      </c>
      <c r="D5618" t="n">
        <v>2012</v>
      </c>
      <c r="E5618" t="inlineStr">
        <is>
          <t>Prometheus</t>
        </is>
      </c>
      <c r="F5618" t="inlineStr">
        <is>
          <t>F0259</t>
        </is>
      </c>
    </row>
    <row r="5619">
      <c r="A5619" t="inlineStr">
        <is>
          <t>Emun Elliott</t>
        </is>
      </c>
      <c r="B5619" t="n">
        <v>2</v>
      </c>
      <c r="C5619" t="n">
        <v>2012</v>
      </c>
      <c r="D5619" t="n">
        <v>2015</v>
      </c>
      <c r="E5619" t="inlineStr">
        <is>
          <t>Prometheus, Star Wars: The Force Awakens</t>
        </is>
      </c>
      <c r="F5619" t="inlineStr">
        <is>
          <t>F0259, F0298</t>
        </is>
      </c>
    </row>
    <row r="5620">
      <c r="A5620" t="inlineStr">
        <is>
          <t>Kate Dickie</t>
        </is>
      </c>
      <c r="B5620" t="n">
        <v>1</v>
      </c>
      <c r="C5620" t="n">
        <v>2012</v>
      </c>
      <c r="D5620" t="n">
        <v>2012</v>
      </c>
      <c r="E5620" t="inlineStr">
        <is>
          <t>Prometheus</t>
        </is>
      </c>
      <c r="F5620" t="inlineStr">
        <is>
          <t>F0259</t>
        </is>
      </c>
    </row>
    <row r="5621">
      <c r="A5621" t="inlineStr">
        <is>
          <t>Branwell Donaghey</t>
        </is>
      </c>
      <c r="B5621" t="n">
        <v>1</v>
      </c>
      <c r="C5621" t="n">
        <v>2012</v>
      </c>
      <c r="D5621" t="n">
        <v>2012</v>
      </c>
      <c r="E5621" t="inlineStr">
        <is>
          <t>Prometheus</t>
        </is>
      </c>
      <c r="F5621" t="inlineStr">
        <is>
          <t>F0259</t>
        </is>
      </c>
    </row>
    <row r="5622">
      <c r="A5622" t="inlineStr">
        <is>
          <t>Vladimir "Furdo" Furdik</t>
        </is>
      </c>
      <c r="B5622" t="n">
        <v>2</v>
      </c>
      <c r="C5622" t="n">
        <v>2011</v>
      </c>
      <c r="D5622" t="n">
        <v>2012</v>
      </c>
      <c r="E5622" t="inlineStr">
        <is>
          <t>Prometheus, Sherlock Holmes: A Game of Shadows</t>
        </is>
      </c>
      <c r="F5622" t="inlineStr">
        <is>
          <t>F0259, F0279</t>
        </is>
      </c>
    </row>
    <row r="5623">
      <c r="A5623" t="inlineStr">
        <is>
          <t>C.C. Smiff</t>
        </is>
      </c>
      <c r="B5623" t="n">
        <v>1</v>
      </c>
      <c r="C5623" t="n">
        <v>2012</v>
      </c>
      <c r="D5623" t="n">
        <v>2012</v>
      </c>
      <c r="E5623" t="inlineStr">
        <is>
          <t>Prometheus</t>
        </is>
      </c>
      <c r="F5623" t="inlineStr">
        <is>
          <t>F0259</t>
        </is>
      </c>
    </row>
    <row r="5624">
      <c r="A5624" t="inlineStr">
        <is>
          <t>Shane Steyn</t>
        </is>
      </c>
      <c r="B5624" t="n">
        <v>1</v>
      </c>
      <c r="C5624" t="n">
        <v>2012</v>
      </c>
      <c r="D5624" t="n">
        <v>2012</v>
      </c>
      <c r="E5624" t="inlineStr">
        <is>
          <t>Prometheus</t>
        </is>
      </c>
      <c r="F5624" t="inlineStr">
        <is>
          <t>F0259</t>
        </is>
      </c>
    </row>
    <row r="5625">
      <c r="A5625" t="inlineStr">
        <is>
          <t>John Lebar</t>
        </is>
      </c>
      <c r="B5625" t="n">
        <v>1</v>
      </c>
      <c r="C5625" t="n">
        <v>2012</v>
      </c>
      <c r="D5625" t="n">
        <v>2012</v>
      </c>
      <c r="E5625" t="inlineStr">
        <is>
          <t>Prometheus</t>
        </is>
      </c>
      <c r="F5625" t="inlineStr">
        <is>
          <t>F0259</t>
        </is>
      </c>
    </row>
    <row r="5626">
      <c r="A5626" t="inlineStr">
        <is>
          <t>Daniel James Peterson</t>
        </is>
      </c>
      <c r="B5626" t="n">
        <v>1</v>
      </c>
      <c r="C5626" t="n">
        <v>2012</v>
      </c>
      <c r="D5626" t="n">
        <v>2012</v>
      </c>
      <c r="E5626" t="inlineStr">
        <is>
          <t>Prometheus</t>
        </is>
      </c>
      <c r="F5626" t="inlineStr">
        <is>
          <t>F0259</t>
        </is>
      </c>
    </row>
    <row r="5627">
      <c r="A5627" t="inlineStr">
        <is>
          <t>Lucy Hutchinson</t>
        </is>
      </c>
      <c r="B5627" t="n">
        <v>1</v>
      </c>
      <c r="C5627" t="n">
        <v>2012</v>
      </c>
      <c r="D5627" t="n">
        <v>2012</v>
      </c>
      <c r="E5627" t="inlineStr">
        <is>
          <t>Prometheus</t>
        </is>
      </c>
      <c r="F5627" t="inlineStr">
        <is>
          <t>F0259</t>
        </is>
      </c>
    </row>
    <row r="5628">
      <c r="A5628" t="inlineStr">
        <is>
          <t>Anil Biltoo</t>
        </is>
      </c>
      <c r="B5628" t="n">
        <v>1</v>
      </c>
      <c r="C5628" t="n">
        <v>2012</v>
      </c>
      <c r="D5628" t="n">
        <v>2012</v>
      </c>
      <c r="E5628" t="inlineStr">
        <is>
          <t>Prometheus</t>
        </is>
      </c>
      <c r="F5628" t="inlineStr">
        <is>
          <t>F0259</t>
        </is>
      </c>
    </row>
    <row r="5629">
      <c r="A5629" t="inlineStr">
        <is>
          <t>Louisa Staples</t>
        </is>
      </c>
      <c r="B5629" t="n">
        <v>1</v>
      </c>
      <c r="C5629" t="n">
        <v>2012</v>
      </c>
      <c r="D5629" t="n">
        <v>2012</v>
      </c>
      <c r="E5629" t="inlineStr">
        <is>
          <t>Prometheus</t>
        </is>
      </c>
      <c r="F5629" t="inlineStr">
        <is>
          <t>F0259</t>
        </is>
      </c>
    </row>
    <row r="5630">
      <c r="A5630" t="inlineStr">
        <is>
          <t>James Embree</t>
        </is>
      </c>
      <c r="B5630" t="n">
        <v>1</v>
      </c>
      <c r="C5630" t="n">
        <v>2012</v>
      </c>
      <c r="D5630" t="n">
        <v>2012</v>
      </c>
      <c r="E5630" t="inlineStr">
        <is>
          <t>Prometheus</t>
        </is>
      </c>
      <c r="F5630" t="inlineStr">
        <is>
          <t>F0259</t>
        </is>
      </c>
    </row>
    <row r="5631">
      <c r="A5631" t="inlineStr">
        <is>
          <t>Florian Robin</t>
        </is>
      </c>
      <c r="B5631" t="n">
        <v>1</v>
      </c>
      <c r="C5631" t="n">
        <v>2012</v>
      </c>
      <c r="D5631" t="n">
        <v>2012</v>
      </c>
      <c r="E5631" t="inlineStr">
        <is>
          <t>Prometheus</t>
        </is>
      </c>
      <c r="F5631" t="inlineStr">
        <is>
          <t>F0259</t>
        </is>
      </c>
    </row>
    <row r="5632">
      <c r="A5632" t="inlineStr">
        <is>
          <t>Matthew Burgess</t>
        </is>
      </c>
      <c r="B5632" t="n">
        <v>1</v>
      </c>
      <c r="C5632" t="n">
        <v>2012</v>
      </c>
      <c r="D5632" t="n">
        <v>2012</v>
      </c>
      <c r="E5632" t="inlineStr">
        <is>
          <t>Prometheus</t>
        </is>
      </c>
      <c r="F5632" t="inlineStr">
        <is>
          <t>F0259</t>
        </is>
      </c>
    </row>
    <row r="5633">
      <c r="A5633" t="inlineStr">
        <is>
          <t>Eugene O'Hare</t>
        </is>
      </c>
      <c r="B5633" t="n">
        <v>1</v>
      </c>
      <c r="C5633" t="n">
        <v>2012</v>
      </c>
      <c r="D5633" t="n">
        <v>2012</v>
      </c>
      <c r="E5633" t="inlineStr">
        <is>
          <t>Prometheus</t>
        </is>
      </c>
      <c r="F5633" t="inlineStr">
        <is>
          <t>F0259</t>
        </is>
      </c>
    </row>
    <row r="5634">
      <c r="A5634" t="inlineStr">
        <is>
          <t>Philip McGinley</t>
        </is>
      </c>
      <c r="B5634" t="n">
        <v>1</v>
      </c>
      <c r="C5634" t="n">
        <v>2012</v>
      </c>
      <c r="D5634" t="n">
        <v>2012</v>
      </c>
      <c r="E5634" t="inlineStr">
        <is>
          <t>Prometheus</t>
        </is>
      </c>
      <c r="F5634" t="inlineStr">
        <is>
          <t>F0259</t>
        </is>
      </c>
    </row>
    <row r="5635">
      <c r="A5635" t="inlineStr">
        <is>
          <t>Jenny Rainsford</t>
        </is>
      </c>
      <c r="B5635" t="n">
        <v>1</v>
      </c>
      <c r="C5635" t="n">
        <v>2012</v>
      </c>
      <c r="D5635" t="n">
        <v>2012</v>
      </c>
      <c r="E5635" t="inlineStr">
        <is>
          <t>Prometheus</t>
        </is>
      </c>
      <c r="F5635" t="inlineStr">
        <is>
          <t>F0259</t>
        </is>
      </c>
    </row>
    <row r="5636">
      <c r="A5636" t="inlineStr">
        <is>
          <t>Dan Castellaneta</t>
        </is>
      </c>
      <c r="B5636" t="n">
        <v>1</v>
      </c>
      <c r="C5636" t="n">
        <v>2006</v>
      </c>
      <c r="D5636" t="n">
        <v>2006</v>
      </c>
      <c r="E5636" t="inlineStr">
        <is>
          <t>The Pursuit of Happyness</t>
        </is>
      </c>
      <c r="F5636" t="inlineStr">
        <is>
          <t>F0260</t>
        </is>
      </c>
    </row>
    <row r="5637">
      <c r="A5637" t="inlineStr">
        <is>
          <t>Kurt Fuller</t>
        </is>
      </c>
      <c r="B5637" t="n">
        <v>1</v>
      </c>
      <c r="C5637" t="n">
        <v>2006</v>
      </c>
      <c r="D5637" t="n">
        <v>2006</v>
      </c>
      <c r="E5637" t="inlineStr">
        <is>
          <t>The Pursuit of Happyness</t>
        </is>
      </c>
      <c r="F5637" t="inlineStr">
        <is>
          <t>F0260</t>
        </is>
      </c>
    </row>
    <row r="5638">
      <c r="A5638" t="inlineStr">
        <is>
          <t>Takayo Fischer</t>
        </is>
      </c>
      <c r="B5638" t="n">
        <v>1</v>
      </c>
      <c r="C5638" t="n">
        <v>2006</v>
      </c>
      <c r="D5638" t="n">
        <v>2006</v>
      </c>
      <c r="E5638" t="inlineStr">
        <is>
          <t>The Pursuit of Happyness</t>
        </is>
      </c>
      <c r="F5638" t="inlineStr">
        <is>
          <t>F0260</t>
        </is>
      </c>
    </row>
    <row r="5639">
      <c r="A5639" t="inlineStr">
        <is>
          <t>Kevin West</t>
        </is>
      </c>
      <c r="B5639" t="n">
        <v>1</v>
      </c>
      <c r="C5639" t="n">
        <v>2006</v>
      </c>
      <c r="D5639" t="n">
        <v>2006</v>
      </c>
      <c r="E5639" t="inlineStr">
        <is>
          <t>The Pursuit of Happyness</t>
        </is>
      </c>
      <c r="F5639" t="inlineStr">
        <is>
          <t>F0260</t>
        </is>
      </c>
    </row>
    <row r="5640">
      <c r="A5640" t="inlineStr">
        <is>
          <t>George Cheung</t>
        </is>
      </c>
      <c r="B5640" t="n">
        <v>2</v>
      </c>
      <c r="C5640" t="n">
        <v>2006</v>
      </c>
      <c r="D5640" t="n">
        <v>2007</v>
      </c>
      <c r="E5640" t="inlineStr">
        <is>
          <t>The Pursuit of Happyness, Rush Hour 3</t>
        </is>
      </c>
      <c r="F5640" t="inlineStr">
        <is>
          <t>F0260, F0271</t>
        </is>
      </c>
    </row>
    <row r="5641">
      <c r="A5641" t="inlineStr">
        <is>
          <t>David Michael Silverman</t>
        </is>
      </c>
      <c r="B5641" t="n">
        <v>1</v>
      </c>
      <c r="C5641" t="n">
        <v>2006</v>
      </c>
      <c r="D5641" t="n">
        <v>2006</v>
      </c>
      <c r="E5641" t="inlineStr">
        <is>
          <t>The Pursuit of Happyness</t>
        </is>
      </c>
      <c r="F5641" t="inlineStr">
        <is>
          <t>F0260</t>
        </is>
      </c>
    </row>
    <row r="5642">
      <c r="A5642" t="inlineStr">
        <is>
          <t>Domenic Bove</t>
        </is>
      </c>
      <c r="B5642" t="n">
        <v>1</v>
      </c>
      <c r="C5642" t="n">
        <v>2006</v>
      </c>
      <c r="D5642" t="n">
        <v>2006</v>
      </c>
      <c r="E5642" t="inlineStr">
        <is>
          <t>The Pursuit of Happyness</t>
        </is>
      </c>
      <c r="F5642" t="inlineStr">
        <is>
          <t>F0260</t>
        </is>
      </c>
    </row>
    <row r="5643">
      <c r="A5643" t="inlineStr">
        <is>
          <t>Geoff Callan</t>
        </is>
      </c>
      <c r="B5643" t="n">
        <v>1</v>
      </c>
      <c r="C5643" t="n">
        <v>2006</v>
      </c>
      <c r="D5643" t="n">
        <v>2006</v>
      </c>
      <c r="E5643" t="inlineStr">
        <is>
          <t>The Pursuit of Happyness</t>
        </is>
      </c>
      <c r="F5643" t="inlineStr">
        <is>
          <t>F0260</t>
        </is>
      </c>
    </row>
    <row r="5644">
      <c r="A5644" t="inlineStr">
        <is>
          <t>Joyful Raven</t>
        </is>
      </c>
      <c r="B5644" t="n">
        <v>1</v>
      </c>
      <c r="C5644" t="n">
        <v>2006</v>
      </c>
      <c r="D5644" t="n">
        <v>2006</v>
      </c>
      <c r="E5644" t="inlineStr">
        <is>
          <t>The Pursuit of Happyness</t>
        </is>
      </c>
      <c r="F5644" t="inlineStr">
        <is>
          <t>F0260</t>
        </is>
      </c>
    </row>
    <row r="5645">
      <c r="A5645" t="inlineStr">
        <is>
          <t>Scott Klace</t>
        </is>
      </c>
      <c r="B5645" t="n">
        <v>1</v>
      </c>
      <c r="C5645" t="n">
        <v>2006</v>
      </c>
      <c r="D5645" t="n">
        <v>2006</v>
      </c>
      <c r="E5645" t="inlineStr">
        <is>
          <t>The Pursuit of Happyness</t>
        </is>
      </c>
      <c r="F5645" t="inlineStr">
        <is>
          <t>F0260</t>
        </is>
      </c>
    </row>
    <row r="5646">
      <c r="A5646" t="inlineStr">
        <is>
          <t>Rashida Clendening</t>
        </is>
      </c>
      <c r="B5646" t="n">
        <v>1</v>
      </c>
      <c r="C5646" t="n">
        <v>2006</v>
      </c>
      <c r="D5646" t="n">
        <v>2006</v>
      </c>
      <c r="E5646" t="inlineStr">
        <is>
          <t>The Pursuit of Happyness</t>
        </is>
      </c>
      <c r="F5646" t="inlineStr">
        <is>
          <t>F0260</t>
        </is>
      </c>
    </row>
    <row r="5647">
      <c r="A5647" t="inlineStr">
        <is>
          <t>Eric Schniewind</t>
        </is>
      </c>
      <c r="B5647" t="n">
        <v>1</v>
      </c>
      <c r="C5647" t="n">
        <v>2006</v>
      </c>
      <c r="D5647" t="n">
        <v>2006</v>
      </c>
      <c r="E5647" t="inlineStr">
        <is>
          <t>The Pursuit of Happyness</t>
        </is>
      </c>
      <c r="F5647" t="inlineStr">
        <is>
          <t>F0260</t>
        </is>
      </c>
    </row>
    <row r="5648">
      <c r="A5648" t="inlineStr">
        <is>
          <t>Peter Fitzsimmons</t>
        </is>
      </c>
      <c r="B5648" t="n">
        <v>1</v>
      </c>
      <c r="C5648" t="n">
        <v>2006</v>
      </c>
      <c r="D5648" t="n">
        <v>2006</v>
      </c>
      <c r="E5648" t="inlineStr">
        <is>
          <t>The Pursuit of Happyness</t>
        </is>
      </c>
      <c r="F5648" t="inlineStr">
        <is>
          <t>F0260</t>
        </is>
      </c>
    </row>
    <row r="5649">
      <c r="A5649" t="inlineStr">
        <is>
          <t>Maurice Sherbanee</t>
        </is>
      </c>
      <c r="B5649" t="n">
        <v>1</v>
      </c>
      <c r="C5649" t="n">
        <v>2006</v>
      </c>
      <c r="D5649" t="n">
        <v>2006</v>
      </c>
      <c r="E5649" t="inlineStr">
        <is>
          <t>The Pursuit of Happyness</t>
        </is>
      </c>
      <c r="F5649" t="inlineStr">
        <is>
          <t>F0260</t>
        </is>
      </c>
    </row>
    <row r="5650">
      <c r="A5650" t="inlineStr">
        <is>
          <t>Zuhair Haddad</t>
        </is>
      </c>
      <c r="B5650" t="n">
        <v>1</v>
      </c>
      <c r="C5650" t="n">
        <v>2006</v>
      </c>
      <c r="D5650" t="n">
        <v>2006</v>
      </c>
      <c r="E5650" t="inlineStr">
        <is>
          <t>The Pursuit of Happyness</t>
        </is>
      </c>
      <c r="F5650" t="inlineStr">
        <is>
          <t>F0260</t>
        </is>
      </c>
    </row>
    <row r="5651">
      <c r="A5651" t="inlineStr">
        <is>
          <t>Victor Raider-Wexler</t>
        </is>
      </c>
      <c r="B5651" t="n">
        <v>1</v>
      </c>
      <c r="C5651" t="n">
        <v>2006</v>
      </c>
      <c r="D5651" t="n">
        <v>2006</v>
      </c>
      <c r="E5651" t="inlineStr">
        <is>
          <t>The Pursuit of Happyness</t>
        </is>
      </c>
      <c r="F5651" t="inlineStr">
        <is>
          <t>F0260</t>
        </is>
      </c>
    </row>
    <row r="5652">
      <c r="A5652" t="inlineStr">
        <is>
          <t>Mark Christopher Lawrence</t>
        </is>
      </c>
      <c r="B5652" t="n">
        <v>1</v>
      </c>
      <c r="C5652" t="n">
        <v>2006</v>
      </c>
      <c r="D5652" t="n">
        <v>2006</v>
      </c>
      <c r="E5652" t="inlineStr">
        <is>
          <t>The Pursuit of Happyness</t>
        </is>
      </c>
      <c r="F5652" t="inlineStr">
        <is>
          <t>F0260</t>
        </is>
      </c>
    </row>
    <row r="5653">
      <c r="A5653" t="inlineStr">
        <is>
          <t>Darryl Fong</t>
        </is>
      </c>
      <c r="B5653" t="n">
        <v>1</v>
      </c>
      <c r="C5653" t="n">
        <v>2006</v>
      </c>
      <c r="D5653" t="n">
        <v>2006</v>
      </c>
      <c r="E5653" t="inlineStr">
        <is>
          <t>The Pursuit of Happyness</t>
        </is>
      </c>
      <c r="F5653" t="inlineStr">
        <is>
          <t>F0260</t>
        </is>
      </c>
    </row>
    <row r="5654">
      <c r="A5654" t="inlineStr">
        <is>
          <t>Adam Del Rio</t>
        </is>
      </c>
      <c r="B5654" t="n">
        <v>1</v>
      </c>
      <c r="C5654" t="n">
        <v>2006</v>
      </c>
      <c r="D5654" t="n">
        <v>2006</v>
      </c>
      <c r="E5654" t="inlineStr">
        <is>
          <t>The Pursuit of Happyness</t>
        </is>
      </c>
      <c r="F5654" t="inlineStr">
        <is>
          <t>F0260</t>
        </is>
      </c>
    </row>
    <row r="5655">
      <c r="A5655" t="inlineStr">
        <is>
          <t>Rocky LaRochelle</t>
        </is>
      </c>
      <c r="B5655" t="n">
        <v>1</v>
      </c>
      <c r="C5655" t="n">
        <v>2006</v>
      </c>
      <c r="D5655" t="n">
        <v>2006</v>
      </c>
      <c r="E5655" t="inlineStr">
        <is>
          <t>The Pursuit of Happyness</t>
        </is>
      </c>
      <c r="F5655" t="inlineStr">
        <is>
          <t>F0260</t>
        </is>
      </c>
    </row>
    <row r="5656">
      <c r="A5656" t="inlineStr">
        <is>
          <t>Erin Beers</t>
        </is>
      </c>
      <c r="B5656" t="n">
        <v>1</v>
      </c>
      <c r="C5656" t="n">
        <v>2006</v>
      </c>
      <c r="D5656" t="n">
        <v>2006</v>
      </c>
      <c r="E5656" t="inlineStr">
        <is>
          <t>The Pursuit of Happyness</t>
        </is>
      </c>
      <c r="F5656" t="inlineStr">
        <is>
          <t>F0260</t>
        </is>
      </c>
    </row>
    <row r="5657">
      <c r="A5657" t="inlineStr">
        <is>
          <t>Rueben Grundy</t>
        </is>
      </c>
      <c r="B5657" t="n">
        <v>1</v>
      </c>
      <c r="C5657" t="n">
        <v>2006</v>
      </c>
      <c r="D5657" t="n">
        <v>2006</v>
      </c>
      <c r="E5657" t="inlineStr">
        <is>
          <t>The Pursuit of Happyness</t>
        </is>
      </c>
      <c r="F5657" t="inlineStr">
        <is>
          <t>F0260</t>
        </is>
      </c>
    </row>
    <row r="5658">
      <c r="A5658" t="inlineStr">
        <is>
          <t>Ming Lo</t>
        </is>
      </c>
      <c r="B5658" t="n">
        <v>1</v>
      </c>
      <c r="C5658" t="n">
        <v>2006</v>
      </c>
      <c r="D5658" t="n">
        <v>2006</v>
      </c>
      <c r="E5658" t="inlineStr">
        <is>
          <t>The Pursuit of Happyness</t>
        </is>
      </c>
      <c r="F5658" t="inlineStr">
        <is>
          <t>F0260</t>
        </is>
      </c>
    </row>
    <row r="5659">
      <c r="A5659" t="inlineStr">
        <is>
          <t>Richard Crenna</t>
        </is>
      </c>
      <c r="B5659" t="n">
        <v>1</v>
      </c>
      <c r="C5659" t="n">
        <v>2008</v>
      </c>
      <c r="D5659" t="n">
        <v>2008</v>
      </c>
      <c r="E5659" t="inlineStr">
        <is>
          <t>Rambo</t>
        </is>
      </c>
      <c r="F5659" t="inlineStr">
        <is>
          <t>F0261</t>
        </is>
      </c>
    </row>
    <row r="5660">
      <c r="A5660" t="inlineStr">
        <is>
          <t>Marc de Jonge</t>
        </is>
      </c>
      <c r="B5660" t="n">
        <v>1</v>
      </c>
      <c r="C5660" t="n">
        <v>2008</v>
      </c>
      <c r="D5660" t="n">
        <v>2008</v>
      </c>
      <c r="E5660" t="inlineStr">
        <is>
          <t>Rambo</t>
        </is>
      </c>
      <c r="F5660" t="inlineStr">
        <is>
          <t>F0261</t>
        </is>
      </c>
    </row>
    <row r="5661">
      <c r="A5661" t="inlineStr">
        <is>
          <t>Spiros Focás</t>
        </is>
      </c>
      <c r="B5661" t="n">
        <v>1</v>
      </c>
      <c r="C5661" t="n">
        <v>2008</v>
      </c>
      <c r="D5661" t="n">
        <v>2008</v>
      </c>
      <c r="E5661" t="inlineStr">
        <is>
          <t>Rambo</t>
        </is>
      </c>
      <c r="F5661" t="inlineStr">
        <is>
          <t>F0261</t>
        </is>
      </c>
    </row>
    <row r="5662">
      <c r="A5662" t="inlineStr">
        <is>
          <t>Sasson Gabai</t>
        </is>
      </c>
      <c r="B5662" t="n">
        <v>1</v>
      </c>
      <c r="C5662" t="n">
        <v>2008</v>
      </c>
      <c r="D5662" t="n">
        <v>2008</v>
      </c>
      <c r="E5662" t="inlineStr">
        <is>
          <t>Rambo</t>
        </is>
      </c>
      <c r="F5662" t="inlineStr">
        <is>
          <t>F0261</t>
        </is>
      </c>
    </row>
    <row r="5663">
      <c r="A5663" t="inlineStr">
        <is>
          <t>Doudi Shoua</t>
        </is>
      </c>
      <c r="B5663" t="n">
        <v>1</v>
      </c>
      <c r="C5663" t="n">
        <v>2008</v>
      </c>
      <c r="D5663" t="n">
        <v>2008</v>
      </c>
      <c r="E5663" t="inlineStr">
        <is>
          <t>Rambo</t>
        </is>
      </c>
      <c r="F5663" t="inlineStr">
        <is>
          <t>F0261</t>
        </is>
      </c>
    </row>
    <row r="5664">
      <c r="A5664" t="inlineStr">
        <is>
          <t>Randy Raney</t>
        </is>
      </c>
      <c r="B5664" t="n">
        <v>1</v>
      </c>
      <c r="C5664" t="n">
        <v>2008</v>
      </c>
      <c r="D5664" t="n">
        <v>2008</v>
      </c>
      <c r="E5664" t="inlineStr">
        <is>
          <t>Rambo</t>
        </is>
      </c>
      <c r="F5664" t="inlineStr">
        <is>
          <t>F0261</t>
        </is>
      </c>
    </row>
    <row r="5665">
      <c r="A5665" t="inlineStr">
        <is>
          <t>Marcus Gilbert</t>
        </is>
      </c>
      <c r="B5665" t="n">
        <v>1</v>
      </c>
      <c r="C5665" t="n">
        <v>2008</v>
      </c>
      <c r="D5665" t="n">
        <v>2008</v>
      </c>
      <c r="E5665" t="inlineStr">
        <is>
          <t>Rambo</t>
        </is>
      </c>
      <c r="F5665" t="inlineStr">
        <is>
          <t>F0261</t>
        </is>
      </c>
    </row>
    <row r="5666">
      <c r="A5666" t="inlineStr">
        <is>
          <t>Mahmoud Assadollahi</t>
        </is>
      </c>
      <c r="B5666" t="n">
        <v>1</v>
      </c>
      <c r="C5666" t="n">
        <v>2008</v>
      </c>
      <c r="D5666" t="n">
        <v>2008</v>
      </c>
      <c r="E5666" t="inlineStr">
        <is>
          <t>Rambo</t>
        </is>
      </c>
      <c r="F5666" t="inlineStr">
        <is>
          <t>F0261</t>
        </is>
      </c>
    </row>
    <row r="5667">
      <c r="A5667" t="inlineStr">
        <is>
          <t>Yosef Shiloach</t>
        </is>
      </c>
      <c r="B5667" t="n">
        <v>1</v>
      </c>
      <c r="C5667" t="n">
        <v>2008</v>
      </c>
      <c r="D5667" t="n">
        <v>2008</v>
      </c>
      <c r="E5667" t="inlineStr">
        <is>
          <t>Rambo</t>
        </is>
      </c>
      <c r="F5667" t="inlineStr">
        <is>
          <t>F0261</t>
        </is>
      </c>
    </row>
    <row r="5668">
      <c r="A5668" t="inlineStr">
        <is>
          <t>Harold Diamond</t>
        </is>
      </c>
      <c r="B5668" t="n">
        <v>1</v>
      </c>
      <c r="C5668" t="n">
        <v>2008</v>
      </c>
      <c r="D5668" t="n">
        <v>2008</v>
      </c>
      <c r="E5668" t="inlineStr">
        <is>
          <t>Rambo</t>
        </is>
      </c>
      <c r="F5668" t="inlineStr">
        <is>
          <t>F0261</t>
        </is>
      </c>
    </row>
    <row r="5669">
      <c r="A5669" t="inlineStr">
        <is>
          <t>Mati Seri</t>
        </is>
      </c>
      <c r="B5669" t="n">
        <v>1</v>
      </c>
      <c r="C5669" t="n">
        <v>2008</v>
      </c>
      <c r="D5669" t="n">
        <v>2008</v>
      </c>
      <c r="E5669" t="inlineStr">
        <is>
          <t>Rambo</t>
        </is>
      </c>
      <c r="F5669" t="inlineStr">
        <is>
          <t>F0261</t>
        </is>
      </c>
    </row>
    <row r="5670">
      <c r="A5670" t="inlineStr">
        <is>
          <t>Hany Said El Deen</t>
        </is>
      </c>
      <c r="B5670" t="n">
        <v>1</v>
      </c>
      <c r="C5670" t="n">
        <v>2008</v>
      </c>
      <c r="D5670" t="n">
        <v>2008</v>
      </c>
      <c r="E5670" t="inlineStr">
        <is>
          <t>Rambo</t>
        </is>
      </c>
      <c r="F5670" t="inlineStr">
        <is>
          <t>F0261</t>
        </is>
      </c>
    </row>
    <row r="5671">
      <c r="A5671" t="inlineStr">
        <is>
          <t>Shaby Ben-Aroya</t>
        </is>
      </c>
      <c r="B5671" t="n">
        <v>1</v>
      </c>
      <c r="C5671" t="n">
        <v>2008</v>
      </c>
      <c r="D5671" t="n">
        <v>2008</v>
      </c>
      <c r="E5671" t="inlineStr">
        <is>
          <t>Rambo</t>
        </is>
      </c>
      <c r="F5671" t="inlineStr">
        <is>
          <t>F0261</t>
        </is>
      </c>
    </row>
    <row r="5672">
      <c r="A5672" t="inlineStr">
        <is>
          <t>Marciano Shoshi</t>
        </is>
      </c>
      <c r="B5672" t="n">
        <v>1</v>
      </c>
      <c r="C5672" t="n">
        <v>2008</v>
      </c>
      <c r="D5672" t="n">
        <v>2008</v>
      </c>
      <c r="E5672" t="inlineStr">
        <is>
          <t>Rambo</t>
        </is>
      </c>
      <c r="F5672" t="inlineStr">
        <is>
          <t>F0261</t>
        </is>
      </c>
    </row>
    <row r="5673">
      <c r="A5673" t="inlineStr">
        <is>
          <t>Sadiq Tawfik</t>
        </is>
      </c>
      <c r="B5673" t="n">
        <v>1</v>
      </c>
      <c r="C5673" t="n">
        <v>2008</v>
      </c>
      <c r="D5673" t="n">
        <v>2008</v>
      </c>
      <c r="E5673" t="inlineStr">
        <is>
          <t>Rambo</t>
        </is>
      </c>
      <c r="F5673" t="inlineStr">
        <is>
          <t>F0261</t>
        </is>
      </c>
    </row>
    <row r="5674">
      <c r="A5674" t="inlineStr">
        <is>
          <t>Julian Patrice</t>
        </is>
      </c>
      <c r="B5674" t="n">
        <v>1</v>
      </c>
      <c r="C5674" t="n">
        <v>2008</v>
      </c>
      <c r="D5674" t="n">
        <v>2008</v>
      </c>
      <c r="E5674" t="inlineStr">
        <is>
          <t>Rambo</t>
        </is>
      </c>
      <c r="F5674" t="inlineStr">
        <is>
          <t>F0261</t>
        </is>
      </c>
    </row>
    <row r="5675">
      <c r="A5675" t="inlineStr">
        <is>
          <t>Tal Kastoriano</t>
        </is>
      </c>
      <c r="B5675" t="n">
        <v>1</v>
      </c>
      <c r="C5675" t="n">
        <v>2008</v>
      </c>
      <c r="D5675" t="n">
        <v>2008</v>
      </c>
      <c r="E5675" t="inlineStr">
        <is>
          <t>Rambo</t>
        </is>
      </c>
      <c r="F5675" t="inlineStr">
        <is>
          <t>F0261</t>
        </is>
      </c>
    </row>
    <row r="5676">
      <c r="A5676" t="inlineStr">
        <is>
          <t>Benny Bruchim</t>
        </is>
      </c>
      <c r="B5676" t="n">
        <v>1</v>
      </c>
      <c r="C5676" t="n">
        <v>2008</v>
      </c>
      <c r="D5676" t="n">
        <v>2008</v>
      </c>
      <c r="E5676" t="inlineStr">
        <is>
          <t>Rambo</t>
        </is>
      </c>
      <c r="F5676" t="inlineStr">
        <is>
          <t>F0261</t>
        </is>
      </c>
    </row>
    <row r="5677">
      <c r="A5677" t="inlineStr">
        <is>
          <t>Tikva Aziz</t>
        </is>
      </c>
      <c r="B5677" t="n">
        <v>1</v>
      </c>
      <c r="C5677" t="n">
        <v>2008</v>
      </c>
      <c r="D5677" t="n">
        <v>2008</v>
      </c>
      <c r="E5677" t="inlineStr">
        <is>
          <t>Rambo</t>
        </is>
      </c>
      <c r="F5677" t="inlineStr">
        <is>
          <t>F0261</t>
        </is>
      </c>
    </row>
    <row r="5678">
      <c r="A5678" t="inlineStr">
        <is>
          <t>Milo Rafi</t>
        </is>
      </c>
      <c r="B5678" t="n">
        <v>1</v>
      </c>
      <c r="C5678" t="n">
        <v>2008</v>
      </c>
      <c r="D5678" t="n">
        <v>2008</v>
      </c>
      <c r="E5678" t="inlineStr">
        <is>
          <t>Rambo</t>
        </is>
      </c>
      <c r="F5678" t="inlineStr">
        <is>
          <t>F0261</t>
        </is>
      </c>
    </row>
    <row r="5679">
      <c r="A5679" t="inlineStr">
        <is>
          <t>Clark Acton</t>
        </is>
      </c>
      <c r="B5679" t="n">
        <v>1</v>
      </c>
      <c r="C5679" t="n">
        <v>2008</v>
      </c>
      <c r="D5679" t="n">
        <v>2008</v>
      </c>
      <c r="E5679" t="inlineStr">
        <is>
          <t>Rambo</t>
        </is>
      </c>
      <c r="F5679" t="inlineStr">
        <is>
          <t>F0261</t>
        </is>
      </c>
    </row>
    <row r="5680">
      <c r="A5680" t="inlineStr">
        <is>
          <t>R.T. Freeman</t>
        </is>
      </c>
      <c r="B5680" t="n">
        <v>1</v>
      </c>
      <c r="C5680" t="n">
        <v>2008</v>
      </c>
      <c r="D5680" t="n">
        <v>2008</v>
      </c>
      <c r="E5680" t="inlineStr">
        <is>
          <t>Rambo</t>
        </is>
      </c>
      <c r="F5680" t="inlineStr">
        <is>
          <t>F0261</t>
        </is>
      </c>
    </row>
    <row r="5681">
      <c r="A5681" t="inlineStr">
        <is>
          <t>Iyad Hajjaj</t>
        </is>
      </c>
      <c r="B5681" t="n">
        <v>1</v>
      </c>
      <c r="C5681" t="n">
        <v>2008</v>
      </c>
      <c r="D5681" t="n">
        <v>2008</v>
      </c>
      <c r="E5681" t="inlineStr">
        <is>
          <t>Rambo</t>
        </is>
      </c>
      <c r="F5681" t="inlineStr">
        <is>
          <t>F0261</t>
        </is>
      </c>
    </row>
    <row r="5682">
      <c r="A5682" t="inlineStr">
        <is>
          <t>Paul Dion Monte</t>
        </is>
      </c>
      <c r="B5682" t="n">
        <v>1</v>
      </c>
      <c r="C5682" t="n">
        <v>2008</v>
      </c>
      <c r="D5682" t="n">
        <v>2008</v>
      </c>
      <c r="E5682" t="inlineStr">
        <is>
          <t>Rambo</t>
        </is>
      </c>
      <c r="F5682" t="inlineStr">
        <is>
          <t>F0261</t>
        </is>
      </c>
    </row>
    <row r="5683">
      <c r="A5683" t="inlineStr">
        <is>
          <t>Mic Rodgers</t>
        </is>
      </c>
      <c r="B5683" t="n">
        <v>1</v>
      </c>
      <c r="C5683" t="n">
        <v>2008</v>
      </c>
      <c r="D5683" t="n">
        <v>2008</v>
      </c>
      <c r="E5683" t="inlineStr">
        <is>
          <t>Rambo</t>
        </is>
      </c>
      <c r="F5683" t="inlineStr">
        <is>
          <t>F0261</t>
        </is>
      </c>
    </row>
    <row r="5684">
      <c r="A5684" t="inlineStr">
        <is>
          <t>Richard Dreyfuss</t>
        </is>
      </c>
      <c r="B5684" t="n">
        <v>1</v>
      </c>
      <c r="C5684" t="n">
        <v>2010</v>
      </c>
      <c r="D5684" t="n">
        <v>2010</v>
      </c>
      <c r="E5684" t="inlineStr">
        <is>
          <t>RED</t>
        </is>
      </c>
      <c r="F5684" t="inlineStr">
        <is>
          <t>F0262</t>
        </is>
      </c>
    </row>
    <row r="5685">
      <c r="A5685" t="inlineStr">
        <is>
          <t>Rebecca Pidgeon</t>
        </is>
      </c>
      <c r="B5685" t="n">
        <v>1</v>
      </c>
      <c r="C5685" t="n">
        <v>2010</v>
      </c>
      <c r="D5685" t="n">
        <v>2010</v>
      </c>
      <c r="E5685" t="inlineStr">
        <is>
          <t>RED</t>
        </is>
      </c>
      <c r="F5685" t="inlineStr">
        <is>
          <t>F0262</t>
        </is>
      </c>
    </row>
    <row r="5686">
      <c r="A5686" t="inlineStr">
        <is>
          <t>Julian McMahon</t>
        </is>
      </c>
      <c r="B5686" t="n">
        <v>1</v>
      </c>
      <c r="C5686" t="n">
        <v>2010</v>
      </c>
      <c r="D5686" t="n">
        <v>2010</v>
      </c>
      <c r="E5686" t="inlineStr">
        <is>
          <t>RED</t>
        </is>
      </c>
      <c r="F5686" t="inlineStr">
        <is>
          <t>F0262</t>
        </is>
      </c>
    </row>
    <row r="5687">
      <c r="A5687" t="inlineStr">
        <is>
          <t>Ernest Borgnine</t>
        </is>
      </c>
      <c r="B5687" t="n">
        <v>1</v>
      </c>
      <c r="C5687" t="n">
        <v>2010</v>
      </c>
      <c r="D5687" t="n">
        <v>2010</v>
      </c>
      <c r="E5687" t="inlineStr">
        <is>
          <t>RED</t>
        </is>
      </c>
      <c r="F5687" t="inlineStr">
        <is>
          <t>F0262</t>
        </is>
      </c>
    </row>
    <row r="5688">
      <c r="A5688" t="inlineStr">
        <is>
          <t>Heidi von Palleske</t>
        </is>
      </c>
      <c r="B5688" t="n">
        <v>1</v>
      </c>
      <c r="C5688" t="n">
        <v>2010</v>
      </c>
      <c r="D5688" t="n">
        <v>2010</v>
      </c>
      <c r="E5688" t="inlineStr">
        <is>
          <t>RED</t>
        </is>
      </c>
      <c r="F5688" t="inlineStr">
        <is>
          <t>F0262</t>
        </is>
      </c>
    </row>
    <row r="5689">
      <c r="A5689" t="inlineStr">
        <is>
          <t>Jefferson Brown</t>
        </is>
      </c>
      <c r="B5689" t="n">
        <v>1</v>
      </c>
      <c r="C5689" t="n">
        <v>2010</v>
      </c>
      <c r="D5689" t="n">
        <v>2010</v>
      </c>
      <c r="E5689" t="inlineStr">
        <is>
          <t>RED</t>
        </is>
      </c>
      <c r="F5689" t="inlineStr">
        <is>
          <t>F0262</t>
        </is>
      </c>
    </row>
    <row r="5690">
      <c r="A5690" t="inlineStr">
        <is>
          <t>Chris Owens</t>
        </is>
      </c>
      <c r="B5690" t="n">
        <v>1</v>
      </c>
      <c r="C5690" t="n">
        <v>2010</v>
      </c>
      <c r="D5690" t="n">
        <v>2010</v>
      </c>
      <c r="E5690" t="inlineStr">
        <is>
          <t>RED</t>
        </is>
      </c>
      <c r="F5690" t="inlineStr">
        <is>
          <t>F0262</t>
        </is>
      </c>
    </row>
    <row r="5691">
      <c r="A5691" t="inlineStr">
        <is>
          <t>Jaqueline Fleming</t>
        </is>
      </c>
      <c r="B5691" t="n">
        <v>1</v>
      </c>
      <c r="C5691" t="n">
        <v>2010</v>
      </c>
      <c r="D5691" t="n">
        <v>2010</v>
      </c>
      <c r="E5691" t="inlineStr">
        <is>
          <t>RED</t>
        </is>
      </c>
      <c r="F5691" t="inlineStr">
        <is>
          <t>F0262</t>
        </is>
      </c>
    </row>
    <row r="5692">
      <c r="A5692" t="inlineStr">
        <is>
          <t>Randy Wade Kelley</t>
        </is>
      </c>
      <c r="B5692" t="n">
        <v>1</v>
      </c>
      <c r="C5692" t="n">
        <v>2010</v>
      </c>
      <c r="D5692" t="n">
        <v>2010</v>
      </c>
      <c r="E5692" t="inlineStr">
        <is>
          <t>RED</t>
        </is>
      </c>
      <c r="F5692" t="inlineStr">
        <is>
          <t>F0262</t>
        </is>
      </c>
    </row>
    <row r="5693">
      <c r="A5693" t="inlineStr">
        <is>
          <t>Jason Giuliano</t>
        </is>
      </c>
      <c r="B5693" t="n">
        <v>1</v>
      </c>
      <c r="C5693" t="n">
        <v>2010</v>
      </c>
      <c r="D5693" t="n">
        <v>2010</v>
      </c>
      <c r="E5693" t="inlineStr">
        <is>
          <t>RED</t>
        </is>
      </c>
      <c r="F5693" t="inlineStr">
        <is>
          <t>F0262</t>
        </is>
      </c>
    </row>
    <row r="5694">
      <c r="A5694" t="inlineStr">
        <is>
          <t>Alec Rayme</t>
        </is>
      </c>
      <c r="B5694" t="n">
        <v>1</v>
      </c>
      <c r="C5694" t="n">
        <v>2010</v>
      </c>
      <c r="D5694" t="n">
        <v>2010</v>
      </c>
      <c r="E5694" t="inlineStr">
        <is>
          <t>RED</t>
        </is>
      </c>
      <c r="F5694" t="inlineStr">
        <is>
          <t>F0262</t>
        </is>
      </c>
    </row>
    <row r="5695">
      <c r="A5695" t="inlineStr">
        <is>
          <t>Lawrence Turner</t>
        </is>
      </c>
      <c r="B5695" t="n">
        <v>1</v>
      </c>
      <c r="C5695" t="n">
        <v>2010</v>
      </c>
      <c r="D5695" t="n">
        <v>2010</v>
      </c>
      <c r="E5695" t="inlineStr">
        <is>
          <t>RED</t>
        </is>
      </c>
      <c r="F5695" t="inlineStr">
        <is>
          <t>F0262</t>
        </is>
      </c>
    </row>
    <row r="5696">
      <c r="A5696" t="inlineStr">
        <is>
          <t>Emily Kuroda</t>
        </is>
      </c>
      <c r="B5696" t="n">
        <v>1</v>
      </c>
      <c r="C5696" t="n">
        <v>2010</v>
      </c>
      <c r="D5696" t="n">
        <v>2010</v>
      </c>
      <c r="E5696" t="inlineStr">
        <is>
          <t>RED</t>
        </is>
      </c>
      <c r="F5696" t="inlineStr">
        <is>
          <t>F0262</t>
        </is>
      </c>
    </row>
    <row r="5697">
      <c r="A5697" t="inlineStr">
        <is>
          <t>Tara Yelland</t>
        </is>
      </c>
      <c r="B5697" t="n">
        <v>1</v>
      </c>
      <c r="C5697" t="n">
        <v>2010</v>
      </c>
      <c r="D5697" t="n">
        <v>2010</v>
      </c>
      <c r="E5697" t="inlineStr">
        <is>
          <t>RED</t>
        </is>
      </c>
      <c r="F5697" t="inlineStr">
        <is>
          <t>F0262</t>
        </is>
      </c>
    </row>
    <row r="5698">
      <c r="A5698" t="inlineStr">
        <is>
          <t>Audrey Wasilewski</t>
        </is>
      </c>
      <c r="B5698" t="n">
        <v>1</v>
      </c>
      <c r="C5698" t="n">
        <v>2010</v>
      </c>
      <c r="D5698" t="n">
        <v>2010</v>
      </c>
      <c r="E5698" t="inlineStr">
        <is>
          <t>RED</t>
        </is>
      </c>
      <c r="F5698" t="inlineStr">
        <is>
          <t>F0262</t>
        </is>
      </c>
    </row>
    <row r="5699">
      <c r="A5699" t="inlineStr">
        <is>
          <t>Dmitry Chepovetsky</t>
        </is>
      </c>
      <c r="B5699" t="n">
        <v>1</v>
      </c>
      <c r="C5699" t="n">
        <v>2010</v>
      </c>
      <c r="D5699" t="n">
        <v>2010</v>
      </c>
      <c r="E5699" t="inlineStr">
        <is>
          <t>RED</t>
        </is>
      </c>
      <c r="F5699" t="inlineStr">
        <is>
          <t>F0262</t>
        </is>
      </c>
    </row>
    <row r="5700">
      <c r="A5700" t="inlineStr">
        <is>
          <t>Matthew Olver</t>
        </is>
      </c>
      <c r="B5700" t="n">
        <v>1</v>
      </c>
      <c r="C5700" t="n">
        <v>2010</v>
      </c>
      <c r="D5700" t="n">
        <v>2010</v>
      </c>
      <c r="E5700" t="inlineStr">
        <is>
          <t>RED</t>
        </is>
      </c>
      <c r="F5700" t="inlineStr">
        <is>
          <t>F0262</t>
        </is>
      </c>
    </row>
    <row r="5701">
      <c r="A5701" t="inlineStr">
        <is>
          <t>Jason Weinberg</t>
        </is>
      </c>
      <c r="B5701" t="n">
        <v>1</v>
      </c>
      <c r="C5701" t="n">
        <v>2010</v>
      </c>
      <c r="D5701" t="n">
        <v>2010</v>
      </c>
      <c r="E5701" t="inlineStr">
        <is>
          <t>RED</t>
        </is>
      </c>
      <c r="F5701" t="inlineStr">
        <is>
          <t>F0262</t>
        </is>
      </c>
    </row>
    <row r="5702">
      <c r="A5702" t="inlineStr">
        <is>
          <t>Tony De Santis</t>
        </is>
      </c>
      <c r="B5702" t="n">
        <v>1</v>
      </c>
      <c r="C5702" t="n">
        <v>2010</v>
      </c>
      <c r="D5702" t="n">
        <v>2010</v>
      </c>
      <c r="E5702" t="inlineStr">
        <is>
          <t>RED</t>
        </is>
      </c>
      <c r="F5702" t="inlineStr">
        <is>
          <t>F0262</t>
        </is>
      </c>
    </row>
    <row r="5703">
      <c r="A5703" t="inlineStr">
        <is>
          <t>Greg Bryk</t>
        </is>
      </c>
      <c r="B5703" t="n">
        <v>1</v>
      </c>
      <c r="C5703" t="n">
        <v>2010</v>
      </c>
      <c r="D5703" t="n">
        <v>2010</v>
      </c>
      <c r="E5703" t="inlineStr">
        <is>
          <t>RED</t>
        </is>
      </c>
      <c r="F5703" t="inlineStr">
        <is>
          <t>F0262</t>
        </is>
      </c>
    </row>
    <row r="5704">
      <c r="A5704" t="inlineStr">
        <is>
          <t>Scott Moutter</t>
        </is>
      </c>
      <c r="B5704" t="n">
        <v>1</v>
      </c>
      <c r="C5704" t="n">
        <v>2002</v>
      </c>
      <c r="D5704" t="n">
        <v>2002</v>
      </c>
      <c r="E5704" t="inlineStr">
        <is>
          <t>Reign of Fire</t>
        </is>
      </c>
      <c r="F5704" t="inlineStr">
        <is>
          <t>F0263</t>
        </is>
      </c>
    </row>
    <row r="5705">
      <c r="A5705" t="inlineStr">
        <is>
          <t>David Kennedy</t>
        </is>
      </c>
      <c r="B5705" t="n">
        <v>1</v>
      </c>
      <c r="C5705" t="n">
        <v>2002</v>
      </c>
      <c r="D5705" t="n">
        <v>2002</v>
      </c>
      <c r="E5705" t="inlineStr">
        <is>
          <t>Reign of Fire</t>
        </is>
      </c>
      <c r="F5705" t="inlineStr">
        <is>
          <t>F0263</t>
        </is>
      </c>
    </row>
    <row r="5706">
      <c r="A5706" t="inlineStr">
        <is>
          <t>Ned Dennehy</t>
        </is>
      </c>
      <c r="B5706" t="n">
        <v>1</v>
      </c>
      <c r="C5706" t="n">
        <v>2002</v>
      </c>
      <c r="D5706" t="n">
        <v>2002</v>
      </c>
      <c r="E5706" t="inlineStr">
        <is>
          <t>Reign of Fire</t>
        </is>
      </c>
      <c r="F5706" t="inlineStr">
        <is>
          <t>F0263</t>
        </is>
      </c>
    </row>
    <row r="5707">
      <c r="A5707" t="inlineStr">
        <is>
          <t>Terence Maynard</t>
        </is>
      </c>
      <c r="B5707" t="n">
        <v>1</v>
      </c>
      <c r="C5707" t="n">
        <v>2002</v>
      </c>
      <c r="D5707" t="n">
        <v>2002</v>
      </c>
      <c r="E5707" t="inlineStr">
        <is>
          <t>Reign of Fire</t>
        </is>
      </c>
      <c r="F5707" t="inlineStr">
        <is>
          <t>F0263</t>
        </is>
      </c>
    </row>
    <row r="5708">
      <c r="A5708" t="inlineStr">
        <is>
          <t>Doug Cockle</t>
        </is>
      </c>
      <c r="B5708" t="n">
        <v>1</v>
      </c>
      <c r="C5708" t="n">
        <v>2002</v>
      </c>
      <c r="D5708" t="n">
        <v>2002</v>
      </c>
      <c r="E5708" t="inlineStr">
        <is>
          <t>Reign of Fire</t>
        </is>
      </c>
      <c r="F5708" t="inlineStr">
        <is>
          <t>F0263</t>
        </is>
      </c>
    </row>
    <row r="5709">
      <c r="A5709" t="inlineStr">
        <is>
          <t>Randall Carlton</t>
        </is>
      </c>
      <c r="B5709" t="n">
        <v>1</v>
      </c>
      <c r="C5709" t="n">
        <v>2002</v>
      </c>
      <c r="D5709" t="n">
        <v>2002</v>
      </c>
      <c r="E5709" t="inlineStr">
        <is>
          <t>Reign of Fire</t>
        </is>
      </c>
      <c r="F5709" t="inlineStr">
        <is>
          <t>F0263</t>
        </is>
      </c>
    </row>
    <row r="5710">
      <c r="A5710" t="inlineStr">
        <is>
          <t>Ben Thornton</t>
        </is>
      </c>
      <c r="B5710" t="n">
        <v>1</v>
      </c>
      <c r="C5710" t="n">
        <v>2002</v>
      </c>
      <c r="D5710" t="n">
        <v>2002</v>
      </c>
      <c r="E5710" t="inlineStr">
        <is>
          <t>Reign of Fire</t>
        </is>
      </c>
      <c r="F5710" t="inlineStr">
        <is>
          <t>F0263</t>
        </is>
      </c>
    </row>
    <row r="5711">
      <c r="A5711" t="inlineStr">
        <is>
          <t>Alice Krige</t>
        </is>
      </c>
      <c r="B5711" t="n">
        <v>1</v>
      </c>
      <c r="C5711" t="n">
        <v>2002</v>
      </c>
      <c r="D5711" t="n">
        <v>2002</v>
      </c>
      <c r="E5711" t="inlineStr">
        <is>
          <t>Reign of Fire</t>
        </is>
      </c>
      <c r="F5711" t="inlineStr">
        <is>
          <t>F0263</t>
        </is>
      </c>
    </row>
    <row r="5712">
      <c r="A5712" t="inlineStr">
        <is>
          <t>Malcolm Douglas</t>
        </is>
      </c>
      <c r="B5712" t="n">
        <v>1</v>
      </c>
      <c r="C5712" t="n">
        <v>2002</v>
      </c>
      <c r="D5712" t="n">
        <v>2002</v>
      </c>
      <c r="E5712" t="inlineStr">
        <is>
          <t>Reign of Fire</t>
        </is>
      </c>
      <c r="F5712" t="inlineStr">
        <is>
          <t>F0263</t>
        </is>
      </c>
    </row>
    <row r="5713">
      <c r="A5713" t="inlineStr">
        <is>
          <t>Berts Folan</t>
        </is>
      </c>
      <c r="B5713" t="n">
        <v>1</v>
      </c>
      <c r="C5713" t="n">
        <v>2002</v>
      </c>
      <c r="D5713" t="n">
        <v>2002</v>
      </c>
      <c r="E5713" t="inlineStr">
        <is>
          <t>Reign of Fire</t>
        </is>
      </c>
      <c r="F5713" t="inlineStr">
        <is>
          <t>F0263</t>
        </is>
      </c>
    </row>
    <row r="5714">
      <c r="A5714" t="inlineStr">
        <is>
          <t>Brian McGuinness</t>
        </is>
      </c>
      <c r="B5714" t="n">
        <v>1</v>
      </c>
      <c r="C5714" t="n">
        <v>2002</v>
      </c>
      <c r="D5714" t="n">
        <v>2002</v>
      </c>
      <c r="E5714" t="inlineStr">
        <is>
          <t>Reign of Fire</t>
        </is>
      </c>
      <c r="F5714" t="inlineStr">
        <is>
          <t>F0263</t>
        </is>
      </c>
    </row>
    <row r="5715">
      <c r="A5715" t="inlineStr">
        <is>
          <t>Barry Barnes</t>
        </is>
      </c>
      <c r="B5715" t="n">
        <v>1</v>
      </c>
      <c r="C5715" t="n">
        <v>2002</v>
      </c>
      <c r="D5715" t="n">
        <v>2002</v>
      </c>
      <c r="E5715" t="inlineStr">
        <is>
          <t>Reign of Fire</t>
        </is>
      </c>
      <c r="F5715" t="inlineStr">
        <is>
          <t>F0263</t>
        </is>
      </c>
    </row>
    <row r="5716">
      <c r="A5716" t="inlineStr">
        <is>
          <t>Gerry O'Brien</t>
        </is>
      </c>
      <c r="B5716" t="n">
        <v>1</v>
      </c>
      <c r="C5716" t="n">
        <v>2002</v>
      </c>
      <c r="D5716" t="n">
        <v>2002</v>
      </c>
      <c r="E5716" t="inlineStr">
        <is>
          <t>Reign of Fire</t>
        </is>
      </c>
      <c r="F5716" t="inlineStr">
        <is>
          <t>F0263</t>
        </is>
      </c>
    </row>
    <row r="5717">
      <c r="A5717" t="inlineStr">
        <is>
          <t>Laura Pyper</t>
        </is>
      </c>
      <c r="B5717" t="n">
        <v>1</v>
      </c>
      <c r="C5717" t="n">
        <v>2002</v>
      </c>
      <c r="D5717" t="n">
        <v>2002</v>
      </c>
      <c r="E5717" t="inlineStr">
        <is>
          <t>Reign of Fire</t>
        </is>
      </c>
      <c r="F5717" t="inlineStr">
        <is>
          <t>F0263</t>
        </is>
      </c>
    </row>
    <row r="5718">
      <c r="A5718" t="inlineStr">
        <is>
          <t>Maree Duffy</t>
        </is>
      </c>
      <c r="B5718" t="n">
        <v>1</v>
      </c>
      <c r="C5718" t="n">
        <v>2002</v>
      </c>
      <c r="D5718" t="n">
        <v>2002</v>
      </c>
      <c r="E5718" t="inlineStr">
        <is>
          <t>Reign of Fire</t>
        </is>
      </c>
      <c r="F5718" t="inlineStr">
        <is>
          <t>F0263</t>
        </is>
      </c>
    </row>
    <row r="5719">
      <c r="A5719" t="inlineStr">
        <is>
          <t>David Garrick</t>
        </is>
      </c>
      <c r="B5719" t="n">
        <v>2</v>
      </c>
      <c r="C5719" t="n">
        <v>2002</v>
      </c>
      <c r="D5719" t="n">
        <v>2009</v>
      </c>
      <c r="E5719" t="inlineStr">
        <is>
          <t>Reign of Fire, Sherlock Holmes</t>
        </is>
      </c>
      <c r="F5719" t="inlineStr">
        <is>
          <t>F0263, F0278</t>
        </is>
      </c>
    </row>
    <row r="5720">
      <c r="A5720" t="inlineStr">
        <is>
          <t>Anne Maria McAuley</t>
        </is>
      </c>
      <c r="B5720" t="n">
        <v>1</v>
      </c>
      <c r="C5720" t="n">
        <v>2002</v>
      </c>
      <c r="D5720" t="n">
        <v>2002</v>
      </c>
      <c r="E5720" t="inlineStr">
        <is>
          <t>Reign of Fire</t>
        </is>
      </c>
      <c r="F5720" t="inlineStr">
        <is>
          <t>F0263</t>
        </is>
      </c>
    </row>
    <row r="5721">
      <c r="A5721" t="inlineStr">
        <is>
          <t>Dessie Gallagher</t>
        </is>
      </c>
      <c r="B5721" t="n">
        <v>1</v>
      </c>
      <c r="C5721" t="n">
        <v>2002</v>
      </c>
      <c r="D5721" t="n">
        <v>2002</v>
      </c>
      <c r="E5721" t="inlineStr">
        <is>
          <t>Reign of Fire</t>
        </is>
      </c>
      <c r="F5721" t="inlineStr">
        <is>
          <t>F0263</t>
        </is>
      </c>
    </row>
    <row r="5722">
      <c r="A5722" t="inlineStr">
        <is>
          <t>Jack Gleeson</t>
        </is>
      </c>
      <c r="B5722" t="n">
        <v>1</v>
      </c>
      <c r="C5722" t="n">
        <v>2002</v>
      </c>
      <c r="D5722" t="n">
        <v>2002</v>
      </c>
      <c r="E5722" t="inlineStr">
        <is>
          <t>Reign of Fire</t>
        </is>
      </c>
      <c r="F5722" t="inlineStr">
        <is>
          <t>F0263</t>
        </is>
      </c>
    </row>
    <row r="5723">
      <c r="A5723" t="inlineStr">
        <is>
          <t>Chris Kelly</t>
        </is>
      </c>
      <c r="B5723" t="n">
        <v>1</v>
      </c>
      <c r="C5723" t="n">
        <v>2002</v>
      </c>
      <c r="D5723" t="n">
        <v>2002</v>
      </c>
      <c r="E5723" t="inlineStr">
        <is>
          <t>Reign of Fire</t>
        </is>
      </c>
      <c r="F5723" t="inlineStr">
        <is>
          <t>F0263</t>
        </is>
      </c>
    </row>
    <row r="5724">
      <c r="A5724" t="inlineStr">
        <is>
          <t>Nolan Gerard Funk</t>
        </is>
      </c>
      <c r="B5724" t="n">
        <v>1</v>
      </c>
      <c r="C5724" t="n">
        <v>2013</v>
      </c>
      <c r="D5724" t="n">
        <v>2013</v>
      </c>
      <c r="E5724" t="inlineStr">
        <is>
          <t>Riddick</t>
        </is>
      </c>
      <c r="F5724" t="inlineStr">
        <is>
          <t>F0264</t>
        </is>
      </c>
    </row>
    <row r="5725">
      <c r="A5725" t="inlineStr">
        <is>
          <t>Bokeem Woodbine</t>
        </is>
      </c>
      <c r="B5725" t="n">
        <v>1</v>
      </c>
      <c r="C5725" t="n">
        <v>2013</v>
      </c>
      <c r="D5725" t="n">
        <v>2013</v>
      </c>
      <c r="E5725" t="inlineStr">
        <is>
          <t>Riddick</t>
        </is>
      </c>
      <c r="F5725" t="inlineStr">
        <is>
          <t>F0264</t>
        </is>
      </c>
    </row>
    <row r="5726">
      <c r="A5726" t="inlineStr">
        <is>
          <t>Andreas Apergis</t>
        </is>
      </c>
      <c r="B5726" t="n">
        <v>2</v>
      </c>
      <c r="C5726" t="n">
        <v>2013</v>
      </c>
      <c r="D5726" t="n">
        <v>2013</v>
      </c>
      <c r="E5726" t="inlineStr">
        <is>
          <t>Riddick, White House Down</t>
        </is>
      </c>
      <c r="F5726" t="inlineStr">
        <is>
          <t>F0264, F0335</t>
        </is>
      </c>
    </row>
    <row r="5727">
      <c r="A5727" t="inlineStr">
        <is>
          <t>Noah Dalton Danby</t>
        </is>
      </c>
      <c r="B5727" t="n">
        <v>1</v>
      </c>
      <c r="C5727" t="n">
        <v>2013</v>
      </c>
      <c r="D5727" t="n">
        <v>2013</v>
      </c>
      <c r="E5727" t="inlineStr">
        <is>
          <t>Riddick</t>
        </is>
      </c>
      <c r="F5727" t="inlineStr">
        <is>
          <t>F0264</t>
        </is>
      </c>
    </row>
    <row r="5728">
      <c r="A5728" t="inlineStr">
        <is>
          <t>Neil Napier</t>
        </is>
      </c>
      <c r="B5728" t="n">
        <v>1</v>
      </c>
      <c r="C5728" t="n">
        <v>2013</v>
      </c>
      <c r="D5728" t="n">
        <v>2013</v>
      </c>
      <c r="E5728" t="inlineStr">
        <is>
          <t>Riddick</t>
        </is>
      </c>
      <c r="F5728" t="inlineStr">
        <is>
          <t>F0264</t>
        </is>
      </c>
    </row>
    <row r="5729">
      <c r="A5729" t="inlineStr">
        <is>
          <t>Conrad Pla</t>
        </is>
      </c>
      <c r="B5729" t="n">
        <v>1</v>
      </c>
      <c r="C5729" t="n">
        <v>2013</v>
      </c>
      <c r="D5729" t="n">
        <v>2013</v>
      </c>
      <c r="E5729" t="inlineStr">
        <is>
          <t>Riddick</t>
        </is>
      </c>
      <c r="F5729" t="inlineStr">
        <is>
          <t>F0264</t>
        </is>
      </c>
    </row>
    <row r="5730">
      <c r="A5730" t="inlineStr">
        <is>
          <t>Danny Blanco Hall</t>
        </is>
      </c>
      <c r="B5730" t="n">
        <v>1</v>
      </c>
      <c r="C5730" t="n">
        <v>2013</v>
      </c>
      <c r="D5730" t="n">
        <v>2013</v>
      </c>
      <c r="E5730" t="inlineStr">
        <is>
          <t>Riddick</t>
        </is>
      </c>
      <c r="F5730" t="inlineStr">
        <is>
          <t>F0264</t>
        </is>
      </c>
    </row>
    <row r="5731">
      <c r="A5731" t="inlineStr">
        <is>
          <t>Keri Hilson</t>
        </is>
      </c>
      <c r="B5731" t="n">
        <v>1</v>
      </c>
      <c r="C5731" t="n">
        <v>2013</v>
      </c>
      <c r="D5731" t="n">
        <v>2013</v>
      </c>
      <c r="E5731" t="inlineStr">
        <is>
          <t>Riddick</t>
        </is>
      </c>
      <c r="F5731" t="inlineStr">
        <is>
          <t>F0264</t>
        </is>
      </c>
    </row>
    <row r="5732">
      <c r="A5732" t="inlineStr">
        <is>
          <t>Charlie Marie Dupont</t>
        </is>
      </c>
      <c r="B5732" t="n">
        <v>1</v>
      </c>
      <c r="C5732" t="n">
        <v>2013</v>
      </c>
      <c r="D5732" t="n">
        <v>2013</v>
      </c>
      <c r="E5732" t="inlineStr">
        <is>
          <t>Riddick</t>
        </is>
      </c>
      <c r="F5732" t="inlineStr">
        <is>
          <t>F0264</t>
        </is>
      </c>
    </row>
    <row r="5733">
      <c r="A5733" t="inlineStr">
        <is>
          <t>Jan Gerste</t>
        </is>
      </c>
      <c r="B5733" t="n">
        <v>2</v>
      </c>
      <c r="C5733" t="n">
        <v>2013</v>
      </c>
      <c r="D5733" t="n">
        <v>2014</v>
      </c>
      <c r="E5733" t="inlineStr">
        <is>
          <t>Riddick, X-Men: Days of Future Past</t>
        </is>
      </c>
      <c r="F5733" t="inlineStr">
        <is>
          <t>F0264, F0341</t>
        </is>
      </c>
    </row>
    <row r="5734">
      <c r="A5734" t="inlineStr">
        <is>
          <t>Antoinette Kalaj</t>
        </is>
      </c>
      <c r="B5734" t="n">
        <v>1</v>
      </c>
      <c r="C5734" t="n">
        <v>2013</v>
      </c>
      <c r="D5734" t="n">
        <v>2013</v>
      </c>
      <c r="E5734" t="inlineStr">
        <is>
          <t>Riddick</t>
        </is>
      </c>
      <c r="F5734" t="inlineStr">
        <is>
          <t>F0264</t>
        </is>
      </c>
    </row>
    <row r="5735">
      <c r="A5735" t="inlineStr">
        <is>
          <t>Alexandra Sokolovskaya</t>
        </is>
      </c>
      <c r="B5735" t="n">
        <v>1</v>
      </c>
      <c r="C5735" t="n">
        <v>2013</v>
      </c>
      <c r="D5735" t="n">
        <v>2013</v>
      </c>
      <c r="E5735" t="inlineStr">
        <is>
          <t>Riddick</t>
        </is>
      </c>
      <c r="F5735" t="inlineStr">
        <is>
          <t>F0264</t>
        </is>
      </c>
    </row>
    <row r="5736">
      <c r="A5736" t="inlineStr">
        <is>
          <t>Lani Minella</t>
        </is>
      </c>
      <c r="B5736" t="n">
        <v>1</v>
      </c>
      <c r="C5736" t="n">
        <v>2013</v>
      </c>
      <c r="D5736" t="n">
        <v>2013</v>
      </c>
      <c r="E5736" t="inlineStr">
        <is>
          <t>Riddick</t>
        </is>
      </c>
      <c r="F5736" t="inlineStr">
        <is>
          <t>F0264</t>
        </is>
      </c>
    </row>
    <row r="5737">
      <c r="A5737" t="inlineStr">
        <is>
          <t>George López</t>
        </is>
      </c>
      <c r="B5737" t="n">
        <v>2</v>
      </c>
      <c r="C5737" t="n">
        <v>2011</v>
      </c>
      <c r="D5737" t="n">
        <v>2014</v>
      </c>
      <c r="E5737" t="inlineStr">
        <is>
          <t>Rio, Rio 2</t>
        </is>
      </c>
      <c r="F5737" t="inlineStr">
        <is>
          <t>F0265, F0266</t>
        </is>
      </c>
    </row>
    <row r="5738">
      <c r="A5738" t="inlineStr">
        <is>
          <t>Rodrigo Santoro</t>
        </is>
      </c>
      <c r="B5738" t="n">
        <v>2</v>
      </c>
      <c r="C5738" t="n">
        <v>2011</v>
      </c>
      <c r="D5738" t="n">
        <v>2014</v>
      </c>
      <c r="E5738" t="inlineStr">
        <is>
          <t>Rio, Rio 2</t>
        </is>
      </c>
      <c r="F5738" t="inlineStr">
        <is>
          <t>F0265, F0266</t>
        </is>
      </c>
    </row>
    <row r="5739">
      <c r="A5739" t="inlineStr">
        <is>
          <t>Jake T. Austin</t>
        </is>
      </c>
      <c r="B5739" t="n">
        <v>2</v>
      </c>
      <c r="C5739" t="n">
        <v>2011</v>
      </c>
      <c r="D5739" t="n">
        <v>2014</v>
      </c>
      <c r="E5739" t="inlineStr">
        <is>
          <t>Rio, Rio 2</t>
        </is>
      </c>
      <c r="F5739" t="inlineStr">
        <is>
          <t>F0265, F0266</t>
        </is>
      </c>
    </row>
    <row r="5740">
      <c r="A5740" t="inlineStr">
        <is>
          <t>Carlos Ponce</t>
        </is>
      </c>
      <c r="B5740" t="n">
        <v>2</v>
      </c>
      <c r="C5740" t="n">
        <v>2011</v>
      </c>
      <c r="D5740" t="n">
        <v>2015</v>
      </c>
      <c r="E5740" t="inlineStr">
        <is>
          <t>Rio, Spy</t>
        </is>
      </c>
      <c r="F5740" t="inlineStr">
        <is>
          <t>F0265, F0290</t>
        </is>
      </c>
    </row>
    <row r="5741">
      <c r="A5741" t="inlineStr">
        <is>
          <t>Gracinha Leporace</t>
        </is>
      </c>
      <c r="B5741" t="n">
        <v>2</v>
      </c>
      <c r="C5741" t="n">
        <v>2011</v>
      </c>
      <c r="D5741" t="n">
        <v>2014</v>
      </c>
      <c r="E5741" t="inlineStr">
        <is>
          <t>Rio, Rio 2</t>
        </is>
      </c>
      <c r="F5741" t="inlineStr">
        <is>
          <t>F0265, F0266</t>
        </is>
      </c>
    </row>
    <row r="5742">
      <c r="A5742" t="inlineStr">
        <is>
          <t>Phil Miler</t>
        </is>
      </c>
      <c r="B5742" t="n">
        <v>1</v>
      </c>
      <c r="C5742" t="n">
        <v>2011</v>
      </c>
      <c r="D5742" t="n">
        <v>2011</v>
      </c>
      <c r="E5742" t="inlineStr">
        <is>
          <t>Rio</t>
        </is>
      </c>
      <c r="F5742" t="inlineStr">
        <is>
          <t>F0265</t>
        </is>
      </c>
    </row>
    <row r="5743">
      <c r="A5743" t="inlineStr">
        <is>
          <t>Bernardo de Paula</t>
        </is>
      </c>
      <c r="B5743" t="n">
        <v>2</v>
      </c>
      <c r="C5743" t="n">
        <v>2011</v>
      </c>
      <c r="D5743" t="n">
        <v>2014</v>
      </c>
      <c r="E5743" t="inlineStr">
        <is>
          <t>Rio, Rio 2</t>
        </is>
      </c>
      <c r="F5743" t="inlineStr">
        <is>
          <t>F0265, F0266</t>
        </is>
      </c>
    </row>
    <row r="5744">
      <c r="A5744" t="inlineStr">
        <is>
          <t>Renato D'Angelo</t>
        </is>
      </c>
      <c r="B5744" t="n">
        <v>1</v>
      </c>
      <c r="C5744" t="n">
        <v>2011</v>
      </c>
      <c r="D5744" t="n">
        <v>2011</v>
      </c>
      <c r="E5744" t="inlineStr">
        <is>
          <t>Rio</t>
        </is>
      </c>
      <c r="F5744" t="inlineStr">
        <is>
          <t>F0265</t>
        </is>
      </c>
    </row>
    <row r="5745">
      <c r="A5745" t="inlineStr">
        <is>
          <t>Davi Vieira</t>
        </is>
      </c>
      <c r="B5745" t="n">
        <v>1</v>
      </c>
      <c r="C5745" t="n">
        <v>2011</v>
      </c>
      <c r="D5745" t="n">
        <v>2011</v>
      </c>
      <c r="E5745" t="inlineStr">
        <is>
          <t>Rio</t>
        </is>
      </c>
      <c r="F5745" t="inlineStr">
        <is>
          <t>F0265</t>
        </is>
      </c>
    </row>
    <row r="5746">
      <c r="A5746" t="inlineStr">
        <is>
          <t>Cindy Slattery</t>
        </is>
      </c>
      <c r="B5746" t="n">
        <v>1</v>
      </c>
      <c r="C5746" t="n">
        <v>2011</v>
      </c>
      <c r="D5746" t="n">
        <v>2011</v>
      </c>
      <c r="E5746" t="inlineStr">
        <is>
          <t>Rio</t>
        </is>
      </c>
      <c r="F5746" t="inlineStr">
        <is>
          <t>F0265</t>
        </is>
      </c>
    </row>
    <row r="5747">
      <c r="A5747" t="inlineStr">
        <is>
          <t>Justine Warwick</t>
        </is>
      </c>
      <c r="B5747" t="n">
        <v>1</v>
      </c>
      <c r="C5747" t="n">
        <v>2011</v>
      </c>
      <c r="D5747" t="n">
        <v>2011</v>
      </c>
      <c r="E5747" t="inlineStr">
        <is>
          <t>Rio</t>
        </is>
      </c>
      <c r="F5747" t="inlineStr">
        <is>
          <t>F0265</t>
        </is>
      </c>
    </row>
    <row r="5748">
      <c r="A5748" t="inlineStr">
        <is>
          <t>Bebel Gilberto</t>
        </is>
      </c>
      <c r="B5748" t="n">
        <v>2</v>
      </c>
      <c r="C5748" t="n">
        <v>2011</v>
      </c>
      <c r="D5748" t="n">
        <v>2014</v>
      </c>
      <c r="E5748" t="inlineStr">
        <is>
          <t>Rio, Rio 2</t>
        </is>
      </c>
      <c r="F5748" t="inlineStr">
        <is>
          <t>F0265, F0266</t>
        </is>
      </c>
    </row>
    <row r="5749">
      <c r="A5749" t="inlineStr">
        <is>
          <t>Judah Friedlander</t>
        </is>
      </c>
      <c r="B5749" t="n">
        <v>1</v>
      </c>
      <c r="C5749" t="n">
        <v>2011</v>
      </c>
      <c r="D5749" t="n">
        <v>2011</v>
      </c>
      <c r="E5749" t="inlineStr">
        <is>
          <t>Rio</t>
        </is>
      </c>
      <c r="F5749" t="inlineStr">
        <is>
          <t>F0265</t>
        </is>
      </c>
    </row>
    <row r="5750">
      <c r="A5750" t="inlineStr">
        <is>
          <t>Francisco Ramos</t>
        </is>
      </c>
      <c r="B5750" t="n">
        <v>1</v>
      </c>
      <c r="C5750" t="n">
        <v>2011</v>
      </c>
      <c r="D5750" t="n">
        <v>2011</v>
      </c>
      <c r="E5750" t="inlineStr">
        <is>
          <t>Rio</t>
        </is>
      </c>
      <c r="F5750" t="inlineStr">
        <is>
          <t>F0265</t>
        </is>
      </c>
    </row>
    <row r="5751">
      <c r="A5751" t="inlineStr">
        <is>
          <t>Andy Garcia</t>
        </is>
      </c>
      <c r="B5751" t="n">
        <v>1</v>
      </c>
      <c r="C5751" t="n">
        <v>2014</v>
      </c>
      <c r="D5751" t="n">
        <v>2014</v>
      </c>
      <c r="E5751" t="inlineStr">
        <is>
          <t>Rio 2</t>
        </is>
      </c>
      <c r="F5751" t="inlineStr">
        <is>
          <t>F0266</t>
        </is>
      </c>
    </row>
    <row r="5752">
      <c r="A5752" t="inlineStr">
        <is>
          <t>Bruno Mars</t>
        </is>
      </c>
      <c r="B5752" t="n">
        <v>1</v>
      </c>
      <c r="C5752" t="n">
        <v>2014</v>
      </c>
      <c r="D5752" t="n">
        <v>2014</v>
      </c>
      <c r="E5752" t="inlineStr">
        <is>
          <t>Rio 2</t>
        </is>
      </c>
      <c r="F5752" t="inlineStr">
        <is>
          <t>F0266</t>
        </is>
      </c>
    </row>
    <row r="5753">
      <c r="A5753" t="inlineStr">
        <is>
          <t>Pierce Gagnon</t>
        </is>
      </c>
      <c r="B5753" t="n">
        <v>1</v>
      </c>
      <c r="C5753" t="n">
        <v>2014</v>
      </c>
      <c r="D5753" t="n">
        <v>2014</v>
      </c>
      <c r="E5753" t="inlineStr">
        <is>
          <t>Rio 2</t>
        </is>
      </c>
      <c r="F5753" t="inlineStr">
        <is>
          <t>F0266</t>
        </is>
      </c>
    </row>
    <row r="5754">
      <c r="A5754" t="inlineStr">
        <is>
          <t>Kristin Chenoweth</t>
        </is>
      </c>
      <c r="B5754" t="n">
        <v>1</v>
      </c>
      <c r="C5754" t="n">
        <v>2014</v>
      </c>
      <c r="D5754" t="n">
        <v>2014</v>
      </c>
      <c r="E5754" t="inlineStr">
        <is>
          <t>Rio 2</t>
        </is>
      </c>
      <c r="F5754" t="inlineStr">
        <is>
          <t>F0266</t>
        </is>
      </c>
    </row>
    <row r="5755">
      <c r="A5755" t="inlineStr">
        <is>
          <t>Rachel Crow</t>
        </is>
      </c>
      <c r="B5755" t="n">
        <v>1</v>
      </c>
      <c r="C5755" t="n">
        <v>2014</v>
      </c>
      <c r="D5755" t="n">
        <v>2014</v>
      </c>
      <c r="E5755" t="inlineStr">
        <is>
          <t>Rio 2</t>
        </is>
      </c>
      <c r="F5755" t="inlineStr">
        <is>
          <t>F0266</t>
        </is>
      </c>
    </row>
    <row r="5756">
      <c r="A5756" t="inlineStr">
        <is>
          <t>Jason Harris</t>
        </is>
      </c>
      <c r="B5756" t="n">
        <v>1</v>
      </c>
      <c r="C5756" t="n">
        <v>2014</v>
      </c>
      <c r="D5756" t="n">
        <v>2014</v>
      </c>
      <c r="E5756" t="inlineStr">
        <is>
          <t>Rio 2</t>
        </is>
      </c>
      <c r="F5756" t="inlineStr">
        <is>
          <t>F0266</t>
        </is>
      </c>
    </row>
    <row r="5757">
      <c r="A5757" t="inlineStr">
        <is>
          <t>Janelle Monáe</t>
        </is>
      </c>
      <c r="B5757" t="n">
        <v>1</v>
      </c>
      <c r="C5757" t="n">
        <v>2014</v>
      </c>
      <c r="D5757" t="n">
        <v>2014</v>
      </c>
      <c r="E5757" t="inlineStr">
        <is>
          <t>Rio 2</t>
        </is>
      </c>
      <c r="F5757" t="inlineStr">
        <is>
          <t>F0266</t>
        </is>
      </c>
    </row>
    <row r="5758">
      <c r="A5758" t="inlineStr">
        <is>
          <t>Amy Heidemann</t>
        </is>
      </c>
      <c r="B5758" t="n">
        <v>1</v>
      </c>
      <c r="C5758" t="n">
        <v>2014</v>
      </c>
      <c r="D5758" t="n">
        <v>2014</v>
      </c>
      <c r="E5758" t="inlineStr">
        <is>
          <t>Rio 2</t>
        </is>
      </c>
      <c r="F5758" t="inlineStr">
        <is>
          <t>F0266</t>
        </is>
      </c>
    </row>
    <row r="5759">
      <c r="A5759" t="inlineStr">
        <is>
          <t>Carlinhos Brown</t>
        </is>
      </c>
      <c r="B5759" t="n">
        <v>1</v>
      </c>
      <c r="C5759" t="n">
        <v>2014</v>
      </c>
      <c r="D5759" t="n">
        <v>2014</v>
      </c>
      <c r="E5759" t="inlineStr">
        <is>
          <t>Rio 2</t>
        </is>
      </c>
      <c r="F5759" t="inlineStr">
        <is>
          <t>F0266</t>
        </is>
      </c>
    </row>
    <row r="5760">
      <c r="A5760" t="inlineStr">
        <is>
          <t>Jim Conroy</t>
        </is>
      </c>
      <c r="B5760" t="n">
        <v>1</v>
      </c>
      <c r="C5760" t="n">
        <v>2014</v>
      </c>
      <c r="D5760" t="n">
        <v>2014</v>
      </c>
      <c r="E5760" t="inlineStr">
        <is>
          <t>Rio 2</t>
        </is>
      </c>
      <c r="F5760" t="inlineStr">
        <is>
          <t>F0266</t>
        </is>
      </c>
    </row>
    <row r="5761">
      <c r="A5761" t="inlineStr">
        <is>
          <t>Nola Donkin</t>
        </is>
      </c>
      <c r="B5761" t="n">
        <v>1</v>
      </c>
      <c r="C5761" t="n">
        <v>2014</v>
      </c>
      <c r="D5761" t="n">
        <v>2014</v>
      </c>
      <c r="E5761" t="inlineStr">
        <is>
          <t>Rio 2</t>
        </is>
      </c>
      <c r="F5761" t="inlineStr">
        <is>
          <t>F0266</t>
        </is>
      </c>
    </row>
    <row r="5762">
      <c r="A5762" t="inlineStr">
        <is>
          <t>Kevin W. Keane</t>
        </is>
      </c>
      <c r="B5762" t="n">
        <v>1</v>
      </c>
      <c r="C5762" t="n">
        <v>2014</v>
      </c>
      <c r="D5762" t="n">
        <v>2014</v>
      </c>
      <c r="E5762" t="inlineStr">
        <is>
          <t>Rio 2</t>
        </is>
      </c>
      <c r="F5762" t="inlineStr">
        <is>
          <t>F0266</t>
        </is>
      </c>
    </row>
    <row r="5763">
      <c r="A5763" t="inlineStr">
        <is>
          <t>Philip Lawrence</t>
        </is>
      </c>
      <c r="B5763" t="n">
        <v>1</v>
      </c>
      <c r="C5763" t="n">
        <v>2014</v>
      </c>
      <c r="D5763" t="n">
        <v>2014</v>
      </c>
      <c r="E5763" t="inlineStr">
        <is>
          <t>Rio 2</t>
        </is>
      </c>
      <c r="F5763" t="inlineStr">
        <is>
          <t>F0266</t>
        </is>
      </c>
    </row>
    <row r="5764">
      <c r="A5764" t="inlineStr">
        <is>
          <t>Eileen Atkins</t>
        </is>
      </c>
      <c r="B5764" t="n">
        <v>1</v>
      </c>
      <c r="C5764" t="n">
        <v>2010</v>
      </c>
      <c r="D5764" t="n">
        <v>2010</v>
      </c>
      <c r="E5764" t="inlineStr">
        <is>
          <t>Robin Hood</t>
        </is>
      </c>
      <c r="F5764" t="inlineStr">
        <is>
          <t>F0267</t>
        </is>
      </c>
    </row>
    <row r="5765">
      <c r="A5765" t="inlineStr">
        <is>
          <t>Mark Addy</t>
        </is>
      </c>
      <c r="B5765" t="n">
        <v>1</v>
      </c>
      <c r="C5765" t="n">
        <v>2010</v>
      </c>
      <c r="D5765" t="n">
        <v>2010</v>
      </c>
      <c r="E5765" t="inlineStr">
        <is>
          <t>Robin Hood</t>
        </is>
      </c>
      <c r="F5765" t="inlineStr">
        <is>
          <t>F0267</t>
        </is>
      </c>
    </row>
    <row r="5766">
      <c r="A5766" t="inlineStr">
        <is>
          <t>Alan Doyle</t>
        </is>
      </c>
      <c r="B5766" t="n">
        <v>1</v>
      </c>
      <c r="C5766" t="n">
        <v>2010</v>
      </c>
      <c r="D5766" t="n">
        <v>2010</v>
      </c>
      <c r="E5766" t="inlineStr">
        <is>
          <t>Robin Hood</t>
        </is>
      </c>
      <c r="F5766" t="inlineStr">
        <is>
          <t>F0267</t>
        </is>
      </c>
    </row>
    <row r="5767">
      <c r="A5767" t="inlineStr">
        <is>
          <t>Douglas Hodge</t>
        </is>
      </c>
      <c r="B5767" t="n">
        <v>1</v>
      </c>
      <c r="C5767" t="n">
        <v>2010</v>
      </c>
      <c r="D5767" t="n">
        <v>2010</v>
      </c>
      <c r="E5767" t="inlineStr">
        <is>
          <t>Robin Hood</t>
        </is>
      </c>
      <c r="F5767" t="inlineStr">
        <is>
          <t>F0267</t>
        </is>
      </c>
    </row>
    <row r="5768">
      <c r="A5768" t="inlineStr">
        <is>
          <t>Jonathan Zaccaï</t>
        </is>
      </c>
      <c r="B5768" t="n">
        <v>1</v>
      </c>
      <c r="C5768" t="n">
        <v>2010</v>
      </c>
      <c r="D5768" t="n">
        <v>2010</v>
      </c>
      <c r="E5768" t="inlineStr">
        <is>
          <t>Robin Hood</t>
        </is>
      </c>
      <c r="F5768" t="inlineStr">
        <is>
          <t>F0267</t>
        </is>
      </c>
    </row>
    <row r="5769">
      <c r="A5769" t="inlineStr">
        <is>
          <t>Robert Pugh</t>
        </is>
      </c>
      <c r="B5769" t="n">
        <v>1</v>
      </c>
      <c r="C5769" t="n">
        <v>2010</v>
      </c>
      <c r="D5769" t="n">
        <v>2010</v>
      </c>
      <c r="E5769" t="inlineStr">
        <is>
          <t>Robin Hood</t>
        </is>
      </c>
      <c r="F5769" t="inlineStr">
        <is>
          <t>F0267</t>
        </is>
      </c>
    </row>
    <row r="5770">
      <c r="A5770" t="inlineStr">
        <is>
          <t>Gerard McSorley</t>
        </is>
      </c>
      <c r="B5770" t="n">
        <v>1</v>
      </c>
      <c r="C5770" t="n">
        <v>2010</v>
      </c>
      <c r="D5770" t="n">
        <v>2010</v>
      </c>
      <c r="E5770" t="inlineStr">
        <is>
          <t>Robin Hood</t>
        </is>
      </c>
      <c r="F5770" t="inlineStr">
        <is>
          <t>F0267</t>
        </is>
      </c>
    </row>
    <row r="5771">
      <c r="A5771" t="inlineStr">
        <is>
          <t>Ciaran Flynn</t>
        </is>
      </c>
      <c r="B5771" t="n">
        <v>1</v>
      </c>
      <c r="C5771" t="n">
        <v>2010</v>
      </c>
      <c r="D5771" t="n">
        <v>2010</v>
      </c>
      <c r="E5771" t="inlineStr">
        <is>
          <t>Robin Hood</t>
        </is>
      </c>
      <c r="F5771" t="inlineStr">
        <is>
          <t>F0267</t>
        </is>
      </c>
    </row>
    <row r="5772">
      <c r="A5772" t="inlineStr">
        <is>
          <t>Denise Gough</t>
        </is>
      </c>
      <c r="B5772" t="n">
        <v>1</v>
      </c>
      <c r="C5772" t="n">
        <v>2010</v>
      </c>
      <c r="D5772" t="n">
        <v>2010</v>
      </c>
      <c r="E5772" t="inlineStr">
        <is>
          <t>Robin Hood</t>
        </is>
      </c>
      <c r="F5772" t="inlineStr">
        <is>
          <t>F0267</t>
        </is>
      </c>
    </row>
    <row r="5773">
      <c r="A5773" t="inlineStr">
        <is>
          <t>John Nicholas</t>
        </is>
      </c>
      <c r="B5773" t="n">
        <v>1</v>
      </c>
      <c r="C5773" t="n">
        <v>2010</v>
      </c>
      <c r="D5773" t="n">
        <v>2010</v>
      </c>
      <c r="E5773" t="inlineStr">
        <is>
          <t>Robin Hood</t>
        </is>
      </c>
      <c r="F5773" t="inlineStr">
        <is>
          <t>F0267</t>
        </is>
      </c>
    </row>
    <row r="5774">
      <c r="A5774" t="inlineStr">
        <is>
          <t>Thomas Arnold</t>
        </is>
      </c>
      <c r="B5774" t="n">
        <v>1</v>
      </c>
      <c r="C5774" t="n">
        <v>2010</v>
      </c>
      <c r="D5774" t="n">
        <v>2010</v>
      </c>
      <c r="E5774" t="inlineStr">
        <is>
          <t>Robin Hood</t>
        </is>
      </c>
      <c r="F5774" t="inlineStr">
        <is>
          <t>F0267</t>
        </is>
      </c>
    </row>
    <row r="5775">
      <c r="A5775" t="inlineStr">
        <is>
          <t>Mark Lewis Jones</t>
        </is>
      </c>
      <c r="B5775" t="n">
        <v>2</v>
      </c>
      <c r="C5775" t="n">
        <v>2010</v>
      </c>
      <c r="D5775" t="n">
        <v>2017</v>
      </c>
      <c r="E5775" t="inlineStr">
        <is>
          <t>Robin Hood, Star Wars: The Last Jedi</t>
        </is>
      </c>
      <c r="F5775" t="inlineStr">
        <is>
          <t>F0267, F0299</t>
        </is>
      </c>
    </row>
    <row r="5776">
      <c r="A5776" t="inlineStr">
        <is>
          <t>Jamie Beamish</t>
        </is>
      </c>
      <c r="B5776" t="n">
        <v>1</v>
      </c>
      <c r="C5776" t="n">
        <v>2010</v>
      </c>
      <c r="D5776" t="n">
        <v>2010</v>
      </c>
      <c r="E5776" t="inlineStr">
        <is>
          <t>Robin Hood</t>
        </is>
      </c>
      <c r="F5776" t="inlineStr">
        <is>
          <t>F0267</t>
        </is>
      </c>
    </row>
    <row r="5777">
      <c r="A5777" t="inlineStr">
        <is>
          <t>John Atterbury</t>
        </is>
      </c>
      <c r="B5777" t="n">
        <v>1</v>
      </c>
      <c r="C5777" t="n">
        <v>2010</v>
      </c>
      <c r="D5777" t="n">
        <v>2010</v>
      </c>
      <c r="E5777" t="inlineStr">
        <is>
          <t>Robin Hood</t>
        </is>
      </c>
      <c r="F5777" t="inlineStr">
        <is>
          <t>F0267</t>
        </is>
      </c>
    </row>
    <row r="5778">
      <c r="A5778" t="inlineStr">
        <is>
          <t>Joel Kinnaman</t>
        </is>
      </c>
      <c r="B5778" t="n">
        <v>2</v>
      </c>
      <c r="C5778" t="n">
        <v>2012</v>
      </c>
      <c r="D5778" t="n">
        <v>2012</v>
      </c>
      <c r="E5778" t="inlineStr">
        <is>
          <t>RoboCop, Safe House</t>
        </is>
      </c>
      <c r="F5778" t="inlineStr">
        <is>
          <t>F0268, F0272</t>
        </is>
      </c>
    </row>
    <row r="5779">
      <c r="A5779" t="inlineStr">
        <is>
          <t>Abbie Cornish</t>
        </is>
      </c>
      <c r="B5779" t="n">
        <v>1</v>
      </c>
      <c r="E5779" t="inlineStr">
        <is>
          <t>RoboCop</t>
        </is>
      </c>
      <c r="F5779" t="inlineStr">
        <is>
          <t>F0268</t>
        </is>
      </c>
    </row>
    <row r="5780">
      <c r="A5780" t="inlineStr">
        <is>
          <t>Jackie Earle Haley</t>
        </is>
      </c>
      <c r="B5780" t="n">
        <v>1</v>
      </c>
      <c r="E5780" t="inlineStr">
        <is>
          <t>RoboCop</t>
        </is>
      </c>
      <c r="F5780" t="inlineStr">
        <is>
          <t>F0268</t>
        </is>
      </c>
    </row>
    <row r="5781">
      <c r="A5781" t="inlineStr">
        <is>
          <t>Michael Kenneth Williams</t>
        </is>
      </c>
      <c r="B5781" t="n">
        <v>1</v>
      </c>
      <c r="E5781" t="inlineStr">
        <is>
          <t>RoboCop</t>
        </is>
      </c>
      <c r="F5781" t="inlineStr">
        <is>
          <t>F0268</t>
        </is>
      </c>
    </row>
    <row r="5782">
      <c r="A5782" t="inlineStr">
        <is>
          <t>Marianne Jean-Baptiste</t>
        </is>
      </c>
      <c r="B5782" t="n">
        <v>1</v>
      </c>
      <c r="E5782" t="inlineStr">
        <is>
          <t>RoboCop</t>
        </is>
      </c>
      <c r="F5782" t="inlineStr">
        <is>
          <t>F0268</t>
        </is>
      </c>
    </row>
    <row r="5783">
      <c r="A5783" t="inlineStr">
        <is>
          <t>Aimee Garcia</t>
        </is>
      </c>
      <c r="B5783" t="n">
        <v>1</v>
      </c>
      <c r="E5783" t="inlineStr">
        <is>
          <t>RoboCop</t>
        </is>
      </c>
      <c r="F5783" t="inlineStr">
        <is>
          <t>F0268</t>
        </is>
      </c>
    </row>
    <row r="5784">
      <c r="A5784" t="inlineStr">
        <is>
          <t>Douglas Urbanski</t>
        </is>
      </c>
      <c r="B5784" t="n">
        <v>1</v>
      </c>
      <c r="E5784" t="inlineStr">
        <is>
          <t>RoboCop</t>
        </is>
      </c>
      <c r="F5784" t="inlineStr">
        <is>
          <t>F0268</t>
        </is>
      </c>
    </row>
    <row r="5785">
      <c r="A5785" t="inlineStr">
        <is>
          <t>John Paul Ruttan</t>
        </is>
      </c>
      <c r="B5785" t="n">
        <v>1</v>
      </c>
      <c r="E5785" t="inlineStr">
        <is>
          <t>RoboCop</t>
        </is>
      </c>
      <c r="F5785" t="inlineStr">
        <is>
          <t>F0268</t>
        </is>
      </c>
    </row>
    <row r="5786">
      <c r="A5786" t="inlineStr">
        <is>
          <t>Patrick Garrow</t>
        </is>
      </c>
      <c r="B5786" t="n">
        <v>1</v>
      </c>
      <c r="E5786" t="inlineStr">
        <is>
          <t>RoboCop</t>
        </is>
      </c>
      <c r="F5786" t="inlineStr">
        <is>
          <t>F0268</t>
        </is>
      </c>
    </row>
    <row r="5787">
      <c r="A5787" t="inlineStr">
        <is>
          <t>K.C. Collins</t>
        </is>
      </c>
      <c r="B5787" t="n">
        <v>1</v>
      </c>
      <c r="E5787" t="inlineStr">
        <is>
          <t>RoboCop</t>
        </is>
      </c>
      <c r="F5787" t="inlineStr">
        <is>
          <t>F0268</t>
        </is>
      </c>
    </row>
    <row r="5788">
      <c r="A5788" t="inlineStr">
        <is>
          <t>Maura Grierson</t>
        </is>
      </c>
      <c r="B5788" t="n">
        <v>1</v>
      </c>
      <c r="E5788" t="inlineStr">
        <is>
          <t>RoboCop</t>
        </is>
      </c>
      <c r="F5788" t="inlineStr">
        <is>
          <t>F0268</t>
        </is>
      </c>
    </row>
    <row r="5789">
      <c r="A5789" t="inlineStr">
        <is>
          <t>Stewart Arnott</t>
        </is>
      </c>
      <c r="B5789" t="n">
        <v>1</v>
      </c>
      <c r="E5789" t="inlineStr">
        <is>
          <t>RoboCop</t>
        </is>
      </c>
      <c r="F5789" t="inlineStr">
        <is>
          <t>F0268</t>
        </is>
      </c>
    </row>
    <row r="5790">
      <c r="A5790" t="inlineStr">
        <is>
          <t>Matt Cooke</t>
        </is>
      </c>
      <c r="B5790" t="n">
        <v>1</v>
      </c>
      <c r="E5790" t="inlineStr">
        <is>
          <t>RoboCop</t>
        </is>
      </c>
      <c r="F5790" t="inlineStr">
        <is>
          <t>F0268</t>
        </is>
      </c>
    </row>
    <row r="5791">
      <c r="A5791" t="inlineStr">
        <is>
          <t>Steve Cumyn</t>
        </is>
      </c>
      <c r="B5791" t="n">
        <v>1</v>
      </c>
      <c r="E5791" t="inlineStr">
        <is>
          <t>RoboCop</t>
        </is>
      </c>
      <c r="F5791" t="inlineStr">
        <is>
          <t>F0268</t>
        </is>
      </c>
    </row>
    <row r="5792">
      <c r="A5792" t="inlineStr">
        <is>
          <t>Noorin Gulamgaus</t>
        </is>
      </c>
      <c r="B5792" t="n">
        <v>1</v>
      </c>
      <c r="E5792" t="inlineStr">
        <is>
          <t>RoboCop</t>
        </is>
      </c>
      <c r="F5792" t="inlineStr">
        <is>
          <t>F0268</t>
        </is>
      </c>
    </row>
    <row r="5793">
      <c r="A5793" t="inlineStr">
        <is>
          <t>Marjan Neshat</t>
        </is>
      </c>
      <c r="B5793" t="n">
        <v>1</v>
      </c>
      <c r="E5793" t="inlineStr">
        <is>
          <t>RoboCop</t>
        </is>
      </c>
      <c r="F5793" t="inlineStr">
        <is>
          <t>F0268</t>
        </is>
      </c>
    </row>
    <row r="5794">
      <c r="A5794" t="inlineStr">
        <is>
          <t>Sam Motazedi</t>
        </is>
      </c>
      <c r="B5794" t="n">
        <v>1</v>
      </c>
      <c r="E5794" t="inlineStr">
        <is>
          <t>RoboCop</t>
        </is>
      </c>
      <c r="F5794" t="inlineStr">
        <is>
          <t>F0268</t>
        </is>
      </c>
    </row>
    <row r="5795">
      <c r="A5795" t="inlineStr">
        <is>
          <t>Khaliya Hosein</t>
        </is>
      </c>
      <c r="B5795" t="n">
        <v>1</v>
      </c>
      <c r="E5795" t="inlineStr">
        <is>
          <t>RoboCop</t>
        </is>
      </c>
      <c r="F5795" t="inlineStr">
        <is>
          <t>F0268</t>
        </is>
      </c>
    </row>
    <row r="5796">
      <c r="A5796" t="inlineStr">
        <is>
          <t>Savana Hosein</t>
        </is>
      </c>
      <c r="B5796" t="n">
        <v>1</v>
      </c>
      <c r="E5796" t="inlineStr">
        <is>
          <t>RoboCop</t>
        </is>
      </c>
      <c r="F5796" t="inlineStr">
        <is>
          <t>F0268</t>
        </is>
      </c>
    </row>
    <row r="5797">
      <c r="A5797" t="inlineStr">
        <is>
          <t>Philip Akin</t>
        </is>
      </c>
      <c r="B5797" t="n">
        <v>1</v>
      </c>
      <c r="E5797" t="inlineStr">
        <is>
          <t>RoboCop</t>
        </is>
      </c>
      <c r="F5797" t="inlineStr">
        <is>
          <t>F0268</t>
        </is>
      </c>
    </row>
    <row r="5798">
      <c r="A5798" t="inlineStr">
        <is>
          <t>Paul Haywood</t>
        </is>
      </c>
      <c r="B5798" t="n">
        <v>1</v>
      </c>
      <c r="E5798" t="inlineStr">
        <is>
          <t>RoboCop</t>
        </is>
      </c>
      <c r="F5798" t="inlineStr">
        <is>
          <t>F0268</t>
        </is>
      </c>
    </row>
    <row r="5799">
      <c r="A5799" t="inlineStr">
        <is>
          <t>Adrian Griffin</t>
        </is>
      </c>
      <c r="B5799" t="n">
        <v>1</v>
      </c>
      <c r="E5799" t="inlineStr">
        <is>
          <t>RoboCop</t>
        </is>
      </c>
      <c r="F5799" t="inlineStr">
        <is>
          <t>F0268</t>
        </is>
      </c>
    </row>
    <row r="5800">
      <c r="A5800" t="inlineStr">
        <is>
          <t>Rick Hughes</t>
        </is>
      </c>
      <c r="B5800" t="n">
        <v>1</v>
      </c>
      <c r="E5800" t="inlineStr">
        <is>
          <t>RoboCop</t>
        </is>
      </c>
      <c r="F5800" t="inlineStr">
        <is>
          <t>F0268</t>
        </is>
      </c>
    </row>
    <row r="5801">
      <c r="A5801" t="inlineStr">
        <is>
          <t>Tom Bennett</t>
        </is>
      </c>
      <c r="B5801" t="n">
        <v>1</v>
      </c>
      <c r="C5801" t="n">
        <v>2019</v>
      </c>
      <c r="D5801" t="n">
        <v>2019</v>
      </c>
      <c r="E5801" t="inlineStr">
        <is>
          <t>Rocketman</t>
        </is>
      </c>
      <c r="F5801" t="inlineStr">
        <is>
          <t>F0269</t>
        </is>
      </c>
    </row>
    <row r="5802">
      <c r="A5802" t="inlineStr">
        <is>
          <t>Matthew Illesley</t>
        </is>
      </c>
      <c r="B5802" t="n">
        <v>1</v>
      </c>
      <c r="C5802" t="n">
        <v>2019</v>
      </c>
      <c r="D5802" t="n">
        <v>2019</v>
      </c>
      <c r="E5802" t="inlineStr">
        <is>
          <t>Rocketman</t>
        </is>
      </c>
      <c r="F5802" t="inlineStr">
        <is>
          <t>F0269</t>
        </is>
      </c>
    </row>
    <row r="5803">
      <c r="A5803" t="inlineStr">
        <is>
          <t>Kit Connor</t>
        </is>
      </c>
      <c r="B5803" t="n">
        <v>1</v>
      </c>
      <c r="C5803" t="n">
        <v>2019</v>
      </c>
      <c r="D5803" t="n">
        <v>2019</v>
      </c>
      <c r="E5803" t="inlineStr">
        <is>
          <t>Rocketman</t>
        </is>
      </c>
      <c r="F5803" t="inlineStr">
        <is>
          <t>F0269</t>
        </is>
      </c>
    </row>
    <row r="5804">
      <c r="A5804" t="inlineStr">
        <is>
          <t>Charlie Rowe</t>
        </is>
      </c>
      <c r="B5804" t="n">
        <v>1</v>
      </c>
      <c r="C5804" t="n">
        <v>2019</v>
      </c>
      <c r="D5804" t="n">
        <v>2019</v>
      </c>
      <c r="E5804" t="inlineStr">
        <is>
          <t>Rocketman</t>
        </is>
      </c>
      <c r="F5804" t="inlineStr">
        <is>
          <t>F0269</t>
        </is>
      </c>
    </row>
    <row r="5805">
      <c r="A5805" t="inlineStr">
        <is>
          <t>Peter O'Hanlon</t>
        </is>
      </c>
      <c r="B5805" t="n">
        <v>1</v>
      </c>
      <c r="C5805" t="n">
        <v>2019</v>
      </c>
      <c r="D5805" t="n">
        <v>2019</v>
      </c>
      <c r="E5805" t="inlineStr">
        <is>
          <t>Rocketman</t>
        </is>
      </c>
      <c r="F5805" t="inlineStr">
        <is>
          <t>F0269</t>
        </is>
      </c>
    </row>
    <row r="5806">
      <c r="A5806" t="inlineStr">
        <is>
          <t>Ross Farrelly</t>
        </is>
      </c>
      <c r="B5806" t="n">
        <v>1</v>
      </c>
      <c r="C5806" t="n">
        <v>2019</v>
      </c>
      <c r="D5806" t="n">
        <v>2019</v>
      </c>
      <c r="E5806" t="inlineStr">
        <is>
          <t>Rocketman</t>
        </is>
      </c>
      <c r="F5806" t="inlineStr">
        <is>
          <t>F0269</t>
        </is>
      </c>
    </row>
    <row r="5807">
      <c r="A5807" t="inlineStr">
        <is>
          <t>Evan Walsh</t>
        </is>
      </c>
      <c r="B5807" t="n">
        <v>1</v>
      </c>
      <c r="C5807" t="n">
        <v>2019</v>
      </c>
      <c r="D5807" t="n">
        <v>2019</v>
      </c>
      <c r="E5807" t="inlineStr">
        <is>
          <t>Rocketman</t>
        </is>
      </c>
      <c r="F5807" t="inlineStr">
        <is>
          <t>F0269</t>
        </is>
      </c>
    </row>
    <row r="5808">
      <c r="A5808" t="inlineStr">
        <is>
          <t>Sharmina Harrower</t>
        </is>
      </c>
      <c r="B5808" t="n">
        <v>1</v>
      </c>
      <c r="C5808" t="n">
        <v>2019</v>
      </c>
      <c r="D5808" t="n">
        <v>2019</v>
      </c>
      <c r="E5808" t="inlineStr">
        <is>
          <t>Rocketman</t>
        </is>
      </c>
      <c r="F5808" t="inlineStr">
        <is>
          <t>F0269</t>
        </is>
      </c>
    </row>
    <row r="5809">
      <c r="A5809" t="inlineStr">
        <is>
          <t>Ophelia Lovibond</t>
        </is>
      </c>
      <c r="B5809" t="n">
        <v>1</v>
      </c>
      <c r="C5809" t="n">
        <v>2019</v>
      </c>
      <c r="D5809" t="n">
        <v>2019</v>
      </c>
      <c r="E5809" t="inlineStr">
        <is>
          <t>Rocketman</t>
        </is>
      </c>
      <c r="F5809" t="inlineStr">
        <is>
          <t>F0269</t>
        </is>
      </c>
    </row>
    <row r="5810">
      <c r="A5810" t="inlineStr">
        <is>
          <t>Celinde Schoenmaker</t>
        </is>
      </c>
      <c r="B5810" t="n">
        <v>1</v>
      </c>
      <c r="C5810" t="n">
        <v>2019</v>
      </c>
      <c r="D5810" t="n">
        <v>2019</v>
      </c>
      <c r="E5810" t="inlineStr">
        <is>
          <t>Rocketman</t>
        </is>
      </c>
      <c r="F5810" t="inlineStr">
        <is>
          <t>F0269</t>
        </is>
      </c>
    </row>
    <row r="5811">
      <c r="A5811" t="inlineStr">
        <is>
          <t>Harriet Walter</t>
        </is>
      </c>
      <c r="B5811" t="n">
        <v>1</v>
      </c>
      <c r="C5811" t="n">
        <v>2019</v>
      </c>
      <c r="D5811" t="n">
        <v>2019</v>
      </c>
      <c r="E5811" t="inlineStr">
        <is>
          <t>Rocketman</t>
        </is>
      </c>
      <c r="F5811" t="inlineStr">
        <is>
          <t>F0269</t>
        </is>
      </c>
    </row>
    <row r="5812">
      <c r="A5812" t="inlineStr">
        <is>
          <t>Sharon D. Clarke</t>
        </is>
      </c>
      <c r="B5812" t="n">
        <v>1</v>
      </c>
      <c r="C5812" t="n">
        <v>2019</v>
      </c>
      <c r="D5812" t="n">
        <v>2019</v>
      </c>
      <c r="E5812" t="inlineStr">
        <is>
          <t>Rocketman</t>
        </is>
      </c>
      <c r="F5812" t="inlineStr">
        <is>
          <t>F0269</t>
        </is>
      </c>
    </row>
    <row r="5813">
      <c r="A5813" t="inlineStr">
        <is>
          <t>Aston McAuley</t>
        </is>
      </c>
      <c r="B5813" t="n">
        <v>1</v>
      </c>
      <c r="C5813" t="n">
        <v>2019</v>
      </c>
      <c r="D5813" t="n">
        <v>2019</v>
      </c>
      <c r="E5813" t="inlineStr">
        <is>
          <t>Rocketman</t>
        </is>
      </c>
      <c r="F5813" t="inlineStr">
        <is>
          <t>F0269</t>
        </is>
      </c>
    </row>
    <row r="5814">
      <c r="A5814" t="inlineStr">
        <is>
          <t>Jason Pennycooke</t>
        </is>
      </c>
      <c r="B5814" t="n">
        <v>1</v>
      </c>
      <c r="C5814" t="n">
        <v>2019</v>
      </c>
      <c r="D5814" t="n">
        <v>2019</v>
      </c>
      <c r="E5814" t="inlineStr">
        <is>
          <t>Rocketman</t>
        </is>
      </c>
      <c r="F5814" t="inlineStr">
        <is>
          <t>F0269</t>
        </is>
      </c>
    </row>
    <row r="5815">
      <c r="A5815" t="inlineStr">
        <is>
          <t>Alexia Khadime</t>
        </is>
      </c>
      <c r="B5815" t="n">
        <v>1</v>
      </c>
      <c r="C5815" t="n">
        <v>2019</v>
      </c>
      <c r="D5815" t="n">
        <v>2019</v>
      </c>
      <c r="E5815" t="inlineStr">
        <is>
          <t>Rocketman</t>
        </is>
      </c>
      <c r="F5815" t="inlineStr">
        <is>
          <t>F0269</t>
        </is>
      </c>
    </row>
    <row r="5816">
      <c r="A5816" t="inlineStr">
        <is>
          <t>Carl Spencer</t>
        </is>
      </c>
      <c r="B5816" t="n">
        <v>1</v>
      </c>
      <c r="C5816" t="n">
        <v>2019</v>
      </c>
      <c r="D5816" t="n">
        <v>2019</v>
      </c>
      <c r="E5816" t="inlineStr">
        <is>
          <t>Rocketman</t>
        </is>
      </c>
      <c r="F5816" t="inlineStr">
        <is>
          <t>F0269</t>
        </is>
      </c>
    </row>
    <row r="5817">
      <c r="A5817" t="inlineStr">
        <is>
          <t>Jimmy Vee</t>
        </is>
      </c>
      <c r="B5817" t="n">
        <v>2</v>
      </c>
      <c r="C5817" t="n">
        <v>2017</v>
      </c>
      <c r="D5817" t="n">
        <v>2019</v>
      </c>
      <c r="E5817" t="inlineStr">
        <is>
          <t>Rocketman, Star Wars: The Last Jedi</t>
        </is>
      </c>
      <c r="F5817" t="inlineStr">
        <is>
          <t>F0269, F0299</t>
        </is>
      </c>
    </row>
    <row r="5818">
      <c r="A5818" t="inlineStr">
        <is>
          <t>Leon Delroy Williams</t>
        </is>
      </c>
      <c r="B5818" t="n">
        <v>1</v>
      </c>
      <c r="C5818" t="n">
        <v>2019</v>
      </c>
      <c r="D5818" t="n">
        <v>2019</v>
      </c>
      <c r="E5818" t="inlineStr">
        <is>
          <t>Rocketman</t>
        </is>
      </c>
      <c r="F5818" t="inlineStr">
        <is>
          <t>F0269</t>
        </is>
      </c>
    </row>
    <row r="5819">
      <c r="A5819" t="inlineStr">
        <is>
          <t>David Doyle</t>
        </is>
      </c>
      <c r="B5819" t="n">
        <v>1</v>
      </c>
      <c r="C5819" t="n">
        <v>2019</v>
      </c>
      <c r="D5819" t="n">
        <v>2019</v>
      </c>
      <c r="E5819" t="inlineStr">
        <is>
          <t>Rocketman</t>
        </is>
      </c>
      <c r="F5819" t="inlineStr">
        <is>
          <t>F0269</t>
        </is>
      </c>
    </row>
    <row r="5820">
      <c r="A5820" t="inlineStr">
        <is>
          <t>Leigh Francis</t>
        </is>
      </c>
      <c r="B5820" t="n">
        <v>1</v>
      </c>
      <c r="C5820" t="n">
        <v>2019</v>
      </c>
      <c r="D5820" t="n">
        <v>2019</v>
      </c>
      <c r="E5820" t="inlineStr">
        <is>
          <t>Rocketman</t>
        </is>
      </c>
      <c r="F5820" t="inlineStr">
        <is>
          <t>F0269</t>
        </is>
      </c>
    </row>
    <row r="5821">
      <c r="A5821" t="inlineStr">
        <is>
          <t>Dickon Tolson</t>
        </is>
      </c>
      <c r="B5821" t="n">
        <v>1</v>
      </c>
      <c r="C5821" t="n">
        <v>2019</v>
      </c>
      <c r="D5821" t="n">
        <v>2019</v>
      </c>
      <c r="E5821" t="inlineStr">
        <is>
          <t>Rocketman</t>
        </is>
      </c>
      <c r="F5821" t="inlineStr">
        <is>
          <t>F0269</t>
        </is>
      </c>
    </row>
    <row r="5822">
      <c r="A5822" t="inlineStr">
        <is>
          <t>Diana Alexandra Pocol</t>
        </is>
      </c>
      <c r="B5822" t="n">
        <v>1</v>
      </c>
      <c r="C5822" t="n">
        <v>2019</v>
      </c>
      <c r="D5822" t="n">
        <v>2019</v>
      </c>
      <c r="E5822" t="inlineStr">
        <is>
          <t>Rocketman</t>
        </is>
      </c>
      <c r="F5822" t="inlineStr">
        <is>
          <t>F0269</t>
        </is>
      </c>
    </row>
    <row r="5823">
      <c r="A5823" t="inlineStr">
        <is>
          <t>David Calder</t>
        </is>
      </c>
      <c r="B5823" t="n">
        <v>1</v>
      </c>
      <c r="C5823" t="n">
        <v>2013</v>
      </c>
      <c r="D5823" t="n">
        <v>2013</v>
      </c>
      <c r="E5823" t="inlineStr">
        <is>
          <t>Rush</t>
        </is>
      </c>
      <c r="F5823" t="inlineStr">
        <is>
          <t>F0270</t>
        </is>
      </c>
    </row>
    <row r="5824">
      <c r="A5824" t="inlineStr">
        <is>
          <t>Stephen Mangan</t>
        </is>
      </c>
      <c r="B5824" t="n">
        <v>1</v>
      </c>
      <c r="C5824" t="n">
        <v>2013</v>
      </c>
      <c r="D5824" t="n">
        <v>2013</v>
      </c>
      <c r="E5824" t="inlineStr">
        <is>
          <t>Rush</t>
        </is>
      </c>
      <c r="F5824" t="inlineStr">
        <is>
          <t>F0270</t>
        </is>
      </c>
    </row>
    <row r="5825">
      <c r="A5825" t="inlineStr">
        <is>
          <t>Christian McKay</t>
        </is>
      </c>
      <c r="B5825" t="n">
        <v>2</v>
      </c>
      <c r="C5825" t="n">
        <v>2013</v>
      </c>
      <c r="D5825" t="n">
        <v>2014</v>
      </c>
      <c r="E5825" t="inlineStr">
        <is>
          <t>Rush, The Theory of Everything</t>
        </is>
      </c>
      <c r="F5825" t="inlineStr">
        <is>
          <t>F0270, F0311</t>
        </is>
      </c>
    </row>
    <row r="5826">
      <c r="A5826" t="inlineStr">
        <is>
          <t>Julian Rhind-Tutt</t>
        </is>
      </c>
      <c r="B5826" t="n">
        <v>1</v>
      </c>
      <c r="C5826" t="n">
        <v>2013</v>
      </c>
      <c r="D5826" t="n">
        <v>2013</v>
      </c>
      <c r="E5826" t="inlineStr">
        <is>
          <t>Rush</t>
        </is>
      </c>
      <c r="F5826" t="inlineStr">
        <is>
          <t>F0270</t>
        </is>
      </c>
    </row>
    <row r="5827">
      <c r="A5827" t="inlineStr">
        <is>
          <t>Jamie de Courcey</t>
        </is>
      </c>
      <c r="B5827" t="n">
        <v>1</v>
      </c>
      <c r="C5827" t="n">
        <v>2013</v>
      </c>
      <c r="D5827" t="n">
        <v>2013</v>
      </c>
      <c r="E5827" t="inlineStr">
        <is>
          <t>Rush</t>
        </is>
      </c>
      <c r="F5827" t="inlineStr">
        <is>
          <t>F0270</t>
        </is>
      </c>
    </row>
    <row r="5828">
      <c r="A5828" t="inlineStr">
        <is>
          <t>Augusto Dall'Ara</t>
        </is>
      </c>
      <c r="B5828" t="n">
        <v>1</v>
      </c>
      <c r="C5828" t="n">
        <v>2013</v>
      </c>
      <c r="D5828" t="n">
        <v>2013</v>
      </c>
      <c r="E5828" t="inlineStr">
        <is>
          <t>Rush</t>
        </is>
      </c>
      <c r="F5828" t="inlineStr">
        <is>
          <t>F0270</t>
        </is>
      </c>
    </row>
    <row r="5829">
      <c r="A5829" t="inlineStr">
        <is>
          <t>Ilario Calvo</t>
        </is>
      </c>
      <c r="B5829" t="n">
        <v>1</v>
      </c>
      <c r="C5829" t="n">
        <v>2013</v>
      </c>
      <c r="D5829" t="n">
        <v>2013</v>
      </c>
      <c r="E5829" t="inlineStr">
        <is>
          <t>Rush</t>
        </is>
      </c>
      <c r="F5829" t="inlineStr">
        <is>
          <t>F0270</t>
        </is>
      </c>
    </row>
    <row r="5830">
      <c r="A5830" t="inlineStr">
        <is>
          <t>Patrick Baladi</t>
        </is>
      </c>
      <c r="B5830" t="n">
        <v>1</v>
      </c>
      <c r="C5830" t="n">
        <v>2013</v>
      </c>
      <c r="D5830" t="n">
        <v>2013</v>
      </c>
      <c r="E5830" t="inlineStr">
        <is>
          <t>Rush</t>
        </is>
      </c>
      <c r="F5830" t="inlineStr">
        <is>
          <t>F0270</t>
        </is>
      </c>
    </row>
    <row r="5831">
      <c r="A5831" t="inlineStr">
        <is>
          <t>Vincent Riotta</t>
        </is>
      </c>
      <c r="B5831" t="n">
        <v>1</v>
      </c>
      <c r="C5831" t="n">
        <v>2013</v>
      </c>
      <c r="D5831" t="n">
        <v>2013</v>
      </c>
      <c r="E5831" t="inlineStr">
        <is>
          <t>Rush</t>
        </is>
      </c>
      <c r="F5831" t="inlineStr">
        <is>
          <t>F0270</t>
        </is>
      </c>
    </row>
    <row r="5832">
      <c r="A5832" t="inlineStr">
        <is>
          <t>Martin Savage</t>
        </is>
      </c>
      <c r="B5832" t="n">
        <v>1</v>
      </c>
      <c r="C5832" t="n">
        <v>2013</v>
      </c>
      <c r="D5832" t="n">
        <v>2013</v>
      </c>
      <c r="E5832" t="inlineStr">
        <is>
          <t>Rush</t>
        </is>
      </c>
      <c r="F5832" t="inlineStr">
        <is>
          <t>F0270</t>
        </is>
      </c>
    </row>
    <row r="5833">
      <c r="A5833" t="inlineStr">
        <is>
          <t>Simon Taylor</t>
        </is>
      </c>
      <c r="B5833" t="n">
        <v>1</v>
      </c>
      <c r="C5833" t="n">
        <v>2013</v>
      </c>
      <c r="D5833" t="n">
        <v>2013</v>
      </c>
      <c r="E5833" t="inlineStr">
        <is>
          <t>Rush</t>
        </is>
      </c>
      <c r="F5833" t="inlineStr">
        <is>
          <t>F0270</t>
        </is>
      </c>
    </row>
    <row r="5834">
      <c r="A5834" t="inlineStr">
        <is>
          <t>Rob Austin</t>
        </is>
      </c>
      <c r="B5834" t="n">
        <v>1</v>
      </c>
      <c r="C5834" t="n">
        <v>2013</v>
      </c>
      <c r="D5834" t="n">
        <v>2013</v>
      </c>
      <c r="E5834" t="inlineStr">
        <is>
          <t>Rush</t>
        </is>
      </c>
      <c r="F5834" t="inlineStr">
        <is>
          <t>F0270</t>
        </is>
      </c>
    </row>
    <row r="5835">
      <c r="A5835" t="inlineStr">
        <is>
          <t>Tom Wlaschiha</t>
        </is>
      </c>
      <c r="B5835" t="n">
        <v>1</v>
      </c>
      <c r="C5835" t="n">
        <v>2013</v>
      </c>
      <c r="D5835" t="n">
        <v>2013</v>
      </c>
      <c r="E5835" t="inlineStr">
        <is>
          <t>Rush</t>
        </is>
      </c>
      <c r="F5835" t="inlineStr">
        <is>
          <t>F0270</t>
        </is>
      </c>
    </row>
    <row r="5836">
      <c r="A5836" t="inlineStr">
        <is>
          <t>Cristian Solimeno</t>
        </is>
      </c>
      <c r="B5836" t="n">
        <v>1</v>
      </c>
      <c r="C5836" t="n">
        <v>2013</v>
      </c>
      <c r="D5836" t="n">
        <v>2013</v>
      </c>
      <c r="E5836" t="inlineStr">
        <is>
          <t>Rush</t>
        </is>
      </c>
      <c r="F5836" t="inlineStr">
        <is>
          <t>F0270</t>
        </is>
      </c>
    </row>
    <row r="5837">
      <c r="A5837" t="inlineStr">
        <is>
          <t>James Norton</t>
        </is>
      </c>
      <c r="B5837" t="n">
        <v>1</v>
      </c>
      <c r="C5837" t="n">
        <v>2013</v>
      </c>
      <c r="D5837" t="n">
        <v>2013</v>
      </c>
      <c r="E5837" t="inlineStr">
        <is>
          <t>Rush</t>
        </is>
      </c>
      <c r="F5837" t="inlineStr">
        <is>
          <t>F0270</t>
        </is>
      </c>
    </row>
    <row r="5838">
      <c r="A5838" t="inlineStr">
        <is>
          <t>Geoffrey Streatfeild</t>
        </is>
      </c>
      <c r="B5838" t="n">
        <v>1</v>
      </c>
      <c r="C5838" t="n">
        <v>2013</v>
      </c>
      <c r="D5838" t="n">
        <v>2013</v>
      </c>
      <c r="E5838" t="inlineStr">
        <is>
          <t>Rush</t>
        </is>
      </c>
      <c r="F5838" t="inlineStr">
        <is>
          <t>F0270</t>
        </is>
      </c>
    </row>
    <row r="5839">
      <c r="A5839" t="inlineStr">
        <is>
          <t>Julien Vialon</t>
        </is>
      </c>
      <c r="B5839" t="n">
        <v>1</v>
      </c>
      <c r="C5839" t="n">
        <v>2013</v>
      </c>
      <c r="D5839" t="n">
        <v>2013</v>
      </c>
      <c r="E5839" t="inlineStr">
        <is>
          <t>Rush</t>
        </is>
      </c>
      <c r="F5839" t="inlineStr">
        <is>
          <t>F0270</t>
        </is>
      </c>
    </row>
    <row r="5840">
      <c r="A5840" t="inlineStr">
        <is>
          <t>Douglas Reith</t>
        </is>
      </c>
      <c r="B5840" t="n">
        <v>1</v>
      </c>
      <c r="C5840" t="n">
        <v>2013</v>
      </c>
      <c r="D5840" t="n">
        <v>2013</v>
      </c>
      <c r="E5840" t="inlineStr">
        <is>
          <t>Rush</t>
        </is>
      </c>
      <c r="F5840" t="inlineStr">
        <is>
          <t>F0270</t>
        </is>
      </c>
    </row>
    <row r="5841">
      <c r="A5841" t="inlineStr">
        <is>
          <t>Polly Furnival</t>
        </is>
      </c>
      <c r="B5841" t="n">
        <v>1</v>
      </c>
      <c r="C5841" t="n">
        <v>2013</v>
      </c>
      <c r="D5841" t="n">
        <v>2013</v>
      </c>
      <c r="E5841" t="inlineStr">
        <is>
          <t>Rush</t>
        </is>
      </c>
      <c r="F5841" t="inlineStr">
        <is>
          <t>F0270</t>
        </is>
      </c>
    </row>
    <row r="5842">
      <c r="A5842" t="inlineStr">
        <is>
          <t>Brooke Johnston</t>
        </is>
      </c>
      <c r="B5842" t="n">
        <v>1</v>
      </c>
      <c r="C5842" t="n">
        <v>2013</v>
      </c>
      <c r="D5842" t="n">
        <v>2013</v>
      </c>
      <c r="E5842" t="inlineStr">
        <is>
          <t>Rush</t>
        </is>
      </c>
      <c r="F5842" t="inlineStr">
        <is>
          <t>F0270</t>
        </is>
      </c>
    </row>
    <row r="5843">
      <c r="A5843" t="inlineStr">
        <is>
          <t>Roman Polanski</t>
        </is>
      </c>
      <c r="B5843" t="n">
        <v>1</v>
      </c>
      <c r="C5843" t="n">
        <v>2007</v>
      </c>
      <c r="D5843" t="n">
        <v>2007</v>
      </c>
      <c r="E5843" t="inlineStr">
        <is>
          <t>Rush Hour 3</t>
        </is>
      </c>
      <c r="F5843" t="inlineStr">
        <is>
          <t>F0271</t>
        </is>
      </c>
    </row>
    <row r="5844">
      <c r="A5844" t="inlineStr">
        <is>
          <t>Noémie Lenoir</t>
        </is>
      </c>
      <c r="B5844" t="n">
        <v>2</v>
      </c>
      <c r="C5844" t="n">
        <v>2007</v>
      </c>
      <c r="D5844" t="n">
        <v>2015</v>
      </c>
      <c r="E5844" t="inlineStr">
        <is>
          <t>Rush Hour 3, The Transporter Refueled</t>
        </is>
      </c>
      <c r="F5844" t="inlineStr">
        <is>
          <t>F0271, F0323</t>
        </is>
      </c>
    </row>
    <row r="5845">
      <c r="A5845" t="inlineStr">
        <is>
          <t>Youki Kudoh</t>
        </is>
      </c>
      <c r="B5845" t="n">
        <v>1</v>
      </c>
      <c r="C5845" t="n">
        <v>2007</v>
      </c>
      <c r="D5845" t="n">
        <v>2007</v>
      </c>
      <c r="E5845" t="inlineStr">
        <is>
          <t>Rush Hour 3</t>
        </is>
      </c>
      <c r="F5845" t="inlineStr">
        <is>
          <t>F0271</t>
        </is>
      </c>
    </row>
    <row r="5846">
      <c r="A5846" t="inlineStr">
        <is>
          <t>Tzi Ma</t>
        </is>
      </c>
      <c r="B5846" t="n">
        <v>1</v>
      </c>
      <c r="C5846" t="n">
        <v>2007</v>
      </c>
      <c r="D5846" t="n">
        <v>2007</v>
      </c>
      <c r="E5846" t="inlineStr">
        <is>
          <t>Rush Hour 3</t>
        </is>
      </c>
      <c r="F5846" t="inlineStr">
        <is>
          <t>F0271</t>
        </is>
      </c>
    </row>
    <row r="5847">
      <c r="A5847" t="inlineStr">
        <is>
          <t>Dana Ivey</t>
        </is>
      </c>
      <c r="B5847" t="n">
        <v>1</v>
      </c>
      <c r="C5847" t="n">
        <v>2007</v>
      </c>
      <c r="D5847" t="n">
        <v>2007</v>
      </c>
      <c r="E5847" t="inlineStr">
        <is>
          <t>Rush Hour 3</t>
        </is>
      </c>
      <c r="F5847" t="inlineStr">
        <is>
          <t>F0271</t>
        </is>
      </c>
    </row>
    <row r="5848">
      <c r="A5848" t="inlineStr">
        <is>
          <t>Mia Tyler</t>
        </is>
      </c>
      <c r="B5848" t="n">
        <v>1</v>
      </c>
      <c r="C5848" t="n">
        <v>2007</v>
      </c>
      <c r="D5848" t="n">
        <v>2007</v>
      </c>
      <c r="E5848" t="inlineStr">
        <is>
          <t>Rush Hour 3</t>
        </is>
      </c>
      <c r="F5848" t="inlineStr">
        <is>
          <t>F0271</t>
        </is>
      </c>
    </row>
    <row r="5849">
      <c r="A5849" t="inlineStr">
        <is>
          <t>Michael Chow</t>
        </is>
      </c>
      <c r="B5849" t="n">
        <v>1</v>
      </c>
      <c r="C5849" t="n">
        <v>2007</v>
      </c>
      <c r="D5849" t="n">
        <v>2007</v>
      </c>
      <c r="E5849" t="inlineStr">
        <is>
          <t>Rush Hour 3</t>
        </is>
      </c>
      <c r="F5849" t="inlineStr">
        <is>
          <t>F0271</t>
        </is>
      </c>
    </row>
    <row r="5850">
      <c r="A5850" t="inlineStr">
        <is>
          <t>Kentaro</t>
        </is>
      </c>
      <c r="B5850" t="n">
        <v>1</v>
      </c>
      <c r="C5850" t="n">
        <v>2007</v>
      </c>
      <c r="D5850" t="n">
        <v>2007</v>
      </c>
      <c r="E5850" t="inlineStr">
        <is>
          <t>Rush Hour 3</t>
        </is>
      </c>
      <c r="F5850" t="inlineStr">
        <is>
          <t>F0271</t>
        </is>
      </c>
    </row>
    <row r="5851">
      <c r="A5851" t="inlineStr">
        <is>
          <t>Ann Christine</t>
        </is>
      </c>
      <c r="B5851" t="n">
        <v>1</v>
      </c>
      <c r="C5851" t="n">
        <v>2007</v>
      </c>
      <c r="D5851" t="n">
        <v>2007</v>
      </c>
      <c r="E5851" t="inlineStr">
        <is>
          <t>Rush Hour 3</t>
        </is>
      </c>
      <c r="F5851" t="inlineStr">
        <is>
          <t>F0271</t>
        </is>
      </c>
    </row>
    <row r="5852">
      <c r="A5852" t="inlineStr">
        <is>
          <t>Darryl Chan</t>
        </is>
      </c>
      <c r="B5852" t="n">
        <v>1</v>
      </c>
      <c r="C5852" t="n">
        <v>2007</v>
      </c>
      <c r="D5852" t="n">
        <v>2007</v>
      </c>
      <c r="E5852" t="inlineStr">
        <is>
          <t>Rush Hour 3</t>
        </is>
      </c>
      <c r="F5852" t="inlineStr">
        <is>
          <t>F0271</t>
        </is>
      </c>
    </row>
    <row r="5853">
      <c r="A5853" t="inlineStr">
        <is>
          <t>Sarah Shahi</t>
        </is>
      </c>
      <c r="B5853" t="n">
        <v>1</v>
      </c>
      <c r="C5853" t="n">
        <v>2007</v>
      </c>
      <c r="D5853" t="n">
        <v>2007</v>
      </c>
      <c r="E5853" t="inlineStr">
        <is>
          <t>Rush Hour 3</t>
        </is>
      </c>
      <c r="F5853" t="inlineStr">
        <is>
          <t>F0271</t>
        </is>
      </c>
    </row>
    <row r="5854">
      <c r="A5854" t="inlineStr">
        <is>
          <t>Arnold Chon</t>
        </is>
      </c>
      <c r="B5854" t="n">
        <v>1</v>
      </c>
      <c r="C5854" t="n">
        <v>2007</v>
      </c>
      <c r="D5854" t="n">
        <v>2007</v>
      </c>
      <c r="E5854" t="inlineStr">
        <is>
          <t>Rush Hour 3</t>
        </is>
      </c>
      <c r="F5854" t="inlineStr">
        <is>
          <t>F0271</t>
        </is>
      </c>
    </row>
    <row r="5855">
      <c r="A5855" t="inlineStr">
        <is>
          <t>Simon Rhee</t>
        </is>
      </c>
      <c r="B5855" t="n">
        <v>1</v>
      </c>
      <c r="C5855" t="n">
        <v>2007</v>
      </c>
      <c r="D5855" t="n">
        <v>2007</v>
      </c>
      <c r="E5855" t="inlineStr">
        <is>
          <t>Rush Hour 3</t>
        </is>
      </c>
      <c r="F5855" t="inlineStr">
        <is>
          <t>F0271</t>
        </is>
      </c>
    </row>
    <row r="5856">
      <c r="A5856" t="inlineStr">
        <is>
          <t>Marc Hoang</t>
        </is>
      </c>
      <c r="B5856" t="n">
        <v>1</v>
      </c>
      <c r="C5856" t="n">
        <v>2007</v>
      </c>
      <c r="D5856" t="n">
        <v>2007</v>
      </c>
      <c r="E5856" t="inlineStr">
        <is>
          <t>Rush Hour 3</t>
        </is>
      </c>
      <c r="F5856" t="inlineStr">
        <is>
          <t>F0271</t>
        </is>
      </c>
    </row>
    <row r="5857">
      <c r="A5857" t="inlineStr">
        <is>
          <t>David Niven Jr.</t>
        </is>
      </c>
      <c r="B5857" t="n">
        <v>1</v>
      </c>
      <c r="C5857" t="n">
        <v>2007</v>
      </c>
      <c r="D5857" t="n">
        <v>2007</v>
      </c>
      <c r="E5857" t="inlineStr">
        <is>
          <t>Rush Hour 3</t>
        </is>
      </c>
      <c r="F5857" t="inlineStr">
        <is>
          <t>F0271</t>
        </is>
      </c>
    </row>
    <row r="5858">
      <c r="A5858" t="inlineStr">
        <is>
          <t>Oanh Nguyen</t>
        </is>
      </c>
      <c r="B5858" t="n">
        <v>1</v>
      </c>
      <c r="C5858" t="n">
        <v>2007</v>
      </c>
      <c r="D5858" t="n">
        <v>2007</v>
      </c>
      <c r="E5858" t="inlineStr">
        <is>
          <t>Rush Hour 3</t>
        </is>
      </c>
      <c r="F5858" t="inlineStr">
        <is>
          <t>F0271</t>
        </is>
      </c>
    </row>
    <row r="5859">
      <c r="A5859" t="inlineStr">
        <is>
          <t>Andrew Quang</t>
        </is>
      </c>
      <c r="B5859" t="n">
        <v>1</v>
      </c>
      <c r="C5859" t="n">
        <v>2007</v>
      </c>
      <c r="D5859" t="n">
        <v>2007</v>
      </c>
      <c r="E5859" t="inlineStr">
        <is>
          <t>Rush Hour 3</t>
        </is>
      </c>
      <c r="F5859" t="inlineStr">
        <is>
          <t>F0271</t>
        </is>
      </c>
    </row>
    <row r="5860">
      <c r="A5860" t="inlineStr">
        <is>
          <t>Sun Mingming</t>
        </is>
      </c>
      <c r="B5860" t="n">
        <v>1</v>
      </c>
      <c r="C5860" t="n">
        <v>2007</v>
      </c>
      <c r="D5860" t="n">
        <v>2007</v>
      </c>
      <c r="E5860" t="inlineStr">
        <is>
          <t>Rush Hour 3</t>
        </is>
      </c>
      <c r="F5860" t="inlineStr">
        <is>
          <t>F0271</t>
        </is>
      </c>
    </row>
    <row r="5861">
      <c r="A5861" t="inlineStr">
        <is>
          <t>Lisa Thornhill</t>
        </is>
      </c>
      <c r="B5861" t="n">
        <v>1</v>
      </c>
      <c r="C5861" t="n">
        <v>2007</v>
      </c>
      <c r="D5861" t="n">
        <v>2007</v>
      </c>
      <c r="E5861" t="inlineStr">
        <is>
          <t>Rush Hour 3</t>
        </is>
      </c>
      <c r="F5861" t="inlineStr">
        <is>
          <t>F0271</t>
        </is>
      </c>
    </row>
    <row r="5862">
      <c r="A5862" t="inlineStr">
        <is>
          <t>Ludovic Paris</t>
        </is>
      </c>
      <c r="B5862" t="n">
        <v>1</v>
      </c>
      <c r="C5862" t="n">
        <v>2007</v>
      </c>
      <c r="D5862" t="n">
        <v>2007</v>
      </c>
      <c r="E5862" t="inlineStr">
        <is>
          <t>Rush Hour 3</t>
        </is>
      </c>
      <c r="F5862" t="inlineStr">
        <is>
          <t>F0271</t>
        </is>
      </c>
    </row>
    <row r="5863">
      <c r="A5863" t="inlineStr">
        <is>
          <t>Richard Dieux</t>
        </is>
      </c>
      <c r="B5863" t="n">
        <v>1</v>
      </c>
      <c r="C5863" t="n">
        <v>2007</v>
      </c>
      <c r="D5863" t="n">
        <v>2007</v>
      </c>
      <c r="E5863" t="inlineStr">
        <is>
          <t>Rush Hour 3</t>
        </is>
      </c>
      <c r="F5863" t="inlineStr">
        <is>
          <t>F0271</t>
        </is>
      </c>
    </row>
    <row r="5864">
      <c r="A5864" t="inlineStr">
        <is>
          <t>Rubén Blades</t>
        </is>
      </c>
      <c r="B5864" t="n">
        <v>1</v>
      </c>
      <c r="C5864" t="n">
        <v>2012</v>
      </c>
      <c r="D5864" t="n">
        <v>2012</v>
      </c>
      <c r="E5864" t="inlineStr">
        <is>
          <t>Safe House</t>
        </is>
      </c>
      <c r="F5864" t="inlineStr">
        <is>
          <t>F0272</t>
        </is>
      </c>
    </row>
    <row r="5865">
      <c r="A5865" t="inlineStr">
        <is>
          <t>Nora Arnezeder</t>
        </is>
      </c>
      <c r="B5865" t="n">
        <v>1</v>
      </c>
      <c r="C5865" t="n">
        <v>2012</v>
      </c>
      <c r="D5865" t="n">
        <v>2012</v>
      </c>
      <c r="E5865" t="inlineStr">
        <is>
          <t>Safe House</t>
        </is>
      </c>
      <c r="F5865" t="inlineStr">
        <is>
          <t>F0272</t>
        </is>
      </c>
    </row>
    <row r="5866">
      <c r="A5866" t="inlineStr">
        <is>
          <t>Fares Fares</t>
        </is>
      </c>
      <c r="B5866" t="n">
        <v>2</v>
      </c>
      <c r="C5866" t="n">
        <v>2012</v>
      </c>
      <c r="D5866" t="n">
        <v>2012</v>
      </c>
      <c r="E5866" t="inlineStr">
        <is>
          <t>Safe House, Zero Dark Thirty</t>
        </is>
      </c>
      <c r="F5866" t="inlineStr">
        <is>
          <t>F0272, F0349</t>
        </is>
      </c>
    </row>
    <row r="5867">
      <c r="A5867" t="inlineStr">
        <is>
          <t>Jenna Dover</t>
        </is>
      </c>
      <c r="B5867" t="n">
        <v>1</v>
      </c>
      <c r="C5867" t="n">
        <v>2012</v>
      </c>
      <c r="D5867" t="n">
        <v>2012</v>
      </c>
      <c r="E5867" t="inlineStr">
        <is>
          <t>Safe House</t>
        </is>
      </c>
      <c r="F5867" t="inlineStr">
        <is>
          <t>F0272</t>
        </is>
      </c>
    </row>
    <row r="5868">
      <c r="A5868" t="inlineStr">
        <is>
          <t>Stephen Rider</t>
        </is>
      </c>
      <c r="B5868" t="n">
        <v>1</v>
      </c>
      <c r="C5868" t="n">
        <v>2012</v>
      </c>
      <c r="D5868" t="n">
        <v>2012</v>
      </c>
      <c r="E5868" t="inlineStr">
        <is>
          <t>Safe House</t>
        </is>
      </c>
      <c r="F5868" t="inlineStr">
        <is>
          <t>F0272</t>
        </is>
      </c>
    </row>
    <row r="5869">
      <c r="A5869" t="inlineStr">
        <is>
          <t>Daniel Fox</t>
        </is>
      </c>
      <c r="B5869" t="n">
        <v>1</v>
      </c>
      <c r="C5869" t="n">
        <v>2012</v>
      </c>
      <c r="D5869" t="n">
        <v>2012</v>
      </c>
      <c r="E5869" t="inlineStr">
        <is>
          <t>Safe House</t>
        </is>
      </c>
      <c r="F5869" t="inlineStr">
        <is>
          <t>F0272</t>
        </is>
      </c>
    </row>
    <row r="5870">
      <c r="A5870" t="inlineStr">
        <is>
          <t>Tracie Thoms</t>
        </is>
      </c>
      <c r="B5870" t="n">
        <v>1</v>
      </c>
      <c r="C5870" t="n">
        <v>2012</v>
      </c>
      <c r="D5870" t="n">
        <v>2012</v>
      </c>
      <c r="E5870" t="inlineStr">
        <is>
          <t>Safe House</t>
        </is>
      </c>
      <c r="F5870" t="inlineStr">
        <is>
          <t>F0272</t>
        </is>
      </c>
    </row>
    <row r="5871">
      <c r="A5871" t="inlineStr">
        <is>
          <t>Stephen Bishop</t>
        </is>
      </c>
      <c r="B5871" t="n">
        <v>1</v>
      </c>
      <c r="C5871" t="n">
        <v>2012</v>
      </c>
      <c r="D5871" t="n">
        <v>2012</v>
      </c>
      <c r="E5871" t="inlineStr">
        <is>
          <t>Safe House</t>
        </is>
      </c>
      <c r="F5871" t="inlineStr">
        <is>
          <t>F0272</t>
        </is>
      </c>
    </row>
    <row r="5872">
      <c r="A5872" t="inlineStr">
        <is>
          <t>Tanit Phoenix</t>
        </is>
      </c>
      <c r="B5872" t="n">
        <v>1</v>
      </c>
      <c r="C5872" t="n">
        <v>2012</v>
      </c>
      <c r="D5872" t="n">
        <v>2012</v>
      </c>
      <c r="E5872" t="inlineStr">
        <is>
          <t>Safe House</t>
        </is>
      </c>
      <c r="F5872" t="inlineStr">
        <is>
          <t>F0272</t>
        </is>
      </c>
    </row>
    <row r="5873">
      <c r="A5873" t="inlineStr">
        <is>
          <t>Sara Arrington</t>
        </is>
      </c>
      <c r="B5873" t="n">
        <v>1</v>
      </c>
      <c r="C5873" t="n">
        <v>2012</v>
      </c>
      <c r="D5873" t="n">
        <v>2012</v>
      </c>
      <c r="E5873" t="inlineStr">
        <is>
          <t>Safe House</t>
        </is>
      </c>
      <c r="F5873" t="inlineStr">
        <is>
          <t>F0272</t>
        </is>
      </c>
    </row>
    <row r="5874">
      <c r="A5874" t="inlineStr">
        <is>
          <t>Kenneth Fok</t>
        </is>
      </c>
      <c r="B5874" t="n">
        <v>1</v>
      </c>
      <c r="C5874" t="n">
        <v>2012</v>
      </c>
      <c r="D5874" t="n">
        <v>2012</v>
      </c>
      <c r="E5874" t="inlineStr">
        <is>
          <t>Safe House</t>
        </is>
      </c>
      <c r="F5874" t="inlineStr">
        <is>
          <t>F0272</t>
        </is>
      </c>
    </row>
    <row r="5875">
      <c r="A5875" t="inlineStr">
        <is>
          <t>Nicole Sherwin</t>
        </is>
      </c>
      <c r="B5875" t="n">
        <v>1</v>
      </c>
      <c r="C5875" t="n">
        <v>2012</v>
      </c>
      <c r="D5875" t="n">
        <v>2012</v>
      </c>
      <c r="E5875" t="inlineStr">
        <is>
          <t>Safe House</t>
        </is>
      </c>
      <c r="F5875" t="inlineStr">
        <is>
          <t>F0272</t>
        </is>
      </c>
    </row>
    <row r="5876">
      <c r="A5876" t="inlineStr">
        <is>
          <t>Sherry Stone</t>
        </is>
      </c>
      <c r="B5876" t="n">
        <v>1</v>
      </c>
      <c r="C5876" t="n">
        <v>2012</v>
      </c>
      <c r="D5876" t="n">
        <v>2012</v>
      </c>
      <c r="E5876" t="inlineStr">
        <is>
          <t>Safe House</t>
        </is>
      </c>
      <c r="F5876" t="inlineStr">
        <is>
          <t>F0272</t>
        </is>
      </c>
    </row>
    <row r="5877">
      <c r="A5877" t="inlineStr">
        <is>
          <t>Sebastian Roché</t>
        </is>
      </c>
      <c r="B5877" t="n">
        <v>1</v>
      </c>
      <c r="C5877" t="n">
        <v>2012</v>
      </c>
      <c r="D5877" t="n">
        <v>2012</v>
      </c>
      <c r="E5877" t="inlineStr">
        <is>
          <t>Safe House</t>
        </is>
      </c>
      <c r="F5877" t="inlineStr">
        <is>
          <t>F0272</t>
        </is>
      </c>
    </row>
    <row r="5878">
      <c r="A5878" t="inlineStr">
        <is>
          <t>Jody J. Abrahams</t>
        </is>
      </c>
      <c r="B5878" t="n">
        <v>1</v>
      </c>
      <c r="C5878" t="n">
        <v>2012</v>
      </c>
      <c r="D5878" t="n">
        <v>2012</v>
      </c>
      <c r="E5878" t="inlineStr">
        <is>
          <t>Safe House</t>
        </is>
      </c>
      <c r="F5878" t="inlineStr">
        <is>
          <t>F0272</t>
        </is>
      </c>
    </row>
    <row r="5879">
      <c r="A5879" t="inlineStr">
        <is>
          <t>Pope Jerrod</t>
        </is>
      </c>
      <c r="B5879" t="n">
        <v>1</v>
      </c>
      <c r="C5879" t="n">
        <v>2012</v>
      </c>
      <c r="D5879" t="n">
        <v>2012</v>
      </c>
      <c r="E5879" t="inlineStr">
        <is>
          <t>Safe House</t>
        </is>
      </c>
      <c r="F5879" t="inlineStr">
        <is>
          <t>F0272</t>
        </is>
      </c>
    </row>
    <row r="5880">
      <c r="A5880" t="inlineStr">
        <is>
          <t>Jerry Mofokeng</t>
        </is>
      </c>
      <c r="B5880" t="n">
        <v>1</v>
      </c>
      <c r="C5880" t="n">
        <v>2012</v>
      </c>
      <c r="D5880" t="n">
        <v>2012</v>
      </c>
      <c r="E5880" t="inlineStr">
        <is>
          <t>Safe House</t>
        </is>
      </c>
      <c r="F5880" t="inlineStr">
        <is>
          <t>F0272</t>
        </is>
      </c>
    </row>
    <row r="5881">
      <c r="A5881" t="inlineStr">
        <is>
          <t>Bryan van Niekerk</t>
        </is>
      </c>
      <c r="B5881" t="n">
        <v>1</v>
      </c>
      <c r="C5881" t="n">
        <v>2012</v>
      </c>
      <c r="D5881" t="n">
        <v>2012</v>
      </c>
      <c r="E5881" t="inlineStr">
        <is>
          <t>Safe House</t>
        </is>
      </c>
      <c r="F5881" t="inlineStr">
        <is>
          <t>F0272</t>
        </is>
      </c>
    </row>
    <row r="5882">
      <c r="A5882" t="inlineStr">
        <is>
          <t>Allen Irwin</t>
        </is>
      </c>
      <c r="B5882" t="n">
        <v>1</v>
      </c>
      <c r="C5882" t="n">
        <v>2012</v>
      </c>
      <c r="D5882" t="n">
        <v>2012</v>
      </c>
      <c r="E5882" t="inlineStr">
        <is>
          <t>Safe House</t>
        </is>
      </c>
      <c r="F5882" t="inlineStr">
        <is>
          <t>F0272</t>
        </is>
      </c>
    </row>
    <row r="5883">
      <c r="A5883" t="inlineStr">
        <is>
          <t>Jake McLaughlin</t>
        </is>
      </c>
      <c r="B5883" t="n">
        <v>2</v>
      </c>
      <c r="C5883" t="n">
        <v>2011</v>
      </c>
      <c r="D5883" t="n">
        <v>2012</v>
      </c>
      <c r="E5883" t="inlineStr">
        <is>
          <t>Safe House, Warrior</t>
        </is>
      </c>
      <c r="F5883" t="inlineStr">
        <is>
          <t>F0272, F0333</t>
        </is>
      </c>
    </row>
    <row r="5884">
      <c r="A5884" t="inlineStr">
        <is>
          <t>Aidan Bennetts</t>
        </is>
      </c>
      <c r="B5884" t="n">
        <v>1</v>
      </c>
      <c r="C5884" t="n">
        <v>2012</v>
      </c>
      <c r="D5884" t="n">
        <v>2012</v>
      </c>
      <c r="E5884" t="inlineStr">
        <is>
          <t>Safe House</t>
        </is>
      </c>
      <c r="F5884" t="inlineStr">
        <is>
          <t>F0272</t>
        </is>
      </c>
    </row>
    <row r="5885">
      <c r="A5885" t="inlineStr">
        <is>
          <t>Daniel Pearce</t>
        </is>
      </c>
      <c r="B5885" t="n">
        <v>1</v>
      </c>
      <c r="C5885" t="n">
        <v>2010</v>
      </c>
      <c r="D5885" t="n">
        <v>2010</v>
      </c>
      <c r="E5885" t="inlineStr">
        <is>
          <t>Salt</t>
        </is>
      </c>
      <c r="F5885" t="inlineStr">
        <is>
          <t>F0273</t>
        </is>
      </c>
    </row>
    <row r="5886">
      <c r="A5886" t="inlineStr">
        <is>
          <t>Hunt Block</t>
        </is>
      </c>
      <c r="B5886" t="n">
        <v>1</v>
      </c>
      <c r="C5886" t="n">
        <v>2010</v>
      </c>
      <c r="D5886" t="n">
        <v>2010</v>
      </c>
      <c r="E5886" t="inlineStr">
        <is>
          <t>Salt</t>
        </is>
      </c>
      <c r="F5886" t="inlineStr">
        <is>
          <t>F0273</t>
        </is>
      </c>
    </row>
    <row r="5887">
      <c r="A5887" t="inlineStr">
        <is>
          <t>Andre Braugher</t>
        </is>
      </c>
      <c r="B5887" t="n">
        <v>1</v>
      </c>
      <c r="C5887" t="n">
        <v>2010</v>
      </c>
      <c r="D5887" t="n">
        <v>2010</v>
      </c>
      <c r="E5887" t="inlineStr">
        <is>
          <t>Salt</t>
        </is>
      </c>
      <c r="F5887" t="inlineStr">
        <is>
          <t>F0273</t>
        </is>
      </c>
    </row>
    <row r="5888">
      <c r="A5888" t="inlineStr">
        <is>
          <t>Cassidy Hinkle</t>
        </is>
      </c>
      <c r="B5888" t="n">
        <v>1</v>
      </c>
      <c r="C5888" t="n">
        <v>2010</v>
      </c>
      <c r="D5888" t="n">
        <v>2010</v>
      </c>
      <c r="E5888" t="inlineStr">
        <is>
          <t>Salt</t>
        </is>
      </c>
      <c r="F5888" t="inlineStr">
        <is>
          <t>F0273</t>
        </is>
      </c>
    </row>
    <row r="5889">
      <c r="A5889" t="inlineStr">
        <is>
          <t>Vladislav Koulikov</t>
        </is>
      </c>
      <c r="B5889" t="n">
        <v>1</v>
      </c>
      <c r="C5889" t="n">
        <v>2010</v>
      </c>
      <c r="D5889" t="n">
        <v>2010</v>
      </c>
      <c r="E5889" t="inlineStr">
        <is>
          <t>Salt</t>
        </is>
      </c>
      <c r="F5889" t="inlineStr">
        <is>
          <t>F0273</t>
        </is>
      </c>
    </row>
    <row r="5890">
      <c r="A5890" t="inlineStr">
        <is>
          <t>Olya Zueva</t>
        </is>
      </c>
      <c r="B5890" t="n">
        <v>1</v>
      </c>
      <c r="C5890" t="n">
        <v>2010</v>
      </c>
      <c r="D5890" t="n">
        <v>2010</v>
      </c>
      <c r="E5890" t="inlineStr">
        <is>
          <t>Salt</t>
        </is>
      </c>
      <c r="F5890" t="inlineStr">
        <is>
          <t>F0273</t>
        </is>
      </c>
    </row>
    <row r="5891">
      <c r="A5891" t="inlineStr">
        <is>
          <t>Kevin O'Donnell</t>
        </is>
      </c>
      <c r="B5891" t="n">
        <v>1</v>
      </c>
      <c r="C5891" t="n">
        <v>2010</v>
      </c>
      <c r="D5891" t="n">
        <v>2010</v>
      </c>
      <c r="E5891" t="inlineStr">
        <is>
          <t>Salt</t>
        </is>
      </c>
      <c r="F5891" t="inlineStr">
        <is>
          <t>F0273</t>
        </is>
      </c>
    </row>
    <row r="5892">
      <c r="A5892" t="inlineStr">
        <is>
          <t>Gaius Charles</t>
        </is>
      </c>
      <c r="B5892" t="n">
        <v>1</v>
      </c>
      <c r="C5892" t="n">
        <v>2010</v>
      </c>
      <c r="D5892" t="n">
        <v>2010</v>
      </c>
      <c r="E5892" t="inlineStr">
        <is>
          <t>Salt</t>
        </is>
      </c>
      <c r="F5892" t="inlineStr">
        <is>
          <t>F0273</t>
        </is>
      </c>
    </row>
    <row r="5893">
      <c r="A5893" t="inlineStr">
        <is>
          <t>Zach Shaffer</t>
        </is>
      </c>
      <c r="B5893" t="n">
        <v>1</v>
      </c>
      <c r="C5893" t="n">
        <v>2010</v>
      </c>
      <c r="D5893" t="n">
        <v>2010</v>
      </c>
      <c r="E5893" t="inlineStr">
        <is>
          <t>Salt</t>
        </is>
      </c>
      <c r="F5893" t="inlineStr">
        <is>
          <t>F0273</t>
        </is>
      </c>
    </row>
    <row r="5894">
      <c r="A5894" t="inlineStr">
        <is>
          <t>Zoe Lister-Jones</t>
        </is>
      </c>
      <c r="B5894" t="n">
        <v>1</v>
      </c>
      <c r="C5894" t="n">
        <v>2010</v>
      </c>
      <c r="D5894" t="n">
        <v>2010</v>
      </c>
      <c r="E5894" t="inlineStr">
        <is>
          <t>Salt</t>
        </is>
      </c>
      <c r="F5894" t="inlineStr">
        <is>
          <t>F0273</t>
        </is>
      </c>
    </row>
    <row r="5895">
      <c r="A5895" t="inlineStr">
        <is>
          <t>Paul Juhn</t>
        </is>
      </c>
      <c r="B5895" t="n">
        <v>1</v>
      </c>
      <c r="C5895" t="n">
        <v>2010</v>
      </c>
      <c r="D5895" t="n">
        <v>2010</v>
      </c>
      <c r="E5895" t="inlineStr">
        <is>
          <t>Salt</t>
        </is>
      </c>
      <c r="F5895" t="inlineStr">
        <is>
          <t>F0273</t>
        </is>
      </c>
    </row>
    <row r="5896">
      <c r="A5896" t="inlineStr">
        <is>
          <t>Tika Sumpter</t>
        </is>
      </c>
      <c r="B5896" t="n">
        <v>1</v>
      </c>
      <c r="C5896" t="n">
        <v>2010</v>
      </c>
      <c r="D5896" t="n">
        <v>2010</v>
      </c>
      <c r="E5896" t="inlineStr">
        <is>
          <t>Salt</t>
        </is>
      </c>
      <c r="F5896" t="inlineStr">
        <is>
          <t>F0273</t>
        </is>
      </c>
    </row>
    <row r="5897">
      <c r="A5897" t="inlineStr">
        <is>
          <t>David Bishins</t>
        </is>
      </c>
      <c r="B5897" t="n">
        <v>1</v>
      </c>
      <c r="C5897" t="n">
        <v>2010</v>
      </c>
      <c r="D5897" t="n">
        <v>2010</v>
      </c>
      <c r="E5897" t="inlineStr">
        <is>
          <t>Salt</t>
        </is>
      </c>
      <c r="F5897" t="inlineStr">
        <is>
          <t>F0273</t>
        </is>
      </c>
    </row>
    <row r="5898">
      <c r="A5898" t="inlineStr">
        <is>
          <t>Yara Shahidi</t>
        </is>
      </c>
      <c r="B5898" t="n">
        <v>1</v>
      </c>
      <c r="C5898" t="n">
        <v>2010</v>
      </c>
      <c r="D5898" t="n">
        <v>2010</v>
      </c>
      <c r="E5898" t="inlineStr">
        <is>
          <t>Salt</t>
        </is>
      </c>
      <c r="F5898" t="inlineStr">
        <is>
          <t>F0273</t>
        </is>
      </c>
    </row>
    <row r="5899">
      <c r="A5899" t="inlineStr">
        <is>
          <t>Gary Wilmes</t>
        </is>
      </c>
      <c r="B5899" t="n">
        <v>1</v>
      </c>
      <c r="C5899" t="n">
        <v>2010</v>
      </c>
      <c r="D5899" t="n">
        <v>2010</v>
      </c>
      <c r="E5899" t="inlineStr">
        <is>
          <t>Salt</t>
        </is>
      </c>
      <c r="F5899" t="inlineStr">
        <is>
          <t>F0273</t>
        </is>
      </c>
    </row>
    <row r="5900">
      <c r="A5900" t="inlineStr">
        <is>
          <t>Jordan Lage</t>
        </is>
      </c>
      <c r="B5900" t="n">
        <v>1</v>
      </c>
      <c r="C5900" t="n">
        <v>2010</v>
      </c>
      <c r="D5900" t="n">
        <v>2010</v>
      </c>
      <c r="E5900" t="inlineStr">
        <is>
          <t>Salt</t>
        </is>
      </c>
      <c r="F5900" t="inlineStr">
        <is>
          <t>F0273</t>
        </is>
      </c>
    </row>
    <row r="5901">
      <c r="A5901" t="inlineStr">
        <is>
          <t>Jeremy Davidson</t>
        </is>
      </c>
      <c r="B5901" t="n">
        <v>1</v>
      </c>
      <c r="C5901" t="n">
        <v>2010</v>
      </c>
      <c r="D5901" t="n">
        <v>2010</v>
      </c>
      <c r="E5901" t="inlineStr">
        <is>
          <t>Salt</t>
        </is>
      </c>
      <c r="F5901" t="inlineStr">
        <is>
          <t>F0273</t>
        </is>
      </c>
    </row>
    <row r="5902">
      <c r="A5902" t="inlineStr">
        <is>
          <t>Michelle Ray Smith</t>
        </is>
      </c>
      <c r="B5902" t="n">
        <v>1</v>
      </c>
      <c r="C5902" t="n">
        <v>2010</v>
      </c>
      <c r="D5902" t="n">
        <v>2010</v>
      </c>
      <c r="E5902" t="inlineStr">
        <is>
          <t>Salt</t>
        </is>
      </c>
      <c r="F5902" t="inlineStr">
        <is>
          <t>F0273</t>
        </is>
      </c>
    </row>
    <row r="5903">
      <c r="A5903" t="inlineStr">
        <is>
          <t>Marion McCorry</t>
        </is>
      </c>
      <c r="B5903" t="n">
        <v>1</v>
      </c>
      <c r="C5903" t="n">
        <v>2010</v>
      </c>
      <c r="D5903" t="n">
        <v>2010</v>
      </c>
      <c r="E5903" t="inlineStr">
        <is>
          <t>Salt</t>
        </is>
      </c>
      <c r="F5903" t="inlineStr">
        <is>
          <t>F0273</t>
        </is>
      </c>
    </row>
    <row r="5904">
      <c r="A5904" t="inlineStr">
        <is>
          <t>Vladimir Tevlovski</t>
        </is>
      </c>
      <c r="B5904" t="n">
        <v>1</v>
      </c>
      <c r="C5904" t="n">
        <v>2010</v>
      </c>
      <c r="D5904" t="n">
        <v>2010</v>
      </c>
      <c r="E5904" t="inlineStr">
        <is>
          <t>Salt</t>
        </is>
      </c>
      <c r="F5904" t="inlineStr">
        <is>
          <t>F0273</t>
        </is>
      </c>
    </row>
    <row r="5905">
      <c r="A5905" t="inlineStr">
        <is>
          <t>Steve Cirbus</t>
        </is>
      </c>
      <c r="B5905" t="n">
        <v>1</v>
      </c>
      <c r="C5905" t="n">
        <v>2010</v>
      </c>
      <c r="D5905" t="n">
        <v>2010</v>
      </c>
      <c r="E5905" t="inlineStr">
        <is>
          <t>Salt</t>
        </is>
      </c>
      <c r="F5905" t="inlineStr">
        <is>
          <t>F0273</t>
        </is>
      </c>
    </row>
    <row r="5906">
      <c r="A5906" t="inlineStr">
        <is>
          <t>Roslyn Ruff</t>
        </is>
      </c>
      <c r="B5906" t="n">
        <v>1</v>
      </c>
      <c r="C5906" t="n">
        <v>2010</v>
      </c>
      <c r="D5906" t="n">
        <v>2010</v>
      </c>
      <c r="E5906" t="inlineStr">
        <is>
          <t>Salt</t>
        </is>
      </c>
      <c r="F5906" t="inlineStr">
        <is>
          <t>F0273</t>
        </is>
      </c>
    </row>
    <row r="5907">
      <c r="A5907" t="inlineStr">
        <is>
          <t>Lake Bell</t>
        </is>
      </c>
      <c r="B5907" t="n">
        <v>1</v>
      </c>
      <c r="C5907" t="n">
        <v>2016</v>
      </c>
      <c r="D5907" t="n">
        <v>2016</v>
      </c>
      <c r="E5907" t="inlineStr">
        <is>
          <t>The Secret Life of Pets</t>
        </is>
      </c>
      <c r="F5907" t="inlineStr">
        <is>
          <t>F0274</t>
        </is>
      </c>
    </row>
    <row r="5908">
      <c r="A5908" t="inlineStr">
        <is>
          <t>Dana Carvey</t>
        </is>
      </c>
      <c r="B5908" t="n">
        <v>1</v>
      </c>
      <c r="C5908" t="n">
        <v>2016</v>
      </c>
      <c r="D5908" t="n">
        <v>2016</v>
      </c>
      <c r="E5908" t="inlineStr">
        <is>
          <t>The Secret Life of Pets</t>
        </is>
      </c>
      <c r="F5908" t="inlineStr">
        <is>
          <t>F0274</t>
        </is>
      </c>
    </row>
    <row r="5909">
      <c r="A5909" t="inlineStr">
        <is>
          <t>Hannibal Buress</t>
        </is>
      </c>
      <c r="B5909" t="n">
        <v>1</v>
      </c>
      <c r="C5909" t="n">
        <v>2016</v>
      </c>
      <c r="D5909" t="n">
        <v>2016</v>
      </c>
      <c r="E5909" t="inlineStr">
        <is>
          <t>The Secret Life of Pets</t>
        </is>
      </c>
      <c r="F5909" t="inlineStr">
        <is>
          <t>F0274</t>
        </is>
      </c>
    </row>
    <row r="5910">
      <c r="A5910" t="inlineStr">
        <is>
          <t>Sandra Echeverría</t>
        </is>
      </c>
      <c r="B5910" t="n">
        <v>1</v>
      </c>
      <c r="C5910" t="n">
        <v>2016</v>
      </c>
      <c r="D5910" t="n">
        <v>2016</v>
      </c>
      <c r="E5910" t="inlineStr">
        <is>
          <t>The Secret Life of Pets</t>
        </is>
      </c>
      <c r="F5910" t="inlineStr">
        <is>
          <t>F0274</t>
        </is>
      </c>
    </row>
    <row r="5911">
      <c r="A5911" t="inlineStr">
        <is>
          <t>Jaime Camil</t>
        </is>
      </c>
      <c r="B5911" t="n">
        <v>1</v>
      </c>
      <c r="C5911" t="n">
        <v>2016</v>
      </c>
      <c r="D5911" t="n">
        <v>2016</v>
      </c>
      <c r="E5911" t="inlineStr">
        <is>
          <t>The Secret Life of Pets</t>
        </is>
      </c>
      <c r="F5911" t="inlineStr">
        <is>
          <t>F0274</t>
        </is>
      </c>
    </row>
    <row r="5912">
      <c r="A5912" t="inlineStr">
        <is>
          <t>Kiely Renaud</t>
        </is>
      </c>
      <c r="B5912" t="n">
        <v>1</v>
      </c>
      <c r="C5912" t="n">
        <v>2016</v>
      </c>
      <c r="D5912" t="n">
        <v>2016</v>
      </c>
      <c r="E5912" t="inlineStr">
        <is>
          <t>The Secret Life of Pets</t>
        </is>
      </c>
      <c r="F5912" t="inlineStr">
        <is>
          <t>F0274</t>
        </is>
      </c>
    </row>
    <row r="5913">
      <c r="A5913" t="inlineStr">
        <is>
          <t>Tara Strong</t>
        </is>
      </c>
      <c r="B5913" t="n">
        <v>1</v>
      </c>
      <c r="C5913" t="n">
        <v>2016</v>
      </c>
      <c r="D5913" t="n">
        <v>2016</v>
      </c>
      <c r="E5913" t="inlineStr">
        <is>
          <t>The Secret Life of Pets</t>
        </is>
      </c>
      <c r="F5913" t="inlineStr">
        <is>
          <t>F0274</t>
        </is>
      </c>
    </row>
    <row r="5914">
      <c r="A5914" t="inlineStr">
        <is>
          <t>Jason Marsden</t>
        </is>
      </c>
      <c r="B5914" t="n">
        <v>1</v>
      </c>
      <c r="C5914" t="n">
        <v>2016</v>
      </c>
      <c r="D5914" t="n">
        <v>2016</v>
      </c>
      <c r="E5914" t="inlineStr">
        <is>
          <t>The Secret Life of Pets</t>
        </is>
      </c>
      <c r="F5914" t="inlineStr">
        <is>
          <t>F0274</t>
        </is>
      </c>
    </row>
    <row r="5915">
      <c r="A5915" t="inlineStr">
        <is>
          <t>Jan Rabson</t>
        </is>
      </c>
      <c r="B5915" t="n">
        <v>4</v>
      </c>
      <c r="C5915" t="n">
        <v>2008</v>
      </c>
      <c r="D5915" t="n">
        <v>2016</v>
      </c>
      <c r="E5915" t="inlineStr">
        <is>
          <t>The Secret Life of Pets, Toy Story 3, Up, WALL·E</t>
        </is>
      </c>
      <c r="F5915" t="inlineStr">
        <is>
          <t>F0274, F0314, F0330, F0331</t>
        </is>
      </c>
    </row>
    <row r="5916">
      <c r="A5916" t="inlineStr">
        <is>
          <t>Ken Schretzmann</t>
        </is>
      </c>
      <c r="B5916" t="n">
        <v>1</v>
      </c>
      <c r="C5916" t="n">
        <v>2016</v>
      </c>
      <c r="D5916" t="n">
        <v>2016</v>
      </c>
      <c r="E5916" t="inlineStr">
        <is>
          <t>The Secret Life of Pets</t>
        </is>
      </c>
      <c r="F5916" t="inlineStr">
        <is>
          <t>F0274</t>
        </is>
      </c>
    </row>
    <row r="5917">
      <c r="A5917" t="inlineStr">
        <is>
          <t>John Kassir</t>
        </is>
      </c>
      <c r="B5917" t="n">
        <v>1</v>
      </c>
      <c r="C5917" t="n">
        <v>2016</v>
      </c>
      <c r="D5917" t="n">
        <v>2016</v>
      </c>
      <c r="E5917" t="inlineStr">
        <is>
          <t>The Secret Life of Pets</t>
        </is>
      </c>
      <c r="F5917" t="inlineStr">
        <is>
          <t>F0274</t>
        </is>
      </c>
    </row>
    <row r="5918">
      <c r="A5918" t="inlineStr">
        <is>
          <t>Jim Ward</t>
        </is>
      </c>
      <c r="B5918" t="n">
        <v>2</v>
      </c>
      <c r="C5918" t="n">
        <v>2008</v>
      </c>
      <c r="D5918" t="n">
        <v>2016</v>
      </c>
      <c r="E5918" t="inlineStr">
        <is>
          <t>The Secret Life of Pets, WALL·E</t>
        </is>
      </c>
      <c r="F5918" t="inlineStr">
        <is>
          <t>F0274, F0331</t>
        </is>
      </c>
    </row>
    <row r="5919">
      <c r="A5919" t="inlineStr">
        <is>
          <t>Tyler Werrin</t>
        </is>
      </c>
      <c r="B5919" t="n">
        <v>1</v>
      </c>
      <c r="C5919" t="n">
        <v>2016</v>
      </c>
      <c r="D5919" t="n">
        <v>2016</v>
      </c>
      <c r="E5919" t="inlineStr">
        <is>
          <t>The Secret Life of Pets</t>
        </is>
      </c>
      <c r="F5919" t="inlineStr">
        <is>
          <t>F0274</t>
        </is>
      </c>
    </row>
    <row r="5920">
      <c r="A5920" t="inlineStr">
        <is>
          <t>Milton da Silva</t>
        </is>
      </c>
      <c r="B5920" t="n">
        <v>1</v>
      </c>
      <c r="C5920" t="n">
        <v>2010</v>
      </c>
      <c r="D5920" t="n">
        <v>2010</v>
      </c>
      <c r="E5920" t="inlineStr">
        <is>
          <t>Senna</t>
        </is>
      </c>
      <c r="F5920" t="inlineStr">
        <is>
          <t>F0275</t>
        </is>
      </c>
    </row>
    <row r="5921">
      <c r="A5921" t="inlineStr">
        <is>
          <t>Neyde Senna</t>
        </is>
      </c>
      <c r="B5921" t="n">
        <v>1</v>
      </c>
      <c r="C5921" t="n">
        <v>2010</v>
      </c>
      <c r="D5921" t="n">
        <v>2010</v>
      </c>
      <c r="E5921" t="inlineStr">
        <is>
          <t>Senna</t>
        </is>
      </c>
      <c r="F5921" t="inlineStr">
        <is>
          <t>F0275</t>
        </is>
      </c>
    </row>
    <row r="5922">
      <c r="A5922" t="inlineStr">
        <is>
          <t>Jackie Stewart</t>
        </is>
      </c>
      <c r="B5922" t="n">
        <v>1</v>
      </c>
      <c r="C5922" t="n">
        <v>2010</v>
      </c>
      <c r="D5922" t="n">
        <v>2010</v>
      </c>
      <c r="E5922" t="inlineStr">
        <is>
          <t>Senna</t>
        </is>
      </c>
      <c r="F5922" t="inlineStr">
        <is>
          <t>F0275</t>
        </is>
      </c>
    </row>
    <row r="5923">
      <c r="A5923" t="inlineStr">
        <is>
          <t>Sid Watkins</t>
        </is>
      </c>
      <c r="B5923" t="n">
        <v>1</v>
      </c>
      <c r="C5923" t="n">
        <v>2010</v>
      </c>
      <c r="D5923" t="n">
        <v>2010</v>
      </c>
      <c r="E5923" t="inlineStr">
        <is>
          <t>Senna</t>
        </is>
      </c>
      <c r="F5923" t="inlineStr">
        <is>
          <t>F0275</t>
        </is>
      </c>
    </row>
    <row r="5924">
      <c r="A5924" t="inlineStr">
        <is>
          <t>Galvão Bueno</t>
        </is>
      </c>
      <c r="B5924" t="n">
        <v>1</v>
      </c>
      <c r="C5924" t="n">
        <v>2010</v>
      </c>
      <c r="D5924" t="n">
        <v>2010</v>
      </c>
      <c r="E5924" t="inlineStr">
        <is>
          <t>Senna</t>
        </is>
      </c>
      <c r="F5924" t="inlineStr">
        <is>
          <t>F0275</t>
        </is>
      </c>
    </row>
    <row r="5925">
      <c r="A5925" t="inlineStr">
        <is>
          <t>Reginaldo Leme</t>
        </is>
      </c>
      <c r="B5925" t="n">
        <v>1</v>
      </c>
      <c r="C5925" t="n">
        <v>2010</v>
      </c>
      <c r="D5925" t="n">
        <v>2010</v>
      </c>
      <c r="E5925" t="inlineStr">
        <is>
          <t>Senna</t>
        </is>
      </c>
      <c r="F5925" t="inlineStr">
        <is>
          <t>F0275</t>
        </is>
      </c>
    </row>
    <row r="5926">
      <c r="A5926" t="inlineStr">
        <is>
          <t>Gerhard Berger</t>
        </is>
      </c>
      <c r="B5926" t="n">
        <v>1</v>
      </c>
      <c r="C5926" t="n">
        <v>2010</v>
      </c>
      <c r="D5926" t="n">
        <v>2010</v>
      </c>
      <c r="E5926" t="inlineStr">
        <is>
          <t>Senna</t>
        </is>
      </c>
      <c r="F5926" t="inlineStr">
        <is>
          <t>F0275</t>
        </is>
      </c>
    </row>
    <row r="5927">
      <c r="A5927" t="inlineStr">
        <is>
          <t>Nelson Piquet</t>
        </is>
      </c>
      <c r="B5927" t="n">
        <v>1</v>
      </c>
      <c r="C5927" t="n">
        <v>2010</v>
      </c>
      <c r="D5927" t="n">
        <v>2010</v>
      </c>
      <c r="E5927" t="inlineStr">
        <is>
          <t>Senna</t>
        </is>
      </c>
      <c r="F5927" t="inlineStr">
        <is>
          <t>F0275</t>
        </is>
      </c>
    </row>
    <row r="5928">
      <c r="A5928" t="inlineStr">
        <is>
          <t>Nigel Mansell</t>
        </is>
      </c>
      <c r="B5928" t="n">
        <v>1</v>
      </c>
      <c r="C5928" t="n">
        <v>2010</v>
      </c>
      <c r="D5928" t="n">
        <v>2010</v>
      </c>
      <c r="E5928" t="inlineStr">
        <is>
          <t>Senna</t>
        </is>
      </c>
      <c r="F5928" t="inlineStr">
        <is>
          <t>F0275</t>
        </is>
      </c>
    </row>
    <row r="5929">
      <c r="A5929" t="inlineStr">
        <is>
          <t>Jean-Marie Balestre</t>
        </is>
      </c>
      <c r="B5929" t="n">
        <v>1</v>
      </c>
      <c r="C5929" t="n">
        <v>2010</v>
      </c>
      <c r="D5929" t="n">
        <v>2010</v>
      </c>
      <c r="E5929" t="inlineStr">
        <is>
          <t>Senna</t>
        </is>
      </c>
      <c r="F5929" t="inlineStr">
        <is>
          <t>F0275</t>
        </is>
      </c>
    </row>
    <row r="5930">
      <c r="A5930" t="inlineStr">
        <is>
          <t>Bernie Ecclestone</t>
        </is>
      </c>
      <c r="B5930" t="n">
        <v>1</v>
      </c>
      <c r="C5930" t="n">
        <v>2010</v>
      </c>
      <c r="D5930" t="n">
        <v>2010</v>
      </c>
      <c r="E5930" t="inlineStr">
        <is>
          <t>Senna</t>
        </is>
      </c>
      <c r="F5930" t="inlineStr">
        <is>
          <t>F0275</t>
        </is>
      </c>
    </row>
    <row r="5931">
      <c r="A5931" t="inlineStr">
        <is>
          <t>John Bisignano</t>
        </is>
      </c>
      <c r="B5931" t="n">
        <v>1</v>
      </c>
      <c r="C5931" t="n">
        <v>2010</v>
      </c>
      <c r="D5931" t="n">
        <v>2010</v>
      </c>
      <c r="E5931" t="inlineStr">
        <is>
          <t>Senna</t>
        </is>
      </c>
      <c r="F5931" t="inlineStr">
        <is>
          <t>F0275</t>
        </is>
      </c>
    </row>
    <row r="5932">
      <c r="A5932" t="inlineStr">
        <is>
          <t>Richard Williams</t>
        </is>
      </c>
      <c r="B5932" t="n">
        <v>1</v>
      </c>
      <c r="C5932" t="n">
        <v>2010</v>
      </c>
      <c r="D5932" t="n">
        <v>2010</v>
      </c>
      <c r="E5932" t="inlineStr">
        <is>
          <t>Senna</t>
        </is>
      </c>
      <c r="F5932" t="inlineStr">
        <is>
          <t>F0275</t>
        </is>
      </c>
    </row>
    <row r="5933">
      <c r="A5933" t="inlineStr">
        <is>
          <t>Pierre Van Vliet</t>
        </is>
      </c>
      <c r="B5933" t="n">
        <v>1</v>
      </c>
      <c r="C5933" t="n">
        <v>2010</v>
      </c>
      <c r="D5933" t="n">
        <v>2010</v>
      </c>
      <c r="E5933" t="inlineStr">
        <is>
          <t>Senna</t>
        </is>
      </c>
      <c r="F5933" t="inlineStr">
        <is>
          <t>F0275</t>
        </is>
      </c>
    </row>
    <row r="5934">
      <c r="A5934" t="inlineStr">
        <is>
          <t>Arnaldo Jabor</t>
        </is>
      </c>
      <c r="B5934" t="n">
        <v>1</v>
      </c>
      <c r="C5934" t="n">
        <v>2010</v>
      </c>
      <c r="D5934" t="n">
        <v>2010</v>
      </c>
      <c r="E5934" t="inlineStr">
        <is>
          <t>Senna</t>
        </is>
      </c>
      <c r="F5934" t="inlineStr">
        <is>
          <t>F0275</t>
        </is>
      </c>
    </row>
    <row r="5935">
      <c r="A5935" t="inlineStr">
        <is>
          <t>Leonardo Senna</t>
        </is>
      </c>
      <c r="B5935" t="n">
        <v>1</v>
      </c>
      <c r="C5935" t="n">
        <v>2010</v>
      </c>
      <c r="D5935" t="n">
        <v>2010</v>
      </c>
      <c r="E5935" t="inlineStr">
        <is>
          <t>Senna</t>
        </is>
      </c>
      <c r="F5935" t="inlineStr">
        <is>
          <t>F0275</t>
        </is>
      </c>
    </row>
    <row r="5936">
      <c r="A5936" t="inlineStr">
        <is>
          <t>Xuxa</t>
        </is>
      </c>
      <c r="B5936" t="n">
        <v>1</v>
      </c>
      <c r="C5936" t="n">
        <v>2010</v>
      </c>
      <c r="D5936" t="n">
        <v>2010</v>
      </c>
      <c r="E5936" t="inlineStr">
        <is>
          <t>Senna</t>
        </is>
      </c>
      <c r="F5936" t="inlineStr">
        <is>
          <t>F0275</t>
        </is>
      </c>
    </row>
    <row r="5937">
      <c r="A5937" t="inlineStr">
        <is>
          <t>Luiza Erundina</t>
        </is>
      </c>
      <c r="B5937" t="n">
        <v>1</v>
      </c>
      <c r="C5937" t="n">
        <v>2010</v>
      </c>
      <c r="D5937" t="n">
        <v>2010</v>
      </c>
      <c r="E5937" t="inlineStr">
        <is>
          <t>Senna</t>
        </is>
      </c>
      <c r="F5937" t="inlineStr">
        <is>
          <t>F0275</t>
        </is>
      </c>
    </row>
    <row r="5938">
      <c r="A5938" t="inlineStr">
        <is>
          <t>Niki Lauda</t>
        </is>
      </c>
      <c r="B5938" t="n">
        <v>1</v>
      </c>
      <c r="C5938" t="n">
        <v>2010</v>
      </c>
      <c r="D5938" t="n">
        <v>2010</v>
      </c>
      <c r="E5938" t="inlineStr">
        <is>
          <t>Senna</t>
        </is>
      </c>
      <c r="F5938" t="inlineStr">
        <is>
          <t>F0275</t>
        </is>
      </c>
    </row>
    <row r="5939">
      <c r="A5939" t="inlineStr">
        <is>
          <t>Terry Fullerton</t>
        </is>
      </c>
      <c r="B5939" t="n">
        <v>1</v>
      </c>
      <c r="C5939" t="n">
        <v>2010</v>
      </c>
      <c r="D5939" t="n">
        <v>2010</v>
      </c>
      <c r="E5939" t="inlineStr">
        <is>
          <t>Senna</t>
        </is>
      </c>
      <c r="F5939" t="inlineStr">
        <is>
          <t>F0275</t>
        </is>
      </c>
    </row>
    <row r="5940">
      <c r="A5940" t="inlineStr">
        <is>
          <t>Adriane Galisteu</t>
        </is>
      </c>
      <c r="B5940" t="n">
        <v>1</v>
      </c>
      <c r="C5940" t="n">
        <v>2010</v>
      </c>
      <c r="D5940" t="n">
        <v>2010</v>
      </c>
      <c r="E5940" t="inlineStr">
        <is>
          <t>Senna</t>
        </is>
      </c>
      <c r="F5940" t="inlineStr">
        <is>
          <t>F0275</t>
        </is>
      </c>
    </row>
    <row r="5941">
      <c r="A5941" t="inlineStr">
        <is>
          <t>Rubens Barrichello</t>
        </is>
      </c>
      <c r="B5941" t="n">
        <v>1</v>
      </c>
      <c r="C5941" t="n">
        <v>2010</v>
      </c>
      <c r="D5941" t="n">
        <v>2010</v>
      </c>
      <c r="E5941" t="inlineStr">
        <is>
          <t>Senna</t>
        </is>
      </c>
      <c r="F5941" t="inlineStr">
        <is>
          <t>F0275</t>
        </is>
      </c>
    </row>
    <row r="5942">
      <c r="A5942" t="inlineStr">
        <is>
          <t>Damon Hill</t>
        </is>
      </c>
      <c r="B5942" t="n">
        <v>1</v>
      </c>
      <c r="C5942" t="n">
        <v>2010</v>
      </c>
      <c r="D5942" t="n">
        <v>2010</v>
      </c>
      <c r="E5942" t="inlineStr">
        <is>
          <t>Senna</t>
        </is>
      </c>
      <c r="F5942" t="inlineStr">
        <is>
          <t>F0275</t>
        </is>
      </c>
    </row>
    <row r="5943">
      <c r="A5943" t="inlineStr">
        <is>
          <t>Roland Ratzenberger</t>
        </is>
      </c>
      <c r="B5943" t="n">
        <v>1</v>
      </c>
      <c r="C5943" t="n">
        <v>2010</v>
      </c>
      <c r="D5943" t="n">
        <v>2010</v>
      </c>
      <c r="E5943" t="inlineStr">
        <is>
          <t>Senna</t>
        </is>
      </c>
      <c r="F5943" t="inlineStr">
        <is>
          <t>F0275</t>
        </is>
      </c>
    </row>
    <row r="5944">
      <c r="A5944" t="inlineStr">
        <is>
          <t>Patrick Head</t>
        </is>
      </c>
      <c r="B5944" t="n">
        <v>1</v>
      </c>
      <c r="C5944" t="n">
        <v>2010</v>
      </c>
      <c r="D5944" t="n">
        <v>2010</v>
      </c>
      <c r="E5944" t="inlineStr">
        <is>
          <t>Senna</t>
        </is>
      </c>
      <c r="F5944" t="inlineStr">
        <is>
          <t>F0275</t>
        </is>
      </c>
    </row>
    <row r="5945">
      <c r="A5945" t="inlineStr">
        <is>
          <t>Reg E. Cathey</t>
        </is>
      </c>
      <c r="B5945" t="n">
        <v>1</v>
      </c>
      <c r="C5945" t="n">
        <v>1995</v>
      </c>
      <c r="D5945" t="n">
        <v>1995</v>
      </c>
      <c r="E5945" t="inlineStr">
        <is>
          <t>Se7en</t>
        </is>
      </c>
      <c r="F5945" t="inlineStr">
        <is>
          <t>F0276</t>
        </is>
      </c>
    </row>
    <row r="5946">
      <c r="A5946" t="inlineStr">
        <is>
          <t>R. Lee Ermey</t>
        </is>
      </c>
      <c r="B5946" t="n">
        <v>4</v>
      </c>
      <c r="C5946" t="n">
        <v>1995</v>
      </c>
      <c r="D5946" t="n">
        <v>2010</v>
      </c>
      <c r="E5946" t="inlineStr">
        <is>
          <t>Se7en, Toy Story, Toy Story 2, Toy Story 3</t>
        </is>
      </c>
      <c r="F5946" t="inlineStr">
        <is>
          <t>F0276, F0312, F0313, F0314</t>
        </is>
      </c>
    </row>
    <row r="5947">
      <c r="A5947" t="inlineStr">
        <is>
          <t>Daniel Zacapa</t>
        </is>
      </c>
      <c r="B5947" t="n">
        <v>1</v>
      </c>
      <c r="C5947" t="n">
        <v>1995</v>
      </c>
      <c r="D5947" t="n">
        <v>1995</v>
      </c>
      <c r="E5947" t="inlineStr">
        <is>
          <t>Se7en</t>
        </is>
      </c>
      <c r="F5947" t="inlineStr">
        <is>
          <t>F0276</t>
        </is>
      </c>
    </row>
    <row r="5948">
      <c r="A5948" t="inlineStr">
        <is>
          <t>Andrew Kevin Walker</t>
        </is>
      </c>
      <c r="B5948" t="n">
        <v>1</v>
      </c>
      <c r="C5948" t="n">
        <v>1995</v>
      </c>
      <c r="D5948" t="n">
        <v>1995</v>
      </c>
      <c r="E5948" t="inlineStr">
        <is>
          <t>Se7en</t>
        </is>
      </c>
      <c r="F5948" t="inlineStr">
        <is>
          <t>F0276</t>
        </is>
      </c>
    </row>
    <row r="5949">
      <c r="A5949" t="inlineStr">
        <is>
          <t>George Christy</t>
        </is>
      </c>
      <c r="B5949" t="n">
        <v>1</v>
      </c>
      <c r="C5949" t="n">
        <v>1995</v>
      </c>
      <c r="D5949" t="n">
        <v>1995</v>
      </c>
      <c r="E5949" t="inlineStr">
        <is>
          <t>Se7en</t>
        </is>
      </c>
      <c r="F5949" t="inlineStr">
        <is>
          <t>F0276</t>
        </is>
      </c>
    </row>
    <row r="5950">
      <c r="A5950" t="inlineStr">
        <is>
          <t>Endre Hules</t>
        </is>
      </c>
      <c r="B5950" t="n">
        <v>1</v>
      </c>
      <c r="C5950" t="n">
        <v>1995</v>
      </c>
      <c r="D5950" t="n">
        <v>1995</v>
      </c>
      <c r="E5950" t="inlineStr">
        <is>
          <t>Se7en</t>
        </is>
      </c>
      <c r="F5950" t="inlineStr">
        <is>
          <t>F0276</t>
        </is>
      </c>
    </row>
    <row r="5951">
      <c r="A5951" t="inlineStr">
        <is>
          <t>Hawthorne James</t>
        </is>
      </c>
      <c r="B5951" t="n">
        <v>1</v>
      </c>
      <c r="C5951" t="n">
        <v>1995</v>
      </c>
      <c r="D5951" t="n">
        <v>1995</v>
      </c>
      <c r="E5951" t="inlineStr">
        <is>
          <t>Se7en</t>
        </is>
      </c>
      <c r="F5951" t="inlineStr">
        <is>
          <t>F0276</t>
        </is>
      </c>
    </row>
    <row r="5952">
      <c r="A5952" t="inlineStr">
        <is>
          <t>Bob Mack</t>
        </is>
      </c>
      <c r="B5952" t="n">
        <v>1</v>
      </c>
      <c r="C5952" t="n">
        <v>1995</v>
      </c>
      <c r="D5952" t="n">
        <v>1995</v>
      </c>
      <c r="E5952" t="inlineStr">
        <is>
          <t>Se7en</t>
        </is>
      </c>
      <c r="F5952" t="inlineStr">
        <is>
          <t>F0276</t>
        </is>
      </c>
    </row>
    <row r="5953">
      <c r="A5953" t="inlineStr">
        <is>
          <t>William Davidson</t>
        </is>
      </c>
      <c r="B5953" t="n">
        <v>1</v>
      </c>
      <c r="C5953" t="n">
        <v>1995</v>
      </c>
      <c r="D5953" t="n">
        <v>1995</v>
      </c>
      <c r="E5953" t="inlineStr">
        <is>
          <t>Se7en</t>
        </is>
      </c>
      <c r="F5953" t="inlineStr">
        <is>
          <t>F0276</t>
        </is>
      </c>
    </row>
    <row r="5954">
      <c r="A5954" t="inlineStr">
        <is>
          <t>Bob Collins</t>
        </is>
      </c>
      <c r="B5954" t="n">
        <v>1</v>
      </c>
      <c r="C5954" t="n">
        <v>1995</v>
      </c>
      <c r="D5954" t="n">
        <v>1995</v>
      </c>
      <c r="E5954" t="inlineStr">
        <is>
          <t>Se7en</t>
        </is>
      </c>
      <c r="F5954" t="inlineStr">
        <is>
          <t>F0276</t>
        </is>
      </c>
    </row>
    <row r="5955">
      <c r="A5955" t="inlineStr">
        <is>
          <t>Jimmy Dale Hartsell</t>
        </is>
      </c>
      <c r="B5955" t="n">
        <v>1</v>
      </c>
      <c r="C5955" t="n">
        <v>1995</v>
      </c>
      <c r="D5955" t="n">
        <v>1995</v>
      </c>
      <c r="E5955" t="inlineStr">
        <is>
          <t>Se7en</t>
        </is>
      </c>
      <c r="F5955" t="inlineStr">
        <is>
          <t>F0276</t>
        </is>
      </c>
    </row>
    <row r="5956">
      <c r="A5956" t="inlineStr">
        <is>
          <t>Richard Roundtree</t>
        </is>
      </c>
      <c r="B5956" t="n">
        <v>1</v>
      </c>
      <c r="C5956" t="n">
        <v>1995</v>
      </c>
      <c r="D5956" t="n">
        <v>1995</v>
      </c>
      <c r="E5956" t="inlineStr">
        <is>
          <t>Se7en</t>
        </is>
      </c>
      <c r="F5956" t="inlineStr">
        <is>
          <t>F0276</t>
        </is>
      </c>
    </row>
    <row r="5957">
      <c r="A5957" t="inlineStr">
        <is>
          <t>Charline Su</t>
        </is>
      </c>
      <c r="B5957" t="n">
        <v>1</v>
      </c>
      <c r="C5957" t="n">
        <v>1995</v>
      </c>
      <c r="D5957" t="n">
        <v>1995</v>
      </c>
      <c r="E5957" t="inlineStr">
        <is>
          <t>Se7en</t>
        </is>
      </c>
      <c r="F5957" t="inlineStr">
        <is>
          <t>F0276</t>
        </is>
      </c>
    </row>
    <row r="5958">
      <c r="A5958" t="inlineStr">
        <is>
          <t>Dominique Jennings</t>
        </is>
      </c>
      <c r="B5958" t="n">
        <v>1</v>
      </c>
      <c r="C5958" t="n">
        <v>1995</v>
      </c>
      <c r="D5958" t="n">
        <v>1995</v>
      </c>
      <c r="E5958" t="inlineStr">
        <is>
          <t>Se7en</t>
        </is>
      </c>
      <c r="F5958" t="inlineStr">
        <is>
          <t>F0276</t>
        </is>
      </c>
    </row>
    <row r="5959">
      <c r="A5959" t="inlineStr">
        <is>
          <t>Allan Kolman</t>
        </is>
      </c>
      <c r="B5959" t="n">
        <v>1</v>
      </c>
      <c r="C5959" t="n">
        <v>1995</v>
      </c>
      <c r="D5959" t="n">
        <v>1995</v>
      </c>
      <c r="E5959" t="inlineStr">
        <is>
          <t>Se7en</t>
        </is>
      </c>
      <c r="F5959" t="inlineStr">
        <is>
          <t>F0276</t>
        </is>
      </c>
    </row>
    <row r="5960">
      <c r="A5960" t="inlineStr">
        <is>
          <t>Beverly Burke</t>
        </is>
      </c>
      <c r="B5960" t="n">
        <v>1</v>
      </c>
      <c r="C5960" t="n">
        <v>1995</v>
      </c>
      <c r="D5960" t="n">
        <v>1995</v>
      </c>
      <c r="E5960" t="inlineStr">
        <is>
          <t>Se7en</t>
        </is>
      </c>
      <c r="F5960" t="inlineStr">
        <is>
          <t>F0276</t>
        </is>
      </c>
    </row>
    <row r="5961">
      <c r="A5961" t="inlineStr">
        <is>
          <t>Gene Borkan</t>
        </is>
      </c>
      <c r="B5961" t="n">
        <v>1</v>
      </c>
      <c r="C5961" t="n">
        <v>1995</v>
      </c>
      <c r="D5961" t="n">
        <v>1995</v>
      </c>
      <c r="E5961" t="inlineStr">
        <is>
          <t>Se7en</t>
        </is>
      </c>
      <c r="F5961" t="inlineStr">
        <is>
          <t>F0276</t>
        </is>
      </c>
    </row>
    <row r="5962">
      <c r="A5962" t="inlineStr">
        <is>
          <t>Julie Araskog</t>
        </is>
      </c>
      <c r="B5962" t="n">
        <v>1</v>
      </c>
      <c r="C5962" t="n">
        <v>1995</v>
      </c>
      <c r="D5962" t="n">
        <v>1995</v>
      </c>
      <c r="E5962" t="inlineStr">
        <is>
          <t>Se7en</t>
        </is>
      </c>
      <c r="F5962" t="inlineStr">
        <is>
          <t>F0276</t>
        </is>
      </c>
    </row>
    <row r="5963">
      <c r="A5963" t="inlineStr">
        <is>
          <t>Mario Di Donato</t>
        </is>
      </c>
      <c r="B5963" t="n">
        <v>1</v>
      </c>
      <c r="C5963" t="n">
        <v>1995</v>
      </c>
      <c r="D5963" t="n">
        <v>1995</v>
      </c>
      <c r="E5963" t="inlineStr">
        <is>
          <t>Se7en</t>
        </is>
      </c>
      <c r="F5963" t="inlineStr">
        <is>
          <t>F0276</t>
        </is>
      </c>
    </row>
    <row r="5964">
      <c r="A5964" t="inlineStr">
        <is>
          <t>John C. McGinley</t>
        </is>
      </c>
      <c r="B5964" t="n">
        <v>1</v>
      </c>
      <c r="C5964" t="n">
        <v>1995</v>
      </c>
      <c r="D5964" t="n">
        <v>1995</v>
      </c>
      <c r="E5964" t="inlineStr">
        <is>
          <t>Se7en</t>
        </is>
      </c>
      <c r="F5964" t="inlineStr">
        <is>
          <t>F0276</t>
        </is>
      </c>
    </row>
    <row r="5965">
      <c r="A5965" t="inlineStr">
        <is>
          <t>Harrison White</t>
        </is>
      </c>
      <c r="B5965" t="n">
        <v>1</v>
      </c>
      <c r="C5965" t="n">
        <v>1995</v>
      </c>
      <c r="D5965" t="n">
        <v>1995</v>
      </c>
      <c r="E5965" t="inlineStr">
        <is>
          <t>Se7en</t>
        </is>
      </c>
      <c r="F5965" t="inlineStr">
        <is>
          <t>F0276</t>
        </is>
      </c>
    </row>
    <row r="5966">
      <c r="A5966" t="inlineStr">
        <is>
          <t>Michael Reid MacKay</t>
        </is>
      </c>
      <c r="B5966" t="n">
        <v>2</v>
      </c>
      <c r="C5966" t="n">
        <v>1995</v>
      </c>
      <c r="D5966" t="n">
        <v>2003</v>
      </c>
      <c r="E5966" t="inlineStr">
        <is>
          <t>Se7en, X2: X-Men United</t>
        </is>
      </c>
      <c r="F5966" t="inlineStr">
        <is>
          <t>F0276, F0345</t>
        </is>
      </c>
    </row>
    <row r="5967">
      <c r="A5967" t="inlineStr">
        <is>
          <t>Arthur Darvill</t>
        </is>
      </c>
      <c r="B5967" t="n">
        <v>1</v>
      </c>
      <c r="C5967" t="n">
        <v>2010</v>
      </c>
      <c r="D5967" t="n">
        <v>2010</v>
      </c>
      <c r="E5967" t="inlineStr">
        <is>
          <t>Sex &amp; Drugs &amp; Rock &amp; Roll</t>
        </is>
      </c>
      <c r="F5967" t="inlineStr">
        <is>
          <t>F0277</t>
        </is>
      </c>
    </row>
    <row r="5968">
      <c r="A5968" t="inlineStr">
        <is>
          <t>Mackenzie Crook</t>
        </is>
      </c>
      <c r="B5968" t="n">
        <v>1</v>
      </c>
      <c r="C5968" t="n">
        <v>2010</v>
      </c>
      <c r="D5968" t="n">
        <v>2010</v>
      </c>
      <c r="E5968" t="inlineStr">
        <is>
          <t>Sex &amp; Drugs &amp; Rock &amp; Roll</t>
        </is>
      </c>
      <c r="F5968" t="inlineStr">
        <is>
          <t>F0277</t>
        </is>
      </c>
    </row>
    <row r="5969">
      <c r="A5969" t="inlineStr">
        <is>
          <t>Noel Clarke</t>
        </is>
      </c>
      <c r="B5969" t="n">
        <v>1</v>
      </c>
      <c r="C5969" t="n">
        <v>2010</v>
      </c>
      <c r="D5969" t="n">
        <v>2010</v>
      </c>
      <c r="E5969" t="inlineStr">
        <is>
          <t>Sex &amp; Drugs &amp; Rock &amp; Roll</t>
        </is>
      </c>
      <c r="F5969" t="inlineStr">
        <is>
          <t>F0277</t>
        </is>
      </c>
    </row>
    <row r="5970">
      <c r="A5970" t="inlineStr">
        <is>
          <t>Ralph Ineson</t>
        </is>
      </c>
      <c r="B5970" t="n">
        <v>1</v>
      </c>
      <c r="C5970" t="n">
        <v>2010</v>
      </c>
      <c r="D5970" t="n">
        <v>2010</v>
      </c>
      <c r="E5970" t="inlineStr">
        <is>
          <t>Sex &amp; Drugs &amp; Rock &amp; Roll</t>
        </is>
      </c>
      <c r="F5970" t="inlineStr">
        <is>
          <t>F0277</t>
        </is>
      </c>
    </row>
    <row r="5971">
      <c r="A5971" t="inlineStr">
        <is>
          <t>Charlotte Beaumont</t>
        </is>
      </c>
      <c r="B5971" t="n">
        <v>1</v>
      </c>
      <c r="C5971" t="n">
        <v>2010</v>
      </c>
      <c r="D5971" t="n">
        <v>2010</v>
      </c>
      <c r="E5971" t="inlineStr">
        <is>
          <t>Sex &amp; Drugs &amp; Rock &amp; Roll</t>
        </is>
      </c>
      <c r="F5971" t="inlineStr">
        <is>
          <t>F0277</t>
        </is>
      </c>
    </row>
    <row r="5972">
      <c r="A5972" t="inlineStr">
        <is>
          <t>Sam Spruell</t>
        </is>
      </c>
      <c r="B5972" t="n">
        <v>2</v>
      </c>
      <c r="C5972" t="n">
        <v>2010</v>
      </c>
      <c r="D5972" t="n">
        <v>2012</v>
      </c>
      <c r="E5972" t="inlineStr">
        <is>
          <t>Sex &amp; Drugs &amp; Rock &amp; Roll, Snow White and the Huntsman</t>
        </is>
      </c>
      <c r="F5972" t="inlineStr">
        <is>
          <t>F0277, F0284</t>
        </is>
      </c>
    </row>
    <row r="5973">
      <c r="A5973" t="inlineStr">
        <is>
          <t>Andrew Knott</t>
        </is>
      </c>
      <c r="B5973" t="n">
        <v>1</v>
      </c>
      <c r="C5973" t="n">
        <v>2010</v>
      </c>
      <c r="D5973" t="n">
        <v>2010</v>
      </c>
      <c r="E5973" t="inlineStr">
        <is>
          <t>Sex &amp; Drugs &amp; Rock &amp; Roll</t>
        </is>
      </c>
      <c r="F5973" t="inlineStr">
        <is>
          <t>F0277</t>
        </is>
      </c>
    </row>
    <row r="5974">
      <c r="A5974" t="inlineStr">
        <is>
          <t>Poppy Miller</t>
        </is>
      </c>
      <c r="B5974" t="n">
        <v>1</v>
      </c>
      <c r="C5974" t="n">
        <v>2010</v>
      </c>
      <c r="D5974" t="n">
        <v>2010</v>
      </c>
      <c r="E5974" t="inlineStr">
        <is>
          <t>Sex &amp; Drugs &amp; Rock &amp; Roll</t>
        </is>
      </c>
      <c r="F5974" t="inlineStr">
        <is>
          <t>F0277</t>
        </is>
      </c>
    </row>
    <row r="5975">
      <c r="A5975" t="inlineStr">
        <is>
          <t>Michael Maloney</t>
        </is>
      </c>
      <c r="B5975" t="n">
        <v>1</v>
      </c>
      <c r="C5975" t="n">
        <v>2010</v>
      </c>
      <c r="D5975" t="n">
        <v>2010</v>
      </c>
      <c r="E5975" t="inlineStr">
        <is>
          <t>Sex &amp; Drugs &amp; Rock &amp; Roll</t>
        </is>
      </c>
      <c r="F5975" t="inlineStr">
        <is>
          <t>F0277</t>
        </is>
      </c>
    </row>
    <row r="5976">
      <c r="A5976" t="inlineStr">
        <is>
          <t>Chloe Arrowsmith</t>
        </is>
      </c>
      <c r="B5976" t="n">
        <v>1</v>
      </c>
      <c r="C5976" t="n">
        <v>2010</v>
      </c>
      <c r="D5976" t="n">
        <v>2010</v>
      </c>
      <c r="E5976" t="inlineStr">
        <is>
          <t>Sex &amp; Drugs &amp; Rock &amp; Roll</t>
        </is>
      </c>
      <c r="F5976" t="inlineStr">
        <is>
          <t>F0277</t>
        </is>
      </c>
    </row>
    <row r="5977">
      <c r="A5977" t="inlineStr">
        <is>
          <t>Catherine Balavage</t>
        </is>
      </c>
      <c r="B5977" t="n">
        <v>1</v>
      </c>
      <c r="C5977" t="n">
        <v>2010</v>
      </c>
      <c r="D5977" t="n">
        <v>2010</v>
      </c>
      <c r="E5977" t="inlineStr">
        <is>
          <t>Sex &amp; Drugs &amp; Rock &amp; Roll</t>
        </is>
      </c>
      <c r="F5977" t="inlineStr">
        <is>
          <t>F0277</t>
        </is>
      </c>
    </row>
    <row r="5978">
      <c r="A5978" t="inlineStr">
        <is>
          <t>Nick Turner</t>
        </is>
      </c>
      <c r="B5978" t="n">
        <v>1</v>
      </c>
      <c r="C5978" t="n">
        <v>2010</v>
      </c>
      <c r="D5978" t="n">
        <v>2010</v>
      </c>
      <c r="E5978" t="inlineStr">
        <is>
          <t>Sex &amp; Drugs &amp; Rock &amp; Roll</t>
        </is>
      </c>
      <c r="F5978" t="inlineStr">
        <is>
          <t>F0277</t>
        </is>
      </c>
    </row>
    <row r="5979">
      <c r="A5979" t="inlineStr">
        <is>
          <t>Kelly Reilly</t>
        </is>
      </c>
      <c r="B5979" t="n">
        <v>2</v>
      </c>
      <c r="C5979" t="n">
        <v>2009</v>
      </c>
      <c r="D5979" t="n">
        <v>2011</v>
      </c>
      <c r="E5979" t="inlineStr">
        <is>
          <t>Sherlock Holmes, Sherlock Holmes: A Game of Shadows</t>
        </is>
      </c>
      <c r="F5979" t="inlineStr">
        <is>
          <t>F0278, F0279</t>
        </is>
      </c>
    </row>
    <row r="5980">
      <c r="A5980" t="inlineStr">
        <is>
          <t>William Houston</t>
        </is>
      </c>
      <c r="B5980" t="n">
        <v>2</v>
      </c>
      <c r="C5980" t="n">
        <v>2009</v>
      </c>
      <c r="D5980" t="n">
        <v>2011</v>
      </c>
      <c r="E5980" t="inlineStr">
        <is>
          <t>Sherlock Holmes, Sherlock Holmes: A Game of Shadows</t>
        </is>
      </c>
      <c r="F5980" t="inlineStr">
        <is>
          <t>F0278, F0279</t>
        </is>
      </c>
    </row>
    <row r="5981">
      <c r="A5981" t="inlineStr">
        <is>
          <t>James Fox</t>
        </is>
      </c>
      <c r="B5981" t="n">
        <v>1</v>
      </c>
      <c r="C5981" t="n">
        <v>2009</v>
      </c>
      <c r="D5981" t="n">
        <v>2009</v>
      </c>
      <c r="E5981" t="inlineStr">
        <is>
          <t>Sherlock Holmes</t>
        </is>
      </c>
      <c r="F5981" t="inlineStr">
        <is>
          <t>F0278</t>
        </is>
      </c>
    </row>
    <row r="5982">
      <c r="A5982" t="inlineStr">
        <is>
          <t>Clive Russell</t>
        </is>
      </c>
      <c r="B5982" t="n">
        <v>1</v>
      </c>
      <c r="C5982" t="n">
        <v>2009</v>
      </c>
      <c r="D5982" t="n">
        <v>2009</v>
      </c>
      <c r="E5982" t="inlineStr">
        <is>
          <t>Sherlock Holmes</t>
        </is>
      </c>
      <c r="F5982" t="inlineStr">
        <is>
          <t>F0278</t>
        </is>
      </c>
    </row>
    <row r="5983">
      <c r="A5983" t="inlineStr">
        <is>
          <t>Oran Gurel</t>
        </is>
      </c>
      <c r="B5983" t="n">
        <v>1</v>
      </c>
      <c r="C5983" t="n">
        <v>2009</v>
      </c>
      <c r="D5983" t="n">
        <v>2009</v>
      </c>
      <c r="E5983" t="inlineStr">
        <is>
          <t>Sherlock Holmes</t>
        </is>
      </c>
      <c r="F5983" t="inlineStr">
        <is>
          <t>F0278</t>
        </is>
      </c>
    </row>
    <row r="5984">
      <c r="A5984" t="inlineStr">
        <is>
          <t>Ky Discala</t>
        </is>
      </c>
      <c r="B5984" t="n">
        <v>1</v>
      </c>
      <c r="C5984" t="n">
        <v>2009</v>
      </c>
      <c r="D5984" t="n">
        <v>2009</v>
      </c>
      <c r="E5984" t="inlineStr">
        <is>
          <t>Sherlock Holmes</t>
        </is>
      </c>
      <c r="F5984" t="inlineStr">
        <is>
          <t>F0278</t>
        </is>
      </c>
    </row>
    <row r="5985">
      <c r="A5985" t="inlineStr">
        <is>
          <t>Tom Watt</t>
        </is>
      </c>
      <c r="B5985" t="n">
        <v>1</v>
      </c>
      <c r="C5985" t="n">
        <v>2009</v>
      </c>
      <c r="D5985" t="n">
        <v>2009</v>
      </c>
      <c r="E5985" t="inlineStr">
        <is>
          <t>Sherlock Holmes</t>
        </is>
      </c>
      <c r="F5985" t="inlineStr">
        <is>
          <t>F0278</t>
        </is>
      </c>
    </row>
    <row r="5986">
      <c r="A5986" t="inlineStr">
        <is>
          <t>John Kearney</t>
        </is>
      </c>
      <c r="B5986" t="n">
        <v>1</v>
      </c>
      <c r="C5986" t="n">
        <v>2009</v>
      </c>
      <c r="D5986" t="n">
        <v>2009</v>
      </c>
      <c r="E5986" t="inlineStr">
        <is>
          <t>Sherlock Holmes</t>
        </is>
      </c>
      <c r="F5986" t="inlineStr">
        <is>
          <t>F0278</t>
        </is>
      </c>
    </row>
    <row r="5987">
      <c r="A5987" t="inlineStr">
        <is>
          <t>Sebastian Abineri</t>
        </is>
      </c>
      <c r="B5987" t="n">
        <v>1</v>
      </c>
      <c r="C5987" t="n">
        <v>2009</v>
      </c>
      <c r="D5987" t="n">
        <v>2009</v>
      </c>
      <c r="E5987" t="inlineStr">
        <is>
          <t>Sherlock Holmes</t>
        </is>
      </c>
      <c r="F5987" t="inlineStr">
        <is>
          <t>F0278</t>
        </is>
      </c>
    </row>
    <row r="5988">
      <c r="A5988" t="inlineStr">
        <is>
          <t>Jonathan Gabriel Robbins</t>
        </is>
      </c>
      <c r="B5988" t="n">
        <v>1</v>
      </c>
      <c r="C5988" t="n">
        <v>2009</v>
      </c>
      <c r="D5988" t="n">
        <v>2009</v>
      </c>
      <c r="E5988" t="inlineStr">
        <is>
          <t>Sherlock Holmes</t>
        </is>
      </c>
      <c r="F5988" t="inlineStr">
        <is>
          <t>F0278</t>
        </is>
      </c>
    </row>
    <row r="5989">
      <c r="A5989" t="inlineStr">
        <is>
          <t>James A. Stephens</t>
        </is>
      </c>
      <c r="B5989" t="n">
        <v>1</v>
      </c>
      <c r="C5989" t="n">
        <v>2009</v>
      </c>
      <c r="D5989" t="n">
        <v>2009</v>
      </c>
      <c r="E5989" t="inlineStr">
        <is>
          <t>Sherlock Holmes</t>
        </is>
      </c>
      <c r="F5989" t="inlineStr">
        <is>
          <t>F0278</t>
        </is>
      </c>
    </row>
    <row r="5990">
      <c r="A5990" t="inlineStr">
        <is>
          <t>Terence Taplin</t>
        </is>
      </c>
      <c r="B5990" t="n">
        <v>1</v>
      </c>
      <c r="C5990" t="n">
        <v>2009</v>
      </c>
      <c r="D5990" t="n">
        <v>2009</v>
      </c>
      <c r="E5990" t="inlineStr">
        <is>
          <t>Sherlock Holmes</t>
        </is>
      </c>
      <c r="F5990" t="inlineStr">
        <is>
          <t>F0278</t>
        </is>
      </c>
    </row>
    <row r="5991">
      <c r="A5991" t="inlineStr">
        <is>
          <t>Bronagh Gallagher</t>
        </is>
      </c>
      <c r="B5991" t="n">
        <v>1</v>
      </c>
      <c r="C5991" t="n">
        <v>2009</v>
      </c>
      <c r="D5991" t="n">
        <v>2009</v>
      </c>
      <c r="E5991" t="inlineStr">
        <is>
          <t>Sherlock Holmes</t>
        </is>
      </c>
      <c r="F5991" t="inlineStr">
        <is>
          <t>F0278</t>
        </is>
      </c>
    </row>
    <row r="5992">
      <c r="A5992" t="inlineStr">
        <is>
          <t>Ed Tolputt</t>
        </is>
      </c>
      <c r="B5992" t="n">
        <v>1</v>
      </c>
      <c r="C5992" t="n">
        <v>2009</v>
      </c>
      <c r="D5992" t="n">
        <v>2009</v>
      </c>
      <c r="E5992" t="inlineStr">
        <is>
          <t>Sherlock Holmes</t>
        </is>
      </c>
      <c r="F5992" t="inlineStr">
        <is>
          <t>F0278</t>
        </is>
      </c>
    </row>
    <row r="5993">
      <c r="A5993" t="inlineStr">
        <is>
          <t>Joe Egan</t>
        </is>
      </c>
      <c r="B5993" t="n">
        <v>1</v>
      </c>
      <c r="C5993" t="n">
        <v>2009</v>
      </c>
      <c r="D5993" t="n">
        <v>2009</v>
      </c>
      <c r="E5993" t="inlineStr">
        <is>
          <t>Sherlock Holmes</t>
        </is>
      </c>
      <c r="F5993" t="inlineStr">
        <is>
          <t>F0278</t>
        </is>
      </c>
    </row>
    <row r="5994">
      <c r="A5994" t="inlineStr">
        <is>
          <t>Marn Davies</t>
        </is>
      </c>
      <c r="B5994" t="n">
        <v>1</v>
      </c>
      <c r="C5994" t="n">
        <v>2009</v>
      </c>
      <c r="D5994" t="n">
        <v>2009</v>
      </c>
      <c r="E5994" t="inlineStr">
        <is>
          <t>Sherlock Holmes</t>
        </is>
      </c>
      <c r="F5994" t="inlineStr">
        <is>
          <t>F0278</t>
        </is>
      </c>
    </row>
    <row r="5995">
      <c r="A5995" t="inlineStr">
        <is>
          <t>Andrew Greenough</t>
        </is>
      </c>
      <c r="B5995" t="n">
        <v>1</v>
      </c>
      <c r="C5995" t="n">
        <v>2009</v>
      </c>
      <c r="D5995" t="n">
        <v>2009</v>
      </c>
      <c r="E5995" t="inlineStr">
        <is>
          <t>Sherlock Holmes</t>
        </is>
      </c>
      <c r="F5995" t="inlineStr">
        <is>
          <t>F0278</t>
        </is>
      </c>
    </row>
    <row r="5996">
      <c r="A5996" t="inlineStr">
        <is>
          <t>Paul Anderson</t>
        </is>
      </c>
      <c r="B5996" t="n">
        <v>2</v>
      </c>
      <c r="C5996" t="n">
        <v>2011</v>
      </c>
      <c r="D5996" t="n">
        <v>2012</v>
      </c>
      <c r="E5996" t="inlineStr">
        <is>
          <t>Sherlock Holmes: A Game of Shadows, The Sweeney</t>
        </is>
      </c>
      <c r="F5996" t="inlineStr">
        <is>
          <t>F0279, F0305</t>
        </is>
      </c>
    </row>
    <row r="5997">
      <c r="A5997" t="inlineStr">
        <is>
          <t>Wolf Kahler</t>
        </is>
      </c>
      <c r="B5997" t="n">
        <v>1</v>
      </c>
      <c r="C5997" t="n">
        <v>2011</v>
      </c>
      <c r="D5997" t="n">
        <v>2011</v>
      </c>
      <c r="E5997" t="inlineStr">
        <is>
          <t>Sherlock Holmes: A Game of Shadows</t>
        </is>
      </c>
      <c r="F5997" t="inlineStr">
        <is>
          <t>F0279</t>
        </is>
      </c>
    </row>
    <row r="5998">
      <c r="A5998" t="inlineStr">
        <is>
          <t>Iain Mitchell</t>
        </is>
      </c>
      <c r="B5998" t="n">
        <v>1</v>
      </c>
      <c r="C5998" t="n">
        <v>2011</v>
      </c>
      <c r="D5998" t="n">
        <v>2011</v>
      </c>
      <c r="E5998" t="inlineStr">
        <is>
          <t>Sherlock Holmes: A Game of Shadows</t>
        </is>
      </c>
      <c r="F5998" t="inlineStr">
        <is>
          <t>F0279</t>
        </is>
      </c>
    </row>
    <row r="5999">
      <c r="A5999" t="inlineStr">
        <is>
          <t>Jack Laskey</t>
        </is>
      </c>
      <c r="B5999" t="n">
        <v>1</v>
      </c>
      <c r="C5999" t="n">
        <v>2011</v>
      </c>
      <c r="D5999" t="n">
        <v>2011</v>
      </c>
      <c r="E5999" t="inlineStr">
        <is>
          <t>Sherlock Holmes: A Game of Shadows</t>
        </is>
      </c>
      <c r="F5999" t="inlineStr">
        <is>
          <t>F0279</t>
        </is>
      </c>
    </row>
    <row r="6000">
      <c r="A6000" t="inlineStr">
        <is>
          <t>Patricia Slater</t>
        </is>
      </c>
      <c r="B6000" t="n">
        <v>1</v>
      </c>
      <c r="C6000" t="n">
        <v>2011</v>
      </c>
      <c r="D6000" t="n">
        <v>2011</v>
      </c>
      <c r="E6000" t="inlineStr">
        <is>
          <t>Sherlock Holmes: A Game of Shadows</t>
        </is>
      </c>
      <c r="F6000" t="inlineStr">
        <is>
          <t>F0279</t>
        </is>
      </c>
    </row>
    <row r="6001">
      <c r="A6001" t="inlineStr">
        <is>
          <t>Karima McAdams</t>
        </is>
      </c>
      <c r="B6001" t="n">
        <v>1</v>
      </c>
      <c r="C6001" t="n">
        <v>2011</v>
      </c>
      <c r="D6001" t="n">
        <v>2011</v>
      </c>
      <c r="E6001" t="inlineStr">
        <is>
          <t>Sherlock Holmes: A Game of Shadows</t>
        </is>
      </c>
      <c r="F6001" t="inlineStr">
        <is>
          <t>F0279</t>
        </is>
      </c>
    </row>
    <row r="6002">
      <c r="A6002" t="inlineStr">
        <is>
          <t>Richard Cunningham</t>
        </is>
      </c>
      <c r="B6002" t="n">
        <v>1</v>
      </c>
      <c r="C6002" t="n">
        <v>2011</v>
      </c>
      <c r="D6002" t="n">
        <v>2011</v>
      </c>
      <c r="E6002" t="inlineStr">
        <is>
          <t>Sherlock Holmes: A Game of Shadows</t>
        </is>
      </c>
      <c r="F6002" t="inlineStr">
        <is>
          <t>F0279</t>
        </is>
      </c>
    </row>
    <row r="6003">
      <c r="A6003" t="inlineStr">
        <is>
          <t>Marcus Shakesheff</t>
        </is>
      </c>
      <c r="B6003" t="n">
        <v>1</v>
      </c>
      <c r="C6003" t="n">
        <v>2011</v>
      </c>
      <c r="D6003" t="n">
        <v>2011</v>
      </c>
      <c r="E6003" t="inlineStr">
        <is>
          <t>Sherlock Holmes: A Game of Shadows</t>
        </is>
      </c>
      <c r="F6003" t="inlineStr">
        <is>
          <t>F0279</t>
        </is>
      </c>
    </row>
    <row r="6004">
      <c r="A6004" t="inlineStr">
        <is>
          <t>Mark Sheals</t>
        </is>
      </c>
      <c r="B6004" t="n">
        <v>1</v>
      </c>
      <c r="C6004" t="n">
        <v>2011</v>
      </c>
      <c r="D6004" t="n">
        <v>2011</v>
      </c>
      <c r="E6004" t="inlineStr">
        <is>
          <t>Sherlock Holmes: A Game of Shadows</t>
        </is>
      </c>
      <c r="F6004" t="inlineStr">
        <is>
          <t>F0279</t>
        </is>
      </c>
    </row>
    <row r="6005">
      <c r="A6005" t="inlineStr">
        <is>
          <t>George Taylor</t>
        </is>
      </c>
      <c r="B6005" t="n">
        <v>1</v>
      </c>
      <c r="C6005" t="n">
        <v>2011</v>
      </c>
      <c r="D6005" t="n">
        <v>2011</v>
      </c>
      <c r="E6005" t="inlineStr">
        <is>
          <t>Sherlock Holmes: A Game of Shadows</t>
        </is>
      </c>
      <c r="F6005" t="inlineStr">
        <is>
          <t>F0279</t>
        </is>
      </c>
    </row>
    <row r="6006">
      <c r="A6006" t="inlineStr">
        <is>
          <t>Michael Webber</t>
        </is>
      </c>
      <c r="B6006" t="n">
        <v>1</v>
      </c>
      <c r="C6006" t="n">
        <v>2011</v>
      </c>
      <c r="D6006" t="n">
        <v>2011</v>
      </c>
      <c r="E6006" t="inlineStr">
        <is>
          <t>Sherlock Holmes: A Game of Shadows</t>
        </is>
      </c>
      <c r="F6006" t="inlineStr">
        <is>
          <t>F0279</t>
        </is>
      </c>
    </row>
    <row r="6007">
      <c r="A6007" t="inlineStr">
        <is>
          <t>Mike Grady</t>
        </is>
      </c>
      <c r="B6007" t="n">
        <v>1</v>
      </c>
      <c r="C6007" t="n">
        <v>2011</v>
      </c>
      <c r="D6007" t="n">
        <v>2011</v>
      </c>
      <c r="E6007" t="inlineStr">
        <is>
          <t>Sherlock Holmes: A Game of Shadows</t>
        </is>
      </c>
      <c r="F6007" t="inlineStr">
        <is>
          <t>F0279</t>
        </is>
      </c>
    </row>
    <row r="6008">
      <c r="A6008" t="inlineStr">
        <is>
          <t>Alexandre Carril</t>
        </is>
      </c>
      <c r="B6008" t="n">
        <v>1</v>
      </c>
      <c r="C6008" t="n">
        <v>2011</v>
      </c>
      <c r="D6008" t="n">
        <v>2011</v>
      </c>
      <c r="E6008" t="inlineStr">
        <is>
          <t>Sherlock Holmes: A Game of Shadows</t>
        </is>
      </c>
      <c r="F6008" t="inlineStr">
        <is>
          <t>F0279</t>
        </is>
      </c>
    </row>
    <row r="6009">
      <c r="A6009" t="inlineStr">
        <is>
          <t>Victor Carril</t>
        </is>
      </c>
      <c r="B6009" t="n">
        <v>1</v>
      </c>
      <c r="C6009" t="n">
        <v>2011</v>
      </c>
      <c r="D6009" t="n">
        <v>2011</v>
      </c>
      <c r="E6009" t="inlineStr">
        <is>
          <t>Sherlock Holmes: A Game of Shadows</t>
        </is>
      </c>
      <c r="F6009" t="inlineStr">
        <is>
          <t>F0279</t>
        </is>
      </c>
    </row>
    <row r="6010">
      <c r="A6010" t="inlineStr">
        <is>
          <t>Thorston Manderlay</t>
        </is>
      </c>
      <c r="B6010" t="n">
        <v>1</v>
      </c>
      <c r="C6010" t="n">
        <v>2011</v>
      </c>
      <c r="D6010" t="n">
        <v>2011</v>
      </c>
      <c r="E6010" t="inlineStr">
        <is>
          <t>Sherlock Holmes: A Game of Shadows</t>
        </is>
      </c>
      <c r="F6010" t="inlineStr">
        <is>
          <t>F0279</t>
        </is>
      </c>
    </row>
    <row r="6011">
      <c r="A6011" t="inlineStr">
        <is>
          <t>Affif Ben Badra</t>
        </is>
      </c>
      <c r="B6011" t="n">
        <v>1</v>
      </c>
      <c r="C6011" t="n">
        <v>2011</v>
      </c>
      <c r="D6011" t="n">
        <v>2011</v>
      </c>
      <c r="E6011" t="inlineStr">
        <is>
          <t>Sherlock Holmes: A Game of Shadows</t>
        </is>
      </c>
      <c r="F6011" t="inlineStr">
        <is>
          <t>F0279</t>
        </is>
      </c>
    </row>
    <row r="6012">
      <c r="A6012" t="inlineStr">
        <is>
          <t>Daniel Naprous</t>
        </is>
      </c>
      <c r="B6012" t="n">
        <v>1</v>
      </c>
      <c r="C6012" t="n">
        <v>2011</v>
      </c>
      <c r="D6012" t="n">
        <v>2011</v>
      </c>
      <c r="E6012" t="inlineStr">
        <is>
          <t>Sherlock Holmes: A Game of Shadows</t>
        </is>
      </c>
      <c r="F6012" t="inlineStr">
        <is>
          <t>F0279</t>
        </is>
      </c>
    </row>
    <row r="6013">
      <c r="A6013" t="inlineStr">
        <is>
          <t>Lancelot Weaver</t>
        </is>
      </c>
      <c r="B6013" t="n">
        <v>1</v>
      </c>
      <c r="C6013" t="n">
        <v>2011</v>
      </c>
      <c r="D6013" t="n">
        <v>2011</v>
      </c>
      <c r="E6013" t="inlineStr">
        <is>
          <t>Sherlock Holmes: A Game of Shadows</t>
        </is>
      </c>
      <c r="F6013" t="inlineStr">
        <is>
          <t>F0279</t>
        </is>
      </c>
    </row>
    <row r="6014">
      <c r="A6014" t="inlineStr">
        <is>
          <t>Alexander Devrient</t>
        </is>
      </c>
      <c r="B6014" t="n">
        <v>1</v>
      </c>
      <c r="C6014" t="n">
        <v>2011</v>
      </c>
      <c r="D6014" t="n">
        <v>2011</v>
      </c>
      <c r="E6014" t="inlineStr">
        <is>
          <t>Sherlock Holmes: A Game of Shadows</t>
        </is>
      </c>
      <c r="F6014" t="inlineStr">
        <is>
          <t>F0279</t>
        </is>
      </c>
    </row>
    <row r="6015">
      <c r="A6015" t="inlineStr">
        <is>
          <t>Tori Kelly</t>
        </is>
      </c>
      <c r="B6015" t="n">
        <v>1</v>
      </c>
      <c r="C6015" t="n">
        <v>2016</v>
      </c>
      <c r="D6015" t="n">
        <v>2016</v>
      </c>
      <c r="E6015" t="inlineStr">
        <is>
          <t>Sing</t>
        </is>
      </c>
      <c r="F6015" t="inlineStr">
        <is>
          <t>F0280</t>
        </is>
      </c>
    </row>
    <row r="6016">
      <c r="A6016" t="inlineStr">
        <is>
          <t>Jennifer Hudson</t>
        </is>
      </c>
      <c r="B6016" t="n">
        <v>1</v>
      </c>
      <c r="C6016" t="n">
        <v>2016</v>
      </c>
      <c r="D6016" t="n">
        <v>2016</v>
      </c>
      <c r="E6016" t="inlineStr">
        <is>
          <t>Sing</t>
        </is>
      </c>
      <c r="F6016" t="inlineStr">
        <is>
          <t>F0280</t>
        </is>
      </c>
    </row>
    <row r="6017">
      <c r="A6017" t="inlineStr">
        <is>
          <t>Garth Jennings</t>
        </is>
      </c>
      <c r="B6017" t="n">
        <v>1</v>
      </c>
      <c r="C6017" t="n">
        <v>2016</v>
      </c>
      <c r="D6017" t="n">
        <v>2016</v>
      </c>
      <c r="E6017" t="inlineStr">
        <is>
          <t>Sing</t>
        </is>
      </c>
      <c r="F6017" t="inlineStr">
        <is>
          <t>F0280</t>
        </is>
      </c>
    </row>
    <row r="6018">
      <c r="A6018" t="inlineStr">
        <is>
          <t>Nick Kroll</t>
        </is>
      </c>
      <c r="B6018" t="n">
        <v>1</v>
      </c>
      <c r="C6018" t="n">
        <v>2016</v>
      </c>
      <c r="D6018" t="n">
        <v>2016</v>
      </c>
      <c r="E6018" t="inlineStr">
        <is>
          <t>Sing</t>
        </is>
      </c>
      <c r="F6018" t="inlineStr">
        <is>
          <t>F0280</t>
        </is>
      </c>
    </row>
    <row r="6019">
      <c r="A6019" t="inlineStr">
        <is>
          <t>Beck Bennett</t>
        </is>
      </c>
      <c r="B6019" t="n">
        <v>1</v>
      </c>
      <c r="C6019" t="n">
        <v>2016</v>
      </c>
      <c r="D6019" t="n">
        <v>2016</v>
      </c>
      <c r="E6019" t="inlineStr">
        <is>
          <t>Sing</t>
        </is>
      </c>
      <c r="F6019" t="inlineStr">
        <is>
          <t>F0280</t>
        </is>
      </c>
    </row>
    <row r="6020">
      <c r="A6020" t="inlineStr">
        <is>
          <t>Jay Pharoah</t>
        </is>
      </c>
      <c r="B6020" t="n">
        <v>1</v>
      </c>
      <c r="C6020" t="n">
        <v>2016</v>
      </c>
      <c r="D6020" t="n">
        <v>2016</v>
      </c>
      <c r="E6020" t="inlineStr">
        <is>
          <t>Sing</t>
        </is>
      </c>
      <c r="F6020" t="inlineStr">
        <is>
          <t>F0280</t>
        </is>
      </c>
    </row>
    <row r="6021">
      <c r="A6021" t="inlineStr">
        <is>
          <t>Leslie Jones</t>
        </is>
      </c>
      <c r="B6021" t="n">
        <v>1</v>
      </c>
      <c r="C6021" t="n">
        <v>2016</v>
      </c>
      <c r="D6021" t="n">
        <v>2016</v>
      </c>
      <c r="E6021" t="inlineStr">
        <is>
          <t>Sing</t>
        </is>
      </c>
      <c r="F6021" t="inlineStr">
        <is>
          <t>F0280</t>
        </is>
      </c>
    </row>
    <row r="6022">
      <c r="A6022" t="inlineStr">
        <is>
          <t>Brad Morris</t>
        </is>
      </c>
      <c r="B6022" t="n">
        <v>1</v>
      </c>
      <c r="C6022" t="n">
        <v>2016</v>
      </c>
      <c r="D6022" t="n">
        <v>2016</v>
      </c>
      <c r="E6022" t="inlineStr">
        <is>
          <t>Sing</t>
        </is>
      </c>
      <c r="F6022" t="inlineStr">
        <is>
          <t>F0280</t>
        </is>
      </c>
    </row>
    <row r="6023">
      <c r="A6023" t="inlineStr">
        <is>
          <t>Oscar Jennings</t>
        </is>
      </c>
      <c r="B6023" t="n">
        <v>1</v>
      </c>
      <c r="C6023" t="n">
        <v>2016</v>
      </c>
      <c r="D6023" t="n">
        <v>2016</v>
      </c>
      <c r="E6023" t="inlineStr">
        <is>
          <t>Sing</t>
        </is>
      </c>
      <c r="F6023" t="inlineStr">
        <is>
          <t>F0280</t>
        </is>
      </c>
    </row>
    <row r="6024">
      <c r="A6024" t="inlineStr">
        <is>
          <t>Leo Jennings</t>
        </is>
      </c>
      <c r="B6024" t="n">
        <v>1</v>
      </c>
      <c r="C6024" t="n">
        <v>2016</v>
      </c>
      <c r="D6024" t="n">
        <v>2016</v>
      </c>
      <c r="E6024" t="inlineStr">
        <is>
          <t>Sing</t>
        </is>
      </c>
      <c r="F6024" t="inlineStr">
        <is>
          <t>F0280</t>
        </is>
      </c>
    </row>
    <row r="6025">
      <c r="A6025" t="inlineStr">
        <is>
          <t>Caspar Jennings</t>
        </is>
      </c>
      <c r="B6025" t="n">
        <v>1</v>
      </c>
      <c r="C6025" t="n">
        <v>2016</v>
      </c>
      <c r="D6025" t="n">
        <v>2016</v>
      </c>
      <c r="E6025" t="inlineStr">
        <is>
          <t>Sing</t>
        </is>
      </c>
      <c r="F6025" t="inlineStr">
        <is>
          <t>F0280</t>
        </is>
      </c>
    </row>
    <row r="6026">
      <c r="A6026" t="inlineStr">
        <is>
          <t>Asa Jennings</t>
        </is>
      </c>
      <c r="B6026" t="n">
        <v>1</v>
      </c>
      <c r="C6026" t="n">
        <v>2016</v>
      </c>
      <c r="D6026" t="n">
        <v>2016</v>
      </c>
      <c r="E6026" t="inlineStr">
        <is>
          <t>Sing</t>
        </is>
      </c>
      <c r="F6026" t="inlineStr">
        <is>
          <t>F0280</t>
        </is>
      </c>
    </row>
    <row r="6027">
      <c r="A6027" t="inlineStr">
        <is>
          <t>Wes Anderson</t>
        </is>
      </c>
      <c r="B6027" t="n">
        <v>1</v>
      </c>
      <c r="C6027" t="n">
        <v>2016</v>
      </c>
      <c r="D6027" t="n">
        <v>2016</v>
      </c>
      <c r="E6027" t="inlineStr">
        <is>
          <t>Sing</t>
        </is>
      </c>
      <c r="F6027" t="inlineStr">
        <is>
          <t>F0280</t>
        </is>
      </c>
    </row>
    <row r="6028">
      <c r="A6028" t="inlineStr">
        <is>
          <t>Sara Mann</t>
        </is>
      </c>
      <c r="B6028" t="n">
        <v>1</v>
      </c>
      <c r="C6028" t="n">
        <v>2016</v>
      </c>
      <c r="D6028" t="n">
        <v>2016</v>
      </c>
      <c r="E6028" t="inlineStr">
        <is>
          <t>Sing</t>
        </is>
      </c>
      <c r="F6028" t="inlineStr">
        <is>
          <t>F0280</t>
        </is>
      </c>
    </row>
    <row r="6029">
      <c r="A6029" t="inlineStr">
        <is>
          <t>Igor Khait</t>
        </is>
      </c>
      <c r="B6029" t="n">
        <v>1</v>
      </c>
      <c r="C6029" t="n">
        <v>2016</v>
      </c>
      <c r="D6029" t="n">
        <v>2016</v>
      </c>
      <c r="E6029" t="inlineStr">
        <is>
          <t>Sing</t>
        </is>
      </c>
      <c r="F6029" t="inlineStr">
        <is>
          <t>F0280</t>
        </is>
      </c>
    </row>
    <row r="6030">
      <c r="A6030" t="inlineStr">
        <is>
          <t>David Arnott</t>
        </is>
      </c>
      <c r="B6030" t="n">
        <v>1</v>
      </c>
      <c r="C6030" t="n">
        <v>2016</v>
      </c>
      <c r="D6030" t="n">
        <v>2016</v>
      </c>
      <c r="E6030" t="inlineStr">
        <is>
          <t>Sing</t>
        </is>
      </c>
      <c r="F6030" t="inlineStr">
        <is>
          <t>F0280</t>
        </is>
      </c>
    </row>
    <row r="6031">
      <c r="A6031" t="inlineStr">
        <is>
          <t>Saurabh Shukla</t>
        </is>
      </c>
      <c r="B6031" t="n">
        <v>1</v>
      </c>
      <c r="C6031" t="n">
        <v>2008</v>
      </c>
      <c r="D6031" t="n">
        <v>2008</v>
      </c>
      <c r="E6031" t="inlineStr">
        <is>
          <t>Slumdog Millionaire</t>
        </is>
      </c>
      <c r="F6031" t="inlineStr">
        <is>
          <t>F0281</t>
        </is>
      </c>
    </row>
    <row r="6032">
      <c r="A6032" t="inlineStr">
        <is>
          <t>Ankur Vikal</t>
        </is>
      </c>
      <c r="B6032" t="n">
        <v>1</v>
      </c>
      <c r="C6032" t="n">
        <v>2008</v>
      </c>
      <c r="D6032" t="n">
        <v>2008</v>
      </c>
      <c r="E6032" t="inlineStr">
        <is>
          <t>Slumdog Millionaire</t>
        </is>
      </c>
      <c r="F6032" t="inlineStr">
        <is>
          <t>F0281</t>
        </is>
      </c>
    </row>
    <row r="6033">
      <c r="A6033" t="inlineStr">
        <is>
          <t>Tanay Chheda</t>
        </is>
      </c>
      <c r="B6033" t="n">
        <v>1</v>
      </c>
      <c r="C6033" t="n">
        <v>2008</v>
      </c>
      <c r="D6033" t="n">
        <v>2008</v>
      </c>
      <c r="E6033" t="inlineStr">
        <is>
          <t>Slumdog Millionaire</t>
        </is>
      </c>
      <c r="F6033" t="inlineStr">
        <is>
          <t>F0281</t>
        </is>
      </c>
    </row>
    <row r="6034">
      <c r="A6034" t="inlineStr">
        <is>
          <t>Ayush Mahesh Khedekar</t>
        </is>
      </c>
      <c r="B6034" t="n">
        <v>1</v>
      </c>
      <c r="C6034" t="n">
        <v>2008</v>
      </c>
      <c r="D6034" t="n">
        <v>2008</v>
      </c>
      <c r="E6034" t="inlineStr">
        <is>
          <t>Slumdog Millionaire</t>
        </is>
      </c>
      <c r="F6034" t="inlineStr">
        <is>
          <t>F0281</t>
        </is>
      </c>
    </row>
    <row r="6035">
      <c r="A6035" t="inlineStr">
        <is>
          <t>Ashutosh Lobo Gajiwala</t>
        </is>
      </c>
      <c r="B6035" t="n">
        <v>1</v>
      </c>
      <c r="C6035" t="n">
        <v>2008</v>
      </c>
      <c r="D6035" t="n">
        <v>2008</v>
      </c>
      <c r="E6035" t="inlineStr">
        <is>
          <t>Slumdog Millionaire</t>
        </is>
      </c>
      <c r="F6035" t="inlineStr">
        <is>
          <t>F0281</t>
        </is>
      </c>
    </row>
    <row r="6036">
      <c r="A6036" t="inlineStr">
        <is>
          <t>Azharuddin Mohammed Ismail</t>
        </is>
      </c>
      <c r="B6036" t="n">
        <v>1</v>
      </c>
      <c r="C6036" t="n">
        <v>2008</v>
      </c>
      <c r="D6036" t="n">
        <v>2008</v>
      </c>
      <c r="E6036" t="inlineStr">
        <is>
          <t>Slumdog Millionaire</t>
        </is>
      </c>
      <c r="F6036" t="inlineStr">
        <is>
          <t>F0281</t>
        </is>
      </c>
    </row>
    <row r="6037">
      <c r="A6037" t="inlineStr">
        <is>
          <t>Tanvi Ganesh Lonkar</t>
        </is>
      </c>
      <c r="B6037" t="n">
        <v>1</v>
      </c>
      <c r="C6037" t="n">
        <v>2008</v>
      </c>
      <c r="D6037" t="n">
        <v>2008</v>
      </c>
      <c r="E6037" t="inlineStr">
        <is>
          <t>Slumdog Millionaire</t>
        </is>
      </c>
      <c r="F6037" t="inlineStr">
        <is>
          <t>F0281</t>
        </is>
      </c>
    </row>
    <row r="6038">
      <c r="A6038" t="inlineStr">
        <is>
          <t>Rubina Ali</t>
        </is>
      </c>
      <c r="B6038" t="n">
        <v>1</v>
      </c>
      <c r="C6038" t="n">
        <v>2008</v>
      </c>
      <c r="D6038" t="n">
        <v>2008</v>
      </c>
      <c r="E6038" t="inlineStr">
        <is>
          <t>Slumdog Millionaire</t>
        </is>
      </c>
      <c r="F6038" t="inlineStr">
        <is>
          <t>F0281</t>
        </is>
      </c>
    </row>
    <row r="6039">
      <c r="A6039" t="inlineStr">
        <is>
          <t>Raj Zutshi</t>
        </is>
      </c>
      <c r="B6039" t="n">
        <v>1</v>
      </c>
      <c r="C6039" t="n">
        <v>2008</v>
      </c>
      <c r="D6039" t="n">
        <v>2008</v>
      </c>
      <c r="E6039" t="inlineStr">
        <is>
          <t>Slumdog Millionaire</t>
        </is>
      </c>
      <c r="F6039" t="inlineStr">
        <is>
          <t>F0281</t>
        </is>
      </c>
    </row>
    <row r="6040">
      <c r="A6040" t="inlineStr">
        <is>
          <t>Jeneva Talwar</t>
        </is>
      </c>
      <c r="B6040" t="n">
        <v>1</v>
      </c>
      <c r="C6040" t="n">
        <v>2008</v>
      </c>
      <c r="D6040" t="n">
        <v>2008</v>
      </c>
      <c r="E6040" t="inlineStr">
        <is>
          <t>Slumdog Millionaire</t>
        </is>
      </c>
      <c r="F6040" t="inlineStr">
        <is>
          <t>F0281</t>
        </is>
      </c>
    </row>
    <row r="6041">
      <c r="A6041" t="inlineStr">
        <is>
          <t>Sharib Hashmi</t>
        </is>
      </c>
      <c r="B6041" t="n">
        <v>1</v>
      </c>
      <c r="C6041" t="n">
        <v>2008</v>
      </c>
      <c r="D6041" t="n">
        <v>2008</v>
      </c>
      <c r="E6041" t="inlineStr">
        <is>
          <t>Slumdog Millionaire</t>
        </is>
      </c>
      <c r="F6041" t="inlineStr">
        <is>
          <t>F0281</t>
        </is>
      </c>
    </row>
    <row r="6042">
      <c r="A6042" t="inlineStr">
        <is>
          <t>Mia Drake</t>
        </is>
      </c>
      <c r="B6042" t="n">
        <v>1</v>
      </c>
      <c r="C6042" t="n">
        <v>2008</v>
      </c>
      <c r="D6042" t="n">
        <v>2008</v>
      </c>
      <c r="E6042" t="inlineStr">
        <is>
          <t>Slumdog Millionaire</t>
        </is>
      </c>
      <c r="F6042" t="inlineStr">
        <is>
          <t>F0281</t>
        </is>
      </c>
    </row>
    <row r="6043">
      <c r="A6043" t="inlineStr">
        <is>
          <t>Shruti Seth</t>
        </is>
      </c>
      <c r="B6043" t="n">
        <v>1</v>
      </c>
      <c r="C6043" t="n">
        <v>2008</v>
      </c>
      <c r="D6043" t="n">
        <v>2008</v>
      </c>
      <c r="E6043" t="inlineStr">
        <is>
          <t>Slumdog Millionaire</t>
        </is>
      </c>
      <c r="F6043" t="inlineStr">
        <is>
          <t>F0281</t>
        </is>
      </c>
    </row>
    <row r="6044">
      <c r="A6044" t="inlineStr">
        <is>
          <t>Anjum Sharma</t>
        </is>
      </c>
      <c r="B6044" t="n">
        <v>1</v>
      </c>
      <c r="C6044" t="n">
        <v>2008</v>
      </c>
      <c r="D6044" t="n">
        <v>2008</v>
      </c>
      <c r="E6044" t="inlineStr">
        <is>
          <t>Slumdog Millionaire</t>
        </is>
      </c>
      <c r="F6044" t="inlineStr">
        <is>
          <t>F0281</t>
        </is>
      </c>
    </row>
    <row r="6045">
      <c r="A6045" t="inlineStr">
        <is>
          <t>Jira Banjara</t>
        </is>
      </c>
      <c r="B6045" t="n">
        <v>1</v>
      </c>
      <c r="C6045" t="n">
        <v>2008</v>
      </c>
      <c r="D6045" t="n">
        <v>2008</v>
      </c>
      <c r="E6045" t="inlineStr">
        <is>
          <t>Slumdog Millionaire</t>
        </is>
      </c>
      <c r="F6045" t="inlineStr">
        <is>
          <t>F0281</t>
        </is>
      </c>
    </row>
    <row r="6046">
      <c r="A6046" t="inlineStr">
        <is>
          <t>Sheikh Wali</t>
        </is>
      </c>
      <c r="B6046" t="n">
        <v>1</v>
      </c>
      <c r="C6046" t="n">
        <v>2008</v>
      </c>
      <c r="D6046" t="n">
        <v>2008</v>
      </c>
      <c r="E6046" t="inlineStr">
        <is>
          <t>Slumdog Millionaire</t>
        </is>
      </c>
      <c r="F6046" t="inlineStr">
        <is>
          <t>F0281</t>
        </is>
      </c>
    </row>
    <row r="6047">
      <c r="A6047" t="inlineStr">
        <is>
          <t>Sanchita Choudhary</t>
        </is>
      </c>
      <c r="B6047" t="n">
        <v>1</v>
      </c>
      <c r="C6047" t="n">
        <v>2008</v>
      </c>
      <c r="D6047" t="n">
        <v>2008</v>
      </c>
      <c r="E6047" t="inlineStr">
        <is>
          <t>Slumdog Millionaire</t>
        </is>
      </c>
      <c r="F6047" t="inlineStr">
        <is>
          <t>F0281</t>
        </is>
      </c>
    </row>
    <row r="6048">
      <c r="A6048" t="inlineStr">
        <is>
          <t>Himanshu Tyagi</t>
        </is>
      </c>
      <c r="B6048" t="n">
        <v>1</v>
      </c>
      <c r="C6048" t="n">
        <v>2008</v>
      </c>
      <c r="D6048" t="n">
        <v>2008</v>
      </c>
      <c r="E6048" t="inlineStr">
        <is>
          <t>Slumdog Millionaire</t>
        </is>
      </c>
      <c r="F6048" t="inlineStr">
        <is>
          <t>F0281</t>
        </is>
      </c>
    </row>
    <row r="6049">
      <c r="A6049" t="inlineStr">
        <is>
          <t>Virendra Chatterjee</t>
        </is>
      </c>
      <c r="B6049" t="n">
        <v>1</v>
      </c>
      <c r="C6049" t="n">
        <v>2008</v>
      </c>
      <c r="D6049" t="n">
        <v>2008</v>
      </c>
      <c r="E6049" t="inlineStr">
        <is>
          <t>Slumdog Millionaire</t>
        </is>
      </c>
      <c r="F6049" t="inlineStr">
        <is>
          <t>F0281</t>
        </is>
      </c>
    </row>
    <row r="6050">
      <c r="A6050" t="inlineStr">
        <is>
          <t>Feroze Khan</t>
        </is>
      </c>
      <c r="B6050" t="n">
        <v>1</v>
      </c>
      <c r="C6050" t="n">
        <v>2008</v>
      </c>
      <c r="D6050" t="n">
        <v>2008</v>
      </c>
      <c r="E6050" t="inlineStr">
        <is>
          <t>Slumdog Millionaire</t>
        </is>
      </c>
      <c r="F6050" t="inlineStr">
        <is>
          <t>F0281</t>
        </is>
      </c>
    </row>
    <row r="6051">
      <c r="A6051" t="inlineStr">
        <is>
          <t>Sunil Kumar Agrawal</t>
        </is>
      </c>
      <c r="B6051" t="n">
        <v>1</v>
      </c>
      <c r="C6051" t="n">
        <v>2008</v>
      </c>
      <c r="D6051" t="n">
        <v>2008</v>
      </c>
      <c r="E6051" t="inlineStr">
        <is>
          <t>Slumdog Millionaire</t>
        </is>
      </c>
      <c r="F6051" t="inlineStr">
        <is>
          <t>F0281</t>
        </is>
      </c>
    </row>
    <row r="6052">
      <c r="A6052" t="inlineStr">
        <is>
          <t>Virender Kumar</t>
        </is>
      </c>
      <c r="B6052" t="n">
        <v>1</v>
      </c>
      <c r="C6052" t="n">
        <v>2008</v>
      </c>
      <c r="D6052" t="n">
        <v>2008</v>
      </c>
      <c r="E6052" t="inlineStr">
        <is>
          <t>Slumdog Millionaire</t>
        </is>
      </c>
      <c r="F6052" t="inlineStr">
        <is>
          <t>F0281</t>
        </is>
      </c>
    </row>
    <row r="6053">
      <c r="A6053" t="inlineStr">
        <is>
          <t>Devesh Rawal</t>
        </is>
      </c>
      <c r="B6053" t="n">
        <v>1</v>
      </c>
      <c r="C6053" t="n">
        <v>2008</v>
      </c>
      <c r="D6053" t="n">
        <v>2008</v>
      </c>
      <c r="E6053" t="inlineStr">
        <is>
          <t>Slumdog Millionaire</t>
        </is>
      </c>
      <c r="F6053" t="inlineStr">
        <is>
          <t>F0281</t>
        </is>
      </c>
    </row>
    <row r="6054">
      <c r="A6054" t="inlineStr">
        <is>
          <t>Tiger</t>
        </is>
      </c>
      <c r="B6054" t="n">
        <v>1</v>
      </c>
      <c r="C6054" t="n">
        <v>2008</v>
      </c>
      <c r="D6054" t="n">
        <v>2008</v>
      </c>
      <c r="E6054" t="inlineStr">
        <is>
          <t>Slumdog Millionaire</t>
        </is>
      </c>
      <c r="F6054" t="inlineStr">
        <is>
          <t>F0281</t>
        </is>
      </c>
    </row>
    <row r="6055">
      <c r="A6055" t="inlineStr">
        <is>
          <t>Jacob Tremblay</t>
        </is>
      </c>
      <c r="B6055" t="n">
        <v>1</v>
      </c>
      <c r="C6055" t="n">
        <v>2013</v>
      </c>
      <c r="D6055" t="n">
        <v>2013</v>
      </c>
      <c r="E6055" t="inlineStr">
        <is>
          <t>The Smurfs 2</t>
        </is>
      </c>
      <c r="F6055" t="inlineStr">
        <is>
          <t>F0282</t>
        </is>
      </c>
    </row>
    <row r="6056">
      <c r="A6056" t="inlineStr">
        <is>
          <t>Nancy O'Dell</t>
        </is>
      </c>
      <c r="B6056" t="n">
        <v>1</v>
      </c>
      <c r="C6056" t="n">
        <v>2013</v>
      </c>
      <c r="D6056" t="n">
        <v>2013</v>
      </c>
      <c r="E6056" t="inlineStr">
        <is>
          <t>The Smurfs 2</t>
        </is>
      </c>
      <c r="F6056" t="inlineStr">
        <is>
          <t>F0282</t>
        </is>
      </c>
    </row>
    <row r="6057">
      <c r="A6057" t="inlineStr">
        <is>
          <t>Karim Babin</t>
        </is>
      </c>
      <c r="B6057" t="n">
        <v>1</v>
      </c>
      <c r="C6057" t="n">
        <v>2013</v>
      </c>
      <c r="D6057" t="n">
        <v>2013</v>
      </c>
      <c r="E6057" t="inlineStr">
        <is>
          <t>The Smurfs 2</t>
        </is>
      </c>
      <c r="F6057" t="inlineStr">
        <is>
          <t>F0282</t>
        </is>
      </c>
    </row>
    <row r="6058">
      <c r="A6058" t="inlineStr">
        <is>
          <t>Gaston Morrison</t>
        </is>
      </c>
      <c r="B6058" t="n">
        <v>1</v>
      </c>
      <c r="C6058" t="n">
        <v>2013</v>
      </c>
      <c r="D6058" t="n">
        <v>2013</v>
      </c>
      <c r="E6058" t="inlineStr">
        <is>
          <t>The Smurfs 2</t>
        </is>
      </c>
      <c r="F6058" t="inlineStr">
        <is>
          <t>F0282</t>
        </is>
      </c>
    </row>
    <row r="6059">
      <c r="A6059" t="inlineStr">
        <is>
          <t>Jocelyn Blanchard</t>
        </is>
      </c>
      <c r="B6059" t="n">
        <v>1</v>
      </c>
      <c r="C6059" t="n">
        <v>2013</v>
      </c>
      <c r="D6059" t="n">
        <v>2013</v>
      </c>
      <c r="E6059" t="inlineStr">
        <is>
          <t>The Smurfs 2</t>
        </is>
      </c>
      <c r="F6059" t="inlineStr">
        <is>
          <t>F0282</t>
        </is>
      </c>
    </row>
    <row r="6060">
      <c r="A6060" t="inlineStr">
        <is>
          <t>Erika Rosenbaum</t>
        </is>
      </c>
      <c r="B6060" t="n">
        <v>1</v>
      </c>
      <c r="C6060" t="n">
        <v>2013</v>
      </c>
      <c r="D6060" t="n">
        <v>2013</v>
      </c>
      <c r="E6060" t="inlineStr">
        <is>
          <t>The Smurfs 2</t>
        </is>
      </c>
      <c r="F6060" t="inlineStr">
        <is>
          <t>F0282</t>
        </is>
      </c>
    </row>
    <row r="6061">
      <c r="A6061" t="inlineStr">
        <is>
          <t>Carolina Bartczak</t>
        </is>
      </c>
      <c r="B6061" t="n">
        <v>1</v>
      </c>
      <c r="C6061" t="n">
        <v>2013</v>
      </c>
      <c r="D6061" t="n">
        <v>2013</v>
      </c>
      <c r="E6061" t="inlineStr">
        <is>
          <t>The Smurfs 2</t>
        </is>
      </c>
      <c r="F6061" t="inlineStr">
        <is>
          <t>F0282</t>
        </is>
      </c>
    </row>
    <row r="6062">
      <c r="A6062" t="inlineStr">
        <is>
          <t>James A. Woods</t>
        </is>
      </c>
      <c r="B6062" t="n">
        <v>2</v>
      </c>
      <c r="C6062" t="n">
        <v>2011</v>
      </c>
      <c r="D6062" t="n">
        <v>2013</v>
      </c>
      <c r="E6062" t="inlineStr">
        <is>
          <t>The Smurfs 2, Source Code</t>
        </is>
      </c>
      <c r="F6062" t="inlineStr">
        <is>
          <t>F0282, F0285</t>
        </is>
      </c>
    </row>
    <row r="6063">
      <c r="A6063" t="inlineStr">
        <is>
          <t>Henri Pardo</t>
        </is>
      </c>
      <c r="B6063" t="n">
        <v>1</v>
      </c>
      <c r="C6063" t="n">
        <v>2013</v>
      </c>
      <c r="D6063" t="n">
        <v>2013</v>
      </c>
      <c r="E6063" t="inlineStr">
        <is>
          <t>The Smurfs 2</t>
        </is>
      </c>
      <c r="F6063" t="inlineStr">
        <is>
          <t>F0282</t>
        </is>
      </c>
    </row>
    <row r="6064">
      <c r="A6064" t="inlineStr">
        <is>
          <t>Vanessa Matsui</t>
        </is>
      </c>
      <c r="B6064" t="n">
        <v>1</v>
      </c>
      <c r="C6064" t="n">
        <v>2013</v>
      </c>
      <c r="D6064" t="n">
        <v>2013</v>
      </c>
      <c r="E6064" t="inlineStr">
        <is>
          <t>The Smurfs 2</t>
        </is>
      </c>
      <c r="F6064" t="inlineStr">
        <is>
          <t>F0282</t>
        </is>
      </c>
    </row>
    <row r="6065">
      <c r="A6065" t="inlineStr">
        <is>
          <t>Dusan Dukic</t>
        </is>
      </c>
      <c r="B6065" t="n">
        <v>1</v>
      </c>
      <c r="C6065" t="n">
        <v>2013</v>
      </c>
      <c r="D6065" t="n">
        <v>2013</v>
      </c>
      <c r="E6065" t="inlineStr">
        <is>
          <t>The Smurfs 2</t>
        </is>
      </c>
      <c r="F6065" t="inlineStr">
        <is>
          <t>F0282</t>
        </is>
      </c>
    </row>
    <row r="6066">
      <c r="A6066" t="inlineStr">
        <is>
          <t>Ruth Chiang</t>
        </is>
      </c>
      <c r="B6066" t="n">
        <v>1</v>
      </c>
      <c r="C6066" t="n">
        <v>2013</v>
      </c>
      <c r="D6066" t="n">
        <v>2013</v>
      </c>
      <c r="E6066" t="inlineStr">
        <is>
          <t>The Smurfs 2</t>
        </is>
      </c>
      <c r="F6066" t="inlineStr">
        <is>
          <t>F0282</t>
        </is>
      </c>
    </row>
    <row r="6067">
      <c r="A6067" t="inlineStr">
        <is>
          <t>Andy Quesnel</t>
        </is>
      </c>
      <c r="B6067" t="n">
        <v>1</v>
      </c>
      <c r="C6067" t="n">
        <v>2013</v>
      </c>
      <c r="D6067" t="n">
        <v>2013</v>
      </c>
      <c r="E6067" t="inlineStr">
        <is>
          <t>The Smurfs 2</t>
        </is>
      </c>
      <c r="F6067" t="inlineStr">
        <is>
          <t>F0282</t>
        </is>
      </c>
    </row>
    <row r="6068">
      <c r="A6068" t="inlineStr">
        <is>
          <t>Mylène Dinh-Robic</t>
        </is>
      </c>
      <c r="B6068" t="n">
        <v>1</v>
      </c>
      <c r="C6068" t="n">
        <v>2013</v>
      </c>
      <c r="D6068" t="n">
        <v>2013</v>
      </c>
      <c r="E6068" t="inlineStr">
        <is>
          <t>The Smurfs 2</t>
        </is>
      </c>
      <c r="F6068" t="inlineStr">
        <is>
          <t>F0282</t>
        </is>
      </c>
    </row>
    <row r="6069">
      <c r="A6069" t="inlineStr">
        <is>
          <t>Martin-Guy Bélanger</t>
        </is>
      </c>
      <c r="B6069" t="n">
        <v>1</v>
      </c>
      <c r="C6069" t="n">
        <v>2013</v>
      </c>
      <c r="D6069" t="n">
        <v>2013</v>
      </c>
      <c r="E6069" t="inlineStr">
        <is>
          <t>The Smurfs 2</t>
        </is>
      </c>
      <c r="F6069" t="inlineStr">
        <is>
          <t>F0282</t>
        </is>
      </c>
    </row>
    <row r="6070">
      <c r="A6070" t="inlineStr">
        <is>
          <t>Robert Reynaert</t>
        </is>
      </c>
      <c r="B6070" t="n">
        <v>1</v>
      </c>
      <c r="C6070" t="n">
        <v>2013</v>
      </c>
      <c r="D6070" t="n">
        <v>2013</v>
      </c>
      <c r="E6070" t="inlineStr">
        <is>
          <t>The Smurfs 2</t>
        </is>
      </c>
      <c r="F6070" t="inlineStr">
        <is>
          <t>F0282</t>
        </is>
      </c>
    </row>
    <row r="6071">
      <c r="A6071" t="inlineStr">
        <is>
          <t>Martin St-Antoine</t>
        </is>
      </c>
      <c r="B6071" t="n">
        <v>1</v>
      </c>
      <c r="C6071" t="n">
        <v>2013</v>
      </c>
      <c r="D6071" t="n">
        <v>2013</v>
      </c>
      <c r="E6071" t="inlineStr">
        <is>
          <t>The Smurfs 2</t>
        </is>
      </c>
      <c r="F6071" t="inlineStr">
        <is>
          <t>F0282</t>
        </is>
      </c>
    </row>
    <row r="6072">
      <c r="A6072" t="inlineStr">
        <is>
          <t>Patrick Baby</t>
        </is>
      </c>
      <c r="B6072" t="n">
        <v>1</v>
      </c>
      <c r="C6072" t="n">
        <v>2013</v>
      </c>
      <c r="D6072" t="n">
        <v>2013</v>
      </c>
      <c r="E6072" t="inlineStr">
        <is>
          <t>The Smurfs 2</t>
        </is>
      </c>
      <c r="F6072" t="inlineStr">
        <is>
          <t>F0282</t>
        </is>
      </c>
    </row>
    <row r="6073">
      <c r="A6073" t="inlineStr">
        <is>
          <t>Joshua Spreekmeester</t>
        </is>
      </c>
      <c r="B6073" t="n">
        <v>1</v>
      </c>
      <c r="C6073" t="n">
        <v>2013</v>
      </c>
      <c r="D6073" t="n">
        <v>2013</v>
      </c>
      <c r="E6073" t="inlineStr">
        <is>
          <t>The Smurfs 2</t>
        </is>
      </c>
      <c r="F6073" t="inlineStr">
        <is>
          <t>F0282</t>
        </is>
      </c>
    </row>
    <row r="6074">
      <c r="A6074" t="inlineStr">
        <is>
          <t>Bruno Paviot</t>
        </is>
      </c>
      <c r="B6074" t="n">
        <v>1</v>
      </c>
      <c r="C6074" t="n">
        <v>2013</v>
      </c>
      <c r="D6074" t="n">
        <v>2013</v>
      </c>
      <c r="E6074" t="inlineStr">
        <is>
          <t>The Smurfs 2</t>
        </is>
      </c>
      <c r="F6074" t="inlineStr">
        <is>
          <t>F0282</t>
        </is>
      </c>
    </row>
    <row r="6075">
      <c r="A6075" t="inlineStr">
        <is>
          <t>Gunther Love</t>
        </is>
      </c>
      <c r="B6075" t="n">
        <v>1</v>
      </c>
      <c r="C6075" t="n">
        <v>2013</v>
      </c>
      <c r="D6075" t="n">
        <v>2013</v>
      </c>
      <c r="E6075" t="inlineStr">
        <is>
          <t>The Smurfs 2</t>
        </is>
      </c>
      <c r="F6075" t="inlineStr">
        <is>
          <t>F0282</t>
        </is>
      </c>
    </row>
    <row r="6076">
      <c r="A6076" t="inlineStr">
        <is>
          <t>Gaëlle Pietri</t>
        </is>
      </c>
      <c r="B6076" t="n">
        <v>1</v>
      </c>
      <c r="C6076" t="n">
        <v>2013</v>
      </c>
      <c r="D6076" t="n">
        <v>2013</v>
      </c>
      <c r="E6076" t="inlineStr">
        <is>
          <t>The Smurfs 2</t>
        </is>
      </c>
      <c r="F6076" t="inlineStr">
        <is>
          <t>F0282</t>
        </is>
      </c>
    </row>
    <row r="6077">
      <c r="A6077" t="inlineStr">
        <is>
          <t>Janicke Askevold</t>
        </is>
      </c>
      <c r="B6077" t="n">
        <v>1</v>
      </c>
      <c r="C6077" t="n">
        <v>2013</v>
      </c>
      <c r="D6077" t="n">
        <v>2013</v>
      </c>
      <c r="E6077" t="inlineStr">
        <is>
          <t>The Smurfs 2</t>
        </is>
      </c>
      <c r="F6077" t="inlineStr">
        <is>
          <t>F0282</t>
        </is>
      </c>
    </row>
    <row r="6078">
      <c r="A6078" t="inlineStr">
        <is>
          <t>Octavia Spencer</t>
        </is>
      </c>
      <c r="B6078" t="n">
        <v>1</v>
      </c>
      <c r="C6078" t="n">
        <v>2013</v>
      </c>
      <c r="D6078" t="n">
        <v>2013</v>
      </c>
      <c r="E6078" t="inlineStr">
        <is>
          <t>Snowpiercer</t>
        </is>
      </c>
      <c r="F6078" t="inlineStr">
        <is>
          <t>F0283</t>
        </is>
      </c>
    </row>
    <row r="6079">
      <c r="A6079" t="inlineStr">
        <is>
          <t>Ko A-sung</t>
        </is>
      </c>
      <c r="B6079" t="n">
        <v>1</v>
      </c>
      <c r="C6079" t="n">
        <v>2013</v>
      </c>
      <c r="D6079" t="n">
        <v>2013</v>
      </c>
      <c r="E6079" t="inlineStr">
        <is>
          <t>Snowpiercer</t>
        </is>
      </c>
      <c r="F6079" t="inlineStr">
        <is>
          <t>F0283</t>
        </is>
      </c>
    </row>
    <row r="6080">
      <c r="A6080" t="inlineStr">
        <is>
          <t>Alison Pill</t>
        </is>
      </c>
      <c r="B6080" t="n">
        <v>1</v>
      </c>
      <c r="C6080" t="n">
        <v>2013</v>
      </c>
      <c r="D6080" t="n">
        <v>2013</v>
      </c>
      <c r="E6080" t="inlineStr">
        <is>
          <t>Snowpiercer</t>
        </is>
      </c>
      <c r="F6080" t="inlineStr">
        <is>
          <t>F0283</t>
        </is>
      </c>
    </row>
    <row r="6081">
      <c r="A6081" t="inlineStr">
        <is>
          <t>Luke Pasqualino</t>
        </is>
      </c>
      <c r="B6081" t="n">
        <v>1</v>
      </c>
      <c r="C6081" t="n">
        <v>2013</v>
      </c>
      <c r="D6081" t="n">
        <v>2013</v>
      </c>
      <c r="E6081" t="inlineStr">
        <is>
          <t>Snowpiercer</t>
        </is>
      </c>
      <c r="F6081" t="inlineStr">
        <is>
          <t>F0283</t>
        </is>
      </c>
    </row>
    <row r="6082">
      <c r="A6082" t="inlineStr">
        <is>
          <t>Vlad Ivanov</t>
        </is>
      </c>
      <c r="B6082" t="n">
        <v>1</v>
      </c>
      <c r="C6082" t="n">
        <v>2013</v>
      </c>
      <c r="D6082" t="n">
        <v>2013</v>
      </c>
      <c r="E6082" t="inlineStr">
        <is>
          <t>Snowpiercer</t>
        </is>
      </c>
      <c r="F6082" t="inlineStr">
        <is>
          <t>F0283</t>
        </is>
      </c>
    </row>
    <row r="6083">
      <c r="A6083" t="inlineStr">
        <is>
          <t>Adnan Hasković</t>
        </is>
      </c>
      <c r="B6083" t="n">
        <v>1</v>
      </c>
      <c r="C6083" t="n">
        <v>2013</v>
      </c>
      <c r="D6083" t="n">
        <v>2013</v>
      </c>
      <c r="E6083" t="inlineStr">
        <is>
          <t>Snowpiercer</t>
        </is>
      </c>
      <c r="F6083" t="inlineStr">
        <is>
          <t>F0283</t>
        </is>
      </c>
    </row>
    <row r="6084">
      <c r="A6084" t="inlineStr">
        <is>
          <t>Emma Levie</t>
        </is>
      </c>
      <c r="B6084" t="n">
        <v>1</v>
      </c>
      <c r="C6084" t="n">
        <v>2013</v>
      </c>
      <c r="D6084" t="n">
        <v>2013</v>
      </c>
      <c r="E6084" t="inlineStr">
        <is>
          <t>Snowpiercer</t>
        </is>
      </c>
      <c r="F6084" t="inlineStr">
        <is>
          <t>F0283</t>
        </is>
      </c>
    </row>
    <row r="6085">
      <c r="A6085" t="inlineStr">
        <is>
          <t>Steve Park</t>
        </is>
      </c>
      <c r="B6085" t="n">
        <v>1</v>
      </c>
      <c r="C6085" t="n">
        <v>2013</v>
      </c>
      <c r="D6085" t="n">
        <v>2013</v>
      </c>
      <c r="E6085" t="inlineStr">
        <is>
          <t>Snowpiercer</t>
        </is>
      </c>
      <c r="F6085" t="inlineStr">
        <is>
          <t>F0283</t>
        </is>
      </c>
    </row>
    <row r="6086">
      <c r="A6086" t="inlineStr">
        <is>
          <t>Clark Middleton</t>
        </is>
      </c>
      <c r="B6086" t="n">
        <v>1</v>
      </c>
      <c r="C6086" t="n">
        <v>2013</v>
      </c>
      <c r="D6086" t="n">
        <v>2013</v>
      </c>
      <c r="E6086" t="inlineStr">
        <is>
          <t>Snowpiercer</t>
        </is>
      </c>
      <c r="F6086" t="inlineStr">
        <is>
          <t>F0283</t>
        </is>
      </c>
    </row>
    <row r="6087">
      <c r="A6087" t="inlineStr">
        <is>
          <t>Marcanthonee Reis</t>
        </is>
      </c>
      <c r="B6087" t="n">
        <v>1</v>
      </c>
      <c r="C6087" t="n">
        <v>2013</v>
      </c>
      <c r="D6087" t="n">
        <v>2013</v>
      </c>
      <c r="E6087" t="inlineStr">
        <is>
          <t>Snowpiercer</t>
        </is>
      </c>
      <c r="F6087" t="inlineStr">
        <is>
          <t>F0283</t>
        </is>
      </c>
    </row>
    <row r="6088">
      <c r="A6088" t="inlineStr">
        <is>
          <t>Paul Lazar</t>
        </is>
      </c>
      <c r="B6088" t="n">
        <v>1</v>
      </c>
      <c r="C6088" t="n">
        <v>2013</v>
      </c>
      <c r="D6088" t="n">
        <v>2013</v>
      </c>
      <c r="E6088" t="inlineStr">
        <is>
          <t>Snowpiercer</t>
        </is>
      </c>
      <c r="F6088" t="inlineStr">
        <is>
          <t>F0283</t>
        </is>
      </c>
    </row>
    <row r="6089">
      <c r="A6089" t="inlineStr">
        <is>
          <t>Tómas Lemarquis</t>
        </is>
      </c>
      <c r="B6089" t="n">
        <v>1</v>
      </c>
      <c r="C6089" t="n">
        <v>2013</v>
      </c>
      <c r="D6089" t="n">
        <v>2013</v>
      </c>
      <c r="E6089" t="inlineStr">
        <is>
          <t>Snowpiercer</t>
        </is>
      </c>
      <c r="F6089" t="inlineStr">
        <is>
          <t>F0283</t>
        </is>
      </c>
    </row>
    <row r="6090">
      <c r="A6090" t="inlineStr">
        <is>
          <t>Kenny Doughty</t>
        </is>
      </c>
      <c r="B6090" t="n">
        <v>1</v>
      </c>
      <c r="C6090" t="n">
        <v>2013</v>
      </c>
      <c r="D6090" t="n">
        <v>2013</v>
      </c>
      <c r="E6090" t="inlineStr">
        <is>
          <t>Snowpiercer</t>
        </is>
      </c>
      <c r="F6090" t="inlineStr">
        <is>
          <t>F0283</t>
        </is>
      </c>
    </row>
    <row r="6091">
      <c r="A6091" t="inlineStr">
        <is>
          <t>Robert Russell</t>
        </is>
      </c>
      <c r="B6091" t="n">
        <v>1</v>
      </c>
      <c r="C6091" t="n">
        <v>2013</v>
      </c>
      <c r="D6091" t="n">
        <v>2013</v>
      </c>
      <c r="E6091" t="inlineStr">
        <is>
          <t>Snowpiercer</t>
        </is>
      </c>
      <c r="F6091" t="inlineStr">
        <is>
          <t>F0283</t>
        </is>
      </c>
    </row>
    <row r="6092">
      <c r="A6092" t="inlineStr">
        <is>
          <t>Magda Weigertová</t>
        </is>
      </c>
      <c r="B6092" t="n">
        <v>1</v>
      </c>
      <c r="C6092" t="n">
        <v>2013</v>
      </c>
      <c r="D6092" t="n">
        <v>2013</v>
      </c>
      <c r="E6092" t="inlineStr">
        <is>
          <t>Snowpiercer</t>
        </is>
      </c>
      <c r="F6092" t="inlineStr">
        <is>
          <t>F0283</t>
        </is>
      </c>
    </row>
    <row r="6093">
      <c r="A6093" t="inlineStr">
        <is>
          <t>Jim High</t>
        </is>
      </c>
      <c r="B6093" t="n">
        <v>1</v>
      </c>
      <c r="C6093" t="n">
        <v>2013</v>
      </c>
      <c r="D6093" t="n">
        <v>2013</v>
      </c>
      <c r="E6093" t="inlineStr">
        <is>
          <t>Snowpiercer</t>
        </is>
      </c>
      <c r="F6093" t="inlineStr">
        <is>
          <t>F0283</t>
        </is>
      </c>
    </row>
    <row r="6094">
      <c r="A6094" t="inlineStr">
        <is>
          <t>Peter Hallin</t>
        </is>
      </c>
      <c r="B6094" t="n">
        <v>1</v>
      </c>
      <c r="C6094" t="n">
        <v>2013</v>
      </c>
      <c r="D6094" t="n">
        <v>2013</v>
      </c>
      <c r="E6094" t="inlineStr">
        <is>
          <t>Snowpiercer</t>
        </is>
      </c>
      <c r="F6094" t="inlineStr">
        <is>
          <t>F0283</t>
        </is>
      </c>
    </row>
    <row r="6095">
      <c r="A6095" t="inlineStr">
        <is>
          <t>Haruna Honcoop</t>
        </is>
      </c>
      <c r="B6095" t="n">
        <v>1</v>
      </c>
      <c r="C6095" t="n">
        <v>2013</v>
      </c>
      <c r="D6095" t="n">
        <v>2013</v>
      </c>
      <c r="E6095" t="inlineStr">
        <is>
          <t>Snowpiercer</t>
        </is>
      </c>
      <c r="F6095" t="inlineStr">
        <is>
          <t>F0283</t>
        </is>
      </c>
    </row>
    <row r="6096">
      <c r="A6096" t="inlineStr">
        <is>
          <t>Ana Braun</t>
        </is>
      </c>
      <c r="B6096" t="n">
        <v>1</v>
      </c>
      <c r="C6096" t="n">
        <v>2013</v>
      </c>
      <c r="D6096" t="n">
        <v>2013</v>
      </c>
      <c r="E6096" t="inlineStr">
        <is>
          <t>Snowpiercer</t>
        </is>
      </c>
      <c r="F6096" t="inlineStr">
        <is>
          <t>F0283</t>
        </is>
      </c>
    </row>
    <row r="6097">
      <c r="A6097" t="inlineStr">
        <is>
          <t>Griffin Seymour</t>
        </is>
      </c>
      <c r="B6097" t="n">
        <v>1</v>
      </c>
      <c r="C6097" t="n">
        <v>2013</v>
      </c>
      <c r="D6097" t="n">
        <v>2013</v>
      </c>
      <c r="E6097" t="inlineStr">
        <is>
          <t>Snowpiercer</t>
        </is>
      </c>
      <c r="F6097" t="inlineStr">
        <is>
          <t>F0283</t>
        </is>
      </c>
    </row>
    <row r="6098">
      <c r="A6098" t="inlineStr">
        <is>
          <t>Tyler John Williams</t>
        </is>
      </c>
      <c r="B6098" t="n">
        <v>1</v>
      </c>
      <c r="C6098" t="n">
        <v>2013</v>
      </c>
      <c r="D6098" t="n">
        <v>2013</v>
      </c>
      <c r="E6098" t="inlineStr">
        <is>
          <t>Snowpiercer</t>
        </is>
      </c>
      <c r="F6098" t="inlineStr">
        <is>
          <t>F0283</t>
        </is>
      </c>
    </row>
    <row r="6099">
      <c r="A6099" t="inlineStr">
        <is>
          <t>Luna Sophia Bar-Cohen</t>
        </is>
      </c>
      <c r="B6099" t="n">
        <v>1</v>
      </c>
      <c r="C6099" t="n">
        <v>2013</v>
      </c>
      <c r="D6099" t="n">
        <v>2013</v>
      </c>
      <c r="E6099" t="inlineStr">
        <is>
          <t>Snowpiercer</t>
        </is>
      </c>
      <c r="F6099" t="inlineStr">
        <is>
          <t>F0283</t>
        </is>
      </c>
    </row>
    <row r="6100">
      <c r="A6100" t="inlineStr">
        <is>
          <t>Sean Connor Renwick</t>
        </is>
      </c>
      <c r="B6100" t="n">
        <v>1</v>
      </c>
      <c r="C6100" t="n">
        <v>2013</v>
      </c>
      <c r="D6100" t="n">
        <v>2013</v>
      </c>
      <c r="E6100" t="inlineStr">
        <is>
          <t>Snowpiercer</t>
        </is>
      </c>
      <c r="F6100" t="inlineStr">
        <is>
          <t>F0283</t>
        </is>
      </c>
    </row>
    <row r="6101">
      <c r="A6101" t="inlineStr">
        <is>
          <t>Noah Huntley</t>
        </is>
      </c>
      <c r="B6101" t="n">
        <v>1</v>
      </c>
      <c r="C6101" t="n">
        <v>2012</v>
      </c>
      <c r="D6101" t="n">
        <v>2012</v>
      </c>
      <c r="E6101" t="inlineStr">
        <is>
          <t>Snow White and the Huntsman</t>
        </is>
      </c>
      <c r="F6101" t="inlineStr">
        <is>
          <t>F0284</t>
        </is>
      </c>
    </row>
    <row r="6102">
      <c r="A6102" t="inlineStr">
        <is>
          <t>Lily Cole</t>
        </is>
      </c>
      <c r="B6102" t="n">
        <v>1</v>
      </c>
      <c r="C6102" t="n">
        <v>2012</v>
      </c>
      <c r="D6102" t="n">
        <v>2012</v>
      </c>
      <c r="E6102" t="inlineStr">
        <is>
          <t>Snow White and the Huntsman</t>
        </is>
      </c>
      <c r="F6102" t="inlineStr">
        <is>
          <t>F0284</t>
        </is>
      </c>
    </row>
    <row r="6103">
      <c r="A6103" t="inlineStr">
        <is>
          <t>Rachael Stirling</t>
        </is>
      </c>
      <c r="B6103" t="n">
        <v>1</v>
      </c>
      <c r="C6103" t="n">
        <v>2012</v>
      </c>
      <c r="D6103" t="n">
        <v>2012</v>
      </c>
      <c r="E6103" t="inlineStr">
        <is>
          <t>Snow White and the Huntsman</t>
        </is>
      </c>
      <c r="F6103" t="inlineStr">
        <is>
          <t>F0284</t>
        </is>
      </c>
    </row>
    <row r="6104">
      <c r="A6104" t="inlineStr">
        <is>
          <t>Hattie Gotobed</t>
        </is>
      </c>
      <c r="B6104" t="n">
        <v>1</v>
      </c>
      <c r="C6104" t="n">
        <v>2012</v>
      </c>
      <c r="D6104" t="n">
        <v>2012</v>
      </c>
      <c r="E6104" t="inlineStr">
        <is>
          <t>Snow White and the Huntsman</t>
        </is>
      </c>
      <c r="F6104" t="inlineStr">
        <is>
          <t>F0284</t>
        </is>
      </c>
    </row>
    <row r="6105">
      <c r="A6105" t="inlineStr">
        <is>
          <t>Bob Hoskins</t>
        </is>
      </c>
      <c r="B6105" t="n">
        <v>1</v>
      </c>
      <c r="C6105" t="n">
        <v>2012</v>
      </c>
      <c r="D6105" t="n">
        <v>2012</v>
      </c>
      <c r="E6105" t="inlineStr">
        <is>
          <t>Snow White and the Huntsman</t>
        </is>
      </c>
      <c r="F6105" t="inlineStr">
        <is>
          <t>F0284</t>
        </is>
      </c>
    </row>
    <row r="6106">
      <c r="A6106" t="inlineStr">
        <is>
          <t>Johnny Harris</t>
        </is>
      </c>
      <c r="B6106" t="n">
        <v>1</v>
      </c>
      <c r="C6106" t="n">
        <v>2012</v>
      </c>
      <c r="D6106" t="n">
        <v>2012</v>
      </c>
      <c r="E6106" t="inlineStr">
        <is>
          <t>Snow White and the Huntsman</t>
        </is>
      </c>
      <c r="F6106" t="inlineStr">
        <is>
          <t>F0284</t>
        </is>
      </c>
    </row>
    <row r="6107">
      <c r="A6107" t="inlineStr">
        <is>
          <t>Brian Gleeson</t>
        </is>
      </c>
      <c r="B6107" t="n">
        <v>1</v>
      </c>
      <c r="C6107" t="n">
        <v>2012</v>
      </c>
      <c r="D6107" t="n">
        <v>2012</v>
      </c>
      <c r="E6107" t="inlineStr">
        <is>
          <t>Snow White and the Huntsman</t>
        </is>
      </c>
      <c r="F6107" t="inlineStr">
        <is>
          <t>F0284</t>
        </is>
      </c>
    </row>
    <row r="6108">
      <c r="A6108" t="inlineStr">
        <is>
          <t>Liberty Ross</t>
        </is>
      </c>
      <c r="B6108" t="n">
        <v>1</v>
      </c>
      <c r="C6108" t="n">
        <v>2012</v>
      </c>
      <c r="D6108" t="n">
        <v>2012</v>
      </c>
      <c r="E6108" t="inlineStr">
        <is>
          <t>Snow White and the Huntsman</t>
        </is>
      </c>
      <c r="F6108" t="inlineStr">
        <is>
          <t>F0284</t>
        </is>
      </c>
    </row>
    <row r="6109">
      <c r="A6109" t="inlineStr">
        <is>
          <t>Chris Obi</t>
        </is>
      </c>
      <c r="B6109" t="n">
        <v>1</v>
      </c>
      <c r="C6109" t="n">
        <v>2012</v>
      </c>
      <c r="D6109" t="n">
        <v>2012</v>
      </c>
      <c r="E6109" t="inlineStr">
        <is>
          <t>Snow White and the Huntsman</t>
        </is>
      </c>
      <c r="F6109" t="inlineStr">
        <is>
          <t>F0284</t>
        </is>
      </c>
    </row>
    <row r="6110">
      <c r="A6110" t="inlineStr">
        <is>
          <t>Raffey Cassidy</t>
        </is>
      </c>
      <c r="B6110" t="n">
        <v>1</v>
      </c>
      <c r="C6110" t="n">
        <v>2012</v>
      </c>
      <c r="D6110" t="n">
        <v>2012</v>
      </c>
      <c r="E6110" t="inlineStr">
        <is>
          <t>Snow White and the Huntsman</t>
        </is>
      </c>
      <c r="F6110" t="inlineStr">
        <is>
          <t>F0284</t>
        </is>
      </c>
    </row>
    <row r="6111">
      <c r="A6111" t="inlineStr">
        <is>
          <t>Xavier Atkins</t>
        </is>
      </c>
      <c r="B6111" t="n">
        <v>1</v>
      </c>
      <c r="C6111" t="n">
        <v>2012</v>
      </c>
      <c r="D6111" t="n">
        <v>2012</v>
      </c>
      <c r="E6111" t="inlineStr">
        <is>
          <t>Snow White and the Huntsman</t>
        </is>
      </c>
      <c r="F6111" t="inlineStr">
        <is>
          <t>F0284</t>
        </is>
      </c>
    </row>
    <row r="6112">
      <c r="A6112" t="inlineStr">
        <is>
          <t>Izzy Meikle-Small</t>
        </is>
      </c>
      <c r="B6112" t="n">
        <v>1</v>
      </c>
      <c r="C6112" t="n">
        <v>2012</v>
      </c>
      <c r="D6112" t="n">
        <v>2012</v>
      </c>
      <c r="E6112" t="inlineStr">
        <is>
          <t>Snow White and the Huntsman</t>
        </is>
      </c>
      <c r="F6112" t="inlineStr">
        <is>
          <t>F0284</t>
        </is>
      </c>
    </row>
    <row r="6113">
      <c r="A6113" t="inlineStr">
        <is>
          <t>Anastasia Hille</t>
        </is>
      </c>
      <c r="B6113" t="n">
        <v>1</v>
      </c>
      <c r="C6113" t="n">
        <v>2012</v>
      </c>
      <c r="D6113" t="n">
        <v>2012</v>
      </c>
      <c r="E6113" t="inlineStr">
        <is>
          <t>Snow White and the Huntsman</t>
        </is>
      </c>
      <c r="F6113" t="inlineStr">
        <is>
          <t>F0284</t>
        </is>
      </c>
    </row>
    <row r="6114">
      <c r="A6114" t="inlineStr">
        <is>
          <t>Elliot Reeve</t>
        </is>
      </c>
      <c r="B6114" t="n">
        <v>1</v>
      </c>
      <c r="C6114" t="n">
        <v>2012</v>
      </c>
      <c r="D6114" t="n">
        <v>2012</v>
      </c>
      <c r="E6114" t="inlineStr">
        <is>
          <t>Snow White and the Huntsman</t>
        </is>
      </c>
      <c r="F6114" t="inlineStr">
        <is>
          <t>F0284</t>
        </is>
      </c>
    </row>
    <row r="6115">
      <c r="A6115" t="inlineStr">
        <is>
          <t>Mark Wingett</t>
        </is>
      </c>
      <c r="B6115" t="n">
        <v>1</v>
      </c>
      <c r="C6115" t="n">
        <v>2012</v>
      </c>
      <c r="D6115" t="n">
        <v>2012</v>
      </c>
      <c r="E6115" t="inlineStr">
        <is>
          <t>Snow White and the Huntsman</t>
        </is>
      </c>
      <c r="F6115" t="inlineStr">
        <is>
          <t>F0284</t>
        </is>
      </c>
    </row>
    <row r="6116">
      <c r="A6116" t="inlineStr">
        <is>
          <t>Jamie Blackley</t>
        </is>
      </c>
      <c r="B6116" t="n">
        <v>1</v>
      </c>
      <c r="C6116" t="n">
        <v>2012</v>
      </c>
      <c r="D6116" t="n">
        <v>2012</v>
      </c>
      <c r="E6116" t="inlineStr">
        <is>
          <t>Snow White and the Huntsman</t>
        </is>
      </c>
      <c r="F6116" t="inlineStr">
        <is>
          <t>F0284</t>
        </is>
      </c>
    </row>
    <row r="6117">
      <c r="A6117" t="inlineStr">
        <is>
          <t>Greg Hicks</t>
        </is>
      </c>
      <c r="B6117" t="n">
        <v>1</v>
      </c>
      <c r="C6117" t="n">
        <v>2012</v>
      </c>
      <c r="D6117" t="n">
        <v>2012</v>
      </c>
      <c r="E6117" t="inlineStr">
        <is>
          <t>Snow White and the Huntsman</t>
        </is>
      </c>
      <c r="F6117" t="inlineStr">
        <is>
          <t>F0284</t>
        </is>
      </c>
    </row>
    <row r="6118">
      <c r="A6118" t="inlineStr">
        <is>
          <t>Peter Ferdinando</t>
        </is>
      </c>
      <c r="B6118" t="n">
        <v>1</v>
      </c>
      <c r="C6118" t="n">
        <v>2012</v>
      </c>
      <c r="D6118" t="n">
        <v>2012</v>
      </c>
      <c r="E6118" t="inlineStr">
        <is>
          <t>Snow White and the Huntsman</t>
        </is>
      </c>
      <c r="F6118" t="inlineStr">
        <is>
          <t>F0284</t>
        </is>
      </c>
    </row>
    <row r="6119">
      <c r="A6119" t="inlineStr">
        <is>
          <t>Cas Anvar</t>
        </is>
      </c>
      <c r="B6119" t="n">
        <v>2</v>
      </c>
      <c r="C6119" t="n">
        <v>2009</v>
      </c>
      <c r="D6119" t="n">
        <v>2011</v>
      </c>
      <c r="E6119" t="inlineStr">
        <is>
          <t>Source Code, Transformers: Revenge of the Fallen</t>
        </is>
      </c>
      <c r="F6119" t="inlineStr">
        <is>
          <t>F0285, F0317</t>
        </is>
      </c>
    </row>
    <row r="6120">
      <c r="A6120" t="inlineStr">
        <is>
          <t>Brent Skagford</t>
        </is>
      </c>
      <c r="B6120" t="n">
        <v>1</v>
      </c>
      <c r="C6120" t="n">
        <v>2011</v>
      </c>
      <c r="D6120" t="n">
        <v>2011</v>
      </c>
      <c r="E6120" t="inlineStr">
        <is>
          <t>Source Code</t>
        </is>
      </c>
      <c r="F6120" t="inlineStr">
        <is>
          <t>F0285</t>
        </is>
      </c>
    </row>
    <row r="6121">
      <c r="A6121" t="inlineStr">
        <is>
          <t>Craig Thomas</t>
        </is>
      </c>
      <c r="B6121" t="n">
        <v>1</v>
      </c>
      <c r="C6121" t="n">
        <v>2011</v>
      </c>
      <c r="D6121" t="n">
        <v>2011</v>
      </c>
      <c r="E6121" t="inlineStr">
        <is>
          <t>Source Code</t>
        </is>
      </c>
      <c r="F6121" t="inlineStr">
        <is>
          <t>F0285</t>
        </is>
      </c>
    </row>
    <row r="6122">
      <c r="A6122" t="inlineStr">
        <is>
          <t>Gordon Masten</t>
        </is>
      </c>
      <c r="B6122" t="n">
        <v>1</v>
      </c>
      <c r="C6122" t="n">
        <v>2011</v>
      </c>
      <c r="D6122" t="n">
        <v>2011</v>
      </c>
      <c r="E6122" t="inlineStr">
        <is>
          <t>Source Code</t>
        </is>
      </c>
      <c r="F6122" t="inlineStr">
        <is>
          <t>F0285</t>
        </is>
      </c>
    </row>
    <row r="6123">
      <c r="A6123" t="inlineStr">
        <is>
          <t>Susan Bain</t>
        </is>
      </c>
      <c r="B6123" t="n">
        <v>1</v>
      </c>
      <c r="C6123" t="n">
        <v>2011</v>
      </c>
      <c r="D6123" t="n">
        <v>2011</v>
      </c>
      <c r="E6123" t="inlineStr">
        <is>
          <t>Source Code</t>
        </is>
      </c>
      <c r="F6123" t="inlineStr">
        <is>
          <t>F0285</t>
        </is>
      </c>
    </row>
    <row r="6124">
      <c r="A6124" t="inlineStr">
        <is>
          <t>Paula Jean Hixson</t>
        </is>
      </c>
      <c r="B6124" t="n">
        <v>1</v>
      </c>
      <c r="C6124" t="n">
        <v>2011</v>
      </c>
      <c r="D6124" t="n">
        <v>2011</v>
      </c>
      <c r="E6124" t="inlineStr">
        <is>
          <t>Source Code</t>
        </is>
      </c>
      <c r="F6124" t="inlineStr">
        <is>
          <t>F0285</t>
        </is>
      </c>
    </row>
    <row r="6125">
      <c r="A6125" t="inlineStr">
        <is>
          <t>Lincoln Ward</t>
        </is>
      </c>
      <c r="B6125" t="n">
        <v>1</v>
      </c>
      <c r="C6125" t="n">
        <v>2011</v>
      </c>
      <c r="D6125" t="n">
        <v>2011</v>
      </c>
      <c r="E6125" t="inlineStr">
        <is>
          <t>Source Code</t>
        </is>
      </c>
      <c r="F6125" t="inlineStr">
        <is>
          <t>F0285</t>
        </is>
      </c>
    </row>
    <row r="6126">
      <c r="A6126" t="inlineStr">
        <is>
          <t>Kyle Gatehouse</t>
        </is>
      </c>
      <c r="B6126" t="n">
        <v>1</v>
      </c>
      <c r="C6126" t="n">
        <v>2011</v>
      </c>
      <c r="D6126" t="n">
        <v>2011</v>
      </c>
      <c r="E6126" t="inlineStr">
        <is>
          <t>Source Code</t>
        </is>
      </c>
      <c r="F6126" t="inlineStr">
        <is>
          <t>F0285</t>
        </is>
      </c>
    </row>
    <row r="6127">
      <c r="A6127" t="inlineStr">
        <is>
          <t>Albert Kwan</t>
        </is>
      </c>
      <c r="B6127" t="n">
        <v>1</v>
      </c>
      <c r="C6127" t="n">
        <v>2011</v>
      </c>
      <c r="D6127" t="n">
        <v>2011</v>
      </c>
      <c r="E6127" t="inlineStr">
        <is>
          <t>Source Code</t>
        </is>
      </c>
      <c r="F6127" t="inlineStr">
        <is>
          <t>F0285</t>
        </is>
      </c>
    </row>
    <row r="6128">
      <c r="A6128" t="inlineStr">
        <is>
          <t>Anne Day-Jones</t>
        </is>
      </c>
      <c r="B6128" t="n">
        <v>1</v>
      </c>
      <c r="C6128" t="n">
        <v>2011</v>
      </c>
      <c r="D6128" t="n">
        <v>2011</v>
      </c>
      <c r="E6128" t="inlineStr">
        <is>
          <t>Source Code</t>
        </is>
      </c>
      <c r="F6128" t="inlineStr">
        <is>
          <t>F0285</t>
        </is>
      </c>
    </row>
    <row r="6129">
      <c r="A6129" t="inlineStr">
        <is>
          <t>Clarice Byrne</t>
        </is>
      </c>
      <c r="B6129" t="n">
        <v>1</v>
      </c>
      <c r="C6129" t="n">
        <v>2011</v>
      </c>
      <c r="D6129" t="n">
        <v>2011</v>
      </c>
      <c r="E6129" t="inlineStr">
        <is>
          <t>Source Code</t>
        </is>
      </c>
      <c r="F6129" t="inlineStr">
        <is>
          <t>F0285</t>
        </is>
      </c>
    </row>
    <row r="6130">
      <c r="A6130" t="inlineStr">
        <is>
          <t>Joe Cobden</t>
        </is>
      </c>
      <c r="B6130" t="n">
        <v>1</v>
      </c>
      <c r="C6130" t="n">
        <v>2011</v>
      </c>
      <c r="D6130" t="n">
        <v>2011</v>
      </c>
      <c r="E6130" t="inlineStr">
        <is>
          <t>Source Code</t>
        </is>
      </c>
      <c r="F6130" t="inlineStr">
        <is>
          <t>F0285</t>
        </is>
      </c>
    </row>
    <row r="6131">
      <c r="A6131" t="inlineStr">
        <is>
          <t>Tom Tammi</t>
        </is>
      </c>
      <c r="B6131" t="n">
        <v>1</v>
      </c>
      <c r="C6131" t="n">
        <v>2011</v>
      </c>
      <c r="D6131" t="n">
        <v>2011</v>
      </c>
      <c r="E6131" t="inlineStr">
        <is>
          <t>Source Code</t>
        </is>
      </c>
      <c r="F6131" t="inlineStr">
        <is>
          <t>F0285</t>
        </is>
      </c>
    </row>
    <row r="6132">
      <c r="A6132" t="inlineStr">
        <is>
          <t>Matt Holland</t>
        </is>
      </c>
      <c r="B6132" t="n">
        <v>1</v>
      </c>
      <c r="C6132" t="n">
        <v>2011</v>
      </c>
      <c r="D6132" t="n">
        <v>2011</v>
      </c>
      <c r="E6132" t="inlineStr">
        <is>
          <t>Source Code</t>
        </is>
      </c>
      <c r="F6132" t="inlineStr">
        <is>
          <t>F0285</t>
        </is>
      </c>
    </row>
    <row r="6133">
      <c r="A6133" t="inlineStr">
        <is>
          <t>Jasson Finney</t>
        </is>
      </c>
      <c r="B6133" t="n">
        <v>1</v>
      </c>
      <c r="C6133" t="n">
        <v>2011</v>
      </c>
      <c r="D6133" t="n">
        <v>2011</v>
      </c>
      <c r="E6133" t="inlineStr">
        <is>
          <t>Source Code</t>
        </is>
      </c>
      <c r="F6133" t="inlineStr">
        <is>
          <t>F0285</t>
        </is>
      </c>
    </row>
    <row r="6134">
      <c r="A6134" t="inlineStr">
        <is>
          <t>Kyle Allatt</t>
        </is>
      </c>
      <c r="B6134" t="n">
        <v>1</v>
      </c>
      <c r="C6134" t="n">
        <v>2011</v>
      </c>
      <c r="D6134" t="n">
        <v>2011</v>
      </c>
      <c r="E6134" t="inlineStr">
        <is>
          <t>Source Code</t>
        </is>
      </c>
      <c r="F6134" t="inlineStr">
        <is>
          <t>F0285</t>
        </is>
      </c>
    </row>
    <row r="6135">
      <c r="A6135" t="inlineStr">
        <is>
          <t>Frédérick de Grandpré</t>
        </is>
      </c>
      <c r="B6135" t="n">
        <v>1</v>
      </c>
      <c r="C6135" t="n">
        <v>2011</v>
      </c>
      <c r="D6135" t="n">
        <v>2011</v>
      </c>
      <c r="E6135" t="inlineStr">
        <is>
          <t>Source Code</t>
        </is>
      </c>
      <c r="F6135" t="inlineStr">
        <is>
          <t>F0285</t>
        </is>
      </c>
    </row>
    <row r="6136">
      <c r="A6136" t="inlineStr">
        <is>
          <t>Pierre Leblanc</t>
        </is>
      </c>
      <c r="B6136" t="n">
        <v>1</v>
      </c>
      <c r="C6136" t="n">
        <v>2011</v>
      </c>
      <c r="D6136" t="n">
        <v>2011</v>
      </c>
      <c r="E6136" t="inlineStr">
        <is>
          <t>Source Code</t>
        </is>
      </c>
      <c r="F6136" t="inlineStr">
        <is>
          <t>F0285</t>
        </is>
      </c>
    </row>
    <row r="6137">
      <c r="A6137" t="inlineStr">
        <is>
          <t>Raynald Lapierre</t>
        </is>
      </c>
      <c r="B6137" t="n">
        <v>1</v>
      </c>
      <c r="C6137" t="n">
        <v>2011</v>
      </c>
      <c r="D6137" t="n">
        <v>2011</v>
      </c>
      <c r="E6137" t="inlineStr">
        <is>
          <t>Source Code</t>
        </is>
      </c>
      <c r="F6137" t="inlineStr">
        <is>
          <t>F0285</t>
        </is>
      </c>
    </row>
    <row r="6138">
      <c r="A6138" t="inlineStr">
        <is>
          <t>Scott Bakula</t>
        </is>
      </c>
      <c r="B6138" t="n">
        <v>1</v>
      </c>
      <c r="C6138" t="n">
        <v>2011</v>
      </c>
      <c r="D6138" t="n">
        <v>2011</v>
      </c>
      <c r="E6138" t="inlineStr">
        <is>
          <t>Source Code</t>
        </is>
      </c>
      <c r="F6138" t="inlineStr">
        <is>
          <t>F0285</t>
        </is>
      </c>
    </row>
    <row r="6139">
      <c r="A6139" t="inlineStr">
        <is>
          <t>Skylan Brooks</t>
        </is>
      </c>
      <c r="B6139" t="n">
        <v>1</v>
      </c>
      <c r="C6139" t="n">
        <v>2015</v>
      </c>
      <c r="D6139" t="n">
        <v>2015</v>
      </c>
      <c r="E6139" t="inlineStr">
        <is>
          <t>Southpaw</t>
        </is>
      </c>
      <c r="F6139" t="inlineStr">
        <is>
          <t>F0286</t>
        </is>
      </c>
    </row>
    <row r="6140">
      <c r="A6140" t="inlineStr">
        <is>
          <t>Miguel Gómez</t>
        </is>
      </c>
      <c r="B6140" t="n">
        <v>1</v>
      </c>
      <c r="C6140" t="n">
        <v>2015</v>
      </c>
      <c r="D6140" t="n">
        <v>2015</v>
      </c>
      <c r="E6140" t="inlineStr">
        <is>
          <t>Southpaw</t>
        </is>
      </c>
      <c r="F6140" t="inlineStr">
        <is>
          <t>F0286</t>
        </is>
      </c>
    </row>
    <row r="6141">
      <c r="A6141" t="inlineStr">
        <is>
          <t>Dominic Colón</t>
        </is>
      </c>
      <c r="B6141" t="n">
        <v>1</v>
      </c>
      <c r="C6141" t="n">
        <v>2015</v>
      </c>
      <c r="D6141" t="n">
        <v>2015</v>
      </c>
      <c r="E6141" t="inlineStr">
        <is>
          <t>Southpaw</t>
        </is>
      </c>
      <c r="F6141" t="inlineStr">
        <is>
          <t>F0286</t>
        </is>
      </c>
    </row>
    <row r="6142">
      <c r="A6142" t="inlineStr">
        <is>
          <t>Jose Caraballo</t>
        </is>
      </c>
      <c r="B6142" t="n">
        <v>1</v>
      </c>
      <c r="C6142" t="n">
        <v>2015</v>
      </c>
      <c r="D6142" t="n">
        <v>2015</v>
      </c>
      <c r="E6142" t="inlineStr">
        <is>
          <t>Southpaw</t>
        </is>
      </c>
      <c r="F6142" t="inlineStr">
        <is>
          <t>F0286</t>
        </is>
      </c>
    </row>
    <row r="6143">
      <c r="A6143" t="inlineStr">
        <is>
          <t>Malcolm M. Mays</t>
        </is>
      </c>
      <c r="B6143" t="n">
        <v>1</v>
      </c>
      <c r="C6143" t="n">
        <v>2015</v>
      </c>
      <c r="D6143" t="n">
        <v>2015</v>
      </c>
      <c r="E6143" t="inlineStr">
        <is>
          <t>Southpaw</t>
        </is>
      </c>
      <c r="F6143" t="inlineStr">
        <is>
          <t>F0286</t>
        </is>
      </c>
    </row>
    <row r="6144">
      <c r="A6144" t="inlineStr">
        <is>
          <t>Aaron Quattrocchi</t>
        </is>
      </c>
      <c r="B6144" t="n">
        <v>1</v>
      </c>
      <c r="C6144" t="n">
        <v>2015</v>
      </c>
      <c r="D6144" t="n">
        <v>2015</v>
      </c>
      <c r="E6144" t="inlineStr">
        <is>
          <t>Southpaw</t>
        </is>
      </c>
      <c r="F6144" t="inlineStr">
        <is>
          <t>F0286</t>
        </is>
      </c>
    </row>
    <row r="6145">
      <c r="A6145" t="inlineStr">
        <is>
          <t>Lana Young</t>
        </is>
      </c>
      <c r="B6145" t="n">
        <v>1</v>
      </c>
      <c r="C6145" t="n">
        <v>2015</v>
      </c>
      <c r="D6145" t="n">
        <v>2015</v>
      </c>
      <c r="E6145" t="inlineStr">
        <is>
          <t>Southpaw</t>
        </is>
      </c>
      <c r="F6145" t="inlineStr">
        <is>
          <t>F0286</t>
        </is>
      </c>
    </row>
    <row r="6146">
      <c r="A6146" t="inlineStr">
        <is>
          <t>Danny Henriquez</t>
        </is>
      </c>
      <c r="B6146" t="n">
        <v>1</v>
      </c>
      <c r="C6146" t="n">
        <v>2015</v>
      </c>
      <c r="D6146" t="n">
        <v>2015</v>
      </c>
      <c r="E6146" t="inlineStr">
        <is>
          <t>Southpaw</t>
        </is>
      </c>
      <c r="F6146" t="inlineStr">
        <is>
          <t>F0286</t>
        </is>
      </c>
    </row>
    <row r="6147">
      <c r="A6147" t="inlineStr">
        <is>
          <t>Patsy Meck</t>
        </is>
      </c>
      <c r="B6147" t="n">
        <v>1</v>
      </c>
      <c r="C6147" t="n">
        <v>2015</v>
      </c>
      <c r="D6147" t="n">
        <v>2015</v>
      </c>
      <c r="E6147" t="inlineStr">
        <is>
          <t>Southpaw</t>
        </is>
      </c>
      <c r="F6147" t="inlineStr">
        <is>
          <t>F0286</t>
        </is>
      </c>
    </row>
    <row r="6148">
      <c r="A6148" t="inlineStr">
        <is>
          <t>Vito Grassi</t>
        </is>
      </c>
      <c r="B6148" t="n">
        <v>1</v>
      </c>
      <c r="C6148" t="n">
        <v>2015</v>
      </c>
      <c r="D6148" t="n">
        <v>2015</v>
      </c>
      <c r="E6148" t="inlineStr">
        <is>
          <t>Southpaw</t>
        </is>
      </c>
      <c r="F6148" t="inlineStr">
        <is>
          <t>F0286</t>
        </is>
      </c>
    </row>
    <row r="6149">
      <c r="A6149" t="inlineStr">
        <is>
          <t>Tony Weeks</t>
        </is>
      </c>
      <c r="B6149" t="n">
        <v>1</v>
      </c>
      <c r="C6149" t="n">
        <v>2015</v>
      </c>
      <c r="D6149" t="n">
        <v>2015</v>
      </c>
      <c r="E6149" t="inlineStr">
        <is>
          <t>Southpaw</t>
        </is>
      </c>
      <c r="F6149" t="inlineStr">
        <is>
          <t>F0286</t>
        </is>
      </c>
    </row>
    <row r="6150">
      <c r="A6150" t="inlineStr">
        <is>
          <t>Jimmy Lennon Jr.</t>
        </is>
      </c>
      <c r="B6150" t="n">
        <v>1</v>
      </c>
      <c r="C6150" t="n">
        <v>2015</v>
      </c>
      <c r="D6150" t="n">
        <v>2015</v>
      </c>
      <c r="E6150" t="inlineStr">
        <is>
          <t>Southpaw</t>
        </is>
      </c>
      <c r="F6150" t="inlineStr">
        <is>
          <t>F0286</t>
        </is>
      </c>
    </row>
    <row r="6151">
      <c r="A6151" t="inlineStr">
        <is>
          <t>Charles Hoyes</t>
        </is>
      </c>
      <c r="B6151" t="n">
        <v>1</v>
      </c>
      <c r="C6151" t="n">
        <v>2015</v>
      </c>
      <c r="D6151" t="n">
        <v>2015</v>
      </c>
      <c r="E6151" t="inlineStr">
        <is>
          <t>Southpaw</t>
        </is>
      </c>
      <c r="F6151" t="inlineStr">
        <is>
          <t>F0286</t>
        </is>
      </c>
    </row>
    <row r="6152">
      <c r="A6152" t="inlineStr">
        <is>
          <t>Clare Foley</t>
        </is>
      </c>
      <c r="B6152" t="n">
        <v>1</v>
      </c>
      <c r="C6152" t="n">
        <v>2015</v>
      </c>
      <c r="D6152" t="n">
        <v>2015</v>
      </c>
      <c r="E6152" t="inlineStr">
        <is>
          <t>Southpaw</t>
        </is>
      </c>
      <c r="F6152" t="inlineStr">
        <is>
          <t>F0286</t>
        </is>
      </c>
    </row>
    <row r="6153">
      <c r="A6153" t="inlineStr">
        <is>
          <t>Rita Ora</t>
        </is>
      </c>
      <c r="B6153" t="n">
        <v>1</v>
      </c>
      <c r="C6153" t="n">
        <v>2015</v>
      </c>
      <c r="D6153" t="n">
        <v>2015</v>
      </c>
      <c r="E6153" t="inlineStr">
        <is>
          <t>Southpaw</t>
        </is>
      </c>
      <c r="F6153" t="inlineStr">
        <is>
          <t>F0286</t>
        </is>
      </c>
    </row>
    <row r="6154">
      <c r="A6154" t="inlineStr">
        <is>
          <t>Jim Lampley</t>
        </is>
      </c>
      <c r="B6154" t="n">
        <v>1</v>
      </c>
      <c r="C6154" t="n">
        <v>2015</v>
      </c>
      <c r="D6154" t="n">
        <v>2015</v>
      </c>
      <c r="E6154" t="inlineStr">
        <is>
          <t>Southpaw</t>
        </is>
      </c>
      <c r="F6154" t="inlineStr">
        <is>
          <t>F0286</t>
        </is>
      </c>
    </row>
    <row r="6155">
      <c r="A6155" t="inlineStr">
        <is>
          <t>Adam Kroloff</t>
        </is>
      </c>
      <c r="B6155" t="n">
        <v>1</v>
      </c>
      <c r="C6155" t="n">
        <v>2015</v>
      </c>
      <c r="D6155" t="n">
        <v>2015</v>
      </c>
      <c r="E6155" t="inlineStr">
        <is>
          <t>Southpaw</t>
        </is>
      </c>
      <c r="F6155" t="inlineStr">
        <is>
          <t>F0286</t>
        </is>
      </c>
    </row>
    <row r="6156">
      <c r="A6156" t="inlineStr">
        <is>
          <t>Michelle Johnston</t>
        </is>
      </c>
      <c r="B6156" t="n">
        <v>1</v>
      </c>
      <c r="C6156" t="n">
        <v>2015</v>
      </c>
      <c r="D6156" t="n">
        <v>2015</v>
      </c>
      <c r="E6156" t="inlineStr">
        <is>
          <t>Southpaw</t>
        </is>
      </c>
      <c r="F6156" t="inlineStr">
        <is>
          <t>F0286</t>
        </is>
      </c>
    </row>
    <row r="6157">
      <c r="A6157" t="inlineStr">
        <is>
          <t>Jackson Nunn</t>
        </is>
      </c>
      <c r="B6157" t="n">
        <v>1</v>
      </c>
      <c r="C6157" t="n">
        <v>2015</v>
      </c>
      <c r="D6157" t="n">
        <v>2015</v>
      </c>
      <c r="E6157" t="inlineStr">
        <is>
          <t>Southpaw</t>
        </is>
      </c>
      <c r="F6157" t="inlineStr">
        <is>
          <t>F0286</t>
        </is>
      </c>
    </row>
    <row r="6158">
      <c r="A6158" t="inlineStr">
        <is>
          <t>Gerry Becker</t>
        </is>
      </c>
      <c r="B6158" t="n">
        <v>1</v>
      </c>
      <c r="C6158" t="n">
        <v>2002</v>
      </c>
      <c r="D6158" t="n">
        <v>2002</v>
      </c>
      <c r="E6158" t="inlineStr">
        <is>
          <t>Spider-Man</t>
        </is>
      </c>
      <c r="F6158" t="inlineStr">
        <is>
          <t>F0287</t>
        </is>
      </c>
    </row>
    <row r="6159">
      <c r="A6159" t="inlineStr">
        <is>
          <t>Bill Nunn</t>
        </is>
      </c>
      <c r="B6159" t="n">
        <v>3</v>
      </c>
      <c r="C6159" t="n">
        <v>2002</v>
      </c>
      <c r="D6159" t="n">
        <v>2007</v>
      </c>
      <c r="E6159" t="inlineStr">
        <is>
          <t>Spider-Man, Spider-Man 2, Spider-Man 3</t>
        </is>
      </c>
      <c r="F6159" t="inlineStr">
        <is>
          <t>F0287, F0288, F0289</t>
        </is>
      </c>
    </row>
    <row r="6160">
      <c r="A6160" t="inlineStr">
        <is>
          <t>Jack Betts</t>
        </is>
      </c>
      <c r="B6160" t="n">
        <v>1</v>
      </c>
      <c r="C6160" t="n">
        <v>2002</v>
      </c>
      <c r="D6160" t="n">
        <v>2002</v>
      </c>
      <c r="E6160" t="inlineStr">
        <is>
          <t>Spider-Man</t>
        </is>
      </c>
      <c r="F6160" t="inlineStr">
        <is>
          <t>F0287</t>
        </is>
      </c>
    </row>
    <row r="6161">
      <c r="A6161" t="inlineStr">
        <is>
          <t>Stanley Anderson</t>
        </is>
      </c>
      <c r="B6161" t="n">
        <v>1</v>
      </c>
      <c r="C6161" t="n">
        <v>2002</v>
      </c>
      <c r="D6161" t="n">
        <v>2002</v>
      </c>
      <c r="E6161" t="inlineStr">
        <is>
          <t>Spider-Man</t>
        </is>
      </c>
      <c r="F6161" t="inlineStr">
        <is>
          <t>F0287</t>
        </is>
      </c>
    </row>
    <row r="6162">
      <c r="A6162" t="inlineStr">
        <is>
          <t>K.K. Dodds</t>
        </is>
      </c>
      <c r="B6162" t="n">
        <v>1</v>
      </c>
      <c r="C6162" t="n">
        <v>2002</v>
      </c>
      <c r="D6162" t="n">
        <v>2002</v>
      </c>
      <c r="E6162" t="inlineStr">
        <is>
          <t>Spider-Man</t>
        </is>
      </c>
      <c r="F6162" t="inlineStr">
        <is>
          <t>F0287</t>
        </is>
      </c>
    </row>
    <row r="6163">
      <c r="A6163" t="inlineStr">
        <is>
          <t>Ted Raimi</t>
        </is>
      </c>
      <c r="B6163" t="n">
        <v>3</v>
      </c>
      <c r="C6163" t="n">
        <v>2002</v>
      </c>
      <c r="D6163" t="n">
        <v>2007</v>
      </c>
      <c r="E6163" t="inlineStr">
        <is>
          <t>Spider-Man, Spider-Man 2, Spider-Man 3</t>
        </is>
      </c>
      <c r="F6163" t="inlineStr">
        <is>
          <t>F0287, F0288, F0289</t>
        </is>
      </c>
    </row>
    <row r="6164">
      <c r="A6164" t="inlineStr">
        <is>
          <t>Bruce Campbell</t>
        </is>
      </c>
      <c r="B6164" t="n">
        <v>3</v>
      </c>
      <c r="C6164" t="n">
        <v>2002</v>
      </c>
      <c r="D6164" t="n">
        <v>2007</v>
      </c>
      <c r="E6164" t="inlineStr">
        <is>
          <t>Spider-Man, Spider-Man 2, Spider-Man 3</t>
        </is>
      </c>
      <c r="F6164" t="inlineStr">
        <is>
          <t>F0287, F0288, F0289</t>
        </is>
      </c>
    </row>
    <row r="6165">
      <c r="A6165" t="inlineStr">
        <is>
          <t>John Paxton</t>
        </is>
      </c>
      <c r="B6165" t="n">
        <v>2</v>
      </c>
      <c r="C6165" t="n">
        <v>2002</v>
      </c>
      <c r="D6165" t="n">
        <v>2007</v>
      </c>
      <c r="E6165" t="inlineStr">
        <is>
          <t>Spider-Man, Spider-Man 3</t>
        </is>
      </c>
      <c r="F6165" t="inlineStr">
        <is>
          <t>F0287, F0289</t>
        </is>
      </c>
    </row>
    <row r="6166">
      <c r="A6166" t="inlineStr">
        <is>
          <t>Taylor Gilbert</t>
        </is>
      </c>
      <c r="B6166" t="n">
        <v>1</v>
      </c>
      <c r="C6166" t="n">
        <v>2002</v>
      </c>
      <c r="D6166" t="n">
        <v>2002</v>
      </c>
      <c r="E6166" t="inlineStr">
        <is>
          <t>Spider-Man</t>
        </is>
      </c>
      <c r="F6166" t="inlineStr">
        <is>
          <t>F0287</t>
        </is>
      </c>
    </row>
    <row r="6167">
      <c r="A6167" t="inlineStr">
        <is>
          <t>Randy Poffo</t>
        </is>
      </c>
      <c r="B6167" t="n">
        <v>1</v>
      </c>
      <c r="C6167" t="n">
        <v>2002</v>
      </c>
      <c r="D6167" t="n">
        <v>2002</v>
      </c>
      <c r="E6167" t="inlineStr">
        <is>
          <t>Spider-Man</t>
        </is>
      </c>
      <c r="F6167" t="inlineStr">
        <is>
          <t>F0287</t>
        </is>
      </c>
    </row>
    <row r="6168">
      <c r="A6168" t="inlineStr">
        <is>
          <t>Larry Joshua</t>
        </is>
      </c>
      <c r="B6168" t="n">
        <v>1</v>
      </c>
      <c r="C6168" t="n">
        <v>2002</v>
      </c>
      <c r="D6168" t="n">
        <v>2002</v>
      </c>
      <c r="E6168" t="inlineStr">
        <is>
          <t>Spider-Man</t>
        </is>
      </c>
      <c r="F6168" t="inlineStr">
        <is>
          <t>F0287</t>
        </is>
      </c>
    </row>
    <row r="6169">
      <c r="A6169" t="inlineStr">
        <is>
          <t>Timothy Patrick Quill</t>
        </is>
      </c>
      <c r="B6169" t="n">
        <v>1</v>
      </c>
      <c r="C6169" t="n">
        <v>2002</v>
      </c>
      <c r="D6169" t="n">
        <v>2002</v>
      </c>
      <c r="E6169" t="inlineStr">
        <is>
          <t>Spider-Man</t>
        </is>
      </c>
      <c r="F6169" t="inlineStr">
        <is>
          <t>F0287</t>
        </is>
      </c>
    </row>
    <row r="6170">
      <c r="A6170" t="inlineStr">
        <is>
          <t>Lisa Danielle</t>
        </is>
      </c>
      <c r="B6170" t="n">
        <v>1</v>
      </c>
      <c r="C6170" t="n">
        <v>2002</v>
      </c>
      <c r="D6170" t="n">
        <v>2002</v>
      </c>
      <c r="E6170" t="inlineStr">
        <is>
          <t>Spider-Man</t>
        </is>
      </c>
      <c r="F6170" t="inlineStr">
        <is>
          <t>F0287</t>
        </is>
      </c>
    </row>
    <row r="6171">
      <c r="A6171" t="inlineStr">
        <is>
          <t>Natalie T. Yeo</t>
        </is>
      </c>
      <c r="B6171" t="n">
        <v>1</v>
      </c>
      <c r="C6171" t="n">
        <v>2002</v>
      </c>
      <c r="D6171" t="n">
        <v>2002</v>
      </c>
      <c r="E6171" t="inlineStr">
        <is>
          <t>Spider-Man</t>
        </is>
      </c>
      <c r="F6171" t="inlineStr">
        <is>
          <t>F0287</t>
        </is>
      </c>
    </row>
    <row r="6172">
      <c r="A6172" t="inlineStr">
        <is>
          <t>Erica D. Porter</t>
        </is>
      </c>
      <c r="B6172" t="n">
        <v>1</v>
      </c>
      <c r="C6172" t="n">
        <v>2002</v>
      </c>
      <c r="D6172" t="n">
        <v>2002</v>
      </c>
      <c r="E6172" t="inlineStr">
        <is>
          <t>Spider-Man</t>
        </is>
      </c>
      <c r="F6172" t="inlineStr">
        <is>
          <t>F0287</t>
        </is>
      </c>
    </row>
    <row r="6173">
      <c r="A6173" t="inlineStr">
        <is>
          <t>Kristen Davidson</t>
        </is>
      </c>
      <c r="B6173" t="n">
        <v>1</v>
      </c>
      <c r="C6173" t="n">
        <v>2002</v>
      </c>
      <c r="D6173" t="n">
        <v>2002</v>
      </c>
      <c r="E6173" t="inlineStr">
        <is>
          <t>Spider-Man</t>
        </is>
      </c>
      <c r="F6173" t="inlineStr">
        <is>
          <t>F0287</t>
        </is>
      </c>
    </row>
    <row r="6174">
      <c r="A6174" t="inlineStr">
        <is>
          <t>Jason Padgett</t>
        </is>
      </c>
      <c r="B6174" t="n">
        <v>1</v>
      </c>
      <c r="C6174" t="n">
        <v>2002</v>
      </c>
      <c r="D6174" t="n">
        <v>2002</v>
      </c>
      <c r="E6174" t="inlineStr">
        <is>
          <t>Spider-Man</t>
        </is>
      </c>
      <c r="F6174" t="inlineStr">
        <is>
          <t>F0287</t>
        </is>
      </c>
    </row>
    <row r="6175">
      <c r="A6175" t="inlineStr">
        <is>
          <t>Shan Omar Huey</t>
        </is>
      </c>
      <c r="B6175" t="n">
        <v>1</v>
      </c>
      <c r="C6175" t="n">
        <v>2002</v>
      </c>
      <c r="D6175" t="n">
        <v>2002</v>
      </c>
      <c r="E6175" t="inlineStr">
        <is>
          <t>Spider-Man</t>
        </is>
      </c>
      <c r="F6175" t="inlineStr">
        <is>
          <t>F0287</t>
        </is>
      </c>
    </row>
    <row r="6176">
      <c r="A6176" t="inlineStr">
        <is>
          <t>Daniel Gillies</t>
        </is>
      </c>
      <c r="B6176" t="n">
        <v>1</v>
      </c>
      <c r="C6176" t="n">
        <v>2004</v>
      </c>
      <c r="D6176" t="n">
        <v>2004</v>
      </c>
      <c r="E6176" t="inlineStr">
        <is>
          <t>Spider-Man 2</t>
        </is>
      </c>
      <c r="F6176" t="inlineStr">
        <is>
          <t>F0288</t>
        </is>
      </c>
    </row>
    <row r="6177">
      <c r="A6177" t="inlineStr">
        <is>
          <t>Dylan Baker</t>
        </is>
      </c>
      <c r="B6177" t="n">
        <v>2</v>
      </c>
      <c r="C6177" t="n">
        <v>2004</v>
      </c>
      <c r="D6177" t="n">
        <v>2007</v>
      </c>
      <c r="E6177" t="inlineStr">
        <is>
          <t>Spider-Man 2, Spider-Man 3</t>
        </is>
      </c>
      <c r="F6177" t="inlineStr">
        <is>
          <t>F0288, F0289</t>
        </is>
      </c>
    </row>
    <row r="6178">
      <c r="A6178" t="inlineStr">
        <is>
          <t>Vanessa Ferlito</t>
        </is>
      </c>
      <c r="B6178" t="n">
        <v>1</v>
      </c>
      <c r="C6178" t="n">
        <v>2004</v>
      </c>
      <c r="D6178" t="n">
        <v>2004</v>
      </c>
      <c r="E6178" t="inlineStr">
        <is>
          <t>Spider-Man 2</t>
        </is>
      </c>
      <c r="F6178" t="inlineStr">
        <is>
          <t>F0288</t>
        </is>
      </c>
    </row>
    <row r="6179">
      <c r="A6179" t="inlineStr">
        <is>
          <t>Gregg Edelman</t>
        </is>
      </c>
      <c r="B6179" t="n">
        <v>1</v>
      </c>
      <c r="C6179" t="n">
        <v>2004</v>
      </c>
      <c r="D6179" t="n">
        <v>2004</v>
      </c>
      <c r="E6179" t="inlineStr">
        <is>
          <t>Spider-Man 2</t>
        </is>
      </c>
      <c r="F6179" t="inlineStr">
        <is>
          <t>F0288</t>
        </is>
      </c>
    </row>
    <row r="6180">
      <c r="A6180" t="inlineStr">
        <is>
          <t>Mageina Tovah</t>
        </is>
      </c>
      <c r="B6180" t="n">
        <v>2</v>
      </c>
      <c r="C6180" t="n">
        <v>2004</v>
      </c>
      <c r="D6180" t="n">
        <v>2007</v>
      </c>
      <c r="E6180" t="inlineStr">
        <is>
          <t>Spider-Man 2, Spider-Man 3</t>
        </is>
      </c>
      <c r="F6180" t="inlineStr">
        <is>
          <t>F0288, F0289</t>
        </is>
      </c>
    </row>
    <row r="6181">
      <c r="A6181" t="inlineStr">
        <is>
          <t>Daniel Dae Kim</t>
        </is>
      </c>
      <c r="B6181" t="n">
        <v>1</v>
      </c>
      <c r="C6181" t="n">
        <v>2004</v>
      </c>
      <c r="D6181" t="n">
        <v>2004</v>
      </c>
      <c r="E6181" t="inlineStr">
        <is>
          <t>Spider-Man 2</t>
        </is>
      </c>
      <c r="F6181" t="inlineStr">
        <is>
          <t>F0288</t>
        </is>
      </c>
    </row>
    <row r="6182">
      <c r="A6182" t="inlineStr">
        <is>
          <t>Hal Sparks</t>
        </is>
      </c>
      <c r="B6182" t="n">
        <v>1</v>
      </c>
      <c r="C6182" t="n">
        <v>2004</v>
      </c>
      <c r="D6182" t="n">
        <v>2004</v>
      </c>
      <c r="E6182" t="inlineStr">
        <is>
          <t>Spider-Man 2</t>
        </is>
      </c>
      <c r="F6182" t="inlineStr">
        <is>
          <t>F0288</t>
        </is>
      </c>
    </row>
    <row r="6183">
      <c r="A6183" t="inlineStr">
        <is>
          <t>Kelly Connell</t>
        </is>
      </c>
      <c r="B6183" t="n">
        <v>1</v>
      </c>
      <c r="C6183" t="n">
        <v>2004</v>
      </c>
      <c r="D6183" t="n">
        <v>2004</v>
      </c>
      <c r="E6183" t="inlineStr">
        <is>
          <t>Spider-Man 2</t>
        </is>
      </c>
      <c r="F6183" t="inlineStr">
        <is>
          <t>F0288</t>
        </is>
      </c>
    </row>
    <row r="6184">
      <c r="A6184" t="inlineStr">
        <is>
          <t>Emily Deschanel</t>
        </is>
      </c>
      <c r="B6184" t="n">
        <v>1</v>
      </c>
      <c r="C6184" t="n">
        <v>2004</v>
      </c>
      <c r="D6184" t="n">
        <v>2004</v>
      </c>
      <c r="E6184" t="inlineStr">
        <is>
          <t>Spider-Man 2</t>
        </is>
      </c>
      <c r="F6184" t="inlineStr">
        <is>
          <t>F0288</t>
        </is>
      </c>
    </row>
    <row r="6185">
      <c r="A6185" t="inlineStr">
        <is>
          <t>Jason Fiore-Ortiz</t>
        </is>
      </c>
      <c r="B6185" t="n">
        <v>1</v>
      </c>
      <c r="C6185" t="n">
        <v>2004</v>
      </c>
      <c r="D6185" t="n">
        <v>2004</v>
      </c>
      <c r="E6185" t="inlineStr">
        <is>
          <t>Spider-Man 2</t>
        </is>
      </c>
      <c r="F6185" t="inlineStr">
        <is>
          <t>F0288</t>
        </is>
      </c>
    </row>
    <row r="6186">
      <c r="A6186" t="inlineStr">
        <is>
          <t>Scott Spiegel</t>
        </is>
      </c>
      <c r="B6186" t="n">
        <v>1</v>
      </c>
      <c r="C6186" t="n">
        <v>2004</v>
      </c>
      <c r="D6186" t="n">
        <v>2004</v>
      </c>
      <c r="E6186" t="inlineStr">
        <is>
          <t>Spider-Man 2</t>
        </is>
      </c>
      <c r="F6186" t="inlineStr">
        <is>
          <t>F0288</t>
        </is>
      </c>
    </row>
    <row r="6187">
      <c r="A6187" t="inlineStr">
        <is>
          <t>Andy Bale</t>
        </is>
      </c>
      <c r="B6187" t="n">
        <v>1</v>
      </c>
      <c r="C6187" t="n">
        <v>2004</v>
      </c>
      <c r="D6187" t="n">
        <v>2004</v>
      </c>
      <c r="E6187" t="inlineStr">
        <is>
          <t>Spider-Man 2</t>
        </is>
      </c>
      <c r="F6187" t="inlineStr">
        <is>
          <t>F0288</t>
        </is>
      </c>
    </row>
    <row r="6188">
      <c r="A6188" t="inlineStr">
        <is>
          <t>Theresa Russell</t>
        </is>
      </c>
      <c r="B6188" t="n">
        <v>1</v>
      </c>
      <c r="C6188" t="n">
        <v>2007</v>
      </c>
      <c r="D6188" t="n">
        <v>2007</v>
      </c>
      <c r="E6188" t="inlineStr">
        <is>
          <t>Spider-Man 3</t>
        </is>
      </c>
      <c r="F6188" t="inlineStr">
        <is>
          <t>F0289</t>
        </is>
      </c>
    </row>
    <row r="6189">
      <c r="A6189" t="inlineStr">
        <is>
          <t>Perla Haney-Jardine</t>
        </is>
      </c>
      <c r="B6189" t="n">
        <v>1</v>
      </c>
      <c r="C6189" t="n">
        <v>2007</v>
      </c>
      <c r="D6189" t="n">
        <v>2007</v>
      </c>
      <c r="E6189" t="inlineStr">
        <is>
          <t>Spider-Man 3</t>
        </is>
      </c>
      <c r="F6189" t="inlineStr">
        <is>
          <t>F0289</t>
        </is>
      </c>
    </row>
    <row r="6190">
      <c r="A6190" t="inlineStr">
        <is>
          <t>Hal Fishman</t>
        </is>
      </c>
      <c r="B6190" t="n">
        <v>1</v>
      </c>
      <c r="C6190" t="n">
        <v>2007</v>
      </c>
      <c r="D6190" t="n">
        <v>2007</v>
      </c>
      <c r="E6190" t="inlineStr">
        <is>
          <t>Spider-Man 3</t>
        </is>
      </c>
      <c r="F6190" t="inlineStr">
        <is>
          <t>F0289</t>
        </is>
      </c>
    </row>
    <row r="6191">
      <c r="A6191" t="inlineStr">
        <is>
          <t>Lucy Gordon</t>
        </is>
      </c>
      <c r="B6191" t="n">
        <v>1</v>
      </c>
      <c r="C6191" t="n">
        <v>2007</v>
      </c>
      <c r="D6191" t="n">
        <v>2007</v>
      </c>
      <c r="E6191" t="inlineStr">
        <is>
          <t>Spider-Man 3</t>
        </is>
      </c>
      <c r="F6191" t="inlineStr">
        <is>
          <t>F0289</t>
        </is>
      </c>
    </row>
    <row r="6192">
      <c r="A6192" t="inlineStr">
        <is>
          <t>Steve Valentine</t>
        </is>
      </c>
      <c r="B6192" t="n">
        <v>1</v>
      </c>
      <c r="C6192" t="n">
        <v>2007</v>
      </c>
      <c r="D6192" t="n">
        <v>2007</v>
      </c>
      <c r="E6192" t="inlineStr">
        <is>
          <t>Spider-Man 3</t>
        </is>
      </c>
      <c r="F6192" t="inlineStr">
        <is>
          <t>F0289</t>
        </is>
      </c>
    </row>
    <row r="6193">
      <c r="A6193" t="inlineStr">
        <is>
          <t>Tim Maculan</t>
        </is>
      </c>
      <c r="B6193" t="n">
        <v>1</v>
      </c>
      <c r="C6193" t="n">
        <v>2007</v>
      </c>
      <c r="D6193" t="n">
        <v>2007</v>
      </c>
      <c r="E6193" t="inlineStr">
        <is>
          <t>Spider-Man 3</t>
        </is>
      </c>
      <c r="F6193" t="inlineStr">
        <is>
          <t>F0289</t>
        </is>
      </c>
    </row>
    <row r="6194">
      <c r="A6194" t="inlineStr">
        <is>
          <t>Marc Vann</t>
        </is>
      </c>
      <c r="B6194" t="n">
        <v>1</v>
      </c>
      <c r="C6194" t="n">
        <v>2007</v>
      </c>
      <c r="D6194" t="n">
        <v>2007</v>
      </c>
      <c r="E6194" t="inlineStr">
        <is>
          <t>Spider-Man 3</t>
        </is>
      </c>
      <c r="F6194" t="inlineStr">
        <is>
          <t>F0289</t>
        </is>
      </c>
    </row>
    <row r="6195">
      <c r="A6195" t="inlineStr">
        <is>
          <t>Sam Richardson</t>
        </is>
      </c>
      <c r="B6195" t="n">
        <v>1</v>
      </c>
      <c r="C6195" t="n">
        <v>2015</v>
      </c>
      <c r="D6195" t="n">
        <v>2015</v>
      </c>
      <c r="E6195" t="inlineStr">
        <is>
          <t>Spy</t>
        </is>
      </c>
      <c r="F6195" t="inlineStr">
        <is>
          <t>F0290</t>
        </is>
      </c>
    </row>
    <row r="6196">
      <c r="A6196" t="inlineStr">
        <is>
          <t>Katie Dippold</t>
        </is>
      </c>
      <c r="B6196" t="n">
        <v>1</v>
      </c>
      <c r="C6196" t="n">
        <v>2015</v>
      </c>
      <c r="D6196" t="n">
        <v>2015</v>
      </c>
      <c r="E6196" t="inlineStr">
        <is>
          <t>Spy</t>
        </is>
      </c>
      <c r="F6196" t="inlineStr">
        <is>
          <t>F0290</t>
        </is>
      </c>
    </row>
    <row r="6197">
      <c r="A6197" t="inlineStr">
        <is>
          <t>Jaime Pacheco</t>
        </is>
      </c>
      <c r="B6197" t="n">
        <v>1</v>
      </c>
      <c r="C6197" t="n">
        <v>2015</v>
      </c>
      <c r="D6197" t="n">
        <v>2015</v>
      </c>
      <c r="E6197" t="inlineStr">
        <is>
          <t>Spy</t>
        </is>
      </c>
      <c r="F6197" t="inlineStr">
        <is>
          <t>F0290</t>
        </is>
      </c>
    </row>
    <row r="6198">
      <c r="A6198" t="inlineStr">
        <is>
          <t>Romain Apelbaum</t>
        </is>
      </c>
      <c r="B6198" t="n">
        <v>1</v>
      </c>
      <c r="C6198" t="n">
        <v>2015</v>
      </c>
      <c r="D6198" t="n">
        <v>2015</v>
      </c>
      <c r="E6198" t="inlineStr">
        <is>
          <t>Spy</t>
        </is>
      </c>
      <c r="F6198" t="inlineStr">
        <is>
          <t>F0290</t>
        </is>
      </c>
    </row>
    <row r="6199">
      <c r="A6199" t="inlineStr">
        <is>
          <t>Will Yun Lee</t>
        </is>
      </c>
      <c r="B6199" t="n">
        <v>2</v>
      </c>
      <c r="C6199" t="n">
        <v>2013</v>
      </c>
      <c r="D6199" t="n">
        <v>2015</v>
      </c>
      <c r="E6199" t="inlineStr">
        <is>
          <t>Spy, The Wolverine</t>
        </is>
      </c>
      <c r="F6199" t="inlineStr">
        <is>
          <t>F0290, F0347</t>
        </is>
      </c>
    </row>
    <row r="6200">
      <c r="A6200" t="inlineStr">
        <is>
          <t>Lukács Bicskey</t>
        </is>
      </c>
      <c r="B6200" t="n">
        <v>1</v>
      </c>
      <c r="C6200" t="n">
        <v>2015</v>
      </c>
      <c r="D6200" t="n">
        <v>2015</v>
      </c>
      <c r="E6200" t="inlineStr">
        <is>
          <t>Spy</t>
        </is>
      </c>
      <c r="F6200" t="inlineStr">
        <is>
          <t>F0290</t>
        </is>
      </c>
    </row>
    <row r="6201">
      <c r="A6201" t="inlineStr">
        <is>
          <t>Attila Bardóczy</t>
        </is>
      </c>
      <c r="B6201" t="n">
        <v>1</v>
      </c>
      <c r="C6201" t="n">
        <v>2015</v>
      </c>
      <c r="D6201" t="n">
        <v>2015</v>
      </c>
      <c r="E6201" t="inlineStr">
        <is>
          <t>Spy</t>
        </is>
      </c>
      <c r="F6201" t="inlineStr">
        <is>
          <t>F0290</t>
        </is>
      </c>
    </row>
    <row r="6202">
      <c r="A6202" t="inlineStr">
        <is>
          <t>Julian Miller</t>
        </is>
      </c>
      <c r="B6202" t="n">
        <v>1</v>
      </c>
      <c r="C6202" t="n">
        <v>2015</v>
      </c>
      <c r="D6202" t="n">
        <v>2015</v>
      </c>
      <c r="E6202" t="inlineStr">
        <is>
          <t>Spy</t>
        </is>
      </c>
      <c r="F6202" t="inlineStr">
        <is>
          <t>F0290</t>
        </is>
      </c>
    </row>
    <row r="6203">
      <c r="A6203" t="inlineStr">
        <is>
          <t>Ed Kear</t>
        </is>
      </c>
      <c r="B6203" t="n">
        <v>1</v>
      </c>
      <c r="C6203" t="n">
        <v>2015</v>
      </c>
      <c r="D6203" t="n">
        <v>2015</v>
      </c>
      <c r="E6203" t="inlineStr">
        <is>
          <t>Spy</t>
        </is>
      </c>
      <c r="F6203" t="inlineStr">
        <is>
          <t>F0290</t>
        </is>
      </c>
    </row>
    <row r="6204">
      <c r="A6204" t="inlineStr">
        <is>
          <t>Nargis Fakhri</t>
        </is>
      </c>
      <c r="B6204" t="n">
        <v>1</v>
      </c>
      <c r="C6204" t="n">
        <v>2015</v>
      </c>
      <c r="D6204" t="n">
        <v>2015</v>
      </c>
      <c r="E6204" t="inlineStr">
        <is>
          <t>Spy</t>
        </is>
      </c>
      <c r="F6204" t="inlineStr">
        <is>
          <t>F0290</t>
        </is>
      </c>
    </row>
    <row r="6205">
      <c r="A6205" t="inlineStr">
        <is>
          <t>Andrii Danylko</t>
        </is>
      </c>
      <c r="B6205" t="n">
        <v>1</v>
      </c>
      <c r="C6205" t="n">
        <v>2015</v>
      </c>
      <c r="D6205" t="n">
        <v>2015</v>
      </c>
      <c r="E6205" t="inlineStr">
        <is>
          <t>Spy</t>
        </is>
      </c>
      <c r="F6205" t="inlineStr">
        <is>
          <t>F0290</t>
        </is>
      </c>
    </row>
    <row r="6206">
      <c r="A6206" t="inlineStr">
        <is>
          <t>Attila Árpa</t>
        </is>
      </c>
      <c r="B6206" t="n">
        <v>1</v>
      </c>
      <c r="C6206" t="n">
        <v>2015</v>
      </c>
      <c r="D6206" t="n">
        <v>2015</v>
      </c>
      <c r="E6206" t="inlineStr">
        <is>
          <t>Spy</t>
        </is>
      </c>
      <c r="F6206" t="inlineStr">
        <is>
          <t>F0290</t>
        </is>
      </c>
    </row>
    <row r="6207">
      <c r="A6207" t="inlineStr">
        <is>
          <t>Bálint Adorjáni</t>
        </is>
      </c>
      <c r="B6207" t="n">
        <v>1</v>
      </c>
      <c r="C6207" t="n">
        <v>2015</v>
      </c>
      <c r="D6207" t="n">
        <v>2015</v>
      </c>
      <c r="E6207" t="inlineStr">
        <is>
          <t>Spy</t>
        </is>
      </c>
      <c r="F6207" t="inlineStr">
        <is>
          <t>F0290</t>
        </is>
      </c>
    </row>
    <row r="6208">
      <c r="A6208" t="inlineStr">
        <is>
          <t>Jamie Denbo</t>
        </is>
      </c>
      <c r="B6208" t="n">
        <v>1</v>
      </c>
      <c r="C6208" t="n">
        <v>2015</v>
      </c>
      <c r="D6208" t="n">
        <v>2015</v>
      </c>
      <c r="E6208" t="inlineStr">
        <is>
          <t>Spy</t>
        </is>
      </c>
      <c r="F6208" t="inlineStr">
        <is>
          <t>F0290</t>
        </is>
      </c>
    </row>
    <row r="6209">
      <c r="A6209" t="inlineStr">
        <is>
          <t>John Cho</t>
        </is>
      </c>
      <c r="B6209" t="n">
        <v>1</v>
      </c>
      <c r="C6209" t="n">
        <v>2009</v>
      </c>
      <c r="D6209" t="n">
        <v>2009</v>
      </c>
      <c r="E6209" t="inlineStr">
        <is>
          <t>Star Trek</t>
        </is>
      </c>
      <c r="F6209" t="inlineStr">
        <is>
          <t>F0291</t>
        </is>
      </c>
    </row>
    <row r="6210">
      <c r="A6210" t="inlineStr">
        <is>
          <t>Ben Cross</t>
        </is>
      </c>
      <c r="B6210" t="n">
        <v>1</v>
      </c>
      <c r="C6210" t="n">
        <v>2009</v>
      </c>
      <c r="D6210" t="n">
        <v>2009</v>
      </c>
      <c r="E6210" t="inlineStr">
        <is>
          <t>Star Trek</t>
        </is>
      </c>
      <c r="F6210" t="inlineStr">
        <is>
          <t>F0291</t>
        </is>
      </c>
    </row>
    <row r="6211">
      <c r="A6211" t="inlineStr">
        <is>
          <t>Tony Elias</t>
        </is>
      </c>
      <c r="B6211" t="n">
        <v>1</v>
      </c>
      <c r="C6211" t="n">
        <v>2009</v>
      </c>
      <c r="D6211" t="n">
        <v>2009</v>
      </c>
      <c r="E6211" t="inlineStr">
        <is>
          <t>Star Trek</t>
        </is>
      </c>
      <c r="F6211" t="inlineStr">
        <is>
          <t>F0291</t>
        </is>
      </c>
    </row>
    <row r="6212">
      <c r="A6212" t="inlineStr">
        <is>
          <t>Sean Gerace</t>
        </is>
      </c>
      <c r="B6212" t="n">
        <v>1</v>
      </c>
      <c r="C6212" t="n">
        <v>2009</v>
      </c>
      <c r="D6212" t="n">
        <v>2009</v>
      </c>
      <c r="E6212" t="inlineStr">
        <is>
          <t>Star Trek</t>
        </is>
      </c>
      <c r="F6212" t="inlineStr">
        <is>
          <t>F0291</t>
        </is>
      </c>
    </row>
    <row r="6213">
      <c r="A6213" t="inlineStr">
        <is>
          <t>Randy Pausch</t>
        </is>
      </c>
      <c r="B6213" t="n">
        <v>1</v>
      </c>
      <c r="C6213" t="n">
        <v>2009</v>
      </c>
      <c r="D6213" t="n">
        <v>2009</v>
      </c>
      <c r="E6213" t="inlineStr">
        <is>
          <t>Star Trek</t>
        </is>
      </c>
      <c r="F6213" t="inlineStr">
        <is>
          <t>F0291</t>
        </is>
      </c>
    </row>
    <row r="6214">
      <c r="A6214" t="inlineStr">
        <is>
          <t>Freda Foh Shen</t>
        </is>
      </c>
      <c r="B6214" t="n">
        <v>1</v>
      </c>
      <c r="C6214" t="n">
        <v>2009</v>
      </c>
      <c r="D6214" t="n">
        <v>2009</v>
      </c>
      <c r="E6214" t="inlineStr">
        <is>
          <t>Star Trek</t>
        </is>
      </c>
      <c r="F6214" t="inlineStr">
        <is>
          <t>F0291</t>
        </is>
      </c>
    </row>
    <row r="6215">
      <c r="A6215" t="inlineStr">
        <is>
          <t>Kasia Kowalczyk</t>
        </is>
      </c>
      <c r="B6215" t="n">
        <v>1</v>
      </c>
      <c r="C6215" t="n">
        <v>2009</v>
      </c>
      <c r="D6215" t="n">
        <v>2009</v>
      </c>
      <c r="E6215" t="inlineStr">
        <is>
          <t>Star Trek</t>
        </is>
      </c>
      <c r="F6215" t="inlineStr">
        <is>
          <t>F0291</t>
        </is>
      </c>
    </row>
    <row r="6216">
      <c r="A6216" t="inlineStr">
        <is>
          <t>Jason Brooks</t>
        </is>
      </c>
      <c r="B6216" t="n">
        <v>1</v>
      </c>
      <c r="C6216" t="n">
        <v>2009</v>
      </c>
      <c r="D6216" t="n">
        <v>2009</v>
      </c>
      <c r="E6216" t="inlineStr">
        <is>
          <t>Star Trek</t>
        </is>
      </c>
      <c r="F6216" t="inlineStr">
        <is>
          <t>F0291</t>
        </is>
      </c>
    </row>
    <row r="6217">
      <c r="A6217" t="inlineStr">
        <is>
          <t>Kelvin Yu</t>
        </is>
      </c>
      <c r="B6217" t="n">
        <v>1</v>
      </c>
      <c r="C6217" t="n">
        <v>2009</v>
      </c>
      <c r="D6217" t="n">
        <v>2009</v>
      </c>
      <c r="E6217" t="inlineStr">
        <is>
          <t>Star Trek</t>
        </is>
      </c>
      <c r="F6217" t="inlineStr">
        <is>
          <t>F0291</t>
        </is>
      </c>
    </row>
    <row r="6218">
      <c r="A6218" t="inlineStr">
        <is>
          <t>Marta Martin</t>
        </is>
      </c>
      <c r="B6218" t="n">
        <v>1</v>
      </c>
      <c r="C6218" t="n">
        <v>2009</v>
      </c>
      <c r="D6218" t="n">
        <v>2009</v>
      </c>
      <c r="E6218" t="inlineStr">
        <is>
          <t>Star Trek</t>
        </is>
      </c>
      <c r="F6218" t="inlineStr">
        <is>
          <t>F0291</t>
        </is>
      </c>
    </row>
    <row r="6219">
      <c r="A6219" t="inlineStr">
        <is>
          <t>Tavarus Conley</t>
        </is>
      </c>
      <c r="B6219" t="n">
        <v>1</v>
      </c>
      <c r="C6219" t="n">
        <v>2009</v>
      </c>
      <c r="D6219" t="n">
        <v>2009</v>
      </c>
      <c r="E6219" t="inlineStr">
        <is>
          <t>Star Trek</t>
        </is>
      </c>
      <c r="F6219" t="inlineStr">
        <is>
          <t>F0291</t>
        </is>
      </c>
    </row>
    <row r="6220">
      <c r="A6220" t="inlineStr">
        <is>
          <t>Jeff Castle</t>
        </is>
      </c>
      <c r="B6220" t="n">
        <v>1</v>
      </c>
      <c r="C6220" t="n">
        <v>2009</v>
      </c>
      <c r="D6220" t="n">
        <v>2009</v>
      </c>
      <c r="E6220" t="inlineStr">
        <is>
          <t>Star Trek</t>
        </is>
      </c>
      <c r="F6220" t="inlineStr">
        <is>
          <t>F0291</t>
        </is>
      </c>
    </row>
    <row r="6221">
      <c r="A6221" t="inlineStr">
        <is>
          <t>Billy Brown</t>
        </is>
      </c>
      <c r="B6221" t="n">
        <v>1</v>
      </c>
      <c r="C6221" t="n">
        <v>2009</v>
      </c>
      <c r="D6221" t="n">
        <v>2009</v>
      </c>
      <c r="E6221" t="inlineStr">
        <is>
          <t>Star Trek</t>
        </is>
      </c>
      <c r="F6221" t="inlineStr">
        <is>
          <t>F0291</t>
        </is>
      </c>
    </row>
    <row r="6222">
      <c r="A6222" t="inlineStr">
        <is>
          <t>Pernilla August</t>
        </is>
      </c>
      <c r="B6222" t="n">
        <v>2</v>
      </c>
      <c r="C6222" t="n">
        <v>1999</v>
      </c>
      <c r="D6222" t="n">
        <v>2002</v>
      </c>
      <c r="E6222" t="inlineStr">
        <is>
          <t>Star Wars: Episode I – The Phantom Menace, Star Wars: Episode II – Attack of the Clones</t>
        </is>
      </c>
      <c r="F6222" t="inlineStr">
        <is>
          <t>F0292, F0293</t>
        </is>
      </c>
    </row>
    <row r="6223">
      <c r="A6223" t="inlineStr">
        <is>
          <t>Oliver Ford Davies</t>
        </is>
      </c>
      <c r="B6223" t="n">
        <v>3</v>
      </c>
      <c r="C6223" t="n">
        <v>1999</v>
      </c>
      <c r="D6223" t="n">
        <v>2005</v>
      </c>
      <c r="E6223" t="inlineStr">
        <is>
          <t>Star Wars: Episode I – The Phantom Menace, Star Wars: Episode II – Attack of the Clones, Star Wars: Episode III – Revenge of the Sith</t>
        </is>
      </c>
      <c r="F6223" t="inlineStr">
        <is>
          <t>F0292, F0293, F0294</t>
        </is>
      </c>
    </row>
    <row r="6224">
      <c r="A6224" t="inlineStr">
        <is>
          <t>Hugh Quarshie</t>
        </is>
      </c>
      <c r="B6224" t="n">
        <v>1</v>
      </c>
      <c r="C6224" t="n">
        <v>1999</v>
      </c>
      <c r="D6224" t="n">
        <v>1999</v>
      </c>
      <c r="E6224" t="inlineStr">
        <is>
          <t>Star Wars: Episode I – The Phantom Menace</t>
        </is>
      </c>
      <c r="F6224" t="inlineStr">
        <is>
          <t>F0292</t>
        </is>
      </c>
    </row>
    <row r="6225">
      <c r="A6225" t="inlineStr">
        <is>
          <t>Ahmed Best</t>
        </is>
      </c>
      <c r="B6225" t="n">
        <v>3</v>
      </c>
      <c r="C6225" t="n">
        <v>1999</v>
      </c>
      <c r="D6225" t="n">
        <v>2005</v>
      </c>
      <c r="E6225" t="inlineStr">
        <is>
          <t>Star Wars: Episode I – The Phantom Menace, Star Wars: Episode II – Attack of the Clones, Star Wars: Episode III – Revenge of the Sith</t>
        </is>
      </c>
      <c r="F6225" t="inlineStr">
        <is>
          <t>F0292, F0293, F0294</t>
        </is>
      </c>
    </row>
    <row r="6226">
      <c r="A6226" t="inlineStr">
        <is>
          <t>Kenny Baker</t>
        </is>
      </c>
      <c r="B6226" t="n">
        <v>5</v>
      </c>
      <c r="C6226" t="n">
        <v>1977</v>
      </c>
      <c r="D6226" t="n">
        <v>2005</v>
      </c>
      <c r="E6226" t="inlineStr">
        <is>
          <t>Star Wars: Episode I – The Phantom Menace, Star Wars: Episode III – Revenge of the Sith, Star Wars: Episode IV – A New Hope, Star Wars: Episode V – The Empire Strikes Back, Star Wars: Episode VI – Return of the Jedi</t>
        </is>
      </c>
      <c r="F6226" t="inlineStr">
        <is>
          <t>F0292, F0294, F0295, F0296, F0297</t>
        </is>
      </c>
    </row>
    <row r="6227">
      <c r="A6227" t="inlineStr">
        <is>
          <t>Terence Stamp</t>
        </is>
      </c>
      <c r="B6227" t="n">
        <v>1</v>
      </c>
      <c r="C6227" t="n">
        <v>1999</v>
      </c>
      <c r="D6227" t="n">
        <v>1999</v>
      </c>
      <c r="E6227" t="inlineStr">
        <is>
          <t>Star Wars: Episode I – The Phantom Menace</t>
        </is>
      </c>
      <c r="F6227" t="inlineStr">
        <is>
          <t>F0292</t>
        </is>
      </c>
    </row>
    <row r="6228">
      <c r="A6228" t="inlineStr">
        <is>
          <t>Brian Blessed</t>
        </is>
      </c>
      <c r="B6228" t="n">
        <v>1</v>
      </c>
      <c r="C6228" t="n">
        <v>1999</v>
      </c>
      <c r="D6228" t="n">
        <v>1999</v>
      </c>
      <c r="E6228" t="inlineStr">
        <is>
          <t>Star Wars: Episode I – The Phantom Menace</t>
        </is>
      </c>
      <c r="F6228" t="inlineStr">
        <is>
          <t>F0292</t>
        </is>
      </c>
    </row>
    <row r="6229">
      <c r="A6229" t="inlineStr">
        <is>
          <t>Andy Secombe</t>
        </is>
      </c>
      <c r="B6229" t="n">
        <v>2</v>
      </c>
      <c r="C6229" t="n">
        <v>1999</v>
      </c>
      <c r="D6229" t="n">
        <v>2002</v>
      </c>
      <c r="E6229" t="inlineStr">
        <is>
          <t>Star Wars: Episode I – The Phantom Menace, Star Wars: Episode II – Attack of the Clones</t>
        </is>
      </c>
      <c r="F6229" t="inlineStr">
        <is>
          <t>F0292, F0293</t>
        </is>
      </c>
    </row>
    <row r="6230">
      <c r="A6230" t="inlineStr">
        <is>
          <t>Lewis Macleod</t>
        </is>
      </c>
      <c r="B6230" t="n">
        <v>1</v>
      </c>
      <c r="C6230" t="n">
        <v>1999</v>
      </c>
      <c r="D6230" t="n">
        <v>1999</v>
      </c>
      <c r="E6230" t="inlineStr">
        <is>
          <t>Star Wars: Episode I – The Phantom Menace</t>
        </is>
      </c>
      <c r="F6230" t="inlineStr">
        <is>
          <t>F0292</t>
        </is>
      </c>
    </row>
    <row r="6231">
      <c r="A6231" t="inlineStr">
        <is>
          <t>Steve Speirs</t>
        </is>
      </c>
      <c r="B6231" t="n">
        <v>1</v>
      </c>
      <c r="C6231" t="n">
        <v>1999</v>
      </c>
      <c r="D6231" t="n">
        <v>1999</v>
      </c>
      <c r="E6231" t="inlineStr">
        <is>
          <t>Star Wars: Episode I – The Phantom Menace</t>
        </is>
      </c>
      <c r="F6231" t="inlineStr">
        <is>
          <t>F0292</t>
        </is>
      </c>
    </row>
    <row r="6232">
      <c r="A6232" t="inlineStr">
        <is>
          <t>Silas Carson</t>
        </is>
      </c>
      <c r="B6232" t="n">
        <v>3</v>
      </c>
      <c r="C6232" t="n">
        <v>1999</v>
      </c>
      <c r="D6232" t="n">
        <v>2005</v>
      </c>
      <c r="E6232" t="inlineStr">
        <is>
          <t>Star Wars: Episode I – The Phantom Menace, Star Wars: Episode II – Attack of the Clones, Star Wars: Episode III – Revenge of the Sith</t>
        </is>
      </c>
      <c r="F6232" t="inlineStr">
        <is>
          <t>F0292, F0293, F0294</t>
        </is>
      </c>
    </row>
    <row r="6233">
      <c r="A6233" t="inlineStr">
        <is>
          <t>Jerome St. John Blake</t>
        </is>
      </c>
      <c r="B6233" t="n">
        <v>1</v>
      </c>
      <c r="C6233" t="n">
        <v>1999</v>
      </c>
      <c r="D6233" t="n">
        <v>1999</v>
      </c>
      <c r="E6233" t="inlineStr">
        <is>
          <t>Star Wars: Episode I – The Phantom Menace</t>
        </is>
      </c>
      <c r="F6233" t="inlineStr">
        <is>
          <t>F0292</t>
        </is>
      </c>
    </row>
    <row r="6234">
      <c r="A6234" t="inlineStr">
        <is>
          <t>Alan Ruscoe</t>
        </is>
      </c>
      <c r="B6234" t="n">
        <v>2</v>
      </c>
      <c r="C6234" t="n">
        <v>1999</v>
      </c>
      <c r="D6234" t="n">
        <v>2002</v>
      </c>
      <c r="E6234" t="inlineStr">
        <is>
          <t>Star Wars: Episode I – The Phantom Menace, Star Wars: Episode II – Attack of the Clones</t>
        </is>
      </c>
      <c r="F6234" t="inlineStr">
        <is>
          <t>F0292, F0293</t>
        </is>
      </c>
    </row>
    <row r="6235">
      <c r="A6235" t="inlineStr">
        <is>
          <t>Celia Imrie</t>
        </is>
      </c>
      <c r="B6235" t="n">
        <v>1</v>
      </c>
      <c r="C6235" t="n">
        <v>1999</v>
      </c>
      <c r="D6235" t="n">
        <v>1999</v>
      </c>
      <c r="E6235" t="inlineStr">
        <is>
          <t>Star Wars: Episode I – The Phantom Menace</t>
        </is>
      </c>
      <c r="F6235" t="inlineStr">
        <is>
          <t>F0292</t>
        </is>
      </c>
    </row>
    <row r="6236">
      <c r="A6236" t="inlineStr">
        <is>
          <t>Benedict Taylor</t>
        </is>
      </c>
      <c r="B6236" t="n">
        <v>1</v>
      </c>
      <c r="C6236" t="n">
        <v>1999</v>
      </c>
      <c r="D6236" t="n">
        <v>1999</v>
      </c>
      <c r="E6236" t="inlineStr">
        <is>
          <t>Star Wars: Episode I – The Phantom Menace</t>
        </is>
      </c>
      <c r="F6236" t="inlineStr">
        <is>
          <t>F0292</t>
        </is>
      </c>
    </row>
    <row r="6237">
      <c r="A6237" t="inlineStr">
        <is>
          <t>Clarence Smith</t>
        </is>
      </c>
      <c r="B6237" t="n">
        <v>1</v>
      </c>
      <c r="C6237" t="n">
        <v>1999</v>
      </c>
      <c r="D6237" t="n">
        <v>1999</v>
      </c>
      <c r="E6237" t="inlineStr">
        <is>
          <t>Star Wars: Episode I – The Phantom Menace</t>
        </is>
      </c>
      <c r="F6237" t="inlineStr">
        <is>
          <t>F0292</t>
        </is>
      </c>
    </row>
    <row r="6238">
      <c r="A6238" t="inlineStr">
        <is>
          <t>Karol Cristina da Silva</t>
        </is>
      </c>
      <c r="B6238" t="n">
        <v>1</v>
      </c>
      <c r="C6238" t="n">
        <v>1999</v>
      </c>
      <c r="D6238" t="n">
        <v>1999</v>
      </c>
      <c r="E6238" t="inlineStr">
        <is>
          <t>Star Wars: Episode I – The Phantom Menace</t>
        </is>
      </c>
      <c r="F6238" t="inlineStr">
        <is>
          <t>F0292</t>
        </is>
      </c>
    </row>
    <row r="6239">
      <c r="A6239" t="inlineStr">
        <is>
          <t>Liz Wilson</t>
        </is>
      </c>
      <c r="B6239" t="n">
        <v>1</v>
      </c>
      <c r="C6239" t="n">
        <v>1999</v>
      </c>
      <c r="D6239" t="n">
        <v>1999</v>
      </c>
      <c r="E6239" t="inlineStr">
        <is>
          <t>Star Wars: Episode I – The Phantom Menace</t>
        </is>
      </c>
      <c r="F6239" t="inlineStr">
        <is>
          <t>F0292</t>
        </is>
      </c>
    </row>
    <row r="6240">
      <c r="A6240" t="inlineStr">
        <is>
          <t>Jimmy Smits</t>
        </is>
      </c>
      <c r="B6240" t="n">
        <v>2</v>
      </c>
      <c r="C6240" t="n">
        <v>2002</v>
      </c>
      <c r="D6240" t="n">
        <v>2005</v>
      </c>
      <c r="E6240" t="inlineStr">
        <is>
          <t>Star Wars: Episode II – Attack of the Clones, Star Wars: Episode III – Revenge of the Sith</t>
        </is>
      </c>
      <c r="F6240" t="inlineStr">
        <is>
          <t>F0293, F0294</t>
        </is>
      </c>
    </row>
    <row r="6241">
      <c r="A6241" t="inlineStr">
        <is>
          <t>Leeanna Walsman</t>
        </is>
      </c>
      <c r="B6241" t="n">
        <v>1</v>
      </c>
      <c r="C6241" t="n">
        <v>2002</v>
      </c>
      <c r="D6241" t="n">
        <v>2002</v>
      </c>
      <c r="E6241" t="inlineStr">
        <is>
          <t>Star Wars: Episode II – Attack of the Clones</t>
        </is>
      </c>
      <c r="F6241" t="inlineStr">
        <is>
          <t>F0293</t>
        </is>
      </c>
    </row>
    <row r="6242">
      <c r="A6242" t="inlineStr">
        <is>
          <t>Ron Falk</t>
        </is>
      </c>
      <c r="B6242" t="n">
        <v>1</v>
      </c>
      <c r="C6242" t="n">
        <v>2002</v>
      </c>
      <c r="D6242" t="n">
        <v>2002</v>
      </c>
      <c r="E6242" t="inlineStr">
        <is>
          <t>Star Wars: Episode II – Attack of the Clones</t>
        </is>
      </c>
      <c r="F6242" t="inlineStr">
        <is>
          <t>F0293</t>
        </is>
      </c>
    </row>
    <row r="6243">
      <c r="A6243" t="inlineStr">
        <is>
          <t>Jay Laga'aia</t>
        </is>
      </c>
      <c r="B6243" t="n">
        <v>2</v>
      </c>
      <c r="C6243" t="n">
        <v>2002</v>
      </c>
      <c r="D6243" t="n">
        <v>2005</v>
      </c>
      <c r="E6243" t="inlineStr">
        <is>
          <t>Star Wars: Episode II – Attack of the Clones, Star Wars: Episode III – Revenge of the Sith</t>
        </is>
      </c>
      <c r="F6243" t="inlineStr">
        <is>
          <t>F0293, F0294</t>
        </is>
      </c>
    </row>
    <row r="6244">
      <c r="A6244" t="inlineStr">
        <is>
          <t>Ayesha Dharker</t>
        </is>
      </c>
      <c r="B6244" t="n">
        <v>1</v>
      </c>
      <c r="C6244" t="n">
        <v>2002</v>
      </c>
      <c r="D6244" t="n">
        <v>2002</v>
      </c>
      <c r="E6244" t="inlineStr">
        <is>
          <t>Star Wars: Episode II – Attack of the Clones</t>
        </is>
      </c>
      <c r="F6244" t="inlineStr">
        <is>
          <t>F0293</t>
        </is>
      </c>
    </row>
    <row r="6245">
      <c r="A6245" t="inlineStr">
        <is>
          <t>Daniel Logan</t>
        </is>
      </c>
      <c r="B6245" t="n">
        <v>1</v>
      </c>
      <c r="C6245" t="n">
        <v>2002</v>
      </c>
      <c r="D6245" t="n">
        <v>2002</v>
      </c>
      <c r="E6245" t="inlineStr">
        <is>
          <t>Star Wars: Episode II – Attack of the Clones</t>
        </is>
      </c>
      <c r="F6245" t="inlineStr">
        <is>
          <t>F0293</t>
        </is>
      </c>
    </row>
    <row r="6246">
      <c r="A6246" t="inlineStr">
        <is>
          <t>Bonnie Piesse</t>
        </is>
      </c>
      <c r="B6246" t="n">
        <v>2</v>
      </c>
      <c r="C6246" t="n">
        <v>2002</v>
      </c>
      <c r="D6246" t="n">
        <v>2005</v>
      </c>
      <c r="E6246" t="inlineStr">
        <is>
          <t>Star Wars: Episode II – Attack of the Clones, Star Wars: Episode III – Revenge of the Sith</t>
        </is>
      </c>
      <c r="F6246" t="inlineStr">
        <is>
          <t>F0293, F0294</t>
        </is>
      </c>
    </row>
    <row r="6247">
      <c r="A6247" t="inlineStr">
        <is>
          <t>Anthony Phelan</t>
        </is>
      </c>
      <c r="B6247" t="n">
        <v>1</v>
      </c>
      <c r="C6247" t="n">
        <v>2002</v>
      </c>
      <c r="D6247" t="n">
        <v>2002</v>
      </c>
      <c r="E6247" t="inlineStr">
        <is>
          <t>Star Wars: Episode II – Attack of the Clones</t>
        </is>
      </c>
      <c r="F6247" t="inlineStr">
        <is>
          <t>F0293</t>
        </is>
      </c>
    </row>
    <row r="6248">
      <c r="A6248" t="inlineStr">
        <is>
          <t>Rena Owen</t>
        </is>
      </c>
      <c r="B6248" t="n">
        <v>1</v>
      </c>
      <c r="C6248" t="n">
        <v>2002</v>
      </c>
      <c r="D6248" t="n">
        <v>2002</v>
      </c>
      <c r="E6248" t="inlineStr">
        <is>
          <t>Star Wars: Episode II – Attack of the Clones</t>
        </is>
      </c>
      <c r="F6248" t="inlineStr">
        <is>
          <t>F0293</t>
        </is>
      </c>
    </row>
    <row r="6249">
      <c r="A6249" t="inlineStr">
        <is>
          <t>Alethea McGrath</t>
        </is>
      </c>
      <c r="B6249" t="n">
        <v>1</v>
      </c>
      <c r="C6249" t="n">
        <v>2002</v>
      </c>
      <c r="D6249" t="n">
        <v>2002</v>
      </c>
      <c r="E6249" t="inlineStr">
        <is>
          <t>Star Wars: Episode II – Attack of the Clones</t>
        </is>
      </c>
      <c r="F6249" t="inlineStr">
        <is>
          <t>F0293</t>
        </is>
      </c>
    </row>
    <row r="6250">
      <c r="A6250" t="inlineStr">
        <is>
          <t>Susie Porter</t>
        </is>
      </c>
      <c r="B6250" t="n">
        <v>1</v>
      </c>
      <c r="C6250" t="n">
        <v>2002</v>
      </c>
      <c r="D6250" t="n">
        <v>2002</v>
      </c>
      <c r="E6250" t="inlineStr">
        <is>
          <t>Star Wars: Episode II – Attack of the Clones</t>
        </is>
      </c>
      <c r="F6250" t="inlineStr">
        <is>
          <t>F0293</t>
        </is>
      </c>
    </row>
    <row r="6251">
      <c r="A6251" t="inlineStr">
        <is>
          <t>Keisha Castle-Hughes</t>
        </is>
      </c>
      <c r="B6251" t="n">
        <v>1</v>
      </c>
      <c r="C6251" t="n">
        <v>2005</v>
      </c>
      <c r="D6251" t="n">
        <v>2005</v>
      </c>
      <c r="E6251" t="inlineStr">
        <is>
          <t>Star Wars: Episode III – Revenge of the Sith</t>
        </is>
      </c>
      <c r="F6251" t="inlineStr">
        <is>
          <t>F0294</t>
        </is>
      </c>
    </row>
    <row r="6252">
      <c r="A6252" t="inlineStr">
        <is>
          <t>Wayne Pygram</t>
        </is>
      </c>
      <c r="B6252" t="n">
        <v>1</v>
      </c>
      <c r="C6252" t="n">
        <v>2005</v>
      </c>
      <c r="D6252" t="n">
        <v>2005</v>
      </c>
      <c r="E6252" t="inlineStr">
        <is>
          <t>Star Wars: Episode III – Revenge of the Sith</t>
        </is>
      </c>
      <c r="F6252" t="inlineStr">
        <is>
          <t>F0294</t>
        </is>
      </c>
    </row>
    <row r="6253">
      <c r="A6253" t="inlineStr">
        <is>
          <t>Rohan Nichol</t>
        </is>
      </c>
      <c r="B6253" t="n">
        <v>1</v>
      </c>
      <c r="C6253" t="n">
        <v>2005</v>
      </c>
      <c r="D6253" t="n">
        <v>2005</v>
      </c>
      <c r="E6253" t="inlineStr">
        <is>
          <t>Star Wars: Episode III – Revenge of the Sith</t>
        </is>
      </c>
      <c r="F6253" t="inlineStr">
        <is>
          <t>F0294</t>
        </is>
      </c>
    </row>
    <row r="6254">
      <c r="A6254" t="inlineStr">
        <is>
          <t>Jeremy Bulloch</t>
        </is>
      </c>
      <c r="B6254" t="n">
        <v>3</v>
      </c>
      <c r="C6254" t="n">
        <v>1980</v>
      </c>
      <c r="D6254" t="n">
        <v>2005</v>
      </c>
      <c r="E6254" t="inlineStr">
        <is>
          <t>Star Wars: Episode III – Revenge of the Sith, Star Wars: Episode V – The Empire Strikes Back, Star Wars: Episode VI – Return of the Jedi</t>
        </is>
      </c>
      <c r="F6254" t="inlineStr">
        <is>
          <t>F0294, F0296, F0297</t>
        </is>
      </c>
    </row>
    <row r="6255">
      <c r="A6255" t="inlineStr">
        <is>
          <t>Amanda Lucas</t>
        </is>
      </c>
      <c r="B6255" t="n">
        <v>1</v>
      </c>
      <c r="C6255" t="n">
        <v>2005</v>
      </c>
      <c r="D6255" t="n">
        <v>2005</v>
      </c>
      <c r="E6255" t="inlineStr">
        <is>
          <t>Star Wars: Episode III – Revenge of the Sith</t>
        </is>
      </c>
      <c r="F6255" t="inlineStr">
        <is>
          <t>F0294</t>
        </is>
      </c>
    </row>
    <row r="6256">
      <c r="A6256" t="inlineStr">
        <is>
          <t>Peter Mayhew</t>
        </is>
      </c>
      <c r="B6256" t="n">
        <v>5</v>
      </c>
      <c r="C6256" t="n">
        <v>1977</v>
      </c>
      <c r="D6256" t="n">
        <v>2015</v>
      </c>
      <c r="E6256" t="inlineStr">
        <is>
          <t>Star Wars: Episode III – Revenge of the Sith, Star Wars: Episode IV – A New Hope, Star Wars: Episode V – The Empire Strikes Back, Star Wars: Episode VI – Return of the Jedi, Star Wars: The Force Awakens</t>
        </is>
      </c>
      <c r="F6256" t="inlineStr">
        <is>
          <t>F0294, F0295, F0296, F0297, F0298</t>
        </is>
      </c>
    </row>
    <row r="6257">
      <c r="A6257" t="inlineStr">
        <is>
          <t>Rebecca Jackson Mendoza</t>
        </is>
      </c>
      <c r="B6257" t="n">
        <v>1</v>
      </c>
      <c r="C6257" t="n">
        <v>2005</v>
      </c>
      <c r="D6257" t="n">
        <v>2005</v>
      </c>
      <c r="E6257" t="inlineStr">
        <is>
          <t>Star Wars: Episode III – Revenge of the Sith</t>
        </is>
      </c>
      <c r="F6257" t="inlineStr">
        <is>
          <t>F0294</t>
        </is>
      </c>
    </row>
    <row r="6258">
      <c r="A6258" t="inlineStr">
        <is>
          <t>Jett Lucas</t>
        </is>
      </c>
      <c r="B6258" t="n">
        <v>1</v>
      </c>
      <c r="C6258" t="n">
        <v>2005</v>
      </c>
      <c r="D6258" t="n">
        <v>2005</v>
      </c>
      <c r="E6258" t="inlineStr">
        <is>
          <t>Star Wars: Episode III – Revenge of the Sith</t>
        </is>
      </c>
      <c r="F6258" t="inlineStr">
        <is>
          <t>F0294</t>
        </is>
      </c>
    </row>
    <row r="6259">
      <c r="A6259" t="inlineStr">
        <is>
          <t>Tux Akindoyeni</t>
        </is>
      </c>
      <c r="B6259" t="n">
        <v>1</v>
      </c>
      <c r="C6259" t="n">
        <v>2005</v>
      </c>
      <c r="D6259" t="n">
        <v>2005</v>
      </c>
      <c r="E6259" t="inlineStr">
        <is>
          <t>Star Wars: Episode III – Revenge of the Sith</t>
        </is>
      </c>
      <c r="F6259" t="inlineStr">
        <is>
          <t>F0294</t>
        </is>
      </c>
    </row>
    <row r="6260">
      <c r="A6260" t="inlineStr">
        <is>
          <t>Matt Rowan</t>
        </is>
      </c>
      <c r="B6260" t="n">
        <v>1</v>
      </c>
      <c r="C6260" t="n">
        <v>2005</v>
      </c>
      <c r="D6260" t="n">
        <v>2005</v>
      </c>
      <c r="E6260" t="inlineStr">
        <is>
          <t>Star Wars: Episode III – Revenge of the Sith</t>
        </is>
      </c>
      <c r="F6260" t="inlineStr">
        <is>
          <t>F0294</t>
        </is>
      </c>
    </row>
    <row r="6261">
      <c r="A6261" t="inlineStr">
        <is>
          <t>Kenji Oates</t>
        </is>
      </c>
      <c r="B6261" t="n">
        <v>1</v>
      </c>
      <c r="C6261" t="n">
        <v>2005</v>
      </c>
      <c r="D6261" t="n">
        <v>2005</v>
      </c>
      <c r="E6261" t="inlineStr">
        <is>
          <t>Star Wars: Episode III – Revenge of the Sith</t>
        </is>
      </c>
      <c r="F6261" t="inlineStr">
        <is>
          <t>F0294</t>
        </is>
      </c>
    </row>
    <row r="6262">
      <c r="A6262" t="inlineStr">
        <is>
          <t>David Prowse</t>
        </is>
      </c>
      <c r="B6262" t="n">
        <v>3</v>
      </c>
      <c r="C6262" t="n">
        <v>1977</v>
      </c>
      <c r="D6262" t="n">
        <v>1983</v>
      </c>
      <c r="E6262" t="inlineStr">
        <is>
          <t>Star Wars: Episode IV – A New Hope, Star Wars: Episode V – The Empire Strikes Back, Star Wars: Episode VI – Return of the Jedi</t>
        </is>
      </c>
      <c r="F6262" t="inlineStr">
        <is>
          <t>F0295, F0296, F0297</t>
        </is>
      </c>
    </row>
    <row r="6263">
      <c r="A6263" t="inlineStr">
        <is>
          <t>Phil Brown</t>
        </is>
      </c>
      <c r="B6263" t="n">
        <v>1</v>
      </c>
      <c r="C6263" t="n">
        <v>1977</v>
      </c>
      <c r="D6263" t="n">
        <v>1977</v>
      </c>
      <c r="E6263" t="inlineStr">
        <is>
          <t>Star Wars: Episode IV – A New Hope</t>
        </is>
      </c>
      <c r="F6263" t="inlineStr">
        <is>
          <t>F0295</t>
        </is>
      </c>
    </row>
    <row r="6264">
      <c r="A6264" t="inlineStr">
        <is>
          <t>Shelagh Fraser</t>
        </is>
      </c>
      <c r="B6264" t="n">
        <v>1</v>
      </c>
      <c r="C6264" t="n">
        <v>1977</v>
      </c>
      <c r="D6264" t="n">
        <v>1977</v>
      </c>
      <c r="E6264" t="inlineStr">
        <is>
          <t>Star Wars: Episode IV – A New Hope</t>
        </is>
      </c>
      <c r="F6264" t="inlineStr">
        <is>
          <t>F0295</t>
        </is>
      </c>
    </row>
    <row r="6265">
      <c r="A6265" t="inlineStr">
        <is>
          <t>Jack Purvis</t>
        </is>
      </c>
      <c r="B6265" t="n">
        <v>3</v>
      </c>
      <c r="C6265" t="n">
        <v>1977</v>
      </c>
      <c r="D6265" t="n">
        <v>1983</v>
      </c>
      <c r="E6265" t="inlineStr">
        <is>
          <t>Star Wars: Episode IV – A New Hope, Star Wars: Episode V – The Empire Strikes Back, Star Wars: Episode VI – Return of the Jedi</t>
        </is>
      </c>
      <c r="F6265" t="inlineStr">
        <is>
          <t>F0295, F0296, F0297</t>
        </is>
      </c>
    </row>
    <row r="6266">
      <c r="A6266" t="inlineStr">
        <is>
          <t>Alex McCrindle</t>
        </is>
      </c>
      <c r="B6266" t="n">
        <v>1</v>
      </c>
      <c r="C6266" t="n">
        <v>1977</v>
      </c>
      <c r="D6266" t="n">
        <v>1977</v>
      </c>
      <c r="E6266" t="inlineStr">
        <is>
          <t>Star Wars: Episode IV – A New Hope</t>
        </is>
      </c>
      <c r="F6266" t="inlineStr">
        <is>
          <t>F0295</t>
        </is>
      </c>
    </row>
    <row r="6267">
      <c r="A6267" t="inlineStr">
        <is>
          <t>Eddie Byrne</t>
        </is>
      </c>
      <c r="B6267" t="n">
        <v>1</v>
      </c>
      <c r="C6267" t="n">
        <v>1977</v>
      </c>
      <c r="D6267" t="n">
        <v>1977</v>
      </c>
      <c r="E6267" t="inlineStr">
        <is>
          <t>Star Wars: Episode IV – A New Hope</t>
        </is>
      </c>
      <c r="F6267" t="inlineStr">
        <is>
          <t>F0295</t>
        </is>
      </c>
    </row>
    <row r="6268">
      <c r="A6268" t="inlineStr">
        <is>
          <t>Drewe Henley</t>
        </is>
      </c>
      <c r="B6268" t="n">
        <v>1</v>
      </c>
      <c r="C6268" t="n">
        <v>1977</v>
      </c>
      <c r="D6268" t="n">
        <v>1977</v>
      </c>
      <c r="E6268" t="inlineStr">
        <is>
          <t>Star Wars: Episode IV – A New Hope</t>
        </is>
      </c>
      <c r="F6268" t="inlineStr">
        <is>
          <t>F0295</t>
        </is>
      </c>
    </row>
    <row r="6269">
      <c r="A6269" t="inlineStr">
        <is>
          <t>Denis Lawson</t>
        </is>
      </c>
      <c r="B6269" t="n">
        <v>3</v>
      </c>
      <c r="C6269" t="n">
        <v>1977</v>
      </c>
      <c r="D6269" t="n">
        <v>1983</v>
      </c>
      <c r="E6269" t="inlineStr">
        <is>
          <t>Star Wars: Episode IV – A New Hope, Star Wars: Episode V – The Empire Strikes Back, Star Wars: Episode VI – Return of the Jedi</t>
        </is>
      </c>
      <c r="F6269" t="inlineStr">
        <is>
          <t>F0295, F0296, F0297</t>
        </is>
      </c>
    </row>
    <row r="6270">
      <c r="A6270" t="inlineStr">
        <is>
          <t>Jack Klaff</t>
        </is>
      </c>
      <c r="B6270" t="n">
        <v>1</v>
      </c>
      <c r="C6270" t="n">
        <v>1977</v>
      </c>
      <c r="D6270" t="n">
        <v>1977</v>
      </c>
      <c r="E6270" t="inlineStr">
        <is>
          <t>Star Wars: Episode IV – A New Hope</t>
        </is>
      </c>
      <c r="F6270" t="inlineStr">
        <is>
          <t>F0295</t>
        </is>
      </c>
    </row>
    <row r="6271">
      <c r="A6271" t="inlineStr">
        <is>
          <t>William Hootkins</t>
        </is>
      </c>
      <c r="B6271" t="n">
        <v>1</v>
      </c>
      <c r="C6271" t="n">
        <v>1977</v>
      </c>
      <c r="D6271" t="n">
        <v>1977</v>
      </c>
      <c r="E6271" t="inlineStr">
        <is>
          <t>Star Wars: Episode IV – A New Hope</t>
        </is>
      </c>
      <c r="F6271" t="inlineStr">
        <is>
          <t>F0295</t>
        </is>
      </c>
    </row>
    <row r="6272">
      <c r="A6272" t="inlineStr">
        <is>
          <t>Jeremy Sinden</t>
        </is>
      </c>
      <c r="B6272" t="n">
        <v>1</v>
      </c>
      <c r="C6272" t="n">
        <v>1977</v>
      </c>
      <c r="D6272" t="n">
        <v>1977</v>
      </c>
      <c r="E6272" t="inlineStr">
        <is>
          <t>Star Wars: Episode IV – A New Hope</t>
        </is>
      </c>
      <c r="F6272" t="inlineStr">
        <is>
          <t>F0295</t>
        </is>
      </c>
    </row>
    <row r="6273">
      <c r="A6273" t="inlineStr">
        <is>
          <t>Graham Ashley</t>
        </is>
      </c>
      <c r="B6273" t="n">
        <v>1</v>
      </c>
      <c r="C6273" t="n">
        <v>1977</v>
      </c>
      <c r="D6273" t="n">
        <v>1977</v>
      </c>
      <c r="E6273" t="inlineStr">
        <is>
          <t>Star Wars: Episode IV – A New Hope</t>
        </is>
      </c>
      <c r="F6273" t="inlineStr">
        <is>
          <t>F0295</t>
        </is>
      </c>
    </row>
    <row r="6274">
      <c r="A6274" t="inlineStr">
        <is>
          <t>Don Henderson</t>
        </is>
      </c>
      <c r="B6274" t="n">
        <v>1</v>
      </c>
      <c r="C6274" t="n">
        <v>1977</v>
      </c>
      <c r="D6274" t="n">
        <v>1977</v>
      </c>
      <c r="E6274" t="inlineStr">
        <is>
          <t>Star Wars: Episode IV – A New Hope</t>
        </is>
      </c>
      <c r="F6274" t="inlineStr">
        <is>
          <t>F0295</t>
        </is>
      </c>
    </row>
    <row r="6275">
      <c r="A6275" t="inlineStr">
        <is>
          <t>Richard LeParmentier</t>
        </is>
      </c>
      <c r="B6275" t="n">
        <v>1</v>
      </c>
      <c r="C6275" t="n">
        <v>1977</v>
      </c>
      <c r="D6275" t="n">
        <v>1977</v>
      </c>
      <c r="E6275" t="inlineStr">
        <is>
          <t>Star Wars: Episode IV – A New Hope</t>
        </is>
      </c>
      <c r="F6275" t="inlineStr">
        <is>
          <t>F0295</t>
        </is>
      </c>
    </row>
    <row r="6276">
      <c r="A6276" t="inlineStr">
        <is>
          <t>Leslie Schofield</t>
        </is>
      </c>
      <c r="B6276" t="n">
        <v>1</v>
      </c>
      <c r="C6276" t="n">
        <v>1977</v>
      </c>
      <c r="D6276" t="n">
        <v>1977</v>
      </c>
      <c r="E6276" t="inlineStr">
        <is>
          <t>Star Wars: Episode IV – A New Hope</t>
        </is>
      </c>
      <c r="F6276" t="inlineStr">
        <is>
          <t>F0295</t>
        </is>
      </c>
    </row>
    <row r="6277">
      <c r="A6277" t="inlineStr">
        <is>
          <t>Michael Leader</t>
        </is>
      </c>
      <c r="B6277" t="n">
        <v>1</v>
      </c>
      <c r="C6277" t="n">
        <v>1977</v>
      </c>
      <c r="D6277" t="n">
        <v>1977</v>
      </c>
      <c r="E6277" t="inlineStr">
        <is>
          <t>Star Wars: Episode IV – A New Hope</t>
        </is>
      </c>
      <c r="F6277" t="inlineStr">
        <is>
          <t>F0295</t>
        </is>
      </c>
    </row>
    <row r="6278">
      <c r="A6278" t="inlineStr">
        <is>
          <t>David Ankrum</t>
        </is>
      </c>
      <c r="B6278" t="n">
        <v>1</v>
      </c>
      <c r="C6278" t="n">
        <v>1977</v>
      </c>
      <c r="D6278" t="n">
        <v>1977</v>
      </c>
      <c r="E6278" t="inlineStr">
        <is>
          <t>Star Wars: Episode IV – A New Hope</t>
        </is>
      </c>
      <c r="F6278" t="inlineStr">
        <is>
          <t>F0295</t>
        </is>
      </c>
    </row>
    <row r="6279">
      <c r="A6279" t="inlineStr">
        <is>
          <t>Scott Beach</t>
        </is>
      </c>
      <c r="B6279" t="n">
        <v>1</v>
      </c>
      <c r="C6279" t="n">
        <v>1977</v>
      </c>
      <c r="D6279" t="n">
        <v>1977</v>
      </c>
      <c r="E6279" t="inlineStr">
        <is>
          <t>Star Wars: Episode IV – A New Hope</t>
        </is>
      </c>
      <c r="F6279" t="inlineStr">
        <is>
          <t>F0295</t>
        </is>
      </c>
    </row>
    <row r="6280">
      <c r="A6280" t="inlineStr">
        <is>
          <t>Lightning Bear</t>
        </is>
      </c>
      <c r="B6280" t="n">
        <v>1</v>
      </c>
      <c r="C6280" t="n">
        <v>1977</v>
      </c>
      <c r="D6280" t="n">
        <v>1977</v>
      </c>
      <c r="E6280" t="inlineStr">
        <is>
          <t>Star Wars: Episode IV – A New Hope</t>
        </is>
      </c>
      <c r="F6280" t="inlineStr">
        <is>
          <t>F0295</t>
        </is>
      </c>
    </row>
    <row r="6281">
      <c r="A6281" t="inlineStr">
        <is>
          <t>Jason Wingreen</t>
        </is>
      </c>
      <c r="B6281" t="n">
        <v>1</v>
      </c>
      <c r="C6281" t="n">
        <v>1980</v>
      </c>
      <c r="D6281" t="n">
        <v>1980</v>
      </c>
      <c r="E6281" t="inlineStr">
        <is>
          <t>Star Wars: Episode V – The Empire Strikes Back</t>
        </is>
      </c>
      <c r="F6281" t="inlineStr">
        <is>
          <t>F0296</t>
        </is>
      </c>
    </row>
    <row r="6282">
      <c r="A6282" t="inlineStr">
        <is>
          <t>John Hollis</t>
        </is>
      </c>
      <c r="B6282" t="n">
        <v>1</v>
      </c>
      <c r="C6282" t="n">
        <v>1980</v>
      </c>
      <c r="D6282" t="n">
        <v>1980</v>
      </c>
      <c r="E6282" t="inlineStr">
        <is>
          <t>Star Wars: Episode V – The Empire Strikes Back</t>
        </is>
      </c>
      <c r="F6282" t="inlineStr">
        <is>
          <t>F0296</t>
        </is>
      </c>
    </row>
    <row r="6283">
      <c r="A6283" t="inlineStr">
        <is>
          <t>Des Webb</t>
        </is>
      </c>
      <c r="B6283" t="n">
        <v>1</v>
      </c>
      <c r="C6283" t="n">
        <v>1980</v>
      </c>
      <c r="D6283" t="n">
        <v>1980</v>
      </c>
      <c r="E6283" t="inlineStr">
        <is>
          <t>Star Wars: Episode V – The Empire Strikes Back</t>
        </is>
      </c>
      <c r="F6283" t="inlineStr">
        <is>
          <t>F0296</t>
        </is>
      </c>
    </row>
    <row r="6284">
      <c r="A6284" t="inlineStr">
        <is>
          <t>Kathryn Mullen</t>
        </is>
      </c>
      <c r="B6284" t="n">
        <v>1</v>
      </c>
      <c r="C6284" t="n">
        <v>1980</v>
      </c>
      <c r="D6284" t="n">
        <v>1980</v>
      </c>
      <c r="E6284" t="inlineStr">
        <is>
          <t>Star Wars: Episode V – The Empire Strikes Back</t>
        </is>
      </c>
      <c r="F6284" t="inlineStr">
        <is>
          <t>F0296</t>
        </is>
      </c>
    </row>
    <row r="6285">
      <c r="A6285" t="inlineStr">
        <is>
          <t>Marjorie Eaton</t>
        </is>
      </c>
      <c r="B6285" t="n">
        <v>1</v>
      </c>
      <c r="C6285" t="n">
        <v>1980</v>
      </c>
      <c r="D6285" t="n">
        <v>1980</v>
      </c>
      <c r="E6285" t="inlineStr">
        <is>
          <t>Star Wars: Episode V – The Empire Strikes Back</t>
        </is>
      </c>
      <c r="F6285" t="inlineStr">
        <is>
          <t>F0296</t>
        </is>
      </c>
    </row>
    <row r="6286">
      <c r="A6286" t="inlineStr">
        <is>
          <t>Clive Revill</t>
        </is>
      </c>
      <c r="B6286" t="n">
        <v>2</v>
      </c>
      <c r="C6286" t="n">
        <v>1980</v>
      </c>
      <c r="D6286" t="n">
        <v>1986</v>
      </c>
      <c r="E6286" t="inlineStr">
        <is>
          <t>Star Wars: Episode V – The Empire Strikes Back, The Transformers: The Movie</t>
        </is>
      </c>
      <c r="F6286" t="inlineStr">
        <is>
          <t>F0296, F0322</t>
        </is>
      </c>
    </row>
    <row r="6287">
      <c r="A6287" t="inlineStr">
        <is>
          <t>Kenneth Colley</t>
        </is>
      </c>
      <c r="B6287" t="n">
        <v>2</v>
      </c>
      <c r="C6287" t="n">
        <v>1980</v>
      </c>
      <c r="D6287" t="n">
        <v>1983</v>
      </c>
      <c r="E6287" t="inlineStr">
        <is>
          <t>Star Wars: Episode V – The Empire Strikes Back, Star Wars: Episode VI – Return of the Jedi</t>
        </is>
      </c>
      <c r="F6287" t="inlineStr">
        <is>
          <t>F0296, F0297</t>
        </is>
      </c>
    </row>
    <row r="6288">
      <c r="A6288" t="inlineStr">
        <is>
          <t>Julian Glover</t>
        </is>
      </c>
      <c r="B6288" t="n">
        <v>1</v>
      </c>
      <c r="C6288" t="n">
        <v>1980</v>
      </c>
      <c r="D6288" t="n">
        <v>1980</v>
      </c>
      <c r="E6288" t="inlineStr">
        <is>
          <t>Star Wars: Episode V – The Empire Strikes Back</t>
        </is>
      </c>
      <c r="F6288" t="inlineStr">
        <is>
          <t>F0296</t>
        </is>
      </c>
    </row>
    <row r="6289">
      <c r="A6289" t="inlineStr">
        <is>
          <t>Michael Sheard</t>
        </is>
      </c>
      <c r="B6289" t="n">
        <v>1</v>
      </c>
      <c r="C6289" t="n">
        <v>1980</v>
      </c>
      <c r="D6289" t="n">
        <v>1980</v>
      </c>
      <c r="E6289" t="inlineStr">
        <is>
          <t>Star Wars: Episode V – The Empire Strikes Back</t>
        </is>
      </c>
      <c r="F6289" t="inlineStr">
        <is>
          <t>F0296</t>
        </is>
      </c>
    </row>
    <row r="6290">
      <c r="A6290" t="inlineStr">
        <is>
          <t>Michael Culver</t>
        </is>
      </c>
      <c r="B6290" t="n">
        <v>1</v>
      </c>
      <c r="C6290" t="n">
        <v>1980</v>
      </c>
      <c r="D6290" t="n">
        <v>1980</v>
      </c>
      <c r="E6290" t="inlineStr">
        <is>
          <t>Star Wars: Episode V – The Empire Strikes Back</t>
        </is>
      </c>
      <c r="F6290" t="inlineStr">
        <is>
          <t>F0296</t>
        </is>
      </c>
    </row>
    <row r="6291">
      <c r="A6291" t="inlineStr">
        <is>
          <t>John Dicks</t>
        </is>
      </c>
      <c r="B6291" t="n">
        <v>1</v>
      </c>
      <c r="C6291" t="n">
        <v>1980</v>
      </c>
      <c r="D6291" t="n">
        <v>1980</v>
      </c>
      <c r="E6291" t="inlineStr">
        <is>
          <t>Star Wars: Episode V – The Empire Strikes Back</t>
        </is>
      </c>
      <c r="F6291" t="inlineStr">
        <is>
          <t>F0296</t>
        </is>
      </c>
    </row>
    <row r="6292">
      <c r="A6292" t="inlineStr">
        <is>
          <t>Milton Johns</t>
        </is>
      </c>
      <c r="B6292" t="n">
        <v>1</v>
      </c>
      <c r="C6292" t="n">
        <v>1980</v>
      </c>
      <c r="D6292" t="n">
        <v>1980</v>
      </c>
      <c r="E6292" t="inlineStr">
        <is>
          <t>Star Wars: Episode V – The Empire Strikes Back</t>
        </is>
      </c>
      <c r="F6292" t="inlineStr">
        <is>
          <t>F0296</t>
        </is>
      </c>
    </row>
    <row r="6293">
      <c r="A6293" t="inlineStr">
        <is>
          <t>Mark Jones</t>
        </is>
      </c>
      <c r="B6293" t="n">
        <v>1</v>
      </c>
      <c r="C6293" t="n">
        <v>1980</v>
      </c>
      <c r="D6293" t="n">
        <v>1980</v>
      </c>
      <c r="E6293" t="inlineStr">
        <is>
          <t>Star Wars: Episode V – The Empire Strikes Back</t>
        </is>
      </c>
      <c r="F6293" t="inlineStr">
        <is>
          <t>F0296</t>
        </is>
      </c>
    </row>
    <row r="6294">
      <c r="A6294" t="inlineStr">
        <is>
          <t>Oliver Maguire</t>
        </is>
      </c>
      <c r="B6294" t="n">
        <v>1</v>
      </c>
      <c r="C6294" t="n">
        <v>1980</v>
      </c>
      <c r="D6294" t="n">
        <v>1980</v>
      </c>
      <c r="E6294" t="inlineStr">
        <is>
          <t>Star Wars: Episode V – The Empire Strikes Back</t>
        </is>
      </c>
      <c r="F6294" t="inlineStr">
        <is>
          <t>F0296</t>
        </is>
      </c>
    </row>
    <row r="6295">
      <c r="A6295" t="inlineStr">
        <is>
          <t>Robin Scobey</t>
        </is>
      </c>
      <c r="B6295" t="n">
        <v>1</v>
      </c>
      <c r="C6295" t="n">
        <v>1980</v>
      </c>
      <c r="D6295" t="n">
        <v>1980</v>
      </c>
      <c r="E6295" t="inlineStr">
        <is>
          <t>Star Wars: Episode V – The Empire Strikes Back</t>
        </is>
      </c>
      <c r="F6295" t="inlineStr">
        <is>
          <t>F0296</t>
        </is>
      </c>
    </row>
    <row r="6296">
      <c r="A6296" t="inlineStr">
        <is>
          <t>Bruce Boa</t>
        </is>
      </c>
      <c r="B6296" t="n">
        <v>1</v>
      </c>
      <c r="C6296" t="n">
        <v>1980</v>
      </c>
      <c r="D6296" t="n">
        <v>1980</v>
      </c>
      <c r="E6296" t="inlineStr">
        <is>
          <t>Star Wars: Episode V – The Empire Strikes Back</t>
        </is>
      </c>
      <c r="F6296" t="inlineStr">
        <is>
          <t>F0296</t>
        </is>
      </c>
    </row>
    <row r="6297">
      <c r="A6297" t="inlineStr">
        <is>
          <t>Christopher Malcolm</t>
        </is>
      </c>
      <c r="B6297" t="n">
        <v>1</v>
      </c>
      <c r="C6297" t="n">
        <v>1980</v>
      </c>
      <c r="D6297" t="n">
        <v>1980</v>
      </c>
      <c r="E6297" t="inlineStr">
        <is>
          <t>Star Wars: Episode V – The Empire Strikes Back</t>
        </is>
      </c>
      <c r="F6297" t="inlineStr">
        <is>
          <t>F0296</t>
        </is>
      </c>
    </row>
    <row r="6298">
      <c r="A6298" t="inlineStr">
        <is>
          <t>Sebastian Shaw</t>
        </is>
      </c>
      <c r="B6298" t="n">
        <v>1</v>
      </c>
      <c r="C6298" t="n">
        <v>1983</v>
      </c>
      <c r="D6298" t="n">
        <v>1983</v>
      </c>
      <c r="E6298" t="inlineStr">
        <is>
          <t>Star Wars: Episode VI – Return of the Jedi</t>
        </is>
      </c>
      <c r="F6298" t="inlineStr">
        <is>
          <t>F0297</t>
        </is>
      </c>
    </row>
    <row r="6299">
      <c r="A6299" t="inlineStr">
        <is>
          <t>Michael Pennington</t>
        </is>
      </c>
      <c r="B6299" t="n">
        <v>1</v>
      </c>
      <c r="C6299" t="n">
        <v>1983</v>
      </c>
      <c r="D6299" t="n">
        <v>1983</v>
      </c>
      <c r="E6299" t="inlineStr">
        <is>
          <t>Star Wars: Episode VI – Return of the Jedi</t>
        </is>
      </c>
      <c r="F6299" t="inlineStr">
        <is>
          <t>F0297</t>
        </is>
      </c>
    </row>
    <row r="6300">
      <c r="A6300" t="inlineStr">
        <is>
          <t>Michael Carter</t>
        </is>
      </c>
      <c r="B6300" t="n">
        <v>1</v>
      </c>
      <c r="C6300" t="n">
        <v>1983</v>
      </c>
      <c r="D6300" t="n">
        <v>1983</v>
      </c>
      <c r="E6300" t="inlineStr">
        <is>
          <t>Star Wars: Episode VI – Return of the Jedi</t>
        </is>
      </c>
      <c r="F6300" t="inlineStr">
        <is>
          <t>F0297</t>
        </is>
      </c>
    </row>
    <row r="6301">
      <c r="A6301" t="inlineStr">
        <is>
          <t>Tim Rose</t>
        </is>
      </c>
      <c r="B6301" t="n">
        <v>2</v>
      </c>
      <c r="C6301" t="n">
        <v>1983</v>
      </c>
      <c r="D6301" t="n">
        <v>2017</v>
      </c>
      <c r="E6301" t="inlineStr">
        <is>
          <t>Star Wars: Episode VI – Return of the Jedi, Star Wars: The Last Jedi</t>
        </is>
      </c>
      <c r="F6301" t="inlineStr">
        <is>
          <t>F0297, F0299</t>
        </is>
      </c>
    </row>
    <row r="6302">
      <c r="A6302" t="inlineStr">
        <is>
          <t>Dermot Crowley</t>
        </is>
      </c>
      <c r="B6302" t="n">
        <v>1</v>
      </c>
      <c r="C6302" t="n">
        <v>1983</v>
      </c>
      <c r="D6302" t="n">
        <v>1983</v>
      </c>
      <c r="E6302" t="inlineStr">
        <is>
          <t>Star Wars: Episode VI – Return of the Jedi</t>
        </is>
      </c>
      <c r="F6302" t="inlineStr">
        <is>
          <t>F0297</t>
        </is>
      </c>
    </row>
    <row r="6303">
      <c r="A6303" t="inlineStr">
        <is>
          <t>Caroline Blakiston</t>
        </is>
      </c>
      <c r="B6303" t="n">
        <v>1</v>
      </c>
      <c r="C6303" t="n">
        <v>1983</v>
      </c>
      <c r="D6303" t="n">
        <v>1983</v>
      </c>
      <c r="E6303" t="inlineStr">
        <is>
          <t>Star Wars: Episode VI – Return of the Jedi</t>
        </is>
      </c>
      <c r="F6303" t="inlineStr">
        <is>
          <t>F0297</t>
        </is>
      </c>
    </row>
    <row r="6304">
      <c r="A6304" t="inlineStr">
        <is>
          <t>Femi Taylor</t>
        </is>
      </c>
      <c r="B6304" t="n">
        <v>1</v>
      </c>
      <c r="C6304" t="n">
        <v>1983</v>
      </c>
      <c r="D6304" t="n">
        <v>1983</v>
      </c>
      <c r="E6304" t="inlineStr">
        <is>
          <t>Star Wars: Episode VI – Return of the Jedi</t>
        </is>
      </c>
      <c r="F6304" t="inlineStr">
        <is>
          <t>F0297</t>
        </is>
      </c>
    </row>
    <row r="6305">
      <c r="A6305" t="inlineStr">
        <is>
          <t>Annie Arbogast</t>
        </is>
      </c>
      <c r="B6305" t="n">
        <v>1</v>
      </c>
      <c r="C6305" t="n">
        <v>1983</v>
      </c>
      <c r="D6305" t="n">
        <v>1983</v>
      </c>
      <c r="E6305" t="inlineStr">
        <is>
          <t>Star Wars: Episode VI – Return of the Jedi</t>
        </is>
      </c>
      <c r="F6305" t="inlineStr">
        <is>
          <t>F0297</t>
        </is>
      </c>
    </row>
    <row r="6306">
      <c r="A6306" t="inlineStr">
        <is>
          <t>Claire Davenport</t>
        </is>
      </c>
      <c r="B6306" t="n">
        <v>1</v>
      </c>
      <c r="C6306" t="n">
        <v>1983</v>
      </c>
      <c r="D6306" t="n">
        <v>1983</v>
      </c>
      <c r="E6306" t="inlineStr">
        <is>
          <t>Star Wars: Episode VI – Return of the Jedi</t>
        </is>
      </c>
      <c r="F6306" t="inlineStr">
        <is>
          <t>F0297</t>
        </is>
      </c>
    </row>
    <row r="6307">
      <c r="A6307" t="inlineStr">
        <is>
          <t>Mike Edmonds</t>
        </is>
      </c>
      <c r="B6307" t="n">
        <v>1</v>
      </c>
      <c r="C6307" t="n">
        <v>1983</v>
      </c>
      <c r="D6307" t="n">
        <v>1983</v>
      </c>
      <c r="E6307" t="inlineStr">
        <is>
          <t>Star Wars: Episode VI – Return of the Jedi</t>
        </is>
      </c>
      <c r="F6307" t="inlineStr">
        <is>
          <t>F0297</t>
        </is>
      </c>
    </row>
    <row r="6308">
      <c r="A6308" t="inlineStr">
        <is>
          <t>Jane Busby</t>
        </is>
      </c>
      <c r="B6308" t="n">
        <v>1</v>
      </c>
      <c r="C6308" t="n">
        <v>1983</v>
      </c>
      <c r="D6308" t="n">
        <v>1983</v>
      </c>
      <c r="E6308" t="inlineStr">
        <is>
          <t>Star Wars: Episode VI – Return of the Jedi</t>
        </is>
      </c>
      <c r="F6308" t="inlineStr">
        <is>
          <t>F0297</t>
        </is>
      </c>
    </row>
    <row r="6309">
      <c r="A6309" t="inlineStr">
        <is>
          <t>Malcolm Dixon</t>
        </is>
      </c>
      <c r="B6309" t="n">
        <v>1</v>
      </c>
      <c r="C6309" t="n">
        <v>1983</v>
      </c>
      <c r="D6309" t="n">
        <v>1983</v>
      </c>
      <c r="E6309" t="inlineStr">
        <is>
          <t>Star Wars: Episode VI – Return of the Jedi</t>
        </is>
      </c>
      <c r="F6309" t="inlineStr">
        <is>
          <t>F0297</t>
        </is>
      </c>
    </row>
    <row r="6310">
      <c r="A6310" t="inlineStr">
        <is>
          <t>Mike Cottrell</t>
        </is>
      </c>
      <c r="B6310" t="n">
        <v>1</v>
      </c>
      <c r="C6310" t="n">
        <v>1983</v>
      </c>
      <c r="D6310" t="n">
        <v>1983</v>
      </c>
      <c r="E6310" t="inlineStr">
        <is>
          <t>Star Wars: Episode VI – Return of the Jedi</t>
        </is>
      </c>
      <c r="F6310" t="inlineStr">
        <is>
          <t>F0297</t>
        </is>
      </c>
    </row>
    <row r="6311">
      <c r="A6311" t="inlineStr">
        <is>
          <t>Lupita Nyong'o</t>
        </is>
      </c>
      <c r="B6311" t="n">
        <v>3</v>
      </c>
      <c r="C6311" t="n">
        <v>2015</v>
      </c>
      <c r="D6311" t="n">
        <v>2019</v>
      </c>
      <c r="E6311" t="inlineStr">
        <is>
          <t>Star Wars: The Force Awakens, Star Wars: The Last Jedi, Star Wars: The Rise of Skywalker</t>
        </is>
      </c>
      <c r="F6311" t="inlineStr">
        <is>
          <t>F0298, F0299, F0300</t>
        </is>
      </c>
    </row>
    <row r="6312">
      <c r="A6312" t="inlineStr">
        <is>
          <t>Domhnall Gleeson</t>
        </is>
      </c>
      <c r="B6312" t="n">
        <v>4</v>
      </c>
      <c r="C6312" t="n">
        <v>2010</v>
      </c>
      <c r="D6312" t="n">
        <v>2019</v>
      </c>
      <c r="E6312" t="inlineStr">
        <is>
          <t>Star Wars: The Force Awakens, Star Wars: The Last Jedi, Star Wars: The Rise of Skywalker, True Grit</t>
        </is>
      </c>
      <c r="F6312" t="inlineStr">
        <is>
          <t>F0298, F0299, F0300, F0325</t>
        </is>
      </c>
    </row>
    <row r="6313">
      <c r="A6313" t="inlineStr">
        <is>
          <t>Gwendoline Christie</t>
        </is>
      </c>
      <c r="B6313" t="n">
        <v>2</v>
      </c>
      <c r="C6313" t="n">
        <v>2015</v>
      </c>
      <c r="D6313" t="n">
        <v>2017</v>
      </c>
      <c r="E6313" t="inlineStr">
        <is>
          <t>Star Wars: The Force Awakens, Star Wars: The Last Jedi</t>
        </is>
      </c>
      <c r="F6313" t="inlineStr">
        <is>
          <t>F0298, F0299</t>
        </is>
      </c>
    </row>
    <row r="6314">
      <c r="A6314" t="inlineStr">
        <is>
          <t>Joonas Suotamo</t>
        </is>
      </c>
      <c r="B6314" t="n">
        <v>3</v>
      </c>
      <c r="C6314" t="n">
        <v>2015</v>
      </c>
      <c r="D6314" t="n">
        <v>2019</v>
      </c>
      <c r="E6314" t="inlineStr">
        <is>
          <t>Star Wars: The Force Awakens, Star Wars: The Last Jedi, Star Wars: The Rise of Skywalker</t>
        </is>
      </c>
      <c r="F6314" t="inlineStr">
        <is>
          <t>F0298, F0299, F0300</t>
        </is>
      </c>
    </row>
    <row r="6315">
      <c r="A6315" t="inlineStr">
        <is>
          <t>Pip Andersen</t>
        </is>
      </c>
      <c r="B6315" t="n">
        <v>1</v>
      </c>
      <c r="C6315" t="n">
        <v>2015</v>
      </c>
      <c r="D6315" t="n">
        <v>2015</v>
      </c>
      <c r="E6315" t="inlineStr">
        <is>
          <t>Star Wars: The Force Awakens</t>
        </is>
      </c>
      <c r="F6315" t="inlineStr">
        <is>
          <t>F0298</t>
        </is>
      </c>
    </row>
    <row r="6316">
      <c r="A6316" t="inlineStr">
        <is>
          <t>Kiran Shah</t>
        </is>
      </c>
      <c r="B6316" t="n">
        <v>1</v>
      </c>
      <c r="C6316" t="n">
        <v>2015</v>
      </c>
      <c r="D6316" t="n">
        <v>2015</v>
      </c>
      <c r="E6316" t="inlineStr">
        <is>
          <t>Star Wars: The Force Awakens</t>
        </is>
      </c>
      <c r="F6316" t="inlineStr">
        <is>
          <t>F0298</t>
        </is>
      </c>
    </row>
    <row r="6317">
      <c r="A6317" t="inlineStr">
        <is>
          <t>Sasha Frost</t>
        </is>
      </c>
      <c r="B6317" t="n">
        <v>1</v>
      </c>
      <c r="C6317" t="n">
        <v>2015</v>
      </c>
      <c r="D6317" t="n">
        <v>2015</v>
      </c>
      <c r="E6317" t="inlineStr">
        <is>
          <t>Star Wars: The Force Awakens</t>
        </is>
      </c>
      <c r="F6317" t="inlineStr">
        <is>
          <t>F0298</t>
        </is>
      </c>
    </row>
    <row r="6318">
      <c r="A6318" t="inlineStr">
        <is>
          <t>Pip Torrens</t>
        </is>
      </c>
      <c r="B6318" t="n">
        <v>1</v>
      </c>
      <c r="C6318" t="n">
        <v>2015</v>
      </c>
      <c r="D6318" t="n">
        <v>2015</v>
      </c>
      <c r="E6318" t="inlineStr">
        <is>
          <t>Star Wars: The Force Awakens</t>
        </is>
      </c>
      <c r="F6318" t="inlineStr">
        <is>
          <t>F0298</t>
        </is>
      </c>
    </row>
    <row r="6319">
      <c r="A6319" t="inlineStr">
        <is>
          <t>Andrew Jack</t>
        </is>
      </c>
      <c r="B6319" t="n">
        <v>1</v>
      </c>
      <c r="C6319" t="n">
        <v>2015</v>
      </c>
      <c r="D6319" t="n">
        <v>2015</v>
      </c>
      <c r="E6319" t="inlineStr">
        <is>
          <t>Star Wars: The Force Awakens</t>
        </is>
      </c>
      <c r="F6319" t="inlineStr">
        <is>
          <t>F0298</t>
        </is>
      </c>
    </row>
    <row r="6320">
      <c r="A6320" t="inlineStr">
        <is>
          <t>Rocky Marshall</t>
        </is>
      </c>
      <c r="B6320" t="n">
        <v>1</v>
      </c>
      <c r="C6320" t="n">
        <v>2015</v>
      </c>
      <c r="D6320" t="n">
        <v>2015</v>
      </c>
      <c r="E6320" t="inlineStr">
        <is>
          <t>Star Wars: The Force Awakens</t>
        </is>
      </c>
      <c r="F6320" t="inlineStr">
        <is>
          <t>F0298</t>
        </is>
      </c>
    </row>
    <row r="6321">
      <c r="A6321" t="inlineStr">
        <is>
          <t>Brian Vernel</t>
        </is>
      </c>
      <c r="B6321" t="n">
        <v>1</v>
      </c>
      <c r="C6321" t="n">
        <v>2015</v>
      </c>
      <c r="D6321" t="n">
        <v>2015</v>
      </c>
      <c r="E6321" t="inlineStr">
        <is>
          <t>Star Wars: The Force Awakens</t>
        </is>
      </c>
      <c r="F6321" t="inlineStr">
        <is>
          <t>F0298</t>
        </is>
      </c>
    </row>
    <row r="6322">
      <c r="A6322" t="inlineStr">
        <is>
          <t>Yayan Ruhian</t>
        </is>
      </c>
      <c r="B6322" t="n">
        <v>1</v>
      </c>
      <c r="C6322" t="n">
        <v>2015</v>
      </c>
      <c r="D6322" t="n">
        <v>2015</v>
      </c>
      <c r="E6322" t="inlineStr">
        <is>
          <t>Star Wars: The Force Awakens</t>
        </is>
      </c>
      <c r="F6322" t="inlineStr">
        <is>
          <t>F0298</t>
        </is>
      </c>
    </row>
    <row r="6323">
      <c r="A6323" t="inlineStr">
        <is>
          <t>Maisie Richardson-Sellers</t>
        </is>
      </c>
      <c r="B6323" t="n">
        <v>1</v>
      </c>
      <c r="C6323" t="n">
        <v>2015</v>
      </c>
      <c r="D6323" t="n">
        <v>2015</v>
      </c>
      <c r="E6323" t="inlineStr">
        <is>
          <t>Star Wars: The Force Awakens</t>
        </is>
      </c>
      <c r="F6323" t="inlineStr">
        <is>
          <t>F0298</t>
        </is>
      </c>
    </row>
    <row r="6324">
      <c r="A6324" t="inlineStr">
        <is>
          <t>Cailey Fleming</t>
        </is>
      </c>
      <c r="B6324" t="n">
        <v>1</v>
      </c>
      <c r="C6324" t="n">
        <v>2015</v>
      </c>
      <c r="D6324" t="n">
        <v>2015</v>
      </c>
      <c r="E6324" t="inlineStr">
        <is>
          <t>Star Wars: The Force Awakens</t>
        </is>
      </c>
      <c r="F6324" t="inlineStr">
        <is>
          <t>F0298</t>
        </is>
      </c>
    </row>
    <row r="6325">
      <c r="A6325" t="inlineStr">
        <is>
          <t>Kelly Marie Tran</t>
        </is>
      </c>
      <c r="B6325" t="n">
        <v>2</v>
      </c>
      <c r="C6325" t="n">
        <v>2017</v>
      </c>
      <c r="D6325" t="n">
        <v>2019</v>
      </c>
      <c r="E6325" t="inlineStr">
        <is>
          <t>Star Wars: The Last Jedi, Star Wars: The Rise of Skywalker</t>
        </is>
      </c>
      <c r="F6325" t="inlineStr">
        <is>
          <t>F0299, F0300</t>
        </is>
      </c>
    </row>
    <row r="6326">
      <c r="A6326" t="inlineStr">
        <is>
          <t>Billie Lourd</t>
        </is>
      </c>
      <c r="B6326" t="n">
        <v>2</v>
      </c>
      <c r="C6326" t="n">
        <v>2017</v>
      </c>
      <c r="D6326" t="n">
        <v>2019</v>
      </c>
      <c r="E6326" t="inlineStr">
        <is>
          <t>Star Wars: The Last Jedi, Star Wars: The Rise of Skywalker</t>
        </is>
      </c>
      <c r="F6326" t="inlineStr">
        <is>
          <t>F0299, F0300</t>
        </is>
      </c>
    </row>
    <row r="6327">
      <c r="A6327" t="inlineStr">
        <is>
          <t>Amanda Lawrence</t>
        </is>
      </c>
      <c r="B6327" t="n">
        <v>1</v>
      </c>
      <c r="C6327" t="n">
        <v>2017</v>
      </c>
      <c r="D6327" t="n">
        <v>2017</v>
      </c>
      <c r="E6327" t="inlineStr">
        <is>
          <t>Star Wars: The Last Jedi</t>
        </is>
      </c>
      <c r="F6327" t="inlineStr">
        <is>
          <t>F0299</t>
        </is>
      </c>
    </row>
    <row r="6328">
      <c r="A6328" t="inlineStr">
        <is>
          <t>Brian Herring</t>
        </is>
      </c>
      <c r="B6328" t="n">
        <v>2</v>
      </c>
      <c r="C6328" t="n">
        <v>2017</v>
      </c>
      <c r="D6328" t="n">
        <v>2019</v>
      </c>
      <c r="E6328" t="inlineStr">
        <is>
          <t>Star Wars: The Last Jedi, Star Wars: The Rise of Skywalker</t>
        </is>
      </c>
      <c r="F6328" t="inlineStr">
        <is>
          <t>F0299, F0300</t>
        </is>
      </c>
    </row>
    <row r="6329">
      <c r="A6329" t="inlineStr">
        <is>
          <t>Dave Chapman</t>
        </is>
      </c>
      <c r="B6329" t="n">
        <v>2</v>
      </c>
      <c r="C6329" t="n">
        <v>2017</v>
      </c>
      <c r="D6329" t="n">
        <v>2019</v>
      </c>
      <c r="E6329" t="inlineStr">
        <is>
          <t>Star Wars: The Last Jedi, Star Wars: The Rise of Skywalker</t>
        </is>
      </c>
      <c r="F6329" t="inlineStr">
        <is>
          <t>F0299, F0300</t>
        </is>
      </c>
    </row>
    <row r="6330">
      <c r="A6330" t="inlineStr">
        <is>
          <t>Tom Kane</t>
        </is>
      </c>
      <c r="B6330" t="n">
        <v>1</v>
      </c>
      <c r="C6330" t="n">
        <v>2017</v>
      </c>
      <c r="D6330" t="n">
        <v>2017</v>
      </c>
      <c r="E6330" t="inlineStr">
        <is>
          <t>Star Wars: The Last Jedi</t>
        </is>
      </c>
      <c r="F6330" t="inlineStr">
        <is>
          <t>F0299</t>
        </is>
      </c>
    </row>
    <row r="6331">
      <c r="A6331" t="inlineStr">
        <is>
          <t>Adrian Edmondson</t>
        </is>
      </c>
      <c r="B6331" t="n">
        <v>1</v>
      </c>
      <c r="C6331" t="n">
        <v>2017</v>
      </c>
      <c r="D6331" t="n">
        <v>2017</v>
      </c>
      <c r="E6331" t="inlineStr">
        <is>
          <t>Star Wars: The Last Jedi</t>
        </is>
      </c>
      <c r="F6331" t="inlineStr">
        <is>
          <t>F0299</t>
        </is>
      </c>
    </row>
    <row r="6332">
      <c r="A6332" t="inlineStr">
        <is>
          <t>Veronica Ngô</t>
        </is>
      </c>
      <c r="B6332" t="n">
        <v>1</v>
      </c>
      <c r="C6332" t="n">
        <v>2017</v>
      </c>
      <c r="D6332" t="n">
        <v>2017</v>
      </c>
      <c r="E6332" t="inlineStr">
        <is>
          <t>Star Wars: The Last Jedi</t>
        </is>
      </c>
      <c r="F6332" t="inlineStr">
        <is>
          <t>F0299</t>
        </is>
      </c>
    </row>
    <row r="6333">
      <c r="A6333" t="inlineStr">
        <is>
          <t>Noah Segan</t>
        </is>
      </c>
      <c r="B6333" t="n">
        <v>1</v>
      </c>
      <c r="C6333" t="n">
        <v>2017</v>
      </c>
      <c r="D6333" t="n">
        <v>2017</v>
      </c>
      <c r="E6333" t="inlineStr">
        <is>
          <t>Star Wars: The Last Jedi</t>
        </is>
      </c>
      <c r="F6333" t="inlineStr">
        <is>
          <t>F0299</t>
        </is>
      </c>
    </row>
    <row r="6334">
      <c r="A6334" t="inlineStr">
        <is>
          <t>Jamie Christopher</t>
        </is>
      </c>
      <c r="B6334" t="n">
        <v>1</v>
      </c>
      <c r="C6334" t="n">
        <v>2017</v>
      </c>
      <c r="D6334" t="n">
        <v>2017</v>
      </c>
      <c r="E6334" t="inlineStr">
        <is>
          <t>Star Wars: The Last Jedi</t>
        </is>
      </c>
      <c r="F6334" t="inlineStr">
        <is>
          <t>F0299</t>
        </is>
      </c>
    </row>
    <row r="6335">
      <c r="A6335" t="inlineStr">
        <is>
          <t>Naomi Ackie</t>
        </is>
      </c>
      <c r="B6335" t="n">
        <v>1</v>
      </c>
      <c r="C6335" t="n">
        <v>2019</v>
      </c>
      <c r="D6335" t="n">
        <v>2019</v>
      </c>
      <c r="E6335" t="inlineStr">
        <is>
          <t>Star Wars: The Rise of Skywalker</t>
        </is>
      </c>
      <c r="F6335" t="inlineStr">
        <is>
          <t>F0300</t>
        </is>
      </c>
    </row>
    <row r="6336">
      <c r="A6336" t="inlineStr">
        <is>
          <t>Hassan Taj</t>
        </is>
      </c>
      <c r="B6336" t="n">
        <v>1</v>
      </c>
      <c r="C6336" t="n">
        <v>2019</v>
      </c>
      <c r="D6336" t="n">
        <v>2019</v>
      </c>
      <c r="E6336" t="inlineStr">
        <is>
          <t>Star Wars: The Rise of Skywalker</t>
        </is>
      </c>
      <c r="F6336" t="inlineStr">
        <is>
          <t>F0300</t>
        </is>
      </c>
    </row>
    <row r="6337">
      <c r="A6337" t="inlineStr">
        <is>
          <t>Lee Towersey</t>
        </is>
      </c>
      <c r="B6337" t="n">
        <v>1</v>
      </c>
      <c r="C6337" t="n">
        <v>2019</v>
      </c>
      <c r="D6337" t="n">
        <v>2019</v>
      </c>
      <c r="E6337" t="inlineStr">
        <is>
          <t>Star Wars: The Rise of Skywalker</t>
        </is>
      </c>
      <c r="F6337" t="inlineStr">
        <is>
          <t>F0300</t>
        </is>
      </c>
    </row>
    <row r="6338">
      <c r="A6338" t="inlineStr">
        <is>
          <t>Richard Guiver</t>
        </is>
      </c>
      <c r="B6338" t="n">
        <v>1</v>
      </c>
      <c r="C6338" t="n">
        <v>2019</v>
      </c>
      <c r="D6338" t="n">
        <v>2019</v>
      </c>
      <c r="E6338" t="inlineStr">
        <is>
          <t>Star Wars: The Rise of Skywalker</t>
        </is>
      </c>
      <c r="F6338" t="inlineStr">
        <is>
          <t>F0300</t>
        </is>
      </c>
    </row>
    <row r="6339">
      <c r="A6339" t="inlineStr">
        <is>
          <t>Lynn Robertson Bruce</t>
        </is>
      </c>
      <c r="B6339" t="n">
        <v>1</v>
      </c>
      <c r="C6339" t="n">
        <v>2019</v>
      </c>
      <c r="D6339" t="n">
        <v>2019</v>
      </c>
      <c r="E6339" t="inlineStr">
        <is>
          <t>Star Wars: The Rise of Skywalker</t>
        </is>
      </c>
      <c r="F6339" t="inlineStr">
        <is>
          <t>F0300</t>
        </is>
      </c>
    </row>
    <row r="6340">
      <c r="A6340" t="inlineStr">
        <is>
          <t>J.J. Abrams</t>
        </is>
      </c>
      <c r="B6340" t="n">
        <v>1</v>
      </c>
      <c r="C6340" t="n">
        <v>2019</v>
      </c>
      <c r="D6340" t="n">
        <v>2019</v>
      </c>
      <c r="E6340" t="inlineStr">
        <is>
          <t>Star Wars: The Rise of Skywalker</t>
        </is>
      </c>
      <c r="F6340" t="inlineStr">
        <is>
          <t>F0300</t>
        </is>
      </c>
    </row>
    <row r="6341">
      <c r="A6341" t="inlineStr">
        <is>
          <t>Claire Roi Harvey</t>
        </is>
      </c>
      <c r="B6341" t="n">
        <v>1</v>
      </c>
      <c r="C6341" t="n">
        <v>2019</v>
      </c>
      <c r="D6341" t="n">
        <v>2019</v>
      </c>
      <c r="E6341" t="inlineStr">
        <is>
          <t>Star Wars: The Rise of Skywalker</t>
        </is>
      </c>
      <c r="F6341" t="inlineStr">
        <is>
          <t>F0300</t>
        </is>
      </c>
    </row>
    <row r="6342">
      <c r="A6342" t="inlineStr">
        <is>
          <t>Richard Coombs</t>
        </is>
      </c>
      <c r="B6342" t="n">
        <v>1</v>
      </c>
      <c r="C6342" t="n">
        <v>2019</v>
      </c>
      <c r="D6342" t="n">
        <v>2019</v>
      </c>
      <c r="E6342" t="inlineStr">
        <is>
          <t>Star Wars: The Rise of Skywalker</t>
        </is>
      </c>
      <c r="F6342" t="inlineStr">
        <is>
          <t>F0300</t>
        </is>
      </c>
    </row>
    <row r="6343">
      <c r="A6343" t="inlineStr">
        <is>
          <t>Matt Denton</t>
        </is>
      </c>
      <c r="B6343" t="n">
        <v>1</v>
      </c>
      <c r="C6343" t="n">
        <v>2019</v>
      </c>
      <c r="D6343" t="n">
        <v>2019</v>
      </c>
      <c r="E6343" t="inlineStr">
        <is>
          <t>Star Wars: The Rise of Skywalker</t>
        </is>
      </c>
      <c r="F6343" t="inlineStr">
        <is>
          <t>F0300</t>
        </is>
      </c>
    </row>
    <row r="6344">
      <c r="A6344" t="inlineStr">
        <is>
          <t>LaKeith Stanfield</t>
        </is>
      </c>
      <c r="B6344" t="n">
        <v>1</v>
      </c>
      <c r="C6344" t="n">
        <v>2015</v>
      </c>
      <c r="D6344" t="n">
        <v>2015</v>
      </c>
      <c r="E6344" t="inlineStr">
        <is>
          <t>Straight Outta Compton</t>
        </is>
      </c>
      <c r="F6344" t="inlineStr">
        <is>
          <t>F0301</t>
        </is>
      </c>
    </row>
    <row r="6345">
      <c r="A6345" t="inlineStr">
        <is>
          <t>Carra Patterson</t>
        </is>
      </c>
      <c r="B6345" t="n">
        <v>1</v>
      </c>
      <c r="C6345" t="n">
        <v>2015</v>
      </c>
      <c r="D6345" t="n">
        <v>2015</v>
      </c>
      <c r="E6345" t="inlineStr">
        <is>
          <t>Straight Outta Compton</t>
        </is>
      </c>
      <c r="F6345" t="inlineStr">
        <is>
          <t>F0301</t>
        </is>
      </c>
    </row>
    <row r="6346">
      <c r="A6346" t="inlineStr">
        <is>
          <t>Tate Ellington</t>
        </is>
      </c>
      <c r="B6346" t="n">
        <v>1</v>
      </c>
      <c r="C6346" t="n">
        <v>2015</v>
      </c>
      <c r="D6346" t="n">
        <v>2015</v>
      </c>
      <c r="E6346" t="inlineStr">
        <is>
          <t>Straight Outta Compton</t>
        </is>
      </c>
      <c r="F6346" t="inlineStr">
        <is>
          <t>F0301</t>
        </is>
      </c>
    </row>
    <row r="6347">
      <c r="A6347" t="inlineStr">
        <is>
          <t>Corey Reynolds</t>
        </is>
      </c>
      <c r="B6347" t="n">
        <v>1</v>
      </c>
      <c r="C6347" t="n">
        <v>2015</v>
      </c>
      <c r="D6347" t="n">
        <v>2015</v>
      </c>
      <c r="E6347" t="inlineStr">
        <is>
          <t>Straight Outta Compton</t>
        </is>
      </c>
      <c r="F6347" t="inlineStr">
        <is>
          <t>F0301</t>
        </is>
      </c>
    </row>
    <row r="6348">
      <c r="A6348" t="inlineStr">
        <is>
          <t>Keith Powers</t>
        </is>
      </c>
      <c r="B6348" t="n">
        <v>1</v>
      </c>
      <c r="C6348" t="n">
        <v>2015</v>
      </c>
      <c r="D6348" t="n">
        <v>2015</v>
      </c>
      <c r="E6348" t="inlineStr">
        <is>
          <t>Straight Outta Compton</t>
        </is>
      </c>
      <c r="F6348" t="inlineStr">
        <is>
          <t>F0301</t>
        </is>
      </c>
    </row>
    <row r="6349">
      <c r="A6349" t="inlineStr">
        <is>
          <t>Orlando Brown</t>
        </is>
      </c>
      <c r="B6349" t="n">
        <v>1</v>
      </c>
      <c r="C6349" t="n">
        <v>2015</v>
      </c>
      <c r="D6349" t="n">
        <v>2015</v>
      </c>
      <c r="E6349" t="inlineStr">
        <is>
          <t>Straight Outta Compton</t>
        </is>
      </c>
      <c r="F6349" t="inlineStr">
        <is>
          <t>F0301</t>
        </is>
      </c>
    </row>
    <row r="6350">
      <c r="A6350" t="inlineStr">
        <is>
          <t>Marlon Yates Jr.</t>
        </is>
      </c>
      <c r="B6350" t="n">
        <v>1</v>
      </c>
      <c r="C6350" t="n">
        <v>2015</v>
      </c>
      <c r="D6350" t="n">
        <v>2015</v>
      </c>
      <c r="E6350" t="inlineStr">
        <is>
          <t>Straight Outta Compton</t>
        </is>
      </c>
      <c r="F6350" t="inlineStr">
        <is>
          <t>F0301</t>
        </is>
      </c>
    </row>
    <row r="6351">
      <c r="A6351" t="inlineStr">
        <is>
          <t>Joshua Brockington</t>
        </is>
      </c>
      <c r="B6351" t="n">
        <v>1</v>
      </c>
      <c r="C6351" t="n">
        <v>2015</v>
      </c>
      <c r="D6351" t="n">
        <v>2015</v>
      </c>
      <c r="E6351" t="inlineStr">
        <is>
          <t>Straight Outta Compton</t>
        </is>
      </c>
      <c r="F6351" t="inlineStr">
        <is>
          <t>F0301</t>
        </is>
      </c>
    </row>
    <row r="6352">
      <c r="A6352" t="inlineStr">
        <is>
          <t>Sheldon A. Smith</t>
        </is>
      </c>
      <c r="B6352" t="n">
        <v>1</v>
      </c>
      <c r="C6352" t="n">
        <v>2015</v>
      </c>
      <c r="D6352" t="n">
        <v>2015</v>
      </c>
      <c r="E6352" t="inlineStr">
        <is>
          <t>Straight Outta Compton</t>
        </is>
      </c>
      <c r="F6352" t="inlineStr">
        <is>
          <t>F0301</t>
        </is>
      </c>
    </row>
    <row r="6353">
      <c r="A6353" t="inlineStr">
        <is>
          <t>Cleavon McClendon</t>
        </is>
      </c>
      <c r="B6353" t="n">
        <v>1</v>
      </c>
      <c r="C6353" t="n">
        <v>2015</v>
      </c>
      <c r="D6353" t="n">
        <v>2015</v>
      </c>
      <c r="E6353" t="inlineStr">
        <is>
          <t>Straight Outta Compton</t>
        </is>
      </c>
      <c r="F6353" t="inlineStr">
        <is>
          <t>F0301</t>
        </is>
      </c>
    </row>
    <row r="6354">
      <c r="A6354" t="inlineStr">
        <is>
          <t>Aeriél Miranda</t>
        </is>
      </c>
      <c r="B6354" t="n">
        <v>1</v>
      </c>
      <c r="C6354" t="n">
        <v>2015</v>
      </c>
      <c r="D6354" t="n">
        <v>2015</v>
      </c>
      <c r="E6354" t="inlineStr">
        <is>
          <t>Straight Outta Compton</t>
        </is>
      </c>
      <c r="F6354" t="inlineStr">
        <is>
          <t>F0301</t>
        </is>
      </c>
    </row>
    <row r="6355">
      <c r="A6355" t="inlineStr">
        <is>
          <t>Lisa Renee Pitts</t>
        </is>
      </c>
      <c r="B6355" t="n">
        <v>1</v>
      </c>
      <c r="C6355" t="n">
        <v>2015</v>
      </c>
      <c r="D6355" t="n">
        <v>2015</v>
      </c>
      <c r="E6355" t="inlineStr">
        <is>
          <t>Straight Outta Compton</t>
        </is>
      </c>
      <c r="F6355" t="inlineStr">
        <is>
          <t>F0301</t>
        </is>
      </c>
    </row>
    <row r="6356">
      <c r="A6356" t="inlineStr">
        <is>
          <t>Angela Elayne Gibbs</t>
        </is>
      </c>
      <c r="B6356" t="n">
        <v>1</v>
      </c>
      <c r="C6356" t="n">
        <v>2015</v>
      </c>
      <c r="D6356" t="n">
        <v>2015</v>
      </c>
      <c r="E6356" t="inlineStr">
        <is>
          <t>Straight Outta Compton</t>
        </is>
      </c>
      <c r="F6356" t="inlineStr">
        <is>
          <t>F0301</t>
        </is>
      </c>
    </row>
    <row r="6357">
      <c r="A6357" t="inlineStr">
        <is>
          <t>Bruce Beatty</t>
        </is>
      </c>
      <c r="B6357" t="n">
        <v>1</v>
      </c>
      <c r="C6357" t="n">
        <v>2015</v>
      </c>
      <c r="D6357" t="n">
        <v>2015</v>
      </c>
      <c r="E6357" t="inlineStr">
        <is>
          <t>Straight Outta Compton</t>
        </is>
      </c>
      <c r="F6357" t="inlineStr">
        <is>
          <t>F0301</t>
        </is>
      </c>
    </row>
    <row r="6358">
      <c r="A6358" t="inlineStr">
        <is>
          <t>Rogelio Douglas Jr.</t>
        </is>
      </c>
      <c r="B6358" t="n">
        <v>1</v>
      </c>
      <c r="C6358" t="n">
        <v>2015</v>
      </c>
      <c r="D6358" t="n">
        <v>2015</v>
      </c>
      <c r="E6358" t="inlineStr">
        <is>
          <t>Straight Outta Compton</t>
        </is>
      </c>
      <c r="F6358" t="inlineStr">
        <is>
          <t>F0301</t>
        </is>
      </c>
    </row>
    <row r="6359">
      <c r="A6359" t="inlineStr">
        <is>
          <t>Natascha Hopkins</t>
        </is>
      </c>
      <c r="B6359" t="n">
        <v>1</v>
      </c>
      <c r="C6359" t="n">
        <v>2015</v>
      </c>
      <c r="D6359" t="n">
        <v>2015</v>
      </c>
      <c r="E6359" t="inlineStr">
        <is>
          <t>Straight Outta Compton</t>
        </is>
      </c>
      <c r="F6359" t="inlineStr">
        <is>
          <t>F0301</t>
        </is>
      </c>
    </row>
    <row r="6360">
      <c r="A6360" t="inlineStr">
        <is>
          <t>Matt Corboy</t>
        </is>
      </c>
      <c r="B6360" t="n">
        <v>1</v>
      </c>
      <c r="C6360" t="n">
        <v>2015</v>
      </c>
      <c r="D6360" t="n">
        <v>2015</v>
      </c>
      <c r="E6360" t="inlineStr">
        <is>
          <t>Straight Outta Compton</t>
        </is>
      </c>
      <c r="F6360" t="inlineStr">
        <is>
          <t>F0301</t>
        </is>
      </c>
    </row>
    <row r="6361">
      <c r="A6361" t="inlineStr">
        <is>
          <t>Larry Sullivan</t>
        </is>
      </c>
      <c r="B6361" t="n">
        <v>1</v>
      </c>
      <c r="C6361" t="n">
        <v>2015</v>
      </c>
      <c r="D6361" t="n">
        <v>2015</v>
      </c>
      <c r="E6361" t="inlineStr">
        <is>
          <t>Straight Outta Compton</t>
        </is>
      </c>
      <c r="F6361" t="inlineStr">
        <is>
          <t>F0301</t>
        </is>
      </c>
    </row>
    <row r="6362">
      <c r="A6362" t="inlineStr">
        <is>
          <t>Deborah Lacey</t>
        </is>
      </c>
      <c r="B6362" t="n">
        <v>1</v>
      </c>
      <c r="C6362" t="n">
        <v>2015</v>
      </c>
      <c r="D6362" t="n">
        <v>2015</v>
      </c>
      <c r="E6362" t="inlineStr">
        <is>
          <t>Straight Outta Compton</t>
        </is>
      </c>
      <c r="F6362" t="inlineStr">
        <is>
          <t>F0301</t>
        </is>
      </c>
    </row>
    <row r="6363">
      <c r="A6363" t="inlineStr">
        <is>
          <t>F. Gary Gray</t>
        </is>
      </c>
      <c r="B6363" t="n">
        <v>1</v>
      </c>
      <c r="C6363" t="n">
        <v>2015</v>
      </c>
      <c r="D6363" t="n">
        <v>2015</v>
      </c>
      <c r="E6363" t="inlineStr">
        <is>
          <t>Straight Outta Compton</t>
        </is>
      </c>
      <c r="F6363" t="inlineStr">
        <is>
          <t>F0301</t>
        </is>
      </c>
    </row>
    <row r="6364">
      <c r="A6364" t="inlineStr">
        <is>
          <t>AJ Michalka</t>
        </is>
      </c>
      <c r="B6364" t="n">
        <v>1</v>
      </c>
      <c r="C6364" t="n">
        <v>2011</v>
      </c>
      <c r="D6364" t="n">
        <v>2011</v>
      </c>
      <c r="E6364" t="inlineStr">
        <is>
          <t>Super 8</t>
        </is>
      </c>
      <c r="F6364" t="inlineStr">
        <is>
          <t>F0302</t>
        </is>
      </c>
    </row>
    <row r="6365">
      <c r="A6365" t="inlineStr">
        <is>
          <t>Ryan Lee</t>
        </is>
      </c>
      <c r="B6365" t="n">
        <v>1</v>
      </c>
      <c r="C6365" t="n">
        <v>2011</v>
      </c>
      <c r="D6365" t="n">
        <v>2011</v>
      </c>
      <c r="E6365" t="inlineStr">
        <is>
          <t>Super 8</t>
        </is>
      </c>
      <c r="F6365" t="inlineStr">
        <is>
          <t>F0302</t>
        </is>
      </c>
    </row>
    <row r="6366">
      <c r="A6366" t="inlineStr">
        <is>
          <t>Gabriel Basso</t>
        </is>
      </c>
      <c r="B6366" t="n">
        <v>1</v>
      </c>
      <c r="C6366" t="n">
        <v>2011</v>
      </c>
      <c r="D6366" t="n">
        <v>2011</v>
      </c>
      <c r="E6366" t="inlineStr">
        <is>
          <t>Super 8</t>
        </is>
      </c>
      <c r="F6366" t="inlineStr">
        <is>
          <t>F0302</t>
        </is>
      </c>
    </row>
    <row r="6367">
      <c r="A6367" t="inlineStr">
        <is>
          <t>Zach Mills</t>
        </is>
      </c>
      <c r="B6367" t="n">
        <v>1</v>
      </c>
      <c r="C6367" t="n">
        <v>2011</v>
      </c>
      <c r="D6367" t="n">
        <v>2011</v>
      </c>
      <c r="E6367" t="inlineStr">
        <is>
          <t>Super 8</t>
        </is>
      </c>
      <c r="F6367" t="inlineStr">
        <is>
          <t>F0302</t>
        </is>
      </c>
    </row>
    <row r="6368">
      <c r="A6368" t="inlineStr">
        <is>
          <t>Jessica Tuck</t>
        </is>
      </c>
      <c r="B6368" t="n">
        <v>1</v>
      </c>
      <c r="C6368" t="n">
        <v>2011</v>
      </c>
      <c r="D6368" t="n">
        <v>2011</v>
      </c>
      <c r="E6368" t="inlineStr">
        <is>
          <t>Super 8</t>
        </is>
      </c>
      <c r="F6368" t="inlineStr">
        <is>
          <t>F0302</t>
        </is>
      </c>
    </row>
    <row r="6369">
      <c r="A6369" t="inlineStr">
        <is>
          <t>Joel McKinnon Miller</t>
        </is>
      </c>
      <c r="B6369" t="n">
        <v>1</v>
      </c>
      <c r="C6369" t="n">
        <v>2011</v>
      </c>
      <c r="D6369" t="n">
        <v>2011</v>
      </c>
      <c r="E6369" t="inlineStr">
        <is>
          <t>Super 8</t>
        </is>
      </c>
      <c r="F6369" t="inlineStr">
        <is>
          <t>F0302</t>
        </is>
      </c>
    </row>
    <row r="6370">
      <c r="A6370" t="inlineStr">
        <is>
          <t>Britt Flatmo</t>
        </is>
      </c>
      <c r="B6370" t="n">
        <v>1</v>
      </c>
      <c r="C6370" t="n">
        <v>2011</v>
      </c>
      <c r="D6370" t="n">
        <v>2011</v>
      </c>
      <c r="E6370" t="inlineStr">
        <is>
          <t>Super 8</t>
        </is>
      </c>
      <c r="F6370" t="inlineStr">
        <is>
          <t>F0302</t>
        </is>
      </c>
    </row>
    <row r="6371">
      <c r="A6371" t="inlineStr">
        <is>
          <t>Tom Quinn</t>
        </is>
      </c>
      <c r="B6371" t="n">
        <v>1</v>
      </c>
      <c r="C6371" t="n">
        <v>2011</v>
      </c>
      <c r="D6371" t="n">
        <v>2011</v>
      </c>
      <c r="E6371" t="inlineStr">
        <is>
          <t>Super 8</t>
        </is>
      </c>
      <c r="F6371" t="inlineStr">
        <is>
          <t>F0302</t>
        </is>
      </c>
    </row>
    <row r="6372">
      <c r="A6372" t="inlineStr">
        <is>
          <t>Caitríona Balfe</t>
        </is>
      </c>
      <c r="B6372" t="n">
        <v>1</v>
      </c>
      <c r="C6372" t="n">
        <v>2011</v>
      </c>
      <c r="D6372" t="n">
        <v>2011</v>
      </c>
      <c r="E6372" t="inlineStr">
        <is>
          <t>Super 8</t>
        </is>
      </c>
      <c r="F6372" t="inlineStr">
        <is>
          <t>F0302</t>
        </is>
      </c>
    </row>
    <row r="6373">
      <c r="A6373" t="inlineStr">
        <is>
          <t>Amanda Foreman</t>
        </is>
      </c>
      <c r="B6373" t="n">
        <v>1</v>
      </c>
      <c r="C6373" t="n">
        <v>2011</v>
      </c>
      <c r="D6373" t="n">
        <v>2011</v>
      </c>
      <c r="E6373" t="inlineStr">
        <is>
          <t>Super 8</t>
        </is>
      </c>
      <c r="F6373" t="inlineStr">
        <is>
          <t>F0302</t>
        </is>
      </c>
    </row>
    <row r="6374">
      <c r="A6374" t="inlineStr">
        <is>
          <t>David Gallagher</t>
        </is>
      </c>
      <c r="B6374" t="n">
        <v>1</v>
      </c>
      <c r="C6374" t="n">
        <v>2011</v>
      </c>
      <c r="D6374" t="n">
        <v>2011</v>
      </c>
      <c r="E6374" t="inlineStr">
        <is>
          <t>Super 8</t>
        </is>
      </c>
      <c r="F6374" t="inlineStr">
        <is>
          <t>F0302</t>
        </is>
      </c>
    </row>
    <row r="6375">
      <c r="A6375" t="inlineStr">
        <is>
          <t>Bingo O'Malley</t>
        </is>
      </c>
      <c r="B6375" t="n">
        <v>1</v>
      </c>
      <c r="C6375" t="n">
        <v>2011</v>
      </c>
      <c r="D6375" t="n">
        <v>2011</v>
      </c>
      <c r="E6375" t="inlineStr">
        <is>
          <t>Super 8</t>
        </is>
      </c>
      <c r="F6375" t="inlineStr">
        <is>
          <t>F0302</t>
        </is>
      </c>
    </row>
    <row r="6376">
      <c r="A6376" t="inlineStr">
        <is>
          <t>Andrew Miller</t>
        </is>
      </c>
      <c r="B6376" t="n">
        <v>1</v>
      </c>
      <c r="C6376" t="n">
        <v>2011</v>
      </c>
      <c r="D6376" t="n">
        <v>2011</v>
      </c>
      <c r="E6376" t="inlineStr">
        <is>
          <t>Super 8</t>
        </is>
      </c>
      <c r="F6376" t="inlineStr">
        <is>
          <t>F0302</t>
        </is>
      </c>
    </row>
    <row r="6377">
      <c r="A6377" t="inlineStr">
        <is>
          <t>Jakob Miller</t>
        </is>
      </c>
      <c r="B6377" t="n">
        <v>1</v>
      </c>
      <c r="C6377" t="n">
        <v>2011</v>
      </c>
      <c r="D6377" t="n">
        <v>2011</v>
      </c>
      <c r="E6377" t="inlineStr">
        <is>
          <t>Super 8</t>
        </is>
      </c>
      <c r="F6377" t="inlineStr">
        <is>
          <t>F0302</t>
        </is>
      </c>
    </row>
    <row r="6378">
      <c r="A6378" t="inlineStr">
        <is>
          <t>Robert B. Quiroz</t>
        </is>
      </c>
      <c r="B6378" t="n">
        <v>1</v>
      </c>
      <c r="C6378" t="n">
        <v>2011</v>
      </c>
      <c r="D6378" t="n">
        <v>2011</v>
      </c>
      <c r="E6378" t="inlineStr">
        <is>
          <t>Super 8</t>
        </is>
      </c>
      <c r="F6378" t="inlineStr">
        <is>
          <t>F0302</t>
        </is>
      </c>
    </row>
    <row r="6379">
      <c r="A6379" t="inlineStr">
        <is>
          <t>Koa Melvin</t>
        </is>
      </c>
      <c r="B6379" t="n">
        <v>1</v>
      </c>
      <c r="C6379" t="n">
        <v>2011</v>
      </c>
      <c r="D6379" t="n">
        <v>2011</v>
      </c>
      <c r="E6379" t="inlineStr">
        <is>
          <t>Super 8</t>
        </is>
      </c>
      <c r="F6379" t="inlineStr">
        <is>
          <t>F0302</t>
        </is>
      </c>
    </row>
    <row r="6380">
      <c r="A6380" t="inlineStr">
        <is>
          <t>Martha MacIsaac</t>
        </is>
      </c>
      <c r="B6380" t="n">
        <v>1</v>
      </c>
      <c r="C6380" t="n">
        <v>2007</v>
      </c>
      <c r="D6380" t="n">
        <v>2007</v>
      </c>
      <c r="E6380" t="inlineStr">
        <is>
          <t>Superbad</t>
        </is>
      </c>
      <c r="F6380" t="inlineStr">
        <is>
          <t>F0303</t>
        </is>
      </c>
    </row>
    <row r="6381">
      <c r="A6381" t="inlineStr">
        <is>
          <t>Aviva Baumann</t>
        </is>
      </c>
      <c r="B6381" t="n">
        <v>1</v>
      </c>
      <c r="C6381" t="n">
        <v>2007</v>
      </c>
      <c r="D6381" t="n">
        <v>2007</v>
      </c>
      <c r="E6381" t="inlineStr">
        <is>
          <t>Superbad</t>
        </is>
      </c>
      <c r="F6381" t="inlineStr">
        <is>
          <t>F0303</t>
        </is>
      </c>
    </row>
    <row r="6382">
      <c r="A6382" t="inlineStr">
        <is>
          <t>Clement Blake</t>
        </is>
      </c>
      <c r="B6382" t="n">
        <v>1</v>
      </c>
      <c r="C6382" t="n">
        <v>2007</v>
      </c>
      <c r="D6382" t="n">
        <v>2007</v>
      </c>
      <c r="E6382" t="inlineStr">
        <is>
          <t>Superbad</t>
        </is>
      </c>
      <c r="F6382" t="inlineStr">
        <is>
          <t>F0303</t>
        </is>
      </c>
    </row>
    <row r="6383">
      <c r="A6383" t="inlineStr">
        <is>
          <t>Erica Vittina Phillips</t>
        </is>
      </c>
      <c r="B6383" t="n">
        <v>1</v>
      </c>
      <c r="C6383" t="n">
        <v>2007</v>
      </c>
      <c r="D6383" t="n">
        <v>2007</v>
      </c>
      <c r="E6383" t="inlineStr">
        <is>
          <t>Superbad</t>
        </is>
      </c>
      <c r="F6383" t="inlineStr">
        <is>
          <t>F0303</t>
        </is>
      </c>
    </row>
    <row r="6384">
      <c r="A6384" t="inlineStr">
        <is>
          <t>Scott Gerbacia</t>
        </is>
      </c>
      <c r="B6384" t="n">
        <v>1</v>
      </c>
      <c r="C6384" t="n">
        <v>2007</v>
      </c>
      <c r="D6384" t="n">
        <v>2007</v>
      </c>
      <c r="E6384" t="inlineStr">
        <is>
          <t>Superbad</t>
        </is>
      </c>
      <c r="F6384" t="inlineStr">
        <is>
          <t>F0303</t>
        </is>
      </c>
    </row>
    <row r="6385">
      <c r="A6385" t="inlineStr">
        <is>
          <t>Laura Seay</t>
        </is>
      </c>
      <c r="B6385" t="n">
        <v>1</v>
      </c>
      <c r="C6385" t="n">
        <v>2007</v>
      </c>
      <c r="D6385" t="n">
        <v>2007</v>
      </c>
      <c r="E6385" t="inlineStr">
        <is>
          <t>Superbad</t>
        </is>
      </c>
      <c r="F6385" t="inlineStr">
        <is>
          <t>F0303</t>
        </is>
      </c>
    </row>
    <row r="6386">
      <c r="A6386" t="inlineStr">
        <is>
          <t>Roger Iwami</t>
        </is>
      </c>
      <c r="B6386" t="n">
        <v>1</v>
      </c>
      <c r="C6386" t="n">
        <v>2007</v>
      </c>
      <c r="D6386" t="n">
        <v>2007</v>
      </c>
      <c r="E6386" t="inlineStr">
        <is>
          <t>Superbad</t>
        </is>
      </c>
      <c r="F6386" t="inlineStr">
        <is>
          <t>F0303</t>
        </is>
      </c>
    </row>
    <row r="6387">
      <c r="A6387" t="inlineStr">
        <is>
          <t>Clint Mabry</t>
        </is>
      </c>
      <c r="B6387" t="n">
        <v>1</v>
      </c>
      <c r="C6387" t="n">
        <v>2007</v>
      </c>
      <c r="D6387" t="n">
        <v>2007</v>
      </c>
      <c r="E6387" t="inlineStr">
        <is>
          <t>Superbad</t>
        </is>
      </c>
      <c r="F6387" t="inlineStr">
        <is>
          <t>F0303</t>
        </is>
      </c>
    </row>
    <row r="6388">
      <c r="A6388" t="inlineStr">
        <is>
          <t>Stacy Edwards</t>
        </is>
      </c>
      <c r="B6388" t="n">
        <v>1</v>
      </c>
      <c r="C6388" t="n">
        <v>2007</v>
      </c>
      <c r="D6388" t="n">
        <v>2007</v>
      </c>
      <c r="E6388" t="inlineStr">
        <is>
          <t>Superbad</t>
        </is>
      </c>
      <c r="F6388" t="inlineStr">
        <is>
          <t>F0303</t>
        </is>
      </c>
    </row>
    <row r="6389">
      <c r="A6389" t="inlineStr">
        <is>
          <t>Mark Rogen</t>
        </is>
      </c>
      <c r="B6389" t="n">
        <v>1</v>
      </c>
      <c r="C6389" t="n">
        <v>2007</v>
      </c>
      <c r="D6389" t="n">
        <v>2007</v>
      </c>
      <c r="E6389" t="inlineStr">
        <is>
          <t>Superbad</t>
        </is>
      </c>
      <c r="F6389" t="inlineStr">
        <is>
          <t>F0303</t>
        </is>
      </c>
    </row>
    <row r="6390">
      <c r="A6390" t="inlineStr">
        <is>
          <t>Charlie Hartsock</t>
        </is>
      </c>
      <c r="B6390" t="n">
        <v>1</v>
      </c>
      <c r="C6390" t="n">
        <v>2007</v>
      </c>
      <c r="D6390" t="n">
        <v>2007</v>
      </c>
      <c r="E6390" t="inlineStr">
        <is>
          <t>Superbad</t>
        </is>
      </c>
      <c r="F6390" t="inlineStr">
        <is>
          <t>F0303</t>
        </is>
      </c>
    </row>
    <row r="6391">
      <c r="A6391" t="inlineStr">
        <is>
          <t>Dona Hardy</t>
        </is>
      </c>
      <c r="B6391" t="n">
        <v>1</v>
      </c>
      <c r="C6391" t="n">
        <v>2007</v>
      </c>
      <c r="D6391" t="n">
        <v>2007</v>
      </c>
      <c r="E6391" t="inlineStr">
        <is>
          <t>Superbad</t>
        </is>
      </c>
      <c r="F6391" t="inlineStr">
        <is>
          <t>F0303</t>
        </is>
      </c>
    </row>
    <row r="6392">
      <c r="A6392" t="inlineStr">
        <is>
          <t>Charley Rossman</t>
        </is>
      </c>
      <c r="B6392" t="n">
        <v>1</v>
      </c>
      <c r="C6392" t="n">
        <v>2007</v>
      </c>
      <c r="D6392" t="n">
        <v>2007</v>
      </c>
      <c r="E6392" t="inlineStr">
        <is>
          <t>Superbad</t>
        </is>
      </c>
      <c r="F6392" t="inlineStr">
        <is>
          <t>F0303</t>
        </is>
      </c>
    </row>
    <row r="6393">
      <c r="A6393" t="inlineStr">
        <is>
          <t>Ben Best</t>
        </is>
      </c>
      <c r="B6393" t="n">
        <v>1</v>
      </c>
      <c r="C6393" t="n">
        <v>2007</v>
      </c>
      <c r="D6393" t="n">
        <v>2007</v>
      </c>
      <c r="E6393" t="inlineStr">
        <is>
          <t>Superbad</t>
        </is>
      </c>
      <c r="F6393" t="inlineStr">
        <is>
          <t>F0303</t>
        </is>
      </c>
    </row>
    <row r="6394">
      <c r="A6394" t="inlineStr">
        <is>
          <t>Jody Hill</t>
        </is>
      </c>
      <c r="B6394" t="n">
        <v>1</v>
      </c>
      <c r="C6394" t="n">
        <v>2007</v>
      </c>
      <c r="D6394" t="n">
        <v>2007</v>
      </c>
      <c r="E6394" t="inlineStr">
        <is>
          <t>Superbad</t>
        </is>
      </c>
      <c r="F6394" t="inlineStr">
        <is>
          <t>F0303</t>
        </is>
      </c>
    </row>
    <row r="6395">
      <c r="A6395" t="inlineStr">
        <is>
          <t>Kevin Breznahan</t>
        </is>
      </c>
      <c r="B6395" t="n">
        <v>1</v>
      </c>
      <c r="C6395" t="n">
        <v>2007</v>
      </c>
      <c r="D6395" t="n">
        <v>2007</v>
      </c>
      <c r="E6395" t="inlineStr">
        <is>
          <t>Superbad</t>
        </is>
      </c>
      <c r="F6395" t="inlineStr">
        <is>
          <t>F0303</t>
        </is>
      </c>
    </row>
    <row r="6396">
      <c r="A6396" t="inlineStr">
        <is>
          <t>Mousa Kraish</t>
        </is>
      </c>
      <c r="B6396" t="n">
        <v>1</v>
      </c>
      <c r="C6396" t="n">
        <v>2007</v>
      </c>
      <c r="D6396" t="n">
        <v>2007</v>
      </c>
      <c r="E6396" t="inlineStr">
        <is>
          <t>Superbad</t>
        </is>
      </c>
      <c r="F6396" t="inlineStr">
        <is>
          <t>F0303</t>
        </is>
      </c>
    </row>
    <row r="6397">
      <c r="A6397" t="inlineStr">
        <is>
          <t>Isabela Merced</t>
        </is>
      </c>
      <c r="B6397" t="n">
        <v>2</v>
      </c>
      <c r="C6397" t="n">
        <v>2017</v>
      </c>
      <c r="D6397" t="n">
        <v>2025</v>
      </c>
      <c r="E6397" t="inlineStr">
        <is>
          <t>Superman, Transformers: The Last Knight</t>
        </is>
      </c>
      <c r="F6397" t="inlineStr">
        <is>
          <t>F0304, F0320</t>
        </is>
      </c>
    </row>
    <row r="6398">
      <c r="A6398" t="inlineStr">
        <is>
          <t>María Gabriela de Faría</t>
        </is>
      </c>
      <c r="B6398" t="n">
        <v>1</v>
      </c>
      <c r="C6398" t="n">
        <v>2025</v>
      </c>
      <c r="D6398" t="n">
        <v>2025</v>
      </c>
      <c r="E6398" t="inlineStr">
        <is>
          <t>Superman</t>
        </is>
      </c>
      <c r="F6398" t="inlineStr">
        <is>
          <t>F0304</t>
        </is>
      </c>
    </row>
    <row r="6399">
      <c r="A6399" t="inlineStr">
        <is>
          <t>Skyler Gisondo</t>
        </is>
      </c>
      <c r="B6399" t="n">
        <v>1</v>
      </c>
      <c r="C6399" t="n">
        <v>2025</v>
      </c>
      <c r="D6399" t="n">
        <v>2025</v>
      </c>
      <c r="E6399" t="inlineStr">
        <is>
          <t>Superman</t>
        </is>
      </c>
      <c r="F6399" t="inlineStr">
        <is>
          <t>F0304</t>
        </is>
      </c>
    </row>
    <row r="6400">
      <c r="A6400" t="inlineStr">
        <is>
          <t>Grace Chan</t>
        </is>
      </c>
      <c r="B6400" t="n">
        <v>1</v>
      </c>
      <c r="C6400" t="n">
        <v>2025</v>
      </c>
      <c r="D6400" t="n">
        <v>2025</v>
      </c>
      <c r="E6400" t="inlineStr">
        <is>
          <t>Superman</t>
        </is>
      </c>
      <c r="F6400" t="inlineStr">
        <is>
          <t>F0304</t>
        </is>
      </c>
    </row>
    <row r="6401">
      <c r="A6401" t="inlineStr">
        <is>
          <t>Angela Sarafyan</t>
        </is>
      </c>
      <c r="B6401" t="n">
        <v>1</v>
      </c>
      <c r="C6401" t="n">
        <v>2025</v>
      </c>
      <c r="D6401" t="n">
        <v>2025</v>
      </c>
      <c r="E6401" t="inlineStr">
        <is>
          <t>Superman</t>
        </is>
      </c>
      <c r="F6401" t="inlineStr">
        <is>
          <t>F0304</t>
        </is>
      </c>
    </row>
    <row r="6402">
      <c r="A6402" t="inlineStr">
        <is>
          <t>Sara Sampaio</t>
        </is>
      </c>
      <c r="B6402" t="n">
        <v>1</v>
      </c>
      <c r="C6402" t="n">
        <v>2025</v>
      </c>
      <c r="D6402" t="n">
        <v>2025</v>
      </c>
      <c r="E6402" t="inlineStr">
        <is>
          <t>Superman</t>
        </is>
      </c>
      <c r="F6402" t="inlineStr">
        <is>
          <t>F0304</t>
        </is>
      </c>
    </row>
    <row r="6403">
      <c r="A6403" t="inlineStr">
        <is>
          <t>Tatiana Piper</t>
        </is>
      </c>
      <c r="B6403" t="n">
        <v>1</v>
      </c>
      <c r="C6403" t="n">
        <v>2025</v>
      </c>
      <c r="D6403" t="n">
        <v>2025</v>
      </c>
      <c r="E6403" t="inlineStr">
        <is>
          <t>Superman</t>
        </is>
      </c>
      <c r="F6403" t="inlineStr">
        <is>
          <t>F0304</t>
        </is>
      </c>
    </row>
    <row r="6404">
      <c r="A6404" t="inlineStr">
        <is>
          <t>Stephen Blackehart</t>
        </is>
      </c>
      <c r="B6404" t="n">
        <v>1</v>
      </c>
      <c r="C6404" t="n">
        <v>2025</v>
      </c>
      <c r="D6404" t="n">
        <v>2025</v>
      </c>
      <c r="E6404" t="inlineStr">
        <is>
          <t>Superman</t>
        </is>
      </c>
      <c r="F6404" t="inlineStr">
        <is>
          <t>F0304</t>
        </is>
      </c>
    </row>
    <row r="6405">
      <c r="A6405" t="inlineStr">
        <is>
          <t>Giovannie Cruz</t>
        </is>
      </c>
      <c r="B6405" t="n">
        <v>1</v>
      </c>
      <c r="C6405" t="n">
        <v>2025</v>
      </c>
      <c r="D6405" t="n">
        <v>2025</v>
      </c>
      <c r="E6405" t="inlineStr">
        <is>
          <t>Superman</t>
        </is>
      </c>
      <c r="F6405" t="inlineStr">
        <is>
          <t>F0304</t>
        </is>
      </c>
    </row>
    <row r="6406">
      <c r="A6406" t="inlineStr">
        <is>
          <t>Bonnie Discepolo</t>
        </is>
      </c>
      <c r="B6406" t="n">
        <v>1</v>
      </c>
      <c r="C6406" t="n">
        <v>2025</v>
      </c>
      <c r="D6406" t="n">
        <v>2025</v>
      </c>
      <c r="E6406" t="inlineStr">
        <is>
          <t>Superman</t>
        </is>
      </c>
      <c r="F6406" t="inlineStr">
        <is>
          <t>F0304</t>
        </is>
      </c>
    </row>
    <row r="6407">
      <c r="A6407" t="inlineStr">
        <is>
          <t>Natasha Halevi</t>
        </is>
      </c>
      <c r="B6407" t="n">
        <v>1</v>
      </c>
      <c r="C6407" t="n">
        <v>2025</v>
      </c>
      <c r="D6407" t="n">
        <v>2025</v>
      </c>
      <c r="E6407" t="inlineStr">
        <is>
          <t>Superman</t>
        </is>
      </c>
      <c r="F6407" t="inlineStr">
        <is>
          <t>F0304</t>
        </is>
      </c>
    </row>
    <row r="6408">
      <c r="A6408" t="inlineStr">
        <is>
          <t>Adriana Leonard</t>
        </is>
      </c>
      <c r="B6408" t="n">
        <v>1</v>
      </c>
      <c r="C6408" t="n">
        <v>2025</v>
      </c>
      <c r="D6408" t="n">
        <v>2025</v>
      </c>
      <c r="E6408" t="inlineStr">
        <is>
          <t>Superman</t>
        </is>
      </c>
      <c r="F6408" t="inlineStr">
        <is>
          <t>F0304</t>
        </is>
      </c>
    </row>
    <row r="6409">
      <c r="A6409" t="inlineStr">
        <is>
          <t>Paul Kim</t>
        </is>
      </c>
      <c r="B6409" t="n">
        <v>1</v>
      </c>
      <c r="C6409" t="n">
        <v>2025</v>
      </c>
      <c r="D6409" t="n">
        <v>2025</v>
      </c>
      <c r="E6409" t="inlineStr">
        <is>
          <t>Superman</t>
        </is>
      </c>
      <c r="F6409" t="inlineStr">
        <is>
          <t>F0304</t>
        </is>
      </c>
    </row>
    <row r="6410">
      <c r="A6410" t="inlineStr">
        <is>
          <t>Jonah Lees</t>
        </is>
      </c>
      <c r="B6410" t="n">
        <v>1</v>
      </c>
      <c r="C6410" t="n">
        <v>2025</v>
      </c>
      <c r="D6410" t="n">
        <v>2025</v>
      </c>
      <c r="E6410" t="inlineStr">
        <is>
          <t>Superman</t>
        </is>
      </c>
      <c r="F6410" t="inlineStr">
        <is>
          <t>F0304</t>
        </is>
      </c>
    </row>
    <row r="6411">
      <c r="A6411" t="inlineStr">
        <is>
          <t>Christian Lees</t>
        </is>
      </c>
      <c r="B6411" t="n">
        <v>1</v>
      </c>
      <c r="C6411" t="n">
        <v>2025</v>
      </c>
      <c r="D6411" t="n">
        <v>2025</v>
      </c>
      <c r="E6411" t="inlineStr">
        <is>
          <t>Superman</t>
        </is>
      </c>
      <c r="F6411" t="inlineStr">
        <is>
          <t>F0304</t>
        </is>
      </c>
    </row>
    <row r="6412">
      <c r="A6412" t="inlineStr">
        <is>
          <t>Dinesh Thyagarajan</t>
        </is>
      </c>
      <c r="B6412" t="n">
        <v>1</v>
      </c>
      <c r="C6412" t="n">
        <v>2025</v>
      </c>
      <c r="D6412" t="n">
        <v>2025</v>
      </c>
      <c r="E6412" t="inlineStr">
        <is>
          <t>Superman</t>
        </is>
      </c>
      <c r="F6412" t="inlineStr">
        <is>
          <t>F0304</t>
        </is>
      </c>
    </row>
    <row r="6413">
      <c r="A6413" t="inlineStr">
        <is>
          <t>Rudy Quintanilla</t>
        </is>
      </c>
      <c r="B6413" t="n">
        <v>1</v>
      </c>
      <c r="C6413" t="n">
        <v>2025</v>
      </c>
      <c r="D6413" t="n">
        <v>2025</v>
      </c>
      <c r="E6413" t="inlineStr">
        <is>
          <t>Superman</t>
        </is>
      </c>
      <c r="F6413" t="inlineStr">
        <is>
          <t>F0304</t>
        </is>
      </c>
    </row>
    <row r="6414">
      <c r="A6414" t="inlineStr">
        <is>
          <t>Ryan J. Pezdirc</t>
        </is>
      </c>
      <c r="B6414" t="n">
        <v>1</v>
      </c>
      <c r="C6414" t="n">
        <v>2025</v>
      </c>
      <c r="D6414" t="n">
        <v>2025</v>
      </c>
      <c r="E6414" t="inlineStr">
        <is>
          <t>Superman</t>
        </is>
      </c>
      <c r="F6414" t="inlineStr">
        <is>
          <t>F0304</t>
        </is>
      </c>
    </row>
    <row r="6415">
      <c r="A6415" t="inlineStr">
        <is>
          <t>Michael Ian Black</t>
        </is>
      </c>
      <c r="B6415" t="n">
        <v>1</v>
      </c>
      <c r="C6415" t="n">
        <v>2025</v>
      </c>
      <c r="D6415" t="n">
        <v>2025</v>
      </c>
      <c r="E6415" t="inlineStr">
        <is>
          <t>Superman</t>
        </is>
      </c>
      <c r="F6415" t="inlineStr">
        <is>
          <t>F0304</t>
        </is>
      </c>
    </row>
    <row r="6416">
      <c r="A6416" t="inlineStr">
        <is>
          <t>Caroline Chikezie</t>
        </is>
      </c>
      <c r="B6416" t="n">
        <v>1</v>
      </c>
      <c r="C6416" t="n">
        <v>2012</v>
      </c>
      <c r="D6416" t="n">
        <v>2012</v>
      </c>
      <c r="E6416" t="inlineStr">
        <is>
          <t>The Sweeney</t>
        </is>
      </c>
      <c r="F6416" t="inlineStr">
        <is>
          <t>F0305</t>
        </is>
      </c>
    </row>
    <row r="6417">
      <c r="A6417" t="inlineStr">
        <is>
          <t>Ronnie Fox</t>
        </is>
      </c>
      <c r="B6417" t="n">
        <v>1</v>
      </c>
      <c r="C6417" t="n">
        <v>2012</v>
      </c>
      <c r="D6417" t="n">
        <v>2012</v>
      </c>
      <c r="E6417" t="inlineStr">
        <is>
          <t>The Sweeney</t>
        </is>
      </c>
      <c r="F6417" t="inlineStr">
        <is>
          <t>F0305</t>
        </is>
      </c>
    </row>
    <row r="6418">
      <c r="A6418" t="inlineStr">
        <is>
          <t>Michael Wildman</t>
        </is>
      </c>
      <c r="B6418" t="n">
        <v>1</v>
      </c>
      <c r="C6418" t="n">
        <v>2012</v>
      </c>
      <c r="D6418" t="n">
        <v>2012</v>
      </c>
      <c r="E6418" t="inlineStr">
        <is>
          <t>The Sweeney</t>
        </is>
      </c>
      <c r="F6418" t="inlineStr">
        <is>
          <t>F0305</t>
        </is>
      </c>
    </row>
    <row r="6419">
      <c r="A6419" t="inlineStr">
        <is>
          <t>Kara Tointon</t>
        </is>
      </c>
      <c r="B6419" t="n">
        <v>1</v>
      </c>
      <c r="C6419" t="n">
        <v>2012</v>
      </c>
      <c r="D6419" t="n">
        <v>2012</v>
      </c>
      <c r="E6419" t="inlineStr">
        <is>
          <t>The Sweeney</t>
        </is>
      </c>
      <c r="F6419" t="inlineStr">
        <is>
          <t>F0305</t>
        </is>
      </c>
    </row>
    <row r="6420">
      <c r="A6420" t="inlineStr">
        <is>
          <t>Kevin Michaels</t>
        </is>
      </c>
      <c r="B6420" t="n">
        <v>1</v>
      </c>
      <c r="C6420" t="n">
        <v>2012</v>
      </c>
      <c r="D6420" t="n">
        <v>2012</v>
      </c>
      <c r="E6420" t="inlineStr">
        <is>
          <t>The Sweeney</t>
        </is>
      </c>
      <c r="F6420" t="inlineStr">
        <is>
          <t>F0305</t>
        </is>
      </c>
    </row>
    <row r="6421">
      <c r="A6421" t="inlineStr">
        <is>
          <t>Tayo Walker-Allen</t>
        </is>
      </c>
      <c r="B6421" t="n">
        <v>1</v>
      </c>
      <c r="C6421" t="n">
        <v>2012</v>
      </c>
      <c r="D6421" t="n">
        <v>2012</v>
      </c>
      <c r="E6421" t="inlineStr">
        <is>
          <t>The Sweeney</t>
        </is>
      </c>
      <c r="F6421" t="inlineStr">
        <is>
          <t>F0305</t>
        </is>
      </c>
    </row>
    <row r="6422">
      <c r="A6422" t="inlineStr">
        <is>
          <t>Allan Corduner</t>
        </is>
      </c>
      <c r="B6422" t="n">
        <v>1</v>
      </c>
      <c r="C6422" t="n">
        <v>2012</v>
      </c>
      <c r="D6422" t="n">
        <v>2012</v>
      </c>
      <c r="E6422" t="inlineStr">
        <is>
          <t>The Sweeney</t>
        </is>
      </c>
      <c r="F6422" t="inlineStr">
        <is>
          <t>F0305</t>
        </is>
      </c>
    </row>
    <row r="6423">
      <c r="A6423" t="inlineStr">
        <is>
          <t>Nick Nevern</t>
        </is>
      </c>
      <c r="B6423" t="n">
        <v>1</v>
      </c>
      <c r="C6423" t="n">
        <v>2012</v>
      </c>
      <c r="D6423" t="n">
        <v>2012</v>
      </c>
      <c r="E6423" t="inlineStr">
        <is>
          <t>The Sweeney</t>
        </is>
      </c>
      <c r="F6423" t="inlineStr">
        <is>
          <t>F0305</t>
        </is>
      </c>
    </row>
    <row r="6424">
      <c r="A6424" t="inlineStr">
        <is>
          <t>Dean Harrison</t>
        </is>
      </c>
      <c r="B6424" t="n">
        <v>1</v>
      </c>
      <c r="C6424" t="n">
        <v>2012</v>
      </c>
      <c r="D6424" t="n">
        <v>2012</v>
      </c>
      <c r="E6424" t="inlineStr">
        <is>
          <t>The Sweeney</t>
        </is>
      </c>
      <c r="F6424" t="inlineStr">
        <is>
          <t>F0305</t>
        </is>
      </c>
    </row>
    <row r="6425">
      <c r="A6425" t="inlineStr">
        <is>
          <t>George Anton</t>
        </is>
      </c>
      <c r="B6425" t="n">
        <v>1</v>
      </c>
      <c r="C6425" t="n">
        <v>2012</v>
      </c>
      <c r="D6425" t="n">
        <v>2012</v>
      </c>
      <c r="E6425" t="inlineStr">
        <is>
          <t>The Sweeney</t>
        </is>
      </c>
      <c r="F6425" t="inlineStr">
        <is>
          <t>F0305</t>
        </is>
      </c>
    </row>
    <row r="6426">
      <c r="A6426" t="inlineStr">
        <is>
          <t>Marina Niel</t>
        </is>
      </c>
      <c r="B6426" t="n">
        <v>1</v>
      </c>
      <c r="C6426" t="n">
        <v>2012</v>
      </c>
      <c r="D6426" t="n">
        <v>2012</v>
      </c>
      <c r="E6426" t="inlineStr">
        <is>
          <t>The Sweeney</t>
        </is>
      </c>
      <c r="F6426" t="inlineStr">
        <is>
          <t>F0305</t>
        </is>
      </c>
    </row>
    <row r="6427">
      <c r="A6427" t="inlineStr">
        <is>
          <t>John Warnaby</t>
        </is>
      </c>
      <c r="B6427" t="n">
        <v>1</v>
      </c>
      <c r="C6427" t="n">
        <v>2012</v>
      </c>
      <c r="D6427" t="n">
        <v>2012</v>
      </c>
      <c r="E6427" t="inlineStr">
        <is>
          <t>The Sweeney</t>
        </is>
      </c>
      <c r="F6427" t="inlineStr">
        <is>
          <t>F0305</t>
        </is>
      </c>
    </row>
    <row r="6428">
      <c r="A6428" t="inlineStr">
        <is>
          <t>Lee Whitlock</t>
        </is>
      </c>
      <c r="B6428" t="n">
        <v>1</v>
      </c>
      <c r="C6428" t="n">
        <v>2012</v>
      </c>
      <c r="D6428" t="n">
        <v>2012</v>
      </c>
      <c r="E6428" t="inlineStr">
        <is>
          <t>The Sweeney</t>
        </is>
      </c>
      <c r="F6428" t="inlineStr">
        <is>
          <t>F0305</t>
        </is>
      </c>
    </row>
    <row r="6429">
      <c r="A6429" t="inlineStr">
        <is>
          <t>Joan Blackham</t>
        </is>
      </c>
      <c r="B6429" t="n">
        <v>1</v>
      </c>
      <c r="C6429" t="n">
        <v>2012</v>
      </c>
      <c r="D6429" t="n">
        <v>2012</v>
      </c>
      <c r="E6429" t="inlineStr">
        <is>
          <t>The Sweeney</t>
        </is>
      </c>
      <c r="F6429" t="inlineStr">
        <is>
          <t>F0305</t>
        </is>
      </c>
    </row>
    <row r="6430">
      <c r="A6430" t="inlineStr">
        <is>
          <t>Zora Suleman</t>
        </is>
      </c>
      <c r="B6430" t="n">
        <v>1</v>
      </c>
      <c r="C6430" t="n">
        <v>2012</v>
      </c>
      <c r="D6430" t="n">
        <v>2012</v>
      </c>
      <c r="E6430" t="inlineStr">
        <is>
          <t>The Sweeney</t>
        </is>
      </c>
      <c r="F6430" t="inlineStr">
        <is>
          <t>F0305</t>
        </is>
      </c>
    </row>
    <row r="6431">
      <c r="A6431" t="inlineStr">
        <is>
          <t>Josh Myers</t>
        </is>
      </c>
      <c r="B6431" t="n">
        <v>1</v>
      </c>
      <c r="C6431" t="n">
        <v>2012</v>
      </c>
      <c r="D6431" t="n">
        <v>2012</v>
      </c>
      <c r="E6431" t="inlineStr">
        <is>
          <t>The Sweeney</t>
        </is>
      </c>
      <c r="F6431" t="inlineStr">
        <is>
          <t>F0305</t>
        </is>
      </c>
    </row>
    <row r="6432">
      <c r="A6432" t="inlineStr">
        <is>
          <t>Florence Brudenell-Bruce</t>
        </is>
      </c>
      <c r="B6432" t="n">
        <v>1</v>
      </c>
      <c r="C6432" t="n">
        <v>2012</v>
      </c>
      <c r="D6432" t="n">
        <v>2012</v>
      </c>
      <c r="E6432" t="inlineStr">
        <is>
          <t>The Sweeney</t>
        </is>
      </c>
      <c r="F6432" t="inlineStr">
        <is>
          <t>F0305</t>
        </is>
      </c>
    </row>
    <row r="6433">
      <c r="A6433" t="inlineStr">
        <is>
          <t>Ruby Wild</t>
        </is>
      </c>
      <c r="B6433" t="n">
        <v>1</v>
      </c>
      <c r="C6433" t="n">
        <v>2012</v>
      </c>
      <c r="D6433" t="n">
        <v>2012</v>
      </c>
      <c r="E6433" t="inlineStr">
        <is>
          <t>The Sweeney</t>
        </is>
      </c>
      <c r="F6433" t="inlineStr">
        <is>
          <t>F0305</t>
        </is>
      </c>
    </row>
    <row r="6434">
      <c r="A6434" t="inlineStr">
        <is>
          <t>Jon Wennington</t>
        </is>
      </c>
      <c r="B6434" t="n">
        <v>1</v>
      </c>
      <c r="C6434" t="n">
        <v>2012</v>
      </c>
      <c r="D6434" t="n">
        <v>2012</v>
      </c>
      <c r="E6434" t="inlineStr">
        <is>
          <t>The Sweeney</t>
        </is>
      </c>
      <c r="F6434" t="inlineStr">
        <is>
          <t>F0305</t>
        </is>
      </c>
    </row>
    <row r="6435">
      <c r="A6435" t="inlineStr">
        <is>
          <t>Olivier Rabourdin</t>
        </is>
      </c>
      <c r="B6435" t="n">
        <v>2</v>
      </c>
      <c r="C6435" t="n">
        <v>2008</v>
      </c>
      <c r="D6435" t="n">
        <v>2012</v>
      </c>
      <c r="E6435" t="inlineStr">
        <is>
          <t>Taken, Taken 2</t>
        </is>
      </c>
      <c r="F6435" t="inlineStr">
        <is>
          <t>F0306, F0307</t>
        </is>
      </c>
    </row>
    <row r="6436">
      <c r="A6436" t="inlineStr">
        <is>
          <t>Katie Cassidy</t>
        </is>
      </c>
      <c r="B6436" t="n">
        <v>1</v>
      </c>
      <c r="C6436" t="n">
        <v>2008</v>
      </c>
      <c r="D6436" t="n">
        <v>2008</v>
      </c>
      <c r="E6436" t="inlineStr">
        <is>
          <t>Taken</t>
        </is>
      </c>
      <c r="F6436" t="inlineStr">
        <is>
          <t>F0306</t>
        </is>
      </c>
    </row>
    <row r="6437">
      <c r="A6437" t="inlineStr">
        <is>
          <t>Nicolas Giraud</t>
        </is>
      </c>
      <c r="B6437" t="n">
        <v>1</v>
      </c>
      <c r="C6437" t="n">
        <v>2008</v>
      </c>
      <c r="D6437" t="n">
        <v>2008</v>
      </c>
      <c r="E6437" t="inlineStr">
        <is>
          <t>Taken</t>
        </is>
      </c>
      <c r="F6437" t="inlineStr">
        <is>
          <t>F0306</t>
        </is>
      </c>
    </row>
    <row r="6438">
      <c r="A6438" t="inlineStr">
        <is>
          <t>Holly Valance</t>
        </is>
      </c>
      <c r="B6438" t="n">
        <v>1</v>
      </c>
      <c r="C6438" t="n">
        <v>2008</v>
      </c>
      <c r="D6438" t="n">
        <v>2008</v>
      </c>
      <c r="E6438" t="inlineStr">
        <is>
          <t>Taken</t>
        </is>
      </c>
      <c r="F6438" t="inlineStr">
        <is>
          <t>F0306</t>
        </is>
      </c>
    </row>
    <row r="6439">
      <c r="A6439" t="inlineStr">
        <is>
          <t>Gérard Watkins</t>
        </is>
      </c>
      <c r="B6439" t="n">
        <v>1</v>
      </c>
      <c r="C6439" t="n">
        <v>2008</v>
      </c>
      <c r="D6439" t="n">
        <v>2008</v>
      </c>
      <c r="E6439" t="inlineStr">
        <is>
          <t>Taken</t>
        </is>
      </c>
      <c r="F6439" t="inlineStr">
        <is>
          <t>F0306</t>
        </is>
      </c>
    </row>
    <row r="6440">
      <c r="A6440" t="inlineStr">
        <is>
          <t>Arben Bajraktaraj</t>
        </is>
      </c>
      <c r="B6440" t="n">
        <v>1</v>
      </c>
      <c r="C6440" t="n">
        <v>2008</v>
      </c>
      <c r="D6440" t="n">
        <v>2008</v>
      </c>
      <c r="E6440" t="inlineStr">
        <is>
          <t>Taken</t>
        </is>
      </c>
      <c r="F6440" t="inlineStr">
        <is>
          <t>F0306</t>
        </is>
      </c>
    </row>
    <row r="6441">
      <c r="A6441" t="inlineStr">
        <is>
          <t>Radivoje Bukvić</t>
        </is>
      </c>
      <c r="B6441" t="n">
        <v>2</v>
      </c>
      <c r="C6441" t="n">
        <v>2008</v>
      </c>
      <c r="D6441" t="n">
        <v>2015</v>
      </c>
      <c r="E6441" t="inlineStr">
        <is>
          <t>Taken, The Transporter Refueled</t>
        </is>
      </c>
      <c r="F6441" t="inlineStr">
        <is>
          <t>F0306, F0323</t>
        </is>
      </c>
    </row>
    <row r="6442">
      <c r="A6442" t="inlineStr">
        <is>
          <t>Jalil Naciri</t>
        </is>
      </c>
      <c r="B6442" t="n">
        <v>1</v>
      </c>
      <c r="C6442" t="n">
        <v>2008</v>
      </c>
      <c r="D6442" t="n">
        <v>2008</v>
      </c>
      <c r="E6442" t="inlineStr">
        <is>
          <t>Taken</t>
        </is>
      </c>
      <c r="F6442" t="inlineStr">
        <is>
          <t>F0306</t>
        </is>
      </c>
    </row>
    <row r="6443">
      <c r="A6443" t="inlineStr">
        <is>
          <t>Goran Kostić</t>
        </is>
      </c>
      <c r="B6443" t="n">
        <v>1</v>
      </c>
      <c r="C6443" t="n">
        <v>2008</v>
      </c>
      <c r="D6443" t="n">
        <v>2008</v>
      </c>
      <c r="E6443" t="inlineStr">
        <is>
          <t>Taken</t>
        </is>
      </c>
      <c r="F6443" t="inlineStr">
        <is>
          <t>F0306</t>
        </is>
      </c>
    </row>
    <row r="6444">
      <c r="A6444" t="inlineStr">
        <is>
          <t>Camille Japy</t>
        </is>
      </c>
      <c r="B6444" t="n">
        <v>1</v>
      </c>
      <c r="C6444" t="n">
        <v>2008</v>
      </c>
      <c r="D6444" t="n">
        <v>2008</v>
      </c>
      <c r="E6444" t="inlineStr">
        <is>
          <t>Taken</t>
        </is>
      </c>
      <c r="F6444" t="inlineStr">
        <is>
          <t>F0306</t>
        </is>
      </c>
    </row>
    <row r="6445">
      <c r="A6445" t="inlineStr">
        <is>
          <t>Héléna Soubeyrand</t>
        </is>
      </c>
      <c r="B6445" t="n">
        <v>1</v>
      </c>
      <c r="C6445" t="n">
        <v>2008</v>
      </c>
      <c r="D6445" t="n">
        <v>2008</v>
      </c>
      <c r="E6445" t="inlineStr">
        <is>
          <t>Taken</t>
        </is>
      </c>
      <c r="F6445" t="inlineStr">
        <is>
          <t>F0306</t>
        </is>
      </c>
    </row>
    <row r="6446">
      <c r="A6446" t="inlineStr">
        <is>
          <t>Opender Singh</t>
        </is>
      </c>
      <c r="B6446" t="n">
        <v>1</v>
      </c>
      <c r="C6446" t="n">
        <v>2008</v>
      </c>
      <c r="D6446" t="n">
        <v>2008</v>
      </c>
      <c r="E6446" t="inlineStr">
        <is>
          <t>Taken</t>
        </is>
      </c>
      <c r="F6446" t="inlineStr">
        <is>
          <t>F0306</t>
        </is>
      </c>
    </row>
    <row r="6447">
      <c r="A6447" t="inlineStr">
        <is>
          <t>Nabil Massad</t>
        </is>
      </c>
      <c r="B6447" t="n">
        <v>1</v>
      </c>
      <c r="C6447" t="n">
        <v>2008</v>
      </c>
      <c r="D6447" t="n">
        <v>2008</v>
      </c>
      <c r="E6447" t="inlineStr">
        <is>
          <t>Taken</t>
        </is>
      </c>
      <c r="F6447" t="inlineStr">
        <is>
          <t>F0306</t>
        </is>
      </c>
    </row>
    <row r="6448">
      <c r="A6448" t="inlineStr">
        <is>
          <t>Michel Flash</t>
        </is>
      </c>
      <c r="B6448" t="n">
        <v>1</v>
      </c>
      <c r="C6448" t="n">
        <v>2008</v>
      </c>
      <c r="D6448" t="n">
        <v>2008</v>
      </c>
      <c r="E6448" t="inlineStr">
        <is>
          <t>Taken</t>
        </is>
      </c>
      <c r="F6448" t="inlineStr">
        <is>
          <t>F0306</t>
        </is>
      </c>
    </row>
    <row r="6449">
      <c r="A6449" t="inlineStr">
        <is>
          <t>Rubens Hyka</t>
        </is>
      </c>
      <c r="B6449" t="n">
        <v>1</v>
      </c>
      <c r="C6449" t="n">
        <v>2008</v>
      </c>
      <c r="D6449" t="n">
        <v>2008</v>
      </c>
      <c r="E6449" t="inlineStr">
        <is>
          <t>Taken</t>
        </is>
      </c>
      <c r="F6449" t="inlineStr">
        <is>
          <t>F0306</t>
        </is>
      </c>
    </row>
    <row r="6450">
      <c r="A6450" t="inlineStr">
        <is>
          <t>Valentin Kalaj</t>
        </is>
      </c>
      <c r="B6450" t="n">
        <v>1</v>
      </c>
      <c r="C6450" t="n">
        <v>2008</v>
      </c>
      <c r="D6450" t="n">
        <v>2008</v>
      </c>
      <c r="E6450" t="inlineStr">
        <is>
          <t>Taken</t>
        </is>
      </c>
      <c r="F6450" t="inlineStr">
        <is>
          <t>F0306</t>
        </is>
      </c>
    </row>
    <row r="6451">
      <c r="A6451" t="inlineStr">
        <is>
          <t>Christophe Kourotchkine</t>
        </is>
      </c>
      <c r="B6451" t="n">
        <v>1</v>
      </c>
      <c r="C6451" t="n">
        <v>2008</v>
      </c>
      <c r="D6451" t="n">
        <v>2008</v>
      </c>
      <c r="E6451" t="inlineStr">
        <is>
          <t>Taken</t>
        </is>
      </c>
      <c r="F6451" t="inlineStr">
        <is>
          <t>F0306</t>
        </is>
      </c>
    </row>
    <row r="6452">
      <c r="A6452" t="inlineStr">
        <is>
          <t>Anca Radici</t>
        </is>
      </c>
      <c r="B6452" t="n">
        <v>1</v>
      </c>
      <c r="C6452" t="n">
        <v>2008</v>
      </c>
      <c r="D6452" t="n">
        <v>2008</v>
      </c>
      <c r="E6452" t="inlineStr">
        <is>
          <t>Taken</t>
        </is>
      </c>
      <c r="F6452" t="inlineStr">
        <is>
          <t>F0306</t>
        </is>
      </c>
    </row>
    <row r="6453">
      <c r="A6453" t="inlineStr">
        <is>
          <t>Nathan Rippy</t>
        </is>
      </c>
      <c r="B6453" t="n">
        <v>1</v>
      </c>
      <c r="C6453" t="n">
        <v>2008</v>
      </c>
      <c r="D6453" t="n">
        <v>2008</v>
      </c>
      <c r="E6453" t="inlineStr">
        <is>
          <t>Taken</t>
        </is>
      </c>
      <c r="F6453" t="inlineStr">
        <is>
          <t>F0306</t>
        </is>
      </c>
    </row>
    <row r="6454">
      <c r="A6454" t="inlineStr">
        <is>
          <t>Tommy Spahija</t>
        </is>
      </c>
      <c r="B6454" t="n">
        <v>1</v>
      </c>
      <c r="C6454" t="n">
        <v>2008</v>
      </c>
      <c r="D6454" t="n">
        <v>2008</v>
      </c>
      <c r="E6454" t="inlineStr">
        <is>
          <t>Taken</t>
        </is>
      </c>
      <c r="F6454" t="inlineStr">
        <is>
          <t>F0306</t>
        </is>
      </c>
    </row>
    <row r="6455">
      <c r="A6455" t="inlineStr">
        <is>
          <t>Mathieu Busson</t>
        </is>
      </c>
      <c r="B6455" t="n">
        <v>1</v>
      </c>
      <c r="C6455" t="n">
        <v>2008</v>
      </c>
      <c r="D6455" t="n">
        <v>2008</v>
      </c>
      <c r="E6455" t="inlineStr">
        <is>
          <t>Taken</t>
        </is>
      </c>
      <c r="F6455" t="inlineStr">
        <is>
          <t>F0306</t>
        </is>
      </c>
    </row>
    <row r="6456">
      <c r="A6456" t="inlineStr">
        <is>
          <t>Edwin Krüger</t>
        </is>
      </c>
      <c r="B6456" t="n">
        <v>1</v>
      </c>
      <c r="C6456" t="n">
        <v>2008</v>
      </c>
      <c r="D6456" t="n">
        <v>2008</v>
      </c>
      <c r="E6456" t="inlineStr">
        <is>
          <t>Taken</t>
        </is>
      </c>
      <c r="F6456" t="inlineStr">
        <is>
          <t>F0306</t>
        </is>
      </c>
    </row>
    <row r="6457">
      <c r="A6457" t="inlineStr">
        <is>
          <t>D. B. Sweeney</t>
        </is>
      </c>
      <c r="B6457" t="n">
        <v>1</v>
      </c>
      <c r="C6457" t="n">
        <v>2012</v>
      </c>
      <c r="D6457" t="n">
        <v>2012</v>
      </c>
      <c r="E6457" t="inlineStr">
        <is>
          <t>Taken 2</t>
        </is>
      </c>
      <c r="F6457" t="inlineStr">
        <is>
          <t>F0307</t>
        </is>
      </c>
    </row>
    <row r="6458">
      <c r="A6458" t="inlineStr">
        <is>
          <t>Kevork Malikyan</t>
        </is>
      </c>
      <c r="B6458" t="n">
        <v>1</v>
      </c>
      <c r="C6458" t="n">
        <v>2012</v>
      </c>
      <c r="D6458" t="n">
        <v>2012</v>
      </c>
      <c r="E6458" t="inlineStr">
        <is>
          <t>Taken 2</t>
        </is>
      </c>
      <c r="F6458" t="inlineStr">
        <is>
          <t>F0307</t>
        </is>
      </c>
    </row>
    <row r="6459">
      <c r="A6459" t="inlineStr">
        <is>
          <t>Alain Figlarz</t>
        </is>
      </c>
      <c r="B6459" t="n">
        <v>1</v>
      </c>
      <c r="C6459" t="n">
        <v>2012</v>
      </c>
      <c r="D6459" t="n">
        <v>2012</v>
      </c>
      <c r="E6459" t="inlineStr">
        <is>
          <t>Taken 2</t>
        </is>
      </c>
      <c r="F6459" t="inlineStr">
        <is>
          <t>F0307</t>
        </is>
      </c>
    </row>
    <row r="6460">
      <c r="A6460" t="inlineStr">
        <is>
          <t>Frank Alvarez</t>
        </is>
      </c>
      <c r="B6460" t="n">
        <v>1</v>
      </c>
      <c r="C6460" t="n">
        <v>2012</v>
      </c>
      <c r="D6460" t="n">
        <v>2012</v>
      </c>
      <c r="E6460" t="inlineStr">
        <is>
          <t>Taken 2</t>
        </is>
      </c>
      <c r="F6460" t="inlineStr">
        <is>
          <t>F0307</t>
        </is>
      </c>
    </row>
    <row r="6461">
      <c r="A6461" t="inlineStr">
        <is>
          <t>Murat Tuncelli</t>
        </is>
      </c>
      <c r="B6461" t="n">
        <v>1</v>
      </c>
      <c r="C6461" t="n">
        <v>2012</v>
      </c>
      <c r="D6461" t="n">
        <v>2012</v>
      </c>
      <c r="E6461" t="inlineStr">
        <is>
          <t>Taken 2</t>
        </is>
      </c>
      <c r="F6461" t="inlineStr">
        <is>
          <t>F0307</t>
        </is>
      </c>
    </row>
    <row r="6462">
      <c r="A6462" t="inlineStr">
        <is>
          <t>Ali Yildirim</t>
        </is>
      </c>
      <c r="B6462" t="n">
        <v>1</v>
      </c>
      <c r="C6462" t="n">
        <v>2012</v>
      </c>
      <c r="D6462" t="n">
        <v>2012</v>
      </c>
      <c r="E6462" t="inlineStr">
        <is>
          <t>Taken 2</t>
        </is>
      </c>
      <c r="F6462" t="inlineStr">
        <is>
          <t>F0307</t>
        </is>
      </c>
    </row>
    <row r="6463">
      <c r="A6463" t="inlineStr">
        <is>
          <t>Ergun Kuyucu</t>
        </is>
      </c>
      <c r="B6463" t="n">
        <v>1</v>
      </c>
      <c r="C6463" t="n">
        <v>2012</v>
      </c>
      <c r="D6463" t="n">
        <v>2012</v>
      </c>
      <c r="E6463" t="inlineStr">
        <is>
          <t>Taken 2</t>
        </is>
      </c>
      <c r="F6463" t="inlineStr">
        <is>
          <t>F0307</t>
        </is>
      </c>
    </row>
    <row r="6464">
      <c r="A6464" t="inlineStr">
        <is>
          <t>Cengiz Bozkurt</t>
        </is>
      </c>
      <c r="B6464" t="n">
        <v>1</v>
      </c>
      <c r="C6464" t="n">
        <v>2012</v>
      </c>
      <c r="D6464" t="n">
        <v>2012</v>
      </c>
      <c r="E6464" t="inlineStr">
        <is>
          <t>Taken 2</t>
        </is>
      </c>
      <c r="F6464" t="inlineStr">
        <is>
          <t>F0307</t>
        </is>
      </c>
    </row>
    <row r="6465">
      <c r="A6465" t="inlineStr">
        <is>
          <t>Hakan Karahan</t>
        </is>
      </c>
      <c r="B6465" t="n">
        <v>1</v>
      </c>
      <c r="C6465" t="n">
        <v>2012</v>
      </c>
      <c r="D6465" t="n">
        <v>2012</v>
      </c>
      <c r="E6465" t="inlineStr">
        <is>
          <t>Taken 2</t>
        </is>
      </c>
      <c r="F6465" t="inlineStr">
        <is>
          <t>F0307</t>
        </is>
      </c>
    </row>
    <row r="6466">
      <c r="A6466" t="inlineStr">
        <is>
          <t>Saruhan Sari</t>
        </is>
      </c>
      <c r="B6466" t="n">
        <v>1</v>
      </c>
      <c r="C6466" t="n">
        <v>2012</v>
      </c>
      <c r="D6466" t="n">
        <v>2012</v>
      </c>
      <c r="E6466" t="inlineStr">
        <is>
          <t>Taken 2</t>
        </is>
      </c>
      <c r="F6466" t="inlineStr">
        <is>
          <t>F0307</t>
        </is>
      </c>
    </row>
    <row r="6467">
      <c r="A6467" t="inlineStr">
        <is>
          <t>Naci Adıgüzel</t>
        </is>
      </c>
      <c r="B6467" t="n">
        <v>1</v>
      </c>
      <c r="C6467" t="n">
        <v>2012</v>
      </c>
      <c r="D6467" t="n">
        <v>2012</v>
      </c>
      <c r="E6467" t="inlineStr">
        <is>
          <t>Taken 2</t>
        </is>
      </c>
      <c r="F6467" t="inlineStr">
        <is>
          <t>F0307</t>
        </is>
      </c>
    </row>
    <row r="6468">
      <c r="A6468" t="inlineStr">
        <is>
          <t>Aclan Büyüktürkoğlu</t>
        </is>
      </c>
      <c r="B6468" t="n">
        <v>1</v>
      </c>
      <c r="C6468" t="n">
        <v>2012</v>
      </c>
      <c r="D6468" t="n">
        <v>2012</v>
      </c>
      <c r="E6468" t="inlineStr">
        <is>
          <t>Taken 2</t>
        </is>
      </c>
      <c r="F6468" t="inlineStr">
        <is>
          <t>F0307</t>
        </is>
      </c>
    </row>
    <row r="6469">
      <c r="A6469" t="inlineStr">
        <is>
          <t>Mehmet Polat</t>
        </is>
      </c>
      <c r="B6469" t="n">
        <v>1</v>
      </c>
      <c r="C6469" t="n">
        <v>2012</v>
      </c>
      <c r="D6469" t="n">
        <v>2012</v>
      </c>
      <c r="E6469" t="inlineStr">
        <is>
          <t>Taken 2</t>
        </is>
      </c>
      <c r="F6469" t="inlineStr">
        <is>
          <t>F0307</t>
        </is>
      </c>
    </row>
    <row r="6470">
      <c r="A6470" t="inlineStr">
        <is>
          <t>Yilmaz Kovan</t>
        </is>
      </c>
      <c r="B6470" t="n">
        <v>1</v>
      </c>
      <c r="C6470" t="n">
        <v>2012</v>
      </c>
      <c r="D6470" t="n">
        <v>2012</v>
      </c>
      <c r="E6470" t="inlineStr">
        <is>
          <t>Taken 2</t>
        </is>
      </c>
      <c r="F6470" t="inlineStr">
        <is>
          <t>F0307</t>
        </is>
      </c>
    </row>
    <row r="6471">
      <c r="A6471" t="inlineStr">
        <is>
          <t>Erdogan Yavuz</t>
        </is>
      </c>
      <c r="B6471" t="n">
        <v>1</v>
      </c>
      <c r="C6471" t="n">
        <v>2012</v>
      </c>
      <c r="D6471" t="n">
        <v>2012</v>
      </c>
      <c r="E6471" t="inlineStr">
        <is>
          <t>Taken 2</t>
        </is>
      </c>
      <c r="F6471" t="inlineStr">
        <is>
          <t>F0307</t>
        </is>
      </c>
    </row>
    <row r="6472">
      <c r="A6472" t="inlineStr">
        <is>
          <t>Luran Ahmeti</t>
        </is>
      </c>
      <c r="B6472" t="n">
        <v>1</v>
      </c>
      <c r="C6472" t="n">
        <v>2012</v>
      </c>
      <c r="D6472" t="n">
        <v>2012</v>
      </c>
      <c r="E6472" t="inlineStr">
        <is>
          <t>Taken 2</t>
        </is>
      </c>
      <c r="F6472" t="inlineStr">
        <is>
          <t>F0307</t>
        </is>
      </c>
    </row>
    <row r="6473">
      <c r="A6473" t="inlineStr">
        <is>
          <t>Cengiz Daner</t>
        </is>
      </c>
      <c r="B6473" t="n">
        <v>1</v>
      </c>
      <c r="C6473" t="n">
        <v>2012</v>
      </c>
      <c r="D6473" t="n">
        <v>2012</v>
      </c>
      <c r="E6473" t="inlineStr">
        <is>
          <t>Taken 2</t>
        </is>
      </c>
      <c r="F6473" t="inlineStr">
        <is>
          <t>F0307</t>
        </is>
      </c>
    </row>
    <row r="6474">
      <c r="A6474" t="inlineStr">
        <is>
          <t>Melis Erman</t>
        </is>
      </c>
      <c r="B6474" t="n">
        <v>1</v>
      </c>
      <c r="C6474" t="n">
        <v>2012</v>
      </c>
      <c r="D6474" t="n">
        <v>2012</v>
      </c>
      <c r="E6474" t="inlineStr">
        <is>
          <t>Taken 2</t>
        </is>
      </c>
      <c r="F6474" t="inlineStr">
        <is>
          <t>F0307</t>
        </is>
      </c>
    </row>
    <row r="6475">
      <c r="A6475" t="inlineStr">
        <is>
          <t>Erkan Üçüncü</t>
        </is>
      </c>
      <c r="B6475" t="n">
        <v>1</v>
      </c>
      <c r="C6475" t="n">
        <v>2012</v>
      </c>
      <c r="D6475" t="n">
        <v>2012</v>
      </c>
      <c r="E6475" t="inlineStr">
        <is>
          <t>Taken 2</t>
        </is>
      </c>
      <c r="F6475" t="inlineStr">
        <is>
          <t>F0307</t>
        </is>
      </c>
    </row>
    <row r="6476">
      <c r="A6476" t="inlineStr">
        <is>
          <t>Ugur Ugural</t>
        </is>
      </c>
      <c r="B6476" t="n">
        <v>1</v>
      </c>
      <c r="C6476" t="n">
        <v>2012</v>
      </c>
      <c r="D6476" t="n">
        <v>2012</v>
      </c>
      <c r="E6476" t="inlineStr">
        <is>
          <t>Taken 2</t>
        </is>
      </c>
      <c r="F6476" t="inlineStr">
        <is>
          <t>F0307</t>
        </is>
      </c>
    </row>
    <row r="6477">
      <c r="A6477" t="inlineStr">
        <is>
          <t>Alex Dawe</t>
        </is>
      </c>
      <c r="B6477" t="n">
        <v>1</v>
      </c>
      <c r="C6477" t="n">
        <v>2012</v>
      </c>
      <c r="D6477" t="n">
        <v>2012</v>
      </c>
      <c r="E6477" t="inlineStr">
        <is>
          <t>Taken 2</t>
        </is>
      </c>
      <c r="F6477" t="inlineStr">
        <is>
          <t>F0307</t>
        </is>
      </c>
    </row>
    <row r="6478">
      <c r="A6478" t="inlineStr">
        <is>
          <t>Michaël Vander-Meiren</t>
        </is>
      </c>
      <c r="B6478" t="n">
        <v>1</v>
      </c>
      <c r="C6478" t="n">
        <v>2012</v>
      </c>
      <c r="D6478" t="n">
        <v>2012</v>
      </c>
      <c r="E6478" t="inlineStr">
        <is>
          <t>Taken 2</t>
        </is>
      </c>
      <c r="F6478" t="inlineStr">
        <is>
          <t>F0307</t>
        </is>
      </c>
    </row>
    <row r="6479">
      <c r="A6479" t="inlineStr">
        <is>
          <t>Patrick Warburton</t>
        </is>
      </c>
      <c r="B6479" t="n">
        <v>1</v>
      </c>
      <c r="C6479" t="n">
        <v>2012</v>
      </c>
      <c r="D6479" t="n">
        <v>2012</v>
      </c>
      <c r="E6479" t="inlineStr">
        <is>
          <t>Ted</t>
        </is>
      </c>
      <c r="F6479" t="inlineStr">
        <is>
          <t>F0308</t>
        </is>
      </c>
    </row>
    <row r="6480">
      <c r="A6480" t="inlineStr">
        <is>
          <t>Jessica Barth</t>
        </is>
      </c>
      <c r="B6480" t="n">
        <v>1</v>
      </c>
      <c r="C6480" t="n">
        <v>2012</v>
      </c>
      <c r="D6480" t="n">
        <v>2012</v>
      </c>
      <c r="E6480" t="inlineStr">
        <is>
          <t>Ted</t>
        </is>
      </c>
      <c r="F6480" t="inlineStr">
        <is>
          <t>F0308</t>
        </is>
      </c>
    </row>
    <row r="6481">
      <c r="A6481" t="inlineStr">
        <is>
          <t>Aedin Mincks</t>
        </is>
      </c>
      <c r="B6481" t="n">
        <v>1</v>
      </c>
      <c r="C6481" t="n">
        <v>2012</v>
      </c>
      <c r="D6481" t="n">
        <v>2012</v>
      </c>
      <c r="E6481" t="inlineStr">
        <is>
          <t>Ted</t>
        </is>
      </c>
      <c r="F6481" t="inlineStr">
        <is>
          <t>F0308</t>
        </is>
      </c>
    </row>
    <row r="6482">
      <c r="A6482" t="inlineStr">
        <is>
          <t>Bill Smitrovich</t>
        </is>
      </c>
      <c r="B6482" t="n">
        <v>1</v>
      </c>
      <c r="C6482" t="n">
        <v>2012</v>
      </c>
      <c r="D6482" t="n">
        <v>2012</v>
      </c>
      <c r="E6482" t="inlineStr">
        <is>
          <t>Ted</t>
        </is>
      </c>
      <c r="F6482" t="inlineStr">
        <is>
          <t>F0308</t>
        </is>
      </c>
    </row>
    <row r="6483">
      <c r="A6483" t="inlineStr">
        <is>
          <t>Norah Jones</t>
        </is>
      </c>
      <c r="B6483" t="n">
        <v>1</v>
      </c>
      <c r="C6483" t="n">
        <v>2012</v>
      </c>
      <c r="D6483" t="n">
        <v>2012</v>
      </c>
      <c r="E6483" t="inlineStr">
        <is>
          <t>Ted</t>
        </is>
      </c>
      <c r="F6483" t="inlineStr">
        <is>
          <t>F0308</t>
        </is>
      </c>
    </row>
    <row r="6484">
      <c r="A6484" t="inlineStr">
        <is>
          <t>Sam J. Jones</t>
        </is>
      </c>
      <c r="B6484" t="n">
        <v>1</v>
      </c>
      <c r="C6484" t="n">
        <v>2012</v>
      </c>
      <c r="D6484" t="n">
        <v>2012</v>
      </c>
      <c r="E6484" t="inlineStr">
        <is>
          <t>Ted</t>
        </is>
      </c>
      <c r="F6484" t="inlineStr">
        <is>
          <t>F0308</t>
        </is>
      </c>
    </row>
    <row r="6485">
      <c r="A6485" t="inlineStr">
        <is>
          <t>Bretton Manley</t>
        </is>
      </c>
      <c r="B6485" t="n">
        <v>1</v>
      </c>
      <c r="C6485" t="n">
        <v>2012</v>
      </c>
      <c r="D6485" t="n">
        <v>2012</v>
      </c>
      <c r="E6485" t="inlineStr">
        <is>
          <t>Ted</t>
        </is>
      </c>
      <c r="F6485" t="inlineStr">
        <is>
          <t>F0308</t>
        </is>
      </c>
    </row>
    <row r="6486">
      <c r="A6486" t="inlineStr">
        <is>
          <t>John Viener</t>
        </is>
      </c>
      <c r="B6486" t="n">
        <v>1</v>
      </c>
      <c r="C6486" t="n">
        <v>2012</v>
      </c>
      <c r="D6486" t="n">
        <v>2012</v>
      </c>
      <c r="E6486" t="inlineStr">
        <is>
          <t>Ted</t>
        </is>
      </c>
      <c r="F6486" t="inlineStr">
        <is>
          <t>F0308</t>
        </is>
      </c>
    </row>
    <row r="6487">
      <c r="A6487" t="inlineStr">
        <is>
          <t>Laura Vandervoort</t>
        </is>
      </c>
      <c r="B6487" t="n">
        <v>1</v>
      </c>
      <c r="C6487" t="n">
        <v>2012</v>
      </c>
      <c r="D6487" t="n">
        <v>2012</v>
      </c>
      <c r="E6487" t="inlineStr">
        <is>
          <t>Ted</t>
        </is>
      </c>
      <c r="F6487" t="inlineStr">
        <is>
          <t>F0308</t>
        </is>
      </c>
    </row>
    <row r="6488">
      <c r="A6488" t="inlineStr">
        <is>
          <t>Robert Wu</t>
        </is>
      </c>
      <c r="B6488" t="n">
        <v>1</v>
      </c>
      <c r="C6488" t="n">
        <v>2012</v>
      </c>
      <c r="D6488" t="n">
        <v>2012</v>
      </c>
      <c r="E6488" t="inlineStr">
        <is>
          <t>Ted</t>
        </is>
      </c>
      <c r="F6488" t="inlineStr">
        <is>
          <t>F0308</t>
        </is>
      </c>
    </row>
    <row r="6489">
      <c r="A6489" t="inlineStr">
        <is>
          <t>Ginger Gonzaga</t>
        </is>
      </c>
      <c r="B6489" t="n">
        <v>1</v>
      </c>
      <c r="C6489" t="n">
        <v>2012</v>
      </c>
      <c r="D6489" t="n">
        <v>2012</v>
      </c>
      <c r="E6489" t="inlineStr">
        <is>
          <t>Ted</t>
        </is>
      </c>
      <c r="F6489" t="inlineStr">
        <is>
          <t>F0308</t>
        </is>
      </c>
    </row>
    <row r="6490">
      <c r="A6490" t="inlineStr">
        <is>
          <t>Jessica Stroup</t>
        </is>
      </c>
      <c r="B6490" t="n">
        <v>1</v>
      </c>
      <c r="C6490" t="n">
        <v>2012</v>
      </c>
      <c r="D6490" t="n">
        <v>2012</v>
      </c>
      <c r="E6490" t="inlineStr">
        <is>
          <t>Ted</t>
        </is>
      </c>
      <c r="F6490" t="inlineStr">
        <is>
          <t>F0308</t>
        </is>
      </c>
    </row>
    <row r="6491">
      <c r="A6491" t="inlineStr">
        <is>
          <t>Melissa Ordway</t>
        </is>
      </c>
      <c r="B6491" t="n">
        <v>1</v>
      </c>
      <c r="C6491" t="n">
        <v>2012</v>
      </c>
      <c r="D6491" t="n">
        <v>2012</v>
      </c>
      <c r="E6491" t="inlineStr">
        <is>
          <t>Ted</t>
        </is>
      </c>
      <c r="F6491" t="inlineStr">
        <is>
          <t>F0308</t>
        </is>
      </c>
    </row>
    <row r="6492">
      <c r="A6492" t="inlineStr">
        <is>
          <t>Max Harris</t>
        </is>
      </c>
      <c r="B6492" t="n">
        <v>1</v>
      </c>
      <c r="C6492" t="n">
        <v>2012</v>
      </c>
      <c r="D6492" t="n">
        <v>2012</v>
      </c>
      <c r="E6492" t="inlineStr">
        <is>
          <t>Ted</t>
        </is>
      </c>
      <c r="F6492" t="inlineStr">
        <is>
          <t>F0308</t>
        </is>
      </c>
    </row>
    <row r="6493">
      <c r="A6493" t="inlineStr">
        <is>
          <t>Zane Cowans</t>
        </is>
      </c>
      <c r="B6493" t="n">
        <v>1</v>
      </c>
      <c r="C6493" t="n">
        <v>2012</v>
      </c>
      <c r="D6493" t="n">
        <v>2012</v>
      </c>
      <c r="E6493" t="inlineStr">
        <is>
          <t>Ted</t>
        </is>
      </c>
      <c r="F6493" t="inlineStr">
        <is>
          <t>F0308</t>
        </is>
      </c>
    </row>
    <row r="6494">
      <c r="A6494" t="inlineStr">
        <is>
          <t>T.J. Hourigan</t>
        </is>
      </c>
      <c r="B6494" t="n">
        <v>1</v>
      </c>
      <c r="C6494" t="n">
        <v>2012</v>
      </c>
      <c r="D6494" t="n">
        <v>2012</v>
      </c>
      <c r="E6494" t="inlineStr">
        <is>
          <t>Ted</t>
        </is>
      </c>
      <c r="F6494" t="inlineStr">
        <is>
          <t>F0308</t>
        </is>
      </c>
    </row>
    <row r="6495">
      <c r="A6495" t="inlineStr">
        <is>
          <t>Owen Clarke</t>
        </is>
      </c>
      <c r="B6495" t="n">
        <v>1</v>
      </c>
      <c r="C6495" t="n">
        <v>2012</v>
      </c>
      <c r="D6495" t="n">
        <v>2012</v>
      </c>
      <c r="E6495" t="inlineStr">
        <is>
          <t>Ted</t>
        </is>
      </c>
      <c r="F6495" t="inlineStr">
        <is>
          <t>F0308</t>
        </is>
      </c>
    </row>
    <row r="6496">
      <c r="A6496" t="inlineStr">
        <is>
          <t>Kristina Ellery</t>
        </is>
      </c>
      <c r="B6496" t="n">
        <v>1</v>
      </c>
      <c r="C6496" t="n">
        <v>2012</v>
      </c>
      <c r="D6496" t="n">
        <v>2012</v>
      </c>
      <c r="E6496" t="inlineStr">
        <is>
          <t>Ted</t>
        </is>
      </c>
      <c r="F6496" t="inlineStr">
        <is>
          <t>F0308</t>
        </is>
      </c>
    </row>
    <row r="6497">
      <c r="A6497" t="inlineStr">
        <is>
          <t>Katelyn Lorren</t>
        </is>
      </c>
      <c r="B6497" t="n">
        <v>1</v>
      </c>
      <c r="C6497" t="n">
        <v>2012</v>
      </c>
      <c r="D6497" t="n">
        <v>2012</v>
      </c>
      <c r="E6497" t="inlineStr">
        <is>
          <t>Ted</t>
        </is>
      </c>
      <c r="F6497" t="inlineStr">
        <is>
          <t>F0308</t>
        </is>
      </c>
    </row>
    <row r="6498">
      <c r="A6498" t="inlineStr">
        <is>
          <t>Chanty Sok</t>
        </is>
      </c>
      <c r="B6498" t="n">
        <v>1</v>
      </c>
      <c r="C6498" t="n">
        <v>2012</v>
      </c>
      <c r="D6498" t="n">
        <v>2012</v>
      </c>
      <c r="E6498" t="inlineStr">
        <is>
          <t>Ted</t>
        </is>
      </c>
      <c r="F6498" t="inlineStr">
        <is>
          <t>F0308</t>
        </is>
      </c>
    </row>
    <row r="6499">
      <c r="A6499" t="inlineStr">
        <is>
          <t>Danny Woodburn</t>
        </is>
      </c>
      <c r="B6499" t="n">
        <v>1</v>
      </c>
      <c r="C6499" t="n">
        <v>2014</v>
      </c>
      <c r="D6499" t="n">
        <v>2014</v>
      </c>
      <c r="E6499" t="inlineStr">
        <is>
          <t>Teenage Mutant Ninja Turtles</t>
        </is>
      </c>
      <c r="F6499" t="inlineStr">
        <is>
          <t>F0309</t>
        </is>
      </c>
    </row>
    <row r="6500">
      <c r="A6500" t="inlineStr">
        <is>
          <t>Minae Noji</t>
        </is>
      </c>
      <c r="B6500" t="n">
        <v>1</v>
      </c>
      <c r="C6500" t="n">
        <v>2014</v>
      </c>
      <c r="D6500" t="n">
        <v>2014</v>
      </c>
      <c r="E6500" t="inlineStr">
        <is>
          <t>Teenage Mutant Ninja Turtles</t>
        </is>
      </c>
      <c r="F6500" t="inlineStr">
        <is>
          <t>F0309</t>
        </is>
      </c>
    </row>
    <row r="6501">
      <c r="A6501" t="inlineStr">
        <is>
          <t>Abby Elliott</t>
        </is>
      </c>
      <c r="B6501" t="n">
        <v>1</v>
      </c>
      <c r="C6501" t="n">
        <v>2014</v>
      </c>
      <c r="D6501" t="n">
        <v>2014</v>
      </c>
      <c r="E6501" t="inlineStr">
        <is>
          <t>Teenage Mutant Ninja Turtles</t>
        </is>
      </c>
      <c r="F6501" t="inlineStr">
        <is>
          <t>F0309</t>
        </is>
      </c>
    </row>
    <row r="6502">
      <c r="A6502" t="inlineStr">
        <is>
          <t>Madison Mason</t>
        </is>
      </c>
      <c r="B6502" t="n">
        <v>1</v>
      </c>
      <c r="C6502" t="n">
        <v>2014</v>
      </c>
      <c r="D6502" t="n">
        <v>2014</v>
      </c>
      <c r="E6502" t="inlineStr">
        <is>
          <t>Teenage Mutant Ninja Turtles</t>
        </is>
      </c>
      <c r="F6502" t="inlineStr">
        <is>
          <t>F0309</t>
        </is>
      </c>
    </row>
    <row r="6503">
      <c r="A6503" t="inlineStr">
        <is>
          <t>K. Todd Freeman</t>
        </is>
      </c>
      <c r="B6503" t="n">
        <v>1</v>
      </c>
      <c r="C6503" t="n">
        <v>2014</v>
      </c>
      <c r="D6503" t="n">
        <v>2014</v>
      </c>
      <c r="E6503" t="inlineStr">
        <is>
          <t>Teenage Mutant Ninja Turtles</t>
        </is>
      </c>
      <c r="F6503" t="inlineStr">
        <is>
          <t>F0309</t>
        </is>
      </c>
    </row>
    <row r="6504">
      <c r="A6504" t="inlineStr">
        <is>
          <t>Paul Fitzgerald</t>
        </is>
      </c>
      <c r="B6504" t="n">
        <v>1</v>
      </c>
      <c r="C6504" t="n">
        <v>2014</v>
      </c>
      <c r="D6504" t="n">
        <v>2014</v>
      </c>
      <c r="E6504" t="inlineStr">
        <is>
          <t>Teenage Mutant Ninja Turtles</t>
        </is>
      </c>
      <c r="F6504" t="inlineStr">
        <is>
          <t>F0309</t>
        </is>
      </c>
    </row>
    <row r="6505">
      <c r="A6505" t="inlineStr">
        <is>
          <t>Malina Weissman</t>
        </is>
      </c>
      <c r="B6505" t="n">
        <v>1</v>
      </c>
      <c r="C6505" t="n">
        <v>2014</v>
      </c>
      <c r="D6505" t="n">
        <v>2014</v>
      </c>
      <c r="E6505" t="inlineStr">
        <is>
          <t>Teenage Mutant Ninja Turtles</t>
        </is>
      </c>
      <c r="F6505" t="inlineStr">
        <is>
          <t>F0309</t>
        </is>
      </c>
    </row>
    <row r="6506">
      <c r="A6506" t="inlineStr">
        <is>
          <t>Venida Evans</t>
        </is>
      </c>
      <c r="B6506" t="n">
        <v>1</v>
      </c>
      <c r="C6506" t="n">
        <v>2014</v>
      </c>
      <c r="D6506" t="n">
        <v>2014</v>
      </c>
      <c r="E6506" t="inlineStr">
        <is>
          <t>Teenage Mutant Ninja Turtles</t>
        </is>
      </c>
      <c r="F6506" t="inlineStr">
        <is>
          <t>F0309</t>
        </is>
      </c>
    </row>
    <row r="6507">
      <c r="A6507" t="inlineStr">
        <is>
          <t>Mikal Vega</t>
        </is>
      </c>
      <c r="B6507" t="n">
        <v>1</v>
      </c>
      <c r="C6507" t="n">
        <v>2014</v>
      </c>
      <c r="D6507" t="n">
        <v>2014</v>
      </c>
      <c r="E6507" t="inlineStr">
        <is>
          <t>Teenage Mutant Ninja Turtles</t>
        </is>
      </c>
      <c r="F6507" t="inlineStr">
        <is>
          <t>F0309</t>
        </is>
      </c>
    </row>
    <row r="6508">
      <c r="A6508" t="inlineStr">
        <is>
          <t>Harley Pasternak</t>
        </is>
      </c>
      <c r="B6508" t="n">
        <v>1</v>
      </c>
      <c r="C6508" t="n">
        <v>2014</v>
      </c>
      <c r="D6508" t="n">
        <v>2014</v>
      </c>
      <c r="E6508" t="inlineStr">
        <is>
          <t>Teenage Mutant Ninja Turtles</t>
        </is>
      </c>
      <c r="F6508" t="inlineStr">
        <is>
          <t>F0309</t>
        </is>
      </c>
    </row>
    <row r="6509">
      <c r="A6509" t="inlineStr">
        <is>
          <t>Braeson Herold</t>
        </is>
      </c>
      <c r="B6509" t="n">
        <v>1</v>
      </c>
      <c r="C6509" t="n">
        <v>2014</v>
      </c>
      <c r="D6509" t="n">
        <v>2014</v>
      </c>
      <c r="E6509" t="inlineStr">
        <is>
          <t>Teenage Mutant Ninja Turtles</t>
        </is>
      </c>
      <c r="F6509" t="inlineStr">
        <is>
          <t>F0309</t>
        </is>
      </c>
    </row>
    <row r="6510">
      <c r="A6510" t="inlineStr">
        <is>
          <t>Chris Wylde</t>
        </is>
      </c>
      <c r="B6510" t="n">
        <v>1</v>
      </c>
      <c r="C6510" t="n">
        <v>2014</v>
      </c>
      <c r="D6510" t="n">
        <v>2014</v>
      </c>
      <c r="E6510" t="inlineStr">
        <is>
          <t>Teenage Mutant Ninja Turtles</t>
        </is>
      </c>
      <c r="F6510" t="inlineStr">
        <is>
          <t>F0309</t>
        </is>
      </c>
    </row>
    <row r="6511">
      <c r="A6511" t="inlineStr">
        <is>
          <t>Chance Kelly</t>
        </is>
      </c>
      <c r="B6511" t="n">
        <v>1</v>
      </c>
      <c r="C6511" t="n">
        <v>2014</v>
      </c>
      <c r="D6511" t="n">
        <v>2014</v>
      </c>
      <c r="E6511" t="inlineStr">
        <is>
          <t>Teenage Mutant Ninja Turtles</t>
        </is>
      </c>
      <c r="F6511" t="inlineStr">
        <is>
          <t>F0309</t>
        </is>
      </c>
    </row>
    <row r="6512">
      <c r="A6512" t="inlineStr">
        <is>
          <t>Leyna Nguyen</t>
        </is>
      </c>
      <c r="B6512" t="n">
        <v>1</v>
      </c>
      <c r="C6512" t="n">
        <v>2014</v>
      </c>
      <c r="D6512" t="n">
        <v>2014</v>
      </c>
      <c r="E6512" t="inlineStr">
        <is>
          <t>Teenage Mutant Ninja Turtles</t>
        </is>
      </c>
      <c r="F6512" t="inlineStr">
        <is>
          <t>F0309</t>
        </is>
      </c>
    </row>
    <row r="6513">
      <c r="A6513" t="inlineStr">
        <is>
          <t>Derek Mears</t>
        </is>
      </c>
      <c r="B6513" t="n">
        <v>1</v>
      </c>
      <c r="C6513" t="n">
        <v>2014</v>
      </c>
      <c r="D6513" t="n">
        <v>2014</v>
      </c>
      <c r="E6513" t="inlineStr">
        <is>
          <t>Teenage Mutant Ninja Turtles</t>
        </is>
      </c>
      <c r="F6513" t="inlineStr">
        <is>
          <t>F0309</t>
        </is>
      </c>
    </row>
    <row r="6514">
      <c r="A6514" t="inlineStr">
        <is>
          <t>Alison Fernández</t>
        </is>
      </c>
      <c r="B6514" t="n">
        <v>1</v>
      </c>
      <c r="C6514" t="n">
        <v>2014</v>
      </c>
      <c r="D6514" t="n">
        <v>2014</v>
      </c>
      <c r="E6514" t="inlineStr">
        <is>
          <t>Teenage Mutant Ninja Turtles</t>
        </is>
      </c>
      <c r="F6514" t="inlineStr">
        <is>
          <t>F0309</t>
        </is>
      </c>
    </row>
    <row r="6515">
      <c r="A6515" t="inlineStr">
        <is>
          <t>Zach McGowan</t>
        </is>
      </c>
      <c r="B6515" t="n">
        <v>1</v>
      </c>
      <c r="C6515" t="n">
        <v>2009</v>
      </c>
      <c r="D6515" t="n">
        <v>2009</v>
      </c>
      <c r="E6515" t="inlineStr">
        <is>
          <t>Terminator Salvation</t>
        </is>
      </c>
      <c r="F6515" t="inlineStr">
        <is>
          <t>F0310</t>
        </is>
      </c>
    </row>
    <row r="6516">
      <c r="A6516" t="inlineStr">
        <is>
          <t>Jane Alexander</t>
        </is>
      </c>
      <c r="B6516" t="n">
        <v>1</v>
      </c>
      <c r="C6516" t="n">
        <v>2009</v>
      </c>
      <c r="D6516" t="n">
        <v>2009</v>
      </c>
      <c r="E6516" t="inlineStr">
        <is>
          <t>Terminator Salvation</t>
        </is>
      </c>
      <c r="F6516" t="inlineStr">
        <is>
          <t>F0310</t>
        </is>
      </c>
    </row>
    <row r="6517">
      <c r="A6517" t="inlineStr">
        <is>
          <t>Michael Ironside</t>
        </is>
      </c>
      <c r="B6517" t="n">
        <v>1</v>
      </c>
      <c r="C6517" t="n">
        <v>2009</v>
      </c>
      <c r="D6517" t="n">
        <v>2009</v>
      </c>
      <c r="E6517" t="inlineStr">
        <is>
          <t>Terminator Salvation</t>
        </is>
      </c>
      <c r="F6517" t="inlineStr">
        <is>
          <t>F0310</t>
        </is>
      </c>
    </row>
    <row r="6518">
      <c r="A6518" t="inlineStr">
        <is>
          <t>Ivan G'Vera</t>
        </is>
      </c>
      <c r="B6518" t="n">
        <v>1</v>
      </c>
      <c r="C6518" t="n">
        <v>2009</v>
      </c>
      <c r="D6518" t="n">
        <v>2009</v>
      </c>
      <c r="E6518" t="inlineStr">
        <is>
          <t>Terminator Salvation</t>
        </is>
      </c>
      <c r="F6518" t="inlineStr">
        <is>
          <t>F0310</t>
        </is>
      </c>
    </row>
    <row r="6519">
      <c r="A6519" t="inlineStr">
        <is>
          <t>Dorian Nkono</t>
        </is>
      </c>
      <c r="B6519" t="n">
        <v>1</v>
      </c>
      <c r="C6519" t="n">
        <v>2009</v>
      </c>
      <c r="D6519" t="n">
        <v>2009</v>
      </c>
      <c r="E6519" t="inlineStr">
        <is>
          <t>Terminator Salvation</t>
        </is>
      </c>
      <c r="F6519" t="inlineStr">
        <is>
          <t>F0310</t>
        </is>
      </c>
    </row>
    <row r="6520">
      <c r="A6520" t="inlineStr">
        <is>
          <t>Beth Bailey</t>
        </is>
      </c>
      <c r="B6520" t="n">
        <v>1</v>
      </c>
      <c r="C6520" t="n">
        <v>2009</v>
      </c>
      <c r="D6520" t="n">
        <v>2009</v>
      </c>
      <c r="E6520" t="inlineStr">
        <is>
          <t>Terminator Salvation</t>
        </is>
      </c>
      <c r="F6520" t="inlineStr">
        <is>
          <t>F0310</t>
        </is>
      </c>
    </row>
    <row r="6521">
      <c r="A6521" t="inlineStr">
        <is>
          <t>Victor J. Ho</t>
        </is>
      </c>
      <c r="B6521" t="n">
        <v>1</v>
      </c>
      <c r="C6521" t="n">
        <v>2009</v>
      </c>
      <c r="D6521" t="n">
        <v>2009</v>
      </c>
      <c r="E6521" t="inlineStr">
        <is>
          <t>Terminator Salvation</t>
        </is>
      </c>
      <c r="F6521" t="inlineStr">
        <is>
          <t>F0310</t>
        </is>
      </c>
    </row>
    <row r="6522">
      <c r="A6522" t="inlineStr">
        <is>
          <t>Jadagrace</t>
        </is>
      </c>
      <c r="B6522" t="n">
        <v>1</v>
      </c>
      <c r="C6522" t="n">
        <v>2009</v>
      </c>
      <c r="D6522" t="n">
        <v>2009</v>
      </c>
      <c r="E6522" t="inlineStr">
        <is>
          <t>Terminator Salvation</t>
        </is>
      </c>
      <c r="F6522" t="inlineStr">
        <is>
          <t>F0310</t>
        </is>
      </c>
    </row>
    <row r="6523">
      <c r="A6523" t="inlineStr">
        <is>
          <t>Kevin Wiggins</t>
        </is>
      </c>
      <c r="B6523" t="n">
        <v>1</v>
      </c>
      <c r="C6523" t="n">
        <v>2009</v>
      </c>
      <c r="D6523" t="n">
        <v>2009</v>
      </c>
      <c r="E6523" t="inlineStr">
        <is>
          <t>Terminator Salvation</t>
        </is>
      </c>
      <c r="F6523" t="inlineStr">
        <is>
          <t>F0310</t>
        </is>
      </c>
    </row>
    <row r="6524">
      <c r="A6524" t="inlineStr">
        <is>
          <t>Greg Serano</t>
        </is>
      </c>
      <c r="B6524" t="n">
        <v>1</v>
      </c>
      <c r="C6524" t="n">
        <v>2009</v>
      </c>
      <c r="D6524" t="n">
        <v>2009</v>
      </c>
      <c r="E6524" t="inlineStr">
        <is>
          <t>Terminator Salvation</t>
        </is>
      </c>
      <c r="F6524" t="inlineStr">
        <is>
          <t>F0310</t>
        </is>
      </c>
    </row>
    <row r="6525">
      <c r="A6525" t="inlineStr">
        <is>
          <t>Bruce McIntosh</t>
        </is>
      </c>
      <c r="B6525" t="n">
        <v>1</v>
      </c>
      <c r="C6525" t="n">
        <v>2009</v>
      </c>
      <c r="D6525" t="n">
        <v>2009</v>
      </c>
      <c r="E6525" t="inlineStr">
        <is>
          <t>Terminator Salvation</t>
        </is>
      </c>
      <c r="F6525" t="inlineStr">
        <is>
          <t>F0310</t>
        </is>
      </c>
    </row>
    <row r="6526">
      <c r="A6526" t="inlineStr">
        <is>
          <t>Po Chan</t>
        </is>
      </c>
      <c r="B6526" t="n">
        <v>1</v>
      </c>
      <c r="C6526" t="n">
        <v>2009</v>
      </c>
      <c r="D6526" t="n">
        <v>2009</v>
      </c>
      <c r="E6526" t="inlineStr">
        <is>
          <t>Terminator Salvation</t>
        </is>
      </c>
      <c r="F6526" t="inlineStr">
        <is>
          <t>F0310</t>
        </is>
      </c>
    </row>
    <row r="6527">
      <c r="A6527" t="inlineStr">
        <is>
          <t>Babak Tafti</t>
        </is>
      </c>
      <c r="B6527" t="n">
        <v>1</v>
      </c>
      <c r="C6527" t="n">
        <v>2009</v>
      </c>
      <c r="D6527" t="n">
        <v>2009</v>
      </c>
      <c r="E6527" t="inlineStr">
        <is>
          <t>Terminator Salvation</t>
        </is>
      </c>
      <c r="F6527" t="inlineStr">
        <is>
          <t>F0310</t>
        </is>
      </c>
    </row>
    <row r="6528">
      <c r="A6528" t="inlineStr">
        <is>
          <t>Dylan Kenin</t>
        </is>
      </c>
      <c r="B6528" t="n">
        <v>1</v>
      </c>
      <c r="C6528" t="n">
        <v>2009</v>
      </c>
      <c r="D6528" t="n">
        <v>2009</v>
      </c>
      <c r="E6528" t="inlineStr">
        <is>
          <t>Terminator Salvation</t>
        </is>
      </c>
      <c r="F6528" t="inlineStr">
        <is>
          <t>F0310</t>
        </is>
      </c>
    </row>
    <row r="6529">
      <c r="A6529" t="inlineStr">
        <is>
          <t>Chris Ashworth</t>
        </is>
      </c>
      <c r="B6529" t="n">
        <v>1</v>
      </c>
      <c r="C6529" t="n">
        <v>2009</v>
      </c>
      <c r="D6529" t="n">
        <v>2009</v>
      </c>
      <c r="E6529" t="inlineStr">
        <is>
          <t>Terminator Salvation</t>
        </is>
      </c>
      <c r="F6529" t="inlineStr">
        <is>
          <t>F0310</t>
        </is>
      </c>
    </row>
    <row r="6530">
      <c r="A6530" t="inlineStr">
        <is>
          <t>Diego Joaquin Lopez</t>
        </is>
      </c>
      <c r="B6530" t="n">
        <v>1</v>
      </c>
      <c r="C6530" t="n">
        <v>2009</v>
      </c>
      <c r="D6530" t="n">
        <v>2009</v>
      </c>
      <c r="E6530" t="inlineStr">
        <is>
          <t>Terminator Salvation</t>
        </is>
      </c>
      <c r="F6530" t="inlineStr">
        <is>
          <t>F0310</t>
        </is>
      </c>
    </row>
    <row r="6531">
      <c r="A6531" t="inlineStr">
        <is>
          <t>Greg Plitt</t>
        </is>
      </c>
      <c r="B6531" t="n">
        <v>1</v>
      </c>
      <c r="C6531" t="n">
        <v>2009</v>
      </c>
      <c r="D6531" t="n">
        <v>2009</v>
      </c>
      <c r="E6531" t="inlineStr">
        <is>
          <t>Terminator Salvation</t>
        </is>
      </c>
      <c r="F6531" t="inlineStr">
        <is>
          <t>F0310</t>
        </is>
      </c>
    </row>
    <row r="6532">
      <c r="A6532" t="inlineStr">
        <is>
          <t>Omar Paz Trujillo</t>
        </is>
      </c>
      <c r="B6532" t="n">
        <v>1</v>
      </c>
      <c r="C6532" t="n">
        <v>2009</v>
      </c>
      <c r="D6532" t="n">
        <v>2009</v>
      </c>
      <c r="E6532" t="inlineStr">
        <is>
          <t>Terminator Salvation</t>
        </is>
      </c>
      <c r="F6532" t="inlineStr">
        <is>
          <t>F0310</t>
        </is>
      </c>
    </row>
    <row r="6533">
      <c r="A6533" t="inlineStr">
        <is>
          <t>Maxine Peake</t>
        </is>
      </c>
      <c r="B6533" t="n">
        <v>1</v>
      </c>
      <c r="C6533" t="n">
        <v>2014</v>
      </c>
      <c r="D6533" t="n">
        <v>2014</v>
      </c>
      <c r="E6533" t="inlineStr">
        <is>
          <t>The Theory of Everything</t>
        </is>
      </c>
      <c r="F6533" t="inlineStr">
        <is>
          <t>F0311</t>
        </is>
      </c>
    </row>
    <row r="6534">
      <c r="A6534" t="inlineStr">
        <is>
          <t>Harry Lloyd</t>
        </is>
      </c>
      <c r="B6534" t="n">
        <v>1</v>
      </c>
      <c r="C6534" t="n">
        <v>2014</v>
      </c>
      <c r="D6534" t="n">
        <v>2014</v>
      </c>
      <c r="E6534" t="inlineStr">
        <is>
          <t>The Theory of Everything</t>
        </is>
      </c>
      <c r="F6534" t="inlineStr">
        <is>
          <t>F0311</t>
        </is>
      </c>
    </row>
    <row r="6535">
      <c r="A6535" t="inlineStr">
        <is>
          <t>Tom Prior</t>
        </is>
      </c>
      <c r="B6535" t="n">
        <v>1</v>
      </c>
      <c r="C6535" t="n">
        <v>2014</v>
      </c>
      <c r="D6535" t="n">
        <v>2014</v>
      </c>
      <c r="E6535" t="inlineStr">
        <is>
          <t>The Theory of Everything</t>
        </is>
      </c>
      <c r="F6535" t="inlineStr">
        <is>
          <t>F0311</t>
        </is>
      </c>
    </row>
    <row r="6536">
      <c r="A6536" t="inlineStr">
        <is>
          <t>Sophie Perry</t>
        </is>
      </c>
      <c r="B6536" t="n">
        <v>1</v>
      </c>
      <c r="C6536" t="n">
        <v>2014</v>
      </c>
      <c r="D6536" t="n">
        <v>2014</v>
      </c>
      <c r="E6536" t="inlineStr">
        <is>
          <t>The Theory of Everything</t>
        </is>
      </c>
      <c r="F6536" t="inlineStr">
        <is>
          <t>F0311</t>
        </is>
      </c>
    </row>
    <row r="6537">
      <c r="A6537" t="inlineStr">
        <is>
          <t>Finlay Wright-Stephens</t>
        </is>
      </c>
      <c r="B6537" t="n">
        <v>1</v>
      </c>
      <c r="C6537" t="n">
        <v>2014</v>
      </c>
      <c r="D6537" t="n">
        <v>2014</v>
      </c>
      <c r="E6537" t="inlineStr">
        <is>
          <t>The Theory of Everything</t>
        </is>
      </c>
      <c r="F6537" t="inlineStr">
        <is>
          <t>F0311</t>
        </is>
      </c>
    </row>
    <row r="6538">
      <c r="A6538" t="inlineStr">
        <is>
          <t>Alice Orr-Ewing</t>
        </is>
      </c>
      <c r="B6538" t="n">
        <v>1</v>
      </c>
      <c r="C6538" t="n">
        <v>2014</v>
      </c>
      <c r="D6538" t="n">
        <v>2014</v>
      </c>
      <c r="E6538" t="inlineStr">
        <is>
          <t>The Theory of Everything</t>
        </is>
      </c>
      <c r="F6538" t="inlineStr">
        <is>
          <t>F0311</t>
        </is>
      </c>
    </row>
    <row r="6539">
      <c r="A6539" t="inlineStr">
        <is>
          <t>Thomas Morrison</t>
        </is>
      </c>
      <c r="B6539" t="n">
        <v>1</v>
      </c>
      <c r="C6539" t="n">
        <v>2014</v>
      </c>
      <c r="D6539" t="n">
        <v>2014</v>
      </c>
      <c r="E6539" t="inlineStr">
        <is>
          <t>The Theory of Everything</t>
        </is>
      </c>
      <c r="F6539" t="inlineStr">
        <is>
          <t>F0311</t>
        </is>
      </c>
    </row>
    <row r="6540">
      <c r="A6540" t="inlineStr">
        <is>
          <t>Michael Marcus</t>
        </is>
      </c>
      <c r="B6540" t="n">
        <v>1</v>
      </c>
      <c r="C6540" t="n">
        <v>2014</v>
      </c>
      <c r="D6540" t="n">
        <v>2014</v>
      </c>
      <c r="E6540" t="inlineStr">
        <is>
          <t>The Theory of Everything</t>
        </is>
      </c>
      <c r="F6540" t="inlineStr">
        <is>
          <t>F0311</t>
        </is>
      </c>
    </row>
    <row r="6541">
      <c r="A6541" t="inlineStr">
        <is>
          <t>Paul Longley</t>
        </is>
      </c>
      <c r="B6541" t="n">
        <v>1</v>
      </c>
      <c r="C6541" t="n">
        <v>2014</v>
      </c>
      <c r="D6541" t="n">
        <v>2014</v>
      </c>
      <c r="E6541" t="inlineStr">
        <is>
          <t>The Theory of Everything</t>
        </is>
      </c>
      <c r="F6541" t="inlineStr">
        <is>
          <t>F0311</t>
        </is>
      </c>
    </row>
    <row r="6542">
      <c r="A6542" t="inlineStr">
        <is>
          <t>Guy Oliver-Watts</t>
        </is>
      </c>
      <c r="B6542" t="n">
        <v>1</v>
      </c>
      <c r="C6542" t="n">
        <v>2014</v>
      </c>
      <c r="D6542" t="n">
        <v>2014</v>
      </c>
      <c r="E6542" t="inlineStr">
        <is>
          <t>The Theory of Everything</t>
        </is>
      </c>
      <c r="F6542" t="inlineStr">
        <is>
          <t>F0311</t>
        </is>
      </c>
    </row>
    <row r="6543">
      <c r="A6543" t="inlineStr">
        <is>
          <t>Lucy Chappell</t>
        </is>
      </c>
      <c r="B6543" t="n">
        <v>1</v>
      </c>
      <c r="C6543" t="n">
        <v>2014</v>
      </c>
      <c r="D6543" t="n">
        <v>2014</v>
      </c>
      <c r="E6543" t="inlineStr">
        <is>
          <t>The Theory of Everything</t>
        </is>
      </c>
      <c r="F6543" t="inlineStr">
        <is>
          <t>F0311</t>
        </is>
      </c>
    </row>
    <row r="6544">
      <c r="A6544" t="inlineStr">
        <is>
          <t>Charlotte Hope</t>
        </is>
      </c>
      <c r="B6544" t="n">
        <v>1</v>
      </c>
      <c r="C6544" t="n">
        <v>2014</v>
      </c>
      <c r="D6544" t="n">
        <v>2014</v>
      </c>
      <c r="E6544" t="inlineStr">
        <is>
          <t>The Theory of Everything</t>
        </is>
      </c>
      <c r="F6544" t="inlineStr">
        <is>
          <t>F0311</t>
        </is>
      </c>
    </row>
    <row r="6545">
      <c r="A6545" t="inlineStr">
        <is>
          <t>Abigail Cruttenden</t>
        </is>
      </c>
      <c r="B6545" t="n">
        <v>1</v>
      </c>
      <c r="C6545" t="n">
        <v>2014</v>
      </c>
      <c r="D6545" t="n">
        <v>2014</v>
      </c>
      <c r="E6545" t="inlineStr">
        <is>
          <t>The Theory of Everything</t>
        </is>
      </c>
      <c r="F6545" t="inlineStr">
        <is>
          <t>F0311</t>
        </is>
      </c>
    </row>
    <row r="6546">
      <c r="A6546" t="inlineStr">
        <is>
          <t>Nicholas Gerard-Martin</t>
        </is>
      </c>
      <c r="B6546" t="n">
        <v>1</v>
      </c>
      <c r="C6546" t="n">
        <v>2014</v>
      </c>
      <c r="D6546" t="n">
        <v>2014</v>
      </c>
      <c r="E6546" t="inlineStr">
        <is>
          <t>The Theory of Everything</t>
        </is>
      </c>
      <c r="F6546" t="inlineStr">
        <is>
          <t>F0311</t>
        </is>
      </c>
    </row>
    <row r="6547">
      <c r="A6547" t="inlineStr">
        <is>
          <t>Brett Brown</t>
        </is>
      </c>
      <c r="B6547" t="n">
        <v>1</v>
      </c>
      <c r="C6547" t="n">
        <v>2014</v>
      </c>
      <c r="D6547" t="n">
        <v>2014</v>
      </c>
      <c r="E6547" t="inlineStr">
        <is>
          <t>The Theory of Everything</t>
        </is>
      </c>
      <c r="F6547" t="inlineStr">
        <is>
          <t>F0311</t>
        </is>
      </c>
    </row>
    <row r="6548">
      <c r="A6548" t="inlineStr">
        <is>
          <t>Anthony Skrimshire</t>
        </is>
      </c>
      <c r="B6548" t="n">
        <v>1</v>
      </c>
      <c r="C6548" t="n">
        <v>2014</v>
      </c>
      <c r="D6548" t="n">
        <v>2014</v>
      </c>
      <c r="E6548" t="inlineStr">
        <is>
          <t>The Theory of Everything</t>
        </is>
      </c>
      <c r="F6548" t="inlineStr">
        <is>
          <t>F0311</t>
        </is>
      </c>
    </row>
    <row r="6549">
      <c r="A6549" t="inlineStr">
        <is>
          <t>Nicola Sloane</t>
        </is>
      </c>
      <c r="B6549" t="n">
        <v>1</v>
      </c>
      <c r="C6549" t="n">
        <v>2014</v>
      </c>
      <c r="D6549" t="n">
        <v>2014</v>
      </c>
      <c r="E6549" t="inlineStr">
        <is>
          <t>The Theory of Everything</t>
        </is>
      </c>
      <c r="F6549" t="inlineStr">
        <is>
          <t>F0311</t>
        </is>
      </c>
    </row>
    <row r="6550">
      <c r="A6550" t="inlineStr">
        <is>
          <t>Lottie Hamilton</t>
        </is>
      </c>
      <c r="B6550" t="n">
        <v>1</v>
      </c>
      <c r="C6550" t="n">
        <v>2014</v>
      </c>
      <c r="D6550" t="n">
        <v>2014</v>
      </c>
      <c r="E6550" t="inlineStr">
        <is>
          <t>The Theory of Everything</t>
        </is>
      </c>
      <c r="F6550" t="inlineStr">
        <is>
          <t>F0311</t>
        </is>
      </c>
    </row>
    <row r="6551">
      <c r="A6551" t="inlineStr">
        <is>
          <t>Rufus Taylor</t>
        </is>
      </c>
      <c r="B6551" t="n">
        <v>1</v>
      </c>
      <c r="C6551" t="n">
        <v>2014</v>
      </c>
      <c r="D6551" t="n">
        <v>2014</v>
      </c>
      <c r="E6551" t="inlineStr">
        <is>
          <t>The Theory of Everything</t>
        </is>
      </c>
      <c r="F6551" t="inlineStr">
        <is>
          <t>F0311</t>
        </is>
      </c>
    </row>
    <row r="6552">
      <c r="A6552" t="inlineStr">
        <is>
          <t>Delilah Sexton</t>
        </is>
      </c>
      <c r="B6552" t="n">
        <v>1</v>
      </c>
      <c r="C6552" t="n">
        <v>2014</v>
      </c>
      <c r="D6552" t="n">
        <v>2014</v>
      </c>
      <c r="E6552" t="inlineStr">
        <is>
          <t>The Theory of Everything</t>
        </is>
      </c>
      <c r="F6552" t="inlineStr">
        <is>
          <t>F0311</t>
        </is>
      </c>
    </row>
    <row r="6553">
      <c r="A6553" t="inlineStr">
        <is>
          <t>John Morris</t>
        </is>
      </c>
      <c r="B6553" t="n">
        <v>3</v>
      </c>
      <c r="C6553" t="n">
        <v>1995</v>
      </c>
      <c r="D6553" t="n">
        <v>2010</v>
      </c>
      <c r="E6553" t="inlineStr">
        <is>
          <t>Toy Story, Toy Story 2, Toy Story 3</t>
        </is>
      </c>
      <c r="F6553" t="inlineStr">
        <is>
          <t>F0312, F0313, F0314</t>
        </is>
      </c>
    </row>
    <row r="6554">
      <c r="A6554" t="inlineStr">
        <is>
          <t>Erik von Detten</t>
        </is>
      </c>
      <c r="B6554" t="n">
        <v>1</v>
      </c>
      <c r="C6554" t="n">
        <v>1995</v>
      </c>
      <c r="D6554" t="n">
        <v>1995</v>
      </c>
      <c r="E6554" t="inlineStr">
        <is>
          <t>Toy Story</t>
        </is>
      </c>
      <c r="F6554" t="inlineStr">
        <is>
          <t>F0312</t>
        </is>
      </c>
    </row>
    <row r="6555">
      <c r="A6555" t="inlineStr">
        <is>
          <t>Laurie Metcalf</t>
        </is>
      </c>
      <c r="B6555" t="n">
        <v>4</v>
      </c>
      <c r="C6555" t="n">
        <v>1995</v>
      </c>
      <c r="D6555" t="n">
        <v>2019</v>
      </c>
      <c r="E6555" t="inlineStr">
        <is>
          <t>Toy Story, Toy Story 2, Toy Story 3, Toy Story 4</t>
        </is>
      </c>
      <c r="F6555" t="inlineStr">
        <is>
          <t>F0312, F0313, F0314, F0315</t>
        </is>
      </c>
    </row>
    <row r="6556">
      <c r="A6556" t="inlineStr">
        <is>
          <t>Sarah Rayne</t>
        </is>
      </c>
      <c r="B6556" t="n">
        <v>1</v>
      </c>
      <c r="C6556" t="n">
        <v>1995</v>
      </c>
      <c r="D6556" t="n">
        <v>1995</v>
      </c>
      <c r="E6556" t="inlineStr">
        <is>
          <t>Toy Story</t>
        </is>
      </c>
      <c r="F6556" t="inlineStr">
        <is>
          <t>F0312</t>
        </is>
      </c>
    </row>
    <row r="6557">
      <c r="A6557" t="inlineStr">
        <is>
          <t>Penn Jillette</t>
        </is>
      </c>
      <c r="B6557" t="n">
        <v>1</v>
      </c>
      <c r="C6557" t="n">
        <v>1995</v>
      </c>
      <c r="D6557" t="n">
        <v>1995</v>
      </c>
      <c r="E6557" t="inlineStr">
        <is>
          <t>Toy Story</t>
        </is>
      </c>
      <c r="F6557" t="inlineStr">
        <is>
          <t>F0312</t>
        </is>
      </c>
    </row>
    <row r="6558">
      <c r="A6558" t="inlineStr">
        <is>
          <t>Spencer Aste</t>
        </is>
      </c>
      <c r="B6558" t="n">
        <v>1</v>
      </c>
      <c r="C6558" t="n">
        <v>1995</v>
      </c>
      <c r="D6558" t="n">
        <v>1995</v>
      </c>
      <c r="E6558" t="inlineStr">
        <is>
          <t>Toy Story</t>
        </is>
      </c>
      <c r="F6558" t="inlineStr">
        <is>
          <t>F0312</t>
        </is>
      </c>
    </row>
    <row r="6559">
      <c r="A6559" t="inlineStr">
        <is>
          <t>Greg Berg</t>
        </is>
      </c>
      <c r="B6559" t="n">
        <v>1</v>
      </c>
      <c r="C6559" t="n">
        <v>1995</v>
      </c>
      <c r="D6559" t="n">
        <v>1995</v>
      </c>
      <c r="E6559" t="inlineStr">
        <is>
          <t>Toy Story</t>
        </is>
      </c>
      <c r="F6559" t="inlineStr">
        <is>
          <t>F0312</t>
        </is>
      </c>
    </row>
    <row r="6560">
      <c r="A6560" t="inlineStr">
        <is>
          <t>Lisa Bradley</t>
        </is>
      </c>
      <c r="B6560" t="n">
        <v>1</v>
      </c>
      <c r="C6560" t="n">
        <v>1995</v>
      </c>
      <c r="D6560" t="n">
        <v>1995</v>
      </c>
      <c r="E6560" t="inlineStr">
        <is>
          <t>Toy Story</t>
        </is>
      </c>
      <c r="F6560" t="inlineStr">
        <is>
          <t>F0312</t>
        </is>
      </c>
    </row>
    <row r="6561">
      <c r="A6561" t="inlineStr">
        <is>
          <t>Kendall Cunningham</t>
        </is>
      </c>
      <c r="B6561" t="n">
        <v>1</v>
      </c>
      <c r="C6561" t="n">
        <v>1995</v>
      </c>
      <c r="D6561" t="n">
        <v>1995</v>
      </c>
      <c r="E6561" t="inlineStr">
        <is>
          <t>Toy Story</t>
        </is>
      </c>
      <c r="F6561" t="inlineStr">
        <is>
          <t>F0312</t>
        </is>
      </c>
    </row>
    <row r="6562">
      <c r="A6562" t="inlineStr">
        <is>
          <t>Cody Dorkin</t>
        </is>
      </c>
      <c r="B6562" t="n">
        <v>1</v>
      </c>
      <c r="C6562" t="n">
        <v>1995</v>
      </c>
      <c r="D6562" t="n">
        <v>1995</v>
      </c>
      <c r="E6562" t="inlineStr">
        <is>
          <t>Toy Story</t>
        </is>
      </c>
      <c r="F6562" t="inlineStr">
        <is>
          <t>F0312</t>
        </is>
      </c>
    </row>
    <row r="6563">
      <c r="A6563" t="inlineStr">
        <is>
          <t>Craig Good</t>
        </is>
      </c>
      <c r="B6563" t="n">
        <v>1</v>
      </c>
      <c r="C6563" t="n">
        <v>1995</v>
      </c>
      <c r="D6563" t="n">
        <v>1995</v>
      </c>
      <c r="E6563" t="inlineStr">
        <is>
          <t>Toy Story</t>
        </is>
      </c>
      <c r="F6563" t="inlineStr">
        <is>
          <t>F0312</t>
        </is>
      </c>
    </row>
    <row r="6564">
      <c r="A6564" t="inlineStr">
        <is>
          <t>Gregory Grudt</t>
        </is>
      </c>
      <c r="B6564" t="n">
        <v>1</v>
      </c>
      <c r="C6564" t="n">
        <v>1995</v>
      </c>
      <c r="D6564" t="n">
        <v>1995</v>
      </c>
      <c r="E6564" t="inlineStr">
        <is>
          <t>Toy Story</t>
        </is>
      </c>
      <c r="F6564" t="inlineStr">
        <is>
          <t>F0312</t>
        </is>
      </c>
    </row>
    <row r="6565">
      <c r="A6565" t="inlineStr">
        <is>
          <t>Danielle Judovits</t>
        </is>
      </c>
      <c r="B6565" t="n">
        <v>1</v>
      </c>
      <c r="C6565" t="n">
        <v>1995</v>
      </c>
      <c r="D6565" t="n">
        <v>1995</v>
      </c>
      <c r="E6565" t="inlineStr">
        <is>
          <t>Toy Story</t>
        </is>
      </c>
      <c r="F6565" t="inlineStr">
        <is>
          <t>F0312</t>
        </is>
      </c>
    </row>
    <row r="6566">
      <c r="A6566" t="inlineStr">
        <is>
          <t>Sam Lasseter</t>
        </is>
      </c>
      <c r="B6566" t="n">
        <v>1</v>
      </c>
      <c r="C6566" t="n">
        <v>1995</v>
      </c>
      <c r="D6566" t="n">
        <v>1995</v>
      </c>
      <c r="E6566" t="inlineStr">
        <is>
          <t>Toy Story</t>
        </is>
      </c>
      <c r="F6566" t="inlineStr">
        <is>
          <t>F0312</t>
        </is>
      </c>
    </row>
    <row r="6567">
      <c r="A6567" t="inlineStr">
        <is>
          <t>Brittany Levenbrown</t>
        </is>
      </c>
      <c r="B6567" t="n">
        <v>1</v>
      </c>
      <c r="C6567" t="n">
        <v>1995</v>
      </c>
      <c r="D6567" t="n">
        <v>1995</v>
      </c>
      <c r="E6567" t="inlineStr">
        <is>
          <t>Toy Story</t>
        </is>
      </c>
      <c r="F6567" t="inlineStr">
        <is>
          <t>F0312</t>
        </is>
      </c>
    </row>
    <row r="6568">
      <c r="A6568" t="inlineStr">
        <is>
          <t>Scott McAfee</t>
        </is>
      </c>
      <c r="B6568" t="n">
        <v>1</v>
      </c>
      <c r="C6568" t="n">
        <v>1995</v>
      </c>
      <c r="D6568" t="n">
        <v>1995</v>
      </c>
      <c r="E6568" t="inlineStr">
        <is>
          <t>Toy Story</t>
        </is>
      </c>
      <c r="F6568" t="inlineStr">
        <is>
          <t>F0312</t>
        </is>
      </c>
    </row>
    <row r="6569">
      <c r="A6569" t="inlineStr">
        <is>
          <t>Ryan O'Donohue</t>
        </is>
      </c>
      <c r="B6569" t="n">
        <v>1</v>
      </c>
      <c r="C6569" t="n">
        <v>1995</v>
      </c>
      <c r="D6569" t="n">
        <v>1995</v>
      </c>
      <c r="E6569" t="inlineStr">
        <is>
          <t>Toy Story</t>
        </is>
      </c>
      <c r="F6569" t="inlineStr">
        <is>
          <t>F0312</t>
        </is>
      </c>
    </row>
    <row r="6570">
      <c r="A6570" t="inlineStr">
        <is>
          <t>Estelle Harris</t>
        </is>
      </c>
      <c r="B6570" t="n">
        <v>3</v>
      </c>
      <c r="C6570" t="n">
        <v>1999</v>
      </c>
      <c r="D6570" t="n">
        <v>2019</v>
      </c>
      <c r="E6570" t="inlineStr">
        <is>
          <t>Toy Story 2, Toy Story 3, Toy Story 4</t>
        </is>
      </c>
      <c r="F6570" t="inlineStr">
        <is>
          <t>F0313, F0314, F0315</t>
        </is>
      </c>
    </row>
    <row r="6571">
      <c r="A6571" t="inlineStr">
        <is>
          <t>Jodi Benson</t>
        </is>
      </c>
      <c r="B6571" t="n">
        <v>3</v>
      </c>
      <c r="C6571" t="n">
        <v>1999</v>
      </c>
      <c r="D6571" t="n">
        <v>2018</v>
      </c>
      <c r="E6571" t="inlineStr">
        <is>
          <t>Toy Story 2, Toy Story 3, Ralph Breaks the Internet</t>
        </is>
      </c>
      <c r="F6571" t="inlineStr">
        <is>
          <t>F0313, F0314, F0337</t>
        </is>
      </c>
    </row>
    <row r="6572">
      <c r="A6572" t="inlineStr">
        <is>
          <t>Mary Kay Bergman</t>
        </is>
      </c>
      <c r="B6572" t="n">
        <v>1</v>
      </c>
      <c r="C6572" t="n">
        <v>1999</v>
      </c>
      <c r="D6572" t="n">
        <v>1999</v>
      </c>
      <c r="E6572" t="inlineStr">
        <is>
          <t>Toy Story 2</t>
        </is>
      </c>
      <c r="F6572" t="inlineStr">
        <is>
          <t>F0313</t>
        </is>
      </c>
    </row>
    <row r="6573">
      <c r="A6573" t="inlineStr">
        <is>
          <t>Sheryl Bernstein</t>
        </is>
      </c>
      <c r="B6573" t="n">
        <v>1</v>
      </c>
      <c r="C6573" t="n">
        <v>1999</v>
      </c>
      <c r="D6573" t="n">
        <v>1999</v>
      </c>
      <c r="E6573" t="inlineStr">
        <is>
          <t>Toy Story 2</t>
        </is>
      </c>
      <c r="F6573" t="inlineStr">
        <is>
          <t>F0313</t>
        </is>
      </c>
    </row>
    <row r="6574">
      <c r="A6574" t="inlineStr">
        <is>
          <t>Ned Beatty</t>
        </is>
      </c>
      <c r="B6574" t="n">
        <v>1</v>
      </c>
      <c r="C6574" t="n">
        <v>2010</v>
      </c>
      <c r="D6574" t="n">
        <v>2010</v>
      </c>
      <c r="E6574" t="inlineStr">
        <is>
          <t>Toy Story 3</t>
        </is>
      </c>
      <c r="F6574" t="inlineStr">
        <is>
          <t>F0314</t>
        </is>
      </c>
    </row>
    <row r="6575">
      <c r="A6575" t="inlineStr">
        <is>
          <t>Emily Hahn</t>
        </is>
      </c>
      <c r="B6575" t="n">
        <v>1</v>
      </c>
      <c r="C6575" t="n">
        <v>2010</v>
      </c>
      <c r="D6575" t="n">
        <v>2010</v>
      </c>
      <c r="E6575" t="inlineStr">
        <is>
          <t>Toy Story 3</t>
        </is>
      </c>
      <c r="F6575" t="inlineStr">
        <is>
          <t>F0314</t>
        </is>
      </c>
    </row>
    <row r="6576">
      <c r="A6576" t="inlineStr">
        <is>
          <t>Teddy Newton</t>
        </is>
      </c>
      <c r="B6576" t="n">
        <v>3</v>
      </c>
      <c r="C6576" t="n">
        <v>2008</v>
      </c>
      <c r="D6576" t="n">
        <v>2010</v>
      </c>
      <c r="E6576" t="inlineStr">
        <is>
          <t>Toy Story 3, Up, WALL·E</t>
        </is>
      </c>
      <c r="F6576" t="inlineStr">
        <is>
          <t>F0314, F0330, F0331</t>
        </is>
      </c>
    </row>
    <row r="6577">
      <c r="A6577" t="inlineStr">
        <is>
          <t>Bud Luckey</t>
        </is>
      </c>
      <c r="B6577" t="n">
        <v>1</v>
      </c>
      <c r="C6577" t="n">
        <v>2010</v>
      </c>
      <c r="D6577" t="n">
        <v>2010</v>
      </c>
      <c r="E6577" t="inlineStr">
        <is>
          <t>Toy Story 3</t>
        </is>
      </c>
      <c r="F6577" t="inlineStr">
        <is>
          <t>F0314</t>
        </is>
      </c>
    </row>
    <row r="6578">
      <c r="A6578" t="inlineStr">
        <is>
          <t>Javier Fernández-Peña</t>
        </is>
      </c>
      <c r="B6578" t="n">
        <v>1</v>
      </c>
      <c r="C6578" t="n">
        <v>2010</v>
      </c>
      <c r="D6578" t="n">
        <v>2010</v>
      </c>
      <c r="E6578" t="inlineStr">
        <is>
          <t>Toy Story 3</t>
        </is>
      </c>
      <c r="F6578" t="inlineStr">
        <is>
          <t>F0314</t>
        </is>
      </c>
    </row>
    <row r="6579">
      <c r="A6579" t="inlineStr">
        <is>
          <t>Madeleine McGraw</t>
        </is>
      </c>
      <c r="B6579" t="n">
        <v>1</v>
      </c>
      <c r="C6579" t="n">
        <v>2019</v>
      </c>
      <c r="D6579" t="n">
        <v>2019</v>
      </c>
      <c r="E6579" t="inlineStr">
        <is>
          <t>Toy Story 4</t>
        </is>
      </c>
      <c r="F6579" t="inlineStr">
        <is>
          <t>F0315</t>
        </is>
      </c>
    </row>
    <row r="6580">
      <c r="A6580" t="inlineStr">
        <is>
          <t>Christina Hendricks</t>
        </is>
      </c>
      <c r="B6580" t="n">
        <v>1</v>
      </c>
      <c r="C6580" t="n">
        <v>2019</v>
      </c>
      <c r="D6580" t="n">
        <v>2019</v>
      </c>
      <c r="E6580" t="inlineStr">
        <is>
          <t>Toy Story 4</t>
        </is>
      </c>
      <c r="F6580" t="inlineStr">
        <is>
          <t>F0315</t>
        </is>
      </c>
    </row>
    <row r="6581">
      <c r="A6581" t="inlineStr">
        <is>
          <t>Jordan Peele</t>
        </is>
      </c>
      <c r="B6581" t="n">
        <v>1</v>
      </c>
      <c r="C6581" t="n">
        <v>2019</v>
      </c>
      <c r="D6581" t="n">
        <v>2019</v>
      </c>
      <c r="E6581" t="inlineStr">
        <is>
          <t>Toy Story 4</t>
        </is>
      </c>
      <c r="F6581" t="inlineStr">
        <is>
          <t>F0315</t>
        </is>
      </c>
    </row>
    <row r="6582">
      <c r="A6582" t="inlineStr">
        <is>
          <t>Ally Maki</t>
        </is>
      </c>
      <c r="B6582" t="n">
        <v>1</v>
      </c>
      <c r="C6582" t="n">
        <v>2019</v>
      </c>
      <c r="D6582" t="n">
        <v>2019</v>
      </c>
      <c r="E6582" t="inlineStr">
        <is>
          <t>Toy Story 4</t>
        </is>
      </c>
      <c r="F6582" t="inlineStr">
        <is>
          <t>F0315</t>
        </is>
      </c>
    </row>
    <row r="6583">
      <c r="A6583" t="inlineStr">
        <is>
          <t>Emily Davis</t>
        </is>
      </c>
      <c r="B6583" t="n">
        <v>1</v>
      </c>
      <c r="C6583" t="n">
        <v>2019</v>
      </c>
      <c r="D6583" t="n">
        <v>2019</v>
      </c>
      <c r="E6583" t="inlineStr">
        <is>
          <t>Toy Story 4</t>
        </is>
      </c>
      <c r="F6583" t="inlineStr">
        <is>
          <t>F0315</t>
        </is>
      </c>
    </row>
    <row r="6584">
      <c r="A6584" t="inlineStr">
        <is>
          <t>June Squibb</t>
        </is>
      </c>
      <c r="B6584" t="n">
        <v>1</v>
      </c>
      <c r="C6584" t="n">
        <v>2019</v>
      </c>
      <c r="D6584" t="n">
        <v>2019</v>
      </c>
      <c r="E6584" t="inlineStr">
        <is>
          <t>Toy Story 4</t>
        </is>
      </c>
      <c r="F6584" t="inlineStr">
        <is>
          <t>F0315</t>
        </is>
      </c>
    </row>
    <row r="6585">
      <c r="A6585" t="inlineStr">
        <is>
          <t>Carl Weathers</t>
        </is>
      </c>
      <c r="B6585" t="n">
        <v>1</v>
      </c>
      <c r="C6585" t="n">
        <v>2019</v>
      </c>
      <c r="D6585" t="n">
        <v>2019</v>
      </c>
      <c r="E6585" t="inlineStr">
        <is>
          <t>Toy Story 4</t>
        </is>
      </c>
      <c r="F6585" t="inlineStr">
        <is>
          <t>F0315</t>
        </is>
      </c>
    </row>
    <row r="6586">
      <c r="A6586" t="inlineStr">
        <is>
          <t>Lila Sage Bromley</t>
        </is>
      </c>
      <c r="B6586" t="n">
        <v>1</v>
      </c>
      <c r="C6586" t="n">
        <v>2019</v>
      </c>
      <c r="D6586" t="n">
        <v>2019</v>
      </c>
      <c r="E6586" t="inlineStr">
        <is>
          <t>Toy Story 4</t>
        </is>
      </c>
      <c r="F6586" t="inlineStr">
        <is>
          <t>F0315</t>
        </is>
      </c>
    </row>
    <row r="6587">
      <c r="A6587" t="inlineStr">
        <is>
          <t>Maliah Bargas-Good</t>
        </is>
      </c>
      <c r="B6587" t="n">
        <v>1</v>
      </c>
      <c r="C6587" t="n">
        <v>2019</v>
      </c>
      <c r="D6587" t="n">
        <v>2019</v>
      </c>
      <c r="E6587" t="inlineStr">
        <is>
          <t>Toy Story 4</t>
        </is>
      </c>
      <c r="F6587" t="inlineStr">
        <is>
          <t>F0315</t>
        </is>
      </c>
    </row>
    <row r="6588">
      <c r="A6588" t="inlineStr">
        <is>
          <t>Jack McGraw</t>
        </is>
      </c>
      <c r="B6588" t="n">
        <v>1</v>
      </c>
      <c r="C6588" t="n">
        <v>2019</v>
      </c>
      <c r="D6588" t="n">
        <v>2019</v>
      </c>
      <c r="E6588" t="inlineStr">
        <is>
          <t>Toy Story 4</t>
        </is>
      </c>
      <c r="F6588" t="inlineStr">
        <is>
          <t>F0315</t>
        </is>
      </c>
    </row>
    <row r="6589">
      <c r="A6589" t="inlineStr">
        <is>
          <t>Juliana Hansen</t>
        </is>
      </c>
      <c r="B6589" t="n">
        <v>1</v>
      </c>
      <c r="C6589" t="n">
        <v>2019</v>
      </c>
      <c r="D6589" t="n">
        <v>2019</v>
      </c>
      <c r="E6589" t="inlineStr">
        <is>
          <t>Toy Story 4</t>
        </is>
      </c>
      <c r="F6589" t="inlineStr">
        <is>
          <t>F0315</t>
        </is>
      </c>
    </row>
    <row r="6590">
      <c r="A6590" t="inlineStr">
        <is>
          <t>Steve Purcell</t>
        </is>
      </c>
      <c r="B6590" t="n">
        <v>1</v>
      </c>
      <c r="C6590" t="n">
        <v>2019</v>
      </c>
      <c r="D6590" t="n">
        <v>2019</v>
      </c>
      <c r="E6590" t="inlineStr">
        <is>
          <t>Toy Story 4</t>
        </is>
      </c>
      <c r="F6590" t="inlineStr">
        <is>
          <t>F0315</t>
        </is>
      </c>
    </row>
    <row r="6591">
      <c r="A6591" t="inlineStr">
        <is>
          <t>Rachael Taylor</t>
        </is>
      </c>
      <c r="B6591" t="n">
        <v>1</v>
      </c>
      <c r="C6591" t="n">
        <v>2007</v>
      </c>
      <c r="D6591" t="n">
        <v>2007</v>
      </c>
      <c r="E6591" t="inlineStr">
        <is>
          <t>Transformers</t>
        </is>
      </c>
      <c r="F6591" t="inlineStr">
        <is>
          <t>F0316</t>
        </is>
      </c>
    </row>
    <row r="6592">
      <c r="A6592" t="inlineStr">
        <is>
          <t>Kevin Dunn</t>
        </is>
      </c>
      <c r="B6592" t="n">
        <v>4</v>
      </c>
      <c r="C6592" t="n">
        <v>2007</v>
      </c>
      <c r="D6592" t="n">
        <v>2011</v>
      </c>
      <c r="E6592" t="inlineStr">
        <is>
          <t>Transformers, Transformers: Revenge of the Fallen, Transformers: Dark of the Moon, Warrior</t>
        </is>
      </c>
      <c r="F6592" t="inlineStr">
        <is>
          <t>F0316, F0317, F0318, F0333</t>
        </is>
      </c>
    </row>
    <row r="6593">
      <c r="A6593" t="inlineStr">
        <is>
          <t>Julie White</t>
        </is>
      </c>
      <c r="B6593" t="n">
        <v>4</v>
      </c>
      <c r="C6593" t="n">
        <v>2005</v>
      </c>
      <c r="D6593" t="n">
        <v>2011</v>
      </c>
      <c r="E6593" t="inlineStr">
        <is>
          <t>Transformers, Transformers: Revenge of the Fallen, Transformers: Dark of the Moon, War of the Worlds</t>
        </is>
      </c>
      <c r="F6593" t="inlineStr">
        <is>
          <t>F0316, F0317, F0318, F0332</t>
        </is>
      </c>
    </row>
    <row r="6594">
      <c r="A6594" t="inlineStr">
        <is>
          <t>Zack Ward</t>
        </is>
      </c>
      <c r="B6594" t="n">
        <v>1</v>
      </c>
      <c r="C6594" t="n">
        <v>2007</v>
      </c>
      <c r="D6594" t="n">
        <v>2007</v>
      </c>
      <c r="E6594" t="inlineStr">
        <is>
          <t>Transformers</t>
        </is>
      </c>
      <c r="F6594" t="inlineStr">
        <is>
          <t>F0316</t>
        </is>
      </c>
    </row>
    <row r="6595">
      <c r="A6595" t="inlineStr">
        <is>
          <t>Luis Echagarruga</t>
        </is>
      </c>
      <c r="B6595" t="n">
        <v>1</v>
      </c>
      <c r="C6595" t="n">
        <v>2007</v>
      </c>
      <c r="D6595" t="n">
        <v>2007</v>
      </c>
      <c r="E6595" t="inlineStr">
        <is>
          <t>Transformers</t>
        </is>
      </c>
      <c r="F6595" t="inlineStr">
        <is>
          <t>F0316</t>
        </is>
      </c>
    </row>
    <row r="6596">
      <c r="A6596" t="inlineStr">
        <is>
          <t>Patrick Mulderrig</t>
        </is>
      </c>
      <c r="B6596" t="n">
        <v>1</v>
      </c>
      <c r="C6596" t="n">
        <v>2007</v>
      </c>
      <c r="D6596" t="n">
        <v>2007</v>
      </c>
      <c r="E6596" t="inlineStr">
        <is>
          <t>Transformers</t>
        </is>
      </c>
      <c r="F6596" t="inlineStr">
        <is>
          <t>F0316</t>
        </is>
      </c>
    </row>
    <row r="6597">
      <c r="A6597" t="inlineStr">
        <is>
          <t>Brian Shehan</t>
        </is>
      </c>
      <c r="B6597" t="n">
        <v>1</v>
      </c>
      <c r="C6597" t="n">
        <v>2007</v>
      </c>
      <c r="D6597" t="n">
        <v>2007</v>
      </c>
      <c r="E6597" t="inlineStr">
        <is>
          <t>Transformers</t>
        </is>
      </c>
      <c r="F6597" t="inlineStr">
        <is>
          <t>F0316</t>
        </is>
      </c>
    </row>
    <row r="6598">
      <c r="A6598" t="inlineStr">
        <is>
          <t>Michael Trisler</t>
        </is>
      </c>
      <c r="B6598" t="n">
        <v>1</v>
      </c>
      <c r="C6598" t="n">
        <v>2007</v>
      </c>
      <c r="D6598" t="n">
        <v>2007</v>
      </c>
      <c r="E6598" t="inlineStr">
        <is>
          <t>Transformers</t>
        </is>
      </c>
      <c r="F6598" t="inlineStr">
        <is>
          <t>F0316</t>
        </is>
      </c>
    </row>
    <row r="6599">
      <c r="A6599" t="inlineStr">
        <is>
          <t>Ashkan Kashanchi</t>
        </is>
      </c>
      <c r="B6599" t="n">
        <v>1</v>
      </c>
      <c r="C6599" t="n">
        <v>2007</v>
      </c>
      <c r="D6599" t="n">
        <v>2007</v>
      </c>
      <c r="E6599" t="inlineStr">
        <is>
          <t>Transformers</t>
        </is>
      </c>
      <c r="F6599" t="inlineStr">
        <is>
          <t>F0316</t>
        </is>
      </c>
    </row>
    <row r="6600">
      <c r="A6600" t="inlineStr">
        <is>
          <t>C.J. Thomason</t>
        </is>
      </c>
      <c r="B6600" t="n">
        <v>1</v>
      </c>
      <c r="C6600" t="n">
        <v>2007</v>
      </c>
      <c r="D6600" t="n">
        <v>2007</v>
      </c>
      <c r="E6600" t="inlineStr">
        <is>
          <t>Transformers</t>
        </is>
      </c>
      <c r="F6600" t="inlineStr">
        <is>
          <t>F0316</t>
        </is>
      </c>
    </row>
    <row r="6601">
      <c r="A6601" t="inlineStr">
        <is>
          <t>Bernie Mac</t>
        </is>
      </c>
      <c r="B6601" t="n">
        <v>1</v>
      </c>
      <c r="C6601" t="n">
        <v>2007</v>
      </c>
      <c r="D6601" t="n">
        <v>2007</v>
      </c>
      <c r="E6601" t="inlineStr">
        <is>
          <t>Transformers</t>
        </is>
      </c>
      <c r="F6601" t="inlineStr">
        <is>
          <t>F0316</t>
        </is>
      </c>
    </row>
    <row r="6602">
      <c r="A6602" t="inlineStr">
        <is>
          <t>Carlos Moreno Jr.</t>
        </is>
      </c>
      <c r="B6602" t="n">
        <v>1</v>
      </c>
      <c r="C6602" t="n">
        <v>2007</v>
      </c>
      <c r="D6602" t="n">
        <v>2007</v>
      </c>
      <c r="E6602" t="inlineStr">
        <is>
          <t>Transformers</t>
        </is>
      </c>
      <c r="F6602" t="inlineStr">
        <is>
          <t>F0316</t>
        </is>
      </c>
    </row>
    <row r="6603">
      <c r="A6603" t="inlineStr">
        <is>
          <t>Johnny Sanchez</t>
        </is>
      </c>
      <c r="B6603" t="n">
        <v>1</v>
      </c>
      <c r="C6603" t="n">
        <v>2007</v>
      </c>
      <c r="D6603" t="n">
        <v>2007</v>
      </c>
      <c r="E6603" t="inlineStr">
        <is>
          <t>Transformers</t>
        </is>
      </c>
      <c r="F6603" t="inlineStr">
        <is>
          <t>F0316</t>
        </is>
      </c>
    </row>
    <row r="6604">
      <c r="A6604" t="inlineStr">
        <is>
          <t>John Robinson</t>
        </is>
      </c>
      <c r="B6604" t="n">
        <v>1</v>
      </c>
      <c r="C6604" t="n">
        <v>2007</v>
      </c>
      <c r="D6604" t="n">
        <v>2007</v>
      </c>
      <c r="E6604" t="inlineStr">
        <is>
          <t>Transformers</t>
        </is>
      </c>
      <c r="F6604" t="inlineStr">
        <is>
          <t>F0316</t>
        </is>
      </c>
    </row>
    <row r="6605">
      <c r="A6605" t="inlineStr">
        <is>
          <t>Travis Van Winkle</t>
        </is>
      </c>
      <c r="B6605" t="n">
        <v>1</v>
      </c>
      <c r="C6605" t="n">
        <v>2007</v>
      </c>
      <c r="D6605" t="n">
        <v>2007</v>
      </c>
      <c r="E6605" t="inlineStr">
        <is>
          <t>Transformers</t>
        </is>
      </c>
      <c r="F6605" t="inlineStr">
        <is>
          <t>F0316</t>
        </is>
      </c>
    </row>
    <row r="6606">
      <c r="A6606" t="inlineStr">
        <is>
          <t>Isabel Lucas</t>
        </is>
      </c>
      <c r="B6606" t="n">
        <v>1</v>
      </c>
      <c r="C6606" t="n">
        <v>2009</v>
      </c>
      <c r="D6606" t="n">
        <v>2009</v>
      </c>
      <c r="E6606" t="inlineStr">
        <is>
          <t>Transformers: Revenge of the Fallen</t>
        </is>
      </c>
      <c r="F6606" t="inlineStr">
        <is>
          <t>F0317</t>
        </is>
      </c>
    </row>
    <row r="6607">
      <c r="A6607" t="inlineStr">
        <is>
          <t>John Eric Bentley</t>
        </is>
      </c>
      <c r="B6607" t="n">
        <v>1</v>
      </c>
      <c r="C6607" t="n">
        <v>2009</v>
      </c>
      <c r="D6607" t="n">
        <v>2009</v>
      </c>
      <c r="E6607" t="inlineStr">
        <is>
          <t>Transformers: Revenge of the Fallen</t>
        </is>
      </c>
      <c r="F6607" t="inlineStr">
        <is>
          <t>F0317</t>
        </is>
      </c>
    </row>
    <row r="6608">
      <c r="A6608" t="inlineStr">
        <is>
          <t>Erin Naas</t>
        </is>
      </c>
      <c r="B6608" t="n">
        <v>1</v>
      </c>
      <c r="C6608" t="n">
        <v>2009</v>
      </c>
      <c r="D6608" t="n">
        <v>2009</v>
      </c>
      <c r="E6608" t="inlineStr">
        <is>
          <t>Transformers: Revenge of the Fallen</t>
        </is>
      </c>
      <c r="F6608" t="inlineStr">
        <is>
          <t>F0317</t>
        </is>
      </c>
    </row>
    <row r="6609">
      <c r="A6609" t="inlineStr">
        <is>
          <t>Rainn Wilson</t>
        </is>
      </c>
      <c r="B6609" t="n">
        <v>1</v>
      </c>
      <c r="C6609" t="n">
        <v>2009</v>
      </c>
      <c r="D6609" t="n">
        <v>2009</v>
      </c>
      <c r="E6609" t="inlineStr">
        <is>
          <t>Transformers: Revenge of the Fallen</t>
        </is>
      </c>
      <c r="F6609" t="inlineStr">
        <is>
          <t>F0317</t>
        </is>
      </c>
    </row>
    <row r="6610">
      <c r="A6610" t="inlineStr">
        <is>
          <t>Jonathon Trent</t>
        </is>
      </c>
      <c r="B6610" t="n">
        <v>1</v>
      </c>
      <c r="C6610" t="n">
        <v>2009</v>
      </c>
      <c r="D6610" t="n">
        <v>2009</v>
      </c>
      <c r="E6610" t="inlineStr">
        <is>
          <t>Transformers: Revenge of the Fallen</t>
        </is>
      </c>
      <c r="F6610" t="inlineStr">
        <is>
          <t>F0317</t>
        </is>
      </c>
    </row>
    <row r="6611">
      <c r="A6611" t="inlineStr">
        <is>
          <t>Walker Howard</t>
        </is>
      </c>
      <c r="B6611" t="n">
        <v>1</v>
      </c>
      <c r="C6611" t="n">
        <v>2009</v>
      </c>
      <c r="D6611" t="n">
        <v>2009</v>
      </c>
      <c r="E6611" t="inlineStr">
        <is>
          <t>Transformers: Revenge of the Fallen</t>
        </is>
      </c>
      <c r="F6611" t="inlineStr">
        <is>
          <t>F0317</t>
        </is>
      </c>
    </row>
    <row r="6612">
      <c r="A6612" t="inlineStr">
        <is>
          <t>Aaron Hill</t>
        </is>
      </c>
      <c r="B6612" t="n">
        <v>1</v>
      </c>
      <c r="C6612" t="n">
        <v>2009</v>
      </c>
      <c r="D6612" t="n">
        <v>2009</v>
      </c>
      <c r="E6612" t="inlineStr">
        <is>
          <t>Transformers: Revenge of the Fallen</t>
        </is>
      </c>
      <c r="F6612" t="inlineStr">
        <is>
          <t>F0317</t>
        </is>
      </c>
    </row>
    <row r="6613">
      <c r="A6613" t="inlineStr">
        <is>
          <t>Jareb Dauplaise</t>
        </is>
      </c>
      <c r="B6613" t="n">
        <v>1</v>
      </c>
      <c r="C6613" t="n">
        <v>2009</v>
      </c>
      <c r="D6613" t="n">
        <v>2009</v>
      </c>
      <c r="E6613" t="inlineStr">
        <is>
          <t>Transformers: Revenge of the Fallen</t>
        </is>
      </c>
      <c r="F6613" t="inlineStr">
        <is>
          <t>F0317</t>
        </is>
      </c>
    </row>
    <row r="6614">
      <c r="A6614" t="inlineStr">
        <is>
          <t>John Sanderford</t>
        </is>
      </c>
      <c r="B6614" t="n">
        <v>1</v>
      </c>
      <c r="C6614" t="n">
        <v>2009</v>
      </c>
      <c r="D6614" t="n">
        <v>2009</v>
      </c>
      <c r="E6614" t="inlineStr">
        <is>
          <t>Transformers: Revenge of the Fallen</t>
        </is>
      </c>
      <c r="F6614" t="inlineStr">
        <is>
          <t>F0317</t>
        </is>
      </c>
    </row>
    <row r="6615">
      <c r="A6615" t="inlineStr">
        <is>
          <t>Christopher Curry</t>
        </is>
      </c>
      <c r="B6615" t="n">
        <v>1</v>
      </c>
      <c r="C6615" t="n">
        <v>2009</v>
      </c>
      <c r="D6615" t="n">
        <v>2009</v>
      </c>
      <c r="E6615" t="inlineStr">
        <is>
          <t>Transformers: Revenge of the Fallen</t>
        </is>
      </c>
      <c r="F6615" t="inlineStr">
        <is>
          <t>F0317</t>
        </is>
      </c>
    </row>
    <row r="6616">
      <c r="A6616" t="inlineStr">
        <is>
          <t>Frances McDormand</t>
        </is>
      </c>
      <c r="B6616" t="n">
        <v>1</v>
      </c>
      <c r="C6616" t="n">
        <v>2011</v>
      </c>
      <c r="D6616" t="n">
        <v>2011</v>
      </c>
      <c r="E6616" t="inlineStr">
        <is>
          <t>Transformers: Dark of the Moon</t>
        </is>
      </c>
      <c r="F6616" t="inlineStr">
        <is>
          <t>F0318</t>
        </is>
      </c>
    </row>
    <row r="6617">
      <c r="A6617" t="inlineStr">
        <is>
          <t>Patrick Dempsey</t>
        </is>
      </c>
      <c r="B6617" t="n">
        <v>1</v>
      </c>
      <c r="C6617" t="n">
        <v>2011</v>
      </c>
      <c r="D6617" t="n">
        <v>2011</v>
      </c>
      <c r="E6617" t="inlineStr">
        <is>
          <t>Transformers: Dark of the Moon</t>
        </is>
      </c>
      <c r="F6617" t="inlineStr">
        <is>
          <t>F0318</t>
        </is>
      </c>
    </row>
    <row r="6618">
      <c r="A6618" t="inlineStr">
        <is>
          <t>Lester Speight</t>
        </is>
      </c>
      <c r="B6618" t="n">
        <v>1</v>
      </c>
      <c r="C6618" t="n">
        <v>2011</v>
      </c>
      <c r="D6618" t="n">
        <v>2011</v>
      </c>
      <c r="E6618" t="inlineStr">
        <is>
          <t>Transformers: Dark of the Moon</t>
        </is>
      </c>
      <c r="F6618" t="inlineStr">
        <is>
          <t>F0318</t>
        </is>
      </c>
    </row>
    <row r="6619">
      <c r="A6619" t="inlineStr">
        <is>
          <t>Buzz Aldrin</t>
        </is>
      </c>
      <c r="B6619" t="n">
        <v>1</v>
      </c>
      <c r="C6619" t="n">
        <v>2011</v>
      </c>
      <c r="D6619" t="n">
        <v>2011</v>
      </c>
      <c r="E6619" t="inlineStr">
        <is>
          <t>Transformers: Dark of the Moon</t>
        </is>
      </c>
      <c r="F6619" t="inlineStr">
        <is>
          <t>F0318</t>
        </is>
      </c>
    </row>
    <row r="6620">
      <c r="A6620" t="inlineStr">
        <is>
          <t>Bill O'Reilly</t>
        </is>
      </c>
      <c r="B6620" t="n">
        <v>1</v>
      </c>
      <c r="C6620" t="n">
        <v>2011</v>
      </c>
      <c r="D6620" t="n">
        <v>2011</v>
      </c>
      <c r="E6620" t="inlineStr">
        <is>
          <t>Transformers: Dark of the Moon</t>
        </is>
      </c>
      <c r="F6620" t="inlineStr">
        <is>
          <t>F0318</t>
        </is>
      </c>
    </row>
    <row r="6621">
      <c r="A6621" t="inlineStr">
        <is>
          <t>Ravil Isyanov</t>
        </is>
      </c>
      <c r="B6621" t="n">
        <v>1</v>
      </c>
      <c r="C6621" t="n">
        <v>2011</v>
      </c>
      <c r="D6621" t="n">
        <v>2011</v>
      </c>
      <c r="E6621" t="inlineStr">
        <is>
          <t>Transformers: Dark of the Moon</t>
        </is>
      </c>
      <c r="F6621" t="inlineStr">
        <is>
          <t>F0318</t>
        </is>
      </c>
    </row>
    <row r="6622">
      <c r="A6622" t="inlineStr">
        <is>
          <t>Dustin Dennard</t>
        </is>
      </c>
      <c r="B6622" t="n">
        <v>1</v>
      </c>
      <c r="C6622" t="n">
        <v>2011</v>
      </c>
      <c r="D6622" t="n">
        <v>2011</v>
      </c>
      <c r="E6622" t="inlineStr">
        <is>
          <t>Transformers: Dark of the Moon</t>
        </is>
      </c>
      <c r="F6622" t="inlineStr">
        <is>
          <t>F0318</t>
        </is>
      </c>
    </row>
    <row r="6623">
      <c r="A6623" t="inlineStr">
        <is>
          <t>Markiss McFadden</t>
        </is>
      </c>
      <c r="B6623" t="n">
        <v>1</v>
      </c>
      <c r="C6623" t="n">
        <v>2011</v>
      </c>
      <c r="D6623" t="n">
        <v>2011</v>
      </c>
      <c r="E6623" t="inlineStr">
        <is>
          <t>Transformers: Dark of the Moon</t>
        </is>
      </c>
      <c r="F6623" t="inlineStr">
        <is>
          <t>F0318</t>
        </is>
      </c>
    </row>
    <row r="6624">
      <c r="A6624" t="inlineStr">
        <is>
          <t>Nick Bickle</t>
        </is>
      </c>
      <c r="B6624" t="n">
        <v>1</v>
      </c>
      <c r="C6624" t="n">
        <v>2011</v>
      </c>
      <c r="D6624" t="n">
        <v>2011</v>
      </c>
      <c r="E6624" t="inlineStr">
        <is>
          <t>Transformers: Dark of the Moon</t>
        </is>
      </c>
      <c r="F6624" t="inlineStr">
        <is>
          <t>F0318</t>
        </is>
      </c>
    </row>
    <row r="6625">
      <c r="A6625" t="inlineStr">
        <is>
          <t>Ajay James</t>
        </is>
      </c>
      <c r="B6625" t="n">
        <v>1</v>
      </c>
      <c r="C6625" t="n">
        <v>2011</v>
      </c>
      <c r="D6625" t="n">
        <v>2011</v>
      </c>
      <c r="E6625" t="inlineStr">
        <is>
          <t>Transformers: Dark of the Moon</t>
        </is>
      </c>
      <c r="F6625" t="inlineStr">
        <is>
          <t>F0318</t>
        </is>
      </c>
    </row>
    <row r="6626">
      <c r="A6626" t="inlineStr">
        <is>
          <t>Brett Lynch</t>
        </is>
      </c>
      <c r="B6626" t="n">
        <v>1</v>
      </c>
      <c r="C6626" t="n">
        <v>2011</v>
      </c>
      <c r="D6626" t="n">
        <v>2011</v>
      </c>
      <c r="E6626" t="inlineStr">
        <is>
          <t>Transformers: Dark of the Moon</t>
        </is>
      </c>
      <c r="F6626" t="inlineStr">
        <is>
          <t>F0318</t>
        </is>
      </c>
    </row>
    <row r="6627">
      <c r="A6627" t="inlineStr">
        <is>
          <t>Chris A. Robinson</t>
        </is>
      </c>
      <c r="B6627" t="n">
        <v>1</v>
      </c>
      <c r="C6627" t="n">
        <v>2011</v>
      </c>
      <c r="D6627" t="n">
        <v>2011</v>
      </c>
      <c r="E6627" t="inlineStr">
        <is>
          <t>Transformers: Dark of the Moon</t>
        </is>
      </c>
      <c r="F6627" t="inlineStr">
        <is>
          <t>F0318</t>
        </is>
      </c>
    </row>
    <row r="6628">
      <c r="A6628" t="inlineStr">
        <is>
          <t>Scott C. Roe</t>
        </is>
      </c>
      <c r="B6628" t="n">
        <v>1</v>
      </c>
      <c r="C6628" t="n">
        <v>2011</v>
      </c>
      <c r="D6628" t="n">
        <v>2011</v>
      </c>
      <c r="E6628" t="inlineStr">
        <is>
          <t>Transformers: Dark of the Moon</t>
        </is>
      </c>
      <c r="F6628" t="inlineStr">
        <is>
          <t>F0318</t>
        </is>
      </c>
    </row>
    <row r="6629">
      <c r="A6629" t="inlineStr">
        <is>
          <t>James D. Weston II</t>
        </is>
      </c>
      <c r="B6629" t="n">
        <v>1</v>
      </c>
      <c r="C6629" t="n">
        <v>2011</v>
      </c>
      <c r="D6629" t="n">
        <v>2011</v>
      </c>
      <c r="E6629" t="inlineStr">
        <is>
          <t>Transformers: Dark of the Moon</t>
        </is>
      </c>
      <c r="F6629" t="inlineStr">
        <is>
          <t>F0318</t>
        </is>
      </c>
    </row>
    <row r="6630">
      <c r="A6630" t="inlineStr">
        <is>
          <t>Aaron Garrido</t>
        </is>
      </c>
      <c r="B6630" t="n">
        <v>1</v>
      </c>
      <c r="C6630" t="n">
        <v>2011</v>
      </c>
      <c r="D6630" t="n">
        <v>2011</v>
      </c>
      <c r="E6630" t="inlineStr">
        <is>
          <t>Transformers: Dark of the Moon</t>
        </is>
      </c>
      <c r="F6630" t="inlineStr">
        <is>
          <t>F0318</t>
        </is>
      </c>
    </row>
    <row r="6631">
      <c r="A6631" t="inlineStr">
        <is>
          <t>Nicola Peltz</t>
        </is>
      </c>
      <c r="B6631" t="n">
        <v>1</v>
      </c>
      <c r="C6631" t="n">
        <v>2014</v>
      </c>
      <c r="D6631" t="n">
        <v>2014</v>
      </c>
      <c r="E6631" t="inlineStr">
        <is>
          <t>Transformers: Age of Extinction</t>
        </is>
      </c>
      <c r="F6631" t="inlineStr">
        <is>
          <t>F0319</t>
        </is>
      </c>
    </row>
    <row r="6632">
      <c r="A6632" t="inlineStr">
        <is>
          <t>Sophia Myles</t>
        </is>
      </c>
      <c r="B6632" t="n">
        <v>2</v>
      </c>
      <c r="C6632" t="n">
        <v>2006</v>
      </c>
      <c r="D6632" t="n">
        <v>2014</v>
      </c>
      <c r="E6632" t="inlineStr">
        <is>
          <t>Transformers: Age of Extinction, Underworld: Evolution</t>
        </is>
      </c>
      <c r="F6632" t="inlineStr">
        <is>
          <t>F0319, F0326</t>
        </is>
      </c>
    </row>
    <row r="6633">
      <c r="A6633" t="inlineStr">
        <is>
          <t>Li Bingbing</t>
        </is>
      </c>
      <c r="B6633" t="n">
        <v>1</v>
      </c>
      <c r="C6633" t="n">
        <v>2014</v>
      </c>
      <c r="D6633" t="n">
        <v>2014</v>
      </c>
      <c r="E6633" t="inlineStr">
        <is>
          <t>Transformers: Age of Extinction</t>
        </is>
      </c>
      <c r="F6633" t="inlineStr">
        <is>
          <t>F0319</t>
        </is>
      </c>
    </row>
    <row r="6634">
      <c r="A6634" t="inlineStr">
        <is>
          <t>James Bachman</t>
        </is>
      </c>
      <c r="B6634" t="n">
        <v>1</v>
      </c>
      <c r="C6634" t="n">
        <v>2014</v>
      </c>
      <c r="D6634" t="n">
        <v>2014</v>
      </c>
      <c r="E6634" t="inlineStr">
        <is>
          <t>Transformers: Age of Extinction</t>
        </is>
      </c>
      <c r="F6634" t="inlineStr">
        <is>
          <t>F0319</t>
        </is>
      </c>
    </row>
    <row r="6635">
      <c r="A6635" t="inlineStr">
        <is>
          <t>Erika Fong</t>
        </is>
      </c>
      <c r="B6635" t="n">
        <v>1</v>
      </c>
      <c r="C6635" t="n">
        <v>2014</v>
      </c>
      <c r="D6635" t="n">
        <v>2014</v>
      </c>
      <c r="E6635" t="inlineStr">
        <is>
          <t>Transformers: Age of Extinction</t>
        </is>
      </c>
      <c r="F6635" t="inlineStr">
        <is>
          <t>F0319</t>
        </is>
      </c>
    </row>
    <row r="6636">
      <c r="A6636" t="inlineStr">
        <is>
          <t>Han Geng</t>
        </is>
      </c>
      <c r="B6636" t="n">
        <v>1</v>
      </c>
      <c r="C6636" t="n">
        <v>2014</v>
      </c>
      <c r="D6636" t="n">
        <v>2014</v>
      </c>
      <c r="E6636" t="inlineStr">
        <is>
          <t>Transformers: Age of Extinction</t>
        </is>
      </c>
      <c r="F6636" t="inlineStr">
        <is>
          <t>F0319</t>
        </is>
      </c>
    </row>
    <row r="6637">
      <c r="A6637" t="inlineStr">
        <is>
          <t>Michael Christopher Collins</t>
        </is>
      </c>
      <c r="B6637" t="n">
        <v>1</v>
      </c>
      <c r="C6637" t="n">
        <v>2014</v>
      </c>
      <c r="D6637" t="n">
        <v>2014</v>
      </c>
      <c r="E6637" t="inlineStr">
        <is>
          <t>Transformers: Age of Extinction</t>
        </is>
      </c>
      <c r="F6637" t="inlineStr">
        <is>
          <t>F0319</t>
        </is>
      </c>
    </row>
    <row r="6638">
      <c r="A6638" t="inlineStr">
        <is>
          <t>Zou Shiming</t>
        </is>
      </c>
      <c r="B6638" t="n">
        <v>1</v>
      </c>
      <c r="C6638" t="n">
        <v>2014</v>
      </c>
      <c r="D6638" t="n">
        <v>2014</v>
      </c>
      <c r="E6638" t="inlineStr">
        <is>
          <t>Transformers: Age of Extinction</t>
        </is>
      </c>
      <c r="F6638" t="inlineStr">
        <is>
          <t>F0319</t>
        </is>
      </c>
    </row>
    <row r="6639">
      <c r="A6639" t="inlineStr">
        <is>
          <t>Richard Riehle</t>
        </is>
      </c>
      <c r="B6639" t="n">
        <v>1</v>
      </c>
      <c r="C6639" t="n">
        <v>2014</v>
      </c>
      <c r="D6639" t="n">
        <v>2014</v>
      </c>
      <c r="E6639" t="inlineStr">
        <is>
          <t>Transformers: Age of Extinction</t>
        </is>
      </c>
      <c r="F6639" t="inlineStr">
        <is>
          <t>F0319</t>
        </is>
      </c>
    </row>
    <row r="6640">
      <c r="A6640" t="inlineStr">
        <is>
          <t>Patrick Bristow</t>
        </is>
      </c>
      <c r="B6640" t="n">
        <v>1</v>
      </c>
      <c r="C6640" t="n">
        <v>2014</v>
      </c>
      <c r="D6640" t="n">
        <v>2014</v>
      </c>
      <c r="E6640" t="inlineStr">
        <is>
          <t>Transformers: Age of Extinction</t>
        </is>
      </c>
      <c r="F6640" t="inlineStr">
        <is>
          <t>F0319</t>
        </is>
      </c>
    </row>
    <row r="6641">
      <c r="A6641" t="inlineStr">
        <is>
          <t>Calvin Wimmer</t>
        </is>
      </c>
      <c r="B6641" t="n">
        <v>1</v>
      </c>
      <c r="C6641" t="n">
        <v>2014</v>
      </c>
      <c r="D6641" t="n">
        <v>2014</v>
      </c>
      <c r="E6641" t="inlineStr">
        <is>
          <t>Transformers: Age of Extinction</t>
        </is>
      </c>
      <c r="F6641" t="inlineStr">
        <is>
          <t>F0319</t>
        </is>
      </c>
    </row>
    <row r="6642">
      <c r="A6642" t="inlineStr">
        <is>
          <t>Glenn Keogh</t>
        </is>
      </c>
      <c r="B6642" t="n">
        <v>1</v>
      </c>
      <c r="C6642" t="n">
        <v>2014</v>
      </c>
      <c r="D6642" t="n">
        <v>2014</v>
      </c>
      <c r="E6642" t="inlineStr">
        <is>
          <t>Transformers: Age of Extinction</t>
        </is>
      </c>
      <c r="F6642" t="inlineStr">
        <is>
          <t>F0319</t>
        </is>
      </c>
    </row>
    <row r="6643">
      <c r="A6643" t="inlineStr">
        <is>
          <t>David Midthunder</t>
        </is>
      </c>
      <c r="B6643" t="n">
        <v>1</v>
      </c>
      <c r="C6643" t="n">
        <v>2014</v>
      </c>
      <c r="D6643" t="n">
        <v>2014</v>
      </c>
      <c r="E6643" t="inlineStr">
        <is>
          <t>Transformers: Age of Extinction</t>
        </is>
      </c>
      <c r="F6643" t="inlineStr">
        <is>
          <t>F0319</t>
        </is>
      </c>
    </row>
    <row r="6644">
      <c r="A6644" t="inlineStr">
        <is>
          <t>Richard Gallion</t>
        </is>
      </c>
      <c r="B6644" t="n">
        <v>1</v>
      </c>
      <c r="C6644" t="n">
        <v>2014</v>
      </c>
      <c r="D6644" t="n">
        <v>2014</v>
      </c>
      <c r="E6644" t="inlineStr">
        <is>
          <t>Transformers: Age of Extinction</t>
        </is>
      </c>
      <c r="F6644" t="inlineStr">
        <is>
          <t>F0319</t>
        </is>
      </c>
    </row>
    <row r="6645">
      <c r="A6645" t="inlineStr">
        <is>
          <t>Nick Horst</t>
        </is>
      </c>
      <c r="B6645" t="n">
        <v>1</v>
      </c>
      <c r="C6645" t="n">
        <v>2014</v>
      </c>
      <c r="D6645" t="n">
        <v>2014</v>
      </c>
      <c r="E6645" t="inlineStr">
        <is>
          <t>Transformers: Age of Extinction</t>
        </is>
      </c>
      <c r="F6645" t="inlineStr">
        <is>
          <t>F0319</t>
        </is>
      </c>
    </row>
    <row r="6646">
      <c r="A6646" t="inlineStr">
        <is>
          <t>Erik Aadahl</t>
        </is>
      </c>
      <c r="B6646" t="n">
        <v>1</v>
      </c>
      <c r="C6646" t="n">
        <v>2017</v>
      </c>
      <c r="D6646" t="n">
        <v>2017</v>
      </c>
      <c r="E6646" t="inlineStr">
        <is>
          <t>Transformers: The Last Knight</t>
        </is>
      </c>
      <c r="F6646" t="inlineStr">
        <is>
          <t>F0320</t>
        </is>
      </c>
    </row>
    <row r="6647">
      <c r="A6647" t="inlineStr">
        <is>
          <t>Jim Carter</t>
        </is>
      </c>
      <c r="B6647" t="n">
        <v>2</v>
      </c>
      <c r="C6647" t="n">
        <v>2017</v>
      </c>
      <c r="D6647" t="n">
        <v>2023</v>
      </c>
      <c r="E6647" t="inlineStr">
        <is>
          <t>Transformers: The Last Knight, Wonka</t>
        </is>
      </c>
      <c r="F6647" t="inlineStr">
        <is>
          <t>F0320, F0338</t>
        </is>
      </c>
    </row>
    <row r="6648">
      <c r="A6648" t="inlineStr">
        <is>
          <t>Santiago Cabrera</t>
        </is>
      </c>
      <c r="B6648" t="n">
        <v>1</v>
      </c>
      <c r="C6648" t="n">
        <v>2017</v>
      </c>
      <c r="D6648" t="n">
        <v>2017</v>
      </c>
      <c r="E6648" t="inlineStr">
        <is>
          <t>Transformers: The Last Knight</t>
        </is>
      </c>
      <c r="F6648" t="inlineStr">
        <is>
          <t>F0320</t>
        </is>
      </c>
    </row>
    <row r="6649">
      <c r="A6649" t="inlineStr">
        <is>
          <t>Jerrod Carmichael</t>
        </is>
      </c>
      <c r="B6649" t="n">
        <v>1</v>
      </c>
      <c r="C6649" t="n">
        <v>2017</v>
      </c>
      <c r="D6649" t="n">
        <v>2017</v>
      </c>
      <c r="E6649" t="inlineStr">
        <is>
          <t>Transformers: The Last Knight</t>
        </is>
      </c>
      <c r="F6649" t="inlineStr">
        <is>
          <t>F0320</t>
        </is>
      </c>
    </row>
    <row r="6650">
      <c r="A6650" t="inlineStr">
        <is>
          <t>Martin McCreadie</t>
        </is>
      </c>
      <c r="B6650" t="n">
        <v>1</v>
      </c>
      <c r="C6650" t="n">
        <v>2017</v>
      </c>
      <c r="D6650" t="n">
        <v>2017</v>
      </c>
      <c r="E6650" t="inlineStr">
        <is>
          <t>Transformers: The Last Knight</t>
        </is>
      </c>
      <c r="F6650" t="inlineStr">
        <is>
          <t>F0320</t>
        </is>
      </c>
    </row>
    <row r="6651">
      <c r="A6651" t="inlineStr">
        <is>
          <t>Rob Witcomb</t>
        </is>
      </c>
      <c r="B6651" t="n">
        <v>1</v>
      </c>
      <c r="C6651" t="n">
        <v>2017</v>
      </c>
      <c r="D6651" t="n">
        <v>2017</v>
      </c>
      <c r="E6651" t="inlineStr">
        <is>
          <t>Transformers: The Last Knight</t>
        </is>
      </c>
      <c r="F6651" t="inlineStr">
        <is>
          <t>F0320</t>
        </is>
      </c>
    </row>
    <row r="6652">
      <c r="A6652" t="inlineStr">
        <is>
          <t>Marcus Fraser</t>
        </is>
      </c>
      <c r="B6652" t="n">
        <v>1</v>
      </c>
      <c r="C6652" t="n">
        <v>2017</v>
      </c>
      <c r="D6652" t="n">
        <v>2017</v>
      </c>
      <c r="E6652" t="inlineStr">
        <is>
          <t>Transformers: The Last Knight</t>
        </is>
      </c>
      <c r="F6652" t="inlineStr">
        <is>
          <t>F0320</t>
        </is>
      </c>
    </row>
    <row r="6653">
      <c r="A6653" t="inlineStr">
        <is>
          <t>John Hollingworth</t>
        </is>
      </c>
      <c r="B6653" t="n">
        <v>1</v>
      </c>
      <c r="C6653" t="n">
        <v>2017</v>
      </c>
      <c r="D6653" t="n">
        <v>2017</v>
      </c>
      <c r="E6653" t="inlineStr">
        <is>
          <t>Transformers: The Last Knight</t>
        </is>
      </c>
      <c r="F6653" t="inlineStr">
        <is>
          <t>F0320</t>
        </is>
      </c>
    </row>
    <row r="6654">
      <c r="A6654" t="inlineStr">
        <is>
          <t>Daniel Adegboyega</t>
        </is>
      </c>
      <c r="B6654" t="n">
        <v>1</v>
      </c>
      <c r="C6654" t="n">
        <v>2017</v>
      </c>
      <c r="D6654" t="n">
        <v>2017</v>
      </c>
      <c r="E6654" t="inlineStr">
        <is>
          <t>Transformers: The Last Knight</t>
        </is>
      </c>
      <c r="F6654" t="inlineStr">
        <is>
          <t>F0320</t>
        </is>
      </c>
    </row>
    <row r="6655">
      <c r="A6655" t="inlineStr">
        <is>
          <t>Benjamin Maurice Webb</t>
        </is>
      </c>
      <c r="B6655" t="n">
        <v>1</v>
      </c>
      <c r="C6655" t="n">
        <v>2017</v>
      </c>
      <c r="D6655" t="n">
        <v>2017</v>
      </c>
      <c r="E6655" t="inlineStr">
        <is>
          <t>Transformers: The Last Knight</t>
        </is>
      </c>
      <c r="F6655" t="inlineStr">
        <is>
          <t>F0320</t>
        </is>
      </c>
    </row>
    <row r="6656">
      <c r="A6656" t="inlineStr">
        <is>
          <t>Claude Knowlton</t>
        </is>
      </c>
      <c r="B6656" t="n">
        <v>1</v>
      </c>
      <c r="C6656" t="n">
        <v>2017</v>
      </c>
      <c r="D6656" t="n">
        <v>2017</v>
      </c>
      <c r="E6656" t="inlineStr">
        <is>
          <t>Transformers: The Last Knight</t>
        </is>
      </c>
      <c r="F6656" t="inlineStr">
        <is>
          <t>F0320</t>
        </is>
      </c>
    </row>
    <row r="6657">
      <c r="A6657" t="inlineStr">
        <is>
          <t>Jacob Zachar</t>
        </is>
      </c>
      <c r="B6657" t="n">
        <v>1</v>
      </c>
      <c r="C6657" t="n">
        <v>2017</v>
      </c>
      <c r="D6657" t="n">
        <v>2017</v>
      </c>
      <c r="E6657" t="inlineStr">
        <is>
          <t>Transformers: The Last Knight</t>
        </is>
      </c>
      <c r="F6657" t="inlineStr">
        <is>
          <t>F0320</t>
        </is>
      </c>
    </row>
    <row r="6658">
      <c r="A6658" t="inlineStr">
        <is>
          <t>Maggie Steed</t>
        </is>
      </c>
      <c r="B6658" t="n">
        <v>1</v>
      </c>
      <c r="C6658" t="n">
        <v>2017</v>
      </c>
      <c r="D6658" t="n">
        <v>2017</v>
      </c>
      <c r="E6658" t="inlineStr">
        <is>
          <t>Transformers: The Last Knight</t>
        </is>
      </c>
      <c r="F6658" t="inlineStr">
        <is>
          <t>F0320</t>
        </is>
      </c>
    </row>
    <row r="6659">
      <c r="A6659" t="inlineStr">
        <is>
          <t>Phoebe Nicholls</t>
        </is>
      </c>
      <c r="B6659" t="n">
        <v>1</v>
      </c>
      <c r="C6659" t="n">
        <v>2017</v>
      </c>
      <c r="D6659" t="n">
        <v>2017</v>
      </c>
      <c r="E6659" t="inlineStr">
        <is>
          <t>Transformers: The Last Knight</t>
        </is>
      </c>
      <c r="F6659" t="inlineStr">
        <is>
          <t>F0320</t>
        </is>
      </c>
    </row>
    <row r="6660">
      <c r="A6660" t="inlineStr">
        <is>
          <t>Stephen Hogan</t>
        </is>
      </c>
      <c r="B6660" t="n">
        <v>1</v>
      </c>
      <c r="C6660" t="n">
        <v>2017</v>
      </c>
      <c r="D6660" t="n">
        <v>2017</v>
      </c>
      <c r="E6660" t="inlineStr">
        <is>
          <t>Transformers: The Last Knight</t>
        </is>
      </c>
      <c r="F6660" t="inlineStr">
        <is>
          <t>F0320</t>
        </is>
      </c>
    </row>
    <row r="6661">
      <c r="A6661" t="inlineStr">
        <is>
          <t>Minti Gorne</t>
        </is>
      </c>
      <c r="B6661" t="n">
        <v>1</v>
      </c>
      <c r="C6661" t="n">
        <v>2017</v>
      </c>
      <c r="D6661" t="n">
        <v>2017</v>
      </c>
      <c r="E6661" t="inlineStr">
        <is>
          <t>Transformers: The Last Knight</t>
        </is>
      </c>
      <c r="F6661" t="inlineStr">
        <is>
          <t>F0320</t>
        </is>
      </c>
    </row>
    <row r="6662">
      <c r="A6662" t="inlineStr">
        <is>
          <t>Michelle Yeoh</t>
        </is>
      </c>
      <c r="B6662" t="n">
        <v>1</v>
      </c>
      <c r="C6662" t="n">
        <v>2023</v>
      </c>
      <c r="D6662" t="n">
        <v>2023</v>
      </c>
      <c r="E6662" t="inlineStr">
        <is>
          <t>Transformers: Rise of the Beasts</t>
        </is>
      </c>
      <c r="F6662" t="inlineStr">
        <is>
          <t>F0321</t>
        </is>
      </c>
    </row>
    <row r="6663">
      <c r="A6663" t="inlineStr">
        <is>
          <t>Liza Koshy</t>
        </is>
      </c>
      <c r="B6663" t="n">
        <v>1</v>
      </c>
      <c r="C6663" t="n">
        <v>2023</v>
      </c>
      <c r="D6663" t="n">
        <v>2023</v>
      </c>
      <c r="E6663" t="inlineStr">
        <is>
          <t>Transformers: Rise of the Beasts</t>
        </is>
      </c>
      <c r="F6663" t="inlineStr">
        <is>
          <t>F0321</t>
        </is>
      </c>
    </row>
    <row r="6664">
      <c r="A6664" t="inlineStr">
        <is>
          <t>Cristo Fernández</t>
        </is>
      </c>
      <c r="B6664" t="n">
        <v>1</v>
      </c>
      <c r="C6664" t="n">
        <v>2023</v>
      </c>
      <c r="D6664" t="n">
        <v>2023</v>
      </c>
      <c r="E6664" t="inlineStr">
        <is>
          <t>Transformers: Rise of the Beasts</t>
        </is>
      </c>
      <c r="F6664" t="inlineStr">
        <is>
          <t>F0321</t>
        </is>
      </c>
    </row>
    <row r="6665">
      <c r="A6665" t="inlineStr">
        <is>
          <t>Luna Lauren Vélez</t>
        </is>
      </c>
      <c r="B6665" t="n">
        <v>1</v>
      </c>
      <c r="C6665" t="n">
        <v>2023</v>
      </c>
      <c r="D6665" t="n">
        <v>2023</v>
      </c>
      <c r="E6665" t="inlineStr">
        <is>
          <t>Transformers: Rise of the Beasts</t>
        </is>
      </c>
      <c r="F6665" t="inlineStr">
        <is>
          <t>F0321</t>
        </is>
      </c>
    </row>
    <row r="6666">
      <c r="A6666" t="inlineStr">
        <is>
          <t>Dean Scott Vazquez</t>
        </is>
      </c>
      <c r="B6666" t="n">
        <v>1</v>
      </c>
      <c r="C6666" t="n">
        <v>2023</v>
      </c>
      <c r="D6666" t="n">
        <v>2023</v>
      </c>
      <c r="E6666" t="inlineStr">
        <is>
          <t>Transformers: Rise of the Beasts</t>
        </is>
      </c>
      <c r="F6666" t="inlineStr">
        <is>
          <t>F0321</t>
        </is>
      </c>
    </row>
    <row r="6667">
      <c r="A6667" t="inlineStr">
        <is>
          <t>Tobe Nwigwe</t>
        </is>
      </c>
      <c r="B6667" t="n">
        <v>1</v>
      </c>
      <c r="C6667" t="n">
        <v>2023</v>
      </c>
      <c r="D6667" t="n">
        <v>2023</v>
      </c>
      <c r="E6667" t="inlineStr">
        <is>
          <t>Transformers: Rise of the Beasts</t>
        </is>
      </c>
      <c r="F6667" t="inlineStr">
        <is>
          <t>F0321</t>
        </is>
      </c>
    </row>
    <row r="6668">
      <c r="A6668" t="inlineStr">
        <is>
          <t>Sarah Stiles</t>
        </is>
      </c>
      <c r="B6668" t="n">
        <v>1</v>
      </c>
      <c r="C6668" t="n">
        <v>2023</v>
      </c>
      <c r="D6668" t="n">
        <v>2023</v>
      </c>
      <c r="E6668" t="inlineStr">
        <is>
          <t>Transformers: Rise of the Beasts</t>
        </is>
      </c>
      <c r="F6668" t="inlineStr">
        <is>
          <t>F0321</t>
        </is>
      </c>
    </row>
    <row r="6669">
      <c r="A6669" t="inlineStr">
        <is>
          <t>Leni Parker</t>
        </is>
      </c>
      <c r="B6669" t="n">
        <v>1</v>
      </c>
      <c r="C6669" t="n">
        <v>2023</v>
      </c>
      <c r="D6669" t="n">
        <v>2023</v>
      </c>
      <c r="E6669" t="inlineStr">
        <is>
          <t>Transformers: Rise of the Beasts</t>
        </is>
      </c>
      <c r="F6669" t="inlineStr">
        <is>
          <t>F0321</t>
        </is>
      </c>
    </row>
    <row r="6670">
      <c r="A6670" t="inlineStr">
        <is>
          <t>Frank Marrs</t>
        </is>
      </c>
      <c r="B6670" t="n">
        <v>1</v>
      </c>
      <c r="C6670" t="n">
        <v>2023</v>
      </c>
      <c r="D6670" t="n">
        <v>2023</v>
      </c>
      <c r="E6670" t="inlineStr">
        <is>
          <t>Transformers: Rise of the Beasts</t>
        </is>
      </c>
      <c r="F6670" t="inlineStr">
        <is>
          <t>F0321</t>
        </is>
      </c>
    </row>
    <row r="6671">
      <c r="A6671" t="inlineStr">
        <is>
          <t>Aidan Devine</t>
        </is>
      </c>
      <c r="B6671" t="n">
        <v>1</v>
      </c>
      <c r="C6671" t="n">
        <v>2023</v>
      </c>
      <c r="D6671" t="n">
        <v>2023</v>
      </c>
      <c r="E6671" t="inlineStr">
        <is>
          <t>Transformers: Rise of the Beasts</t>
        </is>
      </c>
      <c r="F6671" t="inlineStr">
        <is>
          <t>F0321</t>
        </is>
      </c>
    </row>
    <row r="6672">
      <c r="A6672" t="inlineStr">
        <is>
          <t>Kerwin Jackson</t>
        </is>
      </c>
      <c r="B6672" t="n">
        <v>1</v>
      </c>
      <c r="C6672" t="n">
        <v>2023</v>
      </c>
      <c r="D6672" t="n">
        <v>2023</v>
      </c>
      <c r="E6672" t="inlineStr">
        <is>
          <t>Transformers: Rise of the Beasts</t>
        </is>
      </c>
      <c r="F6672" t="inlineStr">
        <is>
          <t>F0321</t>
        </is>
      </c>
    </row>
    <row r="6673">
      <c r="A6673" t="inlineStr">
        <is>
          <t>Mike Chute</t>
        </is>
      </c>
      <c r="B6673" t="n">
        <v>1</v>
      </c>
      <c r="C6673" t="n">
        <v>2023</v>
      </c>
      <c r="D6673" t="n">
        <v>2023</v>
      </c>
      <c r="E6673" t="inlineStr">
        <is>
          <t>Transformers: Rise of the Beasts</t>
        </is>
      </c>
      <c r="F6673" t="inlineStr">
        <is>
          <t>F0321</t>
        </is>
      </c>
    </row>
    <row r="6674">
      <c r="A6674" t="inlineStr">
        <is>
          <t>Tyler Hall</t>
        </is>
      </c>
      <c r="B6674" t="n">
        <v>1</v>
      </c>
      <c r="C6674" t="n">
        <v>2023</v>
      </c>
      <c r="D6674" t="n">
        <v>2023</v>
      </c>
      <c r="E6674" t="inlineStr">
        <is>
          <t>Transformers: Rise of the Beasts</t>
        </is>
      </c>
      <c r="F6674" t="inlineStr">
        <is>
          <t>F0321</t>
        </is>
      </c>
    </row>
    <row r="6675">
      <c r="A6675" t="inlineStr">
        <is>
          <t>Sean Tucker</t>
        </is>
      </c>
      <c r="B6675" t="n">
        <v>1</v>
      </c>
      <c r="C6675" t="n">
        <v>2023</v>
      </c>
      <c r="D6675" t="n">
        <v>2023</v>
      </c>
      <c r="E6675" t="inlineStr">
        <is>
          <t>Transformers: Rise of the Beasts</t>
        </is>
      </c>
      <c r="F6675" t="inlineStr">
        <is>
          <t>F0321</t>
        </is>
      </c>
    </row>
    <row r="6676">
      <c r="A6676" t="inlineStr">
        <is>
          <t>Jay Farrar</t>
        </is>
      </c>
      <c r="B6676" t="n">
        <v>1</v>
      </c>
      <c r="C6676" t="n">
        <v>2023</v>
      </c>
      <c r="D6676" t="n">
        <v>2023</v>
      </c>
      <c r="E6676" t="inlineStr">
        <is>
          <t>Transformers: Rise of the Beasts</t>
        </is>
      </c>
      <c r="F6676" t="inlineStr">
        <is>
          <t>F0321</t>
        </is>
      </c>
    </row>
    <row r="6677">
      <c r="A6677" t="inlineStr">
        <is>
          <t>Lucas Huarancca</t>
        </is>
      </c>
      <c r="B6677" t="n">
        <v>1</v>
      </c>
      <c r="C6677" t="n">
        <v>2023</v>
      </c>
      <c r="D6677" t="n">
        <v>2023</v>
      </c>
      <c r="E6677" t="inlineStr">
        <is>
          <t>Transformers: Rise of the Beasts</t>
        </is>
      </c>
      <c r="F6677" t="inlineStr">
        <is>
          <t>F0321</t>
        </is>
      </c>
    </row>
    <row r="6678">
      <c r="A6678" t="inlineStr">
        <is>
          <t>Amiel Cayo</t>
        </is>
      </c>
      <c r="B6678" t="n">
        <v>1</v>
      </c>
      <c r="C6678" t="n">
        <v>2023</v>
      </c>
      <c r="D6678" t="n">
        <v>2023</v>
      </c>
      <c r="E6678" t="inlineStr">
        <is>
          <t>Transformers: Rise of the Beasts</t>
        </is>
      </c>
      <c r="F6678" t="inlineStr">
        <is>
          <t>F0321</t>
        </is>
      </c>
    </row>
    <row r="6679">
      <c r="A6679" t="inlineStr">
        <is>
          <t>Santusa Cutipa</t>
        </is>
      </c>
      <c r="B6679" t="n">
        <v>1</v>
      </c>
      <c r="C6679" t="n">
        <v>2023</v>
      </c>
      <c r="D6679" t="n">
        <v>2023</v>
      </c>
      <c r="E6679" t="inlineStr">
        <is>
          <t>Transformers: Rise of the Beasts</t>
        </is>
      </c>
      <c r="F6679" t="inlineStr">
        <is>
          <t>F0321</t>
        </is>
      </c>
    </row>
    <row r="6680">
      <c r="A6680" t="inlineStr">
        <is>
          <t>Yesenia Inquillay</t>
        </is>
      </c>
      <c r="B6680" t="n">
        <v>1</v>
      </c>
      <c r="C6680" t="n">
        <v>2023</v>
      </c>
      <c r="D6680" t="n">
        <v>2023</v>
      </c>
      <c r="E6680" t="inlineStr">
        <is>
          <t>Transformers: Rise of the Beasts</t>
        </is>
      </c>
      <c r="F6680" t="inlineStr">
        <is>
          <t>F0321</t>
        </is>
      </c>
    </row>
    <row r="6681">
      <c r="A6681" t="inlineStr">
        <is>
          <t>Sumac T'Ika</t>
        </is>
      </c>
      <c r="B6681" t="n">
        <v>1</v>
      </c>
      <c r="C6681" t="n">
        <v>2023</v>
      </c>
      <c r="D6681" t="n">
        <v>2023</v>
      </c>
      <c r="E6681" t="inlineStr">
        <is>
          <t>Transformers: Rise of the Beasts</t>
        </is>
      </c>
      <c r="F6681" t="inlineStr">
        <is>
          <t>F0321</t>
        </is>
      </c>
    </row>
    <row r="6682">
      <c r="A6682" t="inlineStr">
        <is>
          <t>Josue Sallo</t>
        </is>
      </c>
      <c r="B6682" t="n">
        <v>1</v>
      </c>
      <c r="C6682" t="n">
        <v>2023</v>
      </c>
      <c r="D6682" t="n">
        <v>2023</v>
      </c>
      <c r="E6682" t="inlineStr">
        <is>
          <t>Transformers: Rise of the Beasts</t>
        </is>
      </c>
      <c r="F6682" t="inlineStr">
        <is>
          <t>F0321</t>
        </is>
      </c>
    </row>
    <row r="6683">
      <c r="A6683" t="inlineStr">
        <is>
          <t>Mellissa Alvarez</t>
        </is>
      </c>
      <c r="B6683" t="n">
        <v>1</v>
      </c>
      <c r="C6683" t="n">
        <v>2023</v>
      </c>
      <c r="D6683" t="n">
        <v>2023</v>
      </c>
      <c r="E6683" t="inlineStr">
        <is>
          <t>Transformers: Rise of the Beasts</t>
        </is>
      </c>
      <c r="F6683" t="inlineStr">
        <is>
          <t>F0321</t>
        </is>
      </c>
    </row>
    <row r="6684">
      <c r="A6684" t="inlineStr">
        <is>
          <t>Gloria Cusi</t>
        </is>
      </c>
      <c r="B6684" t="n">
        <v>1</v>
      </c>
      <c r="C6684" t="n">
        <v>2023</v>
      </c>
      <c r="D6684" t="n">
        <v>2023</v>
      </c>
      <c r="E6684" t="inlineStr">
        <is>
          <t>Transformers: Rise of the Beasts</t>
        </is>
      </c>
      <c r="F6684" t="inlineStr">
        <is>
          <t>F0321</t>
        </is>
      </c>
    </row>
    <row r="6685">
      <c r="A6685" t="inlineStr">
        <is>
          <t>Orson Welles</t>
        </is>
      </c>
      <c r="B6685" t="n">
        <v>1</v>
      </c>
      <c r="C6685" t="n">
        <v>1986</v>
      </c>
      <c r="D6685" t="n">
        <v>1986</v>
      </c>
      <c r="E6685" t="inlineStr">
        <is>
          <t>The Transformers: The Movie</t>
        </is>
      </c>
      <c r="F6685" t="inlineStr">
        <is>
          <t>F0322</t>
        </is>
      </c>
    </row>
    <row r="6686">
      <c r="A6686" t="inlineStr">
        <is>
          <t>Dan Gilvezan</t>
        </is>
      </c>
      <c r="B6686" t="n">
        <v>1</v>
      </c>
      <c r="C6686" t="n">
        <v>1986</v>
      </c>
      <c r="D6686" t="n">
        <v>1986</v>
      </c>
      <c r="E6686" t="inlineStr">
        <is>
          <t>The Transformers: The Movie</t>
        </is>
      </c>
      <c r="F6686" t="inlineStr">
        <is>
          <t>F0322</t>
        </is>
      </c>
    </row>
    <row r="6687">
      <c r="A6687" t="inlineStr">
        <is>
          <t>Scatman Crothers</t>
        </is>
      </c>
      <c r="B6687" t="n">
        <v>1</v>
      </c>
      <c r="C6687" t="n">
        <v>1986</v>
      </c>
      <c r="D6687" t="n">
        <v>1986</v>
      </c>
      <c r="E6687" t="inlineStr">
        <is>
          <t>The Transformers: The Movie</t>
        </is>
      </c>
      <c r="F6687" t="inlineStr">
        <is>
          <t>F0322</t>
        </is>
      </c>
    </row>
    <row r="6688">
      <c r="A6688" t="inlineStr">
        <is>
          <t>Susan Blu</t>
        </is>
      </c>
      <c r="B6688" t="n">
        <v>1</v>
      </c>
      <c r="C6688" t="n">
        <v>1986</v>
      </c>
      <c r="D6688" t="n">
        <v>1986</v>
      </c>
      <c r="E6688" t="inlineStr">
        <is>
          <t>The Transformers: The Movie</t>
        </is>
      </c>
      <c r="F6688" t="inlineStr">
        <is>
          <t>F0322</t>
        </is>
      </c>
    </row>
    <row r="6689">
      <c r="A6689" t="inlineStr">
        <is>
          <t>Eric Idle</t>
        </is>
      </c>
      <c r="B6689" t="n">
        <v>1</v>
      </c>
      <c r="C6689" t="n">
        <v>1986</v>
      </c>
      <c r="D6689" t="n">
        <v>1986</v>
      </c>
      <c r="E6689" t="inlineStr">
        <is>
          <t>The Transformers: The Movie</t>
        </is>
      </c>
      <c r="F6689" t="inlineStr">
        <is>
          <t>F0322</t>
        </is>
      </c>
    </row>
    <row r="6690">
      <c r="A6690" t="inlineStr">
        <is>
          <t>Robert Stack</t>
        </is>
      </c>
      <c r="B6690" t="n">
        <v>1</v>
      </c>
      <c r="C6690" t="n">
        <v>1986</v>
      </c>
      <c r="D6690" t="n">
        <v>1986</v>
      </c>
      <c r="E6690" t="inlineStr">
        <is>
          <t>The Transformers: The Movie</t>
        </is>
      </c>
      <c r="F6690" t="inlineStr">
        <is>
          <t>F0322</t>
        </is>
      </c>
    </row>
    <row r="6691">
      <c r="A6691" t="inlineStr">
        <is>
          <t>Norman Alden</t>
        </is>
      </c>
      <c r="B6691" t="n">
        <v>1</v>
      </c>
      <c r="C6691" t="n">
        <v>1986</v>
      </c>
      <c r="D6691" t="n">
        <v>1986</v>
      </c>
      <c r="E6691" t="inlineStr">
        <is>
          <t>The Transformers: The Movie</t>
        </is>
      </c>
      <c r="F6691" t="inlineStr">
        <is>
          <t>F0322</t>
        </is>
      </c>
    </row>
    <row r="6692">
      <c r="A6692" t="inlineStr">
        <is>
          <t>Michael Bell</t>
        </is>
      </c>
      <c r="B6692" t="n">
        <v>1</v>
      </c>
      <c r="C6692" t="n">
        <v>1986</v>
      </c>
      <c r="D6692" t="n">
        <v>1986</v>
      </c>
      <c r="E6692" t="inlineStr">
        <is>
          <t>The Transformers: The Movie</t>
        </is>
      </c>
      <c r="F6692" t="inlineStr">
        <is>
          <t>F0322</t>
        </is>
      </c>
    </row>
    <row r="6693">
      <c r="A6693" t="inlineStr">
        <is>
          <t>Lionel Stander</t>
        </is>
      </c>
      <c r="B6693" t="n">
        <v>1</v>
      </c>
      <c r="C6693" t="n">
        <v>1986</v>
      </c>
      <c r="D6693" t="n">
        <v>1986</v>
      </c>
      <c r="E6693" t="inlineStr">
        <is>
          <t>The Transformers: The Movie</t>
        </is>
      </c>
      <c r="F6693" t="inlineStr">
        <is>
          <t>F0322</t>
        </is>
      </c>
    </row>
    <row r="6694">
      <c r="A6694" t="inlineStr">
        <is>
          <t>John Moschitta Jr.</t>
        </is>
      </c>
      <c r="B6694" t="n">
        <v>1</v>
      </c>
      <c r="C6694" t="n">
        <v>1986</v>
      </c>
      <c r="D6694" t="n">
        <v>1986</v>
      </c>
      <c r="E6694" t="inlineStr">
        <is>
          <t>The Transformers: The Movie</t>
        </is>
      </c>
      <c r="F6694" t="inlineStr">
        <is>
          <t>F0322</t>
        </is>
      </c>
    </row>
    <row r="6695">
      <c r="A6695" t="inlineStr">
        <is>
          <t>Buster Jones</t>
        </is>
      </c>
      <c r="B6695" t="n">
        <v>1</v>
      </c>
      <c r="C6695" t="n">
        <v>1986</v>
      </c>
      <c r="D6695" t="n">
        <v>1986</v>
      </c>
      <c r="E6695" t="inlineStr">
        <is>
          <t>The Transformers: The Movie</t>
        </is>
      </c>
      <c r="F6695" t="inlineStr">
        <is>
          <t>F0322</t>
        </is>
      </c>
    </row>
    <row r="6696">
      <c r="A6696" t="inlineStr">
        <is>
          <t>Bud Davis</t>
        </is>
      </c>
      <c r="B6696" t="n">
        <v>1</v>
      </c>
      <c r="C6696" t="n">
        <v>1986</v>
      </c>
      <c r="D6696" t="n">
        <v>1986</v>
      </c>
      <c r="E6696" t="inlineStr">
        <is>
          <t>The Transformers: The Movie</t>
        </is>
      </c>
      <c r="F6696" t="inlineStr">
        <is>
          <t>F0322</t>
        </is>
      </c>
    </row>
    <row r="6697">
      <c r="A6697" t="inlineStr">
        <is>
          <t>Walker Edmiston</t>
        </is>
      </c>
      <c r="B6697" t="n">
        <v>2</v>
      </c>
      <c r="C6697" t="n">
        <v>1971</v>
      </c>
      <c r="D6697" t="n">
        <v>1986</v>
      </c>
      <c r="E6697" t="inlineStr">
        <is>
          <t>The Transformers: The Movie, Willy Wonka &amp; the Chocolate Factory</t>
        </is>
      </c>
      <c r="F6697" t="inlineStr">
        <is>
          <t>F0322, F0339</t>
        </is>
      </c>
    </row>
    <row r="6698">
      <c r="A6698" t="inlineStr">
        <is>
          <t>Neil Ross</t>
        </is>
      </c>
      <c r="B6698" t="n">
        <v>1</v>
      </c>
      <c r="C6698" t="n">
        <v>1986</v>
      </c>
      <c r="D6698" t="n">
        <v>1986</v>
      </c>
      <c r="E6698" t="inlineStr">
        <is>
          <t>The Transformers: The Movie</t>
        </is>
      </c>
      <c r="F6698" t="inlineStr">
        <is>
          <t>F0322</t>
        </is>
      </c>
    </row>
    <row r="6699">
      <c r="A6699" t="inlineStr">
        <is>
          <t>Roger C. Carmel</t>
        </is>
      </c>
      <c r="B6699" t="n">
        <v>1</v>
      </c>
      <c r="C6699" t="n">
        <v>1986</v>
      </c>
      <c r="D6699" t="n">
        <v>1986</v>
      </c>
      <c r="E6699" t="inlineStr">
        <is>
          <t>The Transformers: The Movie</t>
        </is>
      </c>
      <c r="F6699" t="inlineStr">
        <is>
          <t>F0322</t>
        </is>
      </c>
    </row>
    <row r="6700">
      <c r="A6700" t="inlineStr">
        <is>
          <t>Arthur Burghardt</t>
        </is>
      </c>
      <c r="B6700" t="n">
        <v>1</v>
      </c>
      <c r="C6700" t="n">
        <v>1986</v>
      </c>
      <c r="D6700" t="n">
        <v>1986</v>
      </c>
      <c r="E6700" t="inlineStr">
        <is>
          <t>The Transformers: The Movie</t>
        </is>
      </c>
      <c r="F6700" t="inlineStr">
        <is>
          <t>F0322</t>
        </is>
      </c>
    </row>
    <row r="6701">
      <c r="A6701" t="inlineStr">
        <is>
          <t>Don Messick</t>
        </is>
      </c>
      <c r="B6701" t="n">
        <v>1</v>
      </c>
      <c r="C6701" t="n">
        <v>1986</v>
      </c>
      <c r="D6701" t="n">
        <v>1986</v>
      </c>
      <c r="E6701" t="inlineStr">
        <is>
          <t>The Transformers: The Movie</t>
        </is>
      </c>
      <c r="F6701" t="inlineStr">
        <is>
          <t>F0322</t>
        </is>
      </c>
    </row>
    <row r="6702">
      <c r="A6702" t="inlineStr">
        <is>
          <t>Ed Gilbert</t>
        </is>
      </c>
      <c r="B6702" t="n">
        <v>1</v>
      </c>
      <c r="C6702" t="n">
        <v>1986</v>
      </c>
      <c r="D6702" t="n">
        <v>1986</v>
      </c>
      <c r="E6702" t="inlineStr">
        <is>
          <t>The Transformers: The Movie</t>
        </is>
      </c>
      <c r="F6702" t="inlineStr">
        <is>
          <t>F0322</t>
        </is>
      </c>
    </row>
    <row r="6703">
      <c r="A6703" t="inlineStr">
        <is>
          <t>Hal Rayle</t>
        </is>
      </c>
      <c r="B6703" t="n">
        <v>1</v>
      </c>
      <c r="C6703" t="n">
        <v>1986</v>
      </c>
      <c r="D6703" t="n">
        <v>1986</v>
      </c>
      <c r="E6703" t="inlineStr">
        <is>
          <t>The Transformers: The Movie</t>
        </is>
      </c>
      <c r="F6703" t="inlineStr">
        <is>
          <t>F0322</t>
        </is>
      </c>
    </row>
    <row r="6704">
      <c r="A6704" t="inlineStr">
        <is>
          <t>David Mendenhall</t>
        </is>
      </c>
      <c r="B6704" t="n">
        <v>1</v>
      </c>
      <c r="C6704" t="n">
        <v>1986</v>
      </c>
      <c r="D6704" t="n">
        <v>1986</v>
      </c>
      <c r="E6704" t="inlineStr">
        <is>
          <t>The Transformers: The Movie</t>
        </is>
      </c>
      <c r="F6704" t="inlineStr">
        <is>
          <t>F0322</t>
        </is>
      </c>
    </row>
    <row r="6705">
      <c r="A6705" t="inlineStr">
        <is>
          <t>Wenxia Yu</t>
        </is>
      </c>
      <c r="B6705" t="n">
        <v>1</v>
      </c>
      <c r="C6705" t="n">
        <v>2015</v>
      </c>
      <c r="D6705" t="n">
        <v>2015</v>
      </c>
      <c r="E6705" t="inlineStr">
        <is>
          <t>The Transporter Refueled</t>
        </is>
      </c>
      <c r="F6705" t="inlineStr">
        <is>
          <t>F0323</t>
        </is>
      </c>
    </row>
    <row r="6706">
      <c r="A6706" t="inlineStr">
        <is>
          <t>Lenn Kudrjawizki</t>
        </is>
      </c>
      <c r="B6706" t="n">
        <v>1</v>
      </c>
      <c r="C6706" t="n">
        <v>2015</v>
      </c>
      <c r="D6706" t="n">
        <v>2015</v>
      </c>
      <c r="E6706" t="inlineStr">
        <is>
          <t>The Transporter Refueled</t>
        </is>
      </c>
      <c r="F6706" t="inlineStr">
        <is>
          <t>F0323</t>
        </is>
      </c>
    </row>
    <row r="6707">
      <c r="A6707" t="inlineStr">
        <is>
          <t>Samir Guesmi</t>
        </is>
      </c>
      <c r="B6707" t="n">
        <v>1</v>
      </c>
      <c r="C6707" t="n">
        <v>2015</v>
      </c>
      <c r="D6707" t="n">
        <v>2015</v>
      </c>
      <c r="E6707" t="inlineStr">
        <is>
          <t>The Transporter Refueled</t>
        </is>
      </c>
      <c r="F6707" t="inlineStr">
        <is>
          <t>F0323</t>
        </is>
      </c>
    </row>
    <row r="6708">
      <c r="A6708" t="inlineStr">
        <is>
          <t>Robbie Nock</t>
        </is>
      </c>
      <c r="B6708" t="n">
        <v>1</v>
      </c>
      <c r="C6708" t="n">
        <v>2015</v>
      </c>
      <c r="D6708" t="n">
        <v>2015</v>
      </c>
      <c r="E6708" t="inlineStr">
        <is>
          <t>The Transporter Refueled</t>
        </is>
      </c>
      <c r="F6708" t="inlineStr">
        <is>
          <t>F0323</t>
        </is>
      </c>
    </row>
    <row r="6709">
      <c r="A6709" t="inlineStr">
        <is>
          <t>Michael Morris</t>
        </is>
      </c>
      <c r="B6709" t="n">
        <v>2</v>
      </c>
      <c r="C6709" t="n">
        <v>2010</v>
      </c>
      <c r="D6709" t="n">
        <v>2015</v>
      </c>
      <c r="E6709" t="inlineStr">
        <is>
          <t>The Transporter Refueled, Yogi Bear</t>
        </is>
      </c>
      <c r="F6709" t="inlineStr">
        <is>
          <t>F0323, F0348</t>
        </is>
      </c>
    </row>
    <row r="6710">
      <c r="A6710" t="inlineStr">
        <is>
          <t>Nash Novcic</t>
        </is>
      </c>
      <c r="B6710" t="n">
        <v>1</v>
      </c>
      <c r="C6710" t="n">
        <v>2015</v>
      </c>
      <c r="D6710" t="n">
        <v>2015</v>
      </c>
      <c r="E6710" t="inlineStr">
        <is>
          <t>The Transporter Refueled</t>
        </is>
      </c>
      <c r="F6710" t="inlineStr">
        <is>
          <t>F0323</t>
        </is>
      </c>
    </row>
    <row r="6711">
      <c r="A6711" t="inlineStr">
        <is>
          <t>Jochen Hägele</t>
        </is>
      </c>
      <c r="B6711" t="n">
        <v>1</v>
      </c>
      <c r="C6711" t="n">
        <v>2015</v>
      </c>
      <c r="D6711" t="n">
        <v>2015</v>
      </c>
      <c r="E6711" t="inlineStr">
        <is>
          <t>The Transporter Refueled</t>
        </is>
      </c>
      <c r="F6711" t="inlineStr">
        <is>
          <t>F0323</t>
        </is>
      </c>
    </row>
    <row r="6712">
      <c r="A6712" t="inlineStr">
        <is>
          <t>Jérôme Zybala</t>
        </is>
      </c>
      <c r="B6712" t="n">
        <v>1</v>
      </c>
      <c r="C6712" t="n">
        <v>2015</v>
      </c>
      <c r="D6712" t="n">
        <v>2015</v>
      </c>
      <c r="E6712" t="inlineStr">
        <is>
          <t>The Transporter Refueled</t>
        </is>
      </c>
      <c r="F6712" t="inlineStr">
        <is>
          <t>F0323</t>
        </is>
      </c>
    </row>
    <row r="6713">
      <c r="A6713" t="inlineStr">
        <is>
          <t>Stéphane Moreno Carpio</t>
        </is>
      </c>
      <c r="B6713" t="n">
        <v>1</v>
      </c>
      <c r="C6713" t="n">
        <v>2015</v>
      </c>
      <c r="D6713" t="n">
        <v>2015</v>
      </c>
      <c r="E6713" t="inlineStr">
        <is>
          <t>The Transporter Refueled</t>
        </is>
      </c>
      <c r="F6713" t="inlineStr">
        <is>
          <t>F0323</t>
        </is>
      </c>
    </row>
    <row r="6714">
      <c r="A6714" t="inlineStr">
        <is>
          <t>Laurent Ferraro</t>
        </is>
      </c>
      <c r="B6714" t="n">
        <v>1</v>
      </c>
      <c r="C6714" t="n">
        <v>2015</v>
      </c>
      <c r="D6714" t="n">
        <v>2015</v>
      </c>
      <c r="E6714" t="inlineStr">
        <is>
          <t>The Transporter Refueled</t>
        </is>
      </c>
      <c r="F6714" t="inlineStr">
        <is>
          <t>F0323</t>
        </is>
      </c>
    </row>
    <row r="6715">
      <c r="A6715" t="inlineStr">
        <is>
          <t>Jean-Baptiste Puech</t>
        </is>
      </c>
      <c r="B6715" t="n">
        <v>1</v>
      </c>
      <c r="C6715" t="n">
        <v>2015</v>
      </c>
      <c r="D6715" t="n">
        <v>2015</v>
      </c>
      <c r="E6715" t="inlineStr">
        <is>
          <t>The Transporter Refueled</t>
        </is>
      </c>
      <c r="F6715" t="inlineStr">
        <is>
          <t>F0323</t>
        </is>
      </c>
    </row>
    <row r="6716">
      <c r="A6716" t="inlineStr">
        <is>
          <t>Réginal Kudiwu</t>
        </is>
      </c>
      <c r="B6716" t="n">
        <v>1</v>
      </c>
      <c r="C6716" t="n">
        <v>2015</v>
      </c>
      <c r="D6716" t="n">
        <v>2015</v>
      </c>
      <c r="E6716" t="inlineStr">
        <is>
          <t>The Transporter Refueled</t>
        </is>
      </c>
      <c r="F6716" t="inlineStr">
        <is>
          <t>F0323</t>
        </is>
      </c>
    </row>
    <row r="6717">
      <c r="A6717" t="inlineStr">
        <is>
          <t>Jua Amir</t>
        </is>
      </c>
      <c r="B6717" t="n">
        <v>1</v>
      </c>
      <c r="C6717" t="n">
        <v>2015</v>
      </c>
      <c r="D6717" t="n">
        <v>2015</v>
      </c>
      <c r="E6717" t="inlineStr">
        <is>
          <t>The Transporter Refueled</t>
        </is>
      </c>
      <c r="F6717" t="inlineStr">
        <is>
          <t>F0323</t>
        </is>
      </c>
    </row>
    <row r="6718">
      <c r="A6718" t="inlineStr">
        <is>
          <t>Christophe Lavalle</t>
        </is>
      </c>
      <c r="B6718" t="n">
        <v>1</v>
      </c>
      <c r="C6718" t="n">
        <v>2015</v>
      </c>
      <c r="D6718" t="n">
        <v>2015</v>
      </c>
      <c r="E6718" t="inlineStr">
        <is>
          <t>The Transporter Refueled</t>
        </is>
      </c>
      <c r="F6718" t="inlineStr">
        <is>
          <t>F0323</t>
        </is>
      </c>
    </row>
    <row r="6719">
      <c r="A6719" t="inlineStr">
        <is>
          <t>Mickaël Collart</t>
        </is>
      </c>
      <c r="B6719" t="n">
        <v>1</v>
      </c>
      <c r="C6719" t="n">
        <v>2015</v>
      </c>
      <c r="D6719" t="n">
        <v>2015</v>
      </c>
      <c r="E6719" t="inlineStr">
        <is>
          <t>The Transporter Refueled</t>
        </is>
      </c>
      <c r="F6719" t="inlineStr">
        <is>
          <t>F0323</t>
        </is>
      </c>
    </row>
    <row r="6720">
      <c r="A6720" t="inlineStr">
        <is>
          <t>Christophe Touraud</t>
        </is>
      </c>
      <c r="B6720" t="n">
        <v>1</v>
      </c>
      <c r="C6720" t="n">
        <v>2015</v>
      </c>
      <c r="D6720" t="n">
        <v>2015</v>
      </c>
      <c r="E6720" t="inlineStr">
        <is>
          <t>The Transporter Refueled</t>
        </is>
      </c>
      <c r="F6720" t="inlineStr">
        <is>
          <t>F0323</t>
        </is>
      </c>
    </row>
    <row r="6721">
      <c r="A6721" t="inlineStr">
        <is>
          <t>Mikael Buxton</t>
        </is>
      </c>
      <c r="B6721" t="n">
        <v>1</v>
      </c>
      <c r="C6721" t="n">
        <v>2015</v>
      </c>
      <c r="D6721" t="n">
        <v>2015</v>
      </c>
      <c r="E6721" t="inlineStr">
        <is>
          <t>The Transporter Refueled</t>
        </is>
      </c>
      <c r="F6721" t="inlineStr">
        <is>
          <t>F0323</t>
        </is>
      </c>
    </row>
    <row r="6722">
      <c r="A6722" t="inlineStr">
        <is>
          <t>Lola S. Frey</t>
        </is>
      </c>
      <c r="B6722" t="n">
        <v>1</v>
      </c>
      <c r="C6722" t="n">
        <v>2015</v>
      </c>
      <c r="D6722" t="n">
        <v>2015</v>
      </c>
      <c r="E6722" t="inlineStr">
        <is>
          <t>The Transporter Refueled</t>
        </is>
      </c>
      <c r="F6722" t="inlineStr">
        <is>
          <t>F0323</t>
        </is>
      </c>
    </row>
    <row r="6723">
      <c r="A6723" t="inlineStr">
        <is>
          <t>Mathieu Lardot</t>
        </is>
      </c>
      <c r="B6723" t="n">
        <v>1</v>
      </c>
      <c r="C6723" t="n">
        <v>2015</v>
      </c>
      <c r="D6723" t="n">
        <v>2015</v>
      </c>
      <c r="E6723" t="inlineStr">
        <is>
          <t>The Transporter Refueled</t>
        </is>
      </c>
      <c r="F6723" t="inlineStr">
        <is>
          <t>F0323</t>
        </is>
      </c>
    </row>
    <row r="6724">
      <c r="A6724" t="inlineStr">
        <is>
          <t>Cédric Chevalme</t>
        </is>
      </c>
      <c r="B6724" t="n">
        <v>1</v>
      </c>
      <c r="C6724" t="n">
        <v>2015</v>
      </c>
      <c r="D6724" t="n">
        <v>2015</v>
      </c>
      <c r="E6724" t="inlineStr">
        <is>
          <t>The Transporter Refueled</t>
        </is>
      </c>
      <c r="F6724" t="inlineStr">
        <is>
          <t>F0323</t>
        </is>
      </c>
    </row>
    <row r="6725">
      <c r="A6725" t="inlineStr">
        <is>
          <t>Thibaut Évrard</t>
        </is>
      </c>
      <c r="B6725" t="n">
        <v>1</v>
      </c>
      <c r="C6725" t="n">
        <v>2015</v>
      </c>
      <c r="D6725" t="n">
        <v>2015</v>
      </c>
      <c r="E6725" t="inlineStr">
        <is>
          <t>The Transporter Refueled</t>
        </is>
      </c>
      <c r="F6725" t="inlineStr">
        <is>
          <t>F0323</t>
        </is>
      </c>
    </row>
    <row r="6726">
      <c r="A6726" t="inlineStr">
        <is>
          <t>Trieu Tran</t>
        </is>
      </c>
      <c r="B6726" t="n">
        <v>1</v>
      </c>
      <c r="C6726" t="n">
        <v>2008</v>
      </c>
      <c r="D6726" t="n">
        <v>2008</v>
      </c>
      <c r="E6726" t="inlineStr">
        <is>
          <t>Tropic Thunder</t>
        </is>
      </c>
      <c r="F6726" t="inlineStr">
        <is>
          <t>F0324</t>
        </is>
      </c>
    </row>
    <row r="6727">
      <c r="A6727" t="inlineStr">
        <is>
          <t>Tyra Banks</t>
        </is>
      </c>
      <c r="B6727" t="n">
        <v>1</v>
      </c>
      <c r="C6727" t="n">
        <v>2008</v>
      </c>
      <c r="D6727" t="n">
        <v>2008</v>
      </c>
      <c r="E6727" t="inlineStr">
        <is>
          <t>Tropic Thunder</t>
        </is>
      </c>
      <c r="F6727" t="inlineStr">
        <is>
          <t>F0324</t>
        </is>
      </c>
    </row>
    <row r="6728">
      <c r="A6728" t="inlineStr">
        <is>
          <t>Jennifer Love Hewitt</t>
        </is>
      </c>
      <c r="B6728" t="n">
        <v>1</v>
      </c>
      <c r="C6728" t="n">
        <v>2008</v>
      </c>
      <c r="D6728" t="n">
        <v>2008</v>
      </c>
      <c r="E6728" t="inlineStr">
        <is>
          <t>Tropic Thunder</t>
        </is>
      </c>
      <c r="F6728" t="inlineStr">
        <is>
          <t>F0324</t>
        </is>
      </c>
    </row>
    <row r="6729">
      <c r="A6729" t="inlineStr">
        <is>
          <t>Alicia Silverstone</t>
        </is>
      </c>
      <c r="B6729" t="n">
        <v>1</v>
      </c>
      <c r="C6729" t="n">
        <v>2008</v>
      </c>
      <c r="D6729" t="n">
        <v>2008</v>
      </c>
      <c r="E6729" t="inlineStr">
        <is>
          <t>Tropic Thunder</t>
        </is>
      </c>
      <c r="F6729" t="inlineStr">
        <is>
          <t>F0324</t>
        </is>
      </c>
    </row>
    <row r="6730">
      <c r="A6730" t="inlineStr">
        <is>
          <t>Christine Taylor</t>
        </is>
      </c>
      <c r="B6730" t="n">
        <v>1</v>
      </c>
      <c r="C6730" t="n">
        <v>2008</v>
      </c>
      <c r="D6730" t="n">
        <v>2008</v>
      </c>
      <c r="E6730" t="inlineStr">
        <is>
          <t>Tropic Thunder</t>
        </is>
      </c>
      <c r="F6730" t="inlineStr">
        <is>
          <t>F0324</t>
        </is>
      </c>
    </row>
    <row r="6731">
      <c r="A6731" t="inlineStr">
        <is>
          <t>Jeff Kahn</t>
        </is>
      </c>
      <c r="B6731" t="n">
        <v>1</v>
      </c>
      <c r="C6731" t="n">
        <v>2008</v>
      </c>
      <c r="D6731" t="n">
        <v>2008</v>
      </c>
      <c r="E6731" t="inlineStr">
        <is>
          <t>Tropic Thunder</t>
        </is>
      </c>
      <c r="F6731" t="inlineStr">
        <is>
          <t>F0324</t>
        </is>
      </c>
    </row>
    <row r="6732">
      <c r="A6732" t="inlineStr">
        <is>
          <t>Anthony Ruivivar</t>
        </is>
      </c>
      <c r="B6732" t="n">
        <v>1</v>
      </c>
      <c r="C6732" t="n">
        <v>2008</v>
      </c>
      <c r="D6732" t="n">
        <v>2008</v>
      </c>
      <c r="E6732" t="inlineStr">
        <is>
          <t>Tropic Thunder</t>
        </is>
      </c>
      <c r="F6732" t="inlineStr">
        <is>
          <t>F0324</t>
        </is>
      </c>
    </row>
    <row r="6733">
      <c r="A6733" t="inlineStr">
        <is>
          <t>Eric Winzenried</t>
        </is>
      </c>
      <c r="B6733" t="n">
        <v>1</v>
      </c>
      <c r="C6733" t="n">
        <v>2008</v>
      </c>
      <c r="D6733" t="n">
        <v>2008</v>
      </c>
      <c r="E6733" t="inlineStr">
        <is>
          <t>Tropic Thunder</t>
        </is>
      </c>
      <c r="F6733" t="inlineStr">
        <is>
          <t>F0324</t>
        </is>
      </c>
    </row>
    <row r="6734">
      <c r="A6734" t="inlineStr">
        <is>
          <t>Valerie Azlynn</t>
        </is>
      </c>
      <c r="B6734" t="n">
        <v>1</v>
      </c>
      <c r="C6734" t="n">
        <v>2008</v>
      </c>
      <c r="D6734" t="n">
        <v>2008</v>
      </c>
      <c r="E6734" t="inlineStr">
        <is>
          <t>Tropic Thunder</t>
        </is>
      </c>
      <c r="F6734" t="inlineStr">
        <is>
          <t>F0324</t>
        </is>
      </c>
    </row>
    <row r="6735">
      <c r="A6735" t="inlineStr">
        <is>
          <t>Matt Levin</t>
        </is>
      </c>
      <c r="B6735" t="n">
        <v>1</v>
      </c>
      <c r="C6735" t="n">
        <v>2008</v>
      </c>
      <c r="D6735" t="n">
        <v>2008</v>
      </c>
      <c r="E6735" t="inlineStr">
        <is>
          <t>Tropic Thunder</t>
        </is>
      </c>
      <c r="F6735" t="inlineStr">
        <is>
          <t>F0324</t>
        </is>
      </c>
    </row>
    <row r="6736">
      <c r="A6736" t="inlineStr">
        <is>
          <t>David Pressman</t>
        </is>
      </c>
      <c r="B6736" t="n">
        <v>1</v>
      </c>
      <c r="C6736" t="n">
        <v>2008</v>
      </c>
      <c r="D6736" t="n">
        <v>2008</v>
      </c>
      <c r="E6736" t="inlineStr">
        <is>
          <t>Tropic Thunder</t>
        </is>
      </c>
      <c r="F6736" t="inlineStr">
        <is>
          <t>F0324</t>
        </is>
      </c>
    </row>
    <row r="6737">
      <c r="A6737" t="inlineStr">
        <is>
          <t>Amy Stiller</t>
        </is>
      </c>
      <c r="B6737" t="n">
        <v>1</v>
      </c>
      <c r="C6737" t="n">
        <v>2008</v>
      </c>
      <c r="D6737" t="n">
        <v>2008</v>
      </c>
      <c r="E6737" t="inlineStr">
        <is>
          <t>Tropic Thunder</t>
        </is>
      </c>
      <c r="F6737" t="inlineStr">
        <is>
          <t>F0324</t>
        </is>
      </c>
    </row>
    <row r="6738">
      <c r="A6738" t="inlineStr">
        <is>
          <t>Dempsey Silva</t>
        </is>
      </c>
      <c r="B6738" t="n">
        <v>1</v>
      </c>
      <c r="C6738" t="n">
        <v>2008</v>
      </c>
      <c r="D6738" t="n">
        <v>2008</v>
      </c>
      <c r="E6738" t="inlineStr">
        <is>
          <t>Tropic Thunder</t>
        </is>
      </c>
      <c r="F6738" t="inlineStr">
        <is>
          <t>F0324</t>
        </is>
      </c>
    </row>
    <row r="6739">
      <c r="A6739" t="inlineStr">
        <is>
          <t>Jeff Weidemann</t>
        </is>
      </c>
      <c r="B6739" t="n">
        <v>1</v>
      </c>
      <c r="C6739" t="n">
        <v>2008</v>
      </c>
      <c r="D6739" t="n">
        <v>2008</v>
      </c>
      <c r="E6739" t="inlineStr">
        <is>
          <t>Tropic Thunder</t>
        </is>
      </c>
      <c r="F6739" t="inlineStr">
        <is>
          <t>F0324</t>
        </is>
      </c>
    </row>
    <row r="6740">
      <c r="A6740" t="inlineStr">
        <is>
          <t>Dakin Matthews</t>
        </is>
      </c>
      <c r="B6740" t="n">
        <v>1</v>
      </c>
      <c r="C6740" t="n">
        <v>2010</v>
      </c>
      <c r="D6740" t="n">
        <v>2010</v>
      </c>
      <c r="E6740" t="inlineStr">
        <is>
          <t>True Grit</t>
        </is>
      </c>
      <c r="F6740" t="inlineStr">
        <is>
          <t>F0325</t>
        </is>
      </c>
    </row>
    <row r="6741">
      <c r="A6741" t="inlineStr">
        <is>
          <t>Jarlath Conroy</t>
        </is>
      </c>
      <c r="B6741" t="n">
        <v>1</v>
      </c>
      <c r="C6741" t="n">
        <v>2010</v>
      </c>
      <c r="D6741" t="n">
        <v>2010</v>
      </c>
      <c r="E6741" t="inlineStr">
        <is>
          <t>True Grit</t>
        </is>
      </c>
      <c r="F6741" t="inlineStr">
        <is>
          <t>F0325</t>
        </is>
      </c>
    </row>
    <row r="6742">
      <c r="A6742" t="inlineStr">
        <is>
          <t>Paul Rae</t>
        </is>
      </c>
      <c r="B6742" t="n">
        <v>1</v>
      </c>
      <c r="C6742" t="n">
        <v>2010</v>
      </c>
      <c r="D6742" t="n">
        <v>2010</v>
      </c>
      <c r="E6742" t="inlineStr">
        <is>
          <t>True Grit</t>
        </is>
      </c>
      <c r="F6742" t="inlineStr">
        <is>
          <t>F0325</t>
        </is>
      </c>
    </row>
    <row r="6743">
      <c r="A6743" t="inlineStr">
        <is>
          <t>Roy Lee Jones</t>
        </is>
      </c>
      <c r="B6743" t="n">
        <v>1</v>
      </c>
      <c r="C6743" t="n">
        <v>2010</v>
      </c>
      <c r="D6743" t="n">
        <v>2010</v>
      </c>
      <c r="E6743" t="inlineStr">
        <is>
          <t>True Grit</t>
        </is>
      </c>
      <c r="F6743" t="inlineStr">
        <is>
          <t>F0325</t>
        </is>
      </c>
    </row>
    <row r="6744">
      <c r="A6744" t="inlineStr">
        <is>
          <t>Ed Corbin</t>
        </is>
      </c>
      <c r="B6744" t="n">
        <v>1</v>
      </c>
      <c r="C6744" t="n">
        <v>2010</v>
      </c>
      <c r="D6744" t="n">
        <v>2010</v>
      </c>
      <c r="E6744" t="inlineStr">
        <is>
          <t>True Grit</t>
        </is>
      </c>
      <c r="F6744" t="inlineStr">
        <is>
          <t>F0325</t>
        </is>
      </c>
    </row>
    <row r="6745">
      <c r="A6745" t="inlineStr">
        <is>
          <t>Leon Russom</t>
        </is>
      </c>
      <c r="B6745" t="n">
        <v>1</v>
      </c>
      <c r="C6745" t="n">
        <v>2010</v>
      </c>
      <c r="D6745" t="n">
        <v>2010</v>
      </c>
      <c r="E6745" t="inlineStr">
        <is>
          <t>True Grit</t>
        </is>
      </c>
      <c r="F6745" t="inlineStr">
        <is>
          <t>F0325</t>
        </is>
      </c>
    </row>
    <row r="6746">
      <c r="A6746" t="inlineStr">
        <is>
          <t>Bruce Green</t>
        </is>
      </c>
      <c r="B6746" t="n">
        <v>1</v>
      </c>
      <c r="C6746" t="n">
        <v>2010</v>
      </c>
      <c r="D6746" t="n">
        <v>2010</v>
      </c>
      <c r="E6746" t="inlineStr">
        <is>
          <t>True Grit</t>
        </is>
      </c>
      <c r="F6746" t="inlineStr">
        <is>
          <t>F0325</t>
        </is>
      </c>
    </row>
    <row r="6747">
      <c r="A6747" t="inlineStr">
        <is>
          <t>Candyce Hinkle</t>
        </is>
      </c>
      <c r="B6747" t="n">
        <v>1</v>
      </c>
      <c r="C6747" t="n">
        <v>2010</v>
      </c>
      <c r="D6747" t="n">
        <v>2010</v>
      </c>
      <c r="E6747" t="inlineStr">
        <is>
          <t>True Grit</t>
        </is>
      </c>
      <c r="F6747" t="inlineStr">
        <is>
          <t>F0325</t>
        </is>
      </c>
    </row>
    <row r="6748">
      <c r="A6748" t="inlineStr">
        <is>
          <t>Peter Leung</t>
        </is>
      </c>
      <c r="B6748" t="n">
        <v>1</v>
      </c>
      <c r="C6748" t="n">
        <v>2010</v>
      </c>
      <c r="D6748" t="n">
        <v>2010</v>
      </c>
      <c r="E6748" t="inlineStr">
        <is>
          <t>True Grit</t>
        </is>
      </c>
      <c r="F6748" t="inlineStr">
        <is>
          <t>F0325</t>
        </is>
      </c>
    </row>
    <row r="6749">
      <c r="A6749" t="inlineStr">
        <is>
          <t>Don Pirl</t>
        </is>
      </c>
      <c r="B6749" t="n">
        <v>1</v>
      </c>
      <c r="C6749" t="n">
        <v>2010</v>
      </c>
      <c r="D6749" t="n">
        <v>2010</v>
      </c>
      <c r="E6749" t="inlineStr">
        <is>
          <t>True Grit</t>
        </is>
      </c>
      <c r="F6749" t="inlineStr">
        <is>
          <t>F0325</t>
        </is>
      </c>
    </row>
    <row r="6750">
      <c r="A6750" t="inlineStr">
        <is>
          <t>Joe Stevens</t>
        </is>
      </c>
      <c r="B6750" t="n">
        <v>1</v>
      </c>
      <c r="C6750" t="n">
        <v>2010</v>
      </c>
      <c r="D6750" t="n">
        <v>2010</v>
      </c>
      <c r="E6750" t="inlineStr">
        <is>
          <t>True Grit</t>
        </is>
      </c>
      <c r="F6750" t="inlineStr">
        <is>
          <t>F0325</t>
        </is>
      </c>
    </row>
    <row r="6751">
      <c r="A6751" t="inlineStr">
        <is>
          <t>David Lipman</t>
        </is>
      </c>
      <c r="B6751" t="n">
        <v>1</v>
      </c>
      <c r="C6751" t="n">
        <v>2010</v>
      </c>
      <c r="D6751" t="n">
        <v>2010</v>
      </c>
      <c r="E6751" t="inlineStr">
        <is>
          <t>True Grit</t>
        </is>
      </c>
      <c r="F6751" t="inlineStr">
        <is>
          <t>F0325</t>
        </is>
      </c>
    </row>
    <row r="6752">
      <c r="A6752" t="inlineStr">
        <is>
          <t>Jake Walker</t>
        </is>
      </c>
      <c r="B6752" t="n">
        <v>1</v>
      </c>
      <c r="C6752" t="n">
        <v>2010</v>
      </c>
      <c r="D6752" t="n">
        <v>2010</v>
      </c>
      <c r="E6752" t="inlineStr">
        <is>
          <t>True Grit</t>
        </is>
      </c>
      <c r="F6752" t="inlineStr">
        <is>
          <t>F0325</t>
        </is>
      </c>
    </row>
    <row r="6753">
      <c r="A6753" t="inlineStr">
        <is>
          <t>Orlando Storm Smart</t>
        </is>
      </c>
      <c r="B6753" t="n">
        <v>1</v>
      </c>
      <c r="C6753" t="n">
        <v>2010</v>
      </c>
      <c r="D6753" t="n">
        <v>2010</v>
      </c>
      <c r="E6753" t="inlineStr">
        <is>
          <t>True Grit</t>
        </is>
      </c>
      <c r="F6753" t="inlineStr">
        <is>
          <t>F0325</t>
        </is>
      </c>
    </row>
    <row r="6754">
      <c r="A6754" t="inlineStr">
        <is>
          <t>Ty Mitchell</t>
        </is>
      </c>
      <c r="B6754" t="n">
        <v>1</v>
      </c>
      <c r="C6754" t="n">
        <v>2010</v>
      </c>
      <c r="D6754" t="n">
        <v>2010</v>
      </c>
      <c r="E6754" t="inlineStr">
        <is>
          <t>True Grit</t>
        </is>
      </c>
      <c r="F6754" t="inlineStr">
        <is>
          <t>F0325</t>
        </is>
      </c>
    </row>
    <row r="6755">
      <c r="A6755" t="inlineStr">
        <is>
          <t>Nicholas Sadler</t>
        </is>
      </c>
      <c r="B6755" t="n">
        <v>1</v>
      </c>
      <c r="C6755" t="n">
        <v>2010</v>
      </c>
      <c r="D6755" t="n">
        <v>2010</v>
      </c>
      <c r="E6755" t="inlineStr">
        <is>
          <t>True Grit</t>
        </is>
      </c>
      <c r="F6755" t="inlineStr">
        <is>
          <t>F0325</t>
        </is>
      </c>
    </row>
    <row r="6756">
      <c r="A6756" t="inlineStr">
        <is>
          <t>Scott Sowers</t>
        </is>
      </c>
      <c r="B6756" t="n">
        <v>1</v>
      </c>
      <c r="C6756" t="n">
        <v>2010</v>
      </c>
      <c r="D6756" t="n">
        <v>2010</v>
      </c>
      <c r="E6756" t="inlineStr">
        <is>
          <t>True Grit</t>
        </is>
      </c>
      <c r="F6756" t="inlineStr">
        <is>
          <t>F0325</t>
        </is>
      </c>
    </row>
    <row r="6757">
      <c r="A6757" t="inlineStr">
        <is>
          <t>Maggie A. Goodman</t>
        </is>
      </c>
      <c r="B6757" t="n">
        <v>1</v>
      </c>
      <c r="C6757" t="n">
        <v>2010</v>
      </c>
      <c r="D6757" t="n">
        <v>2010</v>
      </c>
      <c r="E6757" t="inlineStr">
        <is>
          <t>True Grit</t>
        </is>
      </c>
      <c r="F6757" t="inlineStr">
        <is>
          <t>F0325</t>
        </is>
      </c>
    </row>
    <row r="6758">
      <c r="A6758" t="inlineStr">
        <is>
          <t>Brandon Sanderson</t>
        </is>
      </c>
      <c r="B6758" t="n">
        <v>1</v>
      </c>
      <c r="C6758" t="n">
        <v>2010</v>
      </c>
      <c r="D6758" t="n">
        <v>2010</v>
      </c>
      <c r="E6758" t="inlineStr">
        <is>
          <t>True Grit</t>
        </is>
      </c>
      <c r="F6758" t="inlineStr">
        <is>
          <t>F0325</t>
        </is>
      </c>
    </row>
    <row r="6759">
      <c r="A6759" t="inlineStr">
        <is>
          <t>Ruben Nakai Campana</t>
        </is>
      </c>
      <c r="B6759" t="n">
        <v>1</v>
      </c>
      <c r="C6759" t="n">
        <v>2010</v>
      </c>
      <c r="D6759" t="n">
        <v>2010</v>
      </c>
      <c r="E6759" t="inlineStr">
        <is>
          <t>True Grit</t>
        </is>
      </c>
      <c r="F6759" t="inlineStr">
        <is>
          <t>F0325</t>
        </is>
      </c>
    </row>
    <row r="6760">
      <c r="A6760" t="inlineStr">
        <is>
          <t>Zita Görög</t>
        </is>
      </c>
      <c r="B6760" t="n">
        <v>1</v>
      </c>
      <c r="C6760" t="n">
        <v>2006</v>
      </c>
      <c r="D6760" t="n">
        <v>2006</v>
      </c>
      <c r="E6760" t="inlineStr">
        <is>
          <t>Underworld: Evolution</t>
        </is>
      </c>
      <c r="F6760" t="inlineStr">
        <is>
          <t>F0326</t>
        </is>
      </c>
    </row>
    <row r="6761">
      <c r="A6761" t="inlineStr">
        <is>
          <t>Brian Steele</t>
        </is>
      </c>
      <c r="B6761" t="n">
        <v>2</v>
      </c>
      <c r="C6761" t="n">
        <v>2006</v>
      </c>
      <c r="D6761" t="n">
        <v>2009</v>
      </c>
      <c r="E6761" t="inlineStr">
        <is>
          <t>Underworld: Evolution, Underworld: Rise of the Lycans</t>
        </is>
      </c>
      <c r="F6761" t="inlineStr">
        <is>
          <t>F0326, F0327</t>
        </is>
      </c>
    </row>
    <row r="6762">
      <c r="A6762" t="inlineStr">
        <is>
          <t>John Mann</t>
        </is>
      </c>
      <c r="B6762" t="n">
        <v>1</v>
      </c>
      <c r="C6762" t="n">
        <v>2006</v>
      </c>
      <c r="D6762" t="n">
        <v>2006</v>
      </c>
      <c r="E6762" t="inlineStr">
        <is>
          <t>Underworld: Evolution</t>
        </is>
      </c>
      <c r="F6762" t="inlineStr">
        <is>
          <t>F0326</t>
        </is>
      </c>
    </row>
    <row r="6763">
      <c r="A6763" t="inlineStr">
        <is>
          <t>Scott McElroy</t>
        </is>
      </c>
      <c r="B6763" t="n">
        <v>1</v>
      </c>
      <c r="C6763" t="n">
        <v>2006</v>
      </c>
      <c r="D6763" t="n">
        <v>2006</v>
      </c>
      <c r="E6763" t="inlineStr">
        <is>
          <t>Underworld: Evolution</t>
        </is>
      </c>
      <c r="F6763" t="inlineStr">
        <is>
          <t>F0326</t>
        </is>
      </c>
    </row>
    <row r="6764">
      <c r="A6764" t="inlineStr">
        <is>
          <t>Mike Mukatis</t>
        </is>
      </c>
      <c r="B6764" t="n">
        <v>1</v>
      </c>
      <c r="C6764" t="n">
        <v>2006</v>
      </c>
      <c r="D6764" t="n">
        <v>2006</v>
      </c>
      <c r="E6764" t="inlineStr">
        <is>
          <t>Underworld: Evolution</t>
        </is>
      </c>
      <c r="F6764" t="inlineStr">
        <is>
          <t>F0326</t>
        </is>
      </c>
    </row>
    <row r="6765">
      <c r="A6765" t="inlineStr">
        <is>
          <t>Raoul Ganeev</t>
        </is>
      </c>
      <c r="B6765" t="n">
        <v>1</v>
      </c>
      <c r="C6765" t="n">
        <v>2006</v>
      </c>
      <c r="D6765" t="n">
        <v>2006</v>
      </c>
      <c r="E6765" t="inlineStr">
        <is>
          <t>Underworld: Evolution</t>
        </is>
      </c>
      <c r="F6765" t="inlineStr">
        <is>
          <t>F0326</t>
        </is>
      </c>
    </row>
    <row r="6766">
      <c r="A6766" t="inlineStr">
        <is>
          <t>Andrew Kavadas</t>
        </is>
      </c>
      <c r="B6766" t="n">
        <v>1</v>
      </c>
      <c r="C6766" t="n">
        <v>2006</v>
      </c>
      <c r="D6766" t="n">
        <v>2006</v>
      </c>
      <c r="E6766" t="inlineStr">
        <is>
          <t>Underworld: Evolution</t>
        </is>
      </c>
      <c r="F6766" t="inlineStr">
        <is>
          <t>F0326</t>
        </is>
      </c>
    </row>
    <row r="6767">
      <c r="A6767" t="inlineStr">
        <is>
          <t>Kayla Levins</t>
        </is>
      </c>
      <c r="B6767" t="n">
        <v>1</v>
      </c>
      <c r="C6767" t="n">
        <v>2006</v>
      </c>
      <c r="D6767" t="n">
        <v>2006</v>
      </c>
      <c r="E6767" t="inlineStr">
        <is>
          <t>Underworld: Evolution</t>
        </is>
      </c>
      <c r="F6767" t="inlineStr">
        <is>
          <t>F0326</t>
        </is>
      </c>
    </row>
    <row r="6768">
      <c r="A6768" t="inlineStr">
        <is>
          <t>Attila Lovaghy</t>
        </is>
      </c>
      <c r="B6768" t="n">
        <v>1</v>
      </c>
      <c r="C6768" t="n">
        <v>2006</v>
      </c>
      <c r="D6768" t="n">
        <v>2006</v>
      </c>
      <c r="E6768" t="inlineStr">
        <is>
          <t>Underworld: Evolution</t>
        </is>
      </c>
      <c r="F6768" t="inlineStr">
        <is>
          <t>F0326</t>
        </is>
      </c>
    </row>
    <row r="6769">
      <c r="A6769" t="inlineStr">
        <is>
          <t>Monica Hamburg</t>
        </is>
      </c>
      <c r="B6769" t="n">
        <v>1</v>
      </c>
      <c r="C6769" t="n">
        <v>2006</v>
      </c>
      <c r="D6769" t="n">
        <v>2006</v>
      </c>
      <c r="E6769" t="inlineStr">
        <is>
          <t>Underworld: Evolution</t>
        </is>
      </c>
      <c r="F6769" t="inlineStr">
        <is>
          <t>F0326</t>
        </is>
      </c>
    </row>
    <row r="6770">
      <c r="A6770" t="inlineStr">
        <is>
          <t>Travis Webster</t>
        </is>
      </c>
      <c r="B6770" t="n">
        <v>1</v>
      </c>
      <c r="C6770" t="n">
        <v>2006</v>
      </c>
      <c r="D6770" t="n">
        <v>2006</v>
      </c>
      <c r="E6770" t="inlineStr">
        <is>
          <t>Underworld: Evolution</t>
        </is>
      </c>
      <c r="F6770" t="inlineStr">
        <is>
          <t>F0326</t>
        </is>
      </c>
    </row>
    <row r="6771">
      <c r="A6771" t="inlineStr">
        <is>
          <t>Kaja Gjesdal</t>
        </is>
      </c>
      <c r="B6771" t="n">
        <v>1</v>
      </c>
      <c r="C6771" t="n">
        <v>2006</v>
      </c>
      <c r="D6771" t="n">
        <v>2006</v>
      </c>
      <c r="E6771" t="inlineStr">
        <is>
          <t>Underworld: Evolution</t>
        </is>
      </c>
      <c r="F6771" t="inlineStr">
        <is>
          <t>F0326</t>
        </is>
      </c>
    </row>
    <row r="6772">
      <c r="A6772" t="inlineStr">
        <is>
          <t>Lily Mo Sheen</t>
        </is>
      </c>
      <c r="B6772" t="n">
        <v>1</v>
      </c>
      <c r="C6772" t="n">
        <v>2006</v>
      </c>
      <c r="D6772" t="n">
        <v>2006</v>
      </c>
      <c r="E6772" t="inlineStr">
        <is>
          <t>Underworld: Evolution</t>
        </is>
      </c>
      <c r="F6772" t="inlineStr">
        <is>
          <t>F0326</t>
        </is>
      </c>
    </row>
    <row r="6773">
      <c r="A6773" t="inlineStr">
        <is>
          <t>Adrian Hough</t>
        </is>
      </c>
      <c r="B6773" t="n">
        <v>2</v>
      </c>
      <c r="C6773" t="n">
        <v>2006</v>
      </c>
      <c r="D6773" t="n">
        <v>2006</v>
      </c>
      <c r="E6773" t="inlineStr">
        <is>
          <t>Underworld: Evolution, X-Men: The Last Stand</t>
        </is>
      </c>
      <c r="F6773" t="inlineStr">
        <is>
          <t>F0326, F0346</t>
        </is>
      </c>
    </row>
    <row r="6774">
      <c r="A6774" t="inlineStr">
        <is>
          <t>Krsy Fox</t>
        </is>
      </c>
      <c r="B6774" t="n">
        <v>1</v>
      </c>
      <c r="C6774" t="n">
        <v>2006</v>
      </c>
      <c r="D6774" t="n">
        <v>2006</v>
      </c>
      <c r="E6774" t="inlineStr">
        <is>
          <t>Underworld: Evolution</t>
        </is>
      </c>
      <c r="F6774" t="inlineStr">
        <is>
          <t>F0326</t>
        </is>
      </c>
    </row>
    <row r="6775">
      <c r="A6775" t="inlineStr">
        <is>
          <t>Julius Chapple</t>
        </is>
      </c>
      <c r="B6775" t="n">
        <v>1</v>
      </c>
      <c r="C6775" t="n">
        <v>2006</v>
      </c>
      <c r="D6775" t="n">
        <v>2006</v>
      </c>
      <c r="E6775" t="inlineStr">
        <is>
          <t>Underworld: Evolution</t>
        </is>
      </c>
      <c r="F6775" t="inlineStr">
        <is>
          <t>F0326</t>
        </is>
      </c>
    </row>
    <row r="6776">
      <c r="A6776" t="inlineStr">
        <is>
          <t>Leighton Cardno</t>
        </is>
      </c>
      <c r="B6776" t="n">
        <v>1</v>
      </c>
      <c r="C6776" t="n">
        <v>2009</v>
      </c>
      <c r="D6776" t="n">
        <v>2009</v>
      </c>
      <c r="E6776" t="inlineStr">
        <is>
          <t>Underworld: Rise of the Lycans</t>
        </is>
      </c>
      <c r="F6776" t="inlineStr">
        <is>
          <t>F0327</t>
        </is>
      </c>
    </row>
    <row r="6777">
      <c r="A6777" t="inlineStr">
        <is>
          <t>Elizabeth Hawthorne</t>
        </is>
      </c>
      <c r="B6777" t="n">
        <v>1</v>
      </c>
      <c r="C6777" t="n">
        <v>2009</v>
      </c>
      <c r="D6777" t="n">
        <v>2009</v>
      </c>
      <c r="E6777" t="inlineStr">
        <is>
          <t>Underworld: Rise of the Lycans</t>
        </is>
      </c>
      <c r="F6777" t="inlineStr">
        <is>
          <t>F0327</t>
        </is>
      </c>
    </row>
    <row r="6778">
      <c r="A6778" t="inlineStr">
        <is>
          <t>Jason Hood</t>
        </is>
      </c>
      <c r="B6778" t="n">
        <v>1</v>
      </c>
      <c r="C6778" t="n">
        <v>2009</v>
      </c>
      <c r="D6778" t="n">
        <v>2009</v>
      </c>
      <c r="E6778" t="inlineStr">
        <is>
          <t>Underworld: Rise of the Lycans</t>
        </is>
      </c>
      <c r="F6778" t="inlineStr">
        <is>
          <t>F0327</t>
        </is>
      </c>
    </row>
    <row r="6779">
      <c r="A6779" t="inlineStr">
        <is>
          <t>Mark Mitchinson</t>
        </is>
      </c>
      <c r="B6779" t="n">
        <v>1</v>
      </c>
      <c r="C6779" t="n">
        <v>2009</v>
      </c>
      <c r="D6779" t="n">
        <v>2009</v>
      </c>
      <c r="E6779" t="inlineStr">
        <is>
          <t>Underworld: Rise of the Lycans</t>
        </is>
      </c>
      <c r="F6779" t="inlineStr">
        <is>
          <t>F0327</t>
        </is>
      </c>
    </row>
    <row r="6780">
      <c r="A6780" t="inlineStr">
        <is>
          <t>Timothy Raby</t>
        </is>
      </c>
      <c r="B6780" t="n">
        <v>1</v>
      </c>
      <c r="C6780" t="n">
        <v>2009</v>
      </c>
      <c r="D6780" t="n">
        <v>2009</v>
      </c>
      <c r="E6780" t="inlineStr">
        <is>
          <t>Underworld: Rise of the Lycans</t>
        </is>
      </c>
      <c r="F6780" t="inlineStr">
        <is>
          <t>F0327</t>
        </is>
      </c>
    </row>
    <row r="6781">
      <c r="A6781" t="inlineStr">
        <is>
          <t>Tania Nolan</t>
        </is>
      </c>
      <c r="B6781" t="n">
        <v>1</v>
      </c>
      <c r="C6781" t="n">
        <v>2009</v>
      </c>
      <c r="D6781" t="n">
        <v>2009</v>
      </c>
      <c r="E6781" t="inlineStr">
        <is>
          <t>Underworld: Rise of the Lycans</t>
        </is>
      </c>
      <c r="F6781" t="inlineStr">
        <is>
          <t>F0327</t>
        </is>
      </c>
    </row>
    <row r="6782">
      <c r="A6782" t="inlineStr">
        <is>
          <t>Jared Turner</t>
        </is>
      </c>
      <c r="B6782" t="n">
        <v>1</v>
      </c>
      <c r="C6782" t="n">
        <v>2009</v>
      </c>
      <c r="D6782" t="n">
        <v>2009</v>
      </c>
      <c r="E6782" t="inlineStr">
        <is>
          <t>Underworld: Rise of the Lycans</t>
        </is>
      </c>
      <c r="F6782" t="inlineStr">
        <is>
          <t>F0327</t>
        </is>
      </c>
    </row>
    <row r="6783">
      <c r="A6783" t="inlineStr">
        <is>
          <t>Olivia Taylforth</t>
        </is>
      </c>
      <c r="B6783" t="n">
        <v>1</v>
      </c>
      <c r="C6783" t="n">
        <v>2009</v>
      </c>
      <c r="D6783" t="n">
        <v>2009</v>
      </c>
      <c r="E6783" t="inlineStr">
        <is>
          <t>Underworld: Rise of the Lycans</t>
        </is>
      </c>
      <c r="F6783" t="inlineStr">
        <is>
          <t>F0327</t>
        </is>
      </c>
    </row>
    <row r="6784">
      <c r="A6784" t="inlineStr">
        <is>
          <t>Larry Rew</t>
        </is>
      </c>
      <c r="B6784" t="n">
        <v>1</v>
      </c>
      <c r="C6784" t="n">
        <v>2009</v>
      </c>
      <c r="D6784" t="n">
        <v>2009</v>
      </c>
      <c r="E6784" t="inlineStr">
        <is>
          <t>Underworld: Rise of the Lycans</t>
        </is>
      </c>
      <c r="F6784" t="inlineStr">
        <is>
          <t>F0327</t>
        </is>
      </c>
    </row>
    <row r="6785">
      <c r="A6785" t="inlineStr">
        <is>
          <t>Eleanor Williams</t>
        </is>
      </c>
      <c r="B6785" t="n">
        <v>1</v>
      </c>
      <c r="C6785" t="n">
        <v>2009</v>
      </c>
      <c r="D6785" t="n">
        <v>2009</v>
      </c>
      <c r="E6785" t="inlineStr">
        <is>
          <t>Underworld: Rise of the Lycans</t>
        </is>
      </c>
      <c r="F6785" t="inlineStr">
        <is>
          <t>F0327</t>
        </is>
      </c>
    </row>
    <row r="6786">
      <c r="A6786" t="inlineStr">
        <is>
          <t>Alex Carroll</t>
        </is>
      </c>
      <c r="B6786" t="n">
        <v>1</v>
      </c>
      <c r="C6786" t="n">
        <v>2009</v>
      </c>
      <c r="D6786" t="n">
        <v>2009</v>
      </c>
      <c r="E6786" t="inlineStr">
        <is>
          <t>Underworld: Rise of the Lycans</t>
        </is>
      </c>
      <c r="F6786" t="inlineStr">
        <is>
          <t>F0327</t>
        </is>
      </c>
    </row>
    <row r="6787">
      <c r="A6787" t="inlineStr">
        <is>
          <t>Sandrine Holt</t>
        </is>
      </c>
      <c r="B6787" t="n">
        <v>1</v>
      </c>
      <c r="C6787" t="n">
        <v>2012</v>
      </c>
      <c r="D6787" t="n">
        <v>2012</v>
      </c>
      <c r="E6787" t="inlineStr">
        <is>
          <t>Underworld: Awakening</t>
        </is>
      </c>
      <c r="F6787" t="inlineStr">
        <is>
          <t>F0328</t>
        </is>
      </c>
    </row>
    <row r="6788">
      <c r="A6788" t="inlineStr">
        <is>
          <t>Sanny van Heteren</t>
        </is>
      </c>
      <c r="B6788" t="n">
        <v>2</v>
      </c>
      <c r="C6788" t="n">
        <v>2011</v>
      </c>
      <c r="D6788" t="n">
        <v>2012</v>
      </c>
      <c r="E6788" t="inlineStr">
        <is>
          <t>Underworld: Awakening, Unknown</t>
        </is>
      </c>
      <c r="F6788" t="inlineStr">
        <is>
          <t>F0328, F0329</t>
        </is>
      </c>
    </row>
    <row r="6789">
      <c r="A6789" t="inlineStr">
        <is>
          <t>Robert Lawrenson</t>
        </is>
      </c>
      <c r="B6789" t="n">
        <v>1</v>
      </c>
      <c r="C6789" t="n">
        <v>2012</v>
      </c>
      <c r="D6789" t="n">
        <v>2012</v>
      </c>
      <c r="E6789" t="inlineStr">
        <is>
          <t>Underworld: Awakening</t>
        </is>
      </c>
      <c r="F6789" t="inlineStr">
        <is>
          <t>F0328</t>
        </is>
      </c>
    </row>
    <row r="6790">
      <c r="A6790" t="inlineStr">
        <is>
          <t>Kurt Max Runte</t>
        </is>
      </c>
      <c r="B6790" t="n">
        <v>1</v>
      </c>
      <c r="C6790" t="n">
        <v>2012</v>
      </c>
      <c r="D6790" t="n">
        <v>2012</v>
      </c>
      <c r="E6790" t="inlineStr">
        <is>
          <t>Underworld: Awakening</t>
        </is>
      </c>
      <c r="F6790" t="inlineStr">
        <is>
          <t>F0328</t>
        </is>
      </c>
    </row>
    <row r="6791">
      <c r="A6791" t="inlineStr">
        <is>
          <t>Marvin Duerkholz</t>
        </is>
      </c>
      <c r="B6791" t="n">
        <v>1</v>
      </c>
      <c r="C6791" t="n">
        <v>2012</v>
      </c>
      <c r="D6791" t="n">
        <v>2012</v>
      </c>
      <c r="E6791" t="inlineStr">
        <is>
          <t>Underworld: Awakening</t>
        </is>
      </c>
      <c r="F6791" t="inlineStr">
        <is>
          <t>F0328</t>
        </is>
      </c>
    </row>
    <row r="6792">
      <c r="A6792" t="inlineStr">
        <is>
          <t>Ron Wear</t>
        </is>
      </c>
      <c r="B6792" t="n">
        <v>1</v>
      </c>
      <c r="C6792" t="n">
        <v>2012</v>
      </c>
      <c r="D6792" t="n">
        <v>2012</v>
      </c>
      <c r="E6792" t="inlineStr">
        <is>
          <t>Underworld: Awakening</t>
        </is>
      </c>
      <c r="F6792" t="inlineStr">
        <is>
          <t>F0328</t>
        </is>
      </c>
    </row>
    <row r="6793">
      <c r="A6793" t="inlineStr">
        <is>
          <t>Dan Payne</t>
        </is>
      </c>
      <c r="B6793" t="n">
        <v>1</v>
      </c>
      <c r="C6793" t="n">
        <v>2012</v>
      </c>
      <c r="D6793" t="n">
        <v>2012</v>
      </c>
      <c r="E6793" t="inlineStr">
        <is>
          <t>Underworld: Awakening</t>
        </is>
      </c>
      <c r="F6793" t="inlineStr">
        <is>
          <t>F0328</t>
        </is>
      </c>
    </row>
    <row r="6794">
      <c r="A6794" t="inlineStr">
        <is>
          <t>Mark Gibbon</t>
        </is>
      </c>
      <c r="B6794" t="n">
        <v>1</v>
      </c>
      <c r="C6794" t="n">
        <v>2012</v>
      </c>
      <c r="D6794" t="n">
        <v>2012</v>
      </c>
      <c r="E6794" t="inlineStr">
        <is>
          <t>Underworld: Awakening</t>
        </is>
      </c>
      <c r="F6794" t="inlineStr">
        <is>
          <t>F0328</t>
        </is>
      </c>
    </row>
    <row r="6795">
      <c r="A6795" t="inlineStr">
        <is>
          <t>Benita Ha</t>
        </is>
      </c>
      <c r="B6795" t="n">
        <v>1</v>
      </c>
      <c r="C6795" t="n">
        <v>2012</v>
      </c>
      <c r="D6795" t="n">
        <v>2012</v>
      </c>
      <c r="E6795" t="inlineStr">
        <is>
          <t>Underworld: Awakening</t>
        </is>
      </c>
      <c r="F6795" t="inlineStr">
        <is>
          <t>F0328</t>
        </is>
      </c>
    </row>
    <row r="6796">
      <c r="A6796" t="inlineStr">
        <is>
          <t>Tyler McClendon</t>
        </is>
      </c>
      <c r="B6796" t="n">
        <v>1</v>
      </c>
      <c r="C6796" t="n">
        <v>2012</v>
      </c>
      <c r="D6796" t="n">
        <v>2012</v>
      </c>
      <c r="E6796" t="inlineStr">
        <is>
          <t>Underworld: Awakening</t>
        </is>
      </c>
      <c r="F6796" t="inlineStr">
        <is>
          <t>F0328</t>
        </is>
      </c>
    </row>
    <row r="6797">
      <c r="A6797" t="inlineStr">
        <is>
          <t>Panou</t>
        </is>
      </c>
      <c r="B6797" t="n">
        <v>1</v>
      </c>
      <c r="C6797" t="n">
        <v>2012</v>
      </c>
      <c r="D6797" t="n">
        <v>2012</v>
      </c>
      <c r="E6797" t="inlineStr">
        <is>
          <t>Underworld: Awakening</t>
        </is>
      </c>
      <c r="F6797" t="inlineStr">
        <is>
          <t>F0328</t>
        </is>
      </c>
    </row>
    <row r="6798">
      <c r="A6798" t="inlineStr">
        <is>
          <t>Kristen Holden-Ried</t>
        </is>
      </c>
      <c r="B6798" t="n">
        <v>1</v>
      </c>
      <c r="C6798" t="n">
        <v>2012</v>
      </c>
      <c r="D6798" t="n">
        <v>2012</v>
      </c>
      <c r="E6798" t="inlineStr">
        <is>
          <t>Underworld: Awakening</t>
        </is>
      </c>
      <c r="F6798" t="inlineStr">
        <is>
          <t>F0328</t>
        </is>
      </c>
    </row>
    <row r="6799">
      <c r="A6799" t="inlineStr">
        <is>
          <t>John Innes</t>
        </is>
      </c>
      <c r="B6799" t="n">
        <v>1</v>
      </c>
      <c r="C6799" t="n">
        <v>2012</v>
      </c>
      <c r="D6799" t="n">
        <v>2012</v>
      </c>
      <c r="E6799" t="inlineStr">
        <is>
          <t>Underworld: Awakening</t>
        </is>
      </c>
      <c r="F6799" t="inlineStr">
        <is>
          <t>F0328</t>
        </is>
      </c>
    </row>
    <row r="6800">
      <c r="A6800" t="inlineStr">
        <is>
          <t>Lee Majdoub</t>
        </is>
      </c>
      <c r="B6800" t="n">
        <v>1</v>
      </c>
      <c r="C6800" t="n">
        <v>2012</v>
      </c>
      <c r="D6800" t="n">
        <v>2012</v>
      </c>
      <c r="E6800" t="inlineStr">
        <is>
          <t>Underworld: Awakening</t>
        </is>
      </c>
      <c r="F6800" t="inlineStr">
        <is>
          <t>F0328</t>
        </is>
      </c>
    </row>
    <row r="6801">
      <c r="A6801" t="inlineStr">
        <is>
          <t>Catlin Adams</t>
        </is>
      </c>
      <c r="B6801" t="n">
        <v>1</v>
      </c>
      <c r="C6801" t="n">
        <v>2012</v>
      </c>
      <c r="D6801" t="n">
        <v>2012</v>
      </c>
      <c r="E6801" t="inlineStr">
        <is>
          <t>Underworld: Awakening</t>
        </is>
      </c>
      <c r="F6801" t="inlineStr">
        <is>
          <t>F0328</t>
        </is>
      </c>
    </row>
    <row r="6802">
      <c r="A6802" t="inlineStr">
        <is>
          <t>Adam Greydon Reid</t>
        </is>
      </c>
      <c r="B6802" t="n">
        <v>1</v>
      </c>
      <c r="C6802" t="n">
        <v>2012</v>
      </c>
      <c r="D6802" t="n">
        <v>2012</v>
      </c>
      <c r="E6802" t="inlineStr">
        <is>
          <t>Underworld: Awakening</t>
        </is>
      </c>
      <c r="F6802" t="inlineStr">
        <is>
          <t>F0328</t>
        </is>
      </c>
    </row>
    <row r="6803">
      <c r="A6803" t="inlineStr">
        <is>
          <t>Joe Censoplano</t>
        </is>
      </c>
      <c r="B6803" t="n">
        <v>1</v>
      </c>
      <c r="C6803" t="n">
        <v>2012</v>
      </c>
      <c r="D6803" t="n">
        <v>2012</v>
      </c>
      <c r="E6803" t="inlineStr">
        <is>
          <t>Underworld: Awakening</t>
        </is>
      </c>
      <c r="F6803" t="inlineStr">
        <is>
          <t>F0328</t>
        </is>
      </c>
    </row>
    <row r="6804">
      <c r="A6804" t="inlineStr">
        <is>
          <t>Preston Cook</t>
        </is>
      </c>
      <c r="B6804" t="n">
        <v>1</v>
      </c>
      <c r="C6804" t="n">
        <v>2012</v>
      </c>
      <c r="D6804" t="n">
        <v>2012</v>
      </c>
      <c r="E6804" t="inlineStr">
        <is>
          <t>Underworld: Awakening</t>
        </is>
      </c>
      <c r="F6804" t="inlineStr">
        <is>
          <t>F0328</t>
        </is>
      </c>
    </row>
    <row r="6805">
      <c r="A6805" t="inlineStr">
        <is>
          <t>Sebastian Koch</t>
        </is>
      </c>
      <c r="B6805" t="n">
        <v>1</v>
      </c>
      <c r="C6805" t="n">
        <v>2011</v>
      </c>
      <c r="D6805" t="n">
        <v>2011</v>
      </c>
      <c r="E6805" t="inlineStr">
        <is>
          <t>Unknown</t>
        </is>
      </c>
      <c r="F6805" t="inlineStr">
        <is>
          <t>F0329</t>
        </is>
      </c>
    </row>
    <row r="6806">
      <c r="A6806" t="inlineStr">
        <is>
          <t>Olivier Schneider</t>
        </is>
      </c>
      <c r="B6806" t="n">
        <v>1</v>
      </c>
      <c r="C6806" t="n">
        <v>2011</v>
      </c>
      <c r="D6806" t="n">
        <v>2011</v>
      </c>
      <c r="E6806" t="inlineStr">
        <is>
          <t>Unknown</t>
        </is>
      </c>
      <c r="F6806" t="inlineStr">
        <is>
          <t>F0329</t>
        </is>
      </c>
    </row>
    <row r="6807">
      <c r="A6807" t="inlineStr">
        <is>
          <t>Stipe Erceg</t>
        </is>
      </c>
      <c r="B6807" t="n">
        <v>1</v>
      </c>
      <c r="C6807" t="n">
        <v>2011</v>
      </c>
      <c r="D6807" t="n">
        <v>2011</v>
      </c>
      <c r="E6807" t="inlineStr">
        <is>
          <t>Unknown</t>
        </is>
      </c>
      <c r="F6807" t="inlineStr">
        <is>
          <t>F0329</t>
        </is>
      </c>
    </row>
    <row r="6808">
      <c r="A6808" t="inlineStr">
        <is>
          <t>Rainer Bock</t>
        </is>
      </c>
      <c r="B6808" t="n">
        <v>1</v>
      </c>
      <c r="C6808" t="n">
        <v>2011</v>
      </c>
      <c r="D6808" t="n">
        <v>2011</v>
      </c>
      <c r="E6808" t="inlineStr">
        <is>
          <t>Unknown</t>
        </is>
      </c>
      <c r="F6808" t="inlineStr">
        <is>
          <t>F0329</t>
        </is>
      </c>
    </row>
    <row r="6809">
      <c r="A6809" t="inlineStr">
        <is>
          <t>Mido Hamada</t>
        </is>
      </c>
      <c r="B6809" t="n">
        <v>1</v>
      </c>
      <c r="C6809" t="n">
        <v>2011</v>
      </c>
      <c r="D6809" t="n">
        <v>2011</v>
      </c>
      <c r="E6809" t="inlineStr">
        <is>
          <t>Unknown</t>
        </is>
      </c>
      <c r="F6809" t="inlineStr">
        <is>
          <t>F0329</t>
        </is>
      </c>
    </row>
    <row r="6810">
      <c r="A6810" t="inlineStr">
        <is>
          <t>Clint Dyer</t>
        </is>
      </c>
      <c r="B6810" t="n">
        <v>1</v>
      </c>
      <c r="C6810" t="n">
        <v>2011</v>
      </c>
      <c r="D6810" t="n">
        <v>2011</v>
      </c>
      <c r="E6810" t="inlineStr">
        <is>
          <t>Unknown</t>
        </is>
      </c>
      <c r="F6810" t="inlineStr">
        <is>
          <t>F0329</t>
        </is>
      </c>
    </row>
    <row r="6811">
      <c r="A6811" t="inlineStr">
        <is>
          <t>Karl Markovics</t>
        </is>
      </c>
      <c r="B6811" t="n">
        <v>1</v>
      </c>
      <c r="C6811" t="n">
        <v>2011</v>
      </c>
      <c r="D6811" t="n">
        <v>2011</v>
      </c>
      <c r="E6811" t="inlineStr">
        <is>
          <t>Unknown</t>
        </is>
      </c>
      <c r="F6811" t="inlineStr">
        <is>
          <t>F0329</t>
        </is>
      </c>
    </row>
    <row r="6812">
      <c r="A6812" t="inlineStr">
        <is>
          <t>Eva Löbau</t>
        </is>
      </c>
      <c r="B6812" t="n">
        <v>1</v>
      </c>
      <c r="C6812" t="n">
        <v>2011</v>
      </c>
      <c r="D6812" t="n">
        <v>2011</v>
      </c>
      <c r="E6812" t="inlineStr">
        <is>
          <t>Unknown</t>
        </is>
      </c>
      <c r="F6812" t="inlineStr">
        <is>
          <t>F0329</t>
        </is>
      </c>
    </row>
    <row r="6813">
      <c r="A6813" t="inlineStr">
        <is>
          <t>Helen Wiebensohn</t>
        </is>
      </c>
      <c r="B6813" t="n">
        <v>1</v>
      </c>
      <c r="C6813" t="n">
        <v>2011</v>
      </c>
      <c r="D6813" t="n">
        <v>2011</v>
      </c>
      <c r="E6813" t="inlineStr">
        <is>
          <t>Unknown</t>
        </is>
      </c>
      <c r="F6813" t="inlineStr">
        <is>
          <t>F0329</t>
        </is>
      </c>
    </row>
    <row r="6814">
      <c r="A6814" t="inlineStr">
        <is>
          <t>Adnan Maral</t>
        </is>
      </c>
      <c r="B6814" t="n">
        <v>1</v>
      </c>
      <c r="C6814" t="n">
        <v>2011</v>
      </c>
      <c r="D6814" t="n">
        <v>2011</v>
      </c>
      <c r="E6814" t="inlineStr">
        <is>
          <t>Unknown</t>
        </is>
      </c>
      <c r="F6814" t="inlineStr">
        <is>
          <t>F0329</t>
        </is>
      </c>
    </row>
    <row r="6815">
      <c r="A6815" t="inlineStr">
        <is>
          <t>Merle Wiebensohn</t>
        </is>
      </c>
      <c r="B6815" t="n">
        <v>1</v>
      </c>
      <c r="C6815" t="n">
        <v>2011</v>
      </c>
      <c r="D6815" t="n">
        <v>2011</v>
      </c>
      <c r="E6815" t="inlineStr">
        <is>
          <t>Unknown</t>
        </is>
      </c>
      <c r="F6815" t="inlineStr">
        <is>
          <t>F0329</t>
        </is>
      </c>
    </row>
    <row r="6816">
      <c r="A6816" t="inlineStr">
        <is>
          <t>Torsten Michaelis</t>
        </is>
      </c>
      <c r="B6816" t="n">
        <v>1</v>
      </c>
      <c r="C6816" t="n">
        <v>2011</v>
      </c>
      <c r="D6816" t="n">
        <v>2011</v>
      </c>
      <c r="E6816" t="inlineStr">
        <is>
          <t>Unknown</t>
        </is>
      </c>
      <c r="F6816" t="inlineStr">
        <is>
          <t>F0329</t>
        </is>
      </c>
    </row>
    <row r="6817">
      <c r="A6817" t="inlineStr">
        <is>
          <t>Rainer Sellien</t>
        </is>
      </c>
      <c r="B6817" t="n">
        <v>1</v>
      </c>
      <c r="C6817" t="n">
        <v>2011</v>
      </c>
      <c r="D6817" t="n">
        <v>2011</v>
      </c>
      <c r="E6817" t="inlineStr">
        <is>
          <t>Unknown</t>
        </is>
      </c>
      <c r="F6817" t="inlineStr">
        <is>
          <t>F0329</t>
        </is>
      </c>
    </row>
    <row r="6818">
      <c r="A6818" t="inlineStr">
        <is>
          <t>Michael Baral</t>
        </is>
      </c>
      <c r="B6818" t="n">
        <v>1</v>
      </c>
      <c r="C6818" t="n">
        <v>2011</v>
      </c>
      <c r="D6818" t="n">
        <v>2011</v>
      </c>
      <c r="E6818" t="inlineStr">
        <is>
          <t>Unknown</t>
        </is>
      </c>
      <c r="F6818" t="inlineStr">
        <is>
          <t>F0329</t>
        </is>
      </c>
    </row>
    <row r="6819">
      <c r="A6819" t="inlineStr">
        <is>
          <t>Marlon Putzke</t>
        </is>
      </c>
      <c r="B6819" t="n">
        <v>1</v>
      </c>
      <c r="C6819" t="n">
        <v>2011</v>
      </c>
      <c r="D6819" t="n">
        <v>2011</v>
      </c>
      <c r="E6819" t="inlineStr">
        <is>
          <t>Unknown</t>
        </is>
      </c>
      <c r="F6819" t="inlineStr">
        <is>
          <t>F0329</t>
        </is>
      </c>
    </row>
    <row r="6820">
      <c r="A6820" t="inlineStr">
        <is>
          <t>Herbert Olschok</t>
        </is>
      </c>
      <c r="B6820" t="n">
        <v>1</v>
      </c>
      <c r="C6820" t="n">
        <v>2011</v>
      </c>
      <c r="D6820" t="n">
        <v>2011</v>
      </c>
      <c r="E6820" t="inlineStr">
        <is>
          <t>Unknown</t>
        </is>
      </c>
      <c r="F6820" t="inlineStr">
        <is>
          <t>F0329</t>
        </is>
      </c>
    </row>
    <row r="6821">
      <c r="A6821" t="inlineStr">
        <is>
          <t>Karla Trippel</t>
        </is>
      </c>
      <c r="B6821" t="n">
        <v>1</v>
      </c>
      <c r="C6821" t="n">
        <v>2011</v>
      </c>
      <c r="D6821" t="n">
        <v>2011</v>
      </c>
      <c r="E6821" t="inlineStr">
        <is>
          <t>Unknown</t>
        </is>
      </c>
      <c r="F6821" t="inlineStr">
        <is>
          <t>F0329</t>
        </is>
      </c>
    </row>
    <row r="6822">
      <c r="A6822" t="inlineStr">
        <is>
          <t>Petra Schmidt-Schaller</t>
        </is>
      </c>
      <c r="B6822" t="n">
        <v>1</v>
      </c>
      <c r="C6822" t="n">
        <v>2011</v>
      </c>
      <c r="D6822" t="n">
        <v>2011</v>
      </c>
      <c r="E6822" t="inlineStr">
        <is>
          <t>Unknown</t>
        </is>
      </c>
      <c r="F6822" t="inlineStr">
        <is>
          <t>F0329</t>
        </is>
      </c>
    </row>
    <row r="6823">
      <c r="A6823" t="inlineStr">
        <is>
          <t>Annabelle Mandeng</t>
        </is>
      </c>
      <c r="B6823" t="n">
        <v>1</v>
      </c>
      <c r="C6823" t="n">
        <v>2011</v>
      </c>
      <c r="D6823" t="n">
        <v>2011</v>
      </c>
      <c r="E6823" t="inlineStr">
        <is>
          <t>Unknown</t>
        </is>
      </c>
      <c r="F6823" t="inlineStr">
        <is>
          <t>F0329</t>
        </is>
      </c>
    </row>
    <row r="6824">
      <c r="A6824" t="inlineStr">
        <is>
          <t>Janina Flieger</t>
        </is>
      </c>
      <c r="B6824" t="n">
        <v>1</v>
      </c>
      <c r="C6824" t="n">
        <v>2011</v>
      </c>
      <c r="D6824" t="n">
        <v>2011</v>
      </c>
      <c r="E6824" t="inlineStr">
        <is>
          <t>Unknown</t>
        </is>
      </c>
      <c r="F6824" t="inlineStr">
        <is>
          <t>F0329</t>
        </is>
      </c>
    </row>
    <row r="6825">
      <c r="A6825" t="inlineStr">
        <is>
          <t>Fritz Roth</t>
        </is>
      </c>
      <c r="B6825" t="n">
        <v>1</v>
      </c>
      <c r="C6825" t="n">
        <v>2011</v>
      </c>
      <c r="D6825" t="n">
        <v>2011</v>
      </c>
      <c r="E6825" t="inlineStr">
        <is>
          <t>Unknown</t>
        </is>
      </c>
      <c r="F6825" t="inlineStr">
        <is>
          <t>F0329</t>
        </is>
      </c>
    </row>
    <row r="6826">
      <c r="A6826" t="inlineStr">
        <is>
          <t>Heike Hanold-Lynch</t>
        </is>
      </c>
      <c r="B6826" t="n">
        <v>1</v>
      </c>
      <c r="C6826" t="n">
        <v>2011</v>
      </c>
      <c r="D6826" t="n">
        <v>2011</v>
      </c>
      <c r="E6826" t="inlineStr">
        <is>
          <t>Unknown</t>
        </is>
      </c>
      <c r="F6826" t="inlineStr">
        <is>
          <t>F0329</t>
        </is>
      </c>
    </row>
    <row r="6827">
      <c r="A6827" t="inlineStr">
        <is>
          <t>David Kaye</t>
        </is>
      </c>
      <c r="B6827" t="n">
        <v>1</v>
      </c>
      <c r="C6827" t="n">
        <v>2009</v>
      </c>
      <c r="D6827" t="n">
        <v>2009</v>
      </c>
      <c r="E6827" t="inlineStr">
        <is>
          <t>Up</t>
        </is>
      </c>
      <c r="F6827" t="inlineStr">
        <is>
          <t>F0330</t>
        </is>
      </c>
    </row>
    <row r="6828">
      <c r="A6828" t="inlineStr">
        <is>
          <t>Elie Docter</t>
        </is>
      </c>
      <c r="B6828" t="n">
        <v>1</v>
      </c>
      <c r="C6828" t="n">
        <v>2009</v>
      </c>
      <c r="D6828" t="n">
        <v>2009</v>
      </c>
      <c r="E6828" t="inlineStr">
        <is>
          <t>Up</t>
        </is>
      </c>
      <c r="F6828" t="inlineStr">
        <is>
          <t>F0330</t>
        </is>
      </c>
    </row>
    <row r="6829">
      <c r="A6829" t="inlineStr">
        <is>
          <t>Jeremy Leary</t>
        </is>
      </c>
      <c r="B6829" t="n">
        <v>1</v>
      </c>
      <c r="C6829" t="n">
        <v>2009</v>
      </c>
      <c r="D6829" t="n">
        <v>2009</v>
      </c>
      <c r="E6829" t="inlineStr">
        <is>
          <t>Up</t>
        </is>
      </c>
      <c r="F6829" t="inlineStr">
        <is>
          <t>F0330</t>
        </is>
      </c>
    </row>
    <row r="6830">
      <c r="A6830" t="inlineStr">
        <is>
          <t>Mark Andrews</t>
        </is>
      </c>
      <c r="B6830" t="n">
        <v>1</v>
      </c>
      <c r="C6830" t="n">
        <v>2009</v>
      </c>
      <c r="D6830" t="n">
        <v>2009</v>
      </c>
      <c r="E6830" t="inlineStr">
        <is>
          <t>Up</t>
        </is>
      </c>
      <c r="F6830" t="inlineStr">
        <is>
          <t>F0330</t>
        </is>
      </c>
    </row>
    <row r="6831">
      <c r="A6831" t="inlineStr">
        <is>
          <t>Brenda Chapman</t>
        </is>
      </c>
      <c r="B6831" t="n">
        <v>1</v>
      </c>
      <c r="C6831" t="n">
        <v>2009</v>
      </c>
      <c r="D6831" t="n">
        <v>2009</v>
      </c>
      <c r="E6831" t="inlineStr">
        <is>
          <t>Up</t>
        </is>
      </c>
      <c r="F6831" t="inlineStr">
        <is>
          <t>F0330</t>
        </is>
      </c>
    </row>
    <row r="6832">
      <c r="A6832" t="inlineStr">
        <is>
          <t>Emma Coats</t>
        </is>
      </c>
      <c r="B6832" t="n">
        <v>1</v>
      </c>
      <c r="C6832" t="n">
        <v>2009</v>
      </c>
      <c r="D6832" t="n">
        <v>2009</v>
      </c>
      <c r="E6832" t="inlineStr">
        <is>
          <t>Up</t>
        </is>
      </c>
      <c r="F6832" t="inlineStr">
        <is>
          <t>F0330</t>
        </is>
      </c>
    </row>
    <row r="6833">
      <c r="A6833" t="inlineStr">
        <is>
          <t>Valerie LaPointe</t>
        </is>
      </c>
      <c r="B6833" t="n">
        <v>1</v>
      </c>
      <c r="C6833" t="n">
        <v>2009</v>
      </c>
      <c r="D6833" t="n">
        <v>2009</v>
      </c>
      <c r="E6833" t="inlineStr">
        <is>
          <t>Up</t>
        </is>
      </c>
      <c r="F6833" t="inlineStr">
        <is>
          <t>F0330</t>
        </is>
      </c>
    </row>
    <row r="6834">
      <c r="A6834" t="inlineStr">
        <is>
          <t>Ben Burtt</t>
        </is>
      </c>
      <c r="B6834" t="n">
        <v>1</v>
      </c>
      <c r="C6834" t="n">
        <v>2008</v>
      </c>
      <c r="D6834" t="n">
        <v>2008</v>
      </c>
      <c r="E6834" t="inlineStr">
        <is>
          <t>WALL·E</t>
        </is>
      </c>
      <c r="F6834" t="inlineStr">
        <is>
          <t>F0331</t>
        </is>
      </c>
    </row>
    <row r="6835">
      <c r="A6835" t="inlineStr">
        <is>
          <t>Lori Richardson</t>
        </is>
      </c>
      <c r="B6835" t="n">
        <v>1</v>
      </c>
      <c r="C6835" t="n">
        <v>2008</v>
      </c>
      <c r="D6835" t="n">
        <v>2008</v>
      </c>
      <c r="E6835" t="inlineStr">
        <is>
          <t>WALL·E</t>
        </is>
      </c>
      <c r="F6835" t="inlineStr">
        <is>
          <t>F0331</t>
        </is>
      </c>
    </row>
    <row r="6836">
      <c r="A6836" t="inlineStr">
        <is>
          <t>Colette Whitaker</t>
        </is>
      </c>
      <c r="B6836" t="n">
        <v>1</v>
      </c>
      <c r="C6836" t="n">
        <v>2008</v>
      </c>
      <c r="D6836" t="n">
        <v>2008</v>
      </c>
      <c r="E6836" t="inlineStr">
        <is>
          <t>WALL·E</t>
        </is>
      </c>
      <c r="F6836" t="inlineStr">
        <is>
          <t>F0331</t>
        </is>
      </c>
    </row>
    <row r="6837">
      <c r="A6837" t="inlineStr">
        <is>
          <t>Kim Kopf</t>
        </is>
      </c>
      <c r="B6837" t="n">
        <v>1</v>
      </c>
      <c r="C6837" t="n">
        <v>2008</v>
      </c>
      <c r="D6837" t="n">
        <v>2008</v>
      </c>
      <c r="E6837" t="inlineStr">
        <is>
          <t>WALL·E</t>
        </is>
      </c>
      <c r="F6837" t="inlineStr">
        <is>
          <t>F0331</t>
        </is>
      </c>
    </row>
    <row r="6838">
      <c r="A6838" t="inlineStr">
        <is>
          <t>Niki McElroy</t>
        </is>
      </c>
      <c r="B6838" t="n">
        <v>1</v>
      </c>
      <c r="C6838" t="n">
        <v>2008</v>
      </c>
      <c r="D6838" t="n">
        <v>2008</v>
      </c>
      <c r="E6838" t="inlineStr">
        <is>
          <t>WALL·E</t>
        </is>
      </c>
      <c r="F6838" t="inlineStr">
        <is>
          <t>F0331</t>
        </is>
      </c>
    </row>
    <row r="6839">
      <c r="A6839" t="inlineStr">
        <is>
          <t>Garrett Palmer</t>
        </is>
      </c>
      <c r="B6839" t="n">
        <v>1</v>
      </c>
      <c r="C6839" t="n">
        <v>2008</v>
      </c>
      <c r="D6839" t="n">
        <v>2008</v>
      </c>
      <c r="E6839" t="inlineStr">
        <is>
          <t>WALL·E</t>
        </is>
      </c>
      <c r="F6839" t="inlineStr">
        <is>
          <t>F0331</t>
        </is>
      </c>
    </row>
    <row r="6840">
      <c r="A6840" t="inlineStr">
        <is>
          <t>Rick Gonzalez</t>
        </is>
      </c>
      <c r="B6840" t="n">
        <v>1</v>
      </c>
      <c r="C6840" t="n">
        <v>2005</v>
      </c>
      <c r="D6840" t="n">
        <v>2005</v>
      </c>
      <c r="E6840" t="inlineStr">
        <is>
          <t>War of the Worlds</t>
        </is>
      </c>
      <c r="F6840" t="inlineStr">
        <is>
          <t>F0332</t>
        </is>
      </c>
    </row>
    <row r="6841">
      <c r="A6841" t="inlineStr">
        <is>
          <t>Lenny Venito</t>
        </is>
      </c>
      <c r="B6841" t="n">
        <v>1</v>
      </c>
      <c r="C6841" t="n">
        <v>2005</v>
      </c>
      <c r="D6841" t="n">
        <v>2005</v>
      </c>
      <c r="E6841" t="inlineStr">
        <is>
          <t>War of the Worlds</t>
        </is>
      </c>
      <c r="F6841" t="inlineStr">
        <is>
          <t>F0332</t>
        </is>
      </c>
    </row>
    <row r="6842">
      <c r="A6842" t="inlineStr">
        <is>
          <t>Lisa Ann Walter</t>
        </is>
      </c>
      <c r="B6842" t="n">
        <v>1</v>
      </c>
      <c r="C6842" t="n">
        <v>2005</v>
      </c>
      <c r="D6842" t="n">
        <v>2005</v>
      </c>
      <c r="E6842" t="inlineStr">
        <is>
          <t>War of the Worlds</t>
        </is>
      </c>
      <c r="F6842" t="inlineStr">
        <is>
          <t>F0332</t>
        </is>
      </c>
    </row>
    <row r="6843">
      <c r="A6843" t="inlineStr">
        <is>
          <t>Ann Robinson</t>
        </is>
      </c>
      <c r="B6843" t="n">
        <v>1</v>
      </c>
      <c r="C6843" t="n">
        <v>2005</v>
      </c>
      <c r="D6843" t="n">
        <v>2005</v>
      </c>
      <c r="E6843" t="inlineStr">
        <is>
          <t>War of the Worlds</t>
        </is>
      </c>
      <c r="F6843" t="inlineStr">
        <is>
          <t>F0332</t>
        </is>
      </c>
    </row>
    <row r="6844">
      <c r="A6844" t="inlineStr">
        <is>
          <t>Gene Barry</t>
        </is>
      </c>
      <c r="B6844" t="n">
        <v>1</v>
      </c>
      <c r="C6844" t="n">
        <v>2005</v>
      </c>
      <c r="D6844" t="n">
        <v>2005</v>
      </c>
      <c r="E6844" t="inlineStr">
        <is>
          <t>War of the Worlds</t>
        </is>
      </c>
      <c r="F6844" t="inlineStr">
        <is>
          <t>F0332</t>
        </is>
      </c>
    </row>
    <row r="6845">
      <c r="A6845" t="inlineStr">
        <is>
          <t>David Alan Basche</t>
        </is>
      </c>
      <c r="B6845" t="n">
        <v>1</v>
      </c>
      <c r="C6845" t="n">
        <v>2005</v>
      </c>
      <c r="D6845" t="n">
        <v>2005</v>
      </c>
      <c r="E6845" t="inlineStr">
        <is>
          <t>War of the Worlds</t>
        </is>
      </c>
      <c r="F6845" t="inlineStr">
        <is>
          <t>F0332</t>
        </is>
      </c>
    </row>
    <row r="6846">
      <c r="A6846" t="inlineStr">
        <is>
          <t>Roz Abrams</t>
        </is>
      </c>
      <c r="B6846" t="n">
        <v>1</v>
      </c>
      <c r="C6846" t="n">
        <v>2005</v>
      </c>
      <c r="D6846" t="n">
        <v>2005</v>
      </c>
      <c r="E6846" t="inlineStr">
        <is>
          <t>War of the Worlds</t>
        </is>
      </c>
      <c r="F6846" t="inlineStr">
        <is>
          <t>F0332</t>
        </is>
      </c>
    </row>
    <row r="6847">
      <c r="A6847" t="inlineStr">
        <is>
          <t>Michael Brownlee</t>
        </is>
      </c>
      <c r="B6847" t="n">
        <v>1</v>
      </c>
      <c r="C6847" t="n">
        <v>2005</v>
      </c>
      <c r="D6847" t="n">
        <v>2005</v>
      </c>
      <c r="E6847" t="inlineStr">
        <is>
          <t>War of the Worlds</t>
        </is>
      </c>
      <c r="F6847" t="inlineStr">
        <is>
          <t>F0332</t>
        </is>
      </c>
    </row>
    <row r="6848">
      <c r="A6848" t="inlineStr">
        <is>
          <t>Camillia Monet</t>
        </is>
      </c>
      <c r="B6848" t="n">
        <v>1</v>
      </c>
      <c r="C6848" t="n">
        <v>2005</v>
      </c>
      <c r="D6848" t="n">
        <v>2005</v>
      </c>
      <c r="E6848" t="inlineStr">
        <is>
          <t>War of the Worlds</t>
        </is>
      </c>
      <c r="F6848" t="inlineStr">
        <is>
          <t>F0332</t>
        </is>
      </c>
    </row>
    <row r="6849">
      <c r="A6849" t="inlineStr">
        <is>
          <t>Marlon Young</t>
        </is>
      </c>
      <c r="B6849" t="n">
        <v>1</v>
      </c>
      <c r="C6849" t="n">
        <v>2005</v>
      </c>
      <c r="D6849" t="n">
        <v>2005</v>
      </c>
      <c r="E6849" t="inlineStr">
        <is>
          <t>War of the Worlds</t>
        </is>
      </c>
      <c r="F6849" t="inlineStr">
        <is>
          <t>F0332</t>
        </is>
      </c>
    </row>
    <row r="6850">
      <c r="A6850" t="inlineStr">
        <is>
          <t>John Eddins</t>
        </is>
      </c>
      <c r="B6850" t="n">
        <v>1</v>
      </c>
      <c r="C6850" t="n">
        <v>2005</v>
      </c>
      <c r="D6850" t="n">
        <v>2005</v>
      </c>
      <c r="E6850" t="inlineStr">
        <is>
          <t>War of the Worlds</t>
        </is>
      </c>
      <c r="F6850" t="inlineStr">
        <is>
          <t>F0332</t>
        </is>
      </c>
    </row>
    <row r="6851">
      <c r="A6851" t="inlineStr">
        <is>
          <t>Peter Gerety</t>
        </is>
      </c>
      <c r="B6851" t="n">
        <v>1</v>
      </c>
      <c r="C6851" t="n">
        <v>2005</v>
      </c>
      <c r="D6851" t="n">
        <v>2005</v>
      </c>
      <c r="E6851" t="inlineStr">
        <is>
          <t>War of the Worlds</t>
        </is>
      </c>
      <c r="F6851" t="inlineStr">
        <is>
          <t>F0332</t>
        </is>
      </c>
    </row>
    <row r="6852">
      <c r="A6852" t="inlineStr">
        <is>
          <t>Miguel Antonio Ferrer</t>
        </is>
      </c>
      <c r="B6852" t="n">
        <v>1</v>
      </c>
      <c r="C6852" t="n">
        <v>2005</v>
      </c>
      <c r="D6852" t="n">
        <v>2005</v>
      </c>
      <c r="E6852" t="inlineStr">
        <is>
          <t>War of the Worlds</t>
        </is>
      </c>
      <c r="F6852" t="inlineStr">
        <is>
          <t>F0332</t>
        </is>
      </c>
    </row>
    <row r="6853">
      <c r="A6853" t="inlineStr">
        <is>
          <t>January LaVoy</t>
        </is>
      </c>
      <c r="B6853" t="n">
        <v>1</v>
      </c>
      <c r="C6853" t="n">
        <v>2005</v>
      </c>
      <c r="D6853" t="n">
        <v>2005</v>
      </c>
      <c r="E6853" t="inlineStr">
        <is>
          <t>War of the Worlds</t>
        </is>
      </c>
      <c r="F6853" t="inlineStr">
        <is>
          <t>F0332</t>
        </is>
      </c>
    </row>
    <row r="6854">
      <c r="A6854" t="inlineStr">
        <is>
          <t>Stephen Gevedon</t>
        </is>
      </c>
      <c r="B6854" t="n">
        <v>1</v>
      </c>
      <c r="C6854" t="n">
        <v>2005</v>
      </c>
      <c r="D6854" t="n">
        <v>2005</v>
      </c>
      <c r="E6854" t="inlineStr">
        <is>
          <t>War of the Worlds</t>
        </is>
      </c>
      <c r="F6854" t="inlineStr">
        <is>
          <t>F0332</t>
        </is>
      </c>
    </row>
    <row r="6855">
      <c r="A6855" t="inlineStr">
        <is>
          <t>Marianne Ebert</t>
        </is>
      </c>
      <c r="B6855" t="n">
        <v>1</v>
      </c>
      <c r="C6855" t="n">
        <v>2005</v>
      </c>
      <c r="D6855" t="n">
        <v>2005</v>
      </c>
      <c r="E6855" t="inlineStr">
        <is>
          <t>War of the Worlds</t>
        </is>
      </c>
      <c r="F6855" t="inlineStr">
        <is>
          <t>F0332</t>
        </is>
      </c>
    </row>
    <row r="6856">
      <c r="A6856" t="inlineStr">
        <is>
          <t>Rafael Sardina</t>
        </is>
      </c>
      <c r="B6856" t="n">
        <v>1</v>
      </c>
      <c r="C6856" t="n">
        <v>2005</v>
      </c>
      <c r="D6856" t="n">
        <v>2005</v>
      </c>
      <c r="E6856" t="inlineStr">
        <is>
          <t>War of the Worlds</t>
        </is>
      </c>
      <c r="F6856" t="inlineStr">
        <is>
          <t>F0332</t>
        </is>
      </c>
    </row>
    <row r="6857">
      <c r="A6857" t="inlineStr">
        <is>
          <t>Ed Vassallo</t>
        </is>
      </c>
      <c r="B6857" t="n">
        <v>1</v>
      </c>
      <c r="C6857" t="n">
        <v>2005</v>
      </c>
      <c r="D6857" t="n">
        <v>2005</v>
      </c>
      <c r="E6857" t="inlineStr">
        <is>
          <t>War of the Worlds</t>
        </is>
      </c>
      <c r="F6857" t="inlineStr">
        <is>
          <t>F0332</t>
        </is>
      </c>
    </row>
    <row r="6858">
      <c r="A6858" t="inlineStr">
        <is>
          <t>Michael Arthur</t>
        </is>
      </c>
      <c r="B6858" t="n">
        <v>1</v>
      </c>
      <c r="C6858" t="n">
        <v>2005</v>
      </c>
      <c r="D6858" t="n">
        <v>2005</v>
      </c>
      <c r="E6858" t="inlineStr">
        <is>
          <t>War of the Worlds</t>
        </is>
      </c>
      <c r="F6858" t="inlineStr">
        <is>
          <t>F0332</t>
        </is>
      </c>
    </row>
    <row r="6859">
      <c r="A6859" t="inlineStr">
        <is>
          <t>Danny Hoch</t>
        </is>
      </c>
      <c r="B6859" t="n">
        <v>1</v>
      </c>
      <c r="C6859" t="n">
        <v>2005</v>
      </c>
      <c r="D6859" t="n">
        <v>2005</v>
      </c>
      <c r="E6859" t="inlineStr">
        <is>
          <t>War of the Worlds</t>
        </is>
      </c>
      <c r="F6859" t="inlineStr">
        <is>
          <t>F0332</t>
        </is>
      </c>
    </row>
    <row r="6860">
      <c r="A6860" t="inlineStr">
        <is>
          <t>Sharrieff Pugh</t>
        </is>
      </c>
      <c r="B6860" t="n">
        <v>1</v>
      </c>
      <c r="C6860" t="n">
        <v>2005</v>
      </c>
      <c r="D6860" t="n">
        <v>2005</v>
      </c>
      <c r="E6860" t="inlineStr">
        <is>
          <t>War of the Worlds</t>
        </is>
      </c>
      <c r="F6860" t="inlineStr">
        <is>
          <t>F0332</t>
        </is>
      </c>
    </row>
    <row r="6861">
      <c r="A6861" t="inlineStr">
        <is>
          <t>Sam Sheridan</t>
        </is>
      </c>
      <c r="B6861" t="n">
        <v>1</v>
      </c>
      <c r="C6861" t="n">
        <v>2011</v>
      </c>
      <c r="D6861" t="n">
        <v>2011</v>
      </c>
      <c r="E6861" t="inlineStr">
        <is>
          <t>Warrior</t>
        </is>
      </c>
      <c r="F6861" t="inlineStr">
        <is>
          <t>F0333</t>
        </is>
      </c>
    </row>
    <row r="6862">
      <c r="A6862" t="inlineStr">
        <is>
          <t>Vanessa Martinez</t>
        </is>
      </c>
      <c r="B6862" t="n">
        <v>1</v>
      </c>
      <c r="C6862" t="n">
        <v>2011</v>
      </c>
      <c r="D6862" t="n">
        <v>2011</v>
      </c>
      <c r="E6862" t="inlineStr">
        <is>
          <t>Warrior</t>
        </is>
      </c>
      <c r="F6862" t="inlineStr">
        <is>
          <t>F0333</t>
        </is>
      </c>
    </row>
    <row r="6863">
      <c r="A6863" t="inlineStr">
        <is>
          <t>Denzel Whitaker</t>
        </is>
      </c>
      <c r="B6863" t="n">
        <v>1</v>
      </c>
      <c r="C6863" t="n">
        <v>2011</v>
      </c>
      <c r="D6863" t="n">
        <v>2011</v>
      </c>
      <c r="E6863" t="inlineStr">
        <is>
          <t>Warrior</t>
        </is>
      </c>
      <c r="F6863" t="inlineStr">
        <is>
          <t>F0333</t>
        </is>
      </c>
    </row>
    <row r="6864">
      <c r="A6864" t="inlineStr">
        <is>
          <t>Carlos Miranda</t>
        </is>
      </c>
      <c r="B6864" t="n">
        <v>1</v>
      </c>
      <c r="C6864" t="n">
        <v>2011</v>
      </c>
      <c r="D6864" t="n">
        <v>2011</v>
      </c>
      <c r="E6864" t="inlineStr">
        <is>
          <t>Warrior</t>
        </is>
      </c>
      <c r="F6864" t="inlineStr">
        <is>
          <t>F0333</t>
        </is>
      </c>
    </row>
    <row r="6865">
      <c r="A6865" t="inlineStr">
        <is>
          <t>Nick Lehane</t>
        </is>
      </c>
      <c r="B6865" t="n">
        <v>1</v>
      </c>
      <c r="C6865" t="n">
        <v>2011</v>
      </c>
      <c r="D6865" t="n">
        <v>2011</v>
      </c>
      <c r="E6865" t="inlineStr">
        <is>
          <t>Warrior</t>
        </is>
      </c>
      <c r="F6865" t="inlineStr">
        <is>
          <t>F0333</t>
        </is>
      </c>
    </row>
    <row r="6866">
      <c r="A6866" t="inlineStr">
        <is>
          <t>Laura Chinn</t>
        </is>
      </c>
      <c r="B6866" t="n">
        <v>1</v>
      </c>
      <c r="C6866" t="n">
        <v>2011</v>
      </c>
      <c r="D6866" t="n">
        <v>2011</v>
      </c>
      <c r="E6866" t="inlineStr">
        <is>
          <t>Warrior</t>
        </is>
      </c>
      <c r="F6866" t="inlineStr">
        <is>
          <t>F0333</t>
        </is>
      </c>
    </row>
    <row r="6867">
      <c r="A6867" t="inlineStr">
        <is>
          <t>Capri Thomas</t>
        </is>
      </c>
      <c r="B6867" t="n">
        <v>1</v>
      </c>
      <c r="C6867" t="n">
        <v>2011</v>
      </c>
      <c r="D6867" t="n">
        <v>2011</v>
      </c>
      <c r="E6867" t="inlineStr">
        <is>
          <t>Warrior</t>
        </is>
      </c>
      <c r="F6867" t="inlineStr">
        <is>
          <t>F0333</t>
        </is>
      </c>
    </row>
    <row r="6868">
      <c r="A6868" t="inlineStr">
        <is>
          <t>Lexi Cowan</t>
        </is>
      </c>
      <c r="B6868" t="n">
        <v>1</v>
      </c>
      <c r="C6868" t="n">
        <v>2011</v>
      </c>
      <c r="D6868" t="n">
        <v>2011</v>
      </c>
      <c r="E6868" t="inlineStr">
        <is>
          <t>Warrior</t>
        </is>
      </c>
      <c r="F6868" t="inlineStr">
        <is>
          <t>F0333</t>
        </is>
      </c>
    </row>
    <row r="6869">
      <c r="A6869" t="inlineStr">
        <is>
          <t>Dan Caldwell</t>
        </is>
      </c>
      <c r="B6869" t="n">
        <v>1</v>
      </c>
      <c r="C6869" t="n">
        <v>2011</v>
      </c>
      <c r="D6869" t="n">
        <v>2011</v>
      </c>
      <c r="E6869" t="inlineStr">
        <is>
          <t>Warrior</t>
        </is>
      </c>
      <c r="F6869" t="inlineStr">
        <is>
          <t>F0333</t>
        </is>
      </c>
    </row>
    <row r="6870">
      <c r="A6870" t="inlineStr">
        <is>
          <t>Timothy "Skyskrape" Katz</t>
        </is>
      </c>
      <c r="B6870" t="n">
        <v>1</v>
      </c>
      <c r="C6870" t="n">
        <v>2011</v>
      </c>
      <c r="D6870" t="n">
        <v>2011</v>
      </c>
      <c r="E6870" t="inlineStr">
        <is>
          <t>Warrior</t>
        </is>
      </c>
      <c r="F6870" t="inlineStr">
        <is>
          <t>F0333</t>
        </is>
      </c>
    </row>
    <row r="6871">
      <c r="A6871" t="inlineStr">
        <is>
          <t>Julia Stockstad</t>
        </is>
      </c>
      <c r="B6871" t="n">
        <v>1</v>
      </c>
      <c r="C6871" t="n">
        <v>2011</v>
      </c>
      <c r="D6871" t="n">
        <v>2011</v>
      </c>
      <c r="E6871" t="inlineStr">
        <is>
          <t>Warrior</t>
        </is>
      </c>
      <c r="F6871" t="inlineStr">
        <is>
          <t>F0333</t>
        </is>
      </c>
    </row>
    <row r="6872">
      <c r="A6872" t="inlineStr">
        <is>
          <t>Josh Rosenthal</t>
        </is>
      </c>
      <c r="B6872" t="n">
        <v>1</v>
      </c>
      <c r="C6872" t="n">
        <v>2011</v>
      </c>
      <c r="D6872" t="n">
        <v>2011</v>
      </c>
      <c r="E6872" t="inlineStr">
        <is>
          <t>Warrior</t>
        </is>
      </c>
      <c r="F6872" t="inlineStr">
        <is>
          <t>F0333</t>
        </is>
      </c>
    </row>
    <row r="6873">
      <c r="A6873" t="inlineStr">
        <is>
          <t>Kurt Angle</t>
        </is>
      </c>
      <c r="B6873" t="n">
        <v>1</v>
      </c>
      <c r="C6873" t="n">
        <v>2011</v>
      </c>
      <c r="D6873" t="n">
        <v>2011</v>
      </c>
      <c r="E6873" t="inlineStr">
        <is>
          <t>Warrior</t>
        </is>
      </c>
      <c r="F6873" t="inlineStr">
        <is>
          <t>F0333</t>
        </is>
      </c>
    </row>
    <row r="6874">
      <c r="A6874" t="inlineStr">
        <is>
          <t>Erik Apple</t>
        </is>
      </c>
      <c r="B6874" t="n">
        <v>1</v>
      </c>
      <c r="C6874" t="n">
        <v>2011</v>
      </c>
      <c r="D6874" t="n">
        <v>2011</v>
      </c>
      <c r="E6874" t="inlineStr">
        <is>
          <t>Warrior</t>
        </is>
      </c>
      <c r="F6874" t="inlineStr">
        <is>
          <t>F0333</t>
        </is>
      </c>
    </row>
    <row r="6875">
      <c r="A6875" t="inlineStr">
        <is>
          <t>Anthony Johnson</t>
        </is>
      </c>
      <c r="B6875" t="n">
        <v>1</v>
      </c>
      <c r="C6875" t="n">
        <v>2011</v>
      </c>
      <c r="D6875" t="n">
        <v>2011</v>
      </c>
      <c r="E6875" t="inlineStr">
        <is>
          <t>Warrior</t>
        </is>
      </c>
      <c r="F6875" t="inlineStr">
        <is>
          <t>F0333</t>
        </is>
      </c>
    </row>
    <row r="6876">
      <c r="A6876" t="inlineStr">
        <is>
          <t>Nate Marquardt</t>
        </is>
      </c>
      <c r="B6876" t="n">
        <v>1</v>
      </c>
      <c r="C6876" t="n">
        <v>2011</v>
      </c>
      <c r="D6876" t="n">
        <v>2011</v>
      </c>
      <c r="E6876" t="inlineStr">
        <is>
          <t>Warrior</t>
        </is>
      </c>
      <c r="F6876" t="inlineStr">
        <is>
          <t>F0333</t>
        </is>
      </c>
    </row>
    <row r="6877">
      <c r="A6877" t="inlineStr">
        <is>
          <t>Roan Carneiro</t>
        </is>
      </c>
      <c r="B6877" t="n">
        <v>1</v>
      </c>
      <c r="C6877" t="n">
        <v>2011</v>
      </c>
      <c r="D6877" t="n">
        <v>2011</v>
      </c>
      <c r="E6877" t="inlineStr">
        <is>
          <t>Warrior</t>
        </is>
      </c>
      <c r="F6877" t="inlineStr">
        <is>
          <t>F0333</t>
        </is>
      </c>
    </row>
    <row r="6878">
      <c r="A6878" t="inlineStr">
        <is>
          <t>Daniel Stevens</t>
        </is>
      </c>
      <c r="B6878" t="n">
        <v>1</v>
      </c>
      <c r="C6878" t="n">
        <v>2011</v>
      </c>
      <c r="D6878" t="n">
        <v>2011</v>
      </c>
      <c r="E6878" t="inlineStr">
        <is>
          <t>Warrior</t>
        </is>
      </c>
      <c r="F6878" t="inlineStr">
        <is>
          <t>F0333</t>
        </is>
      </c>
    </row>
    <row r="6879">
      <c r="A6879" t="inlineStr">
        <is>
          <t>Anthony N.</t>
        </is>
      </c>
      <c r="B6879" t="n">
        <v>1</v>
      </c>
      <c r="C6879" t="n">
        <v>2011</v>
      </c>
      <c r="D6879" t="n">
        <v>2011</v>
      </c>
      <c r="E6879" t="inlineStr">
        <is>
          <t>Warrior</t>
        </is>
      </c>
      <c r="F6879" t="inlineStr">
        <is>
          <t>F0333</t>
        </is>
      </c>
    </row>
    <row r="6880">
      <c r="A6880" t="inlineStr">
        <is>
          <t>Deborah Van Valkenburgh</t>
        </is>
      </c>
      <c r="B6880" t="n">
        <v>1</v>
      </c>
      <c r="C6880" t="n">
        <v>1979</v>
      </c>
      <c r="D6880" t="n">
        <v>1979</v>
      </c>
      <c r="E6880" t="inlineStr">
        <is>
          <t>The Warriors</t>
        </is>
      </c>
      <c r="F6880" t="inlineStr">
        <is>
          <t>F0334</t>
        </is>
      </c>
    </row>
    <row r="6881">
      <c r="A6881" t="inlineStr">
        <is>
          <t>Brian Tyler</t>
        </is>
      </c>
      <c r="B6881" t="n">
        <v>1</v>
      </c>
      <c r="C6881" t="n">
        <v>1979</v>
      </c>
      <c r="D6881" t="n">
        <v>1979</v>
      </c>
      <c r="E6881" t="inlineStr">
        <is>
          <t>The Warriors</t>
        </is>
      </c>
      <c r="F6881" t="inlineStr">
        <is>
          <t>F0334</t>
        </is>
      </c>
    </row>
    <row r="6882">
      <c r="A6882" t="inlineStr">
        <is>
          <t>Tom McKitterick</t>
        </is>
      </c>
      <c r="B6882" t="n">
        <v>1</v>
      </c>
      <c r="C6882" t="n">
        <v>1979</v>
      </c>
      <c r="D6882" t="n">
        <v>1979</v>
      </c>
      <c r="E6882" t="inlineStr">
        <is>
          <t>The Warriors</t>
        </is>
      </c>
      <c r="F6882" t="inlineStr">
        <is>
          <t>F0334</t>
        </is>
      </c>
    </row>
    <row r="6883">
      <c r="A6883" t="inlineStr">
        <is>
          <t>Marcelino Sánchez</t>
        </is>
      </c>
      <c r="B6883" t="n">
        <v>1</v>
      </c>
      <c r="C6883" t="n">
        <v>1979</v>
      </c>
      <c r="D6883" t="n">
        <v>1979</v>
      </c>
      <c r="E6883" t="inlineStr">
        <is>
          <t>The Warriors</t>
        </is>
      </c>
      <c r="F6883" t="inlineStr">
        <is>
          <t>F0334</t>
        </is>
      </c>
    </row>
    <row r="6884">
      <c r="A6884" t="inlineStr">
        <is>
          <t>Roger Hill</t>
        </is>
      </c>
      <c r="B6884" t="n">
        <v>1</v>
      </c>
      <c r="C6884" t="n">
        <v>1979</v>
      </c>
      <c r="D6884" t="n">
        <v>1979</v>
      </c>
      <c r="E6884" t="inlineStr">
        <is>
          <t>The Warriors</t>
        </is>
      </c>
      <c r="F6884" t="inlineStr">
        <is>
          <t>F0334</t>
        </is>
      </c>
    </row>
    <row r="6885">
      <c r="A6885" t="inlineStr">
        <is>
          <t>Steve James</t>
        </is>
      </c>
      <c r="B6885" t="n">
        <v>1</v>
      </c>
      <c r="C6885" t="n">
        <v>1979</v>
      </c>
      <c r="D6885" t="n">
        <v>1979</v>
      </c>
      <c r="E6885" t="inlineStr">
        <is>
          <t>The Warriors</t>
        </is>
      </c>
      <c r="F6885" t="inlineStr">
        <is>
          <t>F0334</t>
        </is>
      </c>
    </row>
    <row r="6886">
      <c r="A6886" t="inlineStr">
        <is>
          <t>Terry Michos</t>
        </is>
      </c>
      <c r="B6886" t="n">
        <v>1</v>
      </c>
      <c r="C6886" t="n">
        <v>1979</v>
      </c>
      <c r="D6886" t="n">
        <v>1979</v>
      </c>
      <c r="E6886" t="inlineStr">
        <is>
          <t>The Warriors</t>
        </is>
      </c>
      <c r="F6886" t="inlineStr">
        <is>
          <t>F0334</t>
        </is>
      </c>
    </row>
    <row r="6887">
      <c r="A6887" t="inlineStr">
        <is>
          <t>Lynne Thigpen</t>
        </is>
      </c>
      <c r="B6887" t="n">
        <v>1</v>
      </c>
      <c r="C6887" t="n">
        <v>1979</v>
      </c>
      <c r="D6887" t="n">
        <v>1979</v>
      </c>
      <c r="E6887" t="inlineStr">
        <is>
          <t>The Warriors</t>
        </is>
      </c>
      <c r="F6887" t="inlineStr">
        <is>
          <t>F0334</t>
        </is>
      </c>
    </row>
    <row r="6888">
      <c r="A6888" t="inlineStr">
        <is>
          <t>Mercedes Ruehl</t>
        </is>
      </c>
      <c r="B6888" t="n">
        <v>1</v>
      </c>
      <c r="C6888" t="n">
        <v>1979</v>
      </c>
      <c r="D6888" t="n">
        <v>1979</v>
      </c>
      <c r="E6888" t="inlineStr">
        <is>
          <t>The Warriors</t>
        </is>
      </c>
      <c r="F6888" t="inlineStr">
        <is>
          <t>F0334</t>
        </is>
      </c>
    </row>
    <row r="6889">
      <c r="A6889" t="inlineStr">
        <is>
          <t>John Snyder</t>
        </is>
      </c>
      <c r="B6889" t="n">
        <v>1</v>
      </c>
      <c r="C6889" t="n">
        <v>1979</v>
      </c>
      <c r="D6889" t="n">
        <v>1979</v>
      </c>
      <c r="E6889" t="inlineStr">
        <is>
          <t>The Warriors</t>
        </is>
      </c>
      <c r="F6889" t="inlineStr">
        <is>
          <t>F0334</t>
        </is>
      </c>
    </row>
    <row r="6890">
      <c r="A6890" t="inlineStr">
        <is>
          <t>Irwin Keyes</t>
        </is>
      </c>
      <c r="B6890" t="n">
        <v>1</v>
      </c>
      <c r="C6890" t="n">
        <v>1979</v>
      </c>
      <c r="D6890" t="n">
        <v>1979</v>
      </c>
      <c r="E6890" t="inlineStr">
        <is>
          <t>The Warriors</t>
        </is>
      </c>
      <c r="F6890" t="inlineStr">
        <is>
          <t>F0334</t>
        </is>
      </c>
    </row>
    <row r="6891">
      <c r="A6891" t="inlineStr">
        <is>
          <t>Antone Pagán</t>
        </is>
      </c>
      <c r="B6891" t="n">
        <v>1</v>
      </c>
      <c r="C6891" t="n">
        <v>1979</v>
      </c>
      <c r="D6891" t="n">
        <v>1979</v>
      </c>
      <c r="E6891" t="inlineStr">
        <is>
          <t>The Warriors</t>
        </is>
      </c>
      <c r="F6891" t="inlineStr">
        <is>
          <t>F0334</t>
        </is>
      </c>
    </row>
    <row r="6892">
      <c r="A6892" t="inlineStr">
        <is>
          <t>Sonny Landham</t>
        </is>
      </c>
      <c r="B6892" t="n">
        <v>1</v>
      </c>
      <c r="C6892" t="n">
        <v>1979</v>
      </c>
      <c r="D6892" t="n">
        <v>1979</v>
      </c>
      <c r="E6892" t="inlineStr">
        <is>
          <t>The Warriors</t>
        </is>
      </c>
      <c r="F6892" t="inlineStr">
        <is>
          <t>F0334</t>
        </is>
      </c>
    </row>
    <row r="6893">
      <c r="A6893" t="inlineStr">
        <is>
          <t>Thomas G. Waites</t>
        </is>
      </c>
      <c r="B6893" t="n">
        <v>1</v>
      </c>
      <c r="C6893" t="n">
        <v>1979</v>
      </c>
      <c r="D6893" t="n">
        <v>1979</v>
      </c>
      <c r="E6893" t="inlineStr">
        <is>
          <t>The Warriors</t>
        </is>
      </c>
      <c r="F6893" t="inlineStr">
        <is>
          <t>F0334</t>
        </is>
      </c>
    </row>
    <row r="6894">
      <c r="A6894" t="inlineStr">
        <is>
          <t>Johnny Barnes</t>
        </is>
      </c>
      <c r="B6894" t="n">
        <v>1</v>
      </c>
      <c r="C6894" t="n">
        <v>1979</v>
      </c>
      <c r="D6894" t="n">
        <v>1979</v>
      </c>
      <c r="E6894" t="inlineStr">
        <is>
          <t>The Warriors</t>
        </is>
      </c>
      <c r="F6894" t="inlineStr">
        <is>
          <t>F0334</t>
        </is>
      </c>
    </row>
    <row r="6895">
      <c r="A6895" t="inlineStr">
        <is>
          <t>George Lee Miles</t>
        </is>
      </c>
      <c r="B6895" t="n">
        <v>1</v>
      </c>
      <c r="C6895" t="n">
        <v>1979</v>
      </c>
      <c r="D6895" t="n">
        <v>1979</v>
      </c>
      <c r="E6895" t="inlineStr">
        <is>
          <t>The Warriors</t>
        </is>
      </c>
      <c r="F6895" t="inlineStr">
        <is>
          <t>F0334</t>
        </is>
      </c>
    </row>
    <row r="6896">
      <c r="A6896" t="inlineStr">
        <is>
          <t>Paul Greco</t>
        </is>
      </c>
      <c r="B6896" t="n">
        <v>1</v>
      </c>
      <c r="C6896" t="n">
        <v>1979</v>
      </c>
      <c r="D6896" t="n">
        <v>1979</v>
      </c>
      <c r="E6896" t="inlineStr">
        <is>
          <t>The Warriors</t>
        </is>
      </c>
      <c r="F6896" t="inlineStr">
        <is>
          <t>F0334</t>
        </is>
      </c>
    </row>
    <row r="6897">
      <c r="A6897" t="inlineStr">
        <is>
          <t>Iris Klein</t>
        </is>
      </c>
      <c r="B6897" t="n">
        <v>1</v>
      </c>
      <c r="C6897" t="n">
        <v>1979</v>
      </c>
      <c r="D6897" t="n">
        <v>1979</v>
      </c>
      <c r="E6897" t="inlineStr">
        <is>
          <t>The Warriors</t>
        </is>
      </c>
      <c r="F6897" t="inlineStr">
        <is>
          <t>F0334</t>
        </is>
      </c>
    </row>
    <row r="6898">
      <c r="A6898" t="inlineStr">
        <is>
          <t>Tony Clark</t>
        </is>
      </c>
      <c r="B6898" t="n">
        <v>1</v>
      </c>
      <c r="C6898" t="n">
        <v>1979</v>
      </c>
      <c r="D6898" t="n">
        <v>1979</v>
      </c>
      <c r="E6898" t="inlineStr">
        <is>
          <t>The Warriors</t>
        </is>
      </c>
      <c r="F6898" t="inlineStr">
        <is>
          <t>F0334</t>
        </is>
      </c>
    </row>
    <row r="6899">
      <c r="A6899" t="inlineStr">
        <is>
          <t>Robert Townsend</t>
        </is>
      </c>
      <c r="B6899" t="n">
        <v>1</v>
      </c>
      <c r="C6899" t="n">
        <v>1979</v>
      </c>
      <c r="D6899" t="n">
        <v>1979</v>
      </c>
      <c r="E6899" t="inlineStr">
        <is>
          <t>The Warriors</t>
        </is>
      </c>
      <c r="F6899" t="inlineStr">
        <is>
          <t>F0334</t>
        </is>
      </c>
    </row>
    <row r="6900">
      <c r="A6900" t="inlineStr">
        <is>
          <t>Ginny Ortiz</t>
        </is>
      </c>
      <c r="B6900" t="n">
        <v>1</v>
      </c>
      <c r="C6900" t="n">
        <v>1979</v>
      </c>
      <c r="D6900" t="n">
        <v>1979</v>
      </c>
      <c r="E6900" t="inlineStr">
        <is>
          <t>The Warriors</t>
        </is>
      </c>
      <c r="F6900" t="inlineStr">
        <is>
          <t>F0334</t>
        </is>
      </c>
    </row>
    <row r="6901">
      <c r="A6901" t="inlineStr">
        <is>
          <t>Edward Sewer</t>
        </is>
      </c>
      <c r="B6901" t="n">
        <v>1</v>
      </c>
      <c r="C6901" t="n">
        <v>1979</v>
      </c>
      <c r="D6901" t="n">
        <v>1979</v>
      </c>
      <c r="E6901" t="inlineStr">
        <is>
          <t>The Warriors</t>
        </is>
      </c>
      <c r="F6901" t="inlineStr">
        <is>
          <t>F0334</t>
        </is>
      </c>
    </row>
    <row r="6902">
      <c r="A6902" t="inlineStr">
        <is>
          <t>Joel Weiss</t>
        </is>
      </c>
      <c r="B6902" t="n">
        <v>1</v>
      </c>
      <c r="C6902" t="n">
        <v>1979</v>
      </c>
      <c r="D6902" t="n">
        <v>1979</v>
      </c>
      <c r="E6902" t="inlineStr">
        <is>
          <t>The Warriors</t>
        </is>
      </c>
      <c r="F6902" t="inlineStr">
        <is>
          <t>F0334</t>
        </is>
      </c>
    </row>
    <row r="6903">
      <c r="A6903" t="inlineStr">
        <is>
          <t>J.W. Smith</t>
        </is>
      </c>
      <c r="B6903" t="n">
        <v>1</v>
      </c>
      <c r="C6903" t="n">
        <v>1979</v>
      </c>
      <c r="D6903" t="n">
        <v>1979</v>
      </c>
      <c r="E6903" t="inlineStr">
        <is>
          <t>The Warriors</t>
        </is>
      </c>
      <c r="F6903" t="inlineStr">
        <is>
          <t>F0334</t>
        </is>
      </c>
    </row>
    <row r="6904">
      <c r="A6904" t="inlineStr">
        <is>
          <t>Doran Clark</t>
        </is>
      </c>
      <c r="B6904" t="n">
        <v>1</v>
      </c>
      <c r="C6904" t="n">
        <v>1979</v>
      </c>
      <c r="D6904" t="n">
        <v>1979</v>
      </c>
      <c r="E6904" t="inlineStr">
        <is>
          <t>The Warriors</t>
        </is>
      </c>
      <c r="F6904" t="inlineStr">
        <is>
          <t>F0334</t>
        </is>
      </c>
    </row>
    <row r="6905">
      <c r="A6905" t="inlineStr">
        <is>
          <t>Nicolas Wright</t>
        </is>
      </c>
      <c r="B6905" t="n">
        <v>1</v>
      </c>
      <c r="C6905" t="n">
        <v>2013</v>
      </c>
      <c r="D6905" t="n">
        <v>2013</v>
      </c>
      <c r="E6905" t="inlineStr">
        <is>
          <t>White House Down</t>
        </is>
      </c>
      <c r="F6905" t="inlineStr">
        <is>
          <t>F0335</t>
        </is>
      </c>
    </row>
    <row r="6906">
      <c r="A6906" t="inlineStr">
        <is>
          <t>Jimmi Simpson</t>
        </is>
      </c>
      <c r="B6906" t="n">
        <v>1</v>
      </c>
      <c r="C6906" t="n">
        <v>2013</v>
      </c>
      <c r="D6906" t="n">
        <v>2013</v>
      </c>
      <c r="E6906" t="inlineStr">
        <is>
          <t>White House Down</t>
        </is>
      </c>
      <c r="F6906" t="inlineStr">
        <is>
          <t>F0335</t>
        </is>
      </c>
    </row>
    <row r="6907">
      <c r="A6907" t="inlineStr">
        <is>
          <t>Michael Murphy</t>
        </is>
      </c>
      <c r="B6907" t="n">
        <v>2</v>
      </c>
      <c r="C6907" t="n">
        <v>2006</v>
      </c>
      <c r="D6907" t="n">
        <v>2013</v>
      </c>
      <c r="E6907" t="inlineStr">
        <is>
          <t>White House Down, X-Men: The Last Stand</t>
        </is>
      </c>
      <c r="F6907" t="inlineStr">
        <is>
          <t>F0335, F0346</t>
        </is>
      </c>
    </row>
    <row r="6908">
      <c r="A6908" t="inlineStr">
        <is>
          <t>Rachelle Lefevre</t>
        </is>
      </c>
      <c r="B6908" t="n">
        <v>1</v>
      </c>
      <c r="C6908" t="n">
        <v>2013</v>
      </c>
      <c r="D6908" t="n">
        <v>2013</v>
      </c>
      <c r="E6908" t="inlineStr">
        <is>
          <t>White House Down</t>
        </is>
      </c>
      <c r="F6908" t="inlineStr">
        <is>
          <t>F0335</t>
        </is>
      </c>
    </row>
    <row r="6909">
      <c r="A6909" t="inlineStr">
        <is>
          <t>Matt Craven</t>
        </is>
      </c>
      <c r="B6909" t="n">
        <v>2</v>
      </c>
      <c r="C6909" t="n">
        <v>2011</v>
      </c>
      <c r="D6909" t="n">
        <v>2013</v>
      </c>
      <c r="E6909" t="inlineStr">
        <is>
          <t>White House Down, X-Men: First Class</t>
        </is>
      </c>
      <c r="F6909" t="inlineStr">
        <is>
          <t>F0335, F0340</t>
        </is>
      </c>
    </row>
    <row r="6910">
      <c r="A6910" t="inlineStr">
        <is>
          <t>Jake Weber</t>
        </is>
      </c>
      <c r="B6910" t="n">
        <v>1</v>
      </c>
      <c r="C6910" t="n">
        <v>2013</v>
      </c>
      <c r="D6910" t="n">
        <v>2013</v>
      </c>
      <c r="E6910" t="inlineStr">
        <is>
          <t>White House Down</t>
        </is>
      </c>
      <c r="F6910" t="inlineStr">
        <is>
          <t>F0335</t>
        </is>
      </c>
    </row>
    <row r="6911">
      <c r="A6911" t="inlineStr">
        <is>
          <t>Peter Jacobson</t>
        </is>
      </c>
      <c r="B6911" t="n">
        <v>1</v>
      </c>
      <c r="C6911" t="n">
        <v>2013</v>
      </c>
      <c r="D6911" t="n">
        <v>2013</v>
      </c>
      <c r="E6911" t="inlineStr">
        <is>
          <t>White House Down</t>
        </is>
      </c>
      <c r="F6911" t="inlineStr">
        <is>
          <t>F0335</t>
        </is>
      </c>
    </row>
    <row r="6912">
      <c r="A6912" t="inlineStr">
        <is>
          <t>Barbara Williams</t>
        </is>
      </c>
      <c r="B6912" t="n">
        <v>1</v>
      </c>
      <c r="C6912" t="n">
        <v>2013</v>
      </c>
      <c r="D6912" t="n">
        <v>2013</v>
      </c>
      <c r="E6912" t="inlineStr">
        <is>
          <t>White House Down</t>
        </is>
      </c>
      <c r="F6912" t="inlineStr">
        <is>
          <t>F0335</t>
        </is>
      </c>
    </row>
    <row r="6913">
      <c r="A6913" t="inlineStr">
        <is>
          <t>Garcelle Beauvais</t>
        </is>
      </c>
      <c r="B6913" t="n">
        <v>1</v>
      </c>
      <c r="C6913" t="n">
        <v>2013</v>
      </c>
      <c r="D6913" t="n">
        <v>2013</v>
      </c>
      <c r="E6913" t="inlineStr">
        <is>
          <t>White House Down</t>
        </is>
      </c>
      <c r="F6913" t="inlineStr">
        <is>
          <t>F0335</t>
        </is>
      </c>
    </row>
    <row r="6914">
      <c r="A6914" t="inlineStr">
        <is>
          <t>Falk Hentschel</t>
        </is>
      </c>
      <c r="B6914" t="n">
        <v>1</v>
      </c>
      <c r="C6914" t="n">
        <v>2013</v>
      </c>
      <c r="D6914" t="n">
        <v>2013</v>
      </c>
      <c r="E6914" t="inlineStr">
        <is>
          <t>White House Down</t>
        </is>
      </c>
      <c r="F6914" t="inlineStr">
        <is>
          <t>F0335</t>
        </is>
      </c>
    </row>
    <row r="6915">
      <c r="A6915" t="inlineStr">
        <is>
          <t>Romano Orzari</t>
        </is>
      </c>
      <c r="B6915" t="n">
        <v>1</v>
      </c>
      <c r="C6915" t="n">
        <v>2013</v>
      </c>
      <c r="D6915" t="n">
        <v>2013</v>
      </c>
      <c r="E6915" t="inlineStr">
        <is>
          <t>White House Down</t>
        </is>
      </c>
      <c r="F6915" t="inlineStr">
        <is>
          <t>F0335</t>
        </is>
      </c>
    </row>
    <row r="6916">
      <c r="A6916" t="inlineStr">
        <is>
          <t>Jackie Geary</t>
        </is>
      </c>
      <c r="B6916" t="n">
        <v>1</v>
      </c>
      <c r="C6916" t="n">
        <v>2013</v>
      </c>
      <c r="D6916" t="n">
        <v>2013</v>
      </c>
      <c r="E6916" t="inlineStr">
        <is>
          <t>White House Down</t>
        </is>
      </c>
      <c r="F6916" t="inlineStr">
        <is>
          <t>F0335</t>
        </is>
      </c>
    </row>
    <row r="6917">
      <c r="A6917" t="inlineStr">
        <is>
          <t>Andrew Simms</t>
        </is>
      </c>
      <c r="B6917" t="n">
        <v>1</v>
      </c>
      <c r="C6917" t="n">
        <v>2013</v>
      </c>
      <c r="D6917" t="n">
        <v>2013</v>
      </c>
      <c r="E6917" t="inlineStr">
        <is>
          <t>White House Down</t>
        </is>
      </c>
      <c r="F6917" t="inlineStr">
        <is>
          <t>F0335</t>
        </is>
      </c>
    </row>
    <row r="6918">
      <c r="A6918" t="inlineStr">
        <is>
          <t>Cat Lemieux</t>
        </is>
      </c>
      <c r="B6918" t="n">
        <v>1</v>
      </c>
      <c r="C6918" t="n">
        <v>2013</v>
      </c>
      <c r="D6918" t="n">
        <v>2013</v>
      </c>
      <c r="E6918" t="inlineStr">
        <is>
          <t>White House Down</t>
        </is>
      </c>
      <c r="F6918" t="inlineStr">
        <is>
          <t>F0335</t>
        </is>
      </c>
    </row>
    <row r="6919">
      <c r="A6919" t="inlineStr">
        <is>
          <t>Vincent Leclerc</t>
        </is>
      </c>
      <c r="B6919" t="n">
        <v>1</v>
      </c>
      <c r="C6919" t="n">
        <v>2013</v>
      </c>
      <c r="D6919" t="n">
        <v>2013</v>
      </c>
      <c r="E6919" t="inlineStr">
        <is>
          <t>White House Down</t>
        </is>
      </c>
      <c r="F6919" t="inlineStr">
        <is>
          <t>F0335</t>
        </is>
      </c>
    </row>
    <row r="6920">
      <c r="A6920" t="inlineStr">
        <is>
          <t>Victor Cornfoot</t>
        </is>
      </c>
      <c r="B6920" t="n">
        <v>1</v>
      </c>
      <c r="C6920" t="n">
        <v>2013</v>
      </c>
      <c r="D6920" t="n">
        <v>2013</v>
      </c>
      <c r="E6920" t="inlineStr">
        <is>
          <t>White House Down</t>
        </is>
      </c>
      <c r="F6920" t="inlineStr">
        <is>
          <t>F0335</t>
        </is>
      </c>
    </row>
    <row r="6921">
      <c r="A6921" t="inlineStr">
        <is>
          <t>Anatoly Zinoviev</t>
        </is>
      </c>
      <c r="B6921" t="n">
        <v>1</v>
      </c>
      <c r="C6921" t="n">
        <v>2013</v>
      </c>
      <c r="D6921" t="n">
        <v>2013</v>
      </c>
      <c r="E6921" t="inlineStr">
        <is>
          <t>White House Down</t>
        </is>
      </c>
      <c r="F6921" t="inlineStr">
        <is>
          <t>F0335</t>
        </is>
      </c>
    </row>
    <row r="6922">
      <c r="A6922" t="inlineStr">
        <is>
          <t>Lee Villeneuve</t>
        </is>
      </c>
      <c r="B6922" t="n">
        <v>2</v>
      </c>
      <c r="C6922" t="n">
        <v>2013</v>
      </c>
      <c r="D6922" t="n">
        <v>2014</v>
      </c>
      <c r="E6922" t="inlineStr">
        <is>
          <t>White House Down, X-Men: Days of Future Past</t>
        </is>
      </c>
      <c r="F6922" t="inlineStr">
        <is>
          <t>F0335, F0341</t>
        </is>
      </c>
    </row>
    <row r="6923">
      <c r="A6923" t="inlineStr">
        <is>
          <t>Anthony Lemke</t>
        </is>
      </c>
      <c r="B6923" t="n">
        <v>1</v>
      </c>
      <c r="C6923" t="n">
        <v>2013</v>
      </c>
      <c r="D6923" t="n">
        <v>2013</v>
      </c>
      <c r="E6923" t="inlineStr">
        <is>
          <t>White House Down</t>
        </is>
      </c>
      <c r="F6923" t="inlineStr">
        <is>
          <t>F0335</t>
        </is>
      </c>
    </row>
    <row r="6924">
      <c r="A6924" t="inlineStr">
        <is>
          <t>Rich Moore</t>
        </is>
      </c>
      <c r="B6924" t="n">
        <v>1</v>
      </c>
      <c r="C6924" t="n">
        <v>2012</v>
      </c>
      <c r="D6924" t="n">
        <v>2012</v>
      </c>
      <c r="E6924" t="inlineStr">
        <is>
          <t>Wreck-It Ralph</t>
        </is>
      </c>
      <c r="F6924" t="inlineStr">
        <is>
          <t>F0336</t>
        </is>
      </c>
    </row>
    <row r="6925">
      <c r="A6925" t="inlineStr">
        <is>
          <t>Raymond S. Persi</t>
        </is>
      </c>
      <c r="B6925" t="n">
        <v>1</v>
      </c>
      <c r="C6925" t="n">
        <v>2012</v>
      </c>
      <c r="D6925" t="n">
        <v>2012</v>
      </c>
      <c r="E6925" t="inlineStr">
        <is>
          <t>Wreck-It Ralph</t>
        </is>
      </c>
      <c r="F6925" t="inlineStr">
        <is>
          <t>F0336</t>
        </is>
      </c>
    </row>
    <row r="6926">
      <c r="A6926" t="inlineStr">
        <is>
          <t>Jamie Elman</t>
        </is>
      </c>
      <c r="B6926" t="n">
        <v>2</v>
      </c>
      <c r="C6926" t="n">
        <v>2012</v>
      </c>
      <c r="D6926" t="n">
        <v>2018</v>
      </c>
      <c r="E6926" t="inlineStr">
        <is>
          <t>Wreck-It Ralph, Ralph Breaks the Internet</t>
        </is>
      </c>
      <c r="F6926" t="inlineStr">
        <is>
          <t>F0336, F0337</t>
        </is>
      </c>
    </row>
    <row r="6927">
      <c r="A6927" t="inlineStr">
        <is>
          <t>Adam Carolla</t>
        </is>
      </c>
      <c r="B6927" t="n">
        <v>1</v>
      </c>
      <c r="C6927" t="n">
        <v>2012</v>
      </c>
      <c r="D6927" t="n">
        <v>2012</v>
      </c>
      <c r="E6927" t="inlineStr">
        <is>
          <t>Wreck-It Ralph</t>
        </is>
      </c>
      <c r="F6927" t="inlineStr">
        <is>
          <t>F0336</t>
        </is>
      </c>
    </row>
    <row r="6928">
      <c r="A6928" t="inlineStr">
        <is>
          <t>Kevin Deters</t>
        </is>
      </c>
      <c r="B6928" t="n">
        <v>1</v>
      </c>
      <c r="C6928" t="n">
        <v>2012</v>
      </c>
      <c r="D6928" t="n">
        <v>2012</v>
      </c>
      <c r="E6928" t="inlineStr">
        <is>
          <t>Wreck-It Ralph</t>
        </is>
      </c>
      <c r="F6928" t="inlineStr">
        <is>
          <t>F0336</t>
        </is>
      </c>
    </row>
    <row r="6929">
      <c r="A6929" t="inlineStr">
        <is>
          <t>Phil Johnston</t>
        </is>
      </c>
      <c r="B6929" t="n">
        <v>2</v>
      </c>
      <c r="C6929" t="n">
        <v>2012</v>
      </c>
      <c r="D6929" t="n">
        <v>2018</v>
      </c>
      <c r="E6929" t="inlineStr">
        <is>
          <t>Wreck-It Ralph, Ralph Breaks the Internet</t>
        </is>
      </c>
      <c r="F6929" t="inlineStr">
        <is>
          <t>F0336, F0337</t>
        </is>
      </c>
    </row>
    <row r="6930">
      <c r="A6930" t="inlineStr">
        <is>
          <t>Roger Craig Smith</t>
        </is>
      </c>
      <c r="B6930" t="n">
        <v>1</v>
      </c>
      <c r="C6930" t="n">
        <v>2012</v>
      </c>
      <c r="D6930" t="n">
        <v>2012</v>
      </c>
      <c r="E6930" t="inlineStr">
        <is>
          <t>Wreck-It Ralph</t>
        </is>
      </c>
      <c r="F6930" t="inlineStr">
        <is>
          <t>F0336</t>
        </is>
      </c>
    </row>
    <row r="6931">
      <c r="A6931" t="inlineStr">
        <is>
          <t>Dennis Haysbert</t>
        </is>
      </c>
      <c r="B6931" t="n">
        <v>1</v>
      </c>
      <c r="C6931" t="n">
        <v>2012</v>
      </c>
      <c r="D6931" t="n">
        <v>2012</v>
      </c>
      <c r="E6931" t="inlineStr">
        <is>
          <t>Wreck-It Ralph</t>
        </is>
      </c>
      <c r="F6931" t="inlineStr">
        <is>
          <t>F0336</t>
        </is>
      </c>
    </row>
    <row r="6932">
      <c r="A6932" t="inlineStr">
        <is>
          <t>Stefanie Scott</t>
        </is>
      </c>
      <c r="B6932" t="n">
        <v>1</v>
      </c>
      <c r="C6932" t="n">
        <v>2012</v>
      </c>
      <c r="D6932" t="n">
        <v>2012</v>
      </c>
      <c r="E6932" t="inlineStr">
        <is>
          <t>Wreck-It Ralph</t>
        </is>
      </c>
      <c r="F6932" t="inlineStr">
        <is>
          <t>F0336</t>
        </is>
      </c>
    </row>
    <row r="6933">
      <c r="A6933" t="inlineStr">
        <is>
          <t>Josie Trinidad</t>
        </is>
      </c>
      <c r="B6933" t="n">
        <v>1</v>
      </c>
      <c r="C6933" t="n">
        <v>2012</v>
      </c>
      <c r="D6933" t="n">
        <v>2012</v>
      </c>
      <c r="E6933" t="inlineStr">
        <is>
          <t>Wreck-It Ralph</t>
        </is>
      </c>
      <c r="F6933" t="inlineStr">
        <is>
          <t>F0336</t>
        </is>
      </c>
    </row>
    <row r="6934">
      <c r="A6934" t="inlineStr">
        <is>
          <t>Cymbre Walk</t>
        </is>
      </c>
      <c r="B6934" t="n">
        <v>1</v>
      </c>
      <c r="C6934" t="n">
        <v>2012</v>
      </c>
      <c r="D6934" t="n">
        <v>2012</v>
      </c>
      <c r="E6934" t="inlineStr">
        <is>
          <t>Wreck-It Ralph</t>
        </is>
      </c>
      <c r="F6934" t="inlineStr">
        <is>
          <t>F0336</t>
        </is>
      </c>
    </row>
    <row r="6935">
      <c r="A6935" t="inlineStr">
        <is>
          <t>Brandon Scott</t>
        </is>
      </c>
      <c r="B6935" t="n">
        <v>1</v>
      </c>
      <c r="C6935" t="n">
        <v>2012</v>
      </c>
      <c r="D6935" t="n">
        <v>2012</v>
      </c>
      <c r="E6935" t="inlineStr">
        <is>
          <t>Wreck-It Ralph</t>
        </is>
      </c>
      <c r="F6935" t="inlineStr">
        <is>
          <t>F0336</t>
        </is>
      </c>
    </row>
    <row r="6936">
      <c r="A6936" t="inlineStr">
        <is>
          <t>Gerald C. Rivers</t>
        </is>
      </c>
      <c r="B6936" t="n">
        <v>1</v>
      </c>
      <c r="C6936" t="n">
        <v>2012</v>
      </c>
      <c r="D6936" t="n">
        <v>2012</v>
      </c>
      <c r="E6936" t="inlineStr">
        <is>
          <t>Wreck-It Ralph</t>
        </is>
      </c>
      <c r="F6936" t="inlineStr">
        <is>
          <t>F0336</t>
        </is>
      </c>
    </row>
    <row r="6937">
      <c r="A6937" t="inlineStr">
        <is>
          <t>Timothy Simons</t>
        </is>
      </c>
      <c r="B6937" t="n">
        <v>1</v>
      </c>
      <c r="C6937" t="n">
        <v>2018</v>
      </c>
      <c r="D6937" t="n">
        <v>2018</v>
      </c>
      <c r="E6937" t="inlineStr">
        <is>
          <t>Ralph Breaks the Internet</t>
        </is>
      </c>
      <c r="F6937" t="inlineStr">
        <is>
          <t>F0337</t>
        </is>
      </c>
    </row>
    <row r="6938">
      <c r="A6938" t="inlineStr">
        <is>
          <t>Mandy Moore</t>
        </is>
      </c>
      <c r="B6938" t="n">
        <v>1</v>
      </c>
      <c r="C6938" t="n">
        <v>2018</v>
      </c>
      <c r="D6938" t="n">
        <v>2018</v>
      </c>
      <c r="E6938" t="inlineStr">
        <is>
          <t>Ralph Breaks the Internet</t>
        </is>
      </c>
      <c r="F6938" t="inlineStr">
        <is>
          <t>F0337</t>
        </is>
      </c>
    </row>
    <row r="6939">
      <c r="A6939" t="inlineStr">
        <is>
          <t>Anika Noni Rose</t>
        </is>
      </c>
      <c r="B6939" t="n">
        <v>1</v>
      </c>
      <c r="C6939" t="n">
        <v>2018</v>
      </c>
      <c r="D6939" t="n">
        <v>2018</v>
      </c>
      <c r="E6939" t="inlineStr">
        <is>
          <t>Ralph Breaks the Internet</t>
        </is>
      </c>
      <c r="F6939" t="inlineStr">
        <is>
          <t>F0337</t>
        </is>
      </c>
    </row>
    <row r="6940">
      <c r="A6940" t="inlineStr">
        <is>
          <t>Irene Bedard</t>
        </is>
      </c>
      <c r="B6940" t="n">
        <v>1</v>
      </c>
      <c r="C6940" t="n">
        <v>2018</v>
      </c>
      <c r="D6940" t="n">
        <v>2018</v>
      </c>
      <c r="E6940" t="inlineStr">
        <is>
          <t>Ralph Breaks the Internet</t>
        </is>
      </c>
      <c r="F6940" t="inlineStr">
        <is>
          <t>F0337</t>
        </is>
      </c>
    </row>
    <row r="6941">
      <c r="A6941" t="inlineStr">
        <is>
          <t>Ali Wong</t>
        </is>
      </c>
      <c r="B6941" t="n">
        <v>1</v>
      </c>
      <c r="C6941" t="n">
        <v>2018</v>
      </c>
      <c r="D6941" t="n">
        <v>2018</v>
      </c>
      <c r="E6941" t="inlineStr">
        <is>
          <t>Ralph Breaks the Internet</t>
        </is>
      </c>
      <c r="F6941" t="inlineStr">
        <is>
          <t>F0337</t>
        </is>
      </c>
    </row>
    <row r="6942">
      <c r="A6942" t="inlineStr">
        <is>
          <t>Glozell Green</t>
        </is>
      </c>
      <c r="B6942" t="n">
        <v>1</v>
      </c>
      <c r="C6942" t="n">
        <v>2018</v>
      </c>
      <c r="D6942" t="n">
        <v>2018</v>
      </c>
      <c r="E6942" t="inlineStr">
        <is>
          <t>Ralph Breaks the Internet</t>
        </is>
      </c>
      <c r="F6942" t="inlineStr">
        <is>
          <t>F0337</t>
        </is>
      </c>
    </row>
    <row r="6943">
      <c r="A6943" t="inlineStr">
        <is>
          <t>Hamish Blake</t>
        </is>
      </c>
      <c r="B6943" t="n">
        <v>1</v>
      </c>
      <c r="C6943" t="n">
        <v>2018</v>
      </c>
      <c r="D6943" t="n">
        <v>2018</v>
      </c>
      <c r="E6943" t="inlineStr">
        <is>
          <t>Ralph Breaks the Internet</t>
        </is>
      </c>
      <c r="F6943" t="inlineStr">
        <is>
          <t>F0337</t>
        </is>
      </c>
    </row>
    <row r="6944">
      <c r="A6944" t="inlineStr">
        <is>
          <t>Auliʻi Cravalho</t>
        </is>
      </c>
      <c r="B6944" t="n">
        <v>1</v>
      </c>
      <c r="C6944" t="n">
        <v>2018</v>
      </c>
      <c r="D6944" t="n">
        <v>2018</v>
      </c>
      <c r="E6944" t="inlineStr">
        <is>
          <t>Ralph Breaks the Internet</t>
        </is>
      </c>
      <c r="F6944" t="inlineStr">
        <is>
          <t>F0337</t>
        </is>
      </c>
    </row>
    <row r="6945">
      <c r="A6945" t="inlineStr">
        <is>
          <t>Melissa Villaseñor</t>
        </is>
      </c>
      <c r="B6945" t="n">
        <v>1</v>
      </c>
      <c r="C6945" t="n">
        <v>2018</v>
      </c>
      <c r="D6945" t="n">
        <v>2018</v>
      </c>
      <c r="E6945" t="inlineStr">
        <is>
          <t>Ralph Breaks the Internet</t>
        </is>
      </c>
      <c r="F6945" t="inlineStr">
        <is>
          <t>F0337</t>
        </is>
      </c>
    </row>
    <row r="6946">
      <c r="A6946" t="inlineStr">
        <is>
          <t>Jennifer Hale</t>
        </is>
      </c>
      <c r="B6946" t="n">
        <v>1</v>
      </c>
      <c r="C6946" t="n">
        <v>2018</v>
      </c>
      <c r="D6946" t="n">
        <v>2018</v>
      </c>
      <c r="E6946" t="inlineStr">
        <is>
          <t>Ralph Breaks the Internet</t>
        </is>
      </c>
      <c r="F6946" t="inlineStr">
        <is>
          <t>F0337</t>
        </is>
      </c>
    </row>
    <row r="6947">
      <c r="A6947" t="inlineStr">
        <is>
          <t>Ming-Na Wen</t>
        </is>
      </c>
      <c r="B6947" t="n">
        <v>1</v>
      </c>
      <c r="C6947" t="n">
        <v>2018</v>
      </c>
      <c r="D6947" t="n">
        <v>2018</v>
      </c>
      <c r="E6947" t="inlineStr">
        <is>
          <t>Ralph Breaks the Internet</t>
        </is>
      </c>
      <c r="F6947" t="inlineStr">
        <is>
          <t>F0337</t>
        </is>
      </c>
    </row>
    <row r="6948">
      <c r="A6948" t="inlineStr">
        <is>
          <t>Della Saba</t>
        </is>
      </c>
      <c r="B6948" t="n">
        <v>1</v>
      </c>
      <c r="C6948" t="n">
        <v>2018</v>
      </c>
      <c r="D6948" t="n">
        <v>2018</v>
      </c>
      <c r="E6948" t="inlineStr">
        <is>
          <t>Ralph Breaks the Internet</t>
        </is>
      </c>
      <c r="F6948" t="inlineStr">
        <is>
          <t>F0337</t>
        </is>
      </c>
    </row>
    <row r="6949">
      <c r="A6949" t="inlineStr">
        <is>
          <t>Pamela Ribon</t>
        </is>
      </c>
      <c r="B6949" t="n">
        <v>1</v>
      </c>
      <c r="C6949" t="n">
        <v>2018</v>
      </c>
      <c r="D6949" t="n">
        <v>2018</v>
      </c>
      <c r="E6949" t="inlineStr">
        <is>
          <t>Ralph Breaks the Internet</t>
        </is>
      </c>
      <c r="F6949" t="inlineStr">
        <is>
          <t>F0337</t>
        </is>
      </c>
    </row>
    <row r="6950">
      <c r="A6950" t="inlineStr">
        <is>
          <t>Tom Davis</t>
        </is>
      </c>
      <c r="B6950" t="n">
        <v>1</v>
      </c>
      <c r="C6950" t="n">
        <v>2023</v>
      </c>
      <c r="D6950" t="n">
        <v>2023</v>
      </c>
      <c r="E6950" t="inlineStr">
        <is>
          <t>Wonka</t>
        </is>
      </c>
      <c r="F6950" t="inlineStr">
        <is>
          <t>F0338</t>
        </is>
      </c>
    </row>
    <row r="6951">
      <c r="A6951" t="inlineStr">
        <is>
          <t>Mathew Baynton</t>
        </is>
      </c>
      <c r="B6951" t="n">
        <v>1</v>
      </c>
      <c r="C6951" t="n">
        <v>2023</v>
      </c>
      <c r="D6951" t="n">
        <v>2023</v>
      </c>
      <c r="E6951" t="inlineStr">
        <is>
          <t>Wonka</t>
        </is>
      </c>
      <c r="F6951" t="inlineStr">
        <is>
          <t>F0338</t>
        </is>
      </c>
    </row>
    <row r="6952">
      <c r="A6952" t="inlineStr">
        <is>
          <t>Natasha Rothwell</t>
        </is>
      </c>
      <c r="B6952" t="n">
        <v>1</v>
      </c>
      <c r="C6952" t="n">
        <v>2023</v>
      </c>
      <c r="D6952" t="n">
        <v>2023</v>
      </c>
      <c r="E6952" t="inlineStr">
        <is>
          <t>Wonka</t>
        </is>
      </c>
      <c r="F6952" t="inlineStr">
        <is>
          <t>F0338</t>
        </is>
      </c>
    </row>
    <row r="6953">
      <c r="A6953" t="inlineStr">
        <is>
          <t>Rakhee Thakrar</t>
        </is>
      </c>
      <c r="B6953" t="n">
        <v>1</v>
      </c>
      <c r="C6953" t="n">
        <v>2023</v>
      </c>
      <c r="D6953" t="n">
        <v>2023</v>
      </c>
      <c r="E6953" t="inlineStr">
        <is>
          <t>Wonka</t>
        </is>
      </c>
      <c r="F6953" t="inlineStr">
        <is>
          <t>F0338</t>
        </is>
      </c>
    </row>
    <row r="6954">
      <c r="A6954" t="inlineStr">
        <is>
          <t>Rich Fulcher</t>
        </is>
      </c>
      <c r="B6954" t="n">
        <v>1</v>
      </c>
      <c r="C6954" t="n">
        <v>2023</v>
      </c>
      <c r="D6954" t="n">
        <v>2023</v>
      </c>
      <c r="E6954" t="inlineStr">
        <is>
          <t>Wonka</t>
        </is>
      </c>
      <c r="F6954" t="inlineStr">
        <is>
          <t>F0338</t>
        </is>
      </c>
    </row>
    <row r="6955">
      <c r="A6955" t="inlineStr">
        <is>
          <t>Kobna Holdbrook-Smith</t>
        </is>
      </c>
      <c r="B6955" t="n">
        <v>1</v>
      </c>
      <c r="C6955" t="n">
        <v>2023</v>
      </c>
      <c r="D6955" t="n">
        <v>2023</v>
      </c>
      <c r="E6955" t="inlineStr">
        <is>
          <t>Wonka</t>
        </is>
      </c>
      <c r="F6955" t="inlineStr">
        <is>
          <t>F0338</t>
        </is>
      </c>
    </row>
    <row r="6956">
      <c r="A6956" t="inlineStr">
        <is>
          <t>Ellie White</t>
        </is>
      </c>
      <c r="B6956" t="n">
        <v>1</v>
      </c>
      <c r="C6956" t="n">
        <v>2023</v>
      </c>
      <c r="D6956" t="n">
        <v>2023</v>
      </c>
      <c r="E6956" t="inlineStr">
        <is>
          <t>Wonka</t>
        </is>
      </c>
      <c r="F6956" t="inlineStr">
        <is>
          <t>F0338</t>
        </is>
      </c>
    </row>
    <row r="6957">
      <c r="A6957" t="inlineStr">
        <is>
          <t>Colin O'Brien</t>
        </is>
      </c>
      <c r="B6957" t="n">
        <v>1</v>
      </c>
      <c r="C6957" t="n">
        <v>2023</v>
      </c>
      <c r="D6957" t="n">
        <v>2023</v>
      </c>
      <c r="E6957" t="inlineStr">
        <is>
          <t>Wonka</t>
        </is>
      </c>
      <c r="F6957" t="inlineStr">
        <is>
          <t>F0338</t>
        </is>
      </c>
    </row>
    <row r="6958">
      <c r="A6958" t="inlineStr">
        <is>
          <t>Murray McArthur</t>
        </is>
      </c>
      <c r="B6958" t="n">
        <v>1</v>
      </c>
      <c r="C6958" t="n">
        <v>2023</v>
      </c>
      <c r="D6958" t="n">
        <v>2023</v>
      </c>
      <c r="E6958" t="inlineStr">
        <is>
          <t>Wonka</t>
        </is>
      </c>
      <c r="F6958" t="inlineStr">
        <is>
          <t>F0338</t>
        </is>
      </c>
    </row>
    <row r="6959">
      <c r="A6959" t="inlineStr">
        <is>
          <t>Charlotte Ritchie</t>
        </is>
      </c>
      <c r="B6959" t="n">
        <v>1</v>
      </c>
      <c r="C6959" t="n">
        <v>2023</v>
      </c>
      <c r="D6959" t="n">
        <v>2023</v>
      </c>
      <c r="E6959" t="inlineStr">
        <is>
          <t>Wonka</t>
        </is>
      </c>
      <c r="F6959" t="inlineStr">
        <is>
          <t>F0338</t>
        </is>
      </c>
    </row>
    <row r="6960">
      <c r="A6960" t="inlineStr">
        <is>
          <t>Phil Wang</t>
        </is>
      </c>
      <c r="B6960" t="n">
        <v>1</v>
      </c>
      <c r="C6960" t="n">
        <v>2023</v>
      </c>
      <c r="D6960" t="n">
        <v>2023</v>
      </c>
      <c r="E6960" t="inlineStr">
        <is>
          <t>Wonka</t>
        </is>
      </c>
      <c r="F6960" t="inlineStr">
        <is>
          <t>F0338</t>
        </is>
      </c>
    </row>
    <row r="6961">
      <c r="A6961" t="inlineStr">
        <is>
          <t>Isy Suttie</t>
        </is>
      </c>
      <c r="B6961" t="n">
        <v>1</v>
      </c>
      <c r="C6961" t="n">
        <v>2023</v>
      </c>
      <c r="D6961" t="n">
        <v>2023</v>
      </c>
      <c r="E6961" t="inlineStr">
        <is>
          <t>Wonka</t>
        </is>
      </c>
      <c r="F6961" t="inlineStr">
        <is>
          <t>F0338</t>
        </is>
      </c>
    </row>
    <row r="6962">
      <c r="A6962" t="inlineStr">
        <is>
          <t>Ian Bartholomew</t>
        </is>
      </c>
      <c r="B6962" t="n">
        <v>1</v>
      </c>
      <c r="C6962" t="n">
        <v>2023</v>
      </c>
      <c r="D6962" t="n">
        <v>2023</v>
      </c>
      <c r="E6962" t="inlineStr">
        <is>
          <t>Wonka</t>
        </is>
      </c>
      <c r="F6962" t="inlineStr">
        <is>
          <t>F0338</t>
        </is>
      </c>
    </row>
    <row r="6963">
      <c r="A6963" t="inlineStr">
        <is>
          <t>Sophie Winkleman</t>
        </is>
      </c>
      <c r="B6963" t="n">
        <v>1</v>
      </c>
      <c r="C6963" t="n">
        <v>2023</v>
      </c>
      <c r="D6963" t="n">
        <v>2023</v>
      </c>
      <c r="E6963" t="inlineStr">
        <is>
          <t>Wonka</t>
        </is>
      </c>
      <c r="F6963" t="inlineStr">
        <is>
          <t>F0338</t>
        </is>
      </c>
    </row>
    <row r="6964">
      <c r="A6964" t="inlineStr">
        <is>
          <t>Justin Edwards</t>
        </is>
      </c>
      <c r="B6964" t="n">
        <v>1</v>
      </c>
      <c r="C6964" t="n">
        <v>2023</v>
      </c>
      <c r="D6964" t="n">
        <v>2023</v>
      </c>
      <c r="E6964" t="inlineStr">
        <is>
          <t>Wonka</t>
        </is>
      </c>
      <c r="F6964" t="inlineStr">
        <is>
          <t>F0338</t>
        </is>
      </c>
    </row>
    <row r="6965">
      <c r="A6965" t="inlineStr">
        <is>
          <t>Michael Abubakar</t>
        </is>
      </c>
      <c r="B6965" t="n">
        <v>1</v>
      </c>
      <c r="C6965" t="n">
        <v>2023</v>
      </c>
      <c r="D6965" t="n">
        <v>2023</v>
      </c>
      <c r="E6965" t="inlineStr">
        <is>
          <t>Wonka</t>
        </is>
      </c>
      <c r="F6965" t="inlineStr">
        <is>
          <t>F0338</t>
        </is>
      </c>
    </row>
    <row r="6966">
      <c r="A6966" t="inlineStr">
        <is>
          <t>Tim FitzHigham</t>
        </is>
      </c>
      <c r="B6966" t="n">
        <v>1</v>
      </c>
      <c r="C6966" t="n">
        <v>2023</v>
      </c>
      <c r="D6966" t="n">
        <v>2023</v>
      </c>
      <c r="E6966" t="inlineStr">
        <is>
          <t>Wonka</t>
        </is>
      </c>
      <c r="F6966" t="inlineStr">
        <is>
          <t>F0338</t>
        </is>
      </c>
    </row>
    <row r="6967">
      <c r="A6967" t="inlineStr">
        <is>
          <t>Roy Kinnear</t>
        </is>
      </c>
      <c r="B6967" t="n">
        <v>1</v>
      </c>
      <c r="C6967" t="n">
        <v>1971</v>
      </c>
      <c r="D6967" t="n">
        <v>1971</v>
      </c>
      <c r="E6967" t="inlineStr">
        <is>
          <t>Willy Wonka &amp; the Chocolate Factory</t>
        </is>
      </c>
      <c r="F6967" t="inlineStr">
        <is>
          <t>F0339</t>
        </is>
      </c>
    </row>
    <row r="6968">
      <c r="A6968" t="inlineStr">
        <is>
          <t>Julie Dawn Cole</t>
        </is>
      </c>
      <c r="B6968" t="n">
        <v>1</v>
      </c>
      <c r="C6968" t="n">
        <v>1971</v>
      </c>
      <c r="D6968" t="n">
        <v>1971</v>
      </c>
      <c r="E6968" t="inlineStr">
        <is>
          <t>Willy Wonka &amp; the Chocolate Factory</t>
        </is>
      </c>
      <c r="F6968" t="inlineStr">
        <is>
          <t>F0339</t>
        </is>
      </c>
    </row>
    <row r="6969">
      <c r="A6969" t="inlineStr">
        <is>
          <t>Leonard Stone</t>
        </is>
      </c>
      <c r="B6969" t="n">
        <v>1</v>
      </c>
      <c r="C6969" t="n">
        <v>1971</v>
      </c>
      <c r="D6969" t="n">
        <v>1971</v>
      </c>
      <c r="E6969" t="inlineStr">
        <is>
          <t>Willy Wonka &amp; the Chocolate Factory</t>
        </is>
      </c>
      <c r="F6969" t="inlineStr">
        <is>
          <t>F0339</t>
        </is>
      </c>
    </row>
    <row r="6970">
      <c r="A6970" t="inlineStr">
        <is>
          <t>Denise Nickerson</t>
        </is>
      </c>
      <c r="B6970" t="n">
        <v>1</v>
      </c>
      <c r="C6970" t="n">
        <v>1971</v>
      </c>
      <c r="D6970" t="n">
        <v>1971</v>
      </c>
      <c r="E6970" t="inlineStr">
        <is>
          <t>Willy Wonka &amp; the Chocolate Factory</t>
        </is>
      </c>
      <c r="F6970" t="inlineStr">
        <is>
          <t>F0339</t>
        </is>
      </c>
    </row>
    <row r="6971">
      <c r="A6971" t="inlineStr">
        <is>
          <t>Ursula Reit</t>
        </is>
      </c>
      <c r="B6971" t="n">
        <v>1</v>
      </c>
      <c r="C6971" t="n">
        <v>1971</v>
      </c>
      <c r="D6971" t="n">
        <v>1971</v>
      </c>
      <c r="E6971" t="inlineStr">
        <is>
          <t>Willy Wonka &amp; the Chocolate Factory</t>
        </is>
      </c>
      <c r="F6971" t="inlineStr">
        <is>
          <t>F0339</t>
        </is>
      </c>
    </row>
    <row r="6972">
      <c r="A6972" t="inlineStr">
        <is>
          <t>Michael Böllner</t>
        </is>
      </c>
      <c r="B6972" t="n">
        <v>1</v>
      </c>
      <c r="C6972" t="n">
        <v>1971</v>
      </c>
      <c r="D6972" t="n">
        <v>1971</v>
      </c>
      <c r="E6972" t="inlineStr">
        <is>
          <t>Willy Wonka &amp; the Chocolate Factory</t>
        </is>
      </c>
      <c r="F6972" t="inlineStr">
        <is>
          <t>F0339</t>
        </is>
      </c>
    </row>
    <row r="6973">
      <c r="A6973" t="inlineStr">
        <is>
          <t>Diana Sowle</t>
        </is>
      </c>
      <c r="B6973" t="n">
        <v>1</v>
      </c>
      <c r="C6973" t="n">
        <v>1971</v>
      </c>
      <c r="D6973" t="n">
        <v>1971</v>
      </c>
      <c r="E6973" t="inlineStr">
        <is>
          <t>Willy Wonka &amp; the Chocolate Factory</t>
        </is>
      </c>
      <c r="F6973" t="inlineStr">
        <is>
          <t>F0339</t>
        </is>
      </c>
    </row>
    <row r="6974">
      <c r="A6974" t="inlineStr">
        <is>
          <t>Aubrey Woods</t>
        </is>
      </c>
      <c r="B6974" t="n">
        <v>1</v>
      </c>
      <c r="C6974" t="n">
        <v>1971</v>
      </c>
      <c r="D6974" t="n">
        <v>1971</v>
      </c>
      <c r="E6974" t="inlineStr">
        <is>
          <t>Willy Wonka &amp; the Chocolate Factory</t>
        </is>
      </c>
      <c r="F6974" t="inlineStr">
        <is>
          <t>F0339</t>
        </is>
      </c>
    </row>
    <row r="6975">
      <c r="A6975" t="inlineStr">
        <is>
          <t>David Battley</t>
        </is>
      </c>
      <c r="B6975" t="n">
        <v>1</v>
      </c>
      <c r="C6975" t="n">
        <v>1971</v>
      </c>
      <c r="D6975" t="n">
        <v>1971</v>
      </c>
      <c r="E6975" t="inlineStr">
        <is>
          <t>Willy Wonka &amp; the Chocolate Factory</t>
        </is>
      </c>
      <c r="F6975" t="inlineStr">
        <is>
          <t>F0339</t>
        </is>
      </c>
    </row>
    <row r="6976">
      <c r="A6976" t="inlineStr">
        <is>
          <t>Günter Meisner</t>
        </is>
      </c>
      <c r="B6976" t="n">
        <v>1</v>
      </c>
      <c r="C6976" t="n">
        <v>1971</v>
      </c>
      <c r="D6976" t="n">
        <v>1971</v>
      </c>
      <c r="E6976" t="inlineStr">
        <is>
          <t>Willy Wonka &amp; the Chocolate Factory</t>
        </is>
      </c>
      <c r="F6976" t="inlineStr">
        <is>
          <t>F0339</t>
        </is>
      </c>
    </row>
    <row r="6977">
      <c r="A6977" t="inlineStr">
        <is>
          <t>Peter Capell</t>
        </is>
      </c>
      <c r="B6977" t="n">
        <v>1</v>
      </c>
      <c r="C6977" t="n">
        <v>1971</v>
      </c>
      <c r="D6977" t="n">
        <v>1971</v>
      </c>
      <c r="E6977" t="inlineStr">
        <is>
          <t>Willy Wonka &amp; the Chocolate Factory</t>
        </is>
      </c>
      <c r="F6977" t="inlineStr">
        <is>
          <t>F0339</t>
        </is>
      </c>
    </row>
    <row r="6978">
      <c r="A6978" t="inlineStr">
        <is>
          <t>Werner Heyking</t>
        </is>
      </c>
      <c r="B6978" t="n">
        <v>1</v>
      </c>
      <c r="C6978" t="n">
        <v>1971</v>
      </c>
      <c r="D6978" t="n">
        <v>1971</v>
      </c>
      <c r="E6978" t="inlineStr">
        <is>
          <t>Willy Wonka &amp; the Chocolate Factory</t>
        </is>
      </c>
      <c r="F6978" t="inlineStr">
        <is>
          <t>F0339</t>
        </is>
      </c>
    </row>
    <row r="6979">
      <c r="A6979" t="inlineStr">
        <is>
          <t>Peter Stuart</t>
        </is>
      </c>
      <c r="B6979" t="n">
        <v>1</v>
      </c>
      <c r="C6979" t="n">
        <v>1971</v>
      </c>
      <c r="D6979" t="n">
        <v>1971</v>
      </c>
      <c r="E6979" t="inlineStr">
        <is>
          <t>Willy Wonka &amp; the Chocolate Factory</t>
        </is>
      </c>
      <c r="F6979" t="inlineStr">
        <is>
          <t>F0339</t>
        </is>
      </c>
    </row>
    <row r="6980">
      <c r="A6980" t="inlineStr">
        <is>
          <t>Franziska Liebing</t>
        </is>
      </c>
      <c r="B6980" t="n">
        <v>1</v>
      </c>
      <c r="C6980" t="n">
        <v>1971</v>
      </c>
      <c r="D6980" t="n">
        <v>1971</v>
      </c>
      <c r="E6980" t="inlineStr">
        <is>
          <t>Willy Wonka &amp; the Chocolate Factory</t>
        </is>
      </c>
      <c r="F6980" t="inlineStr">
        <is>
          <t>F0339</t>
        </is>
      </c>
    </row>
    <row r="6981">
      <c r="A6981" t="inlineStr">
        <is>
          <t>Ernst Ziegler</t>
        </is>
      </c>
      <c r="B6981" t="n">
        <v>1</v>
      </c>
      <c r="C6981" t="n">
        <v>1971</v>
      </c>
      <c r="D6981" t="n">
        <v>1971</v>
      </c>
      <c r="E6981" t="inlineStr">
        <is>
          <t>Willy Wonka &amp; the Chocolate Factory</t>
        </is>
      </c>
      <c r="F6981" t="inlineStr">
        <is>
          <t>F0339</t>
        </is>
      </c>
    </row>
    <row r="6982">
      <c r="A6982" t="inlineStr">
        <is>
          <t>Dora Altmann</t>
        </is>
      </c>
      <c r="B6982" t="n">
        <v>1</v>
      </c>
      <c r="C6982" t="n">
        <v>1971</v>
      </c>
      <c r="D6982" t="n">
        <v>1971</v>
      </c>
      <c r="E6982" t="inlineStr">
        <is>
          <t>Willy Wonka &amp; the Chocolate Factory</t>
        </is>
      </c>
      <c r="F6982" t="inlineStr">
        <is>
          <t>F0339</t>
        </is>
      </c>
    </row>
    <row r="6983">
      <c r="A6983" t="inlineStr">
        <is>
          <t>Pat Coombs</t>
        </is>
      </c>
      <c r="B6983" t="n">
        <v>1</v>
      </c>
      <c r="C6983" t="n">
        <v>1971</v>
      </c>
      <c r="D6983" t="n">
        <v>1971</v>
      </c>
      <c r="E6983" t="inlineStr">
        <is>
          <t>Willy Wonka &amp; the Chocolate Factory</t>
        </is>
      </c>
      <c r="F6983" t="inlineStr">
        <is>
          <t>F0339</t>
        </is>
      </c>
    </row>
    <row r="6984">
      <c r="A6984" t="inlineStr">
        <is>
          <t>Michael Goodliffe</t>
        </is>
      </c>
      <c r="B6984" t="n">
        <v>1</v>
      </c>
      <c r="C6984" t="n">
        <v>1971</v>
      </c>
      <c r="D6984" t="n">
        <v>1971</v>
      </c>
      <c r="E6984" t="inlineStr">
        <is>
          <t>Willy Wonka &amp; the Chocolate Factory</t>
        </is>
      </c>
      <c r="F6984" t="inlineStr">
        <is>
          <t>F0339</t>
        </is>
      </c>
    </row>
    <row r="6985">
      <c r="A6985" t="inlineStr">
        <is>
          <t>Kurt Großkurth</t>
        </is>
      </c>
      <c r="B6985" t="n">
        <v>1</v>
      </c>
      <c r="C6985" t="n">
        <v>1971</v>
      </c>
      <c r="D6985" t="n">
        <v>1971</v>
      </c>
      <c r="E6985" t="inlineStr">
        <is>
          <t>Willy Wonka &amp; the Chocolate Factory</t>
        </is>
      </c>
      <c r="F6985" t="inlineStr">
        <is>
          <t>F0339</t>
        </is>
      </c>
    </row>
    <row r="6986">
      <c r="A6986" t="inlineStr">
        <is>
          <t>Madeline Stuart</t>
        </is>
      </c>
      <c r="B6986" t="n">
        <v>1</v>
      </c>
      <c r="C6986" t="n">
        <v>1971</v>
      </c>
      <c r="D6986" t="n">
        <v>1971</v>
      </c>
      <c r="E6986" t="inlineStr">
        <is>
          <t>Willy Wonka &amp; the Chocolate Factory</t>
        </is>
      </c>
      <c r="F6986" t="inlineStr">
        <is>
          <t>F0339</t>
        </is>
      </c>
    </row>
    <row r="6987">
      <c r="A6987" t="inlineStr">
        <is>
          <t>Bob Roe</t>
        </is>
      </c>
      <c r="B6987" t="n">
        <v>1</v>
      </c>
      <c r="C6987" t="n">
        <v>1971</v>
      </c>
      <c r="D6987" t="n">
        <v>1971</v>
      </c>
      <c r="E6987" t="inlineStr">
        <is>
          <t>Willy Wonka &amp; the Chocolate Factory</t>
        </is>
      </c>
      <c r="F6987" t="inlineStr">
        <is>
          <t>F0339</t>
        </is>
      </c>
    </row>
    <row r="6988">
      <c r="A6988" t="inlineStr">
        <is>
          <t>Stephen Dunne</t>
        </is>
      </c>
      <c r="B6988" t="n">
        <v>1</v>
      </c>
      <c r="C6988" t="n">
        <v>1971</v>
      </c>
      <c r="D6988" t="n">
        <v>1971</v>
      </c>
      <c r="E6988" t="inlineStr">
        <is>
          <t>Willy Wonka &amp; the Chocolate Factory</t>
        </is>
      </c>
      <c r="F6988" t="inlineStr">
        <is>
          <t>F0339</t>
        </is>
      </c>
    </row>
    <row r="6989">
      <c r="A6989" t="inlineStr">
        <is>
          <t>Gloria Manon</t>
        </is>
      </c>
      <c r="B6989" t="n">
        <v>1</v>
      </c>
      <c r="C6989" t="n">
        <v>1971</v>
      </c>
      <c r="D6989" t="n">
        <v>1971</v>
      </c>
      <c r="E6989" t="inlineStr">
        <is>
          <t>Willy Wonka &amp; the Chocolate Factory</t>
        </is>
      </c>
      <c r="F6989" t="inlineStr">
        <is>
          <t>F0339</t>
        </is>
      </c>
    </row>
    <row r="6990">
      <c r="A6990" t="inlineStr">
        <is>
          <t>Victor Beaumont</t>
        </is>
      </c>
      <c r="B6990" t="n">
        <v>1</v>
      </c>
      <c r="C6990" t="n">
        <v>1971</v>
      </c>
      <c r="D6990" t="n">
        <v>1971</v>
      </c>
      <c r="E6990" t="inlineStr">
        <is>
          <t>Willy Wonka &amp; the Chocolate Factory</t>
        </is>
      </c>
      <c r="F6990" t="inlineStr">
        <is>
          <t>F0339</t>
        </is>
      </c>
    </row>
    <row r="6991">
      <c r="A6991" t="inlineStr">
        <is>
          <t>Caleb Landry Jones</t>
        </is>
      </c>
      <c r="B6991" t="n">
        <v>1</v>
      </c>
      <c r="C6991" t="n">
        <v>2011</v>
      </c>
      <c r="D6991" t="n">
        <v>2011</v>
      </c>
      <c r="E6991" t="inlineStr">
        <is>
          <t>X-Men: First Class</t>
        </is>
      </c>
      <c r="F6991" t="inlineStr">
        <is>
          <t>F0340</t>
        </is>
      </c>
    </row>
    <row r="6992">
      <c r="A6992" t="inlineStr">
        <is>
          <t>Álex González</t>
        </is>
      </c>
      <c r="B6992" t="n">
        <v>1</v>
      </c>
      <c r="C6992" t="n">
        <v>2011</v>
      </c>
      <c r="D6992" t="n">
        <v>2011</v>
      </c>
      <c r="E6992" t="inlineStr">
        <is>
          <t>X-Men: First Class</t>
        </is>
      </c>
      <c r="F6992" t="inlineStr">
        <is>
          <t>F0340</t>
        </is>
      </c>
    </row>
    <row r="6993">
      <c r="A6993" t="inlineStr">
        <is>
          <t>Laurence Belcher</t>
        </is>
      </c>
      <c r="B6993" t="n">
        <v>1</v>
      </c>
      <c r="C6993" t="n">
        <v>2011</v>
      </c>
      <c r="D6993" t="n">
        <v>2011</v>
      </c>
      <c r="E6993" t="inlineStr">
        <is>
          <t>X-Men: First Class</t>
        </is>
      </c>
      <c r="F6993" t="inlineStr">
        <is>
          <t>F0340</t>
        </is>
      </c>
    </row>
    <row r="6994">
      <c r="A6994" t="inlineStr">
        <is>
          <t>Beth Goddard</t>
        </is>
      </c>
      <c r="B6994" t="n">
        <v>1</v>
      </c>
      <c r="C6994" t="n">
        <v>2011</v>
      </c>
      <c r="D6994" t="n">
        <v>2011</v>
      </c>
      <c r="E6994" t="inlineStr">
        <is>
          <t>X-Men: First Class</t>
        </is>
      </c>
      <c r="F6994" t="inlineStr">
        <is>
          <t>F0340</t>
        </is>
      </c>
    </row>
    <row r="6995">
      <c r="A6995" t="inlineStr">
        <is>
          <t>Éva Magyar</t>
        </is>
      </c>
      <c r="B6995" t="n">
        <v>1</v>
      </c>
      <c r="C6995" t="n">
        <v>2011</v>
      </c>
      <c r="D6995" t="n">
        <v>2011</v>
      </c>
      <c r="E6995" t="inlineStr">
        <is>
          <t>X-Men: First Class</t>
        </is>
      </c>
      <c r="F6995" t="inlineStr">
        <is>
          <t>F0340</t>
        </is>
      </c>
    </row>
    <row r="6996">
      <c r="A6996" t="inlineStr">
        <is>
          <t>Don Creech</t>
        </is>
      </c>
      <c r="B6996" t="n">
        <v>1</v>
      </c>
      <c r="C6996" t="n">
        <v>2011</v>
      </c>
      <c r="D6996" t="n">
        <v>2011</v>
      </c>
      <c r="E6996" t="inlineStr">
        <is>
          <t>X-Men: First Class</t>
        </is>
      </c>
      <c r="F6996" t="inlineStr">
        <is>
          <t>F0340</t>
        </is>
      </c>
    </row>
    <row r="6997">
      <c r="A6997" t="inlineStr">
        <is>
          <t>Wilfried Hochholdinger</t>
        </is>
      </c>
      <c r="B6997" t="n">
        <v>1</v>
      </c>
      <c r="C6997" t="n">
        <v>2011</v>
      </c>
      <c r="D6997" t="n">
        <v>2011</v>
      </c>
      <c r="E6997" t="inlineStr">
        <is>
          <t>X-Men: First Class</t>
        </is>
      </c>
      <c r="F6997" t="inlineStr">
        <is>
          <t>F0340</t>
        </is>
      </c>
    </row>
    <row r="6998">
      <c r="A6998" t="inlineStr">
        <is>
          <t>Greg Kolpakchi</t>
        </is>
      </c>
      <c r="B6998" t="n">
        <v>1</v>
      </c>
      <c r="C6998" t="n">
        <v>2011</v>
      </c>
      <c r="D6998" t="n">
        <v>2011</v>
      </c>
      <c r="E6998" t="inlineStr">
        <is>
          <t>X-Men: First Class</t>
        </is>
      </c>
      <c r="F6998" t="inlineStr">
        <is>
          <t>F0340</t>
        </is>
      </c>
    </row>
    <row r="6999">
      <c r="A6999" t="inlineStr">
        <is>
          <t>Anna Paquin</t>
        </is>
      </c>
      <c r="B6999" t="n">
        <v>4</v>
      </c>
      <c r="C6999" t="n">
        <v>2000</v>
      </c>
      <c r="D6999" t="n">
        <v>2014</v>
      </c>
      <c r="E6999" t="inlineStr">
        <is>
          <t>X-Men: Days of Future Past, X-Men, X2: X-Men United, X-Men: The Last Stand</t>
        </is>
      </c>
      <c r="F6999" t="inlineStr">
        <is>
          <t>F0341, F0344, F0345, F0346</t>
        </is>
      </c>
    </row>
    <row r="7000">
      <c r="A7000" t="inlineStr">
        <is>
          <t>Shawn Ashmore</t>
        </is>
      </c>
      <c r="B7000" t="n">
        <v>3</v>
      </c>
      <c r="C7000" t="n">
        <v>2003</v>
      </c>
      <c r="D7000" t="n">
        <v>2014</v>
      </c>
      <c r="E7000" t="inlineStr">
        <is>
          <t>X-Men: Days of Future Past, X2: X-Men United, X-Men: The Last Stand</t>
        </is>
      </c>
      <c r="F7000" t="inlineStr">
        <is>
          <t>F0341, F0345, F0346</t>
        </is>
      </c>
    </row>
    <row r="7001">
      <c r="A7001" t="inlineStr">
        <is>
          <t>Daniel Cudmore</t>
        </is>
      </c>
      <c r="B7001" t="n">
        <v>3</v>
      </c>
      <c r="C7001" t="n">
        <v>2003</v>
      </c>
      <c r="D7001" t="n">
        <v>2014</v>
      </c>
      <c r="E7001" t="inlineStr">
        <is>
          <t>X-Men: Days of Future Past, X2: X-Men United, X-Men: The Last Stand</t>
        </is>
      </c>
      <c r="F7001" t="inlineStr">
        <is>
          <t>F0341, F0345, F0346</t>
        </is>
      </c>
    </row>
    <row r="7002">
      <c r="A7002" t="inlineStr">
        <is>
          <t>Fan Bingbing</t>
        </is>
      </c>
      <c r="B7002" t="n">
        <v>1</v>
      </c>
      <c r="C7002" t="n">
        <v>2014</v>
      </c>
      <c r="D7002" t="n">
        <v>2014</v>
      </c>
      <c r="E7002" t="inlineStr">
        <is>
          <t>X-Men: Days of Future Past</t>
        </is>
      </c>
      <c r="F7002" t="inlineStr">
        <is>
          <t>F0341</t>
        </is>
      </c>
    </row>
    <row r="7003">
      <c r="A7003" t="inlineStr">
        <is>
          <t>Adan Canto</t>
        </is>
      </c>
      <c r="B7003" t="n">
        <v>1</v>
      </c>
      <c r="C7003" t="n">
        <v>2014</v>
      </c>
      <c r="D7003" t="n">
        <v>2014</v>
      </c>
      <c r="E7003" t="inlineStr">
        <is>
          <t>X-Men: Days of Future Past</t>
        </is>
      </c>
      <c r="F7003" t="inlineStr">
        <is>
          <t>F0341</t>
        </is>
      </c>
    </row>
    <row r="7004">
      <c r="A7004" t="inlineStr">
        <is>
          <t>Booboo Stewart</t>
        </is>
      </c>
      <c r="B7004" t="n">
        <v>1</v>
      </c>
      <c r="C7004" t="n">
        <v>2014</v>
      </c>
      <c r="D7004" t="n">
        <v>2014</v>
      </c>
      <c r="E7004" t="inlineStr">
        <is>
          <t>X-Men: Days of Future Past</t>
        </is>
      </c>
      <c r="F7004" t="inlineStr">
        <is>
          <t>F0341</t>
        </is>
      </c>
    </row>
    <row r="7005">
      <c r="A7005" t="inlineStr">
        <is>
          <t>Evan Jonigkeit</t>
        </is>
      </c>
      <c r="B7005" t="n">
        <v>1</v>
      </c>
      <c r="C7005" t="n">
        <v>2014</v>
      </c>
      <c r="D7005" t="n">
        <v>2014</v>
      </c>
      <c r="E7005" t="inlineStr">
        <is>
          <t>X-Men: Days of Future Past</t>
        </is>
      </c>
      <c r="F7005" t="inlineStr">
        <is>
          <t>F0341</t>
        </is>
      </c>
    </row>
    <row r="7006">
      <c r="A7006" t="inlineStr">
        <is>
          <t>Mark Camacho</t>
        </is>
      </c>
      <c r="B7006" t="n">
        <v>1</v>
      </c>
      <c r="C7006" t="n">
        <v>2014</v>
      </c>
      <c r="D7006" t="n">
        <v>2014</v>
      </c>
      <c r="E7006" t="inlineStr">
        <is>
          <t>X-Men: Days of Future Past</t>
        </is>
      </c>
      <c r="F7006" t="inlineStr">
        <is>
          <t>F0341</t>
        </is>
      </c>
    </row>
    <row r="7007">
      <c r="A7007" t="inlineStr">
        <is>
          <t>Zehra Leverman</t>
        </is>
      </c>
      <c r="B7007" t="n">
        <v>1</v>
      </c>
      <c r="C7007" t="n">
        <v>2014</v>
      </c>
      <c r="D7007" t="n">
        <v>2014</v>
      </c>
      <c r="E7007" t="inlineStr">
        <is>
          <t>X-Men: Days of Future Past</t>
        </is>
      </c>
      <c r="F7007" t="inlineStr">
        <is>
          <t>F0341</t>
        </is>
      </c>
    </row>
    <row r="7008">
      <c r="A7008" t="inlineStr">
        <is>
          <t>Alexander Felici</t>
        </is>
      </c>
      <c r="B7008" t="n">
        <v>1</v>
      </c>
      <c r="C7008" t="n">
        <v>2014</v>
      </c>
      <c r="D7008" t="n">
        <v>2014</v>
      </c>
      <c r="E7008" t="inlineStr">
        <is>
          <t>X-Men: Days of Future Past</t>
        </is>
      </c>
      <c r="F7008" t="inlineStr">
        <is>
          <t>F0341</t>
        </is>
      </c>
    </row>
    <row r="7009">
      <c r="A7009" t="inlineStr">
        <is>
          <t>Massimo Cannistraro</t>
        </is>
      </c>
      <c r="B7009" t="n">
        <v>1</v>
      </c>
      <c r="C7009" t="n">
        <v>2014</v>
      </c>
      <c r="D7009" t="n">
        <v>2014</v>
      </c>
      <c r="E7009" t="inlineStr">
        <is>
          <t>X-Men: Days of Future Past</t>
        </is>
      </c>
      <c r="F7009" t="inlineStr">
        <is>
          <t>F0341</t>
        </is>
      </c>
    </row>
    <row r="7010">
      <c r="A7010" t="inlineStr">
        <is>
          <t>Sophie Turner</t>
        </is>
      </c>
      <c r="B7010" t="n">
        <v>1</v>
      </c>
      <c r="C7010" t="n">
        <v>2016</v>
      </c>
      <c r="D7010" t="n">
        <v>2016</v>
      </c>
      <c r="E7010" t="inlineStr">
        <is>
          <t>X-Men: Apocalypse</t>
        </is>
      </c>
      <c r="F7010" t="inlineStr">
        <is>
          <t>F0342</t>
        </is>
      </c>
    </row>
    <row r="7011">
      <c r="A7011" t="inlineStr">
        <is>
          <t>Tye Sheridan</t>
        </is>
      </c>
      <c r="B7011" t="n">
        <v>1</v>
      </c>
      <c r="C7011" t="n">
        <v>2016</v>
      </c>
      <c r="D7011" t="n">
        <v>2016</v>
      </c>
      <c r="E7011" t="inlineStr">
        <is>
          <t>X-Men: Apocalypse</t>
        </is>
      </c>
      <c r="F7011" t="inlineStr">
        <is>
          <t>F0342</t>
        </is>
      </c>
    </row>
    <row r="7012">
      <c r="A7012" t="inlineStr">
        <is>
          <t>Lana Condor</t>
        </is>
      </c>
      <c r="B7012" t="n">
        <v>1</v>
      </c>
      <c r="C7012" t="n">
        <v>2016</v>
      </c>
      <c r="D7012" t="n">
        <v>2016</v>
      </c>
      <c r="E7012" t="inlineStr">
        <is>
          <t>X-Men: Apocalypse</t>
        </is>
      </c>
      <c r="F7012" t="inlineStr">
        <is>
          <t>F0342</t>
        </is>
      </c>
    </row>
    <row r="7013">
      <c r="A7013" t="inlineStr">
        <is>
          <t>Warren Scherer</t>
        </is>
      </c>
      <c r="B7013" t="n">
        <v>1</v>
      </c>
      <c r="C7013" t="n">
        <v>2016</v>
      </c>
      <c r="D7013" t="n">
        <v>2016</v>
      </c>
      <c r="E7013" t="inlineStr">
        <is>
          <t>X-Men: Apocalypse</t>
        </is>
      </c>
      <c r="F7013" t="inlineStr">
        <is>
          <t>F0342</t>
        </is>
      </c>
    </row>
    <row r="7014">
      <c r="A7014" t="inlineStr">
        <is>
          <t>Rochelle Okoye</t>
        </is>
      </c>
      <c r="B7014" t="n">
        <v>1</v>
      </c>
      <c r="C7014" t="n">
        <v>2016</v>
      </c>
      <c r="D7014" t="n">
        <v>2016</v>
      </c>
      <c r="E7014" t="inlineStr">
        <is>
          <t>X-Men: Apocalypse</t>
        </is>
      </c>
      <c r="F7014" t="inlineStr">
        <is>
          <t>F0342</t>
        </is>
      </c>
    </row>
    <row r="7015">
      <c r="A7015" t="inlineStr">
        <is>
          <t>Monique Ganderton</t>
        </is>
      </c>
      <c r="B7015" t="n">
        <v>1</v>
      </c>
      <c r="C7015" t="n">
        <v>2016</v>
      </c>
      <c r="D7015" t="n">
        <v>2016</v>
      </c>
      <c r="E7015" t="inlineStr">
        <is>
          <t>X-Men: Apocalypse</t>
        </is>
      </c>
      <c r="F7015" t="inlineStr">
        <is>
          <t>F0342</t>
        </is>
      </c>
    </row>
    <row r="7016">
      <c r="A7016" t="inlineStr">
        <is>
          <t>Abdulla Hamam</t>
        </is>
      </c>
      <c r="B7016" t="n">
        <v>1</v>
      </c>
      <c r="C7016" t="n">
        <v>2016</v>
      </c>
      <c r="D7016" t="n">
        <v>2016</v>
      </c>
      <c r="E7016" t="inlineStr">
        <is>
          <t>X-Men: Apocalypse</t>
        </is>
      </c>
      <c r="F7016" t="inlineStr">
        <is>
          <t>F0342</t>
        </is>
      </c>
    </row>
    <row r="7017">
      <c r="A7017" t="inlineStr">
        <is>
          <t>Hesham Hammoud</t>
        </is>
      </c>
      <c r="B7017" t="n">
        <v>1</v>
      </c>
      <c r="C7017" t="n">
        <v>2016</v>
      </c>
      <c r="D7017" t="n">
        <v>2016</v>
      </c>
      <c r="E7017" t="inlineStr">
        <is>
          <t>X-Men: Apocalypse</t>
        </is>
      </c>
      <c r="F7017" t="inlineStr">
        <is>
          <t>F0342</t>
        </is>
      </c>
    </row>
    <row r="7018">
      <c r="A7018" t="inlineStr">
        <is>
          <t>Antonio Daniel Hidalgo</t>
        </is>
      </c>
      <c r="B7018" t="n">
        <v>1</v>
      </c>
      <c r="C7018" t="n">
        <v>2016</v>
      </c>
      <c r="D7018" t="n">
        <v>2016</v>
      </c>
      <c r="E7018" t="inlineStr">
        <is>
          <t>X-Men: Apocalypse</t>
        </is>
      </c>
      <c r="F7018" t="inlineStr">
        <is>
          <t>F0342</t>
        </is>
      </c>
    </row>
    <row r="7019">
      <c r="A7019" t="inlineStr">
        <is>
          <t>Al Maini</t>
        </is>
      </c>
      <c r="B7019" t="n">
        <v>1</v>
      </c>
      <c r="C7019" t="n">
        <v>2016</v>
      </c>
      <c r="D7019" t="n">
        <v>2016</v>
      </c>
      <c r="E7019" t="inlineStr">
        <is>
          <t>X-Men: Apocalypse</t>
        </is>
      </c>
      <c r="F7019" t="inlineStr">
        <is>
          <t>F0342</t>
        </is>
      </c>
    </row>
    <row r="7020">
      <c r="A7020" t="inlineStr">
        <is>
          <t>Berdj Garabedian</t>
        </is>
      </c>
      <c r="B7020" t="n">
        <v>1</v>
      </c>
      <c r="C7020" t="n">
        <v>2016</v>
      </c>
      <c r="D7020" t="n">
        <v>2016</v>
      </c>
      <c r="E7020" t="inlineStr">
        <is>
          <t>X-Men: Apocalypse</t>
        </is>
      </c>
      <c r="F7020" t="inlineStr">
        <is>
          <t>F0342</t>
        </is>
      </c>
    </row>
    <row r="7021">
      <c r="A7021" t="inlineStr">
        <is>
          <t>Anthony Konechny</t>
        </is>
      </c>
      <c r="B7021" t="n">
        <v>1</v>
      </c>
      <c r="C7021" t="n">
        <v>2016</v>
      </c>
      <c r="D7021" t="n">
        <v>2016</v>
      </c>
      <c r="E7021" t="inlineStr">
        <is>
          <t>X-Men: Apocalypse</t>
        </is>
      </c>
      <c r="F7021" t="inlineStr">
        <is>
          <t>F0342</t>
        </is>
      </c>
    </row>
    <row r="7022">
      <c r="A7022" t="inlineStr">
        <is>
          <t>Emma Elle Paterson</t>
        </is>
      </c>
      <c r="B7022" t="n">
        <v>1</v>
      </c>
      <c r="C7022" t="n">
        <v>2016</v>
      </c>
      <c r="D7022" t="n">
        <v>2016</v>
      </c>
      <c r="E7022" t="inlineStr">
        <is>
          <t>X-Men: Apocalypse</t>
        </is>
      </c>
      <c r="F7022" t="inlineStr">
        <is>
          <t>F0342</t>
        </is>
      </c>
    </row>
    <row r="7023">
      <c r="A7023" t="inlineStr">
        <is>
          <t>Manuel Sinor</t>
        </is>
      </c>
      <c r="B7023" t="n">
        <v>1</v>
      </c>
      <c r="C7023" t="n">
        <v>2016</v>
      </c>
      <c r="D7023" t="n">
        <v>2016</v>
      </c>
      <c r="E7023" t="inlineStr">
        <is>
          <t>X-Men: Apocalypse</t>
        </is>
      </c>
      <c r="F7023" t="inlineStr">
        <is>
          <t>F0342</t>
        </is>
      </c>
    </row>
    <row r="7024">
      <c r="A7024" t="inlineStr">
        <is>
          <t>Gustave Ouimet</t>
        </is>
      </c>
      <c r="B7024" t="n">
        <v>1</v>
      </c>
      <c r="C7024" t="n">
        <v>2016</v>
      </c>
      <c r="D7024" t="n">
        <v>2016</v>
      </c>
      <c r="E7024" t="inlineStr">
        <is>
          <t>X-Men: Apocalypse</t>
        </is>
      </c>
      <c r="F7024" t="inlineStr">
        <is>
          <t>F0342</t>
        </is>
      </c>
    </row>
    <row r="7025">
      <c r="A7025" t="inlineStr">
        <is>
          <t>Tim Pocock</t>
        </is>
      </c>
      <c r="B7025" t="n">
        <v>1</v>
      </c>
      <c r="C7025" t="n">
        <v>2009</v>
      </c>
      <c r="D7025" t="n">
        <v>2009</v>
      </c>
      <c r="E7025" t="inlineStr">
        <is>
          <t>X-Men Origins: Wolverine</t>
        </is>
      </c>
      <c r="F7025" t="inlineStr">
        <is>
          <t>F0343</t>
        </is>
      </c>
    </row>
    <row r="7026">
      <c r="A7026" t="inlineStr">
        <is>
          <t>Julia Blake</t>
        </is>
      </c>
      <c r="B7026" t="n">
        <v>1</v>
      </c>
      <c r="C7026" t="n">
        <v>2009</v>
      </c>
      <c r="D7026" t="n">
        <v>2009</v>
      </c>
      <c r="E7026" t="inlineStr">
        <is>
          <t>X-Men Origins: Wolverine</t>
        </is>
      </c>
      <c r="F7026" t="inlineStr">
        <is>
          <t>F0343</t>
        </is>
      </c>
    </row>
    <row r="7027">
      <c r="A7027" t="inlineStr">
        <is>
          <t>Troye Sivan</t>
        </is>
      </c>
      <c r="B7027" t="n">
        <v>1</v>
      </c>
      <c r="C7027" t="n">
        <v>2009</v>
      </c>
      <c r="D7027" t="n">
        <v>2009</v>
      </c>
      <c r="E7027" t="inlineStr">
        <is>
          <t>X-Men Origins: Wolverine</t>
        </is>
      </c>
      <c r="F7027" t="inlineStr">
        <is>
          <t>F0343</t>
        </is>
      </c>
    </row>
    <row r="7028">
      <c r="A7028" t="inlineStr">
        <is>
          <t>Michael-James Olsen</t>
        </is>
      </c>
      <c r="B7028" t="n">
        <v>1</v>
      </c>
      <c r="C7028" t="n">
        <v>2009</v>
      </c>
      <c r="D7028" t="n">
        <v>2009</v>
      </c>
      <c r="E7028" t="inlineStr">
        <is>
          <t>X-Men Origins: Wolverine</t>
        </is>
      </c>
      <c r="F7028" t="inlineStr">
        <is>
          <t>F0343</t>
        </is>
      </c>
    </row>
    <row r="7029">
      <c r="A7029" t="inlineStr">
        <is>
          <t>Peter O'Brien</t>
        </is>
      </c>
      <c r="B7029" t="n">
        <v>1</v>
      </c>
      <c r="C7029" t="n">
        <v>2009</v>
      </c>
      <c r="D7029" t="n">
        <v>2009</v>
      </c>
      <c r="E7029" t="inlineStr">
        <is>
          <t>X-Men Origins: Wolverine</t>
        </is>
      </c>
      <c r="F7029" t="inlineStr">
        <is>
          <t>F0343</t>
        </is>
      </c>
    </row>
    <row r="7030">
      <c r="A7030" t="inlineStr">
        <is>
          <t>Aaron Jeffery</t>
        </is>
      </c>
      <c r="B7030" t="n">
        <v>1</v>
      </c>
      <c r="C7030" t="n">
        <v>2009</v>
      </c>
      <c r="D7030" t="n">
        <v>2009</v>
      </c>
      <c r="E7030" t="inlineStr">
        <is>
          <t>X-Men Origins: Wolverine</t>
        </is>
      </c>
      <c r="F7030" t="inlineStr">
        <is>
          <t>F0343</t>
        </is>
      </c>
    </row>
    <row r="7031">
      <c r="A7031" t="inlineStr">
        <is>
          <t>Alice Parkinson</t>
        </is>
      </c>
      <c r="B7031" t="n">
        <v>1</v>
      </c>
      <c r="C7031" t="n">
        <v>2009</v>
      </c>
      <c r="D7031" t="n">
        <v>2009</v>
      </c>
      <c r="E7031" t="inlineStr">
        <is>
          <t>X-Men Origins: Wolverine</t>
        </is>
      </c>
      <c r="F7031" t="inlineStr">
        <is>
          <t>F0343</t>
        </is>
      </c>
    </row>
    <row r="7032">
      <c r="A7032" t="inlineStr">
        <is>
          <t>Philip A. Patterson</t>
        </is>
      </c>
      <c r="B7032" t="n">
        <v>1</v>
      </c>
      <c r="C7032" t="n">
        <v>2009</v>
      </c>
      <c r="D7032" t="n">
        <v>2009</v>
      </c>
      <c r="E7032" t="inlineStr">
        <is>
          <t>X-Men Origins: Wolverine</t>
        </is>
      </c>
      <c r="F7032" t="inlineStr">
        <is>
          <t>F0343</t>
        </is>
      </c>
    </row>
    <row r="7033">
      <c r="A7033" t="inlineStr">
        <is>
          <t>Anthony Gee</t>
        </is>
      </c>
      <c r="B7033" t="n">
        <v>1</v>
      </c>
      <c r="C7033" t="n">
        <v>2009</v>
      </c>
      <c r="D7033" t="n">
        <v>2009</v>
      </c>
      <c r="E7033" t="inlineStr">
        <is>
          <t>X-Men Origins: Wolverine</t>
        </is>
      </c>
      <c r="F7033" t="inlineStr">
        <is>
          <t>F0343</t>
        </is>
      </c>
    </row>
    <row r="7034">
      <c r="A7034" t="inlineStr">
        <is>
          <t>Karl Beattie</t>
        </is>
      </c>
      <c r="B7034" t="n">
        <v>1</v>
      </c>
      <c r="C7034" t="n">
        <v>2009</v>
      </c>
      <c r="D7034" t="n">
        <v>2009</v>
      </c>
      <c r="E7034" t="inlineStr">
        <is>
          <t>X-Men Origins: Wolverine</t>
        </is>
      </c>
      <c r="F7034" t="inlineStr">
        <is>
          <t>F0343</t>
        </is>
      </c>
    </row>
    <row r="7035">
      <c r="A7035" t="inlineStr">
        <is>
          <t>Tom O'Sullivan</t>
        </is>
      </c>
      <c r="B7035" t="n">
        <v>1</v>
      </c>
      <c r="C7035" t="n">
        <v>2009</v>
      </c>
      <c r="D7035" t="n">
        <v>2009</v>
      </c>
      <c r="E7035" t="inlineStr">
        <is>
          <t>X-Men Origins: Wolverine</t>
        </is>
      </c>
      <c r="F7035" t="inlineStr">
        <is>
          <t>F0343</t>
        </is>
      </c>
    </row>
    <row r="7036">
      <c r="A7036" t="inlineStr">
        <is>
          <t>Myles Pollard</t>
        </is>
      </c>
      <c r="B7036" t="n">
        <v>1</v>
      </c>
      <c r="C7036" t="n">
        <v>2009</v>
      </c>
      <c r="D7036" t="n">
        <v>2009</v>
      </c>
      <c r="E7036" t="inlineStr">
        <is>
          <t>X-Men Origins: Wolverine</t>
        </is>
      </c>
      <c r="F7036" t="inlineStr">
        <is>
          <t>F0343</t>
        </is>
      </c>
    </row>
    <row r="7037">
      <c r="A7037" t="inlineStr">
        <is>
          <t>Stephen Anderton</t>
        </is>
      </c>
      <c r="B7037" t="n">
        <v>1</v>
      </c>
      <c r="C7037" t="n">
        <v>2009</v>
      </c>
      <c r="D7037" t="n">
        <v>2009</v>
      </c>
      <c r="E7037" t="inlineStr">
        <is>
          <t>X-Men Origins: Wolverine</t>
        </is>
      </c>
      <c r="F7037" t="inlineStr">
        <is>
          <t>F0343</t>
        </is>
      </c>
    </row>
    <row r="7038">
      <c r="A7038" t="inlineStr">
        <is>
          <t>Chris Sadrinna</t>
        </is>
      </c>
      <c r="B7038" t="n">
        <v>1</v>
      </c>
      <c r="C7038" t="n">
        <v>2009</v>
      </c>
      <c r="D7038" t="n">
        <v>2009</v>
      </c>
      <c r="E7038" t="inlineStr">
        <is>
          <t>X-Men Origins: Wolverine</t>
        </is>
      </c>
      <c r="F7038" t="inlineStr">
        <is>
          <t>F0343</t>
        </is>
      </c>
    </row>
    <row r="7039">
      <c r="A7039" t="inlineStr">
        <is>
          <t>Septimus Caton</t>
        </is>
      </c>
      <c r="B7039" t="n">
        <v>1</v>
      </c>
      <c r="C7039" t="n">
        <v>2009</v>
      </c>
      <c r="D7039" t="n">
        <v>2009</v>
      </c>
      <c r="E7039" t="inlineStr">
        <is>
          <t>X-Men Origins: Wolverine</t>
        </is>
      </c>
      <c r="F7039" t="inlineStr">
        <is>
          <t>F0343</t>
        </is>
      </c>
    </row>
    <row r="7040">
      <c r="A7040" t="inlineStr">
        <is>
          <t>Matthew Dale</t>
        </is>
      </c>
      <c r="B7040" t="n">
        <v>1</v>
      </c>
      <c r="C7040" t="n">
        <v>2009</v>
      </c>
      <c r="D7040" t="n">
        <v>2009</v>
      </c>
      <c r="E7040" t="inlineStr">
        <is>
          <t>X-Men Origins: Wolverine</t>
        </is>
      </c>
      <c r="F7040" t="inlineStr">
        <is>
          <t>F0343</t>
        </is>
      </c>
    </row>
    <row r="7041">
      <c r="A7041" t="inlineStr">
        <is>
          <t>Nathin Art Butler</t>
        </is>
      </c>
      <c r="B7041" t="n">
        <v>1</v>
      </c>
      <c r="C7041" t="n">
        <v>2009</v>
      </c>
      <c r="D7041" t="n">
        <v>2009</v>
      </c>
      <c r="E7041" t="inlineStr">
        <is>
          <t>X-Men Origins: Wolverine</t>
        </is>
      </c>
      <c r="F7041" t="inlineStr">
        <is>
          <t>F0343</t>
        </is>
      </c>
    </row>
    <row r="7042">
      <c r="A7042" t="inlineStr">
        <is>
          <t>Peter Barry</t>
        </is>
      </c>
      <c r="B7042" t="n">
        <v>1</v>
      </c>
      <c r="C7042" t="n">
        <v>2009</v>
      </c>
      <c r="D7042" t="n">
        <v>2009</v>
      </c>
      <c r="E7042" t="inlineStr">
        <is>
          <t>X-Men Origins: Wolverine</t>
        </is>
      </c>
      <c r="F7042" t="inlineStr">
        <is>
          <t>F0343</t>
        </is>
      </c>
    </row>
    <row r="7043">
      <c r="A7043" t="inlineStr">
        <is>
          <t>Bruce Davison</t>
        </is>
      </c>
      <c r="B7043" t="n">
        <v>2</v>
      </c>
      <c r="C7043" t="n">
        <v>2000</v>
      </c>
      <c r="D7043" t="n">
        <v>2003</v>
      </c>
      <c r="E7043" t="inlineStr">
        <is>
          <t>X-Men, X2: X-Men United</t>
        </is>
      </c>
      <c r="F7043" t="inlineStr">
        <is>
          <t>F0344, F0345</t>
        </is>
      </c>
    </row>
    <row r="7044">
      <c r="A7044" t="inlineStr">
        <is>
          <t>Terry Anzur</t>
        </is>
      </c>
      <c r="B7044" t="n">
        <v>1</v>
      </c>
      <c r="C7044" t="n">
        <v>2000</v>
      </c>
      <c r="D7044" t="n">
        <v>2000</v>
      </c>
      <c r="E7044" t="inlineStr">
        <is>
          <t>X-Men</t>
        </is>
      </c>
      <c r="F7044" t="inlineStr">
        <is>
          <t>F0344</t>
        </is>
      </c>
    </row>
    <row r="7045">
      <c r="A7045" t="inlineStr">
        <is>
          <t>Bryan Singer</t>
        </is>
      </c>
      <c r="B7045" t="n">
        <v>1</v>
      </c>
      <c r="C7045" t="n">
        <v>2000</v>
      </c>
      <c r="D7045" t="n">
        <v>2000</v>
      </c>
      <c r="E7045" t="inlineStr">
        <is>
          <t>X-Men</t>
        </is>
      </c>
      <c r="F7045" t="inlineStr">
        <is>
          <t>F0344</t>
        </is>
      </c>
    </row>
    <row r="7046">
      <c r="A7046" t="inlineStr">
        <is>
          <t>Tom DeSanto</t>
        </is>
      </c>
      <c r="B7046" t="n">
        <v>1</v>
      </c>
      <c r="C7046" t="n">
        <v>2000</v>
      </c>
      <c r="D7046" t="n">
        <v>2000</v>
      </c>
      <c r="E7046" t="inlineStr">
        <is>
          <t>X-Men</t>
        </is>
      </c>
      <c r="F7046" t="inlineStr">
        <is>
          <t>F0344</t>
        </is>
      </c>
    </row>
    <row r="7047">
      <c r="A7047" t="inlineStr">
        <is>
          <t>Dick Anthony Williams</t>
        </is>
      </c>
      <c r="B7047" t="n">
        <v>1</v>
      </c>
      <c r="C7047" t="n">
        <v>2000</v>
      </c>
      <c r="D7047" t="n">
        <v>2000</v>
      </c>
      <c r="E7047" t="inlineStr">
        <is>
          <t>X-Men</t>
        </is>
      </c>
      <c r="F7047" t="inlineStr">
        <is>
          <t>F0344</t>
        </is>
      </c>
    </row>
    <row r="7048">
      <c r="A7048" t="inlineStr">
        <is>
          <t>Lauren Shuler Donner</t>
        </is>
      </c>
      <c r="B7048" t="n">
        <v>1</v>
      </c>
      <c r="C7048" t="n">
        <v>2000</v>
      </c>
      <c r="D7048" t="n">
        <v>2000</v>
      </c>
      <c r="E7048" t="inlineStr">
        <is>
          <t>X-Men</t>
        </is>
      </c>
      <c r="F7048" t="inlineStr">
        <is>
          <t>F0344</t>
        </is>
      </c>
    </row>
    <row r="7049">
      <c r="A7049" t="inlineStr">
        <is>
          <t>Patti Yasutake</t>
        </is>
      </c>
      <c r="B7049" t="n">
        <v>1</v>
      </c>
      <c r="C7049" t="n">
        <v>2000</v>
      </c>
      <c r="D7049" t="n">
        <v>2000</v>
      </c>
      <c r="E7049" t="inlineStr">
        <is>
          <t>X-Men</t>
        </is>
      </c>
      <c r="F7049" t="inlineStr">
        <is>
          <t>F0344</t>
        </is>
      </c>
    </row>
    <row r="7050">
      <c r="A7050" t="inlineStr">
        <is>
          <t>Rebecca Romijn</t>
        </is>
      </c>
      <c r="B7050" t="n">
        <v>3</v>
      </c>
      <c r="C7050" t="n">
        <v>2000</v>
      </c>
      <c r="D7050" t="n">
        <v>2006</v>
      </c>
      <c r="E7050" t="inlineStr">
        <is>
          <t>X-Men, X2: X-Men United, X-Men: The Last Stand</t>
        </is>
      </c>
      <c r="F7050" t="inlineStr">
        <is>
          <t>F0344, F0345, F0346</t>
        </is>
      </c>
    </row>
    <row r="7051">
      <c r="A7051" t="inlineStr">
        <is>
          <t>Doug McGrath</t>
        </is>
      </c>
      <c r="B7051" t="n">
        <v>1</v>
      </c>
      <c r="C7051" t="n">
        <v>2000</v>
      </c>
      <c r="D7051" t="n">
        <v>2000</v>
      </c>
      <c r="E7051" t="inlineStr">
        <is>
          <t>X-Men</t>
        </is>
      </c>
      <c r="F7051" t="inlineStr">
        <is>
          <t>F0344</t>
        </is>
      </c>
    </row>
    <row r="7052">
      <c r="A7052" t="inlineStr">
        <is>
          <t>Gordon J. Smith</t>
        </is>
      </c>
      <c r="B7052" t="n">
        <v>1</v>
      </c>
      <c r="C7052" t="n">
        <v>2000</v>
      </c>
      <c r="D7052" t="n">
        <v>2000</v>
      </c>
      <c r="E7052" t="inlineStr">
        <is>
          <t>X-Men</t>
        </is>
      </c>
      <c r="F7052" t="inlineStr">
        <is>
          <t>F0344</t>
        </is>
      </c>
    </row>
    <row r="7053">
      <c r="A7053" t="inlineStr">
        <is>
          <t>Bob Harras</t>
        </is>
      </c>
      <c r="B7053" t="n">
        <v>1</v>
      </c>
      <c r="C7053" t="n">
        <v>2000</v>
      </c>
      <c r="D7053" t="n">
        <v>2000</v>
      </c>
      <c r="E7053" t="inlineStr">
        <is>
          <t>X-Men</t>
        </is>
      </c>
      <c r="F7053" t="inlineStr">
        <is>
          <t>F0344</t>
        </is>
      </c>
    </row>
    <row r="7054">
      <c r="A7054" t="inlineStr">
        <is>
          <t>Avi Arad</t>
        </is>
      </c>
      <c r="B7054" t="n">
        <v>1</v>
      </c>
      <c r="C7054" t="n">
        <v>2000</v>
      </c>
      <c r="D7054" t="n">
        <v>2000</v>
      </c>
      <c r="E7054" t="inlineStr">
        <is>
          <t>X-Men</t>
        </is>
      </c>
      <c r="F7054" t="inlineStr">
        <is>
          <t>F0344</t>
        </is>
      </c>
    </row>
    <row r="7055">
      <c r="A7055" t="inlineStr">
        <is>
          <t>Samantha Brooks</t>
        </is>
      </c>
      <c r="B7055" t="n">
        <v>1</v>
      </c>
      <c r="C7055" t="n">
        <v>2000</v>
      </c>
      <c r="D7055" t="n">
        <v>2000</v>
      </c>
      <c r="E7055" t="inlineStr">
        <is>
          <t>X-Men</t>
        </is>
      </c>
      <c r="F7055" t="inlineStr">
        <is>
          <t>F0344</t>
        </is>
      </c>
    </row>
    <row r="7056">
      <c r="A7056" t="inlineStr">
        <is>
          <t>Alan Cumming</t>
        </is>
      </c>
      <c r="B7056" t="n">
        <v>1</v>
      </c>
      <c r="C7056" t="n">
        <v>2003</v>
      </c>
      <c r="D7056" t="n">
        <v>2003</v>
      </c>
      <c r="E7056" t="inlineStr">
        <is>
          <t>X2: X-Men United</t>
        </is>
      </c>
      <c r="F7056" t="inlineStr">
        <is>
          <t>F0345</t>
        </is>
      </c>
    </row>
    <row r="7057">
      <c r="A7057" t="inlineStr">
        <is>
          <t>Kelly Hu</t>
        </is>
      </c>
      <c r="B7057" t="n">
        <v>1</v>
      </c>
      <c r="C7057" t="n">
        <v>2003</v>
      </c>
      <c r="D7057" t="n">
        <v>2003</v>
      </c>
      <c r="E7057" t="inlineStr">
        <is>
          <t>X2: X-Men United</t>
        </is>
      </c>
      <c r="F7057" t="inlineStr">
        <is>
          <t>F0345</t>
        </is>
      </c>
    </row>
    <row r="7058">
      <c r="A7058" t="inlineStr">
        <is>
          <t>Katie Stuart</t>
        </is>
      </c>
      <c r="B7058" t="n">
        <v>1</v>
      </c>
      <c r="C7058" t="n">
        <v>2003</v>
      </c>
      <c r="D7058" t="n">
        <v>2003</v>
      </c>
      <c r="E7058" t="inlineStr">
        <is>
          <t>X2: X-Men United</t>
        </is>
      </c>
      <c r="F7058" t="inlineStr">
        <is>
          <t>F0345</t>
        </is>
      </c>
    </row>
    <row r="7059">
      <c r="A7059" t="inlineStr">
        <is>
          <t>Cotter Smith</t>
        </is>
      </c>
      <c r="B7059" t="n">
        <v>1</v>
      </c>
      <c r="C7059" t="n">
        <v>2003</v>
      </c>
      <c r="D7059" t="n">
        <v>2003</v>
      </c>
      <c r="E7059" t="inlineStr">
        <is>
          <t>X2: X-Men United</t>
        </is>
      </c>
      <c r="F7059" t="inlineStr">
        <is>
          <t>F0345</t>
        </is>
      </c>
    </row>
    <row r="7060">
      <c r="A7060" t="inlineStr">
        <is>
          <t>James Kirk</t>
        </is>
      </c>
      <c r="B7060" t="n">
        <v>1</v>
      </c>
      <c r="C7060" t="n">
        <v>2003</v>
      </c>
      <c r="D7060" t="n">
        <v>2003</v>
      </c>
      <c r="E7060" t="inlineStr">
        <is>
          <t>X2: X-Men United</t>
        </is>
      </c>
      <c r="F7060" t="inlineStr">
        <is>
          <t>F0345</t>
        </is>
      </c>
    </row>
    <row r="7061">
      <c r="A7061" t="inlineStr">
        <is>
          <t>Jill Teed</t>
        </is>
      </c>
      <c r="B7061" t="n">
        <v>1</v>
      </c>
      <c r="C7061" t="n">
        <v>2003</v>
      </c>
      <c r="D7061" t="n">
        <v>2003</v>
      </c>
      <c r="E7061" t="inlineStr">
        <is>
          <t>X2: X-Men United</t>
        </is>
      </c>
      <c r="F7061" t="inlineStr">
        <is>
          <t>F0345</t>
        </is>
      </c>
    </row>
    <row r="7062">
      <c r="A7062" t="inlineStr">
        <is>
          <t>Alf Humphreys</t>
        </is>
      </c>
      <c r="B7062" t="n">
        <v>1</v>
      </c>
      <c r="C7062" t="n">
        <v>2003</v>
      </c>
      <c r="D7062" t="n">
        <v>2003</v>
      </c>
      <c r="E7062" t="inlineStr">
        <is>
          <t>X2: X-Men United</t>
        </is>
      </c>
      <c r="F7062" t="inlineStr">
        <is>
          <t>F0345</t>
        </is>
      </c>
    </row>
    <row r="7063">
      <c r="A7063" t="inlineStr">
        <is>
          <t>Kea Wong</t>
        </is>
      </c>
      <c r="B7063" t="n">
        <v>1</v>
      </c>
      <c r="C7063" t="n">
        <v>2003</v>
      </c>
      <c r="D7063" t="n">
        <v>2003</v>
      </c>
      <c r="E7063" t="inlineStr">
        <is>
          <t>X2: X-Men United</t>
        </is>
      </c>
      <c r="F7063" t="inlineStr">
        <is>
          <t>F0345</t>
        </is>
      </c>
    </row>
    <row r="7064">
      <c r="A7064" t="inlineStr">
        <is>
          <t>Chiara Zanni</t>
        </is>
      </c>
      <c r="B7064" t="n">
        <v>1</v>
      </c>
      <c r="C7064" t="n">
        <v>2003</v>
      </c>
      <c r="D7064" t="n">
        <v>2003</v>
      </c>
      <c r="E7064" t="inlineStr">
        <is>
          <t>X2: X-Men United</t>
        </is>
      </c>
      <c r="F7064" t="inlineStr">
        <is>
          <t>F0345</t>
        </is>
      </c>
    </row>
    <row r="7065">
      <c r="A7065" t="inlineStr">
        <is>
          <t>Jackie A. Greenbank</t>
        </is>
      </c>
      <c r="B7065" t="n">
        <v>1</v>
      </c>
      <c r="C7065" t="n">
        <v>2003</v>
      </c>
      <c r="D7065" t="n">
        <v>2003</v>
      </c>
      <c r="E7065" t="inlineStr">
        <is>
          <t>X2: X-Men United</t>
        </is>
      </c>
      <c r="F7065" t="inlineStr">
        <is>
          <t>F0345</t>
        </is>
      </c>
    </row>
    <row r="7066">
      <c r="A7066" t="inlineStr">
        <is>
          <t>Michael Soltis</t>
        </is>
      </c>
      <c r="B7066" t="n">
        <v>1</v>
      </c>
      <c r="C7066" t="n">
        <v>2003</v>
      </c>
      <c r="D7066" t="n">
        <v>2003</v>
      </c>
      <c r="E7066" t="inlineStr">
        <is>
          <t>X2: X-Men United</t>
        </is>
      </c>
      <c r="F7066" t="inlineStr">
        <is>
          <t>F0345</t>
        </is>
      </c>
    </row>
    <row r="7067">
      <c r="A7067" t="inlineStr">
        <is>
          <t>Michael David Simms</t>
        </is>
      </c>
      <c r="B7067" t="n">
        <v>1</v>
      </c>
      <c r="C7067" t="n">
        <v>2003</v>
      </c>
      <c r="D7067" t="n">
        <v>2003</v>
      </c>
      <c r="E7067" t="inlineStr">
        <is>
          <t>X2: X-Men United</t>
        </is>
      </c>
      <c r="F7067" t="inlineStr">
        <is>
          <t>F0345</t>
        </is>
      </c>
    </row>
    <row r="7068">
      <c r="A7068" t="inlineStr">
        <is>
          <t>David Fabrizio</t>
        </is>
      </c>
      <c r="B7068" t="n">
        <v>1</v>
      </c>
      <c r="C7068" t="n">
        <v>2003</v>
      </c>
      <c r="D7068" t="n">
        <v>2003</v>
      </c>
      <c r="E7068" t="inlineStr">
        <is>
          <t>X2: X-Men United</t>
        </is>
      </c>
      <c r="F7068" t="inlineStr">
        <is>
          <t>F0345</t>
        </is>
      </c>
    </row>
    <row r="7069">
      <c r="A7069" t="inlineStr">
        <is>
          <t>Richard Bradshaw</t>
        </is>
      </c>
      <c r="B7069" t="n">
        <v>1</v>
      </c>
      <c r="C7069" t="n">
        <v>2003</v>
      </c>
      <c r="D7069" t="n">
        <v>2003</v>
      </c>
      <c r="E7069" t="inlineStr">
        <is>
          <t>X2: X-Men United</t>
        </is>
      </c>
      <c r="F7069" t="inlineStr">
        <is>
          <t>F0345</t>
        </is>
      </c>
    </row>
    <row r="7070">
      <c r="A7070" t="inlineStr">
        <is>
          <t>Vinnie Jones</t>
        </is>
      </c>
      <c r="B7070" t="n">
        <v>1</v>
      </c>
      <c r="C7070" t="n">
        <v>2006</v>
      </c>
      <c r="D7070" t="n">
        <v>2006</v>
      </c>
      <c r="E7070" t="inlineStr">
        <is>
          <t>X-Men: The Last Stand</t>
        </is>
      </c>
      <c r="F7070" t="inlineStr">
        <is>
          <t>F0346</t>
        </is>
      </c>
    </row>
    <row r="7071">
      <c r="A7071" t="inlineStr">
        <is>
          <t>Dania Ramirez</t>
        </is>
      </c>
      <c r="B7071" t="n">
        <v>1</v>
      </c>
      <c r="C7071" t="n">
        <v>2006</v>
      </c>
      <c r="D7071" t="n">
        <v>2006</v>
      </c>
      <c r="E7071" t="inlineStr">
        <is>
          <t>X-Men: The Last Stand</t>
        </is>
      </c>
      <c r="F7071" t="inlineStr">
        <is>
          <t>F0346</t>
        </is>
      </c>
    </row>
    <row r="7072">
      <c r="A7072" t="inlineStr">
        <is>
          <t>Shohreh Aghdashloo</t>
        </is>
      </c>
      <c r="B7072" t="n">
        <v>1</v>
      </c>
      <c r="C7072" t="n">
        <v>2006</v>
      </c>
      <c r="D7072" t="n">
        <v>2006</v>
      </c>
      <c r="E7072" t="inlineStr">
        <is>
          <t>X-Men: The Last Stand</t>
        </is>
      </c>
      <c r="F7072" t="inlineStr">
        <is>
          <t>F0346</t>
        </is>
      </c>
    </row>
    <row r="7073">
      <c r="A7073" t="inlineStr">
        <is>
          <t>Josef Sommer</t>
        </is>
      </c>
      <c r="B7073" t="n">
        <v>1</v>
      </c>
      <c r="C7073" t="n">
        <v>2006</v>
      </c>
      <c r="D7073" t="n">
        <v>2006</v>
      </c>
      <c r="E7073" t="inlineStr">
        <is>
          <t>X-Men: The Last Stand</t>
        </is>
      </c>
      <c r="F7073" t="inlineStr">
        <is>
          <t>F0346</t>
        </is>
      </c>
    </row>
    <row r="7074">
      <c r="A7074" t="inlineStr">
        <is>
          <t>Bill Duke</t>
        </is>
      </c>
      <c r="B7074" t="n">
        <v>1</v>
      </c>
      <c r="C7074" t="n">
        <v>2006</v>
      </c>
      <c r="D7074" t="n">
        <v>2006</v>
      </c>
      <c r="E7074" t="inlineStr">
        <is>
          <t>X-Men: The Last Stand</t>
        </is>
      </c>
      <c r="F7074" t="inlineStr">
        <is>
          <t>F0346</t>
        </is>
      </c>
    </row>
    <row r="7075">
      <c r="A7075" t="inlineStr">
        <is>
          <t>Eric Dane</t>
        </is>
      </c>
      <c r="B7075" t="n">
        <v>1</v>
      </c>
      <c r="C7075" t="n">
        <v>2006</v>
      </c>
      <c r="D7075" t="n">
        <v>2006</v>
      </c>
      <c r="E7075" t="inlineStr">
        <is>
          <t>X-Men: The Last Stand</t>
        </is>
      </c>
      <c r="F7075" t="inlineStr">
        <is>
          <t>F0346</t>
        </is>
      </c>
    </row>
    <row r="7076">
      <c r="A7076" t="inlineStr">
        <is>
          <t>Desiree Zurowski</t>
        </is>
      </c>
      <c r="B7076" t="n">
        <v>1</v>
      </c>
      <c r="C7076" t="n">
        <v>2006</v>
      </c>
      <c r="D7076" t="n">
        <v>2006</v>
      </c>
      <c r="E7076" t="inlineStr">
        <is>
          <t>X-Men: The Last Stand</t>
        </is>
      </c>
      <c r="F7076" t="inlineStr">
        <is>
          <t>F0346</t>
        </is>
      </c>
    </row>
    <row r="7077">
      <c r="A7077" t="inlineStr">
        <is>
          <t>Haley Ramm</t>
        </is>
      </c>
      <c r="B7077" t="n">
        <v>1</v>
      </c>
      <c r="C7077" t="n">
        <v>2006</v>
      </c>
      <c r="D7077" t="n">
        <v>2006</v>
      </c>
      <c r="E7077" t="inlineStr">
        <is>
          <t>X-Men: The Last Stand</t>
        </is>
      </c>
      <c r="F7077" t="inlineStr">
        <is>
          <t>F0346</t>
        </is>
      </c>
    </row>
    <row r="7078">
      <c r="A7078" t="inlineStr">
        <is>
          <t>Chris Claremont</t>
        </is>
      </c>
      <c r="B7078" t="n">
        <v>1</v>
      </c>
      <c r="C7078" t="n">
        <v>2006</v>
      </c>
      <c r="D7078" t="n">
        <v>2006</v>
      </c>
      <c r="E7078" t="inlineStr">
        <is>
          <t>X-Men: The Last Stand</t>
        </is>
      </c>
      <c r="F7078" t="inlineStr">
        <is>
          <t>F0346</t>
        </is>
      </c>
    </row>
    <row r="7079">
      <c r="A7079" t="inlineStr">
        <is>
          <t>Cayden Boyd</t>
        </is>
      </c>
      <c r="B7079" t="n">
        <v>1</v>
      </c>
      <c r="C7079" t="n">
        <v>2006</v>
      </c>
      <c r="D7079" t="n">
        <v>2006</v>
      </c>
      <c r="E7079" t="inlineStr">
        <is>
          <t>X-Men: The Last Stand</t>
        </is>
      </c>
      <c r="F7079" t="inlineStr">
        <is>
          <t>F0346</t>
        </is>
      </c>
    </row>
    <row r="7080">
      <c r="A7080" t="inlineStr">
        <is>
          <t>Tanya Newbould</t>
        </is>
      </c>
      <c r="B7080" t="n">
        <v>1</v>
      </c>
      <c r="C7080" t="n">
        <v>2006</v>
      </c>
      <c r="D7080" t="n">
        <v>2006</v>
      </c>
      <c r="E7080" t="inlineStr">
        <is>
          <t>X-Men: The Last Stand</t>
        </is>
      </c>
      <c r="F7080" t="inlineStr">
        <is>
          <t>F0346</t>
        </is>
      </c>
    </row>
    <row r="7081">
      <c r="A7081" t="inlineStr">
        <is>
          <t>Anthony Heald</t>
        </is>
      </c>
      <c r="B7081" t="n">
        <v>1</v>
      </c>
      <c r="C7081" t="n">
        <v>2006</v>
      </c>
      <c r="D7081" t="n">
        <v>2006</v>
      </c>
      <c r="E7081" t="inlineStr">
        <is>
          <t>X-Men: The Last Stand</t>
        </is>
      </c>
      <c r="F7081" t="inlineStr">
        <is>
          <t>F0346</t>
        </is>
      </c>
    </row>
    <row r="7082">
      <c r="A7082" t="inlineStr">
        <is>
          <t>Cameron Bright</t>
        </is>
      </c>
      <c r="B7082" t="n">
        <v>1</v>
      </c>
      <c r="C7082" t="n">
        <v>2006</v>
      </c>
      <c r="D7082" t="n">
        <v>2006</v>
      </c>
      <c r="E7082" t="inlineStr">
        <is>
          <t>X-Men: The Last Stand</t>
        </is>
      </c>
      <c r="F7082" t="inlineStr">
        <is>
          <t>F0346</t>
        </is>
      </c>
    </row>
    <row r="7083">
      <c r="A7083" t="inlineStr">
        <is>
          <t>Svetlana Khodchenkova</t>
        </is>
      </c>
      <c r="B7083" t="n">
        <v>1</v>
      </c>
      <c r="C7083" t="n">
        <v>2013</v>
      </c>
      <c r="D7083" t="n">
        <v>2013</v>
      </c>
      <c r="E7083" t="inlineStr">
        <is>
          <t>The Wolverine</t>
        </is>
      </c>
      <c r="F7083" t="inlineStr">
        <is>
          <t>F0347</t>
        </is>
      </c>
    </row>
    <row r="7084">
      <c r="A7084" t="inlineStr">
        <is>
          <t>Hal Yamanouchi</t>
        </is>
      </c>
      <c r="B7084" t="n">
        <v>1</v>
      </c>
      <c r="C7084" t="n">
        <v>2013</v>
      </c>
      <c r="D7084" t="n">
        <v>2013</v>
      </c>
      <c r="E7084" t="inlineStr">
        <is>
          <t>The Wolverine</t>
        </is>
      </c>
      <c r="F7084" t="inlineStr">
        <is>
          <t>F0347</t>
        </is>
      </c>
    </row>
    <row r="7085">
      <c r="A7085" t="inlineStr">
        <is>
          <t>Nobutaka Aoyagi</t>
        </is>
      </c>
      <c r="B7085" t="n">
        <v>1</v>
      </c>
      <c r="C7085" t="n">
        <v>2013</v>
      </c>
      <c r="D7085" t="n">
        <v>2013</v>
      </c>
      <c r="E7085" t="inlineStr">
        <is>
          <t>The Wolverine</t>
        </is>
      </c>
      <c r="F7085" t="inlineStr">
        <is>
          <t>F0347</t>
        </is>
      </c>
    </row>
    <row r="7086">
      <c r="A7086" t="inlineStr">
        <is>
          <t>Seiji Funamoto</t>
        </is>
      </c>
      <c r="B7086" t="n">
        <v>1</v>
      </c>
      <c r="C7086" t="n">
        <v>2013</v>
      </c>
      <c r="D7086" t="n">
        <v>2013</v>
      </c>
      <c r="E7086" t="inlineStr">
        <is>
          <t>The Wolverine</t>
        </is>
      </c>
      <c r="F7086" t="inlineStr">
        <is>
          <t>F0347</t>
        </is>
      </c>
    </row>
    <row r="7087">
      <c r="A7087" t="inlineStr">
        <is>
          <t>Shinji Ikefuji</t>
        </is>
      </c>
      <c r="B7087" t="n">
        <v>1</v>
      </c>
      <c r="C7087" t="n">
        <v>2013</v>
      </c>
      <c r="D7087" t="n">
        <v>2013</v>
      </c>
      <c r="E7087" t="inlineStr">
        <is>
          <t>The Wolverine</t>
        </is>
      </c>
      <c r="F7087" t="inlineStr">
        <is>
          <t>F0347</t>
        </is>
      </c>
    </row>
    <row r="7088">
      <c r="A7088" t="inlineStr">
        <is>
          <t>Qyoko Kudo</t>
        </is>
      </c>
      <c r="B7088" t="n">
        <v>1</v>
      </c>
      <c r="C7088" t="n">
        <v>2013</v>
      </c>
      <c r="D7088" t="n">
        <v>2013</v>
      </c>
      <c r="E7088" t="inlineStr">
        <is>
          <t>The Wolverine</t>
        </is>
      </c>
      <c r="F7088" t="inlineStr">
        <is>
          <t>F0347</t>
        </is>
      </c>
    </row>
    <row r="7089">
      <c r="A7089" t="inlineStr">
        <is>
          <t>Nobuaki Kakuda</t>
        </is>
      </c>
      <c r="B7089" t="n">
        <v>1</v>
      </c>
      <c r="C7089" t="n">
        <v>2013</v>
      </c>
      <c r="D7089" t="n">
        <v>2013</v>
      </c>
      <c r="E7089" t="inlineStr">
        <is>
          <t>The Wolverine</t>
        </is>
      </c>
      <c r="F7089" t="inlineStr">
        <is>
          <t>F0347</t>
        </is>
      </c>
    </row>
    <row r="7090">
      <c r="A7090" t="inlineStr">
        <is>
          <t>Chiharu Mizuno</t>
        </is>
      </c>
      <c r="B7090" t="n">
        <v>1</v>
      </c>
      <c r="C7090" t="n">
        <v>2013</v>
      </c>
      <c r="D7090" t="n">
        <v>2013</v>
      </c>
      <c r="E7090" t="inlineStr">
        <is>
          <t>The Wolverine</t>
        </is>
      </c>
      <c r="F7090" t="inlineStr">
        <is>
          <t>F0347</t>
        </is>
      </c>
    </row>
    <row r="7091">
      <c r="A7091" t="inlineStr">
        <is>
          <t>Takao Kinoshita</t>
        </is>
      </c>
      <c r="B7091" t="n">
        <v>1</v>
      </c>
      <c r="C7091" t="n">
        <v>2013</v>
      </c>
      <c r="D7091" t="n">
        <v>2013</v>
      </c>
      <c r="E7091" t="inlineStr">
        <is>
          <t>The Wolverine</t>
        </is>
      </c>
      <c r="F7091" t="inlineStr">
        <is>
          <t>F0347</t>
        </is>
      </c>
    </row>
    <row r="7092">
      <c r="A7092" t="inlineStr">
        <is>
          <t>Conrad Coleby</t>
        </is>
      </c>
      <c r="B7092" t="n">
        <v>1</v>
      </c>
      <c r="C7092" t="n">
        <v>2013</v>
      </c>
      <c r="D7092" t="n">
        <v>2013</v>
      </c>
      <c r="E7092" t="inlineStr">
        <is>
          <t>The Wolverine</t>
        </is>
      </c>
      <c r="F7092" t="inlineStr">
        <is>
          <t>F0347</t>
        </is>
      </c>
    </row>
    <row r="7093">
      <c r="A7093" t="inlineStr">
        <is>
          <t>Taris Tyler</t>
        </is>
      </c>
      <c r="B7093" t="n">
        <v>1</v>
      </c>
      <c r="C7093" t="n">
        <v>2013</v>
      </c>
      <c r="D7093" t="n">
        <v>2013</v>
      </c>
      <c r="E7093" t="inlineStr">
        <is>
          <t>The Wolverine</t>
        </is>
      </c>
      <c r="F7093" t="inlineStr">
        <is>
          <t>F0347</t>
        </is>
      </c>
    </row>
    <row r="7094">
      <c r="A7094" t="inlineStr">
        <is>
          <t>Sarah Naylor-Liddell</t>
        </is>
      </c>
      <c r="B7094" t="n">
        <v>1</v>
      </c>
      <c r="C7094" t="n">
        <v>2013</v>
      </c>
      <c r="D7094" t="n">
        <v>2013</v>
      </c>
      <c r="E7094" t="inlineStr">
        <is>
          <t>The Wolverine</t>
        </is>
      </c>
      <c r="F7094" t="inlineStr">
        <is>
          <t>F0347</t>
        </is>
      </c>
    </row>
    <row r="7095">
      <c r="A7095" t="inlineStr">
        <is>
          <t>Joshua Remilton</t>
        </is>
      </c>
      <c r="B7095" t="n">
        <v>1</v>
      </c>
      <c r="C7095" t="n">
        <v>2013</v>
      </c>
      <c r="D7095" t="n">
        <v>2013</v>
      </c>
      <c r="E7095" t="inlineStr">
        <is>
          <t>The Wolverine</t>
        </is>
      </c>
      <c r="F7095" t="inlineStr">
        <is>
          <t>F0347</t>
        </is>
      </c>
    </row>
    <row r="7096">
      <c r="A7096" t="inlineStr">
        <is>
          <t>Andy Owens</t>
        </is>
      </c>
      <c r="B7096" t="n">
        <v>1</v>
      </c>
      <c r="C7096" t="n">
        <v>2013</v>
      </c>
      <c r="D7096" t="n">
        <v>2013</v>
      </c>
      <c r="E7096" t="inlineStr">
        <is>
          <t>The Wolverine</t>
        </is>
      </c>
      <c r="F7096" t="inlineStr">
        <is>
          <t>F0347</t>
        </is>
      </c>
    </row>
    <row r="7097">
      <c r="A7097" t="inlineStr">
        <is>
          <t>Allan Poppleton</t>
        </is>
      </c>
      <c r="B7097" t="n">
        <v>1</v>
      </c>
      <c r="C7097" t="n">
        <v>2013</v>
      </c>
      <c r="D7097" t="n">
        <v>2013</v>
      </c>
      <c r="E7097" t="inlineStr">
        <is>
          <t>The Wolverine</t>
        </is>
      </c>
      <c r="F7097" t="inlineStr">
        <is>
          <t>F0347</t>
        </is>
      </c>
    </row>
    <row r="7098">
      <c r="A7098" t="inlineStr">
        <is>
          <t>Geoff Burke</t>
        </is>
      </c>
      <c r="B7098" t="n">
        <v>1</v>
      </c>
      <c r="C7098" t="n">
        <v>2013</v>
      </c>
      <c r="D7098" t="n">
        <v>2013</v>
      </c>
      <c r="E7098" t="inlineStr">
        <is>
          <t>The Wolverine</t>
        </is>
      </c>
      <c r="F7098" t="inlineStr">
        <is>
          <t>F0347</t>
        </is>
      </c>
    </row>
    <row r="7099">
      <c r="A7099" t="inlineStr">
        <is>
          <t>Yasuyo Shiba</t>
        </is>
      </c>
      <c r="B7099" t="n">
        <v>1</v>
      </c>
      <c r="C7099" t="n">
        <v>2013</v>
      </c>
      <c r="D7099" t="n">
        <v>2013</v>
      </c>
      <c r="E7099" t="inlineStr">
        <is>
          <t>The Wolverine</t>
        </is>
      </c>
      <c r="F7099" t="inlineStr">
        <is>
          <t>F0347</t>
        </is>
      </c>
    </row>
    <row r="7100">
      <c r="A7100" t="inlineStr">
        <is>
          <t>Mai Ishikawa</t>
        </is>
      </c>
      <c r="B7100" t="n">
        <v>1</v>
      </c>
      <c r="C7100" t="n">
        <v>2013</v>
      </c>
      <c r="D7100" t="n">
        <v>2013</v>
      </c>
      <c r="E7100" t="inlineStr">
        <is>
          <t>The Wolverine</t>
        </is>
      </c>
      <c r="F7100" t="inlineStr">
        <is>
          <t>F0347</t>
        </is>
      </c>
    </row>
    <row r="7101">
      <c r="A7101" t="inlineStr">
        <is>
          <t>Yaeko Kimura</t>
        </is>
      </c>
      <c r="B7101" t="n">
        <v>1</v>
      </c>
      <c r="C7101" t="n">
        <v>2013</v>
      </c>
      <c r="D7101" t="n">
        <v>2013</v>
      </c>
      <c r="E7101" t="inlineStr">
        <is>
          <t>The Wolverine</t>
        </is>
      </c>
      <c r="F7101" t="inlineStr">
        <is>
          <t>F0347</t>
        </is>
      </c>
    </row>
    <row r="7102">
      <c r="A7102" t="inlineStr">
        <is>
          <t>Ryuta Kimura</t>
        </is>
      </c>
      <c r="B7102" t="n">
        <v>1</v>
      </c>
      <c r="C7102" t="n">
        <v>2013</v>
      </c>
      <c r="D7102" t="n">
        <v>2013</v>
      </c>
      <c r="E7102" t="inlineStr">
        <is>
          <t>The Wolverine</t>
        </is>
      </c>
      <c r="F7102" t="inlineStr">
        <is>
          <t>F0347</t>
        </is>
      </c>
    </row>
    <row r="7103">
      <c r="A7103" t="inlineStr">
        <is>
          <t>Briden Starr</t>
        </is>
      </c>
      <c r="B7103" t="n">
        <v>1</v>
      </c>
      <c r="C7103" t="n">
        <v>2013</v>
      </c>
      <c r="D7103" t="n">
        <v>2013</v>
      </c>
      <c r="E7103" t="inlineStr">
        <is>
          <t>The Wolverine</t>
        </is>
      </c>
      <c r="F7103" t="inlineStr">
        <is>
          <t>F0347</t>
        </is>
      </c>
    </row>
    <row r="7104">
      <c r="A7104" t="inlineStr">
        <is>
          <t>Maria Lukasheva</t>
        </is>
      </c>
      <c r="B7104" t="n">
        <v>1</v>
      </c>
      <c r="C7104" t="n">
        <v>2013</v>
      </c>
      <c r="D7104" t="n">
        <v>2013</v>
      </c>
      <c r="E7104" t="inlineStr">
        <is>
          <t>The Wolverine</t>
        </is>
      </c>
      <c r="F7104" t="inlineStr">
        <is>
          <t>F0347</t>
        </is>
      </c>
    </row>
    <row r="7105">
      <c r="A7105" t="inlineStr">
        <is>
          <t>Nate Corddry</t>
        </is>
      </c>
      <c r="B7105" t="n">
        <v>1</v>
      </c>
      <c r="C7105" t="n">
        <v>2010</v>
      </c>
      <c r="D7105" t="n">
        <v>2010</v>
      </c>
      <c r="E7105" t="inlineStr">
        <is>
          <t>Yogi Bear</t>
        </is>
      </c>
      <c r="F7105" t="inlineStr">
        <is>
          <t>F0348</t>
        </is>
      </c>
    </row>
    <row r="7106">
      <c r="A7106" t="inlineStr">
        <is>
          <t>Andy Daly</t>
        </is>
      </c>
      <c r="B7106" t="n">
        <v>1</v>
      </c>
      <c r="C7106" t="n">
        <v>2010</v>
      </c>
      <c r="D7106" t="n">
        <v>2010</v>
      </c>
      <c r="E7106" t="inlineStr">
        <is>
          <t>Yogi Bear</t>
        </is>
      </c>
      <c r="F7106" t="inlineStr">
        <is>
          <t>F0348</t>
        </is>
      </c>
    </row>
    <row r="7107">
      <c r="A7107" t="inlineStr">
        <is>
          <t>David Stott</t>
        </is>
      </c>
      <c r="B7107" t="n">
        <v>1</v>
      </c>
      <c r="C7107" t="n">
        <v>2010</v>
      </c>
      <c r="D7107" t="n">
        <v>2010</v>
      </c>
      <c r="E7107" t="inlineStr">
        <is>
          <t>Yogi Bear</t>
        </is>
      </c>
      <c r="F7107" t="inlineStr">
        <is>
          <t>F0348</t>
        </is>
      </c>
    </row>
    <row r="7108">
      <c r="A7108" t="inlineStr">
        <is>
          <t>Greg Johnson</t>
        </is>
      </c>
      <c r="B7108" t="n">
        <v>1</v>
      </c>
      <c r="C7108" t="n">
        <v>2010</v>
      </c>
      <c r="D7108" t="n">
        <v>2010</v>
      </c>
      <c r="E7108" t="inlineStr">
        <is>
          <t>Yogi Bear</t>
        </is>
      </c>
      <c r="F7108" t="inlineStr">
        <is>
          <t>F0348</t>
        </is>
      </c>
    </row>
    <row r="7109">
      <c r="A7109" t="inlineStr">
        <is>
          <t>Patricia Aldersley</t>
        </is>
      </c>
      <c r="B7109" t="n">
        <v>1</v>
      </c>
      <c r="C7109" t="n">
        <v>2010</v>
      </c>
      <c r="D7109" t="n">
        <v>2010</v>
      </c>
      <c r="E7109" t="inlineStr">
        <is>
          <t>Yogi Bear</t>
        </is>
      </c>
      <c r="F7109" t="inlineStr">
        <is>
          <t>F0348</t>
        </is>
      </c>
    </row>
    <row r="7110">
      <c r="A7110" t="inlineStr">
        <is>
          <t>Tim McLachlan</t>
        </is>
      </c>
      <c r="B7110" t="n">
        <v>1</v>
      </c>
      <c r="C7110" t="n">
        <v>2010</v>
      </c>
      <c r="D7110" t="n">
        <v>2010</v>
      </c>
      <c r="E7110" t="inlineStr">
        <is>
          <t>Yogi Bear</t>
        </is>
      </c>
      <c r="F7110" t="inlineStr">
        <is>
          <t>F0348</t>
        </is>
      </c>
    </row>
    <row r="7111">
      <c r="A7111" t="inlineStr">
        <is>
          <t>Josh Robert Thompson</t>
        </is>
      </c>
      <c r="B7111" t="n">
        <v>1</v>
      </c>
      <c r="C7111" t="n">
        <v>2010</v>
      </c>
      <c r="D7111" t="n">
        <v>2010</v>
      </c>
      <c r="E7111" t="inlineStr">
        <is>
          <t>Yogi Bear</t>
        </is>
      </c>
      <c r="F7111" t="inlineStr">
        <is>
          <t>F0348</t>
        </is>
      </c>
    </row>
    <row r="7112">
      <c r="A7112" t="inlineStr">
        <is>
          <t>Hayden Vernon</t>
        </is>
      </c>
      <c r="B7112" t="n">
        <v>1</v>
      </c>
      <c r="C7112" t="n">
        <v>2010</v>
      </c>
      <c r="D7112" t="n">
        <v>2010</v>
      </c>
      <c r="E7112" t="inlineStr">
        <is>
          <t>Yogi Bear</t>
        </is>
      </c>
      <c r="F7112" t="inlineStr">
        <is>
          <t>F0348</t>
        </is>
      </c>
    </row>
    <row r="7113">
      <c r="A7113" t="inlineStr">
        <is>
          <t>Barry Duffield</t>
        </is>
      </c>
      <c r="B7113" t="n">
        <v>1</v>
      </c>
      <c r="C7113" t="n">
        <v>2010</v>
      </c>
      <c r="D7113" t="n">
        <v>2010</v>
      </c>
      <c r="E7113" t="inlineStr">
        <is>
          <t>Yogi Bear</t>
        </is>
      </c>
      <c r="F7113" t="inlineStr">
        <is>
          <t>F0348</t>
        </is>
      </c>
    </row>
    <row r="7114">
      <c r="A7114" t="inlineStr">
        <is>
          <t>Suzana Srpek</t>
        </is>
      </c>
      <c r="B7114" t="n">
        <v>1</v>
      </c>
      <c r="C7114" t="n">
        <v>2010</v>
      </c>
      <c r="D7114" t="n">
        <v>2010</v>
      </c>
      <c r="E7114" t="inlineStr">
        <is>
          <t>Yogi Bear</t>
        </is>
      </c>
      <c r="F7114" t="inlineStr">
        <is>
          <t>F0348</t>
        </is>
      </c>
    </row>
    <row r="7115">
      <c r="A7115" t="inlineStr">
        <is>
          <t>Anna Dawson</t>
        </is>
      </c>
      <c r="B7115" t="n">
        <v>1</v>
      </c>
      <c r="C7115" t="n">
        <v>2010</v>
      </c>
      <c r="D7115" t="n">
        <v>2010</v>
      </c>
      <c r="E7115" t="inlineStr">
        <is>
          <t>Yogi Bear</t>
        </is>
      </c>
      <c r="F7115" t="inlineStr">
        <is>
          <t>F0348</t>
        </is>
      </c>
    </row>
    <row r="7116">
      <c r="A7116" t="inlineStr">
        <is>
          <t>Mark Duplass</t>
        </is>
      </c>
      <c r="B7116" t="n">
        <v>1</v>
      </c>
      <c r="C7116" t="n">
        <v>2012</v>
      </c>
      <c r="D7116" t="n">
        <v>2012</v>
      </c>
      <c r="E7116" t="inlineStr">
        <is>
          <t>Zero Dark Thirty</t>
        </is>
      </c>
      <c r="F7116" t="inlineStr">
        <is>
          <t>F0349</t>
        </is>
      </c>
    </row>
    <row r="7117">
      <c r="A7117" t="inlineStr">
        <is>
          <t>Reda Kateb</t>
        </is>
      </c>
      <c r="B7117" t="n">
        <v>1</v>
      </c>
      <c r="C7117" t="n">
        <v>2012</v>
      </c>
      <c r="D7117" t="n">
        <v>2012</v>
      </c>
      <c r="E7117" t="inlineStr">
        <is>
          <t>Zero Dark Thirty</t>
        </is>
      </c>
      <c r="F7117" t="inlineStr">
        <is>
          <t>F0349</t>
        </is>
      </c>
    </row>
    <row r="7118">
      <c r="A7118" t="inlineStr">
        <is>
          <t>Ricky Sekhon</t>
        </is>
      </c>
      <c r="B7118" t="n">
        <v>1</v>
      </c>
      <c r="C7118" t="n">
        <v>2012</v>
      </c>
      <c r="D7118" t="n">
        <v>2012</v>
      </c>
      <c r="E7118" t="inlineStr">
        <is>
          <t>Zero Dark Thirty</t>
        </is>
      </c>
      <c r="F7118" t="inlineStr">
        <is>
          <t>F0349</t>
        </is>
      </c>
    </row>
    <row r="7119">
      <c r="A7119" t="inlineStr">
        <is>
          <t>J.J. Kandel</t>
        </is>
      </c>
      <c r="B7119" t="n">
        <v>1</v>
      </c>
      <c r="C7119" t="n">
        <v>2012</v>
      </c>
      <c r="D7119" t="n">
        <v>2012</v>
      </c>
      <c r="E7119" t="inlineStr">
        <is>
          <t>Zero Dark Thirty</t>
        </is>
      </c>
      <c r="F7119" t="inlineStr">
        <is>
          <t>F0349</t>
        </is>
      </c>
    </row>
    <row r="7120">
      <c r="A7120" t="inlineStr">
        <is>
          <t>Martin Delaney</t>
        </is>
      </c>
      <c r="B7120" t="n">
        <v>1</v>
      </c>
      <c r="C7120" t="n">
        <v>2012</v>
      </c>
      <c r="D7120" t="n">
        <v>2012</v>
      </c>
      <c r="E7120" t="inlineStr">
        <is>
          <t>Zero Dark Thirty</t>
        </is>
      </c>
      <c r="F7120" t="inlineStr">
        <is>
          <t>F0349</t>
        </is>
      </c>
    </row>
    <row r="7121">
      <c r="A7121" t="inlineStr">
        <is>
          <t>John Barrowman</t>
        </is>
      </c>
      <c r="B7121" t="n">
        <v>1</v>
      </c>
      <c r="C7121" t="n">
        <v>2012</v>
      </c>
      <c r="D7121" t="n">
        <v>2012</v>
      </c>
      <c r="E7121" t="inlineStr">
        <is>
          <t>Zero Dark Thirty</t>
        </is>
      </c>
      <c r="F7121" t="inlineStr">
        <is>
          <t>F0349</t>
        </is>
      </c>
    </row>
    <row r="7122">
      <c r="A7122" t="inlineStr">
        <is>
          <t>Jeff Mash</t>
        </is>
      </c>
      <c r="B7122" t="n">
        <v>1</v>
      </c>
      <c r="C7122" t="n">
        <v>2012</v>
      </c>
      <c r="D7122" t="n">
        <v>2012</v>
      </c>
      <c r="E7122" t="inlineStr">
        <is>
          <t>Zero Dark Thirty</t>
        </is>
      </c>
      <c r="F7122" t="inlineStr">
        <is>
          <t>F0349</t>
        </is>
      </c>
    </row>
    <row r="7123">
      <c r="A7123" t="inlineStr">
        <is>
          <t>Taylor Kinney</t>
        </is>
      </c>
      <c r="B7123" t="n">
        <v>1</v>
      </c>
      <c r="C7123" t="n">
        <v>2012</v>
      </c>
      <c r="D7123" t="n">
        <v>2012</v>
      </c>
      <c r="E7123" t="inlineStr">
        <is>
          <t>Zero Dark Thirty</t>
        </is>
      </c>
      <c r="F7123" t="inlineStr">
        <is>
          <t>F0349</t>
        </is>
      </c>
    </row>
    <row r="7124">
      <c r="A7124" t="inlineStr">
        <is>
          <t>Callan Mulvey</t>
        </is>
      </c>
      <c r="B7124" t="n">
        <v>1</v>
      </c>
      <c r="C7124" t="n">
        <v>2012</v>
      </c>
      <c r="D7124" t="n">
        <v>2012</v>
      </c>
      <c r="E7124" t="inlineStr">
        <is>
          <t>Zero Dark Thirty</t>
        </is>
      </c>
      <c r="F7124" t="inlineStr">
        <is>
          <t>F0349</t>
        </is>
      </c>
    </row>
    <row r="7125">
      <c r="A7125" t="inlineStr">
        <is>
          <t>Phil Somerville</t>
        </is>
      </c>
      <c r="B7125" t="n">
        <v>1</v>
      </c>
      <c r="C7125" t="n">
        <v>2012</v>
      </c>
      <c r="D7125" t="n">
        <v>2012</v>
      </c>
      <c r="E7125" t="inlineStr">
        <is>
          <t>Zero Dark Thirty</t>
        </is>
      </c>
      <c r="F7125" t="inlineStr">
        <is>
          <t>F0349</t>
        </is>
      </c>
    </row>
    <row r="7126">
      <c r="A7126" t="inlineStr">
        <is>
          <t>Nash Edgerton</t>
        </is>
      </c>
      <c r="B7126" t="n">
        <v>1</v>
      </c>
      <c r="C7126" t="n">
        <v>2012</v>
      </c>
      <c r="D7126" t="n">
        <v>2012</v>
      </c>
      <c r="E7126" t="inlineStr">
        <is>
          <t>Zero Dark Thirty</t>
        </is>
      </c>
      <c r="F7126" t="inlineStr">
        <is>
          <t>F0349</t>
        </is>
      </c>
    </row>
    <row r="7127">
      <c r="A7127" t="inlineStr">
        <is>
          <t>Jessica Ann Collins</t>
        </is>
      </c>
      <c r="B7127" t="n">
        <v>1</v>
      </c>
      <c r="C7127" t="n">
        <v>2012</v>
      </c>
      <c r="D7127" t="n">
        <v>2012</v>
      </c>
      <c r="E7127" t="inlineStr">
        <is>
          <t>Zero Dark Thirty</t>
        </is>
      </c>
      <c r="F7127" t="inlineStr">
        <is>
          <t>F0349</t>
        </is>
      </c>
    </row>
    <row r="7128">
      <c r="A7128" t="inlineStr">
        <is>
          <t>Alexander Karim</t>
        </is>
      </c>
      <c r="B7128" t="n">
        <v>1</v>
      </c>
      <c r="C7128" t="n">
        <v>2012</v>
      </c>
      <c r="D7128" t="n">
        <v>2012</v>
      </c>
      <c r="E7128" t="inlineStr">
        <is>
          <t>Zero Dark Thirty</t>
        </is>
      </c>
      <c r="F7128" t="inlineStr">
        <is>
          <t>F0349</t>
        </is>
      </c>
    </row>
    <row r="7129">
      <c r="A7129" t="inlineStr">
        <is>
          <t>Elias Koteas</t>
        </is>
      </c>
      <c r="B7129" t="n">
        <v>1</v>
      </c>
      <c r="C7129" t="n">
        <v>2007</v>
      </c>
      <c r="D7129" t="n">
        <v>2007</v>
      </c>
      <c r="E7129" t="inlineStr">
        <is>
          <t>Zodiac</t>
        </is>
      </c>
      <c r="F7129" t="inlineStr">
        <is>
          <t>F0350</t>
        </is>
      </c>
    </row>
    <row r="7130">
      <c r="A7130" t="inlineStr">
        <is>
          <t>Donal Logue</t>
        </is>
      </c>
      <c r="B7130" t="n">
        <v>1</v>
      </c>
      <c r="C7130" t="n">
        <v>2007</v>
      </c>
      <c r="D7130" t="n">
        <v>2007</v>
      </c>
      <c r="E7130" t="inlineStr">
        <is>
          <t>Zodiac</t>
        </is>
      </c>
      <c r="F7130" t="inlineStr">
        <is>
          <t>F0350</t>
        </is>
      </c>
    </row>
    <row r="7131">
      <c r="A7131" t="inlineStr">
        <is>
          <t>John Lacy</t>
        </is>
      </c>
      <c r="B7131" t="n">
        <v>1</v>
      </c>
      <c r="C7131" t="n">
        <v>2007</v>
      </c>
      <c r="D7131" t="n">
        <v>2007</v>
      </c>
      <c r="E7131" t="inlineStr">
        <is>
          <t>Zodiac</t>
        </is>
      </c>
      <c r="F7131" t="inlineStr">
        <is>
          <t>F0350</t>
        </is>
      </c>
    </row>
    <row r="7132">
      <c r="A7132" t="inlineStr">
        <is>
          <t>Ed Setrakian</t>
        </is>
      </c>
      <c r="B7132" t="n">
        <v>1</v>
      </c>
      <c r="C7132" t="n">
        <v>2007</v>
      </c>
      <c r="D7132" t="n">
        <v>2007</v>
      </c>
      <c r="E7132" t="inlineStr">
        <is>
          <t>Zodiac</t>
        </is>
      </c>
      <c r="F7132" t="inlineStr">
        <is>
          <t>F0350</t>
        </is>
      </c>
    </row>
    <row r="7133">
      <c r="A7133" t="inlineStr">
        <is>
          <t>John Getz</t>
        </is>
      </c>
      <c r="B7133" t="n">
        <v>1</v>
      </c>
      <c r="C7133" t="n">
        <v>2007</v>
      </c>
      <c r="D7133" t="n">
        <v>2007</v>
      </c>
      <c r="E7133" t="inlineStr">
        <is>
          <t>Zodiac</t>
        </is>
      </c>
      <c r="F7133" t="inlineStr">
        <is>
          <t>F0350</t>
        </is>
      </c>
    </row>
    <row r="7134">
      <c r="A7134" t="inlineStr">
        <is>
          <t>John Terry</t>
        </is>
      </c>
      <c r="B7134" t="n">
        <v>1</v>
      </c>
      <c r="C7134" t="n">
        <v>2007</v>
      </c>
      <c r="D7134" t="n">
        <v>2007</v>
      </c>
      <c r="E7134" t="inlineStr">
        <is>
          <t>Zodiac</t>
        </is>
      </c>
      <c r="F7134" t="inlineStr">
        <is>
          <t>F0350</t>
        </is>
      </c>
    </row>
    <row r="7135">
      <c r="A7135" t="inlineStr">
        <is>
          <t>Candy Clark</t>
        </is>
      </c>
      <c r="B7135" t="n">
        <v>1</v>
      </c>
      <c r="C7135" t="n">
        <v>2007</v>
      </c>
      <c r="D7135" t="n">
        <v>2007</v>
      </c>
      <c r="E7135" t="inlineStr">
        <is>
          <t>Zodiac</t>
        </is>
      </c>
      <c r="F7135" t="inlineStr">
        <is>
          <t>F0350</t>
        </is>
      </c>
    </row>
    <row r="7136">
      <c r="A7136" t="inlineStr">
        <is>
          <t>Ciara Hughes</t>
        </is>
      </c>
      <c r="B7136" t="n">
        <v>1</v>
      </c>
      <c r="C7136" t="n">
        <v>2007</v>
      </c>
      <c r="D7136" t="n">
        <v>2007</v>
      </c>
      <c r="E7136" t="inlineStr">
        <is>
          <t>Zodiac</t>
        </is>
      </c>
      <c r="F7136" t="inlineStr">
        <is>
          <t>F0350</t>
        </is>
      </c>
    </row>
    <row r="7137">
      <c r="A7137" t="inlineStr">
        <is>
          <t>Lee Norris</t>
        </is>
      </c>
      <c r="B7137" t="n">
        <v>1</v>
      </c>
      <c r="C7137" t="n">
        <v>2007</v>
      </c>
      <c r="D7137" t="n">
        <v>2007</v>
      </c>
      <c r="E7137" t="inlineStr">
        <is>
          <t>Zodiac</t>
        </is>
      </c>
      <c r="F7137" t="inlineStr">
        <is>
          <t>F0350</t>
        </is>
      </c>
    </row>
    <row r="7138">
      <c r="A7138" t="inlineStr">
        <is>
          <t>Patrick Scott Lewis</t>
        </is>
      </c>
      <c r="B7138" t="n">
        <v>1</v>
      </c>
      <c r="C7138" t="n">
        <v>2007</v>
      </c>
      <c r="D7138" t="n">
        <v>2007</v>
      </c>
      <c r="E7138" t="inlineStr">
        <is>
          <t>Zodiac</t>
        </is>
      </c>
      <c r="F7138" t="inlineStr">
        <is>
          <t>F0350</t>
        </is>
      </c>
    </row>
    <row r="7139">
      <c r="A7139" t="inlineStr">
        <is>
          <t>Pell James</t>
        </is>
      </c>
      <c r="B7139" t="n">
        <v>1</v>
      </c>
      <c r="C7139" t="n">
        <v>2007</v>
      </c>
      <c r="D7139" t="n">
        <v>2007</v>
      </c>
      <c r="E7139" t="inlineStr">
        <is>
          <t>Zodiac</t>
        </is>
      </c>
      <c r="F7139" t="inlineStr">
        <is>
          <t>F0350</t>
        </is>
      </c>
    </row>
    <row r="7140">
      <c r="A7140" t="inlineStr">
        <is>
          <t>Jason Wiles</t>
        </is>
      </c>
      <c r="B7140" t="n">
        <v>1</v>
      </c>
      <c r="C7140" t="n">
        <v>2007</v>
      </c>
      <c r="D7140" t="n">
        <v>2007</v>
      </c>
      <c r="E7140" t="inlineStr">
        <is>
          <t>Zodiac</t>
        </is>
      </c>
      <c r="F7140" t="inlineStr">
        <is>
          <t>F0350</t>
        </is>
      </c>
    </row>
    <row r="7141">
      <c r="A7141" t="inlineStr">
        <is>
          <t>Charles Schneider</t>
        </is>
      </c>
      <c r="B7141" t="n">
        <v>1</v>
      </c>
      <c r="C7141" t="n">
        <v>2007</v>
      </c>
      <c r="D7141" t="n">
        <v>2007</v>
      </c>
      <c r="E7141" t="inlineStr">
        <is>
          <t>Zodiac</t>
        </is>
      </c>
      <c r="F7141" t="inlineStr">
        <is>
          <t>F0350</t>
        </is>
      </c>
    </row>
    <row r="7142">
      <c r="A7142" t="inlineStr">
        <is>
          <t>James Carraway</t>
        </is>
      </c>
      <c r="B7142" t="n">
        <v>1</v>
      </c>
      <c r="C7142" t="n">
        <v>2007</v>
      </c>
      <c r="D7142" t="n">
        <v>2007</v>
      </c>
      <c r="E7142" t="inlineStr">
        <is>
          <t>Zodiac</t>
        </is>
      </c>
      <c r="F7142" t="inlineStr">
        <is>
          <t>F0350</t>
        </is>
      </c>
    </row>
    <row r="7143">
      <c r="A7143" t="inlineStr">
        <is>
          <t>Jason Mewes</t>
        </is>
      </c>
      <c r="B7143" t="n">
        <v>1</v>
      </c>
      <c r="C7143" t="n">
        <v>1999</v>
      </c>
      <c r="D7143" t="n">
        <v>1999</v>
      </c>
      <c r="E7143" t="inlineStr">
        <is>
          <t>Dogma</t>
        </is>
      </c>
      <c r="F7143" t="inlineStr">
        <is>
          <t>F0351</t>
        </is>
      </c>
    </row>
    <row r="7144">
      <c r="A7144" t="inlineStr">
        <is>
          <t>George Carlin</t>
        </is>
      </c>
      <c r="B7144" t="n">
        <v>1</v>
      </c>
      <c r="C7144" t="n">
        <v>1999</v>
      </c>
      <c r="D7144" t="n">
        <v>1999</v>
      </c>
      <c r="E7144" t="inlineStr">
        <is>
          <t>Dogma</t>
        </is>
      </c>
      <c r="F7144" t="inlineStr">
        <is>
          <t>F0351</t>
        </is>
      </c>
    </row>
    <row r="7145">
      <c r="A7145" t="inlineStr">
        <is>
          <t>Bud Cort</t>
        </is>
      </c>
      <c r="B7145" t="n">
        <v>1</v>
      </c>
      <c r="C7145" t="n">
        <v>1999</v>
      </c>
      <c r="D7145" t="n">
        <v>1999</v>
      </c>
      <c r="E7145" t="inlineStr">
        <is>
          <t>Dogma</t>
        </is>
      </c>
      <c r="F7145" t="inlineStr">
        <is>
          <t>F0351</t>
        </is>
      </c>
    </row>
    <row r="7146">
      <c r="A7146" t="inlineStr">
        <is>
          <t>Alanis Morissette</t>
        </is>
      </c>
      <c r="B7146" t="n">
        <v>1</v>
      </c>
      <c r="C7146" t="n">
        <v>1999</v>
      </c>
      <c r="D7146" t="n">
        <v>1999</v>
      </c>
      <c r="E7146" t="inlineStr">
        <is>
          <t>Dogma</t>
        </is>
      </c>
      <c r="F7146" t="inlineStr">
        <is>
          <t>F0351</t>
        </is>
      </c>
    </row>
    <row r="7147">
      <c r="A7147" t="inlineStr">
        <is>
          <t>Jeff Anderson</t>
        </is>
      </c>
      <c r="B7147" t="n">
        <v>1</v>
      </c>
      <c r="C7147" t="n">
        <v>1999</v>
      </c>
      <c r="D7147" t="n">
        <v>1999</v>
      </c>
      <c r="E7147" t="inlineStr">
        <is>
          <t>Dogma</t>
        </is>
      </c>
      <c r="F7147" t="inlineStr">
        <is>
          <t>F0351</t>
        </is>
      </c>
    </row>
    <row r="7148">
      <c r="A7148" t="inlineStr">
        <is>
          <t>Brian O'Halloran</t>
        </is>
      </c>
      <c r="B7148" t="n">
        <v>1</v>
      </c>
      <c r="C7148" t="n">
        <v>1999</v>
      </c>
      <c r="D7148" t="n">
        <v>1999</v>
      </c>
      <c r="E7148" t="inlineStr">
        <is>
          <t>Dogma</t>
        </is>
      </c>
      <c r="F7148" t="inlineStr">
        <is>
          <t>F0351</t>
        </is>
      </c>
    </row>
    <row r="7149">
      <c r="A7149" t="inlineStr">
        <is>
          <t>Janeane Garofalo</t>
        </is>
      </c>
      <c r="B7149" t="n">
        <v>1</v>
      </c>
      <c r="C7149" t="n">
        <v>1999</v>
      </c>
      <c r="D7149" t="n">
        <v>1999</v>
      </c>
      <c r="E7149" t="inlineStr">
        <is>
          <t>Dogma</t>
        </is>
      </c>
      <c r="F7149" t="inlineStr">
        <is>
          <t>F0351</t>
        </is>
      </c>
    </row>
    <row r="7150">
      <c r="A7150" t="inlineStr">
        <is>
          <t>Betty Aberlin</t>
        </is>
      </c>
      <c r="B7150" t="n">
        <v>1</v>
      </c>
      <c r="C7150" t="n">
        <v>1999</v>
      </c>
      <c r="D7150" t="n">
        <v>1999</v>
      </c>
      <c r="E7150" t="inlineStr">
        <is>
          <t>Dogma</t>
        </is>
      </c>
      <c r="F7150" t="inlineStr">
        <is>
          <t>F0351</t>
        </is>
      </c>
    </row>
    <row r="7151">
      <c r="A7151" t="inlineStr">
        <is>
          <t>King Mustafa Obafemi</t>
        </is>
      </c>
      <c r="B7151" t="n">
        <v>1</v>
      </c>
      <c r="C7151" t="n">
        <v>1999</v>
      </c>
      <c r="D7151" t="n">
        <v>1999</v>
      </c>
      <c r="E7151" t="inlineStr">
        <is>
          <t>Dogma</t>
        </is>
      </c>
      <c r="F7151" t="inlineStr">
        <is>
          <t>F0351</t>
        </is>
      </c>
    </row>
    <row r="7152">
      <c r="A7152" t="inlineStr">
        <is>
          <t>Guinevere Turner</t>
        </is>
      </c>
      <c r="B7152" t="n">
        <v>1</v>
      </c>
      <c r="C7152" t="n">
        <v>1999</v>
      </c>
      <c r="D7152" t="n">
        <v>1999</v>
      </c>
      <c r="E7152" t="inlineStr">
        <is>
          <t>Dogma</t>
        </is>
      </c>
      <c r="F7152" t="inlineStr">
        <is>
          <t>F0351</t>
        </is>
      </c>
    </row>
    <row r="7153">
      <c r="A7153" t="inlineStr">
        <is>
          <t>Bryan Johnson</t>
        </is>
      </c>
      <c r="B7153" t="n">
        <v>1</v>
      </c>
      <c r="C7153" t="n">
        <v>1999</v>
      </c>
      <c r="D7153" t="n">
        <v>1999</v>
      </c>
      <c r="E7153" t="inlineStr">
        <is>
          <t>Dogma</t>
        </is>
      </c>
      <c r="F7153" t="inlineStr">
        <is>
          <t>F0351</t>
        </is>
      </c>
    </row>
    <row r="7154">
      <c r="A7154" t="inlineStr">
        <is>
          <t>Walt Flanagan</t>
        </is>
      </c>
      <c r="B7154" t="n">
        <v>1</v>
      </c>
      <c r="C7154" t="n">
        <v>1999</v>
      </c>
      <c r="D7154" t="n">
        <v>1999</v>
      </c>
      <c r="E7154" t="inlineStr">
        <is>
          <t>Dogma</t>
        </is>
      </c>
      <c r="F7154" t="inlineStr">
        <is>
          <t>F0351</t>
        </is>
      </c>
    </row>
    <row r="7155">
      <c r="A7155" t="inlineStr">
        <is>
          <t>Jared Pfennigwerth</t>
        </is>
      </c>
      <c r="B7155" t="n">
        <v>1</v>
      </c>
      <c r="C7155" t="n">
        <v>1999</v>
      </c>
      <c r="D7155" t="n">
        <v>1999</v>
      </c>
      <c r="E7155" t="inlineStr">
        <is>
          <t>Dogma</t>
        </is>
      </c>
      <c r="F7155" t="inlineStr">
        <is>
          <t>F0351</t>
        </is>
      </c>
    </row>
    <row r="7156">
      <c r="A7156" t="inlineStr">
        <is>
          <t>Kitao Sakurai</t>
        </is>
      </c>
      <c r="B7156" t="n">
        <v>1</v>
      </c>
      <c r="C7156" t="n">
        <v>1999</v>
      </c>
      <c r="D7156" t="n">
        <v>1999</v>
      </c>
      <c r="E7156" t="inlineStr">
        <is>
          <t>Dogma</t>
        </is>
      </c>
      <c r="F7156" t="inlineStr">
        <is>
          <t>F0351</t>
        </is>
      </c>
    </row>
    <row r="7157">
      <c r="A7157" t="inlineStr">
        <is>
          <t>Barret Hackney</t>
        </is>
      </c>
      <c r="B7157" t="n">
        <v>1</v>
      </c>
      <c r="C7157" t="n">
        <v>1999</v>
      </c>
      <c r="D7157" t="n">
        <v>1999</v>
      </c>
      <c r="E7157" t="inlineStr">
        <is>
          <t>Dogma</t>
        </is>
      </c>
      <c r="F7157" t="inlineStr">
        <is>
          <t>F0351</t>
        </is>
      </c>
    </row>
    <row r="7158">
      <c r="A7158" t="inlineStr">
        <is>
          <t>Dan Etheridge</t>
        </is>
      </c>
      <c r="B7158" t="n">
        <v>1</v>
      </c>
      <c r="C7158" t="n">
        <v>1999</v>
      </c>
      <c r="D7158" t="n">
        <v>1999</v>
      </c>
      <c r="E7158" t="inlineStr">
        <is>
          <t>Dogma</t>
        </is>
      </c>
      <c r="F7158" t="inlineStr">
        <is>
          <t>F0351</t>
        </is>
      </c>
    </row>
    <row r="7159">
      <c r="A7159" t="inlineStr">
        <is>
          <t>Derek Milosavljevic</t>
        </is>
      </c>
      <c r="B7159" t="n">
        <v>1</v>
      </c>
      <c r="C7159" t="n">
        <v>1999</v>
      </c>
      <c r="D7159" t="n">
        <v>1999</v>
      </c>
      <c r="E7159" t="inlineStr">
        <is>
          <t>Dogma</t>
        </is>
      </c>
      <c r="F7159" t="inlineStr">
        <is>
          <t>F0351</t>
        </is>
      </c>
    </row>
    <row r="7160">
      <c r="A7160" t="inlineStr">
        <is>
          <t>Lesley Braden</t>
        </is>
      </c>
      <c r="B7160" t="n">
        <v>1</v>
      </c>
      <c r="C7160" t="n">
        <v>1999</v>
      </c>
      <c r="D7160" t="n">
        <v>1999</v>
      </c>
      <c r="E7160" t="inlineStr">
        <is>
          <t>Dogma</t>
        </is>
      </c>
      <c r="F7160" t="inlineStr">
        <is>
          <t>F0351</t>
        </is>
      </c>
    </row>
    <row r="7161">
      <c r="A7161" t="inlineStr">
        <is>
          <t>Nancy Bach</t>
        </is>
      </c>
      <c r="B7161" t="n">
        <v>1</v>
      </c>
      <c r="C7161" t="n">
        <v>1999</v>
      </c>
      <c r="D7161" t="n">
        <v>1999</v>
      </c>
      <c r="E7161" t="inlineStr">
        <is>
          <t>Dogma</t>
        </is>
      </c>
      <c r="F7161" t="inlineStr">
        <is>
          <t>F0351</t>
        </is>
      </c>
    </row>
    <row r="7162">
      <c r="A7162" t="inlineStr">
        <is>
          <t>Armando Rodriguez</t>
        </is>
      </c>
      <c r="B7162" t="n">
        <v>1</v>
      </c>
      <c r="C7162" t="n">
        <v>1999</v>
      </c>
      <c r="D7162" t="n">
        <v>1999</v>
      </c>
      <c r="E7162" t="inlineStr">
        <is>
          <t>Dogma</t>
        </is>
      </c>
      <c r="F7162" t="inlineStr">
        <is>
          <t>F0351</t>
        </is>
      </c>
    </row>
    <row r="7163">
      <c r="A7163" t="inlineStr">
        <is>
          <t>Scott Mosier</t>
        </is>
      </c>
      <c r="B7163" t="n">
        <v>1</v>
      </c>
      <c r="C7163" t="n">
        <v>1999</v>
      </c>
      <c r="D7163" t="n">
        <v>1999</v>
      </c>
      <c r="E7163" t="inlineStr">
        <is>
          <t>Dogma</t>
        </is>
      </c>
      <c r="F7163" t="inlineStr">
        <is>
          <t>F0351</t>
        </is>
      </c>
    </row>
    <row r="7164">
      <c r="A7164" t="inlineStr">
        <is>
          <t>Monica Hampton</t>
        </is>
      </c>
      <c r="B7164" t="n">
        <v>1</v>
      </c>
      <c r="C7164" t="n">
        <v>1999</v>
      </c>
      <c r="D7164" t="n">
        <v>1999</v>
      </c>
      <c r="E7164" t="inlineStr">
        <is>
          <t>Dogma</t>
        </is>
      </c>
      <c r="F7164" t="inlineStr">
        <is>
          <t>F0351</t>
        </is>
      </c>
    </row>
  </sheetData>
  <mergeCells count="2">
    <mergeCell ref="A2:F2"/>
    <mergeCell ref="A1:F1"/>
  </mergeCells>
  <pageMargins left="0.7" right="0.7" top="0.75" bottom="0.75" header="0.3" footer="0.3"/>
  <tableParts count="1">
    <tablePart xmlns:r="http://schemas.openxmlformats.org/officeDocument/2006/relationships" r:id="rId1"/>
  </tableParts>
</worksheet>
</file>

<file path=xl/worksheets/sheet6.xml><?xml version="1.0" encoding="utf-8"?>
<worksheet xmlns="http://schemas.openxmlformats.org/spreadsheetml/2006/main">
  <sheetPr>
    <outlinePr summaryBelow="1" summaryRight="1"/>
    <pageSetUpPr/>
  </sheetPr>
  <dimension ref="A1:F257"/>
  <sheetViews>
    <sheetView workbookViewId="0">
      <selection activeCell="A1" sqref="A1"/>
    </sheetView>
  </sheetViews>
  <sheetFormatPr baseColWidth="8" defaultColWidth="14.42578125" defaultRowHeight="15"/>
  <cols>
    <col width="28" customWidth="1" style="95" min="1" max="1"/>
    <col width="12" customWidth="1" style="95" min="2" max="2"/>
    <col width="13" customWidth="1" style="95" min="3" max="4"/>
    <col width="65" customWidth="1" style="95" min="5" max="5"/>
    <col width="35" customWidth="1" style="95" min="6" max="6"/>
    <col width="8.7109375" customWidth="1" style="95" min="7" max="26"/>
  </cols>
  <sheetData>
    <row r="1" ht="23.25" customHeight="1" s="95">
      <c r="A1" s="106" t="inlineStr">
        <is>
          <t>🎥 DIRECTORS</t>
        </is>
      </c>
    </row>
    <row r="2">
      <c r="A2" s="105" t="inlineStr">
        <is>
          <t>Search or filter this sheet by director to see every film in your collection credited to them.</t>
        </is>
      </c>
    </row>
    <row r="4">
      <c r="A4" s="37" t="inlineStr">
        <is>
          <t>Director</t>
        </is>
      </c>
      <c r="B4" s="37" t="inlineStr">
        <is>
          <t>Films Owned</t>
        </is>
      </c>
      <c r="C4" s="37" t="inlineStr">
        <is>
          <t>Earliest Film</t>
        </is>
      </c>
      <c r="D4" s="37" t="inlineStr">
        <is>
          <t>Latest Film</t>
        </is>
      </c>
      <c r="E4" s="37" t="inlineStr">
        <is>
          <t>Films in Collection</t>
        </is>
      </c>
      <c r="F4" s="37" t="inlineStr">
        <is>
          <t>Film IDs</t>
        </is>
      </c>
    </row>
    <row r="5" ht="45" customHeight="1" s="95">
      <c r="A5" s="1" t="inlineStr">
        <is>
          <t>Michael Bay</t>
        </is>
      </c>
      <c r="B5" s="1" t="n">
        <v>8</v>
      </c>
      <c r="C5" s="1" t="n">
        <v>1995</v>
      </c>
      <c r="D5" s="1" t="n">
        <v>2017</v>
      </c>
      <c r="E5" s="4" t="inlineStr">
        <is>
          <t>Bad Boys, Bad Boys II, Pearl Harbor, Transformers, Transformers: Revenge of the Fallen, Transformers: Dark of the Moon, Transformers: Age of Extinction, Transformers: The Last Knight</t>
        </is>
      </c>
      <c r="F5" s="1" t="inlineStr">
        <is>
          <t>F0036, F0037, F0246, F0316, F0317, F0318, F0319, F0320</t>
        </is>
      </c>
    </row>
    <row r="6" ht="30" customHeight="1" s="95">
      <c r="A6" s="1" t="inlineStr">
        <is>
          <t>Christopher Nolan</t>
        </is>
      </c>
      <c r="B6" s="1" t="n">
        <v>7</v>
      </c>
      <c r="C6" s="1" t="n">
        <v>2005</v>
      </c>
      <c r="D6" s="1" t="n">
        <v>2023</v>
      </c>
      <c r="E6" s="4" t="inlineStr">
        <is>
          <t>Batman Begins, The Dark Knight, The Dark Knight Rises, Inception, Interstellar, Oppenheimer, The Prestige</t>
        </is>
      </c>
      <c r="F6" s="1" t="inlineStr">
        <is>
          <t>F0043, F0044, F0045, F0165, F0168, F0242, F0257</t>
        </is>
      </c>
    </row>
    <row r="7" ht="60" customHeight="1" s="95">
      <c r="A7" s="1" t="inlineStr">
        <is>
          <t>Peter Jackson</t>
        </is>
      </c>
      <c r="B7" s="1" t="n">
        <v>7</v>
      </c>
      <c r="C7" s="1" t="n">
        <v>2001</v>
      </c>
      <c r="D7" s="1" t="n">
        <v>2014</v>
      </c>
      <c r="E7" s="4" t="inlineStr">
        <is>
          <t>The Hobbit: An Unexpected Journey, The Hobbit: The Desolation of Smaug, The Hobbit: The Battle of the Five Armies, King Kong, The Lord of the Rings: The Fellowship of the Ring, The Lord of the Rings: The Two Towers, The Lord of the Rings: The Return of the King</t>
        </is>
      </c>
      <c r="F7" s="1" t="inlineStr">
        <is>
          <t>F0150, F0151, F0152, F0188, F0203, F0204, F0205</t>
        </is>
      </c>
    </row>
    <row r="8" ht="30" customHeight="1" s="95">
      <c r="A8" s="1" t="inlineStr">
        <is>
          <t>Ridley Scott</t>
        </is>
      </c>
      <c r="B8" s="1" t="n">
        <v>6</v>
      </c>
      <c r="C8" s="1" t="n">
        <v>1979</v>
      </c>
      <c r="D8" s="1" t="n">
        <v>2015</v>
      </c>
      <c r="E8" s="4" t="inlineStr">
        <is>
          <t>Alien, Black Hawk Down, Body of Lies, The Martian, Prometheus, Robin Hood</t>
        </is>
      </c>
      <c r="F8" s="1" t="inlineStr">
        <is>
          <t>F0015, F0050, F0051, F0213, F0259, F0267</t>
        </is>
      </c>
    </row>
    <row r="9" ht="30" customHeight="1" s="95">
      <c r="A9" s="1" t="inlineStr">
        <is>
          <t>Bryan Singer</t>
        </is>
      </c>
      <c r="B9" s="1" t="n">
        <v>5</v>
      </c>
      <c r="C9" s="1" t="n">
        <v>2000</v>
      </c>
      <c r="D9" s="1" t="n">
        <v>2018</v>
      </c>
      <c r="E9" s="4" t="inlineStr">
        <is>
          <t>Bohemian Rhapsody, X-Men: Days of Future Past, X-Men: Apocalypse, X-Men, X2: X-Men United</t>
        </is>
      </c>
      <c r="F9" s="1" t="inlineStr">
        <is>
          <t>F0052, F0341, F0342, F0344, F0345</t>
        </is>
      </c>
    </row>
    <row r="10" ht="45" customHeight="1" s="95">
      <c r="A10" s="1" t="inlineStr">
        <is>
          <t>Christopher McQuarrie</t>
        </is>
      </c>
      <c r="B10" s="1" t="n">
        <v>5</v>
      </c>
      <c r="C10" s="1" t="n">
        <v>2012</v>
      </c>
      <c r="D10" s="1" t="n">
        <v>2025</v>
      </c>
      <c r="E10" s="4" t="inlineStr">
        <is>
          <t>Jack Reacher, Mission: Impossible - Rogue Nation, Mission: Impossible - Fallout, Mission: Impossible - Dead Reckoning Part One, Mission: Impossible - The Final Reckoning</t>
        </is>
      </c>
      <c r="F10" s="1" t="inlineStr">
        <is>
          <t>F0171, F0225, F0226, F0227, F0228</t>
        </is>
      </c>
    </row>
    <row r="11">
      <c r="A11" s="1" t="inlineStr">
        <is>
          <t>David Fincher</t>
        </is>
      </c>
      <c r="B11" s="1" t="n">
        <v>5</v>
      </c>
      <c r="C11" s="1" t="n">
        <v>1992</v>
      </c>
      <c r="D11" s="1" t="n">
        <v>2011</v>
      </c>
      <c r="E11" s="4" t="inlineStr">
        <is>
          <t>Alien³, Fight Club, The Girl with the Dragon Tattoo, Se7en, Zodiac</t>
        </is>
      </c>
      <c r="F11" s="1" t="inlineStr">
        <is>
          <t>F0017, F0112, F0120, F0276, F0350</t>
        </is>
      </c>
    </row>
    <row r="12" ht="60" customHeight="1" s="95">
      <c r="A12" s="1" t="inlineStr">
        <is>
          <t>David Yates</t>
        </is>
      </c>
      <c r="B12" s="1" t="n">
        <v>5</v>
      </c>
      <c r="C12" s="1" t="n">
        <v>2007</v>
      </c>
      <c r="D12" s="1" t="n">
        <v>2016</v>
      </c>
      <c r="E12" s="4" t="inlineStr">
        <is>
          <t>Fantastic Beasts and Where to Find Them, Harry Potter and the Order of the Phoenix, Harry Potter and the Half-Blood Prince, Harry Potter and the Deathly Hallows: Part 1, Harry Potter and the Deathly Hallows: Part 2</t>
        </is>
      </c>
      <c r="F12" s="1" t="inlineStr">
        <is>
          <t>F0100, F0141, F0142, F0143, F0144</t>
        </is>
      </c>
    </row>
    <row r="13" ht="30" customHeight="1" s="95">
      <c r="A13" s="1" t="inlineStr">
        <is>
          <t>J.J. Abrams</t>
        </is>
      </c>
      <c r="B13" s="1" t="n">
        <v>5</v>
      </c>
      <c r="C13" s="1" t="n">
        <v>2006</v>
      </c>
      <c r="D13" s="1" t="n">
        <v>2019</v>
      </c>
      <c r="E13" s="4" t="inlineStr">
        <is>
          <t>Mission: Impossible III, Star Trek, Star Wars: The Force Awakens, Star Wars: The Rise of Skywalker, Super 8</t>
        </is>
      </c>
      <c r="F13" s="1" t="inlineStr">
        <is>
          <t>F0223, F0291, F0298, F0300, F0302</t>
        </is>
      </c>
    </row>
    <row r="14" ht="30" customHeight="1" s="95">
      <c r="A14" s="1" t="inlineStr">
        <is>
          <t>Justin Lin</t>
        </is>
      </c>
      <c r="B14" s="1" t="n">
        <v>5</v>
      </c>
      <c r="C14" s="1" t="n">
        <v>2006</v>
      </c>
      <c r="D14" s="1" t="n">
        <v>2021</v>
      </c>
      <c r="E14" s="4" t="inlineStr">
        <is>
          <t>The Fast and the Furious: Tokyo Drift, Fast &amp; Furious, Fast Five, Fast &amp; Furious 6, F9: The Fast Saga</t>
        </is>
      </c>
      <c r="F14" s="1" t="inlineStr">
        <is>
          <t>F0103, F0104, F0105, F0106, F0109</t>
        </is>
      </c>
    </row>
    <row r="15" ht="30" customHeight="1" s="95">
      <c r="A15" s="1" t="inlineStr">
        <is>
          <t>Steven Spielberg</t>
        </is>
      </c>
      <c r="B15" s="1" t="n">
        <v>5</v>
      </c>
      <c r="C15" s="1" t="n">
        <v>1993</v>
      </c>
      <c r="D15" s="1" t="n">
        <v>2016</v>
      </c>
      <c r="E15" s="4" t="inlineStr">
        <is>
          <t>The BFG, Catch Me If You Can, Jurassic Park, The Lost World: Jurassic Park, War of the Worlds</t>
        </is>
      </c>
      <c r="F15" s="1" t="inlineStr">
        <is>
          <t>F0047, F0064, F0176, F0177, F0332</t>
        </is>
      </c>
    </row>
    <row r="16">
      <c r="A16" s="1" t="inlineStr">
        <is>
          <t>Carlos Saldanha</t>
        </is>
      </c>
      <c r="B16" s="1" t="n">
        <v>4</v>
      </c>
      <c r="C16" s="1" t="n">
        <v>2006</v>
      </c>
      <c r="D16" s="1" t="n">
        <v>2014</v>
      </c>
      <c r="E16" s="4" t="inlineStr">
        <is>
          <t>Ice Age: The Meltdown, Ice Age: Dawn of the Dinosaurs, Rio, Rio 2</t>
        </is>
      </c>
      <c r="F16" s="1" t="inlineStr">
        <is>
          <t>F0160, F0161, F0265, F0266</t>
        </is>
      </c>
    </row>
    <row r="17">
      <c r="A17" s="1" t="inlineStr">
        <is>
          <t>Edgar Wright</t>
        </is>
      </c>
      <c r="B17" s="1" t="n">
        <v>4</v>
      </c>
      <c r="C17" s="1" t="n">
        <v>2004</v>
      </c>
      <c r="D17" s="1" t="n">
        <v>2017</v>
      </c>
      <c r="E17" s="4" t="inlineStr">
        <is>
          <t>Baby Driver, Shaun of the Dead, Hot Fuzz, The World's End</t>
        </is>
      </c>
      <c r="F17" s="1" t="inlineStr">
        <is>
          <t>F0032, F0070, F0071, F0072</t>
        </is>
      </c>
    </row>
    <row r="18" ht="45" customHeight="1" s="95">
      <c r="A18" s="1" t="inlineStr">
        <is>
          <t>George Lucas</t>
        </is>
      </c>
      <c r="B18" s="1" t="n">
        <v>4</v>
      </c>
      <c r="C18" s="1" t="n">
        <v>1977</v>
      </c>
      <c r="D18" s="1" t="n">
        <v>2005</v>
      </c>
      <c r="E18" s="4" t="inlineStr">
        <is>
          <t>Star Wars: Episode I – The Phantom Menace, Star Wars: Episode II – Attack of the Clones, Star Wars: Episode III – Revenge of the Sith, Star Wars: Episode IV – A New Hope</t>
        </is>
      </c>
      <c r="F18" s="1" t="inlineStr">
        <is>
          <t>F0292, F0293, F0294, F0295</t>
        </is>
      </c>
    </row>
    <row r="19" ht="30" customHeight="1" s="95">
      <c r="A19" s="1" t="inlineStr">
        <is>
          <t>Paul Greengrass</t>
        </is>
      </c>
      <c r="B19" s="1" t="n">
        <v>4</v>
      </c>
      <c r="C19" s="1" t="n">
        <v>2004</v>
      </c>
      <c r="D19" s="1" t="n">
        <v>2013</v>
      </c>
      <c r="E19" s="4" t="inlineStr">
        <is>
          <t>The Bourne Supremacy, The Bourne Ultimatum, Captain Phillips, Green Zone</t>
        </is>
      </c>
      <c r="F19" s="1" t="inlineStr">
        <is>
          <t>F0054, F0055, F0062, F0129</t>
        </is>
      </c>
    </row>
    <row r="20">
      <c r="A20" s="1" t="inlineStr">
        <is>
          <t>Pierre Coffin</t>
        </is>
      </c>
      <c r="B20" s="1" t="n">
        <v>4</v>
      </c>
      <c r="C20" s="1" t="n">
        <v>2010</v>
      </c>
      <c r="D20" s="1" t="n">
        <v>2017</v>
      </c>
      <c r="E20" s="4" t="inlineStr">
        <is>
          <t>Despicable Me, Despicable Me 2, Despicable Me 3, Minions</t>
        </is>
      </c>
      <c r="F20" s="1" t="inlineStr">
        <is>
          <t>F0082, F0083, F0084, F0220</t>
        </is>
      </c>
    </row>
    <row r="21" ht="15.75" customHeight="1" s="95">
      <c r="A21" s="1" t="inlineStr">
        <is>
          <t>Todd Phillips</t>
        </is>
      </c>
      <c r="B21" s="1" t="n">
        <v>4</v>
      </c>
      <c r="C21" s="1" t="n">
        <v>2009</v>
      </c>
      <c r="D21" s="1" t="n">
        <v>2013</v>
      </c>
      <c r="E21" s="4" t="inlineStr">
        <is>
          <t>Due Date, The Hangover, The Hangover Part II, The Hangover Part III</t>
        </is>
      </c>
      <c r="F21" s="1" t="inlineStr">
        <is>
          <t>F0091, F0134, F0135, F0136</t>
        </is>
      </c>
    </row>
    <row r="22" ht="15.75" customHeight="1" s="95">
      <c r="A22" s="1" t="inlineStr">
        <is>
          <t>Andrew Stanton</t>
        </is>
      </c>
      <c r="B22" s="1" t="n">
        <v>3</v>
      </c>
      <c r="C22" s="1" t="n">
        <v>1998</v>
      </c>
      <c r="D22" s="1" t="n">
        <v>2016</v>
      </c>
      <c r="E22" s="4" t="inlineStr">
        <is>
          <t>A Bug's Life, Finding Dory, WALL·E</t>
        </is>
      </c>
      <c r="F22" s="1" t="inlineStr">
        <is>
          <t>F0012, F0113, F0331</t>
        </is>
      </c>
    </row>
    <row r="23" ht="15.75" customHeight="1" s="95">
      <c r="A23" s="1" t="inlineStr">
        <is>
          <t>Antoine Fuqua</t>
        </is>
      </c>
      <c r="B23" s="1" t="n">
        <v>3</v>
      </c>
      <c r="C23" s="1" t="n">
        <v>2013</v>
      </c>
      <c r="D23" s="1" t="n">
        <v>2016</v>
      </c>
      <c r="E23" s="4" t="inlineStr">
        <is>
          <t>The Magnificent Seven, Olympus Has Fallen, Southpaw</t>
        </is>
      </c>
      <c r="F23" s="1" t="inlineStr">
        <is>
          <t>F0207, F0240, F0286</t>
        </is>
      </c>
    </row>
    <row r="24" ht="15.75" customHeight="1" s="95">
      <c r="A24" s="1" t="inlineStr">
        <is>
          <t>Brett Ratner</t>
        </is>
      </c>
      <c r="B24" s="1" t="n">
        <v>3</v>
      </c>
      <c r="C24" s="1" t="n">
        <v>2006</v>
      </c>
      <c r="D24" s="1" t="n">
        <v>2014</v>
      </c>
      <c r="E24" s="4" t="inlineStr">
        <is>
          <t>Hercules, Rush Hour 3, X-Men: The Last Stand</t>
        </is>
      </c>
      <c r="F24" s="1" t="inlineStr">
        <is>
          <t>F0147, F0271, F0346</t>
        </is>
      </c>
    </row>
    <row r="25" ht="15.75" customHeight="1" s="95">
      <c r="A25" s="1" t="inlineStr">
        <is>
          <t>Chris Renaud</t>
        </is>
      </c>
      <c r="B25" s="1" t="n">
        <v>3</v>
      </c>
      <c r="C25" s="1" t="n">
        <v>2010</v>
      </c>
      <c r="D25" s="1" t="n">
        <v>2016</v>
      </c>
      <c r="E25" s="4" t="inlineStr">
        <is>
          <t>Despicable Me, Despicable Me 2, The Secret Life of Pets</t>
        </is>
      </c>
      <c r="F25" s="1" t="inlineStr">
        <is>
          <t>F0082, F0083, F0274</t>
        </is>
      </c>
    </row>
    <row r="26" ht="15.75" customHeight="1" s="95">
      <c r="A26" s="1" t="inlineStr">
        <is>
          <t>Christopher Miller</t>
        </is>
      </c>
      <c r="B26" s="1" t="n">
        <v>3</v>
      </c>
      <c r="C26" s="1" t="n">
        <v>2012</v>
      </c>
      <c r="D26" s="1" t="n">
        <v>2014</v>
      </c>
      <c r="E26" s="4" t="inlineStr">
        <is>
          <t>21 Jump Street, 22 Jump Street, The Lego Movie</t>
        </is>
      </c>
      <c r="F26" s="1" t="inlineStr">
        <is>
          <t>F0007, F0008, F0195</t>
        </is>
      </c>
    </row>
    <row r="27" ht="15.75" customHeight="1" s="95">
      <c r="A27" s="1" t="inlineStr">
        <is>
          <t>David Leitch</t>
        </is>
      </c>
      <c r="B27" s="1" t="n">
        <v>3</v>
      </c>
      <c r="C27" s="1" t="n">
        <v>2018</v>
      </c>
      <c r="D27" s="1" t="n">
        <v>2024</v>
      </c>
      <c r="E27" s="4" t="inlineStr">
        <is>
          <t>Deadpool 2, The Fall Guy, Fast &amp; Furious Presents: Hobbs &amp; Shaw</t>
        </is>
      </c>
      <c r="F27" s="1" t="inlineStr">
        <is>
          <t>F0077, F0099, F0111</t>
        </is>
      </c>
    </row>
    <row r="28" ht="15.75" customHeight="1" s="95">
      <c r="A28" s="1" t="inlineStr">
        <is>
          <t>Dennis Dugan</t>
        </is>
      </c>
      <c r="B28" s="1" t="n">
        <v>3</v>
      </c>
      <c r="C28" s="1" t="n">
        <v>2010</v>
      </c>
      <c r="D28" s="1" t="n">
        <v>2013</v>
      </c>
      <c r="E28" s="4" t="inlineStr">
        <is>
          <t>Grown Ups, Grown Ups 2, Just Go with It</t>
        </is>
      </c>
      <c r="F28" s="1" t="inlineStr">
        <is>
          <t>F0131, F0132, F0183</t>
        </is>
      </c>
    </row>
    <row r="29" ht="15.75" customHeight="1" s="95">
      <c r="A29" s="1" t="inlineStr">
        <is>
          <t>Doug Liman</t>
        </is>
      </c>
      <c r="B29" s="1" t="n">
        <v>3</v>
      </c>
      <c r="C29" s="1" t="n">
        <v>2002</v>
      </c>
      <c r="D29" s="1" t="n">
        <v>2008</v>
      </c>
      <c r="E29" s="4" t="inlineStr">
        <is>
          <t>The Bourne Identity, Jumper, Mr. &amp; Mrs. Smith</t>
        </is>
      </c>
      <c r="F29" s="1" t="inlineStr">
        <is>
          <t>F0053, F0175, F0231</t>
        </is>
      </c>
    </row>
    <row r="30" ht="15.75" customHeight="1" s="95">
      <c r="A30" s="1" t="inlineStr">
        <is>
          <t>F. Gary Gray</t>
        </is>
      </c>
      <c r="B30" s="1" t="n">
        <v>3</v>
      </c>
      <c r="C30" s="1" t="n">
        <v>2009</v>
      </c>
      <c r="D30" s="1" t="n">
        <v>2017</v>
      </c>
      <c r="E30" s="4" t="inlineStr">
        <is>
          <t>The Fate of the Furious, Law Abiding Citizen, Straight Outta Compton</t>
        </is>
      </c>
      <c r="F30" s="1" t="inlineStr">
        <is>
          <t>F0108, F0191, F0301</t>
        </is>
      </c>
    </row>
    <row r="31" ht="15.75" customHeight="1" s="95">
      <c r="A31" s="1" t="inlineStr">
        <is>
          <t>Guy Ritchie</t>
        </is>
      </c>
      <c r="B31" s="1" t="n">
        <v>3</v>
      </c>
      <c r="C31" s="1" t="n">
        <v>2009</v>
      </c>
      <c r="D31" s="1" t="n">
        <v>2020</v>
      </c>
      <c r="E31" s="4" t="inlineStr">
        <is>
          <t>The Gentlemen, Sherlock Holmes, Sherlock Holmes: A Game of Shadows</t>
        </is>
      </c>
      <c r="F31" s="1" t="inlineStr">
        <is>
          <t>F0119, F0278, F0279</t>
        </is>
      </c>
    </row>
    <row r="32" ht="15.75" customHeight="1" s="95">
      <c r="A32" s="1" t="inlineStr">
        <is>
          <t>John Lasseter</t>
        </is>
      </c>
      <c r="B32" s="1" t="n">
        <v>3</v>
      </c>
      <c r="C32" s="1" t="n">
        <v>1995</v>
      </c>
      <c r="D32" s="1" t="n">
        <v>1999</v>
      </c>
      <c r="E32" s="4" t="inlineStr">
        <is>
          <t>A Bug's Life, Toy Story, Toy Story 2</t>
        </is>
      </c>
      <c r="F32" s="1" t="inlineStr">
        <is>
          <t>F0012, F0312, F0313</t>
        </is>
      </c>
    </row>
    <row r="33" ht="15.75" customHeight="1" s="95">
      <c r="A33" s="1" t="inlineStr">
        <is>
          <t>Jon Favreau</t>
        </is>
      </c>
      <c r="B33" s="1" t="n">
        <v>3</v>
      </c>
      <c r="C33" s="1" t="n">
        <v>2003</v>
      </c>
      <c r="D33" s="1" t="n">
        <v>2014</v>
      </c>
      <c r="E33" s="4" t="inlineStr">
        <is>
          <t>Chef, Cowboys &amp; Aliens, Elf</t>
        </is>
      </c>
      <c r="F33" s="1" t="inlineStr">
        <is>
          <t>F0065, F0073, F0092</t>
        </is>
      </c>
    </row>
    <row r="34" ht="15.75" customHeight="1" s="95">
      <c r="A34" s="1" t="inlineStr">
        <is>
          <t>Lana Wachowski</t>
        </is>
      </c>
      <c r="B34" s="1" t="n">
        <v>3</v>
      </c>
      <c r="C34" s="1" t="n">
        <v>1999</v>
      </c>
      <c r="D34" s="1" t="n">
        <v>2003</v>
      </c>
      <c r="E34" s="4" t="inlineStr">
        <is>
          <t>The Matrix, The Matrix Reloaded, The Matrix Revolutions</t>
        </is>
      </c>
      <c r="F34" s="1" t="inlineStr">
        <is>
          <t>F0214, F0215, F0216</t>
        </is>
      </c>
    </row>
    <row r="35" ht="15.75" customHeight="1" s="95">
      <c r="A35" s="1" t="inlineStr">
        <is>
          <t>Lee Unkrich</t>
        </is>
      </c>
      <c r="B35" s="1" t="n">
        <v>3</v>
      </c>
      <c r="C35" s="1" t="n">
        <v>1999</v>
      </c>
      <c r="D35" s="1" t="n">
        <v>2010</v>
      </c>
      <c r="E35" s="4" t="inlineStr">
        <is>
          <t>Monsters, Inc., Toy Story 2, Toy Story 3</t>
        </is>
      </c>
      <c r="F35" s="1" t="inlineStr">
        <is>
          <t>F0229, F0313, F0314</t>
        </is>
      </c>
    </row>
    <row r="36" ht="15.75" customHeight="1" s="95">
      <c r="A36" s="1" t="inlineStr">
        <is>
          <t>Lilly Wachowski</t>
        </is>
      </c>
      <c r="B36" s="1" t="n">
        <v>3</v>
      </c>
      <c r="C36" s="1" t="n">
        <v>1999</v>
      </c>
      <c r="D36" s="1" t="n">
        <v>2003</v>
      </c>
      <c r="E36" s="4" t="inlineStr">
        <is>
          <t>The Matrix, The Matrix Reloaded, The Matrix Revolutions</t>
        </is>
      </c>
      <c r="F36" s="1" t="inlineStr">
        <is>
          <t>F0214, F0215, F0216</t>
        </is>
      </c>
    </row>
    <row r="37" ht="15.75" customHeight="1" s="95">
      <c r="A37" s="1" t="inlineStr">
        <is>
          <t>Louis Leterrier</t>
        </is>
      </c>
      <c r="B37" s="1" t="n">
        <v>3</v>
      </c>
      <c r="C37" s="1" t="n">
        <v>2010</v>
      </c>
      <c r="D37" s="1" t="n">
        <v>2023</v>
      </c>
      <c r="E37" s="4" t="inlineStr">
        <is>
          <t>Clash of the Titans, Fast X, Grimsby</t>
        </is>
      </c>
      <c r="F37" s="1" t="inlineStr">
        <is>
          <t>F0066, F0110, F0130</t>
        </is>
      </c>
    </row>
    <row r="38" ht="15.75" customHeight="1" s="95">
      <c r="A38" s="1" t="inlineStr">
        <is>
          <t>Matt Reeves</t>
        </is>
      </c>
      <c r="B38" s="1" t="n">
        <v>3</v>
      </c>
      <c r="C38" s="1" t="n">
        <v>2014</v>
      </c>
      <c r="D38" s="1" t="n">
        <v>2022</v>
      </c>
      <c r="E38" s="4" t="inlineStr">
        <is>
          <t>The Batman, Dawn of the Planet of the Apes, War for the Planet of the Apes</t>
        </is>
      </c>
      <c r="F38" s="1" t="inlineStr">
        <is>
          <t>F0042, F0254, F0255</t>
        </is>
      </c>
    </row>
    <row r="39" ht="15.75" customHeight="1" s="95">
      <c r="A39" s="1" t="inlineStr">
        <is>
          <t>Paul Feig</t>
        </is>
      </c>
      <c r="B39" s="1" t="n">
        <v>3</v>
      </c>
      <c r="C39" s="1" t="n">
        <v>2011</v>
      </c>
      <c r="D39" s="1" t="n">
        <v>2015</v>
      </c>
      <c r="E39" s="4" t="inlineStr">
        <is>
          <t>Bridesmaids, The Heat, Spy</t>
        </is>
      </c>
      <c r="F39" s="1" t="inlineStr">
        <is>
          <t>F0058, F0146, F0290</t>
        </is>
      </c>
    </row>
    <row r="40" ht="15.75" customHeight="1" s="95">
      <c r="A40" s="1" t="inlineStr">
        <is>
          <t>Pete Docter</t>
        </is>
      </c>
      <c r="B40" s="1" t="n">
        <v>4</v>
      </c>
      <c r="C40" s="1" t="n">
        <v>2001</v>
      </c>
      <c r="D40" s="1" t="n">
        <v>2015</v>
      </c>
      <c r="E40" s="4" t="inlineStr">
        <is>
          <t>Inside Out, Monsters, Inc., Up, Monsters, Inc.</t>
        </is>
      </c>
      <c r="F40" s="1" t="inlineStr">
        <is>
          <t>F0167, F0229, F0330</t>
        </is>
      </c>
    </row>
    <row r="41" ht="15.75" customHeight="1" s="95">
      <c r="A41" s="1" t="inlineStr">
        <is>
          <t>Phil Lord</t>
        </is>
      </c>
      <c r="B41" s="1" t="n">
        <v>3</v>
      </c>
      <c r="C41" s="1" t="n">
        <v>2012</v>
      </c>
      <c r="D41" s="1" t="n">
        <v>2014</v>
      </c>
      <c r="E41" s="4" t="inlineStr">
        <is>
          <t>21 Jump Street, 22 Jump Street, The Lego Movie</t>
        </is>
      </c>
      <c r="F41" s="1" t="inlineStr">
        <is>
          <t>F0007, F0008, F0195</t>
        </is>
      </c>
    </row>
    <row r="42" ht="15.75" customHeight="1" s="95">
      <c r="A42" s="1" t="inlineStr">
        <is>
          <t>Quentin Tarantino</t>
        </is>
      </c>
      <c r="B42" s="1" t="n">
        <v>3</v>
      </c>
      <c r="C42" s="1" t="n">
        <v>2009</v>
      </c>
      <c r="D42" s="1" t="n">
        <v>2019</v>
      </c>
      <c r="E42" s="4" t="inlineStr">
        <is>
          <t>Django Unchained, Inglourious Basterds, Once Upon a Time… in Hollywood</t>
        </is>
      </c>
      <c r="F42" s="1" t="inlineStr">
        <is>
          <t>F0090, F0166, F0241</t>
        </is>
      </c>
    </row>
    <row r="43" ht="15.75" customHeight="1" s="95">
      <c r="A43" s="1" t="inlineStr">
        <is>
          <t>Robert Zemeckis</t>
        </is>
      </c>
      <c r="B43" s="1" t="n">
        <v>3</v>
      </c>
      <c r="C43" s="1" t="n">
        <v>1985</v>
      </c>
      <c r="D43" s="1" t="n">
        <v>1990</v>
      </c>
      <c r="E43" s="4" t="inlineStr">
        <is>
          <t>Back to the Future, Back to the Future Part II, Back to the Future Part III</t>
        </is>
      </c>
      <c r="F43" s="1" t="inlineStr">
        <is>
          <t>F0033, F0034, F0035</t>
        </is>
      </c>
    </row>
    <row r="44" ht="15.75" customHeight="1" s="95">
      <c r="A44" s="1" t="inlineStr">
        <is>
          <t>Sam Raimi</t>
        </is>
      </c>
      <c r="B44" s="1" t="n">
        <v>3</v>
      </c>
      <c r="C44" s="1" t="n">
        <v>2002</v>
      </c>
      <c r="D44" s="1" t="n">
        <v>2007</v>
      </c>
      <c r="E44" s="4" t="inlineStr">
        <is>
          <t>Spider-Man, Spider-Man 2, Spider-Man 3</t>
        </is>
      </c>
      <c r="F44" s="1" t="inlineStr">
        <is>
          <t>F0287, F0288, F0289</t>
        </is>
      </c>
    </row>
    <row r="45" ht="15.75" customHeight="1" s="95">
      <c r="A45" s="1" t="inlineStr">
        <is>
          <t>Anthony Russo</t>
        </is>
      </c>
      <c r="B45" s="1" t="n">
        <v>2</v>
      </c>
      <c r="C45" s="1" t="n">
        <v>2018</v>
      </c>
      <c r="D45" s="1" t="n">
        <v>2019</v>
      </c>
      <c r="E45" s="4" t="inlineStr">
        <is>
          <t>Avengers: Infinity War, Avengers: Endgame</t>
        </is>
      </c>
      <c r="F45" s="1" t="inlineStr">
        <is>
          <t>F0030, F0031</t>
        </is>
      </c>
    </row>
    <row r="46" ht="15.75" customHeight="1" s="95">
      <c r="A46" s="1" t="inlineStr">
        <is>
          <t>Barry Sonnenfeld</t>
        </is>
      </c>
      <c r="B46" s="1" t="n">
        <v>2</v>
      </c>
      <c r="C46" s="1" t="n">
        <v>1997</v>
      </c>
      <c r="D46" s="1" t="n">
        <v>2012</v>
      </c>
      <c r="E46" s="4" t="inlineStr">
        <is>
          <t>Men in Black, Men in Black 3</t>
        </is>
      </c>
      <c r="F46" s="1" t="inlineStr">
        <is>
          <t>F0218, F0219</t>
        </is>
      </c>
    </row>
    <row r="47" ht="15.75" customHeight="1" s="95">
      <c r="A47" s="1" t="inlineStr">
        <is>
          <t>Chris Columbus</t>
        </is>
      </c>
      <c r="B47" s="1" t="n">
        <v>2</v>
      </c>
      <c r="C47" s="1" t="n">
        <v>2001</v>
      </c>
      <c r="D47" s="1" t="n">
        <v>2002</v>
      </c>
      <c r="E47" s="4" t="inlineStr">
        <is>
          <t>Harry Potter and the Philosopher's Stone, Harry Potter and the Chamber of Secrets</t>
        </is>
      </c>
      <c r="F47" s="1" t="inlineStr">
        <is>
          <t>F0137, F0138</t>
        </is>
      </c>
    </row>
    <row r="48" ht="15.75" customHeight="1" s="95">
      <c r="A48" s="1" t="inlineStr">
        <is>
          <t>Chris Sanders</t>
        </is>
      </c>
      <c r="B48" s="1" t="n">
        <v>2</v>
      </c>
      <c r="C48" s="1" t="n">
        <v>2010</v>
      </c>
      <c r="D48" s="1" t="n">
        <v>2013</v>
      </c>
      <c r="E48" s="4" t="inlineStr">
        <is>
          <t>The Croods, How to Train Your Dragon</t>
        </is>
      </c>
      <c r="F48" s="1" t="inlineStr">
        <is>
          <t>F0075, F0154</t>
        </is>
      </c>
    </row>
    <row r="49" ht="15.75" customHeight="1" s="95">
      <c r="A49" s="1" t="inlineStr">
        <is>
          <t>Colin Trevorrow</t>
        </is>
      </c>
      <c r="B49" s="1" t="n">
        <v>2</v>
      </c>
      <c r="C49" s="1" t="n">
        <v>2015</v>
      </c>
      <c r="D49" s="1" t="n">
        <v>2022</v>
      </c>
      <c r="E49" s="4" t="inlineStr">
        <is>
          <t>Jurassic World, Jurassic World Dominion</t>
        </is>
      </c>
      <c r="F49" s="1" t="inlineStr">
        <is>
          <t>F0179, F0181</t>
        </is>
      </c>
    </row>
    <row r="50" ht="15.75" customHeight="1" s="95">
      <c r="A50" s="1" t="inlineStr">
        <is>
          <t>Dean DeBlois</t>
        </is>
      </c>
      <c r="B50" s="1" t="n">
        <v>2</v>
      </c>
      <c r="C50" s="1" t="n">
        <v>2010</v>
      </c>
      <c r="D50" s="1" t="n">
        <v>2014</v>
      </c>
      <c r="E50" s="4" t="inlineStr">
        <is>
          <t>How to Train Your Dragon, How to Train Your Dragon 2</t>
        </is>
      </c>
      <c r="F50" s="1" t="inlineStr">
        <is>
          <t>F0154, F0155</t>
        </is>
      </c>
    </row>
    <row r="51" ht="15.75" customHeight="1" s="95">
      <c r="A51" s="1" t="inlineStr">
        <is>
          <t>Eric Brevig</t>
        </is>
      </c>
      <c r="B51" s="1" t="n">
        <v>2</v>
      </c>
      <c r="C51" s="1" t="n">
        <v>2008</v>
      </c>
      <c r="D51" s="1" t="n">
        <v>2010</v>
      </c>
      <c r="E51" s="4" t="inlineStr">
        <is>
          <t>Journey to the Center of the Earth, Yogi Bear</t>
        </is>
      </c>
      <c r="F51" s="1" t="inlineStr">
        <is>
          <t>F0174, F0348</t>
        </is>
      </c>
    </row>
    <row r="52" ht="15.75" customHeight="1" s="95">
      <c r="A52" s="1" t="inlineStr">
        <is>
          <t>Ethan Coen</t>
        </is>
      </c>
      <c r="B52" s="1" t="n">
        <v>2</v>
      </c>
      <c r="C52" s="1" t="n">
        <v>1998</v>
      </c>
      <c r="D52" s="1" t="n">
        <v>2010</v>
      </c>
      <c r="E52" s="4" t="inlineStr">
        <is>
          <t>The Big Lebowski, True Grit</t>
        </is>
      </c>
      <c r="F52" s="1" t="inlineStr">
        <is>
          <t>F0049, F0325</t>
        </is>
      </c>
    </row>
    <row r="53" ht="15.75" customHeight="1" s="95">
      <c r="A53" s="1" t="inlineStr">
        <is>
          <t>Gareth Edwards</t>
        </is>
      </c>
      <c r="B53" s="1" t="n">
        <v>2</v>
      </c>
      <c r="C53" s="1" t="n">
        <v>2014</v>
      </c>
      <c r="D53" s="1" t="n">
        <v>2025</v>
      </c>
      <c r="E53" s="4" t="inlineStr">
        <is>
          <t>Godzilla, Jurassic World Rebirth</t>
        </is>
      </c>
      <c r="F53" s="1" t="inlineStr">
        <is>
          <t>F0121, F0182</t>
        </is>
      </c>
    </row>
    <row r="54" ht="15.75" customHeight="1" s="95">
      <c r="A54" s="1" t="inlineStr">
        <is>
          <t>Gavin O'Connor</t>
        </is>
      </c>
      <c r="B54" s="1" t="n">
        <v>2</v>
      </c>
      <c r="C54" s="1" t="n">
        <v>2011</v>
      </c>
      <c r="D54" s="1" t="n">
        <v>2016</v>
      </c>
      <c r="E54" s="4" t="inlineStr">
        <is>
          <t>The Accountant, Warrior</t>
        </is>
      </c>
      <c r="F54" s="1" t="inlineStr">
        <is>
          <t>F0013, F0333</t>
        </is>
      </c>
    </row>
    <row r="55" ht="15.75" customHeight="1" s="95">
      <c r="A55" s="1" t="inlineStr">
        <is>
          <t>Greg Mottola</t>
        </is>
      </c>
      <c r="B55" s="1" t="n">
        <v>2</v>
      </c>
      <c r="C55" s="1" t="n">
        <v>2007</v>
      </c>
      <c r="D55" s="1" t="n">
        <v>2011</v>
      </c>
      <c r="E55" s="4" t="inlineStr">
        <is>
          <t>Paul, Superbad</t>
        </is>
      </c>
      <c r="F55" s="1" t="inlineStr">
        <is>
          <t>F0245, F0303</t>
        </is>
      </c>
    </row>
    <row r="56" ht="15.75" customHeight="1" s="95">
      <c r="A56" s="1" t="inlineStr">
        <is>
          <t>James Cameron</t>
        </is>
      </c>
      <c r="B56" s="1" t="n">
        <v>2</v>
      </c>
      <c r="C56" s="1" t="n">
        <v>1986</v>
      </c>
      <c r="D56" s="1" t="n">
        <v>2009</v>
      </c>
      <c r="E56" s="4" t="inlineStr">
        <is>
          <t>Aliens, Avatar</t>
        </is>
      </c>
      <c r="F56" s="1" t="inlineStr">
        <is>
          <t>F0016, F0028</t>
        </is>
      </c>
    </row>
    <row r="57" ht="15.75" customHeight="1" s="95">
      <c r="A57" s="1" t="inlineStr">
        <is>
          <t>James Mangold</t>
        </is>
      </c>
      <c r="B57" s="1" t="n">
        <v>2</v>
      </c>
      <c r="C57" s="1" t="n">
        <v>2013</v>
      </c>
      <c r="D57" s="1" t="n">
        <v>2017</v>
      </c>
      <c r="E57" s="4" t="inlineStr">
        <is>
          <t>Logan, The Wolverine</t>
        </is>
      </c>
      <c r="F57" s="1" t="inlineStr">
        <is>
          <t>F0201, F0347</t>
        </is>
      </c>
    </row>
    <row r="58" ht="15.75" customHeight="1" s="95">
      <c r="A58" s="1" t="inlineStr">
        <is>
          <t>Joe Russo</t>
        </is>
      </c>
      <c r="B58" s="1" t="n">
        <v>2</v>
      </c>
      <c r="C58" s="1" t="n">
        <v>2018</v>
      </c>
      <c r="D58" s="1" t="n">
        <v>2019</v>
      </c>
      <c r="E58" s="4" t="inlineStr">
        <is>
          <t>Avengers: Infinity War, Avengers: Endgame</t>
        </is>
      </c>
      <c r="F58" s="1" t="inlineStr">
        <is>
          <t>F0030, F0031</t>
        </is>
      </c>
    </row>
    <row r="59" ht="15.75" customHeight="1" s="95">
      <c r="A59" s="1" t="inlineStr">
        <is>
          <t>Joel Coen</t>
        </is>
      </c>
      <c r="B59" s="1" t="n">
        <v>2</v>
      </c>
      <c r="C59" s="1" t="n">
        <v>1998</v>
      </c>
      <c r="D59" s="1" t="n">
        <v>2010</v>
      </c>
      <c r="E59" s="4" t="inlineStr">
        <is>
          <t>The Big Lebowski, True Grit</t>
        </is>
      </c>
      <c r="F59" s="1" t="inlineStr">
        <is>
          <t>F0049, F0325</t>
        </is>
      </c>
    </row>
    <row r="60" ht="15.75" customHeight="1" s="95">
      <c r="A60" s="1" t="inlineStr">
        <is>
          <t>Jonathan Liebesman</t>
        </is>
      </c>
      <c r="B60" s="1" t="n">
        <v>2</v>
      </c>
      <c r="C60" s="1" t="n">
        <v>2011</v>
      </c>
      <c r="D60" s="1" t="n">
        <v>2014</v>
      </c>
      <c r="E60" s="4" t="inlineStr">
        <is>
          <t>Battle: Los Angeles, Teenage Mutant Ninja Turtles</t>
        </is>
      </c>
      <c r="F60" s="1" t="inlineStr">
        <is>
          <t>F0046, F0309</t>
        </is>
      </c>
    </row>
    <row r="61" ht="15.75" customHeight="1" s="95">
      <c r="A61" s="1" t="inlineStr">
        <is>
          <t>Joseph Kosinski</t>
        </is>
      </c>
      <c r="B61" s="1" t="n">
        <v>2</v>
      </c>
      <c r="C61" s="1" t="n">
        <v>2013</v>
      </c>
      <c r="D61" s="1" t="n">
        <v>2025</v>
      </c>
      <c r="E61" s="4" t="inlineStr">
        <is>
          <t>F1, Oblivion</t>
        </is>
      </c>
      <c r="F61" s="1" t="inlineStr">
        <is>
          <t>F0098, F0239</t>
        </is>
      </c>
    </row>
    <row r="62" ht="15.75" customHeight="1" s="95">
      <c r="A62" s="1" t="inlineStr">
        <is>
          <t>Kyle Balda</t>
        </is>
      </c>
      <c r="B62" s="1" t="n">
        <v>2</v>
      </c>
      <c r="C62" s="1" t="n">
        <v>2015</v>
      </c>
      <c r="D62" s="1" t="n">
        <v>2017</v>
      </c>
      <c r="E62" s="4" t="inlineStr">
        <is>
          <t>Despicable Me 3, Minions</t>
        </is>
      </c>
      <c r="F62" s="1" t="inlineStr">
        <is>
          <t>F0084, F0220</t>
        </is>
      </c>
    </row>
    <row r="63" ht="15.75" customHeight="1" s="95">
      <c r="A63" s="1" t="inlineStr">
        <is>
          <t>Larry Charles</t>
        </is>
      </c>
      <c r="B63" s="1" t="n">
        <v>2</v>
      </c>
      <c r="C63" s="1" t="n">
        <v>2009</v>
      </c>
      <c r="D63" s="1" t="n">
        <v>2012</v>
      </c>
      <c r="E63" s="4" t="inlineStr">
        <is>
          <t>Brüno, The Dictator</t>
        </is>
      </c>
      <c r="F63" s="1" t="inlineStr">
        <is>
          <t>F0059, F0085</t>
        </is>
      </c>
    </row>
    <row r="64" ht="15.75" customHeight="1" s="95">
      <c r="A64" s="1" t="inlineStr">
        <is>
          <t>Len Wiseman</t>
        </is>
      </c>
      <c r="B64" s="1" t="n">
        <v>2</v>
      </c>
      <c r="C64" s="1" t="n">
        <v>2006</v>
      </c>
      <c r="D64" s="1" t="n">
        <v>2007</v>
      </c>
      <c r="E64" s="4" t="inlineStr">
        <is>
          <t>Live Free or Die Hard, Underworld: Evolution</t>
        </is>
      </c>
      <c r="F64" s="1" t="inlineStr">
        <is>
          <t>F0086, F0326</t>
        </is>
      </c>
    </row>
    <row r="65" ht="15.75" customHeight="1" s="95">
      <c r="A65" s="1" t="inlineStr">
        <is>
          <t>Martin Campbell</t>
        </is>
      </c>
      <c r="B65" s="1" t="n">
        <v>2</v>
      </c>
      <c r="C65" s="1" t="n">
        <v>2006</v>
      </c>
      <c r="D65" s="1" t="n">
        <v>2011</v>
      </c>
      <c r="E65" s="4" t="inlineStr">
        <is>
          <t>Casino Royale, Green Lantern</t>
        </is>
      </c>
      <c r="F65" s="1" t="inlineStr">
        <is>
          <t>F0001, F0128</t>
        </is>
      </c>
    </row>
    <row r="66" ht="15.75" customHeight="1" s="95">
      <c r="A66" s="1" t="inlineStr">
        <is>
          <t>Matthew Vaughn</t>
        </is>
      </c>
      <c r="B66" s="1" t="n">
        <v>2</v>
      </c>
      <c r="C66" s="1" t="n">
        <v>2010</v>
      </c>
      <c r="D66" s="1" t="n">
        <v>2011</v>
      </c>
      <c r="E66" s="4" t="inlineStr">
        <is>
          <t>Kick-Ass, X-Men: First Class</t>
        </is>
      </c>
      <c r="F66" s="1" t="inlineStr">
        <is>
          <t>F0185, F0340</t>
        </is>
      </c>
    </row>
    <row r="67" ht="15.75" customHeight="1" s="95">
      <c r="A67" s="1" t="inlineStr">
        <is>
          <t>Neill Blomkamp</t>
        </is>
      </c>
      <c r="B67" s="1" t="n">
        <v>2</v>
      </c>
      <c r="C67" s="1" t="n">
        <v>2009</v>
      </c>
      <c r="D67" s="1" t="n">
        <v>2013</v>
      </c>
      <c r="E67" s="4" t="inlineStr">
        <is>
          <t>District 9, Elysium</t>
        </is>
      </c>
      <c r="F67" s="1" t="inlineStr">
        <is>
          <t>F0088, F0093</t>
        </is>
      </c>
    </row>
    <row r="68" ht="15.75" customHeight="1" s="95">
      <c r="A68" s="1" t="inlineStr">
        <is>
          <t>Patrick Hughes</t>
        </is>
      </c>
      <c r="B68" s="1" t="n">
        <v>2</v>
      </c>
      <c r="C68" s="1" t="n">
        <v>2014</v>
      </c>
      <c r="D68" s="1" t="n">
        <v>2017</v>
      </c>
      <c r="E68" s="4" t="inlineStr">
        <is>
          <t>The Expendables 3, The Hitman's Bodyguard</t>
        </is>
      </c>
      <c r="F68" s="1" t="inlineStr">
        <is>
          <t>F0097, F0149</t>
        </is>
      </c>
    </row>
    <row r="69" ht="15.75" customHeight="1" s="95">
      <c r="A69" s="1" t="inlineStr">
        <is>
          <t>Paul King</t>
        </is>
      </c>
      <c r="B69" s="1" t="n">
        <v>2</v>
      </c>
      <c r="C69" s="1" t="n">
        <v>2014</v>
      </c>
      <c r="D69" s="1" t="n">
        <v>2023</v>
      </c>
      <c r="E69" s="4" t="inlineStr">
        <is>
          <t>Paddington, Wonka</t>
        </is>
      </c>
      <c r="F69" s="1" t="inlineStr">
        <is>
          <t>F0244, F0338</t>
        </is>
      </c>
    </row>
    <row r="70" ht="15.75" customHeight="1" s="95">
      <c r="A70" s="1" t="inlineStr">
        <is>
          <t>Rich Moore</t>
        </is>
      </c>
      <c r="B70" s="1" t="n">
        <v>2</v>
      </c>
      <c r="C70" s="1" t="n">
        <v>2012</v>
      </c>
      <c r="D70" s="1" t="n">
        <v>2018</v>
      </c>
      <c r="E70" s="4" t="inlineStr">
        <is>
          <t>Wreck-It Ralph, Ralph Breaks the Internet</t>
        </is>
      </c>
      <c r="F70" s="1" t="inlineStr">
        <is>
          <t>F0336, F0337</t>
        </is>
      </c>
    </row>
    <row r="71" ht="15.75" customHeight="1" s="95">
      <c r="A71" s="1" t="inlineStr">
        <is>
          <t>Roland Emmerich</t>
        </is>
      </c>
      <c r="B71" s="1" t="n">
        <v>2</v>
      </c>
      <c r="C71" s="1" t="n">
        <v>2009</v>
      </c>
      <c r="D71" s="1" t="n">
        <v>2013</v>
      </c>
      <c r="E71" s="4" t="inlineStr">
        <is>
          <t>2012, White House Down</t>
        </is>
      </c>
      <c r="F71" s="1" t="inlineStr">
        <is>
          <t>F0006, F0335</t>
        </is>
      </c>
    </row>
    <row r="72" ht="15.75" customHeight="1" s="95">
      <c r="A72" s="1" t="inlineStr">
        <is>
          <t>Ron Howard</t>
        </is>
      </c>
      <c r="B72" s="1" t="n">
        <v>2</v>
      </c>
      <c r="C72" s="1" t="n">
        <v>2009</v>
      </c>
      <c r="D72" s="1" t="n">
        <v>2013</v>
      </c>
      <c r="E72" s="4" t="inlineStr">
        <is>
          <t>Angels &amp; Demons, Rush</t>
        </is>
      </c>
      <c r="F72" s="1" t="inlineStr">
        <is>
          <t>F0023, F0270</t>
        </is>
      </c>
    </row>
    <row r="73" ht="15.75" customHeight="1" s="95">
      <c r="A73" s="1" t="inlineStr">
        <is>
          <t>Sam Mendes</t>
        </is>
      </c>
      <c r="B73" s="1" t="n">
        <v>2</v>
      </c>
      <c r="C73" s="1" t="n">
        <v>2012</v>
      </c>
      <c r="D73" s="1" t="n">
        <v>2015</v>
      </c>
      <c r="E73" s="4" t="inlineStr">
        <is>
          <t>Skyfall, Spectre</t>
        </is>
      </c>
      <c r="F73" s="1" t="inlineStr">
        <is>
          <t>F0003, F0004</t>
        </is>
      </c>
    </row>
    <row r="74" ht="15.75" customHeight="1" s="95">
      <c r="A74" s="1" t="inlineStr">
        <is>
          <t>Seth MacFarlane</t>
        </is>
      </c>
      <c r="B74" s="1" t="n">
        <v>2</v>
      </c>
      <c r="C74" s="1" t="n">
        <v>2012</v>
      </c>
      <c r="D74" s="1" t="n">
        <v>2014</v>
      </c>
      <c r="E74" s="4" t="inlineStr">
        <is>
          <t>A Million Ways to Die in the West, Ted</t>
        </is>
      </c>
      <c r="F74" s="1" t="inlineStr">
        <is>
          <t>F0021, F0308</t>
        </is>
      </c>
    </row>
    <row r="75" ht="15.75" customHeight="1" s="95">
      <c r="A75" s="1" t="inlineStr">
        <is>
          <t>Shane Black</t>
        </is>
      </c>
      <c r="B75" s="1" t="n">
        <v>2</v>
      </c>
      <c r="C75" s="1" t="n">
        <v>2013</v>
      </c>
      <c r="D75" s="1" t="n">
        <v>2016</v>
      </c>
      <c r="E75" s="4" t="inlineStr">
        <is>
          <t>Iron Man 3, The Nice Guys</t>
        </is>
      </c>
      <c r="F75" s="1" t="inlineStr">
        <is>
          <t>F0169, F0235</t>
        </is>
      </c>
    </row>
    <row r="76" ht="15.75" customHeight="1" s="95">
      <c r="A76" s="1" t="inlineStr">
        <is>
          <t>Shawn Levy</t>
        </is>
      </c>
      <c r="B76" s="1" t="n">
        <v>2</v>
      </c>
      <c r="C76" s="1" t="n">
        <v>2009</v>
      </c>
      <c r="D76" s="1" t="n">
        <v>2024</v>
      </c>
      <c r="E76" s="4" t="inlineStr">
        <is>
          <t>Deadpool &amp; Wolverine, Night at the Museum: Battle of the Smithsonian</t>
        </is>
      </c>
      <c r="F76" s="1" t="inlineStr">
        <is>
          <t>F0078, F0236</t>
        </is>
      </c>
    </row>
    <row r="77" ht="15.75" customHeight="1" s="95">
      <c r="A77" s="1" t="inlineStr">
        <is>
          <t>Simon West</t>
        </is>
      </c>
      <c r="B77" s="1" t="n">
        <v>2</v>
      </c>
      <c r="C77" s="1" t="n">
        <v>1997</v>
      </c>
      <c r="D77" s="1" t="n">
        <v>2012</v>
      </c>
      <c r="E77" s="4" t="inlineStr">
        <is>
          <t>Con Air, The Expendables 2</t>
        </is>
      </c>
      <c r="F77" s="1" t="inlineStr">
        <is>
          <t>F0068, F0096</t>
        </is>
      </c>
    </row>
    <row r="78" ht="15.75" customHeight="1" s="95">
      <c r="A78" s="1" t="inlineStr">
        <is>
          <t>Sylvester Stallone</t>
        </is>
      </c>
      <c r="B78" s="1" t="n">
        <v>2</v>
      </c>
      <c r="C78" s="1" t="n">
        <v>2008</v>
      </c>
      <c r="D78" s="1" t="n">
        <v>2010</v>
      </c>
      <c r="E78" s="4" t="inlineStr">
        <is>
          <t>The Expendables, Rambo</t>
        </is>
      </c>
      <c r="F78" s="1" t="inlineStr">
        <is>
          <t>F0095, F0261</t>
        </is>
      </c>
    </row>
    <row r="79" ht="15.75" customHeight="1" s="95">
      <c r="A79" s="1" t="inlineStr">
        <is>
          <t>Tom Hooper</t>
        </is>
      </c>
      <c r="B79" s="1" t="n">
        <v>2</v>
      </c>
      <c r="C79" s="1" t="n">
        <v>2010</v>
      </c>
      <c r="D79" s="1" t="n">
        <v>2012</v>
      </c>
      <c r="E79" s="4" t="inlineStr">
        <is>
          <t>The King's Speech, Les Misérables</t>
        </is>
      </c>
      <c r="F79" s="1" t="inlineStr">
        <is>
          <t>F0189, F0199</t>
        </is>
      </c>
    </row>
    <row r="80" ht="15.75" customHeight="1" s="95">
      <c r="A80" s="1" t="inlineStr">
        <is>
          <t>Wes Ball</t>
        </is>
      </c>
      <c r="B80" s="1" t="n">
        <v>2</v>
      </c>
      <c r="C80" s="1" t="n">
        <v>2014</v>
      </c>
      <c r="D80" s="1" t="n">
        <v>2024</v>
      </c>
      <c r="E80" s="4" t="inlineStr">
        <is>
          <t>The Maze Runner, Kingdom of the Planet of the Apes</t>
        </is>
      </c>
      <c r="F80" s="1" t="inlineStr">
        <is>
          <t>F0217, F0256</t>
        </is>
      </c>
    </row>
    <row r="81" ht="15.75" customHeight="1" s="95">
      <c r="A81" s="1" t="inlineStr">
        <is>
          <t>Aaron Harvey</t>
        </is>
      </c>
      <c r="B81" s="1" t="n">
        <v>1</v>
      </c>
      <c r="C81" s="1" t="n">
        <v>2011</v>
      </c>
      <c r="D81" s="1" t="n">
        <v>2011</v>
      </c>
      <c r="E81" s="4" t="inlineStr">
        <is>
          <t>Catch.44</t>
        </is>
      </c>
      <c r="F81" s="1" t="inlineStr">
        <is>
          <t>F0063</t>
        </is>
      </c>
    </row>
    <row r="82" ht="15.75" customHeight="1" s="95">
      <c r="A82" s="1" t="inlineStr">
        <is>
          <t>Aaron Horvath</t>
        </is>
      </c>
      <c r="B82" s="1" t="n">
        <v>1</v>
      </c>
      <c r="C82" s="1" t="n">
        <v>2023</v>
      </c>
      <c r="D82" s="1" t="n">
        <v>2023</v>
      </c>
      <c r="E82" s="4" t="inlineStr">
        <is>
          <t>The Super Mario Bros. Movie</t>
        </is>
      </c>
      <c r="F82" s="1" t="inlineStr">
        <is>
          <t>F0212</t>
        </is>
      </c>
    </row>
    <row r="83" ht="15.75" customHeight="1" s="95">
      <c r="A83" s="1" t="inlineStr">
        <is>
          <t>Adam Deacon</t>
        </is>
      </c>
      <c r="B83" s="1" t="n">
        <v>1</v>
      </c>
      <c r="C83" s="1" t="n">
        <v>2011</v>
      </c>
      <c r="D83" s="1" t="n">
        <v>2011</v>
      </c>
      <c r="E83" s="4" t="inlineStr">
        <is>
          <t>Anuvahood</t>
        </is>
      </c>
      <c r="F83" s="1" t="inlineStr">
        <is>
          <t>F0024</t>
        </is>
      </c>
    </row>
    <row r="84" ht="15.75" customHeight="1" s="95">
      <c r="A84" s="1" t="inlineStr">
        <is>
          <t>Adam McKay</t>
        </is>
      </c>
      <c r="B84" s="1" t="n">
        <v>1</v>
      </c>
      <c r="C84" s="1" t="n">
        <v>2004</v>
      </c>
      <c r="D84" s="1" t="n">
        <v>2004</v>
      </c>
      <c r="E84" s="4" t="inlineStr">
        <is>
          <t>Anchorman: The Legend of Ron Burgundy</t>
        </is>
      </c>
      <c r="F84" s="1" t="inlineStr">
        <is>
          <t>F0022</t>
        </is>
      </c>
    </row>
    <row r="85" ht="15.75" customHeight="1" s="95">
      <c r="A85" s="1" t="inlineStr">
        <is>
          <t>Adam Wingard</t>
        </is>
      </c>
      <c r="B85" s="1" t="n">
        <v>1</v>
      </c>
      <c r="C85" s="1" t="n">
        <v>2021</v>
      </c>
      <c r="D85" s="1" t="n">
        <v>2021</v>
      </c>
      <c r="E85" s="4" t="inlineStr">
        <is>
          <t>Godzilla vs. Kong</t>
        </is>
      </c>
      <c r="F85" s="1" t="inlineStr">
        <is>
          <t>F0123</t>
        </is>
      </c>
    </row>
    <row r="86" ht="15.75" customHeight="1" s="95">
      <c r="A86" s="1" t="inlineStr">
        <is>
          <t>Alfonso Cuarón</t>
        </is>
      </c>
      <c r="B86" s="1" t="n">
        <v>1</v>
      </c>
      <c r="C86" s="1" t="n">
        <v>2004</v>
      </c>
      <c r="D86" s="1" t="n">
        <v>2004</v>
      </c>
      <c r="E86" s="4" t="inlineStr">
        <is>
          <t>Harry Potter and the Prisoner of Azkaban</t>
        </is>
      </c>
      <c r="F86" s="1" t="inlineStr">
        <is>
          <t>F0139</t>
        </is>
      </c>
    </row>
    <row r="87" ht="15.75" customHeight="1" s="95">
      <c r="A87" s="1" t="inlineStr">
        <is>
          <t>Andrew Dominik</t>
        </is>
      </c>
      <c r="B87" s="1" t="n">
        <v>1</v>
      </c>
      <c r="C87" s="1" t="n">
        <v>2012</v>
      </c>
      <c r="D87" s="1" t="n">
        <v>2012</v>
      </c>
      <c r="E87" s="4" t="inlineStr">
        <is>
          <t>Killing Them Softly</t>
        </is>
      </c>
      <c r="F87" s="1" t="inlineStr">
        <is>
          <t>F0187</t>
        </is>
      </c>
    </row>
    <row r="88" ht="15.75" customHeight="1" s="95">
      <c r="A88" s="1" t="inlineStr">
        <is>
          <t>Angus MacLane</t>
        </is>
      </c>
      <c r="B88" s="1" t="n">
        <v>1</v>
      </c>
      <c r="C88" s="1" t="n">
        <v>2016</v>
      </c>
      <c r="D88" s="1" t="n">
        <v>2016</v>
      </c>
      <c r="E88" s="4" t="inlineStr">
        <is>
          <t>Finding Dory</t>
        </is>
      </c>
      <c r="F88" s="1" t="inlineStr">
        <is>
          <t>F0113</t>
        </is>
      </c>
    </row>
    <row r="89" ht="15.75" customHeight="1" s="95">
      <c r="A89" s="1" t="inlineStr">
        <is>
          <t>Asger Leth</t>
        </is>
      </c>
      <c r="B89" s="1" t="n">
        <v>1</v>
      </c>
      <c r="C89" s="1" t="n">
        <v>2012</v>
      </c>
      <c r="D89" s="1" t="n">
        <v>2012</v>
      </c>
      <c r="E89" s="4" t="inlineStr">
        <is>
          <t>Man on a Ledge</t>
        </is>
      </c>
      <c r="F89" s="1" t="inlineStr">
        <is>
          <t>F0210</t>
        </is>
      </c>
    </row>
    <row r="90" ht="15.75" customHeight="1" s="95">
      <c r="A90" s="1" t="inlineStr">
        <is>
          <t>Ash Brannon</t>
        </is>
      </c>
      <c r="B90" s="1" t="n">
        <v>1</v>
      </c>
      <c r="C90" s="1" t="n">
        <v>1999</v>
      </c>
      <c r="D90" s="1" t="n">
        <v>1999</v>
      </c>
      <c r="E90" s="4" t="inlineStr">
        <is>
          <t>Toy Story 2</t>
        </is>
      </c>
      <c r="F90" s="1" t="inlineStr">
        <is>
          <t>F0313</t>
        </is>
      </c>
    </row>
    <row r="91" ht="15.75" customHeight="1" s="95">
      <c r="A91" s="1" t="inlineStr">
        <is>
          <t>Asif Kapadia</t>
        </is>
      </c>
      <c r="B91" s="1" t="n">
        <v>1</v>
      </c>
      <c r="C91" s="1" t="n">
        <v>2010</v>
      </c>
      <c r="D91" s="1" t="n">
        <v>2010</v>
      </c>
      <c r="E91" s="4" t="inlineStr">
        <is>
          <t>Senna</t>
        </is>
      </c>
      <c r="F91" s="1" t="inlineStr">
        <is>
          <t>F0275</t>
        </is>
      </c>
    </row>
    <row r="92" ht="15.75" customHeight="1" s="95">
      <c r="A92" s="1" t="inlineStr">
        <is>
          <t>Baz Luhrmann</t>
        </is>
      </c>
      <c r="B92" s="1" t="n">
        <v>1</v>
      </c>
      <c r="C92" s="1" t="n">
        <v>2013</v>
      </c>
      <c r="D92" s="1" t="n">
        <v>2013</v>
      </c>
      <c r="E92" s="4" t="inlineStr">
        <is>
          <t>The Great Gatsby</t>
        </is>
      </c>
      <c r="F92" s="1" t="inlineStr">
        <is>
          <t>F0126</t>
        </is>
      </c>
    </row>
    <row r="93" ht="15.75" customHeight="1" s="95">
      <c r="A93" s="1" t="inlineStr">
        <is>
          <t>Ben Affleck</t>
        </is>
      </c>
      <c r="B93" s="1" t="n">
        <v>1</v>
      </c>
      <c r="C93" s="1" t="n">
        <v>2012</v>
      </c>
      <c r="D93" s="1" t="n">
        <v>2012</v>
      </c>
      <c r="E93" s="4" t="inlineStr">
        <is>
          <t>Argo</t>
        </is>
      </c>
      <c r="F93" s="1" t="inlineStr">
        <is>
          <t>F0025</t>
        </is>
      </c>
    </row>
    <row r="94" ht="15.75" customHeight="1" s="95">
      <c r="A94" s="1" t="inlineStr">
        <is>
          <t>Ben Palmer</t>
        </is>
      </c>
      <c r="B94" s="1" t="n">
        <v>1</v>
      </c>
      <c r="C94" s="1" t="n">
        <v>2011</v>
      </c>
      <c r="D94" s="1" t="n">
        <v>2011</v>
      </c>
      <c r="E94" s="4" t="inlineStr">
        <is>
          <t>The Inbetweeners Movie</t>
        </is>
      </c>
      <c r="F94" s="1" t="inlineStr">
        <is>
          <t>F0163</t>
        </is>
      </c>
    </row>
    <row r="95" ht="15.75" customHeight="1" s="95">
      <c r="A95" s="1" t="inlineStr">
        <is>
          <t>Ben Sharpsteen</t>
        </is>
      </c>
      <c r="B95" s="1" t="n">
        <v>1</v>
      </c>
      <c r="C95" s="1" t="n">
        <v>1940</v>
      </c>
      <c r="D95" s="1" t="n">
        <v>1940</v>
      </c>
      <c r="E95" s="4" t="inlineStr">
        <is>
          <t>Pinocchio</t>
        </is>
      </c>
      <c r="F95" s="1" t="inlineStr">
        <is>
          <t>F0248</t>
        </is>
      </c>
    </row>
    <row r="96" ht="15.75" customHeight="1" s="95">
      <c r="A96" s="1" t="inlineStr">
        <is>
          <t>Ben Stiller</t>
        </is>
      </c>
      <c r="B96" s="1" t="n">
        <v>1</v>
      </c>
      <c r="C96" s="1" t="n">
        <v>2008</v>
      </c>
      <c r="D96" s="1" t="n">
        <v>2008</v>
      </c>
      <c r="E96" s="4" t="inlineStr">
        <is>
          <t>Tropic Thunder</t>
        </is>
      </c>
      <c r="F96" s="1" t="inlineStr">
        <is>
          <t>F0324</t>
        </is>
      </c>
    </row>
    <row r="97" ht="15.75" customHeight="1" s="95">
      <c r="A97" s="1" t="inlineStr">
        <is>
          <t>Bill Roberts</t>
        </is>
      </c>
      <c r="B97" s="1" t="n">
        <v>1</v>
      </c>
      <c r="C97" s="1" t="n">
        <v>1940</v>
      </c>
      <c r="D97" s="1" t="n">
        <v>1940</v>
      </c>
      <c r="E97" s="4" t="inlineStr">
        <is>
          <t>Pinocchio</t>
        </is>
      </c>
      <c r="F97" s="1" t="inlineStr">
        <is>
          <t>F0248</t>
        </is>
      </c>
    </row>
    <row r="98" ht="15.75" customHeight="1" s="95">
      <c r="A98" s="1" t="inlineStr">
        <is>
          <t>Björn Stein</t>
        </is>
      </c>
      <c r="B98" s="1" t="n">
        <v>1</v>
      </c>
      <c r="C98" s="1" t="n">
        <v>2012</v>
      </c>
      <c r="D98" s="1" t="n">
        <v>2012</v>
      </c>
      <c r="E98" s="4" t="inlineStr">
        <is>
          <t>Underworld: Awakening</t>
        </is>
      </c>
      <c r="F98" s="1" t="inlineStr">
        <is>
          <t>F0328</t>
        </is>
      </c>
    </row>
    <row r="99" ht="15.75" customHeight="1" s="95">
      <c r="A99" s="1" t="inlineStr">
        <is>
          <t>Bob Peterson</t>
        </is>
      </c>
      <c r="B99" s="1" t="n">
        <v>1</v>
      </c>
      <c r="C99" s="1" t="n">
        <v>2009</v>
      </c>
      <c r="D99" s="1" t="n">
        <v>2009</v>
      </c>
      <c r="E99" s="4" t="inlineStr">
        <is>
          <t>Up</t>
        </is>
      </c>
      <c r="F99" s="1" t="inlineStr">
        <is>
          <t>F0330</t>
        </is>
      </c>
    </row>
    <row r="100" ht="15.75" customHeight="1" s="95">
      <c r="A100" s="1" t="inlineStr">
        <is>
          <t>Bong Joon Ho</t>
        </is>
      </c>
      <c r="B100" s="1" t="n">
        <v>1</v>
      </c>
      <c r="C100" s="1" t="n">
        <v>2013</v>
      </c>
      <c r="D100" s="1" t="n">
        <v>2013</v>
      </c>
      <c r="E100" s="4" t="inlineStr">
        <is>
          <t>Snowpiercer</t>
        </is>
      </c>
      <c r="F100" s="1" t="inlineStr">
        <is>
          <t>F0283</t>
        </is>
      </c>
    </row>
    <row r="101" ht="15.75" customHeight="1" s="95">
      <c r="A101" s="1" t="inlineStr">
        <is>
          <t>Brad Bird</t>
        </is>
      </c>
      <c r="B101" s="1" t="n">
        <v>1</v>
      </c>
      <c r="C101" s="1" t="n">
        <v>2011</v>
      </c>
      <c r="D101" s="1" t="n">
        <v>2011</v>
      </c>
      <c r="E101" s="4" t="inlineStr">
        <is>
          <t>Mission: Impossible - Ghost Protocol</t>
        </is>
      </c>
      <c r="F101" s="1" t="inlineStr">
        <is>
          <t>F0224</t>
        </is>
      </c>
    </row>
    <row r="102" ht="15.75" customHeight="1" s="95">
      <c r="A102" s="1" t="inlineStr">
        <is>
          <t>Brandon Vietti</t>
        </is>
      </c>
      <c r="B102" s="1" t="n">
        <v>1</v>
      </c>
      <c r="C102" s="1" t="n">
        <v>2015</v>
      </c>
      <c r="D102" s="1" t="n">
        <v>2015</v>
      </c>
      <c r="E102" s="4" t="inlineStr">
        <is>
          <t>Lego DC Comics Super Heroes: Justice League vs. Bizarro League</t>
        </is>
      </c>
      <c r="F102" s="1" t="inlineStr">
        <is>
          <t>F0197</t>
        </is>
      </c>
    </row>
    <row r="103" ht="15.75" customHeight="1" s="95">
      <c r="A103" s="1" t="inlineStr">
        <is>
          <t>Brian De Palma</t>
        </is>
      </c>
      <c r="B103" s="1" t="n">
        <v>1</v>
      </c>
      <c r="C103" s="1" t="n">
        <v>1996</v>
      </c>
      <c r="D103" s="1" t="n">
        <v>1996</v>
      </c>
      <c r="E103" s="4" t="inlineStr">
        <is>
          <t>Mission: Impossible</t>
        </is>
      </c>
      <c r="F103" s="1" t="inlineStr">
        <is>
          <t>F0221</t>
        </is>
      </c>
    </row>
    <row r="104" ht="15.75" customHeight="1" s="95">
      <c r="A104" s="1" t="inlineStr">
        <is>
          <t>Camille Delamarre</t>
        </is>
      </c>
      <c r="B104" s="1" t="n">
        <v>1</v>
      </c>
      <c r="C104" s="1" t="n">
        <v>2015</v>
      </c>
      <c r="D104" s="1" t="n">
        <v>2015</v>
      </c>
      <c r="E104" s="4" t="inlineStr">
        <is>
          <t>The Transporter Refueled</t>
        </is>
      </c>
      <c r="F104" s="1" t="inlineStr">
        <is>
          <t>F0323</t>
        </is>
      </c>
    </row>
    <row r="105" ht="15.75" customHeight="1" s="95">
      <c r="A105" s="1" t="inlineStr">
        <is>
          <t>Cary Joji Fukunaga</t>
        </is>
      </c>
      <c r="B105" s="1" t="n">
        <v>1</v>
      </c>
      <c r="C105" s="1" t="n">
        <v>2021</v>
      </c>
      <c r="D105" s="1" t="n">
        <v>2021</v>
      </c>
      <c r="E105" s="4" t="inlineStr">
        <is>
          <t>No Time to Die</t>
        </is>
      </c>
      <c r="F105" s="1" t="inlineStr">
        <is>
          <t>F0005</t>
        </is>
      </c>
    </row>
    <row r="106" ht="15.75" customHeight="1" s="95">
      <c r="A106" s="1" t="inlineStr">
        <is>
          <t>Chris Buck</t>
        </is>
      </c>
      <c r="B106" s="1" t="n">
        <v>1</v>
      </c>
      <c r="C106" s="1" t="n">
        <v>2013</v>
      </c>
      <c r="D106" s="1" t="n">
        <v>2013</v>
      </c>
      <c r="E106" s="4" t="inlineStr">
        <is>
          <t>Frozen</t>
        </is>
      </c>
      <c r="F106" s="1" t="inlineStr">
        <is>
          <t>F0116</t>
        </is>
      </c>
    </row>
    <row r="107" ht="15.75" customHeight="1" s="95">
      <c r="A107" s="1" t="inlineStr">
        <is>
          <t>Chris McKay</t>
        </is>
      </c>
      <c r="B107" s="1" t="n">
        <v>1</v>
      </c>
      <c r="C107" s="1" t="n">
        <v>2017</v>
      </c>
      <c r="D107" s="1" t="n">
        <v>2017</v>
      </c>
      <c r="E107" s="4" t="inlineStr">
        <is>
          <t>The Lego Batman Movie</t>
        </is>
      </c>
      <c r="F107" s="1" t="inlineStr">
        <is>
          <t>F0193</t>
        </is>
      </c>
    </row>
    <row r="108" ht="15.75" customHeight="1" s="95">
      <c r="A108" s="1" t="inlineStr">
        <is>
          <t>Chris Williams</t>
        </is>
      </c>
      <c r="B108" s="1" t="n">
        <v>1</v>
      </c>
      <c r="C108" s="1" t="n">
        <v>2014</v>
      </c>
      <c r="D108" s="1" t="n">
        <v>2014</v>
      </c>
      <c r="E108" s="4" t="inlineStr">
        <is>
          <t>Big Hero 6</t>
        </is>
      </c>
      <c r="F108" s="1" t="inlineStr">
        <is>
          <t>F0048</t>
        </is>
      </c>
    </row>
    <row r="109" ht="15.75" customHeight="1" s="95">
      <c r="A109" s="1" t="inlineStr">
        <is>
          <t>Christophe Lourdelet</t>
        </is>
      </c>
      <c r="B109" s="1" t="n">
        <v>1</v>
      </c>
      <c r="C109" s="1" t="n">
        <v>2016</v>
      </c>
      <c r="D109" s="1" t="n">
        <v>2016</v>
      </c>
      <c r="E109" s="4" t="inlineStr">
        <is>
          <t>Sing</t>
        </is>
      </c>
      <c r="F109" s="1" t="inlineStr">
        <is>
          <t>F0280</t>
        </is>
      </c>
    </row>
    <row r="110" ht="15.75" customHeight="1" s="95">
      <c r="A110" s="1" t="inlineStr">
        <is>
          <t>Clint Eastwood</t>
        </is>
      </c>
      <c r="B110" s="1" t="n">
        <v>1</v>
      </c>
      <c r="C110" s="1" t="n">
        <v>2008</v>
      </c>
      <c r="D110" s="1" t="n">
        <v>2008</v>
      </c>
      <c r="E110" s="4" t="inlineStr">
        <is>
          <t>Gran Torino</t>
        </is>
      </c>
      <c r="F110" s="1" t="inlineStr">
        <is>
          <t>F0125</t>
        </is>
      </c>
    </row>
    <row r="111" ht="15.75" customHeight="1" s="95">
      <c r="A111" s="1" t="inlineStr">
        <is>
          <t>Cody Cameron</t>
        </is>
      </c>
      <c r="B111" s="1" t="n">
        <v>1</v>
      </c>
      <c r="C111" s="1" t="n">
        <v>2013</v>
      </c>
      <c r="D111" s="1" t="n">
        <v>2013</v>
      </c>
      <c r="E111" s="4" t="inlineStr">
        <is>
          <t>Cloudy with a Chance of Meatballs 2</t>
        </is>
      </c>
      <c r="F111" s="1" t="inlineStr">
        <is>
          <t>F0067</t>
        </is>
      </c>
    </row>
    <row r="112" ht="15.75" customHeight="1" s="95">
      <c r="A112" s="1" t="inlineStr">
        <is>
          <t>Damon Beesley</t>
        </is>
      </c>
      <c r="B112" s="1" t="n">
        <v>1</v>
      </c>
      <c r="C112" s="1" t="n">
        <v>2014</v>
      </c>
      <c r="D112" s="1" t="n">
        <v>2014</v>
      </c>
      <c r="E112" s="4" t="inlineStr">
        <is>
          <t>The Inbetweeners 2</t>
        </is>
      </c>
      <c r="F112" s="1" t="inlineStr">
        <is>
          <t>F0164</t>
        </is>
      </c>
    </row>
    <row r="113" ht="15.75" customHeight="1" s="95">
      <c r="A113" s="1" t="inlineStr">
        <is>
          <t>Dan Mazer</t>
        </is>
      </c>
      <c r="B113" s="1" t="n">
        <v>1</v>
      </c>
      <c r="C113" s="1" t="n">
        <v>2016</v>
      </c>
      <c r="D113" s="1" t="n">
        <v>2016</v>
      </c>
      <c r="E113" s="4" t="inlineStr">
        <is>
          <t>Dirty Grandpa</t>
        </is>
      </c>
      <c r="F113" s="1" t="inlineStr">
        <is>
          <t>F0087</t>
        </is>
      </c>
    </row>
    <row r="114" ht="15.75" customHeight="1" s="95">
      <c r="A114" s="1" t="inlineStr">
        <is>
          <t>Dan Scanlon</t>
        </is>
      </c>
      <c r="B114" s="1" t="n">
        <v>1</v>
      </c>
      <c r="C114" s="1" t="n">
        <v>2013</v>
      </c>
      <c r="D114" s="1" t="n">
        <v>2013</v>
      </c>
      <c r="E114" s="4" t="inlineStr">
        <is>
          <t>Monsters University</t>
        </is>
      </c>
      <c r="F114" s="1" t="inlineStr">
        <is>
          <t>F0230</t>
        </is>
      </c>
    </row>
    <row r="115" ht="15.75" customHeight="1" s="95">
      <c r="A115" s="1" t="inlineStr">
        <is>
          <t>Daniel Espinosa</t>
        </is>
      </c>
      <c r="B115" s="1" t="n">
        <v>1</v>
      </c>
      <c r="C115" s="1" t="n">
        <v>2012</v>
      </c>
      <c r="D115" s="1" t="n">
        <v>2012</v>
      </c>
      <c r="E115" s="4" t="inlineStr">
        <is>
          <t>Safe House</t>
        </is>
      </c>
      <c r="F115" s="1" t="inlineStr">
        <is>
          <t>F0272</t>
        </is>
      </c>
    </row>
    <row r="116" ht="15.75" customHeight="1" s="95">
      <c r="A116" s="1" t="inlineStr">
        <is>
          <t>Daniel Toland</t>
        </is>
      </c>
      <c r="B116" s="1" t="n">
        <v>1</v>
      </c>
      <c r="C116" s="1" t="n">
        <v>2011</v>
      </c>
      <c r="D116" s="1" t="n">
        <v>2011</v>
      </c>
      <c r="E116" s="4" t="inlineStr">
        <is>
          <t>Anuvahood</t>
        </is>
      </c>
      <c r="F116" s="1" t="inlineStr">
        <is>
          <t>F0024</t>
        </is>
      </c>
    </row>
    <row r="117" ht="15.75" customHeight="1" s="95">
      <c r="A117" s="1" t="inlineStr">
        <is>
          <t>Danny Boyle</t>
        </is>
      </c>
      <c r="B117" s="1" t="n">
        <v>1</v>
      </c>
      <c r="C117" s="1" t="n">
        <v>2008</v>
      </c>
      <c r="D117" s="1" t="n">
        <v>2008</v>
      </c>
      <c r="E117" s="4" t="inlineStr">
        <is>
          <t>Slumdog Millionaire</t>
        </is>
      </c>
      <c r="F117" s="1" t="inlineStr">
        <is>
          <t>F0281</t>
        </is>
      </c>
    </row>
    <row r="118" ht="15.75" customHeight="1" s="95">
      <c r="A118" s="1" t="inlineStr">
        <is>
          <t>Darren Aronofsky</t>
        </is>
      </c>
      <c r="B118" s="1" t="n">
        <v>1</v>
      </c>
      <c r="C118" s="1" t="n">
        <v>2014</v>
      </c>
      <c r="D118" s="1" t="n">
        <v>2014</v>
      </c>
      <c r="E118" s="4" t="inlineStr">
        <is>
          <t>Noah</t>
        </is>
      </c>
      <c r="F118" s="1" t="inlineStr">
        <is>
          <t>F0238</t>
        </is>
      </c>
    </row>
    <row r="119" ht="15.75" customHeight="1" s="95">
      <c r="A119" s="1" t="inlineStr">
        <is>
          <t>David Ayer</t>
        </is>
      </c>
      <c r="B119" s="1" t="n">
        <v>1</v>
      </c>
      <c r="C119" s="1" t="n">
        <v>2014</v>
      </c>
      <c r="D119" s="1" t="n">
        <v>2014</v>
      </c>
      <c r="E119" s="4" t="inlineStr">
        <is>
          <t>Fury</t>
        </is>
      </c>
      <c r="F119" s="1" t="inlineStr">
        <is>
          <t>F0117</t>
        </is>
      </c>
    </row>
    <row r="120" ht="15.75" customHeight="1" s="95">
      <c r="A120" s="1" t="inlineStr">
        <is>
          <t>David Gordon Green</t>
        </is>
      </c>
      <c r="B120" s="1" t="n">
        <v>1</v>
      </c>
      <c r="C120" s="1" t="n">
        <v>2008</v>
      </c>
      <c r="D120" s="1" t="n">
        <v>2008</v>
      </c>
      <c r="E120" s="4" t="inlineStr">
        <is>
          <t>Pineapple Express</t>
        </is>
      </c>
      <c r="F120" s="1" t="inlineStr">
        <is>
          <t>F0247</t>
        </is>
      </c>
    </row>
    <row r="121" ht="15.75" customHeight="1" s="95">
      <c r="A121" s="1" t="inlineStr">
        <is>
          <t>David O. Russell</t>
        </is>
      </c>
      <c r="B121" s="1" t="n">
        <v>1</v>
      </c>
      <c r="C121" s="1" t="n">
        <v>2013</v>
      </c>
      <c r="D121" s="1" t="n">
        <v>2013</v>
      </c>
      <c r="E121" s="4" t="inlineStr">
        <is>
          <t>American Hustle</t>
        </is>
      </c>
      <c r="F121" s="1" t="inlineStr">
        <is>
          <t>F0020</t>
        </is>
      </c>
    </row>
    <row r="122" ht="15.75" customHeight="1" s="95">
      <c r="A122" s="1" t="inlineStr">
        <is>
          <t>David Peers</t>
        </is>
      </c>
      <c r="B122" s="1" t="n">
        <v>1</v>
      </c>
      <c r="C122" s="1" t="n">
        <v>2011</v>
      </c>
      <c r="D122" s="1" t="n">
        <v>2011</v>
      </c>
      <c r="E122" s="4" t="inlineStr">
        <is>
          <t>Happy Feet Two</t>
        </is>
      </c>
      <c r="F122" s="1" t="inlineStr">
        <is>
          <t>F0145</t>
        </is>
      </c>
    </row>
    <row r="123" ht="15.75" customHeight="1" s="95">
      <c r="A123" s="1" t="inlineStr">
        <is>
          <t>David Silverman</t>
        </is>
      </c>
      <c r="B123" s="1" t="n">
        <v>1</v>
      </c>
      <c r="C123" s="1" t="n">
        <v>2001</v>
      </c>
      <c r="D123" s="1" t="n">
        <v>2001</v>
      </c>
      <c r="E123" s="4" t="inlineStr">
        <is>
          <t>Monsters, Inc.</t>
        </is>
      </c>
      <c r="F123" s="1" t="inlineStr">
        <is>
          <t>F0229</t>
        </is>
      </c>
    </row>
    <row r="124" ht="15.75" customHeight="1" s="95">
      <c r="A124" s="1" t="inlineStr">
        <is>
          <t>David Twohy</t>
        </is>
      </c>
      <c r="B124" s="1" t="n">
        <v>1</v>
      </c>
      <c r="C124" s="1" t="n">
        <v>2013</v>
      </c>
      <c r="D124" s="1" t="n">
        <v>2013</v>
      </c>
      <c r="E124" s="4" t="inlineStr">
        <is>
          <t>Riddick</t>
        </is>
      </c>
      <c r="F124" s="1" t="inlineStr">
        <is>
          <t>F0264</t>
        </is>
      </c>
    </row>
    <row r="125" ht="15.75" customHeight="1" s="95">
      <c r="A125" s="1" t="inlineStr">
        <is>
          <t>Declan Lowney</t>
        </is>
      </c>
      <c r="B125" s="1" t="n">
        <v>1</v>
      </c>
      <c r="C125" s="1" t="n">
        <v>2013</v>
      </c>
      <c r="D125" s="1" t="n">
        <v>2013</v>
      </c>
      <c r="E125" s="4" t="inlineStr">
        <is>
          <t>Alan Partridge: Alpha Papa</t>
        </is>
      </c>
      <c r="F125" s="1" t="inlineStr">
        <is>
          <t>F0014</t>
        </is>
      </c>
    </row>
    <row r="126" ht="15.75" customHeight="1" s="95">
      <c r="A126" s="1" t="inlineStr">
        <is>
          <t>Denis Villeneuve</t>
        </is>
      </c>
      <c r="B126" s="1" t="n">
        <v>1</v>
      </c>
      <c r="C126" s="1" t="n">
        <v>2013</v>
      </c>
      <c r="D126" s="1" t="n">
        <v>2013</v>
      </c>
      <c r="E126" s="4" t="inlineStr">
        <is>
          <t>Prisoners</t>
        </is>
      </c>
      <c r="F126" s="1" t="inlineStr">
        <is>
          <t>F0258</t>
        </is>
      </c>
    </row>
    <row r="127" ht="15.75" customHeight="1" s="95">
      <c r="A127" s="1" t="inlineStr">
        <is>
          <t>Dexter Fletcher</t>
        </is>
      </c>
      <c r="B127" s="1" t="n">
        <v>1</v>
      </c>
      <c r="C127" s="1" t="n">
        <v>2019</v>
      </c>
      <c r="D127" s="1" t="n">
        <v>2019</v>
      </c>
      <c r="E127" s="4" t="inlineStr">
        <is>
          <t>Rocketman</t>
        </is>
      </c>
      <c r="F127" s="1" t="inlineStr">
        <is>
          <t>F0269</t>
        </is>
      </c>
    </row>
    <row r="128" ht="15.75" customHeight="1" s="95">
      <c r="A128" s="1" t="inlineStr">
        <is>
          <t>Don Hall</t>
        </is>
      </c>
      <c r="B128" s="1" t="n">
        <v>1</v>
      </c>
      <c r="C128" s="1" t="n">
        <v>2014</v>
      </c>
      <c r="D128" s="1" t="n">
        <v>2014</v>
      </c>
      <c r="E128" s="4" t="inlineStr">
        <is>
          <t>Big Hero 6</t>
        </is>
      </c>
      <c r="F128" s="1" t="inlineStr">
        <is>
          <t>F0048</t>
        </is>
      </c>
    </row>
    <row r="129" ht="15.75" customHeight="1" s="95">
      <c r="A129" s="1" t="inlineStr">
        <is>
          <t>Duncan Jones</t>
        </is>
      </c>
      <c r="B129" s="1" t="n">
        <v>1</v>
      </c>
      <c r="C129" s="1" t="n">
        <v>2011</v>
      </c>
      <c r="D129" s="1" t="n">
        <v>2011</v>
      </c>
      <c r="E129" s="4" t="inlineStr">
        <is>
          <t>Source Code</t>
        </is>
      </c>
      <c r="F129" s="1" t="inlineStr">
        <is>
          <t>F0285</t>
        </is>
      </c>
    </row>
    <row r="130" ht="15.75" customHeight="1" s="95">
      <c r="A130" s="1" t="inlineStr">
        <is>
          <t>Elizabeth Banks</t>
        </is>
      </c>
      <c r="B130" s="1" t="n">
        <v>1</v>
      </c>
      <c r="C130" s="1" t="n">
        <v>2015</v>
      </c>
      <c r="D130" s="1" t="n">
        <v>2015</v>
      </c>
      <c r="E130" s="4" t="inlineStr">
        <is>
          <t>Pitch Perfect 2</t>
        </is>
      </c>
      <c r="F130" s="1" t="inlineStr">
        <is>
          <t>F0251</t>
        </is>
      </c>
    </row>
    <row r="131" ht="15.75" customHeight="1" s="95">
      <c r="A131" s="1" t="inlineStr">
        <is>
          <t>Eric Guillon</t>
        </is>
      </c>
      <c r="B131" s="1" t="n">
        <v>1</v>
      </c>
      <c r="C131" s="1" t="n">
        <v>2017</v>
      </c>
      <c r="D131" s="1" t="n">
        <v>2017</v>
      </c>
      <c r="E131" s="4" t="inlineStr">
        <is>
          <t>Despicable Me 3</t>
        </is>
      </c>
      <c r="F131" s="1" t="inlineStr">
        <is>
          <t>F0084</t>
        </is>
      </c>
    </row>
    <row r="132" ht="15.75" customHeight="1" s="95">
      <c r="A132" s="1" t="inlineStr">
        <is>
          <t>Fabien Polack</t>
        </is>
      </c>
      <c r="B132" s="1" t="n">
        <v>1</v>
      </c>
      <c r="C132" s="1" t="n">
        <v>2023</v>
      </c>
      <c r="D132" s="1" t="n">
        <v>2023</v>
      </c>
      <c r="E132" s="4" t="inlineStr">
        <is>
          <t>The Super Mario Bros. Movie</t>
        </is>
      </c>
      <c r="F132" s="1" t="inlineStr">
        <is>
          <t>F0212</t>
        </is>
      </c>
    </row>
    <row r="133" ht="15.75" customHeight="1" s="95">
      <c r="A133" s="1" t="inlineStr">
        <is>
          <t>Francis Lawrence</t>
        </is>
      </c>
      <c r="B133" s="1" t="n">
        <v>1</v>
      </c>
      <c r="C133" s="1" t="n">
        <v>2014</v>
      </c>
      <c r="D133" s="1" t="n">
        <v>2014</v>
      </c>
      <c r="E133" s="4" t="inlineStr">
        <is>
          <t>The Hunger Games: Mockingjay - Part 1</t>
        </is>
      </c>
      <c r="F133" s="1" t="inlineStr">
        <is>
          <t>F0158</t>
        </is>
      </c>
    </row>
    <row r="134" ht="15.75" customHeight="1" s="95">
      <c r="A134" s="1" t="inlineStr">
        <is>
          <t>Gabriele Muccino</t>
        </is>
      </c>
      <c r="B134" s="1" t="n">
        <v>1</v>
      </c>
      <c r="C134" s="1" t="n">
        <v>2006</v>
      </c>
      <c r="D134" s="1" t="n">
        <v>2006</v>
      </c>
      <c r="E134" s="4" t="inlineStr">
        <is>
          <t>The Pursuit of Happyness</t>
        </is>
      </c>
      <c r="F134" s="1" t="inlineStr">
        <is>
          <t>F0260</t>
        </is>
      </c>
    </row>
    <row r="135" ht="15.75" customHeight="1" s="95">
      <c r="A135" s="1" t="inlineStr">
        <is>
          <t>Garth Jennings</t>
        </is>
      </c>
      <c r="B135" s="1" t="n">
        <v>1</v>
      </c>
      <c r="C135" s="1" t="n">
        <v>2016</v>
      </c>
      <c r="D135" s="1" t="n">
        <v>2016</v>
      </c>
      <c r="E135" s="4" t="inlineStr">
        <is>
          <t>Sing</t>
        </is>
      </c>
      <c r="F135" s="1" t="inlineStr">
        <is>
          <t>F0280</t>
        </is>
      </c>
    </row>
    <row r="136" ht="15.75" customHeight="1" s="95">
      <c r="A136" s="1" t="inlineStr">
        <is>
          <t>Gary Eck</t>
        </is>
      </c>
      <c r="B136" s="1" t="n">
        <v>1</v>
      </c>
      <c r="C136" s="1" t="n">
        <v>2011</v>
      </c>
      <c r="D136" s="1" t="n">
        <v>2011</v>
      </c>
      <c r="E136" s="4" t="inlineStr">
        <is>
          <t>Happy Feet Two</t>
        </is>
      </c>
      <c r="F136" s="1" t="inlineStr">
        <is>
          <t>F0145</t>
        </is>
      </c>
    </row>
    <row r="137" ht="15.75" customHeight="1" s="95">
      <c r="A137" s="1" t="inlineStr">
        <is>
          <t>Gary Ross</t>
        </is>
      </c>
      <c r="B137" s="1" t="n">
        <v>1</v>
      </c>
      <c r="C137" s="1" t="n">
        <v>2012</v>
      </c>
      <c r="D137" s="1" t="n">
        <v>2012</v>
      </c>
      <c r="E137" s="4" t="inlineStr">
        <is>
          <t>The Hunger Games</t>
        </is>
      </c>
      <c r="F137" s="1" t="inlineStr">
        <is>
          <t>F0157</t>
        </is>
      </c>
    </row>
    <row r="138" ht="15.75" customHeight="1" s="95">
      <c r="A138" s="1" t="inlineStr">
        <is>
          <t>Gavin Hood</t>
        </is>
      </c>
      <c r="B138" s="1" t="n">
        <v>1</v>
      </c>
      <c r="C138" s="1" t="n">
        <v>2009</v>
      </c>
      <c r="D138" s="1" t="n">
        <v>2009</v>
      </c>
      <c r="E138" s="4" t="inlineStr">
        <is>
          <t>X-Men Origins: Wolverine</t>
        </is>
      </c>
      <c r="F138" s="1" t="inlineStr">
        <is>
          <t>F0343</t>
        </is>
      </c>
    </row>
    <row r="139" ht="15.75" customHeight="1" s="95">
      <c r="A139" s="1" t="inlineStr">
        <is>
          <t>George Miller</t>
        </is>
      </c>
      <c r="B139" s="1" t="n">
        <v>1</v>
      </c>
      <c r="C139" s="1" t="n">
        <v>2011</v>
      </c>
      <c r="D139" s="1" t="n">
        <v>2011</v>
      </c>
      <c r="E139" s="4" t="inlineStr">
        <is>
          <t>Happy Feet Two</t>
        </is>
      </c>
      <c r="F139" s="1" t="inlineStr">
        <is>
          <t>F0145</t>
        </is>
      </c>
    </row>
    <row r="140" ht="15.75" customHeight="1" s="95">
      <c r="A140" s="1" t="inlineStr">
        <is>
          <t>Greta Gerwig</t>
        </is>
      </c>
      <c r="B140" s="1" t="n">
        <v>1</v>
      </c>
      <c r="C140" s="1" t="n">
        <v>2023</v>
      </c>
      <c r="D140" s="1" t="n">
        <v>2023</v>
      </c>
      <c r="E140" s="4" t="inlineStr">
        <is>
          <t>Barbie</t>
        </is>
      </c>
      <c r="F140" s="1" t="inlineStr">
        <is>
          <t>F0041</t>
        </is>
      </c>
    </row>
    <row r="141" ht="15.75" customHeight="1" s="95">
      <c r="A141" s="1" t="inlineStr">
        <is>
          <t>Guillermo del Toro</t>
        </is>
      </c>
      <c r="B141" s="1" t="n">
        <v>1</v>
      </c>
      <c r="C141" s="1" t="n">
        <v>2013</v>
      </c>
      <c r="D141" s="1" t="n">
        <v>2013</v>
      </c>
      <c r="E141" s="4" t="inlineStr">
        <is>
          <t>Pacific Rim</t>
        </is>
      </c>
      <c r="F141" s="1" t="inlineStr">
        <is>
          <t>F0243</t>
        </is>
      </c>
    </row>
    <row r="142" ht="15.75" customHeight="1" s="95">
      <c r="A142" s="1" t="inlineStr">
        <is>
          <t>Gus Van Sant</t>
        </is>
      </c>
      <c r="B142" s="1" t="n">
        <v>1</v>
      </c>
      <c r="C142" s="1" t="n">
        <v>1997</v>
      </c>
      <c r="D142" s="1" t="n">
        <v>1997</v>
      </c>
      <c r="E142" s="4" t="inlineStr">
        <is>
          <t>Good Will Hunting</t>
        </is>
      </c>
      <c r="F142" s="1" t="inlineStr">
        <is>
          <t>F0124</t>
        </is>
      </c>
    </row>
    <row r="143" ht="15.75" customHeight="1" s="95">
      <c r="A143" s="1" t="inlineStr">
        <is>
          <t>Hamilton Luske</t>
        </is>
      </c>
      <c r="B143" s="1" t="n">
        <v>1</v>
      </c>
      <c r="C143" s="1" t="n">
        <v>1940</v>
      </c>
      <c r="D143" s="1" t="n">
        <v>1940</v>
      </c>
      <c r="E143" s="4" t="inlineStr">
        <is>
          <t>Pinocchio</t>
        </is>
      </c>
      <c r="F143" s="1" t="inlineStr">
        <is>
          <t>F0248</t>
        </is>
      </c>
    </row>
    <row r="144" ht="15.75" customHeight="1" s="95">
      <c r="A144" s="1" t="inlineStr">
        <is>
          <t>Harald Zwart</t>
        </is>
      </c>
      <c r="B144" s="1" t="n">
        <v>1</v>
      </c>
      <c r="C144" s="1" t="n">
        <v>2010</v>
      </c>
      <c r="D144" s="1" t="n">
        <v>2010</v>
      </c>
      <c r="E144" s="4" t="inlineStr">
        <is>
          <t>The Karate Kid</t>
        </is>
      </c>
      <c r="F144" s="1" t="inlineStr">
        <is>
          <t>F0184</t>
        </is>
      </c>
    </row>
    <row r="145" ht="15.75" customHeight="1" s="95">
      <c r="A145" s="1" t="inlineStr">
        <is>
          <t>Iain Morris</t>
        </is>
      </c>
      <c r="B145" s="1" t="n">
        <v>1</v>
      </c>
      <c r="C145" s="1" t="n">
        <v>2014</v>
      </c>
      <c r="D145" s="1" t="n">
        <v>2014</v>
      </c>
      <c r="E145" s="4" t="inlineStr">
        <is>
          <t>The Inbetweeners 2</t>
        </is>
      </c>
      <c r="F145" s="1" t="inlineStr">
        <is>
          <t>F0164</t>
        </is>
      </c>
    </row>
    <row r="146" ht="15.75" customHeight="1" s="95">
      <c r="A146" s="1" t="inlineStr">
        <is>
          <t>Irvin Kershner</t>
        </is>
      </c>
      <c r="B146" s="1" t="n">
        <v>1</v>
      </c>
      <c r="C146" s="1" t="n">
        <v>1980</v>
      </c>
      <c r="D146" s="1" t="n">
        <v>1980</v>
      </c>
      <c r="E146" s="4" t="inlineStr">
        <is>
          <t>Star Wars: Episode V – The Empire Strikes Back</t>
        </is>
      </c>
      <c r="F146" s="1" t="inlineStr">
        <is>
          <t>F0296</t>
        </is>
      </c>
    </row>
    <row r="147" ht="15.75" customHeight="1" s="95">
      <c r="A147" s="1" t="inlineStr">
        <is>
          <t>J. A. Bayona</t>
        </is>
      </c>
      <c r="B147" s="1" t="n">
        <v>1</v>
      </c>
      <c r="C147" s="1" t="n">
        <v>2018</v>
      </c>
      <c r="D147" s="1" t="n">
        <v>2018</v>
      </c>
      <c r="E147" s="4" t="inlineStr">
        <is>
          <t>Jurassic World: Fallen Kingdom</t>
        </is>
      </c>
      <c r="F147" s="1" t="inlineStr">
        <is>
          <t>F0180</t>
        </is>
      </c>
    </row>
    <row r="148" ht="15.75" customHeight="1" s="95">
      <c r="A148" s="1" t="inlineStr">
        <is>
          <t>Jack Kinney</t>
        </is>
      </c>
      <c r="B148" s="1" t="n">
        <v>1</v>
      </c>
      <c r="C148" s="1" t="n">
        <v>1940</v>
      </c>
      <c r="D148" s="1" t="n">
        <v>1940</v>
      </c>
      <c r="E148" s="4" t="inlineStr">
        <is>
          <t>Pinocchio</t>
        </is>
      </c>
      <c r="F148" s="1" t="inlineStr">
        <is>
          <t>F0248</t>
        </is>
      </c>
    </row>
    <row r="149" ht="15.75" customHeight="1" s="95">
      <c r="A149" s="1" t="inlineStr">
        <is>
          <t>Jake Kasdan</t>
        </is>
      </c>
      <c r="B149" s="1" t="n">
        <v>1</v>
      </c>
      <c r="C149" s="1" t="n">
        <v>2011</v>
      </c>
      <c r="D149" s="1" t="n">
        <v>2011</v>
      </c>
      <c r="E149" s="4" t="inlineStr">
        <is>
          <t>Bad Teacher</t>
        </is>
      </c>
      <c r="F149" s="1" t="inlineStr">
        <is>
          <t>F0039</t>
        </is>
      </c>
    </row>
    <row r="150" ht="15.75" customHeight="1" s="95">
      <c r="A150" s="1" t="inlineStr">
        <is>
          <t>James Bobin</t>
        </is>
      </c>
      <c r="B150" s="1" t="n">
        <v>1</v>
      </c>
      <c r="C150" s="1" t="n">
        <v>2014</v>
      </c>
      <c r="D150" s="1" t="n">
        <v>2014</v>
      </c>
      <c r="E150" s="4" t="inlineStr">
        <is>
          <t>Muppets Most Wanted</t>
        </is>
      </c>
      <c r="F150" s="1" t="inlineStr">
        <is>
          <t>F0232</t>
        </is>
      </c>
    </row>
    <row r="151" ht="15.75" customHeight="1" s="95">
      <c r="A151" s="1" t="inlineStr">
        <is>
          <t>James Marsh</t>
        </is>
      </c>
      <c r="B151" s="1" t="n">
        <v>1</v>
      </c>
      <c r="C151" s="1" t="n">
        <v>2014</v>
      </c>
      <c r="D151" s="1" t="n">
        <v>2014</v>
      </c>
      <c r="E151" s="4" t="inlineStr">
        <is>
          <t>The Theory of Everything</t>
        </is>
      </c>
      <c r="F151" s="1" t="inlineStr">
        <is>
          <t>F0311</t>
        </is>
      </c>
    </row>
    <row r="152" ht="15.75" customHeight="1" s="95">
      <c r="A152" s="1" t="inlineStr">
        <is>
          <t>James Wan</t>
        </is>
      </c>
      <c r="B152" s="1" t="n">
        <v>1</v>
      </c>
      <c r="C152" s="1" t="n">
        <v>2015</v>
      </c>
      <c r="D152" s="1" t="n">
        <v>2015</v>
      </c>
      <c r="E152" s="4" t="inlineStr">
        <is>
          <t>Furious 7</t>
        </is>
      </c>
      <c r="F152" s="1" t="inlineStr">
        <is>
          <t>F0107</t>
        </is>
      </c>
    </row>
    <row r="153" ht="15.75" customHeight="1" s="95">
      <c r="A153" s="1" t="inlineStr">
        <is>
          <t>Jason Moore</t>
        </is>
      </c>
      <c r="B153" s="1" t="n">
        <v>1</v>
      </c>
      <c r="C153" s="1" t="n">
        <v>2012</v>
      </c>
      <c r="D153" s="1" t="n">
        <v>2012</v>
      </c>
      <c r="E153" s="4" t="inlineStr">
        <is>
          <t>Pitch Perfect</t>
        </is>
      </c>
      <c r="F153" s="1" t="inlineStr">
        <is>
          <t>F0250</t>
        </is>
      </c>
    </row>
    <row r="154" ht="15.75" customHeight="1" s="95">
      <c r="A154" s="1" t="inlineStr">
        <is>
          <t>Jaume Collet-Serra</t>
        </is>
      </c>
      <c r="B154" s="1" t="n">
        <v>1</v>
      </c>
      <c r="C154" s="1" t="n">
        <v>2011</v>
      </c>
      <c r="D154" s="1" t="n">
        <v>2011</v>
      </c>
      <c r="E154" s="4" t="inlineStr">
        <is>
          <t>Unknown</t>
        </is>
      </c>
      <c r="F154" s="1" t="inlineStr">
        <is>
          <t>F0329</t>
        </is>
      </c>
    </row>
    <row r="155" ht="15.75" customHeight="1" s="95">
      <c r="A155" s="1" t="inlineStr">
        <is>
          <t>Jean-Pierre Jeunet</t>
        </is>
      </c>
      <c r="B155" s="1" t="n">
        <v>1</v>
      </c>
      <c r="C155" s="1" t="n">
        <v>1997</v>
      </c>
      <c r="D155" s="1" t="n">
        <v>1997</v>
      </c>
      <c r="E155" s="4" t="inlineStr">
        <is>
          <t>Alien Resurrection</t>
        </is>
      </c>
      <c r="F155" s="1" t="inlineStr">
        <is>
          <t>F0018</t>
        </is>
      </c>
    </row>
    <row r="156" ht="15.75" customHeight="1" s="95">
      <c r="A156" s="1" t="inlineStr">
        <is>
          <t>Jeff Tremaine</t>
        </is>
      </c>
      <c r="B156" s="1" t="n">
        <v>1</v>
      </c>
      <c r="C156" s="1" t="n">
        <v>2010</v>
      </c>
      <c r="D156" s="1" t="n">
        <v>2010</v>
      </c>
      <c r="E156" s="4" t="inlineStr">
        <is>
          <t>Jackass 3D</t>
        </is>
      </c>
      <c r="F156" s="1" t="inlineStr">
        <is>
          <t>F0172</t>
        </is>
      </c>
    </row>
    <row r="157" ht="15.75" customHeight="1" s="95">
      <c r="A157" s="1" t="inlineStr">
        <is>
          <t>Jeff Wadlow</t>
        </is>
      </c>
      <c r="B157" s="1" t="n">
        <v>1</v>
      </c>
      <c r="C157" s="1" t="n">
        <v>2013</v>
      </c>
      <c r="D157" s="1" t="n">
        <v>2013</v>
      </c>
      <c r="E157" s="4" t="inlineStr">
        <is>
          <t>Kick-Ass 2</t>
        </is>
      </c>
      <c r="F157" s="1" t="inlineStr">
        <is>
          <t>F0186</t>
        </is>
      </c>
    </row>
    <row r="158" ht="15.75" customHeight="1" s="95">
      <c r="A158" s="1" t="inlineStr">
        <is>
          <t>Jennifer Lee</t>
        </is>
      </c>
      <c r="B158" s="1" t="n">
        <v>1</v>
      </c>
      <c r="C158" s="1" t="n">
        <v>2013</v>
      </c>
      <c r="D158" s="1" t="n">
        <v>2013</v>
      </c>
      <c r="E158" s="4" t="inlineStr">
        <is>
          <t>Frozen</t>
        </is>
      </c>
      <c r="F158" s="1" t="inlineStr">
        <is>
          <t>F0116</t>
        </is>
      </c>
    </row>
    <row r="159" ht="15.75" customHeight="1" s="95">
      <c r="A159" s="1" t="inlineStr">
        <is>
          <t>Jimmy Hayward</t>
        </is>
      </c>
      <c r="B159" s="1" t="n">
        <v>1</v>
      </c>
      <c r="C159" s="1" t="n">
        <v>2010</v>
      </c>
      <c r="D159" s="1" t="n">
        <v>2010</v>
      </c>
      <c r="E159" s="4" t="inlineStr">
        <is>
          <t>Jonah Hex</t>
        </is>
      </c>
      <c r="F159" s="1" t="inlineStr">
        <is>
          <t>F0173</t>
        </is>
      </c>
    </row>
    <row r="160" ht="15.75" customHeight="1" s="95">
      <c r="A160" s="1" t="inlineStr">
        <is>
          <t>Joe Carnahan</t>
        </is>
      </c>
      <c r="B160" s="1" t="n">
        <v>1</v>
      </c>
      <c r="C160" s="1" t="n">
        <v>2010</v>
      </c>
      <c r="D160" s="1" t="n">
        <v>2010</v>
      </c>
      <c r="E160" s="4" t="inlineStr">
        <is>
          <t>The A-Team</t>
        </is>
      </c>
      <c r="F160" s="1" t="inlineStr">
        <is>
          <t>F0026</t>
        </is>
      </c>
    </row>
    <row r="161" ht="15.75" customHeight="1" s="95">
      <c r="A161" s="1" t="inlineStr">
        <is>
          <t>Joe Cornish</t>
        </is>
      </c>
      <c r="B161" s="1" t="n">
        <v>1</v>
      </c>
      <c r="C161" s="1" t="n">
        <v>2011</v>
      </c>
      <c r="D161" s="1" t="n">
        <v>2011</v>
      </c>
      <c r="E161" s="4" t="inlineStr">
        <is>
          <t>Attack the Block</t>
        </is>
      </c>
      <c r="F161" s="1" t="inlineStr">
        <is>
          <t>F0027</t>
        </is>
      </c>
    </row>
    <row r="162" ht="15.75" customHeight="1" s="95">
      <c r="A162" s="1" t="inlineStr">
        <is>
          <t>Joe Johnston</t>
        </is>
      </c>
      <c r="B162" s="1" t="n">
        <v>1</v>
      </c>
      <c r="C162" s="1" t="n">
        <v>2001</v>
      </c>
      <c r="D162" s="1" t="n">
        <v>2001</v>
      </c>
      <c r="E162" s="4" t="inlineStr">
        <is>
          <t>Jurassic Park III</t>
        </is>
      </c>
      <c r="F162" s="1" t="inlineStr">
        <is>
          <t>F0178</t>
        </is>
      </c>
    </row>
    <row r="163" ht="15.75" customHeight="1" s="95">
      <c r="A163" s="1" t="inlineStr">
        <is>
          <t>John Hillcoat</t>
        </is>
      </c>
      <c r="B163" s="1" t="n">
        <v>1</v>
      </c>
      <c r="C163" s="1" t="n">
        <v>2012</v>
      </c>
      <c r="D163" s="1" t="n">
        <v>2012</v>
      </c>
      <c r="E163" s="4" t="inlineStr">
        <is>
          <t>Lawless</t>
        </is>
      </c>
      <c r="F163" s="1" t="inlineStr">
        <is>
          <t>F0192</t>
        </is>
      </c>
    </row>
    <row r="164" ht="15.75" customHeight="1" s="95">
      <c r="A164" s="1" t="inlineStr">
        <is>
          <t>John Hughes</t>
        </is>
      </c>
      <c r="B164" s="1" t="n">
        <v>1</v>
      </c>
      <c r="C164" s="1" t="n">
        <v>1985</v>
      </c>
      <c r="D164" s="1" t="n">
        <v>1985</v>
      </c>
      <c r="E164" s="4" t="inlineStr">
        <is>
          <t>The Breakfast Club</t>
        </is>
      </c>
      <c r="F164" s="1" t="inlineStr">
        <is>
          <t>F0057</t>
        </is>
      </c>
    </row>
    <row r="165" ht="15.75" customHeight="1" s="95">
      <c r="A165" s="1" t="inlineStr">
        <is>
          <t>John Singleton</t>
        </is>
      </c>
      <c r="B165" s="1" t="n">
        <v>2</v>
      </c>
      <c r="C165" s="1" t="n">
        <v>2003</v>
      </c>
      <c r="D165" s="1" t="n">
        <v>2009</v>
      </c>
      <c r="E165" s="4" t="inlineStr">
        <is>
          <t>2 Fast 2 Furious, Fast &amp; Furious</t>
        </is>
      </c>
      <c r="F165" s="1" t="inlineStr">
        <is>
          <t>F0102, F0104</t>
        </is>
      </c>
    </row>
    <row r="166" ht="15.75" customHeight="1" s="95">
      <c r="A166" s="1" t="inlineStr">
        <is>
          <t>John Woo</t>
        </is>
      </c>
      <c r="B166" s="1" t="n">
        <v>1</v>
      </c>
      <c r="C166" s="1" t="n">
        <v>2000</v>
      </c>
      <c r="D166" s="1" t="n">
        <v>2000</v>
      </c>
      <c r="E166" s="4" t="inlineStr">
        <is>
          <t>Mission: Impossible II</t>
        </is>
      </c>
      <c r="F166" s="1" t="inlineStr">
        <is>
          <t>F0222</t>
        </is>
      </c>
    </row>
    <row r="167" ht="15.75" customHeight="1" s="95">
      <c r="A167" s="1" t="inlineStr">
        <is>
          <t>Jon Burton</t>
        </is>
      </c>
      <c r="B167" s="1" t="n">
        <v>1</v>
      </c>
      <c r="C167" s="1" t="n">
        <v>2013</v>
      </c>
      <c r="D167" s="1" t="n">
        <v>2013</v>
      </c>
      <c r="E167" s="4" t="inlineStr">
        <is>
          <t>Lego Batman: The Movie - DC Super Heroes Unite</t>
        </is>
      </c>
      <c r="F167" s="1" t="inlineStr">
        <is>
          <t>F0194</t>
        </is>
      </c>
    </row>
    <row r="168" ht="15.75" customHeight="1" s="95">
      <c r="A168" s="1" t="inlineStr">
        <is>
          <t>Jon Lucas</t>
        </is>
      </c>
      <c r="B168" s="1" t="n">
        <v>1</v>
      </c>
      <c r="C168" s="1" t="n">
        <v>2016</v>
      </c>
      <c r="D168" s="1" t="n">
        <v>2016</v>
      </c>
      <c r="E168" s="4" t="inlineStr">
        <is>
          <t>Bad Moms</t>
        </is>
      </c>
      <c r="F168" s="1" t="inlineStr">
        <is>
          <t>F0038</t>
        </is>
      </c>
    </row>
    <row r="169" ht="15.75" customHeight="1" s="95">
      <c r="A169" s="1" t="inlineStr">
        <is>
          <t>Jon Turteltaub</t>
        </is>
      </c>
      <c r="B169" s="1" t="n">
        <v>1</v>
      </c>
      <c r="C169" s="1" t="n">
        <v>2007</v>
      </c>
      <c r="D169" s="1" t="n">
        <v>2007</v>
      </c>
      <c r="E169" s="4" t="inlineStr">
        <is>
          <t>National Treasure: Book of Secrets</t>
        </is>
      </c>
      <c r="F169" s="1" t="inlineStr">
        <is>
          <t>F0233</t>
        </is>
      </c>
    </row>
    <row r="170" ht="15.75" customHeight="1" s="95">
      <c r="A170" s="1" t="inlineStr">
        <is>
          <t>Jonathan Levine</t>
        </is>
      </c>
      <c r="B170" s="1" t="n">
        <v>1</v>
      </c>
      <c r="C170" s="1" t="n">
        <v>2011</v>
      </c>
      <c r="D170" s="1" t="n">
        <v>2011</v>
      </c>
      <c r="E170" s="4" t="inlineStr">
        <is>
          <t>50/50</t>
        </is>
      </c>
      <c r="F170" s="1" t="inlineStr">
        <is>
          <t>F0011</t>
        </is>
      </c>
    </row>
    <row r="171" ht="15.75" customHeight="1" s="95">
      <c r="A171" s="1" t="inlineStr">
        <is>
          <t>Jordan Vogt-Roberts</t>
        </is>
      </c>
      <c r="B171" s="1" t="n">
        <v>1</v>
      </c>
      <c r="C171" s="1" t="n">
        <v>2017</v>
      </c>
      <c r="D171" s="1" t="n">
        <v>2017</v>
      </c>
      <c r="E171" s="4" t="inlineStr">
        <is>
          <t>Kong: Skull Island</t>
        </is>
      </c>
      <c r="F171" s="1" t="inlineStr">
        <is>
          <t>F0190</t>
        </is>
      </c>
    </row>
    <row r="172" ht="15.75" customHeight="1" s="95">
      <c r="A172" s="1" t="inlineStr">
        <is>
          <t>Josh Cooley</t>
        </is>
      </c>
      <c r="B172" s="1" t="n">
        <v>1</v>
      </c>
      <c r="C172" s="1" t="n">
        <v>2019</v>
      </c>
      <c r="D172" s="1" t="n">
        <v>2019</v>
      </c>
      <c r="E172" s="4" t="inlineStr">
        <is>
          <t>Toy Story 4</t>
        </is>
      </c>
      <c r="F172" s="1" t="inlineStr">
        <is>
          <t>F0315</t>
        </is>
      </c>
    </row>
    <row r="173" ht="15.75" customHeight="1" s="95">
      <c r="A173" s="1" t="inlineStr">
        <is>
          <t>Joss Whedon</t>
        </is>
      </c>
      <c r="B173" s="1" t="n">
        <v>1</v>
      </c>
      <c r="C173" s="1" t="n">
        <v>2012</v>
      </c>
      <c r="D173" s="1" t="n">
        <v>2012</v>
      </c>
      <c r="E173" s="4" t="inlineStr">
        <is>
          <t>The Avengers</t>
        </is>
      </c>
      <c r="F173" s="1" t="inlineStr">
        <is>
          <t>F0029</t>
        </is>
      </c>
    </row>
    <row r="174" ht="15.75" customHeight="1" s="95">
      <c r="A174" s="1" t="inlineStr">
        <is>
          <t>Kathryn Bigelow</t>
        </is>
      </c>
      <c r="B174" s="1" t="n">
        <v>1</v>
      </c>
      <c r="C174" s="1" t="n">
        <v>2012</v>
      </c>
      <c r="D174" s="1" t="n">
        <v>2012</v>
      </c>
      <c r="E174" s="4" t="inlineStr">
        <is>
          <t>Zero Dark Thirty</t>
        </is>
      </c>
      <c r="F174" s="1" t="inlineStr">
        <is>
          <t>F0349</t>
        </is>
      </c>
    </row>
    <row r="175" ht="15.75" customHeight="1" s="95">
      <c r="A175" s="1" t="inlineStr">
        <is>
          <t>Ken Scott</t>
        </is>
      </c>
      <c r="B175" s="1" t="n">
        <v>1</v>
      </c>
      <c r="C175" s="1" t="n">
        <v>2013</v>
      </c>
      <c r="D175" s="1" t="n">
        <v>2013</v>
      </c>
      <c r="E175" s="4" t="inlineStr">
        <is>
          <t>Delivery Man</t>
        </is>
      </c>
      <c r="F175" s="1" t="inlineStr">
        <is>
          <t>F0080</t>
        </is>
      </c>
    </row>
    <row r="176" ht="15.75" customHeight="1" s="95">
      <c r="A176" s="1" t="inlineStr">
        <is>
          <t>Kevin Smith</t>
        </is>
      </c>
      <c r="B176" s="1" t="n">
        <v>2</v>
      </c>
      <c r="C176" s="1" t="n">
        <v>1999</v>
      </c>
      <c r="D176" s="1" t="n">
        <v>2010</v>
      </c>
      <c r="E176" s="4" t="inlineStr">
        <is>
          <t>Cop Out, Dogma</t>
        </is>
      </c>
      <c r="F176" s="1" t="inlineStr">
        <is>
          <t>F0069, F0351</t>
        </is>
      </c>
    </row>
    <row r="177" ht="15.75" customHeight="1" s="95">
      <c r="A177" s="1" t="inlineStr">
        <is>
          <t>Kirk DeMicco</t>
        </is>
      </c>
      <c r="B177" s="1" t="n">
        <v>1</v>
      </c>
      <c r="C177" s="1" t="n">
        <v>2013</v>
      </c>
      <c r="D177" s="1" t="n">
        <v>2013</v>
      </c>
      <c r="E177" s="4" t="inlineStr">
        <is>
          <t>The Croods</t>
        </is>
      </c>
      <c r="F177" s="1" t="inlineStr">
        <is>
          <t>F0075</t>
        </is>
      </c>
    </row>
    <row r="178" ht="15.75" customHeight="1" s="95">
      <c r="A178" s="1" t="inlineStr">
        <is>
          <t>Kris Pearn</t>
        </is>
      </c>
      <c r="B178" s="1" t="n">
        <v>1</v>
      </c>
      <c r="C178" s="1" t="n">
        <v>2013</v>
      </c>
      <c r="D178" s="1" t="n">
        <v>2013</v>
      </c>
      <c r="E178" s="4" t="inlineStr">
        <is>
          <t>Cloudy with a Chance of Meatballs 2</t>
        </is>
      </c>
      <c r="F178" s="1" t="inlineStr">
        <is>
          <t>F0067</t>
        </is>
      </c>
    </row>
    <row r="179" ht="15.75" customHeight="1" s="95">
      <c r="A179" s="1" t="inlineStr">
        <is>
          <t>Lasse Hallström</t>
        </is>
      </c>
      <c r="B179" s="1" t="n">
        <v>1</v>
      </c>
      <c r="C179" s="1" t="n">
        <v>2010</v>
      </c>
      <c r="D179" s="1" t="n">
        <v>2010</v>
      </c>
      <c r="E179" s="4" t="inlineStr">
        <is>
          <t>Dear John</t>
        </is>
      </c>
      <c r="F179" s="1" t="inlineStr">
        <is>
          <t>F0079</t>
        </is>
      </c>
    </row>
    <row r="180" ht="15.75" customHeight="1" s="95">
      <c r="A180" s="1" t="inlineStr">
        <is>
          <t>Loveleen Tandan</t>
        </is>
      </c>
      <c r="B180" s="1" t="n">
        <v>1</v>
      </c>
      <c r="C180" s="1" t="n">
        <v>2008</v>
      </c>
      <c r="D180" s="1" t="n">
        <v>2008</v>
      </c>
      <c r="E180" s="4" t="inlineStr">
        <is>
          <t>Slumdog Millionaire</t>
        </is>
      </c>
      <c r="F180" s="1" t="inlineStr">
        <is>
          <t>F0281</t>
        </is>
      </c>
    </row>
    <row r="181" ht="15.75" customHeight="1" s="95">
      <c r="A181" s="1" t="inlineStr">
        <is>
          <t>Malcolm Venville</t>
        </is>
      </c>
      <c r="B181" s="1" t="n">
        <v>1</v>
      </c>
      <c r="C181" s="1" t="n">
        <v>2009</v>
      </c>
      <c r="D181" s="1" t="n">
        <v>2009</v>
      </c>
      <c r="E181" s="4" t="inlineStr">
        <is>
          <t>44 Inch Chest</t>
        </is>
      </c>
      <c r="F181" s="1" t="inlineStr">
        <is>
          <t>F0010</t>
        </is>
      </c>
    </row>
    <row r="182" ht="15.75" customHeight="1" s="95">
      <c r="A182" s="1" t="inlineStr">
        <is>
          <t>Marc Forster</t>
        </is>
      </c>
      <c r="B182" s="1" t="n">
        <v>1</v>
      </c>
      <c r="C182" s="1" t="n">
        <v>2008</v>
      </c>
      <c r="D182" s="1" t="n">
        <v>2008</v>
      </c>
      <c r="E182" s="4" t="inlineStr">
        <is>
          <t>Quantum of Solace</t>
        </is>
      </c>
      <c r="F182" s="1" t="inlineStr">
        <is>
          <t>F0002</t>
        </is>
      </c>
    </row>
    <row r="183" ht="15.75" customHeight="1" s="95">
      <c r="A183" s="1" t="inlineStr">
        <is>
          <t>Marc Webb</t>
        </is>
      </c>
      <c r="B183" s="1" t="n">
        <v>1</v>
      </c>
      <c r="C183" s="1" t="n">
        <v>2012</v>
      </c>
      <c r="D183" s="1" t="n">
        <v>2012</v>
      </c>
      <c r="E183" s="4" t="inlineStr">
        <is>
          <t>The Amazing Spider-Man</t>
        </is>
      </c>
      <c r="F183" s="1" t="inlineStr">
        <is>
          <t>F0019</t>
        </is>
      </c>
    </row>
    <row r="184" ht="15.75" customHeight="1" s="95">
      <c r="A184" s="1" t="inlineStr">
        <is>
          <t>Martin Scorsese</t>
        </is>
      </c>
      <c r="B184" s="1" t="n">
        <v>1</v>
      </c>
      <c r="C184" s="1" t="n">
        <v>2006</v>
      </c>
      <c r="D184" s="1" t="n">
        <v>2006</v>
      </c>
      <c r="E184" s="4" t="inlineStr">
        <is>
          <t>The Departed</t>
        </is>
      </c>
      <c r="F184" s="1" t="inlineStr">
        <is>
          <t>F0081</t>
        </is>
      </c>
    </row>
    <row r="185" ht="15.75" customHeight="1" s="95">
      <c r="A185" s="1" t="inlineStr">
        <is>
          <t>Mat Whitecross</t>
        </is>
      </c>
      <c r="B185" s="1" t="n">
        <v>1</v>
      </c>
      <c r="C185" s="1" t="n">
        <v>2010</v>
      </c>
      <c r="D185" s="1" t="n">
        <v>2010</v>
      </c>
      <c r="E185" s="4" t="inlineStr">
        <is>
          <t>Sex &amp; Drugs &amp; Rock &amp; Roll</t>
        </is>
      </c>
      <c r="F185" s="1" t="inlineStr">
        <is>
          <t>F0277</t>
        </is>
      </c>
    </row>
    <row r="186" ht="15.75" customHeight="1" s="95">
      <c r="A186" s="1" t="inlineStr">
        <is>
          <t>Matt Peters</t>
        </is>
      </c>
      <c r="B186" s="1" t="n">
        <v>1</v>
      </c>
      <c r="C186" s="1" t="n">
        <v>2016</v>
      </c>
      <c r="D186" s="1" t="n">
        <v>2016</v>
      </c>
      <c r="E186" s="4" t="inlineStr">
        <is>
          <t>Lego DC Comics Super Heroes: Justice League - Gotham City Breakout</t>
        </is>
      </c>
      <c r="F186" s="1" t="inlineStr">
        <is>
          <t>F0198</t>
        </is>
      </c>
    </row>
    <row r="187" ht="15.75" customHeight="1" s="95">
      <c r="A187" s="1" t="inlineStr">
        <is>
          <t>McG</t>
        </is>
      </c>
      <c r="B187" s="1" t="n">
        <v>1</v>
      </c>
      <c r="C187" s="1" t="n">
        <v>2009</v>
      </c>
      <c r="D187" s="1" t="n">
        <v>2009</v>
      </c>
      <c r="E187" s="4" t="inlineStr">
        <is>
          <t>Terminator Salvation</t>
        </is>
      </c>
      <c r="F187" s="1" t="inlineStr">
        <is>
          <t>F0310</t>
        </is>
      </c>
    </row>
    <row r="188" ht="15.75" customHeight="1" s="95">
      <c r="A188" s="1" t="inlineStr">
        <is>
          <t>Mel Gibson</t>
        </is>
      </c>
      <c r="B188" s="1" t="n">
        <v>1</v>
      </c>
      <c r="C188" s="1" t="n">
        <v>2016</v>
      </c>
      <c r="D188" s="1" t="n">
        <v>2016</v>
      </c>
      <c r="E188" s="4" t="inlineStr">
        <is>
          <t>Hacksaw Ridge</t>
        </is>
      </c>
      <c r="F188" s="1" t="inlineStr">
        <is>
          <t>F0133</t>
        </is>
      </c>
    </row>
    <row r="189" ht="15.75" customHeight="1" s="95">
      <c r="A189" s="1" t="inlineStr">
        <is>
          <t>Mel Stuart</t>
        </is>
      </c>
      <c r="B189" s="1" t="n">
        <v>1</v>
      </c>
      <c r="C189" s="1" t="n">
        <v>1971</v>
      </c>
      <c r="D189" s="1" t="n">
        <v>1971</v>
      </c>
      <c r="E189" s="4" t="inlineStr">
        <is>
          <t>Willy Wonka &amp; the Chocolate Factory</t>
        </is>
      </c>
      <c r="F189" s="1" t="inlineStr">
        <is>
          <t>F0339</t>
        </is>
      </c>
    </row>
    <row r="190" ht="15.75" customHeight="1" s="95">
      <c r="A190" s="1" t="inlineStr">
        <is>
          <t>Melchior Zwyer</t>
        </is>
      </c>
      <c r="B190" s="1" t="n">
        <v>1</v>
      </c>
      <c r="C190" s="1" t="n">
        <v>2016</v>
      </c>
      <c r="D190" s="1" t="n">
        <v>2016</v>
      </c>
      <c r="E190" s="4" t="inlineStr">
        <is>
          <t>Lego DC Comics Super Heroes: Justice League - Gotham City Breakout</t>
        </is>
      </c>
      <c r="F190" s="1" t="inlineStr">
        <is>
          <t>F0198</t>
        </is>
      </c>
    </row>
    <row r="191" ht="15.75" customHeight="1" s="95">
      <c r="A191" s="1" t="inlineStr">
        <is>
          <t>Michael Dougherty</t>
        </is>
      </c>
      <c r="B191" s="1" t="n">
        <v>1</v>
      </c>
      <c r="C191" s="1" t="n">
        <v>2019</v>
      </c>
      <c r="D191" s="1" t="n">
        <v>2019</v>
      </c>
      <c r="E191" s="4" t="inlineStr">
        <is>
          <t>Godzilla: King of the Monsters</t>
        </is>
      </c>
      <c r="F191" s="1" t="inlineStr">
        <is>
          <t>F0122</t>
        </is>
      </c>
    </row>
    <row r="192" ht="15.75" customHeight="1" s="95">
      <c r="A192" s="1" t="inlineStr">
        <is>
          <t>Michael Gracey</t>
        </is>
      </c>
      <c r="B192" s="1" t="n">
        <v>1</v>
      </c>
      <c r="C192" s="1" t="n">
        <v>2017</v>
      </c>
      <c r="D192" s="1" t="n">
        <v>2017</v>
      </c>
      <c r="E192" s="4" t="inlineStr">
        <is>
          <t>The Greatest Showman</t>
        </is>
      </c>
      <c r="F192" s="1" t="inlineStr">
        <is>
          <t>F0127</t>
        </is>
      </c>
    </row>
    <row r="193" ht="15.75" customHeight="1" s="95">
      <c r="A193" s="1" t="inlineStr">
        <is>
          <t>Michael Jelenic</t>
        </is>
      </c>
      <c r="B193" s="1" t="n">
        <v>1</v>
      </c>
      <c r="C193" s="1" t="n">
        <v>2023</v>
      </c>
      <c r="D193" s="1" t="n">
        <v>2023</v>
      </c>
      <c r="E193" s="4" t="inlineStr">
        <is>
          <t>The Super Mario Bros. Movie</t>
        </is>
      </c>
      <c r="F193" s="1" t="inlineStr">
        <is>
          <t>F0212</t>
        </is>
      </c>
    </row>
    <row r="194" ht="15.75" customHeight="1" s="95">
      <c r="A194" s="1" t="inlineStr">
        <is>
          <t>Mike Mitchell</t>
        </is>
      </c>
      <c r="B194" s="1" t="n">
        <v>1</v>
      </c>
      <c r="C194" s="1" t="n">
        <v>2019</v>
      </c>
      <c r="D194" s="1" t="n">
        <v>2019</v>
      </c>
      <c r="E194" s="4" t="inlineStr">
        <is>
          <t>The Lego Movie 2: The Second Part</t>
        </is>
      </c>
      <c r="F194" s="1" t="inlineStr">
        <is>
          <t>F0196</t>
        </is>
      </c>
    </row>
    <row r="195" ht="15.75" customHeight="1" s="95">
      <c r="A195" s="1" t="inlineStr">
        <is>
          <t>Mike Newell</t>
        </is>
      </c>
      <c r="B195" s="1" t="n">
        <v>1</v>
      </c>
      <c r="C195" s="1" t="n">
        <v>2005</v>
      </c>
      <c r="D195" s="1" t="n">
        <v>2005</v>
      </c>
      <c r="E195" s="4" t="inlineStr">
        <is>
          <t>Harry Potter and the Goblet of Fire</t>
        </is>
      </c>
      <c r="F195" s="1" t="inlineStr">
        <is>
          <t>F0140</t>
        </is>
      </c>
    </row>
    <row r="196" ht="15.75" customHeight="1" s="95">
      <c r="A196" s="1" t="inlineStr">
        <is>
          <t>Mike Thurmeier</t>
        </is>
      </c>
      <c r="B196" s="1" t="n">
        <v>1</v>
      </c>
      <c r="C196" s="1" t="n">
        <v>2009</v>
      </c>
      <c r="D196" s="1" t="n">
        <v>2009</v>
      </c>
      <c r="E196" s="4" t="inlineStr">
        <is>
          <t>Ice Age: Dawn of the Dinosaurs</t>
        </is>
      </c>
      <c r="F196" s="1" t="inlineStr">
        <is>
          <t>F0161</t>
        </is>
      </c>
    </row>
    <row r="197" ht="15.75" customHeight="1" s="95">
      <c r="A197" s="1" t="inlineStr">
        <is>
          <t>Morten Tyldum</t>
        </is>
      </c>
      <c r="B197" s="1" t="n">
        <v>1</v>
      </c>
      <c r="C197" s="1" t="n">
        <v>2014</v>
      </c>
      <c r="D197" s="1" t="n">
        <v>2014</v>
      </c>
      <c r="E197" s="4" t="inlineStr">
        <is>
          <t>The Imitation Game</t>
        </is>
      </c>
      <c r="F197" s="1" t="inlineStr">
        <is>
          <t>F0162</t>
        </is>
      </c>
    </row>
    <row r="198" ht="15.75" customHeight="1" s="95">
      <c r="A198" s="1" t="inlineStr">
        <is>
          <t>Måns Mårlind</t>
        </is>
      </c>
      <c r="B198" s="1" t="n">
        <v>1</v>
      </c>
      <c r="C198" s="1" t="n">
        <v>2012</v>
      </c>
      <c r="D198" s="1" t="n">
        <v>2012</v>
      </c>
      <c r="E198" s="4" t="inlineStr">
        <is>
          <t>Underworld: Awakening</t>
        </is>
      </c>
      <c r="F198" s="1" t="inlineStr">
        <is>
          <t>F0328</t>
        </is>
      </c>
    </row>
    <row r="199" ht="15.75" customHeight="1" s="95">
      <c r="A199" s="1" t="inlineStr">
        <is>
          <t>Neil Burger</t>
        </is>
      </c>
      <c r="B199" s="1" t="n">
        <v>1</v>
      </c>
      <c r="C199" s="1" t="n">
        <v>2014</v>
      </c>
      <c r="D199" s="1" t="n">
        <v>2014</v>
      </c>
      <c r="E199" s="4" t="inlineStr">
        <is>
          <t>Divergent</t>
        </is>
      </c>
      <c r="F199" s="1" t="inlineStr">
        <is>
          <t>F0089</t>
        </is>
      </c>
    </row>
    <row r="200" ht="15.75" customHeight="1" s="95">
      <c r="A200" s="1" t="inlineStr">
        <is>
          <t>Nelson Shin</t>
        </is>
      </c>
      <c r="B200" s="1" t="n">
        <v>1</v>
      </c>
      <c r="C200" s="1" t="n">
        <v>1986</v>
      </c>
      <c r="D200" s="1" t="n">
        <v>1986</v>
      </c>
      <c r="E200" s="4" t="inlineStr">
        <is>
          <t>The Transformers: The Movie</t>
        </is>
      </c>
      <c r="F200" s="1" t="inlineStr">
        <is>
          <t>F0322</t>
        </is>
      </c>
    </row>
    <row r="201" ht="15.75" customHeight="1" s="95">
      <c r="A201" s="1" t="inlineStr">
        <is>
          <t>Nicholas Stoller</t>
        </is>
      </c>
      <c r="B201" s="1" t="n">
        <v>1</v>
      </c>
      <c r="C201" s="1" t="n">
        <v>2008</v>
      </c>
      <c r="D201" s="1" t="n">
        <v>2008</v>
      </c>
      <c r="E201" s="4" t="inlineStr">
        <is>
          <t>Forgetting Sarah Marshall</t>
        </is>
      </c>
      <c r="F201" s="1" t="inlineStr">
        <is>
          <t>F0115</t>
        </is>
      </c>
    </row>
    <row r="202" ht="15.75" customHeight="1" s="95">
      <c r="A202" s="1" t="inlineStr">
        <is>
          <t>Nick Cassavetes</t>
        </is>
      </c>
      <c r="B202" s="1" t="n">
        <v>1</v>
      </c>
      <c r="C202" s="1" t="n">
        <v>2004</v>
      </c>
      <c r="D202" s="1" t="n">
        <v>2004</v>
      </c>
      <c r="E202" s="4" t="inlineStr">
        <is>
          <t>The Notebook</t>
        </is>
      </c>
      <c r="F202" s="1" t="inlineStr">
        <is>
          <t>F0237</t>
        </is>
      </c>
    </row>
    <row r="203" ht="15.75" customHeight="1" s="95">
      <c r="A203" s="1" t="inlineStr">
        <is>
          <t>Nick Love</t>
        </is>
      </c>
      <c r="B203" s="1" t="n">
        <v>1</v>
      </c>
      <c r="C203" s="1" t="n">
        <v>2012</v>
      </c>
      <c r="D203" s="1" t="n">
        <v>2012</v>
      </c>
      <c r="E203" s="4" t="inlineStr">
        <is>
          <t>The Sweeney</t>
        </is>
      </c>
      <c r="F203" s="1" t="inlineStr">
        <is>
          <t>F0305</t>
        </is>
      </c>
    </row>
    <row r="204" ht="15.75" customHeight="1" s="95">
      <c r="A204" s="1" t="inlineStr">
        <is>
          <t>Norman Ferguson</t>
        </is>
      </c>
      <c r="B204" s="1" t="n">
        <v>1</v>
      </c>
      <c r="C204" s="1" t="n">
        <v>1940</v>
      </c>
      <c r="D204" s="1" t="n">
        <v>1940</v>
      </c>
      <c r="E204" s="4" t="inlineStr">
        <is>
          <t>Pinocchio</t>
        </is>
      </c>
      <c r="F204" s="1" t="inlineStr">
        <is>
          <t>F0248</t>
        </is>
      </c>
    </row>
    <row r="205" ht="15.75" customHeight="1" s="95">
      <c r="A205" s="1" t="inlineStr">
        <is>
          <t>Olivier Megaton</t>
        </is>
      </c>
      <c r="B205" s="1" t="n">
        <v>1</v>
      </c>
      <c r="C205" s="1" t="n">
        <v>2012</v>
      </c>
      <c r="D205" s="1" t="n">
        <v>2012</v>
      </c>
      <c r="E205" s="4" t="inlineStr">
        <is>
          <t>Taken 2</t>
        </is>
      </c>
      <c r="F205" s="1" t="inlineStr">
        <is>
          <t>F0307</t>
        </is>
      </c>
    </row>
    <row r="206" ht="15.75" customHeight="1" s="95">
      <c r="A206" s="1" t="inlineStr">
        <is>
          <t>Patrick Tatopoulos</t>
        </is>
      </c>
      <c r="B206" s="1" t="n">
        <v>1</v>
      </c>
      <c r="C206" s="1" t="n">
        <v>2009</v>
      </c>
      <c r="D206" s="1" t="n">
        <v>2009</v>
      </c>
      <c r="E206" s="4" t="inlineStr">
        <is>
          <t>Underworld: Rise of the Lycans</t>
        </is>
      </c>
      <c r="F206" s="1" t="inlineStr">
        <is>
          <t>F0327</t>
        </is>
      </c>
    </row>
    <row r="207" ht="15.75" customHeight="1" s="95">
      <c r="A207" s="1" t="inlineStr">
        <is>
          <t>Paul Verhoeven</t>
        </is>
      </c>
      <c r="B207" s="1" t="n">
        <v>1</v>
      </c>
      <c r="C207" s="1" t="n"/>
      <c r="D207" s="1" t="n"/>
      <c r="E207" s="4" t="inlineStr">
        <is>
          <t>RoboCop</t>
        </is>
      </c>
      <c r="F207" s="1" t="inlineStr">
        <is>
          <t>F0268</t>
        </is>
      </c>
    </row>
    <row r="208" ht="15.75" customHeight="1" s="95">
      <c r="A208" s="1" t="inlineStr">
        <is>
          <t>Peter Berg</t>
        </is>
      </c>
      <c r="B208" s="1" t="n">
        <v>1</v>
      </c>
      <c r="C208" s="1" t="n">
        <v>2013</v>
      </c>
      <c r="D208" s="1" t="n">
        <v>2013</v>
      </c>
      <c r="E208" s="4" t="inlineStr">
        <is>
          <t>Lone Survivor</t>
        </is>
      </c>
      <c r="F208" s="1" t="inlineStr">
        <is>
          <t>F0202</t>
        </is>
      </c>
    </row>
    <row r="209" ht="15.75" customHeight="1" s="95">
      <c r="A209" s="1" t="inlineStr">
        <is>
          <t>Phil Johnston</t>
        </is>
      </c>
      <c r="B209" s="1" t="n">
        <v>1</v>
      </c>
      <c r="C209" s="1" t="n">
        <v>2018</v>
      </c>
      <c r="D209" s="1" t="n">
        <v>2018</v>
      </c>
      <c r="E209" s="4" t="inlineStr">
        <is>
          <t>Ralph Breaks the Internet</t>
        </is>
      </c>
      <c r="F209" s="1" t="inlineStr">
        <is>
          <t>F0337</t>
        </is>
      </c>
    </row>
    <row r="210" ht="15.75" customHeight="1" s="95">
      <c r="A210" s="1" t="inlineStr">
        <is>
          <t>Phillip Noyce</t>
        </is>
      </c>
      <c r="B210" s="1" t="n">
        <v>1</v>
      </c>
      <c r="C210" s="1" t="n">
        <v>2010</v>
      </c>
      <c r="D210" s="1" t="n">
        <v>2010</v>
      </c>
      <c r="E210" s="4" t="inlineStr">
        <is>
          <t>Salt</t>
        </is>
      </c>
      <c r="F210" s="1" t="inlineStr">
        <is>
          <t>F0273</t>
        </is>
      </c>
    </row>
    <row r="211" ht="15.75" customHeight="1" s="95">
      <c r="A211" s="1" t="inlineStr">
        <is>
          <t>Phyllida Lloyd</t>
        </is>
      </c>
      <c r="B211" s="1" t="n">
        <v>1</v>
      </c>
      <c r="C211" s="1" t="n">
        <v>2008</v>
      </c>
      <c r="D211" s="1" t="n">
        <v>2008</v>
      </c>
      <c r="E211" s="4" t="inlineStr">
        <is>
          <t>Mamma Mia!</t>
        </is>
      </c>
      <c r="F211" s="1" t="inlineStr">
        <is>
          <t>F0209</t>
        </is>
      </c>
    </row>
    <row r="212" ht="15.75" customHeight="1" s="95">
      <c r="A212" s="1" t="inlineStr">
        <is>
          <t>Pierre Leduc</t>
        </is>
      </c>
      <c r="B212" s="1" t="n">
        <v>1</v>
      </c>
      <c r="C212" s="1" t="n">
        <v>2023</v>
      </c>
      <c r="D212" s="1" t="n">
        <v>2023</v>
      </c>
      <c r="E212" s="4" t="inlineStr">
        <is>
          <t>The Super Mario Bros. Movie</t>
        </is>
      </c>
      <c r="F212" s="1" t="inlineStr">
        <is>
          <t>F0212</t>
        </is>
      </c>
    </row>
    <row r="213" ht="15.75" customHeight="1" s="95">
      <c r="A213" s="1" t="inlineStr">
        <is>
          <t>Pierre Morel</t>
        </is>
      </c>
      <c r="B213" s="1" t="n">
        <v>1</v>
      </c>
      <c r="C213" s="1" t="n">
        <v>2008</v>
      </c>
      <c r="D213" s="1" t="n">
        <v>2008</v>
      </c>
      <c r="E213" s="4" t="inlineStr">
        <is>
          <t>Taken</t>
        </is>
      </c>
      <c r="F213" s="1" t="inlineStr">
        <is>
          <t>F0306</t>
        </is>
      </c>
    </row>
    <row r="214" ht="15.75" customHeight="1" s="95">
      <c r="A214" s="1" t="inlineStr">
        <is>
          <t>Raja Gosnell</t>
        </is>
      </c>
      <c r="B214" s="1" t="n">
        <v>1</v>
      </c>
      <c r="C214" s="1" t="n">
        <v>2013</v>
      </c>
      <c r="D214" s="1" t="n">
        <v>2013</v>
      </c>
      <c r="E214" s="4" t="inlineStr">
        <is>
          <t>The Smurfs 2</t>
        </is>
      </c>
      <c r="F214" s="1" t="inlineStr">
        <is>
          <t>F0282</t>
        </is>
      </c>
    </row>
    <row r="215" ht="15.75" customHeight="1" s="95">
      <c r="A215" s="1" t="inlineStr">
        <is>
          <t>Renny Harlin</t>
        </is>
      </c>
      <c r="B215" s="1" t="n">
        <v>1</v>
      </c>
      <c r="C215" s="1" t="n">
        <v>2014</v>
      </c>
      <c r="D215" s="1" t="n">
        <v>2014</v>
      </c>
      <c r="E215" s="4" t="inlineStr">
        <is>
          <t>The Legend of Hercules</t>
        </is>
      </c>
      <c r="F215" s="1" t="inlineStr">
        <is>
          <t>F0148</t>
        </is>
      </c>
    </row>
    <row r="216" ht="15.75" customHeight="1" s="95">
      <c r="A216" s="1" t="inlineStr">
        <is>
          <t>Rian Johnson</t>
        </is>
      </c>
      <c r="B216" s="1" t="n">
        <v>1</v>
      </c>
      <c r="C216" s="1" t="n">
        <v>2017</v>
      </c>
      <c r="D216" s="1" t="n">
        <v>2017</v>
      </c>
      <c r="E216" s="4" t="inlineStr">
        <is>
          <t>Star Wars: The Last Jedi</t>
        </is>
      </c>
      <c r="F216" s="1" t="inlineStr">
        <is>
          <t>F0299</t>
        </is>
      </c>
    </row>
    <row r="217" ht="15.75" customHeight="1" s="95">
      <c r="A217" s="1" t="inlineStr">
        <is>
          <t>Richard Donner</t>
        </is>
      </c>
      <c r="B217" s="1" t="n">
        <v>1</v>
      </c>
      <c r="C217" s="1" t="n">
        <v>2025</v>
      </c>
      <c r="D217" s="1" t="n">
        <v>2025</v>
      </c>
      <c r="E217" s="4" t="inlineStr">
        <is>
          <t>Superman</t>
        </is>
      </c>
      <c r="F217" s="1" t="inlineStr">
        <is>
          <t>F0304</t>
        </is>
      </c>
    </row>
    <row r="218" ht="15.75" customHeight="1" s="95">
      <c r="A218" s="1" t="inlineStr">
        <is>
          <t>Richard Loncraine</t>
        </is>
      </c>
      <c r="B218" s="1" t="n">
        <v>1</v>
      </c>
      <c r="C218" s="1" t="n">
        <v>2006</v>
      </c>
      <c r="D218" s="1" t="n">
        <v>2006</v>
      </c>
      <c r="E218" s="4" t="inlineStr">
        <is>
          <t>Firewall</t>
        </is>
      </c>
      <c r="F218" s="1" t="inlineStr">
        <is>
          <t>F0114</t>
        </is>
      </c>
    </row>
    <row r="219" ht="15.75" customHeight="1" s="95">
      <c r="A219" s="1" t="inlineStr">
        <is>
          <t>Richard Marquand</t>
        </is>
      </c>
      <c r="B219" s="1" t="n">
        <v>1</v>
      </c>
      <c r="C219" s="1" t="n">
        <v>1983</v>
      </c>
      <c r="D219" s="1" t="n">
        <v>1983</v>
      </c>
      <c r="E219" s="4" t="inlineStr">
        <is>
          <t>Star Wars: Episode VI – Return of the Jedi</t>
        </is>
      </c>
      <c r="F219" s="1" t="inlineStr">
        <is>
          <t>F0297</t>
        </is>
      </c>
    </row>
    <row r="220" ht="15.75" customHeight="1" s="95">
      <c r="A220" s="1" t="inlineStr">
        <is>
          <t>Rob Bowman</t>
        </is>
      </c>
      <c r="B220" s="1" t="n">
        <v>1</v>
      </c>
      <c r="C220" s="1" t="n">
        <v>2002</v>
      </c>
      <c r="D220" s="1" t="n">
        <v>2002</v>
      </c>
      <c r="E220" s="4" t="inlineStr">
        <is>
          <t>Reign of Fire</t>
        </is>
      </c>
      <c r="F220" s="1" t="inlineStr">
        <is>
          <t>F0263</t>
        </is>
      </c>
    </row>
    <row r="221" ht="15.75" customHeight="1" s="95">
      <c r="A221" s="1" t="inlineStr">
        <is>
          <t>Rob Cohen</t>
        </is>
      </c>
      <c r="B221" s="1" t="n">
        <v>1</v>
      </c>
      <c r="C221" s="1" t="n">
        <v>2001</v>
      </c>
      <c r="D221" s="1" t="n">
        <v>2001</v>
      </c>
      <c r="E221" s="4" t="inlineStr">
        <is>
          <t>The Fast and the Furious</t>
        </is>
      </c>
      <c r="F221" s="1" t="inlineStr">
        <is>
          <t>F0101</t>
        </is>
      </c>
    </row>
    <row r="222" ht="15.75" customHeight="1" s="95">
      <c r="A222" s="1" t="inlineStr">
        <is>
          <t>Rob Marshall</t>
        </is>
      </c>
      <c r="B222" s="1" t="n">
        <v>1</v>
      </c>
      <c r="C222" s="1" t="n">
        <v>2011</v>
      </c>
      <c r="D222" s="1" t="n">
        <v>2011</v>
      </c>
      <c r="E222" s="4" t="inlineStr">
        <is>
          <t>Pirates of the Caribbean: On Stranger Tides</t>
        </is>
      </c>
      <c r="F222" s="1" t="inlineStr">
        <is>
          <t>F0249</t>
        </is>
      </c>
    </row>
    <row r="223" ht="15.75" customHeight="1" s="95">
      <c r="A223" s="1" t="inlineStr">
        <is>
          <t>Rob Minkoff</t>
        </is>
      </c>
      <c r="B223" s="1" t="n">
        <v>1</v>
      </c>
      <c r="C223" s="1" t="n">
        <v>1994</v>
      </c>
      <c r="D223" s="1" t="n">
        <v>1994</v>
      </c>
      <c r="E223" s="4" t="inlineStr">
        <is>
          <t>The Lion King</t>
        </is>
      </c>
      <c r="F223" s="1" t="inlineStr">
        <is>
          <t>F0200</t>
        </is>
      </c>
    </row>
    <row r="224" ht="15.75" customHeight="1" s="95">
      <c r="A224" s="1" t="inlineStr">
        <is>
          <t>Rob Reiner</t>
        </is>
      </c>
      <c r="B224" s="1" t="n">
        <v>1</v>
      </c>
      <c r="C224" s="1" t="n">
        <v>2007</v>
      </c>
      <c r="D224" s="1" t="n">
        <v>2007</v>
      </c>
      <c r="E224" s="4" t="inlineStr">
        <is>
          <t>The Bucket List</t>
        </is>
      </c>
      <c r="F224" s="1" t="inlineStr">
        <is>
          <t>F0060</t>
        </is>
      </c>
    </row>
    <row r="225" ht="15.75" customHeight="1" s="95">
      <c r="A225" s="1" t="inlineStr">
        <is>
          <t>Robert Schwentke</t>
        </is>
      </c>
      <c r="B225" s="1" t="n">
        <v>1</v>
      </c>
      <c r="C225" s="1" t="n">
        <v>2010</v>
      </c>
      <c r="D225" s="1" t="n">
        <v>2010</v>
      </c>
      <c r="E225" s="4" t="inlineStr">
        <is>
          <t>RED</t>
        </is>
      </c>
      <c r="F225" s="1" t="inlineStr">
        <is>
          <t>F0262</t>
        </is>
      </c>
    </row>
    <row r="226" ht="15.75" customHeight="1" s="95">
      <c r="A226" s="1" t="inlineStr">
        <is>
          <t>Robert Stromberg</t>
        </is>
      </c>
      <c r="B226" s="1" t="n">
        <v>1</v>
      </c>
      <c r="C226" s="1" t="n">
        <v>2014</v>
      </c>
      <c r="D226" s="1" t="n">
        <v>2014</v>
      </c>
      <c r="E226" s="4" t="inlineStr">
        <is>
          <t>Maleficent</t>
        </is>
      </c>
      <c r="F226" s="1" t="inlineStr">
        <is>
          <t>F0208</t>
        </is>
      </c>
    </row>
    <row r="227" ht="15.75" customHeight="1" s="95">
      <c r="A227" s="1" t="inlineStr">
        <is>
          <t>Roger Allers</t>
        </is>
      </c>
      <c r="B227" s="1" t="n">
        <v>1</v>
      </c>
      <c r="C227" s="1" t="n">
        <v>1994</v>
      </c>
      <c r="D227" s="1" t="n">
        <v>1994</v>
      </c>
      <c r="E227" s="4" t="inlineStr">
        <is>
          <t>The Lion King</t>
        </is>
      </c>
      <c r="F227" s="1" t="inlineStr">
        <is>
          <t>F0200</t>
        </is>
      </c>
    </row>
    <row r="228" ht="15.75" customHeight="1" s="95">
      <c r="A228" s="1" t="inlineStr">
        <is>
          <t>Roger Donaldson</t>
        </is>
      </c>
      <c r="B228" s="1" t="n">
        <v>1</v>
      </c>
      <c r="C228" s="1" t="n">
        <v>2008</v>
      </c>
      <c r="D228" s="1" t="n">
        <v>2008</v>
      </c>
      <c r="E228" s="4" t="inlineStr">
        <is>
          <t>The Bank Job</t>
        </is>
      </c>
      <c r="F228" s="1" t="inlineStr">
        <is>
          <t>F0040</t>
        </is>
      </c>
    </row>
    <row r="229" ht="15.75" customHeight="1" s="95">
      <c r="A229" s="1" t="inlineStr">
        <is>
          <t>Ronnie Del Carmen</t>
        </is>
      </c>
      <c r="B229" s="1" t="n">
        <v>1</v>
      </c>
      <c r="C229" s="1" t="n">
        <v>2015</v>
      </c>
      <c r="D229" s="1" t="n">
        <v>2015</v>
      </c>
      <c r="E229" s="4" t="inlineStr">
        <is>
          <t>Inside Out</t>
        </is>
      </c>
      <c r="F229" s="1" t="inlineStr">
        <is>
          <t>F0167</t>
        </is>
      </c>
    </row>
    <row r="230" ht="15.75" customHeight="1" s="95">
      <c r="A230" s="1" t="inlineStr">
        <is>
          <t>Ruben Fleischer</t>
        </is>
      </c>
      <c r="B230" s="1" t="n">
        <v>1</v>
      </c>
      <c r="C230" s="1" t="n">
        <v>2011</v>
      </c>
      <c r="D230" s="1" t="n">
        <v>2011</v>
      </c>
      <c r="E230" s="4" t="inlineStr">
        <is>
          <t>30 Minutes or Less</t>
        </is>
      </c>
      <c r="F230" s="1" t="inlineStr">
        <is>
          <t>F0009</t>
        </is>
      </c>
    </row>
    <row r="231" ht="15.75" customHeight="1" s="95">
      <c r="A231" s="1" t="inlineStr">
        <is>
          <t>Rupert Sanders</t>
        </is>
      </c>
      <c r="B231" s="1" t="n">
        <v>1</v>
      </c>
      <c r="C231" s="1" t="n">
        <v>2012</v>
      </c>
      <c r="D231" s="1" t="n">
        <v>2012</v>
      </c>
      <c r="E231" s="4" t="inlineStr">
        <is>
          <t>Snow White and the Huntsman</t>
        </is>
      </c>
      <c r="F231" s="1" t="inlineStr">
        <is>
          <t>F0284</t>
        </is>
      </c>
    </row>
    <row r="232" ht="15.75" customHeight="1" s="95">
      <c r="A232" s="1" t="inlineStr">
        <is>
          <t>Rupert Wyatt</t>
        </is>
      </c>
      <c r="B232" s="1" t="n">
        <v>1</v>
      </c>
      <c r="C232" s="1" t="n">
        <v>2011</v>
      </c>
      <c r="D232" s="1" t="n">
        <v>2011</v>
      </c>
      <c r="E232" s="4" t="inlineStr">
        <is>
          <t>Rise of the Planet of the Apes</t>
        </is>
      </c>
      <c r="F232" s="1" t="inlineStr">
        <is>
          <t>F0253</t>
        </is>
      </c>
    </row>
    <row r="233" ht="15.75" customHeight="1" s="95">
      <c r="A233" s="1" t="inlineStr">
        <is>
          <t>Ryan Coogler</t>
        </is>
      </c>
      <c r="B233" s="1" t="n">
        <v>1</v>
      </c>
      <c r="C233" s="1" t="n">
        <v>2015</v>
      </c>
      <c r="D233" s="1" t="n">
        <v>2015</v>
      </c>
      <c r="E233" s="4" t="inlineStr">
        <is>
          <t>Creed</t>
        </is>
      </c>
      <c r="F233" s="1" t="inlineStr">
        <is>
          <t>F0074</t>
        </is>
      </c>
    </row>
    <row r="234" ht="15.75" customHeight="1" s="95">
      <c r="A234" s="1" t="inlineStr">
        <is>
          <t>Scott Moore</t>
        </is>
      </c>
      <c r="B234" s="1" t="n">
        <v>1</v>
      </c>
      <c r="C234" s="1" t="n">
        <v>2016</v>
      </c>
      <c r="D234" s="1" t="n">
        <v>2016</v>
      </c>
      <c r="E234" s="4" t="inlineStr">
        <is>
          <t>Bad Moms</t>
        </is>
      </c>
      <c r="F234" s="1" t="inlineStr">
        <is>
          <t>F0038</t>
        </is>
      </c>
    </row>
    <row r="235" ht="15.75" customHeight="1" s="95">
      <c r="A235" s="1" t="inlineStr">
        <is>
          <t>Scott Waugh</t>
        </is>
      </c>
      <c r="B235" s="1" t="n">
        <v>1</v>
      </c>
      <c r="C235" s="1" t="n">
        <v>2014</v>
      </c>
      <c r="D235" s="1" t="n">
        <v>2014</v>
      </c>
      <c r="E235" s="4" t="inlineStr">
        <is>
          <t>Need for Speed</t>
        </is>
      </c>
      <c r="F235" s="1" t="inlineStr">
        <is>
          <t>F0234</t>
        </is>
      </c>
    </row>
    <row r="236" ht="15.75" customHeight="1" s="95">
      <c r="A236" s="1" t="inlineStr">
        <is>
          <t>Stephen Sommers</t>
        </is>
      </c>
      <c r="B236" s="1" t="n">
        <v>1</v>
      </c>
      <c r="C236" s="1" t="n">
        <v>2009</v>
      </c>
      <c r="D236" s="1" t="n">
        <v>2009</v>
      </c>
      <c r="E236" s="4" t="inlineStr">
        <is>
          <t>G.I. Joe: The Rise of Cobra</t>
        </is>
      </c>
      <c r="F236" s="1" t="inlineStr">
        <is>
          <t>F0118</t>
        </is>
      </c>
    </row>
    <row r="237" ht="15.75" customHeight="1" s="95">
      <c r="A237" s="1" t="inlineStr">
        <is>
          <t>Steven Caple Jr.</t>
        </is>
      </c>
      <c r="B237" s="1" t="n">
        <v>1</v>
      </c>
      <c r="C237" s="1" t="n">
        <v>2023</v>
      </c>
      <c r="D237" s="1" t="n">
        <v>2023</v>
      </c>
      <c r="E237" s="4" t="inlineStr">
        <is>
          <t>Transformers: Rise of the Beasts</t>
        </is>
      </c>
      <c r="F237" s="1" t="inlineStr">
        <is>
          <t>F0321</t>
        </is>
      </c>
    </row>
    <row r="238" ht="15.75" customHeight="1" s="95">
      <c r="A238" s="1" t="inlineStr">
        <is>
          <t>Steven Knight</t>
        </is>
      </c>
      <c r="B238" s="1" t="n">
        <v>1</v>
      </c>
      <c r="C238" s="1" t="n">
        <v>2013</v>
      </c>
      <c r="D238" s="1" t="n">
        <v>2013</v>
      </c>
      <c r="E238" s="4" t="inlineStr">
        <is>
          <t>Hummingbird</t>
        </is>
      </c>
      <c r="F238" s="1" t="inlineStr">
        <is>
          <t>F0156</t>
        </is>
      </c>
    </row>
    <row r="239" ht="15.75" customHeight="1" s="95">
      <c r="A239" s="1" t="inlineStr">
        <is>
          <t>Steven Soderbergh</t>
        </is>
      </c>
      <c r="B239" s="1" t="n">
        <v>1</v>
      </c>
      <c r="C239" s="1" t="n">
        <v>2012</v>
      </c>
      <c r="D239" s="1" t="n">
        <v>2012</v>
      </c>
      <c r="E239" s="4" t="inlineStr">
        <is>
          <t>Magic Mike</t>
        </is>
      </c>
      <c r="F239" s="1" t="inlineStr">
        <is>
          <t>F0206</t>
        </is>
      </c>
    </row>
    <row r="240" ht="15.75" customHeight="1" s="95">
      <c r="A240" s="1" t="inlineStr">
        <is>
          <t>Stuart Beattie</t>
        </is>
      </c>
      <c r="B240" s="1" t="n">
        <v>2</v>
      </c>
      <c r="C240" s="1" t="n">
        <v>2014</v>
      </c>
      <c r="D240" s="1" t="n">
        <v>2014</v>
      </c>
      <c r="E240" s="4" t="inlineStr">
        <is>
          <t>I, Frankenstein, I, Frankenstein</t>
        </is>
      </c>
      <c r="F240" s="1" t="inlineStr">
        <is>
          <t>F0159</t>
        </is>
      </c>
    </row>
    <row r="241" ht="15.75" customHeight="1" s="95">
      <c r="A241" s="1" t="inlineStr">
        <is>
          <t>T. Hee</t>
        </is>
      </c>
      <c r="B241" s="1" t="n">
        <v>1</v>
      </c>
      <c r="C241" s="1" t="n">
        <v>1940</v>
      </c>
      <c r="D241" s="1" t="n">
        <v>1940</v>
      </c>
      <c r="E241" s="4" t="inlineStr">
        <is>
          <t>Pinocchio</t>
        </is>
      </c>
      <c r="F241" s="1" t="inlineStr">
        <is>
          <t>F0248</t>
        </is>
      </c>
    </row>
    <row r="242" ht="15.75" customHeight="1" s="95">
      <c r="A242" s="1" t="inlineStr">
        <is>
          <t>Taika Waititi</t>
        </is>
      </c>
      <c r="B242" s="1" t="n">
        <v>1</v>
      </c>
      <c r="C242" s="1" t="n">
        <v>2019</v>
      </c>
      <c r="D242" s="1" t="n">
        <v>2019</v>
      </c>
      <c r="E242" s="4" t="inlineStr">
        <is>
          <t>Jojo Rabbit</t>
        </is>
      </c>
      <c r="F242" s="1" t="inlineStr">
        <is>
          <t>F0170</t>
        </is>
      </c>
    </row>
    <row r="243" ht="15.75" customHeight="1" s="95">
      <c r="A243" s="1" t="inlineStr">
        <is>
          <t>Tim Johnson</t>
        </is>
      </c>
      <c r="B243" s="1" t="n">
        <v>1</v>
      </c>
      <c r="C243" s="1" t="n">
        <v>2015</v>
      </c>
      <c r="D243" s="1" t="n">
        <v>2015</v>
      </c>
      <c r="E243" s="4" t="inlineStr">
        <is>
          <t>Home</t>
        </is>
      </c>
      <c r="F243" s="1" t="inlineStr">
        <is>
          <t>F0153</t>
        </is>
      </c>
    </row>
    <row r="244" ht="15.75" customHeight="1" s="95">
      <c r="A244" s="1" t="inlineStr">
        <is>
          <t>Tim Miller</t>
        </is>
      </c>
      <c r="B244" s="1" t="n">
        <v>1</v>
      </c>
      <c r="C244" s="1" t="n">
        <v>2016</v>
      </c>
      <c r="D244" s="1" t="n">
        <v>2016</v>
      </c>
      <c r="E244" s="4" t="inlineStr">
        <is>
          <t>Deadpool</t>
        </is>
      </c>
      <c r="F244" s="1" t="inlineStr">
        <is>
          <t>F0076</t>
        </is>
      </c>
    </row>
    <row r="245" ht="15.75" customHeight="1" s="95">
      <c r="A245" s="1" t="inlineStr">
        <is>
          <t>Tony Gilroy</t>
        </is>
      </c>
      <c r="B245" s="1" t="n">
        <v>1</v>
      </c>
      <c r="C245" s="1" t="n">
        <v>2012</v>
      </c>
      <c r="D245" s="1" t="n">
        <v>2012</v>
      </c>
      <c r="E245" s="4" t="inlineStr">
        <is>
          <t>The Bourne Legacy</t>
        </is>
      </c>
      <c r="F245" s="1" t="inlineStr">
        <is>
          <t>F0056</t>
        </is>
      </c>
    </row>
    <row r="246" ht="15.75" customHeight="1" s="95">
      <c r="A246" s="1" t="inlineStr">
        <is>
          <t>Tony Scott</t>
        </is>
      </c>
      <c r="B246" s="1" t="n">
        <v>1</v>
      </c>
      <c r="C246" s="1" t="n">
        <v>1998</v>
      </c>
      <c r="D246" s="1" t="n">
        <v>1998</v>
      </c>
      <c r="E246" s="4" t="inlineStr">
        <is>
          <t>Enemy of the State</t>
        </is>
      </c>
      <c r="F246" s="1" t="inlineStr">
        <is>
          <t>F0094</t>
        </is>
      </c>
    </row>
    <row r="247" ht="15.75" customHeight="1" s="95">
      <c r="A247" s="1" t="inlineStr">
        <is>
          <t>Travis Knight</t>
        </is>
      </c>
      <c r="B247" s="1" t="n">
        <v>1</v>
      </c>
      <c r="C247" s="1" t="n">
        <v>2018</v>
      </c>
      <c r="D247" s="1" t="n">
        <v>2018</v>
      </c>
      <c r="E247" s="4" t="inlineStr">
        <is>
          <t>Bumblebee</t>
        </is>
      </c>
      <c r="F247" s="1" t="inlineStr">
        <is>
          <t>F0061</t>
        </is>
      </c>
    </row>
    <row r="248" ht="15.75" customHeight="1" s="95">
      <c r="A248" s="1" t="inlineStr">
        <is>
          <t>Trish Sie</t>
        </is>
      </c>
      <c r="B248" s="1" t="n">
        <v>1</v>
      </c>
      <c r="C248" s="1" t="n">
        <v>2017</v>
      </c>
      <c r="D248" s="1" t="n">
        <v>2017</v>
      </c>
      <c r="E248" s="4" t="inlineStr">
        <is>
          <t>Pitch Perfect 3</t>
        </is>
      </c>
      <c r="F248" s="1" t="inlineStr">
        <is>
          <t>F0252</t>
        </is>
      </c>
    </row>
    <row r="249" ht="15.75" customHeight="1" s="95">
      <c r="A249" s="1" t="inlineStr">
        <is>
          <t>Walter Hill</t>
        </is>
      </c>
      <c r="B249" s="1" t="n">
        <v>1</v>
      </c>
      <c r="C249" s="1" t="n">
        <v>1979</v>
      </c>
      <c r="D249" s="1" t="n">
        <v>1979</v>
      </c>
      <c r="E249" s="4" t="inlineStr">
        <is>
          <t>The Warriors</t>
        </is>
      </c>
      <c r="F249" s="1" t="inlineStr">
        <is>
          <t>F0334</t>
        </is>
      </c>
    </row>
    <row r="250" ht="15.75" customHeight="1" s="95">
      <c r="A250" s="1" t="inlineStr">
        <is>
          <t>Wilfred Jackson</t>
        </is>
      </c>
      <c r="B250" s="1" t="n">
        <v>1</v>
      </c>
      <c r="C250" s="1" t="n">
        <v>1940</v>
      </c>
      <c r="D250" s="1" t="n">
        <v>1940</v>
      </c>
      <c r="E250" s="4" t="inlineStr">
        <is>
          <t>Pinocchio</t>
        </is>
      </c>
      <c r="F250" s="1" t="inlineStr">
        <is>
          <t>F0248</t>
        </is>
      </c>
    </row>
    <row r="251" ht="15.75" customHeight="1" s="95">
      <c r="A251" s="47" t="inlineStr">
        <is>
          <t>Zack Snyder</t>
        </is>
      </c>
      <c r="B251" s="47" t="n">
        <v>1</v>
      </c>
      <c r="C251" s="47" t="n">
        <v>2013</v>
      </c>
      <c r="D251" s="47" t="n">
        <v>2013</v>
      </c>
      <c r="E251" s="54" t="inlineStr">
        <is>
          <t>Man of Steel</t>
        </is>
      </c>
      <c r="F251" s="47" t="inlineStr">
        <is>
          <t>F0211</t>
        </is>
      </c>
    </row>
    <row r="252" ht="15.75" customHeight="1" s="95">
      <c r="A252" t="inlineStr">
        <is>
          <t>Ron Clements</t>
        </is>
      </c>
      <c r="B252" t="n">
        <v>1</v>
      </c>
      <c r="C252" t="n">
        <v>2014</v>
      </c>
      <c r="D252" t="n">
        <v>2014</v>
      </c>
      <c r="E252" t="inlineStr">
        <is>
          <t>Hercules</t>
        </is>
      </c>
      <c r="F252" t="inlineStr">
        <is>
          <t>F0147</t>
        </is>
      </c>
    </row>
    <row r="253" ht="15.75" customHeight="1" s="95">
      <c r="A253" t="inlineStr">
        <is>
          <t>Rick Morales</t>
        </is>
      </c>
      <c r="B253" t="n">
        <v>1</v>
      </c>
      <c r="C253" t="n">
        <v>2016</v>
      </c>
      <c r="D253" t="n">
        <v>2016</v>
      </c>
      <c r="E253" t="inlineStr">
        <is>
          <t>Lego DC Comics Super Heroes: Justice League - Gotham City Breakout</t>
        </is>
      </c>
      <c r="F253" t="inlineStr">
        <is>
          <t>F0198</t>
        </is>
      </c>
    </row>
    <row r="254" ht="15.75" customHeight="1" s="95">
      <c r="A254" t="inlineStr">
        <is>
          <t>Peter MacDonald</t>
        </is>
      </c>
      <c r="B254" t="n">
        <v>1</v>
      </c>
      <c r="C254" t="n">
        <v>2008</v>
      </c>
      <c r="D254" t="n">
        <v>2008</v>
      </c>
      <c r="E254" t="inlineStr">
        <is>
          <t>Rambo</t>
        </is>
      </c>
      <c r="F254" t="inlineStr">
        <is>
          <t>F0261</t>
        </is>
      </c>
    </row>
    <row r="255" ht="15.75" customHeight="1" s="95">
      <c r="A255" t="inlineStr">
        <is>
          <t>José Padilha</t>
        </is>
      </c>
      <c r="B255" t="n">
        <v>1</v>
      </c>
      <c r="E255" t="inlineStr">
        <is>
          <t>RoboCop</t>
        </is>
      </c>
      <c r="F255" t="inlineStr">
        <is>
          <t>F0268</t>
        </is>
      </c>
    </row>
    <row r="256" ht="15.75" customHeight="1" s="95">
      <c r="A256" t="inlineStr">
        <is>
          <t>James Gunn</t>
        </is>
      </c>
      <c r="B256" t="n">
        <v>1</v>
      </c>
      <c r="C256" t="n">
        <v>2025</v>
      </c>
      <c r="D256" t="n">
        <v>2025</v>
      </c>
      <c r="E256" t="inlineStr">
        <is>
          <t>Superman</t>
        </is>
      </c>
      <c r="F256" t="inlineStr">
        <is>
          <t>F0304</t>
        </is>
      </c>
    </row>
    <row r="257" ht="15.75" customHeight="1" s="95">
      <c r="A257" t="inlineStr">
        <is>
          <t>Thomas C. Grane</t>
        </is>
      </c>
      <c r="B257" t="n">
        <v>1</v>
      </c>
      <c r="C257" t="n">
        <v>2000</v>
      </c>
      <c r="D257" t="n">
        <v>2000</v>
      </c>
      <c r="E257" t="inlineStr">
        <is>
          <t>X-Men</t>
        </is>
      </c>
      <c r="F257" t="inlineStr">
        <is>
          <t>F0344</t>
        </is>
      </c>
    </row>
    <row r="258" ht="15.75" customHeight="1" s="95"/>
    <row r="259" ht="15.75" customHeight="1" s="95"/>
    <row r="260" ht="15.75" customHeight="1" s="95"/>
    <row r="261" ht="15.75" customHeight="1" s="95"/>
    <row r="262" ht="15.75" customHeight="1" s="95"/>
    <row r="263" ht="15.75" customHeight="1" s="95"/>
    <row r="264" ht="15.75" customHeight="1" s="95"/>
    <row r="265" ht="15.75" customHeight="1" s="95"/>
    <row r="266" ht="15.75" customHeight="1" s="95"/>
    <row r="267" ht="15.75" customHeight="1" s="95"/>
    <row r="268" ht="15.75" customHeight="1" s="95"/>
    <row r="269" ht="15.75" customHeight="1" s="95"/>
    <row r="270" ht="15.75" customHeight="1" s="95"/>
    <row r="271" ht="15.75" customHeight="1" s="95"/>
    <row r="272" ht="15.75" customHeight="1" s="95"/>
    <row r="273" ht="15.75" customHeight="1" s="95"/>
    <row r="274" ht="15.75" customHeight="1" s="95"/>
    <row r="275" ht="15.75" customHeight="1" s="95"/>
    <row r="276" ht="15.75" customHeight="1" s="95"/>
    <row r="277" ht="15.75" customHeight="1" s="95"/>
    <row r="278" ht="15.75" customHeight="1" s="95"/>
    <row r="279" ht="15.75" customHeight="1" s="95"/>
    <row r="280" ht="15.75" customHeight="1" s="95"/>
    <row r="281" ht="15.75" customHeight="1" s="95"/>
    <row r="282" ht="15.75" customHeight="1" s="95"/>
    <row r="283" ht="15.75" customHeight="1" s="95"/>
    <row r="284" ht="15.75" customHeight="1" s="95"/>
    <row r="285" ht="15.75" customHeight="1" s="95"/>
    <row r="286" ht="15.75" customHeight="1" s="95"/>
    <row r="287" ht="15.75" customHeight="1" s="95"/>
    <row r="288" ht="15.75" customHeight="1" s="95"/>
    <row r="289" ht="15.75" customHeight="1" s="95"/>
    <row r="290" ht="15.75" customHeight="1" s="95"/>
    <row r="291" ht="15.75" customHeight="1" s="95"/>
    <row r="292" ht="15.75" customHeight="1" s="95"/>
    <row r="293" ht="15.75" customHeight="1" s="95"/>
    <row r="294" ht="15.75" customHeight="1" s="95"/>
    <row r="295" ht="15.75" customHeight="1" s="95"/>
    <row r="296" ht="15.75" customHeight="1" s="95"/>
    <row r="297" ht="15.75" customHeight="1" s="95"/>
    <row r="298" ht="15.75" customHeight="1" s="95"/>
    <row r="299" ht="15.75" customHeight="1" s="95"/>
    <row r="300" ht="15.75" customHeight="1" s="95"/>
    <row r="301" ht="15.75" customHeight="1" s="95"/>
    <row r="302" ht="15.75" customHeight="1" s="95"/>
    <row r="303" ht="15.75" customHeight="1" s="95"/>
    <row r="304" ht="15.75" customHeight="1" s="95"/>
    <row r="305" ht="15.75" customHeight="1" s="95"/>
    <row r="306" ht="15.75" customHeight="1" s="95"/>
    <row r="307" ht="15.75" customHeight="1" s="95"/>
    <row r="308" ht="15.75" customHeight="1" s="95"/>
    <row r="309" ht="15.75" customHeight="1" s="95"/>
    <row r="310" ht="15.75" customHeight="1" s="95"/>
    <row r="311" ht="15.75" customHeight="1" s="95"/>
    <row r="312" ht="15.75" customHeight="1" s="95"/>
    <row r="313" ht="15.75" customHeight="1" s="95"/>
    <row r="314" ht="15.75" customHeight="1" s="95"/>
    <row r="315" ht="15.75" customHeight="1" s="95"/>
    <row r="316" ht="15.75" customHeight="1" s="95"/>
    <row r="317" ht="15.75" customHeight="1" s="95"/>
    <row r="318" ht="15.75" customHeight="1" s="95"/>
    <row r="319" ht="15.75" customHeight="1" s="95"/>
    <row r="320" ht="15.75" customHeight="1" s="95"/>
    <row r="321" ht="15.75" customHeight="1" s="95"/>
    <row r="322" ht="15.75" customHeight="1" s="95"/>
    <row r="323" ht="15.75" customHeight="1" s="95"/>
    <row r="324" ht="15.75" customHeight="1" s="95"/>
    <row r="325" ht="15.75" customHeight="1" s="95"/>
    <row r="326" ht="15.75" customHeight="1" s="95"/>
    <row r="327" ht="15.75" customHeight="1" s="95"/>
    <row r="328" ht="15.75" customHeight="1" s="95"/>
    <row r="329" ht="15.75" customHeight="1" s="95"/>
    <row r="330" ht="15.75" customHeight="1" s="95"/>
    <row r="331" ht="15.75" customHeight="1" s="95"/>
    <row r="332" ht="15.75" customHeight="1" s="95"/>
    <row r="333" ht="15.75" customHeight="1" s="95"/>
    <row r="334" ht="15.75" customHeight="1" s="95"/>
    <row r="335" ht="15.75" customHeight="1" s="95"/>
    <row r="336" ht="15.75" customHeight="1" s="95"/>
    <row r="337" ht="15.75" customHeight="1" s="95"/>
    <row r="338" ht="15.75" customHeight="1" s="95"/>
    <row r="339" ht="15.75" customHeight="1" s="95"/>
    <row r="340" ht="15.75" customHeight="1" s="95"/>
    <row r="341" ht="15.75" customHeight="1" s="95"/>
    <row r="342" ht="15.75" customHeight="1" s="95"/>
    <row r="343" ht="15.75" customHeight="1" s="95"/>
    <row r="344" ht="15.75" customHeight="1" s="95"/>
    <row r="345" ht="15.75" customHeight="1" s="95"/>
    <row r="346" ht="15.75" customHeight="1" s="95"/>
    <row r="347" ht="15.75" customHeight="1" s="95"/>
    <row r="348" ht="15.75" customHeight="1" s="95"/>
    <row r="349" ht="15.75" customHeight="1" s="95"/>
    <row r="350" ht="15.75" customHeight="1" s="95"/>
    <row r="351" ht="15.75" customHeight="1" s="95"/>
    <row r="352" ht="15.75" customHeight="1" s="95"/>
    <row r="353" ht="15.75" customHeight="1" s="95"/>
    <row r="354" ht="15.75" customHeight="1" s="95"/>
    <row r="355" ht="15.75" customHeight="1" s="95"/>
    <row r="356" ht="15.75" customHeight="1" s="95"/>
    <row r="357" ht="15.75" customHeight="1" s="95"/>
    <row r="358" ht="15.75" customHeight="1" s="95"/>
    <row r="359" ht="15.75" customHeight="1" s="95"/>
    <row r="360" ht="15.75" customHeight="1" s="95"/>
    <row r="361" ht="15.75" customHeight="1" s="95"/>
    <row r="362" ht="15.75" customHeight="1" s="95"/>
    <row r="363" ht="15.75" customHeight="1" s="95"/>
    <row r="364" ht="15.75" customHeight="1" s="95"/>
    <row r="365" ht="15.75" customHeight="1" s="95"/>
    <row r="366" ht="15.75" customHeight="1" s="95"/>
    <row r="367" ht="15.75" customHeight="1" s="95"/>
    <row r="368" ht="15.75" customHeight="1" s="95"/>
    <row r="369" ht="15.75" customHeight="1" s="95"/>
    <row r="370" ht="15.75" customHeight="1" s="95"/>
    <row r="371" ht="15.75" customHeight="1" s="95"/>
    <row r="372" ht="15.75" customHeight="1" s="95"/>
    <row r="373" ht="15.75" customHeight="1" s="95"/>
    <row r="374" ht="15.75" customHeight="1" s="95"/>
    <row r="375" ht="15.75" customHeight="1" s="95"/>
    <row r="376" ht="15.75" customHeight="1" s="95"/>
    <row r="377" ht="15.75" customHeight="1" s="95"/>
    <row r="378" ht="15.75" customHeight="1" s="95"/>
    <row r="379" ht="15.75" customHeight="1" s="95"/>
    <row r="380" ht="15.75" customHeight="1" s="95"/>
    <row r="381" ht="15.75" customHeight="1" s="95"/>
    <row r="382" ht="15.75" customHeight="1" s="95"/>
    <row r="383" ht="15.75" customHeight="1" s="95"/>
    <row r="384" ht="15.75" customHeight="1" s="95"/>
    <row r="385" ht="15.75" customHeight="1" s="95"/>
    <row r="386" ht="15.75" customHeight="1" s="95"/>
    <row r="387" ht="15.75" customHeight="1" s="95"/>
    <row r="388" ht="15.75" customHeight="1" s="95"/>
    <row r="389" ht="15.75" customHeight="1" s="95"/>
    <row r="390" ht="15.75" customHeight="1" s="95"/>
    <row r="391" ht="15.75" customHeight="1" s="95"/>
    <row r="392" ht="15.75" customHeight="1" s="95"/>
    <row r="393" ht="15.75" customHeight="1" s="95"/>
    <row r="394" ht="15.75" customHeight="1" s="95"/>
    <row r="395" ht="15.75" customHeight="1" s="95"/>
    <row r="396" ht="15.75" customHeight="1" s="95"/>
    <row r="397" ht="15.75" customHeight="1" s="95"/>
    <row r="398" ht="15.75" customHeight="1" s="95"/>
    <row r="399" ht="15.75" customHeight="1" s="95"/>
    <row r="400" ht="15.75" customHeight="1" s="95"/>
    <row r="401" ht="15.75" customHeight="1" s="95"/>
    <row r="402" ht="15.75" customHeight="1" s="95"/>
    <row r="403" ht="15.75" customHeight="1" s="95"/>
    <row r="404" ht="15.75" customHeight="1" s="95"/>
    <row r="405" ht="15.75" customHeight="1" s="95"/>
    <row r="406" ht="15.75" customHeight="1" s="95"/>
    <row r="407" ht="15.75" customHeight="1" s="95"/>
    <row r="408" ht="15.75" customHeight="1" s="95"/>
    <row r="409" ht="15.75" customHeight="1" s="95"/>
    <row r="410" ht="15.75" customHeight="1" s="95"/>
    <row r="411" ht="15.75" customHeight="1" s="95"/>
    <row r="412" ht="15.75" customHeight="1" s="95"/>
    <row r="413" ht="15.75" customHeight="1" s="95"/>
    <row r="414" ht="15.75" customHeight="1" s="95"/>
    <row r="415" ht="15.75" customHeight="1" s="95"/>
    <row r="416" ht="15.75" customHeight="1" s="95"/>
    <row r="417" ht="15.75" customHeight="1" s="95"/>
    <row r="418" ht="15.75" customHeight="1" s="95"/>
    <row r="419" ht="15.75" customHeight="1" s="95"/>
    <row r="420" ht="15.75" customHeight="1" s="95"/>
    <row r="421" ht="15.75" customHeight="1" s="95"/>
    <row r="422" ht="15.75" customHeight="1" s="95"/>
    <row r="423" ht="15.75" customHeight="1" s="95"/>
    <row r="424" ht="15.75" customHeight="1" s="95"/>
    <row r="425" ht="15.75" customHeight="1" s="95"/>
    <row r="426" ht="15.75" customHeight="1" s="95"/>
    <row r="427" ht="15.75" customHeight="1" s="95"/>
    <row r="428" ht="15.75" customHeight="1" s="95"/>
    <row r="429" ht="15.75" customHeight="1" s="95"/>
    <row r="430" ht="15.75" customHeight="1" s="95"/>
    <row r="431" ht="15.75" customHeight="1" s="95"/>
    <row r="432" ht="15.75" customHeight="1" s="95"/>
    <row r="433" ht="15.75" customHeight="1" s="95"/>
    <row r="434" ht="15.75" customHeight="1" s="95"/>
    <row r="435" ht="15.75" customHeight="1" s="95"/>
    <row r="436" ht="15.75" customHeight="1" s="95"/>
    <row r="437" ht="15.75" customHeight="1" s="95"/>
    <row r="438" ht="15.75" customHeight="1" s="95"/>
    <row r="439" ht="15.75" customHeight="1" s="95"/>
    <row r="440" ht="15.75" customHeight="1" s="95"/>
    <row r="441" ht="15.75" customHeight="1" s="95"/>
    <row r="442" ht="15.75" customHeight="1" s="95"/>
    <row r="443" ht="15.75" customHeight="1" s="95"/>
    <row r="444" ht="15.75" customHeight="1" s="95"/>
    <row r="445" ht="15.75" customHeight="1" s="95"/>
    <row r="446" ht="15.75" customHeight="1" s="95"/>
    <row r="447" ht="15.75" customHeight="1" s="95"/>
    <row r="448" ht="15.75" customHeight="1" s="95"/>
    <row r="449" ht="15.75" customHeight="1" s="95"/>
    <row r="450" ht="15.75" customHeight="1" s="95"/>
    <row r="451" ht="15.75" customHeight="1" s="95"/>
    <row r="452" ht="15.75" customHeight="1" s="95"/>
    <row r="453" ht="15.75" customHeight="1" s="95"/>
    <row r="454" ht="15.75" customHeight="1" s="95"/>
    <row r="455" ht="15.75" customHeight="1" s="95"/>
    <row r="456" ht="15.75" customHeight="1" s="95"/>
    <row r="457" ht="15.75" customHeight="1" s="95"/>
    <row r="458" ht="15.75" customHeight="1" s="95"/>
    <row r="459" ht="15.75" customHeight="1" s="95"/>
    <row r="460" ht="15.75" customHeight="1" s="95"/>
    <row r="461" ht="15.75" customHeight="1" s="95"/>
    <row r="462" ht="15.75" customHeight="1" s="95"/>
    <row r="463" ht="15.75" customHeight="1" s="95"/>
    <row r="464" ht="15.75" customHeight="1" s="95"/>
    <row r="465" ht="15.75" customHeight="1" s="95"/>
    <row r="466" ht="15.75" customHeight="1" s="95"/>
    <row r="467" ht="15.75" customHeight="1" s="95"/>
    <row r="468" ht="15.75" customHeight="1" s="95"/>
    <row r="469" ht="15.75" customHeight="1" s="95"/>
    <row r="470" ht="15.75" customHeight="1" s="95"/>
    <row r="471" ht="15.75" customHeight="1" s="95"/>
    <row r="472" ht="15.75" customHeight="1" s="95"/>
    <row r="473" ht="15.75" customHeight="1" s="95"/>
    <row r="474" ht="15.75" customHeight="1" s="95"/>
    <row r="475" ht="15.75" customHeight="1" s="95"/>
    <row r="476" ht="15.75" customHeight="1" s="95"/>
    <row r="477" ht="15.75" customHeight="1" s="95"/>
    <row r="478" ht="15.75" customHeight="1" s="95"/>
    <row r="479" ht="15.75" customHeight="1" s="95"/>
    <row r="480" ht="15.75" customHeight="1" s="95"/>
    <row r="481" ht="15.75" customHeight="1" s="95"/>
    <row r="482" ht="15.75" customHeight="1" s="95"/>
    <row r="483" ht="15.75" customHeight="1" s="95"/>
    <row r="484" ht="15.75" customHeight="1" s="95"/>
    <row r="485" ht="15.75" customHeight="1" s="95"/>
    <row r="486" ht="15.75" customHeight="1" s="95"/>
    <row r="487" ht="15.75" customHeight="1" s="95"/>
    <row r="488" ht="15.75" customHeight="1" s="95"/>
    <row r="489" ht="15.75" customHeight="1" s="95"/>
    <row r="490" ht="15.75" customHeight="1" s="95"/>
    <row r="491" ht="15.75" customHeight="1" s="95"/>
    <row r="492" ht="15.75" customHeight="1" s="95"/>
    <row r="493" ht="15.75" customHeight="1" s="95"/>
    <row r="494" ht="15.75" customHeight="1" s="95"/>
    <row r="495" ht="15.75" customHeight="1" s="95"/>
    <row r="496" ht="15.75" customHeight="1" s="95"/>
    <row r="497" ht="15.75" customHeight="1" s="95"/>
    <row r="498" ht="15.75" customHeight="1" s="95"/>
    <row r="499" ht="15.75" customHeight="1" s="95"/>
    <row r="500" ht="15.75" customHeight="1" s="95"/>
    <row r="501" ht="15.75" customHeight="1" s="95"/>
    <row r="502" ht="15.75" customHeight="1" s="95"/>
    <row r="503" ht="15.75" customHeight="1" s="95"/>
    <row r="504" ht="15.75" customHeight="1" s="95"/>
    <row r="505" ht="15.75" customHeight="1" s="95"/>
    <row r="506" ht="15.75" customHeight="1" s="95"/>
    <row r="507" ht="15.75" customHeight="1" s="95"/>
    <row r="508" ht="15.75" customHeight="1" s="95"/>
    <row r="509" ht="15.75" customHeight="1" s="95"/>
    <row r="510" ht="15.75" customHeight="1" s="95"/>
    <row r="511" ht="15.75" customHeight="1" s="95"/>
    <row r="512" ht="15.75" customHeight="1" s="95"/>
    <row r="513" ht="15.75" customHeight="1" s="95"/>
    <row r="514" ht="15.75" customHeight="1" s="95"/>
    <row r="515" ht="15.75" customHeight="1" s="95"/>
    <row r="516" ht="15.75" customHeight="1" s="95"/>
    <row r="517" ht="15.75" customHeight="1" s="95"/>
    <row r="518" ht="15.75" customHeight="1" s="95"/>
    <row r="519" ht="15.75" customHeight="1" s="95"/>
    <row r="520" ht="15.75" customHeight="1" s="95"/>
    <row r="521" ht="15.75" customHeight="1" s="95"/>
    <row r="522" ht="15.75" customHeight="1" s="95"/>
    <row r="523" ht="15.75" customHeight="1" s="95"/>
    <row r="524" ht="15.75" customHeight="1" s="95"/>
    <row r="525" ht="15.75" customHeight="1" s="95"/>
    <row r="526" ht="15.75" customHeight="1" s="95"/>
    <row r="527" ht="15.75" customHeight="1" s="95"/>
    <row r="528" ht="15.75" customHeight="1" s="95"/>
    <row r="529" ht="15.75" customHeight="1" s="95"/>
    <row r="530" ht="15.75" customHeight="1" s="95"/>
    <row r="531" ht="15.75" customHeight="1" s="95"/>
    <row r="532" ht="15.75" customHeight="1" s="95"/>
    <row r="533" ht="15.75" customHeight="1" s="95"/>
    <row r="534" ht="15.75" customHeight="1" s="95"/>
    <row r="535" ht="15.75" customHeight="1" s="95"/>
    <row r="536" ht="15.75" customHeight="1" s="95"/>
    <row r="537" ht="15.75" customHeight="1" s="95"/>
    <row r="538" ht="15.75" customHeight="1" s="95"/>
    <row r="539" ht="15.75" customHeight="1" s="95"/>
    <row r="540" ht="15.75" customHeight="1" s="95"/>
    <row r="541" ht="15.75" customHeight="1" s="95"/>
    <row r="542" ht="15.75" customHeight="1" s="95"/>
    <row r="543" ht="15.75" customHeight="1" s="95"/>
    <row r="544" ht="15.75" customHeight="1" s="95"/>
    <row r="545" ht="15.75" customHeight="1" s="95"/>
    <row r="546" ht="15.75" customHeight="1" s="95"/>
    <row r="547" ht="15.75" customHeight="1" s="95"/>
    <row r="548" ht="15.75" customHeight="1" s="95"/>
    <row r="549" ht="15.75" customHeight="1" s="95"/>
    <row r="550" ht="15.75" customHeight="1" s="95"/>
    <row r="551" ht="15.75" customHeight="1" s="95"/>
    <row r="552" ht="15.75" customHeight="1" s="95"/>
    <row r="553" ht="15.75" customHeight="1" s="95"/>
    <row r="554" ht="15.75" customHeight="1" s="95"/>
    <row r="555" ht="15.75" customHeight="1" s="95"/>
    <row r="556" ht="15.75" customHeight="1" s="95"/>
    <row r="557" ht="15.75" customHeight="1" s="95"/>
    <row r="558" ht="15.75" customHeight="1" s="95"/>
    <row r="559" ht="15.75" customHeight="1" s="95"/>
    <row r="560" ht="15.75" customHeight="1" s="95"/>
    <row r="561" ht="15.75" customHeight="1" s="95"/>
    <row r="562" ht="15.75" customHeight="1" s="95"/>
    <row r="563" ht="15.75" customHeight="1" s="95"/>
    <row r="564" ht="15.75" customHeight="1" s="95"/>
    <row r="565" ht="15.75" customHeight="1" s="95"/>
    <row r="566" ht="15.75" customHeight="1" s="95"/>
    <row r="567" ht="15.75" customHeight="1" s="95"/>
    <row r="568" ht="15.75" customHeight="1" s="95"/>
    <row r="569" ht="15.75" customHeight="1" s="95"/>
    <row r="570" ht="15.75" customHeight="1" s="95"/>
    <row r="571" ht="15.75" customHeight="1" s="95"/>
    <row r="572" ht="15.75" customHeight="1" s="95"/>
    <row r="573" ht="15.75" customHeight="1" s="95"/>
    <row r="574" ht="15.75" customHeight="1" s="95"/>
    <row r="575" ht="15.75" customHeight="1" s="95"/>
    <row r="576" ht="15.75" customHeight="1" s="95"/>
    <row r="577" ht="15.75" customHeight="1" s="95"/>
    <row r="578" ht="15.75" customHeight="1" s="95"/>
    <row r="579" ht="15.75" customHeight="1" s="95"/>
    <row r="580" ht="15.75" customHeight="1" s="95"/>
    <row r="581" ht="15.75" customHeight="1" s="95"/>
    <row r="582" ht="15.75" customHeight="1" s="95"/>
    <row r="583" ht="15.75" customHeight="1" s="95"/>
    <row r="584" ht="15.75" customHeight="1" s="95"/>
    <row r="585" ht="15.75" customHeight="1" s="95"/>
    <row r="586" ht="15.75" customHeight="1" s="95"/>
    <row r="587" ht="15.75" customHeight="1" s="95"/>
    <row r="588" ht="15.75" customHeight="1" s="95"/>
    <row r="589" ht="15.75" customHeight="1" s="95"/>
    <row r="590" ht="15.75" customHeight="1" s="95"/>
    <row r="591" ht="15.75" customHeight="1" s="95"/>
    <row r="592" ht="15.75" customHeight="1" s="95"/>
    <row r="593" ht="15.75" customHeight="1" s="95"/>
    <row r="594" ht="15.75" customHeight="1" s="95"/>
    <row r="595" ht="15.75" customHeight="1" s="95"/>
    <row r="596" ht="15.75" customHeight="1" s="95"/>
    <row r="597" ht="15.75" customHeight="1" s="95"/>
    <row r="598" ht="15.75" customHeight="1" s="95"/>
    <row r="599" ht="15.75" customHeight="1" s="95"/>
    <row r="600" ht="15.75" customHeight="1" s="95"/>
    <row r="601" ht="15.75" customHeight="1" s="95"/>
    <row r="602" ht="15.75" customHeight="1" s="95"/>
    <row r="603" ht="15.75" customHeight="1" s="95"/>
    <row r="604" ht="15.75" customHeight="1" s="95"/>
    <row r="605" ht="15.75" customHeight="1" s="95"/>
    <row r="606" ht="15.75" customHeight="1" s="95"/>
    <row r="607" ht="15.75" customHeight="1" s="95"/>
    <row r="608" ht="15.75" customHeight="1" s="95"/>
    <row r="609" ht="15.75" customHeight="1" s="95"/>
    <row r="610" ht="15.75" customHeight="1" s="95"/>
    <row r="611" ht="15.75" customHeight="1" s="95"/>
    <row r="612" ht="15.75" customHeight="1" s="95"/>
    <row r="613" ht="15.75" customHeight="1" s="95"/>
    <row r="614" ht="15.75" customHeight="1" s="95"/>
    <row r="615" ht="15.75" customHeight="1" s="95"/>
    <row r="616" ht="15.75" customHeight="1" s="95"/>
    <row r="617" ht="15.75" customHeight="1" s="95"/>
    <row r="618" ht="15.75" customHeight="1" s="95"/>
    <row r="619" ht="15.75" customHeight="1" s="95"/>
    <row r="620" ht="15.75" customHeight="1" s="95"/>
    <row r="621" ht="15.75" customHeight="1" s="95"/>
    <row r="622" ht="15.75" customHeight="1" s="95"/>
    <row r="623" ht="15.75" customHeight="1" s="95"/>
    <row r="624" ht="15.75" customHeight="1" s="95"/>
    <row r="625" ht="15.75" customHeight="1" s="95"/>
    <row r="626" ht="15.75" customHeight="1" s="95"/>
    <row r="627" ht="15.75" customHeight="1" s="95"/>
    <row r="628" ht="15.75" customHeight="1" s="95"/>
    <row r="629" ht="15.75" customHeight="1" s="95"/>
    <row r="630" ht="15.75" customHeight="1" s="95"/>
    <row r="631" ht="15.75" customHeight="1" s="95"/>
    <row r="632" ht="15.75" customHeight="1" s="95"/>
    <row r="633" ht="15.75" customHeight="1" s="95"/>
    <row r="634" ht="15.75" customHeight="1" s="95"/>
    <row r="635" ht="15.75" customHeight="1" s="95"/>
    <row r="636" ht="15.75" customHeight="1" s="95"/>
    <row r="637" ht="15.75" customHeight="1" s="95"/>
    <row r="638" ht="15.75" customHeight="1" s="95"/>
    <row r="639" ht="15.75" customHeight="1" s="95"/>
    <row r="640" ht="15.75" customHeight="1" s="95"/>
    <row r="641" ht="15.75" customHeight="1" s="95"/>
    <row r="642" ht="15.75" customHeight="1" s="95"/>
    <row r="643" ht="15.75" customHeight="1" s="95"/>
    <row r="644" ht="15.75" customHeight="1" s="95"/>
    <row r="645" ht="15.75" customHeight="1" s="95"/>
    <row r="646" ht="15.75" customHeight="1" s="95"/>
    <row r="647" ht="15.75" customHeight="1" s="95"/>
    <row r="648" ht="15.75" customHeight="1" s="95"/>
    <row r="649" ht="15.75" customHeight="1" s="95"/>
    <row r="650" ht="15.75" customHeight="1" s="95"/>
    <row r="651" ht="15.75" customHeight="1" s="95"/>
    <row r="652" ht="15.75" customHeight="1" s="95"/>
    <row r="653" ht="15.75" customHeight="1" s="95"/>
    <row r="654" ht="15.75" customHeight="1" s="95"/>
    <row r="655" ht="15.75" customHeight="1" s="95"/>
    <row r="656" ht="15.75" customHeight="1" s="95"/>
    <row r="657" ht="15.75" customHeight="1" s="95"/>
    <row r="658" ht="15.75" customHeight="1" s="95"/>
    <row r="659" ht="15.75" customHeight="1" s="95"/>
    <row r="660" ht="15.75" customHeight="1" s="95"/>
    <row r="661" ht="15.75" customHeight="1" s="95"/>
    <row r="662" ht="15.75" customHeight="1" s="95"/>
    <row r="663" ht="15.75" customHeight="1" s="95"/>
    <row r="664" ht="15.75" customHeight="1" s="95"/>
    <row r="665" ht="15.75" customHeight="1" s="95"/>
    <row r="666" ht="15.75" customHeight="1" s="95"/>
    <row r="667" ht="15.75" customHeight="1" s="95"/>
    <row r="668" ht="15.75" customHeight="1" s="95"/>
    <row r="669" ht="15.75" customHeight="1" s="95"/>
    <row r="670" ht="15.75" customHeight="1" s="95"/>
    <row r="671" ht="15.75" customHeight="1" s="95"/>
    <row r="672" ht="15.75" customHeight="1" s="95"/>
    <row r="673" ht="15.75" customHeight="1" s="95"/>
    <row r="674" ht="15.75" customHeight="1" s="95"/>
    <row r="675" ht="15.75" customHeight="1" s="95"/>
    <row r="676" ht="15.75" customHeight="1" s="95"/>
    <row r="677" ht="15.75" customHeight="1" s="95"/>
    <row r="678" ht="15.75" customHeight="1" s="95"/>
    <row r="679" ht="15.75" customHeight="1" s="95"/>
    <row r="680" ht="15.75" customHeight="1" s="95"/>
    <row r="681" ht="15.75" customHeight="1" s="95"/>
    <row r="682" ht="15.75" customHeight="1" s="95"/>
    <row r="683" ht="15.75" customHeight="1" s="95"/>
    <row r="684" ht="15.75" customHeight="1" s="95"/>
    <row r="685" ht="15.75" customHeight="1" s="95"/>
    <row r="686" ht="15.75" customHeight="1" s="95"/>
    <row r="687" ht="15.75" customHeight="1" s="95"/>
    <row r="688" ht="15.75" customHeight="1" s="95"/>
    <row r="689" ht="15.75" customHeight="1" s="95"/>
    <row r="690" ht="15.75" customHeight="1" s="95"/>
    <row r="691" ht="15.75" customHeight="1" s="95"/>
    <row r="692" ht="15.75" customHeight="1" s="95"/>
    <row r="693" ht="15.75" customHeight="1" s="95"/>
    <row r="694" ht="15.75" customHeight="1" s="95"/>
    <row r="695" ht="15.75" customHeight="1" s="95"/>
    <row r="696" ht="15.75" customHeight="1" s="95"/>
    <row r="697" ht="15.75" customHeight="1" s="95"/>
    <row r="698" ht="15.75" customHeight="1" s="95"/>
    <row r="699" ht="15.75" customHeight="1" s="95"/>
    <row r="700" ht="15.75" customHeight="1" s="95"/>
    <row r="701" ht="15.75" customHeight="1" s="95"/>
    <row r="702" ht="15.75" customHeight="1" s="95"/>
    <row r="703" ht="15.75" customHeight="1" s="95"/>
    <row r="704" ht="15.75" customHeight="1" s="95"/>
    <row r="705" ht="15.75" customHeight="1" s="95"/>
    <row r="706" ht="15.75" customHeight="1" s="95"/>
    <row r="707" ht="15.75" customHeight="1" s="95"/>
    <row r="708" ht="15.75" customHeight="1" s="95"/>
    <row r="709" ht="15.75" customHeight="1" s="95"/>
    <row r="710" ht="15.75" customHeight="1" s="95"/>
    <row r="711" ht="15.75" customHeight="1" s="95"/>
    <row r="712" ht="15.75" customHeight="1" s="95"/>
    <row r="713" ht="15.75" customHeight="1" s="95"/>
    <row r="714" ht="15.75" customHeight="1" s="95"/>
    <row r="715" ht="15.75" customHeight="1" s="95"/>
    <row r="716" ht="15.75" customHeight="1" s="95"/>
    <row r="717" ht="15.75" customHeight="1" s="95"/>
    <row r="718" ht="15.75" customHeight="1" s="95"/>
    <row r="719" ht="15.75" customHeight="1" s="95"/>
    <row r="720" ht="15.75" customHeight="1" s="95"/>
    <row r="721" ht="15.75" customHeight="1" s="95"/>
    <row r="722" ht="15.75" customHeight="1" s="95"/>
    <row r="723" ht="15.75" customHeight="1" s="95"/>
    <row r="724" ht="15.75" customHeight="1" s="95"/>
    <row r="725" ht="15.75" customHeight="1" s="95"/>
    <row r="726" ht="15.75" customHeight="1" s="95"/>
    <row r="727" ht="15.75" customHeight="1" s="95"/>
    <row r="728" ht="15.75" customHeight="1" s="95"/>
    <row r="729" ht="15.75" customHeight="1" s="95"/>
    <row r="730" ht="15.75" customHeight="1" s="95"/>
    <row r="731" ht="15.75" customHeight="1" s="95"/>
    <row r="732" ht="15.75" customHeight="1" s="95"/>
    <row r="733" ht="15.75" customHeight="1" s="95"/>
    <row r="734" ht="15.75" customHeight="1" s="95"/>
    <row r="735" ht="15.75" customHeight="1" s="95"/>
    <row r="736" ht="15.75" customHeight="1" s="95"/>
    <row r="737" ht="15.75" customHeight="1" s="95"/>
    <row r="738" ht="15.75" customHeight="1" s="95"/>
    <row r="739" ht="15.75" customHeight="1" s="95"/>
    <row r="740" ht="15.75" customHeight="1" s="95"/>
    <row r="741" ht="15.75" customHeight="1" s="95"/>
    <row r="742" ht="15.75" customHeight="1" s="95"/>
    <row r="743" ht="15.75" customHeight="1" s="95"/>
    <row r="744" ht="15.75" customHeight="1" s="95"/>
    <row r="745" ht="15.75" customHeight="1" s="95"/>
    <row r="746" ht="15.75" customHeight="1" s="95"/>
    <row r="747" ht="15.75" customHeight="1" s="95"/>
    <row r="748" ht="15.75" customHeight="1" s="95"/>
    <row r="749" ht="15.75" customHeight="1" s="95"/>
    <row r="750" ht="15.75" customHeight="1" s="95"/>
    <row r="751" ht="15.75" customHeight="1" s="95"/>
    <row r="752" ht="15.75" customHeight="1" s="95"/>
    <row r="753" ht="15.75" customHeight="1" s="95"/>
    <row r="754" ht="15.75" customHeight="1" s="95"/>
    <row r="755" ht="15.75" customHeight="1" s="95"/>
    <row r="756" ht="15.75" customHeight="1" s="95"/>
    <row r="757" ht="15.75" customHeight="1" s="95"/>
    <row r="758" ht="15.75" customHeight="1" s="95"/>
    <row r="759" ht="15.75" customHeight="1" s="95"/>
    <row r="760" ht="15.75" customHeight="1" s="95"/>
    <row r="761" ht="15.75" customHeight="1" s="95"/>
    <row r="762" ht="15.75" customHeight="1" s="95"/>
    <row r="763" ht="15.75" customHeight="1" s="95"/>
    <row r="764" ht="15.75" customHeight="1" s="95"/>
    <row r="765" ht="15.75" customHeight="1" s="95"/>
    <row r="766" ht="15.75" customHeight="1" s="95"/>
    <row r="767" ht="15.75" customHeight="1" s="95"/>
    <row r="768" ht="15.75" customHeight="1" s="95"/>
    <row r="769" ht="15.75" customHeight="1" s="95"/>
    <row r="770" ht="15.75" customHeight="1" s="95"/>
    <row r="771" ht="15.75" customHeight="1" s="95"/>
    <row r="772" ht="15.75" customHeight="1" s="95"/>
    <row r="773" ht="15.75" customHeight="1" s="95"/>
    <row r="774" ht="15.75" customHeight="1" s="95"/>
    <row r="775" ht="15.75" customHeight="1" s="95"/>
    <row r="776" ht="15.75" customHeight="1" s="95"/>
    <row r="777" ht="15.75" customHeight="1" s="95"/>
    <row r="778" ht="15.75" customHeight="1" s="95"/>
    <row r="779" ht="15.75" customHeight="1" s="95"/>
    <row r="780" ht="15.75" customHeight="1" s="95"/>
    <row r="781" ht="15.75" customHeight="1" s="95"/>
    <row r="782" ht="15.75" customHeight="1" s="95"/>
    <row r="783" ht="15.75" customHeight="1" s="95"/>
    <row r="784" ht="15.75" customHeight="1" s="95"/>
    <row r="785" ht="15.75" customHeight="1" s="95"/>
    <row r="786" ht="15.75" customHeight="1" s="95"/>
    <row r="787" ht="15.75" customHeight="1" s="95"/>
    <row r="788" ht="15.75" customHeight="1" s="95"/>
    <row r="789" ht="15.75" customHeight="1" s="95"/>
    <row r="790" ht="15.75" customHeight="1" s="95"/>
    <row r="791" ht="15.75" customHeight="1" s="95"/>
    <row r="792" ht="15.75" customHeight="1" s="95"/>
    <row r="793" ht="15.75" customHeight="1" s="95"/>
    <row r="794" ht="15.75" customHeight="1" s="95"/>
    <row r="795" ht="15.75" customHeight="1" s="95"/>
    <row r="796" ht="15.75" customHeight="1" s="95"/>
    <row r="797" ht="15.75" customHeight="1" s="95"/>
    <row r="798" ht="15.75" customHeight="1" s="95"/>
    <row r="799" ht="15.75" customHeight="1" s="95"/>
    <row r="800" ht="15.75" customHeight="1" s="95"/>
    <row r="801" ht="15.75" customHeight="1" s="95"/>
    <row r="802" ht="15.75" customHeight="1" s="95"/>
    <row r="803" ht="15.75" customHeight="1" s="95"/>
    <row r="804" ht="15.75" customHeight="1" s="95"/>
    <row r="805" ht="15.75" customHeight="1" s="95"/>
    <row r="806" ht="15.75" customHeight="1" s="95"/>
    <row r="807" ht="15.75" customHeight="1" s="95"/>
    <row r="808" ht="15.75" customHeight="1" s="95"/>
    <row r="809" ht="15.75" customHeight="1" s="95"/>
    <row r="810" ht="15.75" customHeight="1" s="95"/>
    <row r="811" ht="15.75" customHeight="1" s="95"/>
    <row r="812" ht="15.75" customHeight="1" s="95"/>
    <row r="813" ht="15.75" customHeight="1" s="95"/>
    <row r="814" ht="15.75" customHeight="1" s="95"/>
    <row r="815" ht="15.75" customHeight="1" s="95"/>
    <row r="816" ht="15.75" customHeight="1" s="95"/>
    <row r="817" ht="15.75" customHeight="1" s="95"/>
    <row r="818" ht="15.75" customHeight="1" s="95"/>
    <row r="819" ht="15.75" customHeight="1" s="95"/>
    <row r="820" ht="15.75" customHeight="1" s="95"/>
    <row r="821" ht="15.75" customHeight="1" s="95"/>
    <row r="822" ht="15.75" customHeight="1" s="95"/>
    <row r="823" ht="15.75" customHeight="1" s="95"/>
    <row r="824" ht="15.75" customHeight="1" s="95"/>
    <row r="825" ht="15.75" customHeight="1" s="95"/>
    <row r="826" ht="15.75" customHeight="1" s="95"/>
    <row r="827" ht="15.75" customHeight="1" s="95"/>
    <row r="828" ht="15.75" customHeight="1" s="95"/>
    <row r="829" ht="15.75" customHeight="1" s="95"/>
    <row r="830" ht="15.75" customHeight="1" s="95"/>
    <row r="831" ht="15.75" customHeight="1" s="95"/>
    <row r="832" ht="15.75" customHeight="1" s="95"/>
    <row r="833" ht="15.75" customHeight="1" s="95"/>
    <row r="834" ht="15.75" customHeight="1" s="95"/>
    <row r="835" ht="15.75" customHeight="1" s="95"/>
    <row r="836" ht="15.75" customHeight="1" s="95"/>
    <row r="837" ht="15.75" customHeight="1" s="95"/>
    <row r="838" ht="15.75" customHeight="1" s="95"/>
    <row r="839" ht="15.75" customHeight="1" s="95"/>
    <row r="840" ht="15.75" customHeight="1" s="95"/>
    <row r="841" ht="15.75" customHeight="1" s="95"/>
    <row r="842" ht="15.75" customHeight="1" s="95"/>
    <row r="843" ht="15.75" customHeight="1" s="95"/>
    <row r="844" ht="15.75" customHeight="1" s="95"/>
    <row r="845" ht="15.75" customHeight="1" s="95"/>
    <row r="846" ht="15.75" customHeight="1" s="95"/>
    <row r="847" ht="15.75" customHeight="1" s="95"/>
    <row r="848" ht="15.75" customHeight="1" s="95"/>
    <row r="849" ht="15.75" customHeight="1" s="95"/>
    <row r="850" ht="15.75" customHeight="1" s="95"/>
    <row r="851" ht="15.75" customHeight="1" s="95"/>
    <row r="852" ht="15.75" customHeight="1" s="95"/>
    <row r="853" ht="15.75" customHeight="1" s="95"/>
    <row r="854" ht="15.75" customHeight="1" s="95"/>
    <row r="855" ht="15.75" customHeight="1" s="95"/>
    <row r="856" ht="15.75" customHeight="1" s="95"/>
    <row r="857" ht="15.75" customHeight="1" s="95"/>
    <row r="858" ht="15.75" customHeight="1" s="95"/>
    <row r="859" ht="15.75" customHeight="1" s="95"/>
    <row r="860" ht="15.75" customHeight="1" s="95"/>
    <row r="861" ht="15.75" customHeight="1" s="95"/>
    <row r="862" ht="15.75" customHeight="1" s="95"/>
    <row r="863" ht="15.75" customHeight="1" s="95"/>
    <row r="864" ht="15.75" customHeight="1" s="95"/>
    <row r="865" ht="15.75" customHeight="1" s="95"/>
    <row r="866" ht="15.75" customHeight="1" s="95"/>
    <row r="867" ht="15.75" customHeight="1" s="95"/>
    <row r="868" ht="15.75" customHeight="1" s="95"/>
    <row r="869" ht="15.75" customHeight="1" s="95"/>
    <row r="870" ht="15.75" customHeight="1" s="95"/>
    <row r="871" ht="15.75" customHeight="1" s="95"/>
    <row r="872" ht="15.75" customHeight="1" s="95"/>
    <row r="873" ht="15.75" customHeight="1" s="95"/>
    <row r="874" ht="15.75" customHeight="1" s="95"/>
    <row r="875" ht="15.75" customHeight="1" s="95"/>
    <row r="876" ht="15.75" customHeight="1" s="95"/>
    <row r="877" ht="15.75" customHeight="1" s="95"/>
    <row r="878" ht="15.75" customHeight="1" s="95"/>
    <row r="879" ht="15.75" customHeight="1" s="95"/>
    <row r="880" ht="15.75" customHeight="1" s="95"/>
    <row r="881" ht="15.75" customHeight="1" s="95"/>
    <row r="882" ht="15.75" customHeight="1" s="95"/>
    <row r="883" ht="15.75" customHeight="1" s="95"/>
    <row r="884" ht="15.75" customHeight="1" s="95"/>
    <row r="885" ht="15.75" customHeight="1" s="95"/>
    <row r="886" ht="15.75" customHeight="1" s="95"/>
    <row r="887" ht="15.75" customHeight="1" s="95"/>
    <row r="888" ht="15.75" customHeight="1" s="95"/>
    <row r="889" ht="15.75" customHeight="1" s="95"/>
    <row r="890" ht="15.75" customHeight="1" s="95"/>
    <row r="891" ht="15.75" customHeight="1" s="95"/>
    <row r="892" ht="15.75" customHeight="1" s="95"/>
    <row r="893" ht="15.75" customHeight="1" s="95"/>
    <row r="894" ht="15.75" customHeight="1" s="95"/>
    <row r="895" ht="15.75" customHeight="1" s="95"/>
    <row r="896" ht="15.75" customHeight="1" s="95"/>
    <row r="897" ht="15.75" customHeight="1" s="95"/>
    <row r="898" ht="15.75" customHeight="1" s="95"/>
    <row r="899" ht="15.75" customHeight="1" s="95"/>
    <row r="900" ht="15.75" customHeight="1" s="95"/>
    <row r="901" ht="15.75" customHeight="1" s="95"/>
    <row r="902" ht="15.75" customHeight="1" s="95"/>
    <row r="903" ht="15.75" customHeight="1" s="95"/>
    <row r="904" ht="15.75" customHeight="1" s="95"/>
    <row r="905" ht="15.75" customHeight="1" s="95"/>
    <row r="906" ht="15.75" customHeight="1" s="95"/>
    <row r="907" ht="15.75" customHeight="1" s="95"/>
    <row r="908" ht="15.75" customHeight="1" s="95"/>
    <row r="909" ht="15.75" customHeight="1" s="95"/>
    <row r="910" ht="15.75" customHeight="1" s="95"/>
    <row r="911" ht="15.75" customHeight="1" s="95"/>
    <row r="912" ht="15.75" customHeight="1" s="95"/>
    <row r="913" ht="15.75" customHeight="1" s="95"/>
    <row r="914" ht="15.75" customHeight="1" s="95"/>
    <row r="915" ht="15.75" customHeight="1" s="95"/>
    <row r="916" ht="15.75" customHeight="1" s="95"/>
    <row r="917" ht="15.75" customHeight="1" s="95"/>
    <row r="918" ht="15.75" customHeight="1" s="95"/>
    <row r="919" ht="15.75" customHeight="1" s="95"/>
    <row r="920" ht="15.75" customHeight="1" s="95"/>
    <row r="921" ht="15.75" customHeight="1" s="95"/>
    <row r="922" ht="15.75" customHeight="1" s="95"/>
    <row r="923" ht="15.75" customHeight="1" s="95"/>
    <row r="924" ht="15.75" customHeight="1" s="95"/>
    <row r="925" ht="15.75" customHeight="1" s="95"/>
    <row r="926" ht="15.75" customHeight="1" s="95"/>
    <row r="927" ht="15.75" customHeight="1" s="95"/>
    <row r="928" ht="15.75" customHeight="1" s="95"/>
    <row r="929" ht="15.75" customHeight="1" s="95"/>
    <row r="930" ht="15.75" customHeight="1" s="95"/>
    <row r="931" ht="15.75" customHeight="1" s="95"/>
    <row r="932" ht="15.75" customHeight="1" s="95"/>
    <row r="933" ht="15.75" customHeight="1" s="95"/>
    <row r="934" ht="15.75" customHeight="1" s="95"/>
    <row r="935" ht="15.75" customHeight="1" s="95"/>
    <row r="936" ht="15.75" customHeight="1" s="95"/>
    <row r="937" ht="15.75" customHeight="1" s="95"/>
    <row r="938" ht="15.75" customHeight="1" s="95"/>
    <row r="939" ht="15.75" customHeight="1" s="95"/>
    <row r="940" ht="15.75" customHeight="1" s="95"/>
    <row r="941" ht="15.75" customHeight="1" s="95"/>
    <row r="942" ht="15.75" customHeight="1" s="95"/>
    <row r="943" ht="15.75" customHeight="1" s="95"/>
    <row r="944" ht="15.75" customHeight="1" s="95"/>
    <row r="945" ht="15.75" customHeight="1" s="95"/>
    <row r="946" ht="15.75" customHeight="1" s="95"/>
    <row r="947" ht="15.75" customHeight="1" s="95"/>
    <row r="948" ht="15.75" customHeight="1" s="95"/>
    <row r="949" ht="15.75" customHeight="1" s="95"/>
    <row r="950" ht="15.75" customHeight="1" s="95"/>
    <row r="951" ht="15.75" customHeight="1" s="95"/>
    <row r="952" ht="15.75" customHeight="1" s="95"/>
    <row r="953" ht="15.75" customHeight="1" s="95"/>
    <row r="954" ht="15.75" customHeight="1" s="95"/>
    <row r="955" ht="15.75" customHeight="1" s="95"/>
    <row r="956" ht="15.75" customHeight="1" s="95"/>
    <row r="957" ht="15.75" customHeight="1" s="95"/>
    <row r="958" ht="15.75" customHeight="1" s="95"/>
    <row r="959" ht="15.75" customHeight="1" s="95"/>
    <row r="960" ht="15.75" customHeight="1" s="95"/>
    <row r="961" ht="15.75" customHeight="1" s="95"/>
    <row r="962" ht="15.75" customHeight="1" s="95"/>
    <row r="963" ht="15.75" customHeight="1" s="95"/>
    <row r="964" ht="15.75" customHeight="1" s="95"/>
    <row r="965" ht="15.75" customHeight="1" s="95"/>
    <row r="966" ht="15.75" customHeight="1" s="95"/>
    <row r="967" ht="15.75" customHeight="1" s="95"/>
    <row r="968" ht="15.75" customHeight="1" s="95"/>
    <row r="969" ht="15.75" customHeight="1" s="95"/>
    <row r="970" ht="15.75" customHeight="1" s="95"/>
    <row r="971" ht="15.75" customHeight="1" s="95"/>
    <row r="972" ht="15.75" customHeight="1" s="95"/>
    <row r="973" ht="15.75" customHeight="1" s="95"/>
    <row r="974" ht="15.75" customHeight="1" s="95"/>
    <row r="975" ht="15.75" customHeight="1" s="95"/>
    <row r="976" ht="15.75" customHeight="1" s="95"/>
    <row r="977" ht="15.75" customHeight="1" s="95"/>
    <row r="978" ht="15.75" customHeight="1" s="95"/>
    <row r="979" ht="15.75" customHeight="1" s="95"/>
    <row r="980" ht="15.75" customHeight="1" s="95"/>
    <row r="981" ht="15.75" customHeight="1" s="95"/>
    <row r="982" ht="15.75" customHeight="1" s="95"/>
    <row r="983" ht="15.75" customHeight="1" s="95"/>
    <row r="984" ht="15.75" customHeight="1" s="95"/>
    <row r="985" ht="15.75" customHeight="1" s="95"/>
    <row r="986" ht="15.75" customHeight="1" s="95"/>
    <row r="987" ht="15.75" customHeight="1" s="95"/>
    <row r="988" ht="15.75" customHeight="1" s="95"/>
    <row r="989" ht="15.75" customHeight="1" s="95"/>
    <row r="990" ht="15.75" customHeight="1" s="95"/>
    <row r="991" ht="15.75" customHeight="1" s="95"/>
    <row r="992" ht="15.75" customHeight="1" s="95"/>
    <row r="993" ht="15.75" customHeight="1" s="95"/>
    <row r="994" ht="15.75" customHeight="1" s="95"/>
    <row r="995" ht="15.75" customHeight="1" s="95"/>
    <row r="996" ht="15.75" customHeight="1" s="95"/>
    <row r="997" ht="15.75" customHeight="1" s="95"/>
    <row r="998" ht="15.75" customHeight="1" s="95"/>
    <row r="999" ht="15.75" customHeight="1" s="95"/>
    <row r="1000" ht="15.75" customHeight="1" s="95"/>
  </sheetData>
  <mergeCells count="2">
    <mergeCell ref="A2:F2"/>
    <mergeCell ref="A1:F1"/>
  </mergeCells>
  <pageMargins left="0.7" right="0.7" top="0.75" bottom="0.75" header="0.3" footer="0.3"/>
  <tableParts count="1">
    <tablePart xmlns:r="http://schemas.openxmlformats.org/officeDocument/2006/relationships" r:id="rId1"/>
  </tableParts>
</worksheet>
</file>

<file path=xl/worksheets/sheet7.xml><?xml version="1.0" encoding="utf-8"?>
<worksheet xmlns="http://schemas.openxmlformats.org/spreadsheetml/2006/main">
  <sheetPr>
    <outlinePr summaryBelow="1" summaryRight="1"/>
    <pageSetUpPr/>
  </sheetPr>
  <dimension ref="A1:R354"/>
  <sheetViews>
    <sheetView workbookViewId="0">
      <selection activeCell="A1" sqref="A1"/>
    </sheetView>
  </sheetViews>
  <sheetFormatPr baseColWidth="8" defaultRowHeight="15"/>
  <cols>
    <col width="10" customWidth="1" style="95" min="1" max="1"/>
    <col width="40" customWidth="1" style="95" min="2" max="2"/>
    <col width="8" customWidth="1" style="95" min="3" max="3"/>
    <col width="12" customWidth="1" style="95" min="4" max="4"/>
    <col width="9" customWidth="1" style="95" min="5" max="5"/>
    <col width="15" customWidth="1" style="95" min="6" max="6"/>
    <col width="12" customWidth="1" style="95" min="7" max="7"/>
    <col width="11" customWidth="1" style="95" min="8" max="8"/>
    <col width="30" customWidth="1" style="95" min="9" max="9"/>
    <col width="14" customWidth="1" style="95" min="10" max="10"/>
    <col width="13" customWidth="1" style="95" min="11" max="11"/>
    <col width="28" customWidth="1" style="95" min="12" max="12"/>
    <col width="13" customWidth="1" style="95" min="13" max="13"/>
    <col width="12" customWidth="1" style="95" min="14" max="14"/>
    <col width="17" customWidth="1" style="95" min="15" max="15"/>
    <col width="50" customWidth="1" style="95" min="16" max="16"/>
    <col width="62" customWidth="1" style="95" min="17" max="17"/>
    <col width="34" customWidth="1" style="95" min="18" max="18"/>
  </cols>
  <sheetData>
    <row r="1" ht="23.25" customHeight="1" s="95">
      <c r="A1" s="108" t="inlineStr">
        <is>
          <t>🏆 ACADEMY AWARDS</t>
        </is>
      </c>
    </row>
    <row r="2">
      <c r="A2" s="107" t="inlineStr">
        <is>
          <t>Oscar history for every film in your collection. Filter by Best Picture, wins, acting, directing, writing or animated feature.</t>
        </is>
      </c>
    </row>
    <row r="4" ht="30" customHeight="1" s="95">
      <c r="A4" s="70" t="inlineStr">
        <is>
          <t>Film ID</t>
        </is>
      </c>
      <c r="B4" s="70" t="inlineStr">
        <is>
          <t>Title</t>
        </is>
      </c>
      <c r="C4" s="70" t="inlineStr">
        <is>
          <t>Year</t>
        </is>
      </c>
      <c r="D4" s="70" t="inlineStr">
        <is>
          <t>Nominations</t>
        </is>
      </c>
      <c r="E4" s="70" t="inlineStr">
        <is>
          <t>Wins</t>
        </is>
      </c>
      <c r="F4" s="70" t="inlineStr">
        <is>
          <t>Best Picture</t>
        </is>
      </c>
      <c r="G4" s="70" t="inlineStr">
        <is>
          <t>Acting Noms</t>
        </is>
      </c>
      <c r="H4" s="70" t="inlineStr">
        <is>
          <t>Acting Wins</t>
        </is>
      </c>
      <c r="I4" s="70" t="inlineStr">
        <is>
          <t>Acting Winner(s)</t>
        </is>
      </c>
      <c r="J4" s="70" t="inlineStr">
        <is>
          <t>Directing Noms</t>
        </is>
      </c>
      <c r="K4" s="70" t="inlineStr">
        <is>
          <t>Directing Wins</t>
        </is>
      </c>
      <c r="L4" s="70" t="inlineStr">
        <is>
          <t>Director Winner(s)</t>
        </is>
      </c>
      <c r="M4" s="70" t="inlineStr">
        <is>
          <t>Writing Noms</t>
        </is>
      </c>
      <c r="N4" s="70" t="inlineStr">
        <is>
          <t>Writing Wins</t>
        </is>
      </c>
      <c r="O4" s="70" t="inlineStr">
        <is>
          <t>Animated Feature</t>
        </is>
      </c>
      <c r="P4" s="70" t="inlineStr">
        <is>
          <t>Winning Categories</t>
        </is>
      </c>
      <c r="Q4" s="70" t="inlineStr">
        <is>
          <t>All Nominated Categories</t>
        </is>
      </c>
      <c r="R4" s="70" t="inlineStr">
        <is>
          <t>Source</t>
        </is>
      </c>
    </row>
    <row r="5">
      <c r="A5" t="inlineStr">
        <is>
          <t>F0001</t>
        </is>
      </c>
      <c r="B5" t="inlineStr">
        <is>
          <t>Casino Royale</t>
        </is>
      </c>
      <c r="C5" t="inlineStr">
        <is>
          <t>2006</t>
        </is>
      </c>
      <c r="D5" t="n">
        <v>0</v>
      </c>
      <c r="E5" t="n">
        <v>0</v>
      </c>
      <c r="G5" t="n">
        <v>0</v>
      </c>
      <c r="H5" t="n">
        <v>0</v>
      </c>
      <c r="I5" s="64" t="n"/>
      <c r="J5" s="64" t="n">
        <v>0</v>
      </c>
      <c r="K5" s="64" t="n">
        <v>0</v>
      </c>
      <c r="L5" s="64" t="n"/>
      <c r="M5" s="64" t="n">
        <v>0</v>
      </c>
      <c r="N5" s="64" t="n">
        <v>0</v>
      </c>
      <c r="O5" s="64" t="n"/>
      <c r="P5" s="64" t="n"/>
      <c r="Q5" s="64" t="n"/>
      <c r="R5" s="64" t="inlineStr">
        <is>
          <t>https://github.com/DLu/oscar_data</t>
        </is>
      </c>
    </row>
    <row r="6">
      <c r="A6" t="inlineStr">
        <is>
          <t>F0002</t>
        </is>
      </c>
      <c r="B6" t="inlineStr">
        <is>
          <t>Quantum of Solace</t>
        </is>
      </c>
      <c r="C6" t="inlineStr">
        <is>
          <t>2008</t>
        </is>
      </c>
      <c r="D6" t="n">
        <v>0</v>
      </c>
      <c r="E6" t="n">
        <v>0</v>
      </c>
      <c r="G6" t="n">
        <v>0</v>
      </c>
      <c r="H6" t="n">
        <v>0</v>
      </c>
      <c r="I6" s="64" t="n"/>
      <c r="J6" s="64" t="n">
        <v>0</v>
      </c>
      <c r="K6" s="64" t="n">
        <v>0</v>
      </c>
      <c r="L6" s="64" t="n"/>
      <c r="M6" s="64" t="n">
        <v>0</v>
      </c>
      <c r="N6" s="64" t="n">
        <v>0</v>
      </c>
      <c r="O6" s="64" t="n"/>
      <c r="P6" s="64" t="n"/>
      <c r="Q6" s="64" t="n"/>
      <c r="R6" s="64" t="inlineStr">
        <is>
          <t>https://github.com/DLu/oscar_data</t>
        </is>
      </c>
    </row>
    <row r="7" ht="30" customHeight="1" s="95">
      <c r="A7" t="inlineStr">
        <is>
          <t>F0003</t>
        </is>
      </c>
      <c r="B7" t="inlineStr">
        <is>
          <t>Skyfall</t>
        </is>
      </c>
      <c r="C7" t="inlineStr">
        <is>
          <t>2012</t>
        </is>
      </c>
      <c r="D7" t="n">
        <v>5</v>
      </c>
      <c r="E7" t="n">
        <v>2</v>
      </c>
      <c r="G7" t="n">
        <v>0</v>
      </c>
      <c r="H7" t="n">
        <v>0</v>
      </c>
      <c r="I7" s="64" t="n"/>
      <c r="J7" s="64" t="n">
        <v>0</v>
      </c>
      <c r="K7" s="64" t="n">
        <v>0</v>
      </c>
      <c r="L7" s="64" t="n"/>
      <c r="M7" s="64" t="n">
        <v>0</v>
      </c>
      <c r="N7" s="64" t="n">
        <v>0</v>
      </c>
      <c r="O7" s="64" t="n"/>
      <c r="P7" s="64" t="inlineStr">
        <is>
          <t>MUSIC (Original Song); SOUND EDITING</t>
        </is>
      </c>
      <c r="Q7" s="64" t="inlineStr">
        <is>
          <t>CINEMATOGRAPHY; MUSIC (Original Score); MUSIC (Original Song); SOUND EDITING; SOUND MIXING</t>
        </is>
      </c>
      <c r="R7" s="64" t="inlineStr">
        <is>
          <t>https://github.com/DLu/oscar_data</t>
        </is>
      </c>
    </row>
    <row r="8">
      <c r="A8" t="inlineStr">
        <is>
          <t>F0004</t>
        </is>
      </c>
      <c r="B8" t="inlineStr">
        <is>
          <t>Spectre</t>
        </is>
      </c>
      <c r="C8" t="inlineStr">
        <is>
          <t>2015</t>
        </is>
      </c>
      <c r="D8" t="n">
        <v>1</v>
      </c>
      <c r="E8" t="n">
        <v>1</v>
      </c>
      <c r="G8" t="n">
        <v>0</v>
      </c>
      <c r="H8" t="n">
        <v>0</v>
      </c>
      <c r="I8" s="64" t="n"/>
      <c r="J8" s="64" t="n">
        <v>0</v>
      </c>
      <c r="K8" s="64" t="n">
        <v>0</v>
      </c>
      <c r="L8" s="64" t="n"/>
      <c r="M8" s="64" t="n">
        <v>0</v>
      </c>
      <c r="N8" s="64" t="n">
        <v>0</v>
      </c>
      <c r="O8" s="64" t="n"/>
      <c r="P8" s="64" t="inlineStr">
        <is>
          <t>MUSIC (Original Song)</t>
        </is>
      </c>
      <c r="Q8" s="64" t="inlineStr">
        <is>
          <t>MUSIC (Original Song)</t>
        </is>
      </c>
      <c r="R8" s="64" t="inlineStr">
        <is>
          <t>https://github.com/DLu/oscar_data</t>
        </is>
      </c>
    </row>
    <row r="9">
      <c r="A9" t="inlineStr">
        <is>
          <t>F0005</t>
        </is>
      </c>
      <c r="B9" t="inlineStr">
        <is>
          <t>No Time to Die</t>
        </is>
      </c>
      <c r="C9" t="inlineStr">
        <is>
          <t>2021</t>
        </is>
      </c>
      <c r="D9" t="n">
        <v>3</v>
      </c>
      <c r="E9" t="n">
        <v>1</v>
      </c>
      <c r="G9" t="n">
        <v>0</v>
      </c>
      <c r="H9" t="n">
        <v>0</v>
      </c>
      <c r="I9" s="64" t="n"/>
      <c r="J9" s="64" t="n">
        <v>0</v>
      </c>
      <c r="K9" s="64" t="n">
        <v>0</v>
      </c>
      <c r="L9" s="64" t="n"/>
      <c r="M9" s="64" t="n">
        <v>0</v>
      </c>
      <c r="N9" s="64" t="n">
        <v>0</v>
      </c>
      <c r="O9" s="64" t="n"/>
      <c r="P9" s="64" t="inlineStr">
        <is>
          <t>MUSIC (Original Song)</t>
        </is>
      </c>
      <c r="Q9" s="64" t="inlineStr">
        <is>
          <t>MUSIC (Original Song); SOUND MIXING; VISUAL EFFECTS</t>
        </is>
      </c>
      <c r="R9" s="64" t="inlineStr">
        <is>
          <t>https://github.com/DLu/oscar_data</t>
        </is>
      </c>
    </row>
    <row r="10">
      <c r="A10" t="inlineStr">
        <is>
          <t>F0006</t>
        </is>
      </c>
      <c r="B10" t="inlineStr">
        <is>
          <t>2012</t>
        </is>
      </c>
      <c r="C10" t="inlineStr">
        <is>
          <t>2009</t>
        </is>
      </c>
      <c r="D10" t="n">
        <v>0</v>
      </c>
      <c r="E10" t="n">
        <v>0</v>
      </c>
      <c r="G10" t="n">
        <v>0</v>
      </c>
      <c r="H10" t="n">
        <v>0</v>
      </c>
      <c r="I10" s="64" t="n"/>
      <c r="J10" s="64" t="n">
        <v>0</v>
      </c>
      <c r="K10" s="64" t="n">
        <v>0</v>
      </c>
      <c r="L10" s="64" t="n"/>
      <c r="M10" s="64" t="n">
        <v>0</v>
      </c>
      <c r="N10" s="64" t="n">
        <v>0</v>
      </c>
      <c r="O10" s="64" t="n"/>
      <c r="P10" s="64" t="n"/>
      <c r="Q10" s="64" t="n"/>
      <c r="R10" s="64" t="inlineStr">
        <is>
          <t>https://github.com/DLu/oscar_data</t>
        </is>
      </c>
    </row>
    <row r="11">
      <c r="A11" t="inlineStr">
        <is>
          <t>F0007</t>
        </is>
      </c>
      <c r="B11" t="inlineStr">
        <is>
          <t>21 Jump Street</t>
        </is>
      </c>
      <c r="C11" t="inlineStr">
        <is>
          <t>2012</t>
        </is>
      </c>
      <c r="D11" t="n">
        <v>0</v>
      </c>
      <c r="E11" t="n">
        <v>0</v>
      </c>
      <c r="G11" t="n">
        <v>0</v>
      </c>
      <c r="H11" t="n">
        <v>0</v>
      </c>
      <c r="I11" s="64" t="n"/>
      <c r="J11" s="64" t="n">
        <v>0</v>
      </c>
      <c r="K11" s="64" t="n">
        <v>0</v>
      </c>
      <c r="L11" s="64" t="n"/>
      <c r="M11" s="64" t="n">
        <v>0</v>
      </c>
      <c r="N11" s="64" t="n">
        <v>0</v>
      </c>
      <c r="O11" s="64" t="n"/>
      <c r="P11" s="64" t="n"/>
      <c r="Q11" s="64" t="n"/>
      <c r="R11" s="64" t="inlineStr">
        <is>
          <t>https://github.com/DLu/oscar_data</t>
        </is>
      </c>
    </row>
    <row r="12">
      <c r="A12" t="inlineStr">
        <is>
          <t>F0008</t>
        </is>
      </c>
      <c r="B12" t="inlineStr">
        <is>
          <t>22 Jump Street</t>
        </is>
      </c>
      <c r="C12" t="inlineStr">
        <is>
          <t>2014</t>
        </is>
      </c>
      <c r="D12" t="n">
        <v>0</v>
      </c>
      <c r="E12" t="n">
        <v>0</v>
      </c>
      <c r="G12" t="n">
        <v>0</v>
      </c>
      <c r="H12" t="n">
        <v>0</v>
      </c>
      <c r="I12" s="64" t="n"/>
      <c r="J12" s="64" t="n">
        <v>0</v>
      </c>
      <c r="K12" s="64" t="n">
        <v>0</v>
      </c>
      <c r="L12" s="64" t="n"/>
      <c r="M12" s="64" t="n">
        <v>0</v>
      </c>
      <c r="N12" s="64" t="n">
        <v>0</v>
      </c>
      <c r="O12" s="64" t="n"/>
      <c r="P12" s="64" t="n"/>
      <c r="Q12" s="64" t="n"/>
      <c r="R12" s="64" t="inlineStr">
        <is>
          <t>https://github.com/DLu/oscar_data</t>
        </is>
      </c>
    </row>
    <row r="13">
      <c r="A13" t="inlineStr">
        <is>
          <t>F0009</t>
        </is>
      </c>
      <c r="B13" t="inlineStr">
        <is>
          <t>30 Minutes or Less</t>
        </is>
      </c>
      <c r="C13" t="inlineStr">
        <is>
          <t>2011</t>
        </is>
      </c>
      <c r="D13" t="n">
        <v>0</v>
      </c>
      <c r="E13" t="n">
        <v>0</v>
      </c>
      <c r="G13" t="n">
        <v>0</v>
      </c>
      <c r="H13" t="n">
        <v>0</v>
      </c>
      <c r="I13" s="64" t="n"/>
      <c r="J13" s="64" t="n">
        <v>0</v>
      </c>
      <c r="K13" s="64" t="n">
        <v>0</v>
      </c>
      <c r="L13" s="64" t="n"/>
      <c r="M13" s="64" t="n">
        <v>0</v>
      </c>
      <c r="N13" s="64" t="n">
        <v>0</v>
      </c>
      <c r="O13" s="64" t="n"/>
      <c r="P13" s="64" t="n"/>
      <c r="Q13" s="64" t="n"/>
      <c r="R13" s="64" t="inlineStr">
        <is>
          <t>https://github.com/DLu/oscar_data</t>
        </is>
      </c>
    </row>
    <row r="14">
      <c r="A14" t="inlineStr">
        <is>
          <t>F0010</t>
        </is>
      </c>
      <c r="B14" t="inlineStr">
        <is>
          <t>44 Inch Chest</t>
        </is>
      </c>
      <c r="C14" t="inlineStr">
        <is>
          <t>2009</t>
        </is>
      </c>
      <c r="D14" t="n">
        <v>0</v>
      </c>
      <c r="E14" t="n">
        <v>0</v>
      </c>
      <c r="G14" t="n">
        <v>0</v>
      </c>
      <c r="H14" t="n">
        <v>0</v>
      </c>
      <c r="I14" s="64" t="n"/>
      <c r="J14" s="64" t="n">
        <v>0</v>
      </c>
      <c r="K14" s="64" t="n">
        <v>0</v>
      </c>
      <c r="L14" s="64" t="n"/>
      <c r="M14" s="64" t="n">
        <v>0</v>
      </c>
      <c r="N14" s="64" t="n">
        <v>0</v>
      </c>
      <c r="O14" s="64" t="n"/>
      <c r="P14" s="64" t="n"/>
      <c r="Q14" s="64" t="n"/>
      <c r="R14" s="64" t="inlineStr">
        <is>
          <t>https://github.com/DLu/oscar_data</t>
        </is>
      </c>
    </row>
    <row r="15">
      <c r="A15" t="inlineStr">
        <is>
          <t>F0011</t>
        </is>
      </c>
      <c r="B15" t="inlineStr">
        <is>
          <t>50/50</t>
        </is>
      </c>
      <c r="C15" t="inlineStr">
        <is>
          <t>2011</t>
        </is>
      </c>
      <c r="D15" t="n">
        <v>0</v>
      </c>
      <c r="E15" t="n">
        <v>0</v>
      </c>
      <c r="G15" t="n">
        <v>0</v>
      </c>
      <c r="H15" t="n">
        <v>0</v>
      </c>
      <c r="I15" s="64" t="n"/>
      <c r="J15" s="64" t="n">
        <v>0</v>
      </c>
      <c r="K15" s="64" t="n">
        <v>0</v>
      </c>
      <c r="L15" s="64" t="n"/>
      <c r="M15" s="64" t="n">
        <v>0</v>
      </c>
      <c r="N15" s="64" t="n">
        <v>0</v>
      </c>
      <c r="O15" s="64" t="n"/>
      <c r="P15" s="64" t="n"/>
      <c r="Q15" s="64" t="n"/>
      <c r="R15" s="64" t="inlineStr">
        <is>
          <t>https://github.com/DLu/oscar_data</t>
        </is>
      </c>
    </row>
    <row r="16">
      <c r="A16" t="inlineStr">
        <is>
          <t>F0012</t>
        </is>
      </c>
      <c r="B16" t="inlineStr">
        <is>
          <t>A Bug's Life</t>
        </is>
      </c>
      <c r="C16" t="inlineStr">
        <is>
          <t>1998</t>
        </is>
      </c>
      <c r="D16" t="n">
        <v>1</v>
      </c>
      <c r="E16" t="n">
        <v>0</v>
      </c>
      <c r="G16" t="n">
        <v>0</v>
      </c>
      <c r="H16" t="n">
        <v>0</v>
      </c>
      <c r="I16" s="64" t="n"/>
      <c r="J16" s="64" t="n">
        <v>0</v>
      </c>
      <c r="K16" s="64" t="n">
        <v>0</v>
      </c>
      <c r="L16" s="64" t="n"/>
      <c r="M16" s="64" t="n">
        <v>0</v>
      </c>
      <c r="N16" s="64" t="n">
        <v>0</v>
      </c>
      <c r="O16" s="64" t="n"/>
      <c r="P16" s="64" t="n"/>
      <c r="Q16" s="64" t="inlineStr">
        <is>
          <t>MUSIC (Original Song Score or Adaptation Score)</t>
        </is>
      </c>
      <c r="R16" s="64" t="inlineStr">
        <is>
          <t>https://github.com/DLu/oscar_data</t>
        </is>
      </c>
    </row>
    <row r="17">
      <c r="A17" t="inlineStr">
        <is>
          <t>F0013</t>
        </is>
      </c>
      <c r="B17" t="inlineStr">
        <is>
          <t>The Accountant</t>
        </is>
      </c>
      <c r="C17" t="inlineStr">
        <is>
          <t>2016</t>
        </is>
      </c>
      <c r="D17" t="n">
        <v>0</v>
      </c>
      <c r="E17" t="n">
        <v>0</v>
      </c>
      <c r="G17" t="n">
        <v>0</v>
      </c>
      <c r="H17" t="n">
        <v>0</v>
      </c>
      <c r="I17" s="64" t="n"/>
      <c r="J17" s="64" t="n">
        <v>0</v>
      </c>
      <c r="K17" s="64" t="n">
        <v>0</v>
      </c>
      <c r="L17" s="64" t="n"/>
      <c r="M17" s="64" t="n">
        <v>0</v>
      </c>
      <c r="N17" s="64" t="n">
        <v>0</v>
      </c>
      <c r="O17" s="64" t="n"/>
      <c r="P17" s="64" t="n"/>
      <c r="Q17" s="64" t="n"/>
      <c r="R17" s="64" t="inlineStr">
        <is>
          <t>https://github.com/DLu/oscar_data</t>
        </is>
      </c>
    </row>
    <row r="18">
      <c r="A18" t="inlineStr">
        <is>
          <t>F0014</t>
        </is>
      </c>
      <c r="B18" t="inlineStr">
        <is>
          <t>Alan Partridge: Alpha Papa</t>
        </is>
      </c>
      <c r="C18" t="inlineStr">
        <is>
          <t>2013</t>
        </is>
      </c>
      <c r="D18" t="n">
        <v>0</v>
      </c>
      <c r="E18" t="n">
        <v>0</v>
      </c>
      <c r="G18" t="n">
        <v>0</v>
      </c>
      <c r="H18" t="n">
        <v>0</v>
      </c>
      <c r="I18" s="64" t="n"/>
      <c r="J18" s="64" t="n">
        <v>0</v>
      </c>
      <c r="K18" s="64" t="n">
        <v>0</v>
      </c>
      <c r="L18" s="64" t="n"/>
      <c r="M18" s="64" t="n">
        <v>0</v>
      </c>
      <c r="N18" s="64" t="n">
        <v>0</v>
      </c>
      <c r="O18" s="64" t="n"/>
      <c r="P18" s="64" t="n"/>
      <c r="Q18" s="64" t="n"/>
      <c r="R18" s="64" t="inlineStr">
        <is>
          <t>https://github.com/DLu/oscar_data</t>
        </is>
      </c>
    </row>
    <row r="19">
      <c r="A19" t="inlineStr">
        <is>
          <t>F0015</t>
        </is>
      </c>
      <c r="B19" t="inlineStr">
        <is>
          <t>Alien</t>
        </is>
      </c>
      <c r="C19" t="inlineStr">
        <is>
          <t>1979</t>
        </is>
      </c>
      <c r="D19" t="n">
        <v>2</v>
      </c>
      <c r="E19" t="n">
        <v>1</v>
      </c>
      <c r="G19" t="n">
        <v>0</v>
      </c>
      <c r="H19" t="n">
        <v>0</v>
      </c>
      <c r="I19" s="64" t="n"/>
      <c r="J19" s="64" t="n">
        <v>0</v>
      </c>
      <c r="K19" s="64" t="n">
        <v>0</v>
      </c>
      <c r="L19" s="64" t="n"/>
      <c r="M19" s="64" t="n">
        <v>0</v>
      </c>
      <c r="N19" s="64" t="n">
        <v>0</v>
      </c>
      <c r="O19" s="64" t="n"/>
      <c r="P19" s="64" t="inlineStr">
        <is>
          <t>VISUAL EFFECTS</t>
        </is>
      </c>
      <c r="Q19" s="64" t="inlineStr">
        <is>
          <t>ART DIRECTION; VISUAL EFFECTS</t>
        </is>
      </c>
      <c r="R19" s="64" t="inlineStr">
        <is>
          <t>https://github.com/DLu/oscar_data</t>
        </is>
      </c>
    </row>
    <row r="20" ht="30" customHeight="1" s="95">
      <c r="A20" t="inlineStr">
        <is>
          <t>F0016</t>
        </is>
      </c>
      <c r="B20" t="inlineStr">
        <is>
          <t>Aliens</t>
        </is>
      </c>
      <c r="C20" t="inlineStr">
        <is>
          <t>1986</t>
        </is>
      </c>
      <c r="D20" t="n">
        <v>7</v>
      </c>
      <c r="E20" t="n">
        <v>2</v>
      </c>
      <c r="G20" t="n">
        <v>1</v>
      </c>
      <c r="H20" t="n">
        <v>0</v>
      </c>
      <c r="I20" s="64" t="n"/>
      <c r="J20" s="64" t="n">
        <v>0</v>
      </c>
      <c r="K20" s="64" t="n">
        <v>0</v>
      </c>
      <c r="L20" s="64" t="n"/>
      <c r="M20" s="64" t="n">
        <v>0</v>
      </c>
      <c r="N20" s="64" t="n">
        <v>0</v>
      </c>
      <c r="O20" s="64" t="n"/>
      <c r="P20" s="64" t="inlineStr">
        <is>
          <t>SOUND EDITING; VISUAL EFFECTS</t>
        </is>
      </c>
      <c r="Q20" s="64" t="inlineStr">
        <is>
          <t>ACTRESS IN A LEADING ROLE; ART DIRECTION; FILM EDITING; MUSIC (Original Score); SOUND MIXING; SOUND EDITING; VISUAL EFFECTS</t>
        </is>
      </c>
      <c r="R20" s="64" t="inlineStr">
        <is>
          <t>https://github.com/DLu/oscar_data</t>
        </is>
      </c>
    </row>
    <row r="21">
      <c r="A21" t="inlineStr">
        <is>
          <t>F0017</t>
        </is>
      </c>
      <c r="B21" t="inlineStr">
        <is>
          <t>Alien³</t>
        </is>
      </c>
      <c r="C21" t="inlineStr">
        <is>
          <t>1992</t>
        </is>
      </c>
      <c r="D21" t="n">
        <v>0</v>
      </c>
      <c r="E21" t="n">
        <v>0</v>
      </c>
      <c r="G21" t="n">
        <v>0</v>
      </c>
      <c r="H21" t="n">
        <v>0</v>
      </c>
      <c r="I21" s="64" t="n"/>
      <c r="J21" s="64" t="n">
        <v>0</v>
      </c>
      <c r="K21" s="64" t="n">
        <v>0</v>
      </c>
      <c r="L21" s="64" t="n"/>
      <c r="M21" s="64" t="n">
        <v>0</v>
      </c>
      <c r="N21" s="64" t="n">
        <v>0</v>
      </c>
      <c r="O21" s="64" t="n"/>
      <c r="P21" s="64" t="n"/>
      <c r="Q21" s="64" t="n"/>
      <c r="R21" s="64" t="inlineStr">
        <is>
          <t>https://github.com/DLu/oscar_data</t>
        </is>
      </c>
    </row>
    <row r="22">
      <c r="A22" t="inlineStr">
        <is>
          <t>F0018</t>
        </is>
      </c>
      <c r="B22" t="inlineStr">
        <is>
          <t>Alien Resurrection</t>
        </is>
      </c>
      <c r="C22" t="inlineStr">
        <is>
          <t>1997</t>
        </is>
      </c>
      <c r="D22" t="n">
        <v>0</v>
      </c>
      <c r="E22" t="n">
        <v>0</v>
      </c>
      <c r="G22" t="n">
        <v>0</v>
      </c>
      <c r="H22" t="n">
        <v>0</v>
      </c>
      <c r="I22" s="64" t="n"/>
      <c r="J22" s="64" t="n">
        <v>0</v>
      </c>
      <c r="K22" s="64" t="n">
        <v>0</v>
      </c>
      <c r="L22" s="64" t="n"/>
      <c r="M22" s="64" t="n">
        <v>0</v>
      </c>
      <c r="N22" s="64" t="n">
        <v>0</v>
      </c>
      <c r="O22" s="64" t="n"/>
      <c r="P22" s="64" t="n"/>
      <c r="Q22" s="64" t="n"/>
      <c r="R22" s="64" t="inlineStr">
        <is>
          <t>https://github.com/DLu/oscar_data</t>
        </is>
      </c>
    </row>
    <row r="23">
      <c r="A23" t="inlineStr">
        <is>
          <t>F0019</t>
        </is>
      </c>
      <c r="B23" t="inlineStr">
        <is>
          <t>The Amazing Spider-Man</t>
        </is>
      </c>
      <c r="C23" t="inlineStr">
        <is>
          <t>2012</t>
        </is>
      </c>
      <c r="D23" t="n">
        <v>0</v>
      </c>
      <c r="E23" t="n">
        <v>0</v>
      </c>
      <c r="G23" t="n">
        <v>0</v>
      </c>
      <c r="H23" t="n">
        <v>0</v>
      </c>
      <c r="I23" s="64" t="n"/>
      <c r="J23" s="64" t="n">
        <v>0</v>
      </c>
      <c r="K23" s="64" t="n">
        <v>0</v>
      </c>
      <c r="L23" s="64" t="n"/>
      <c r="M23" s="64" t="n">
        <v>0</v>
      </c>
      <c r="N23" s="64" t="n">
        <v>0</v>
      </c>
      <c r="O23" s="64" t="n"/>
      <c r="P23" s="64" t="n"/>
      <c r="Q23" s="64" t="n"/>
      <c r="R23" s="64" t="inlineStr">
        <is>
          <t>https://github.com/DLu/oscar_data</t>
        </is>
      </c>
    </row>
    <row r="24" ht="60" customHeight="1" s="95">
      <c r="A24" t="inlineStr">
        <is>
          <t>F0020</t>
        </is>
      </c>
      <c r="B24" t="inlineStr">
        <is>
          <t>American Hustle</t>
        </is>
      </c>
      <c r="C24" t="inlineStr">
        <is>
          <t>2013</t>
        </is>
      </c>
      <c r="D24" t="n">
        <v>10</v>
      </c>
      <c r="E24" t="n">
        <v>0</v>
      </c>
      <c r="F24" t="inlineStr">
        <is>
          <t>Nominated</t>
        </is>
      </c>
      <c r="G24" t="n">
        <v>4</v>
      </c>
      <c r="H24" t="n">
        <v>0</v>
      </c>
      <c r="I24" s="64" t="n"/>
      <c r="J24" s="64" t="n">
        <v>1</v>
      </c>
      <c r="K24" s="64" t="n">
        <v>0</v>
      </c>
      <c r="L24" s="64" t="n"/>
      <c r="M24" s="64" t="n">
        <v>1</v>
      </c>
      <c r="N24" s="64" t="n">
        <v>0</v>
      </c>
      <c r="O24" s="64" t="n"/>
      <c r="P24" s="64" t="n"/>
      <c r="Q24" s="64" t="inlineStr">
        <is>
          <t>ACTOR IN A LEADING ROLE; ACTOR IN A SUPPORTING ROLE; ACTRESS IN A LEADING ROLE; ACTRESS IN A SUPPORTING ROLE; COSTUME DESIGN; DIRECTING; FILM EDITING; BEST PICTURE; ART DIRECTION; WRITING (Original Screenplay)</t>
        </is>
      </c>
      <c r="R24" s="64" t="inlineStr">
        <is>
          <t>https://github.com/DLu/oscar_data</t>
        </is>
      </c>
    </row>
    <row r="25">
      <c r="A25" t="inlineStr">
        <is>
          <t>F0021</t>
        </is>
      </c>
      <c r="B25" t="inlineStr">
        <is>
          <t>A Million Ways to Die in the West</t>
        </is>
      </c>
      <c r="C25" t="inlineStr">
        <is>
          <t>2014</t>
        </is>
      </c>
      <c r="D25" t="n">
        <v>0</v>
      </c>
      <c r="E25" t="n">
        <v>0</v>
      </c>
      <c r="G25" t="n">
        <v>0</v>
      </c>
      <c r="H25" t="n">
        <v>0</v>
      </c>
      <c r="I25" s="64" t="n"/>
      <c r="J25" s="64" t="n">
        <v>0</v>
      </c>
      <c r="K25" s="64" t="n">
        <v>0</v>
      </c>
      <c r="L25" s="64" t="n"/>
      <c r="M25" s="64" t="n">
        <v>0</v>
      </c>
      <c r="N25" s="64" t="n">
        <v>0</v>
      </c>
      <c r="O25" s="64" t="n"/>
      <c r="P25" s="64" t="n"/>
      <c r="Q25" s="64" t="n"/>
      <c r="R25" s="64" t="inlineStr">
        <is>
          <t>https://github.com/DLu/oscar_data</t>
        </is>
      </c>
    </row>
    <row r="26">
      <c r="A26" t="inlineStr">
        <is>
          <t>F0022</t>
        </is>
      </c>
      <c r="B26" t="inlineStr">
        <is>
          <t>Anchorman: The Legend of Ron Burgundy</t>
        </is>
      </c>
      <c r="C26" t="inlineStr">
        <is>
          <t>2004</t>
        </is>
      </c>
      <c r="D26" t="n">
        <v>0</v>
      </c>
      <c r="E26" t="n">
        <v>0</v>
      </c>
      <c r="G26" t="n">
        <v>0</v>
      </c>
      <c r="H26" t="n">
        <v>0</v>
      </c>
      <c r="I26" s="64" t="n"/>
      <c r="J26" s="64" t="n">
        <v>0</v>
      </c>
      <c r="K26" s="64" t="n">
        <v>0</v>
      </c>
      <c r="L26" s="64" t="n"/>
      <c r="M26" s="64" t="n">
        <v>0</v>
      </c>
      <c r="N26" s="64" t="n">
        <v>0</v>
      </c>
      <c r="O26" s="64" t="n"/>
      <c r="P26" s="64" t="n"/>
      <c r="Q26" s="64" t="n"/>
      <c r="R26" s="64" t="inlineStr">
        <is>
          <t>https://github.com/DLu/oscar_data</t>
        </is>
      </c>
    </row>
    <row r="27">
      <c r="A27" t="inlineStr">
        <is>
          <t>F0023</t>
        </is>
      </c>
      <c r="B27" t="inlineStr">
        <is>
          <t>Angels &amp; Demons</t>
        </is>
      </c>
      <c r="C27" t="inlineStr">
        <is>
          <t>2009</t>
        </is>
      </c>
      <c r="D27" t="n">
        <v>0</v>
      </c>
      <c r="E27" t="n">
        <v>0</v>
      </c>
      <c r="G27" t="n">
        <v>0</v>
      </c>
      <c r="H27" t="n">
        <v>0</v>
      </c>
      <c r="I27" s="64" t="n"/>
      <c r="J27" s="64" t="n">
        <v>0</v>
      </c>
      <c r="K27" s="64" t="n">
        <v>0</v>
      </c>
      <c r="L27" s="64" t="n"/>
      <c r="M27" s="64" t="n">
        <v>0</v>
      </c>
      <c r="N27" s="64" t="n">
        <v>0</v>
      </c>
      <c r="O27" s="64" t="n"/>
      <c r="P27" s="64" t="n"/>
      <c r="Q27" s="64" t="n"/>
      <c r="R27" s="64" t="inlineStr">
        <is>
          <t>https://github.com/DLu/oscar_data</t>
        </is>
      </c>
    </row>
    <row r="28">
      <c r="A28" t="inlineStr">
        <is>
          <t>F0024</t>
        </is>
      </c>
      <c r="B28" t="inlineStr">
        <is>
          <t>Anuvahood</t>
        </is>
      </c>
      <c r="C28" t="inlineStr">
        <is>
          <t>2011</t>
        </is>
      </c>
      <c r="D28" t="n">
        <v>0</v>
      </c>
      <c r="E28" t="n">
        <v>0</v>
      </c>
      <c r="G28" t="n">
        <v>0</v>
      </c>
      <c r="H28" t="n">
        <v>0</v>
      </c>
      <c r="I28" s="64" t="n"/>
      <c r="J28" s="64" t="n">
        <v>0</v>
      </c>
      <c r="K28" s="64" t="n">
        <v>0</v>
      </c>
      <c r="L28" s="64" t="n"/>
      <c r="M28" s="64" t="n">
        <v>0</v>
      </c>
      <c r="N28" s="64" t="n">
        <v>0</v>
      </c>
      <c r="O28" s="64" t="n"/>
      <c r="P28" s="64" t="n"/>
      <c r="Q28" s="64" t="n"/>
      <c r="R28" s="64" t="inlineStr">
        <is>
          <t>https://github.com/DLu/oscar_data</t>
        </is>
      </c>
    </row>
    <row r="29" ht="45" customHeight="1" s="95">
      <c r="A29" t="inlineStr">
        <is>
          <t>F0025</t>
        </is>
      </c>
      <c r="B29" t="inlineStr">
        <is>
          <t>Argo</t>
        </is>
      </c>
      <c r="C29" t="inlineStr">
        <is>
          <t>2012</t>
        </is>
      </c>
      <c r="D29" t="n">
        <v>7</v>
      </c>
      <c r="E29" t="n">
        <v>3</v>
      </c>
      <c r="F29" t="inlineStr">
        <is>
          <t>Winner</t>
        </is>
      </c>
      <c r="G29" t="n">
        <v>1</v>
      </c>
      <c r="H29" t="n">
        <v>0</v>
      </c>
      <c r="I29" s="64" t="n"/>
      <c r="J29" s="64" t="n">
        <v>0</v>
      </c>
      <c r="K29" s="64" t="n">
        <v>0</v>
      </c>
      <c r="L29" s="64" t="n"/>
      <c r="M29" s="64" t="n">
        <v>1</v>
      </c>
      <c r="N29" s="64" t="n">
        <v>1</v>
      </c>
      <c r="O29" s="64" t="n"/>
      <c r="P29" s="64" t="inlineStr">
        <is>
          <t>FILM EDITING; BEST PICTURE; WRITING (Adapted Screenplay)</t>
        </is>
      </c>
      <c r="Q29" s="64" t="inlineStr">
        <is>
          <t>ACTOR IN A SUPPORTING ROLE; FILM EDITING; MUSIC (Original Score); BEST PICTURE; SOUND EDITING; SOUND MIXING; WRITING (Adapted Screenplay)</t>
        </is>
      </c>
      <c r="R29" s="64" t="inlineStr">
        <is>
          <t>https://github.com/DLu/oscar_data</t>
        </is>
      </c>
    </row>
    <row r="30">
      <c r="A30" t="inlineStr">
        <is>
          <t>F0026</t>
        </is>
      </c>
      <c r="B30" t="inlineStr">
        <is>
          <t>The A-Team</t>
        </is>
      </c>
      <c r="C30" t="inlineStr">
        <is>
          <t>2010</t>
        </is>
      </c>
      <c r="D30" t="n">
        <v>0</v>
      </c>
      <c r="E30" t="n">
        <v>0</v>
      </c>
      <c r="G30" t="n">
        <v>0</v>
      </c>
      <c r="H30" t="n">
        <v>0</v>
      </c>
      <c r="I30" s="64" t="n"/>
      <c r="J30" s="64" t="n">
        <v>0</v>
      </c>
      <c r="K30" s="64" t="n">
        <v>0</v>
      </c>
      <c r="L30" s="64" t="n"/>
      <c r="M30" s="64" t="n">
        <v>0</v>
      </c>
      <c r="N30" s="64" t="n">
        <v>0</v>
      </c>
      <c r="O30" s="64" t="n"/>
      <c r="P30" s="64" t="n"/>
      <c r="Q30" s="64" t="n"/>
      <c r="R30" s="64" t="inlineStr">
        <is>
          <t>https://github.com/DLu/oscar_data</t>
        </is>
      </c>
    </row>
    <row r="31">
      <c r="A31" t="inlineStr">
        <is>
          <t>F0027</t>
        </is>
      </c>
      <c r="B31" t="inlineStr">
        <is>
          <t>Attack the Block</t>
        </is>
      </c>
      <c r="C31" t="inlineStr">
        <is>
          <t>2011</t>
        </is>
      </c>
      <c r="D31" t="n">
        <v>0</v>
      </c>
      <c r="E31" t="n">
        <v>0</v>
      </c>
      <c r="G31" t="n">
        <v>0</v>
      </c>
      <c r="H31" t="n">
        <v>0</v>
      </c>
      <c r="I31" s="64" t="n"/>
      <c r="J31" s="64" t="n">
        <v>0</v>
      </c>
      <c r="K31" s="64" t="n">
        <v>0</v>
      </c>
      <c r="L31" s="64" t="n"/>
      <c r="M31" s="64" t="n">
        <v>0</v>
      </c>
      <c r="N31" s="64" t="n">
        <v>0</v>
      </c>
      <c r="O31" s="64" t="n"/>
      <c r="P31" s="64" t="n"/>
      <c r="Q31" s="64" t="n"/>
      <c r="R31" s="64" t="inlineStr">
        <is>
          <t>https://github.com/DLu/oscar_data</t>
        </is>
      </c>
    </row>
    <row r="32" ht="45" customHeight="1" s="95">
      <c r="A32" t="inlineStr">
        <is>
          <t>F0028</t>
        </is>
      </c>
      <c r="B32" t="inlineStr">
        <is>
          <t>Avatar</t>
        </is>
      </c>
      <c r="C32" t="inlineStr">
        <is>
          <t>2009</t>
        </is>
      </c>
      <c r="D32" t="n">
        <v>9</v>
      </c>
      <c r="E32" t="n">
        <v>3</v>
      </c>
      <c r="F32" t="inlineStr">
        <is>
          <t>Nominated</t>
        </is>
      </c>
      <c r="G32" t="n">
        <v>0</v>
      </c>
      <c r="H32" t="n">
        <v>0</v>
      </c>
      <c r="I32" s="64" t="n"/>
      <c r="J32" s="64" t="n">
        <v>1</v>
      </c>
      <c r="K32" s="64" t="n">
        <v>0</v>
      </c>
      <c r="L32" s="64" t="n"/>
      <c r="M32" s="64" t="n">
        <v>0</v>
      </c>
      <c r="N32" s="64" t="n">
        <v>0</v>
      </c>
      <c r="O32" s="64" t="n"/>
      <c r="P32" s="64" t="inlineStr">
        <is>
          <t>ART DIRECTION; CINEMATOGRAPHY; VISUAL EFFECTS</t>
        </is>
      </c>
      <c r="Q32" s="64" t="inlineStr">
        <is>
          <t>ART DIRECTION; CINEMATOGRAPHY; DIRECTING; FILM EDITING; MUSIC (Original Score); BEST PICTURE; SOUND EDITING; SOUND MIXING; VISUAL EFFECTS</t>
        </is>
      </c>
      <c r="R32" s="64" t="inlineStr">
        <is>
          <t>https://github.com/DLu/oscar_data</t>
        </is>
      </c>
    </row>
    <row r="33">
      <c r="A33" t="inlineStr">
        <is>
          <t>F0029</t>
        </is>
      </c>
      <c r="B33" t="inlineStr">
        <is>
          <t>The Avengers</t>
        </is>
      </c>
      <c r="C33" t="inlineStr">
        <is>
          <t>2012</t>
        </is>
      </c>
      <c r="D33" t="n">
        <v>1</v>
      </c>
      <c r="E33" t="n">
        <v>0</v>
      </c>
      <c r="G33" t="n">
        <v>0</v>
      </c>
      <c r="H33" t="n">
        <v>0</v>
      </c>
      <c r="I33" s="64" t="n"/>
      <c r="J33" s="64" t="n">
        <v>0</v>
      </c>
      <c r="K33" s="64" t="n">
        <v>0</v>
      </c>
      <c r="L33" s="64" t="n"/>
      <c r="M33" s="64" t="n">
        <v>0</v>
      </c>
      <c r="N33" s="64" t="n">
        <v>0</v>
      </c>
      <c r="O33" s="64" t="n"/>
      <c r="P33" s="64" t="n"/>
      <c r="Q33" s="64" t="inlineStr">
        <is>
          <t>VISUAL EFFECTS</t>
        </is>
      </c>
      <c r="R33" s="64" t="inlineStr">
        <is>
          <t>https://github.com/DLu/oscar_data</t>
        </is>
      </c>
    </row>
    <row r="34">
      <c r="A34" t="inlineStr">
        <is>
          <t>F0030</t>
        </is>
      </c>
      <c r="B34" t="inlineStr">
        <is>
          <t>Avengers: Infinity War</t>
        </is>
      </c>
      <c r="C34" t="inlineStr">
        <is>
          <t>2018</t>
        </is>
      </c>
      <c r="D34" t="n">
        <v>1</v>
      </c>
      <c r="E34" t="n">
        <v>0</v>
      </c>
      <c r="G34" t="n">
        <v>0</v>
      </c>
      <c r="H34" t="n">
        <v>0</v>
      </c>
      <c r="I34" s="64" t="n"/>
      <c r="J34" s="64" t="n">
        <v>0</v>
      </c>
      <c r="K34" s="64" t="n">
        <v>0</v>
      </c>
      <c r="L34" s="64" t="n"/>
      <c r="M34" s="64" t="n">
        <v>0</v>
      </c>
      <c r="N34" s="64" t="n">
        <v>0</v>
      </c>
      <c r="O34" s="64" t="n"/>
      <c r="P34" s="64" t="n"/>
      <c r="Q34" s="64" t="inlineStr">
        <is>
          <t>VISUAL EFFECTS</t>
        </is>
      </c>
      <c r="R34" s="64" t="inlineStr">
        <is>
          <t>https://github.com/DLu/oscar_data</t>
        </is>
      </c>
    </row>
    <row r="35">
      <c r="A35" t="inlineStr">
        <is>
          <t>F0031</t>
        </is>
      </c>
      <c r="B35" t="inlineStr">
        <is>
          <t>Avengers: Endgame</t>
        </is>
      </c>
      <c r="C35" t="inlineStr">
        <is>
          <t>2019</t>
        </is>
      </c>
      <c r="D35" t="n">
        <v>1</v>
      </c>
      <c r="E35" t="n">
        <v>0</v>
      </c>
      <c r="G35" t="n">
        <v>0</v>
      </c>
      <c r="H35" t="n">
        <v>0</v>
      </c>
      <c r="I35" s="64" t="n"/>
      <c r="J35" s="64" t="n">
        <v>0</v>
      </c>
      <c r="K35" s="64" t="n">
        <v>0</v>
      </c>
      <c r="L35" s="64" t="n"/>
      <c r="M35" s="64" t="n">
        <v>0</v>
      </c>
      <c r="N35" s="64" t="n">
        <v>0</v>
      </c>
      <c r="O35" s="64" t="n"/>
      <c r="P35" s="64" t="n"/>
      <c r="Q35" s="64" t="inlineStr">
        <is>
          <t>VISUAL EFFECTS</t>
        </is>
      </c>
      <c r="R35" s="64" t="inlineStr">
        <is>
          <t>https://github.com/DLu/oscar_data</t>
        </is>
      </c>
    </row>
    <row r="36">
      <c r="A36" t="inlineStr">
        <is>
          <t>F0032</t>
        </is>
      </c>
      <c r="B36" t="inlineStr">
        <is>
          <t>Baby Driver</t>
        </is>
      </c>
      <c r="C36" t="inlineStr">
        <is>
          <t>2017</t>
        </is>
      </c>
      <c r="D36" t="n">
        <v>3</v>
      </c>
      <c r="E36" t="n">
        <v>0</v>
      </c>
      <c r="G36" t="n">
        <v>0</v>
      </c>
      <c r="H36" t="n">
        <v>0</v>
      </c>
      <c r="I36" s="64" t="n"/>
      <c r="J36" s="64" t="n">
        <v>0</v>
      </c>
      <c r="K36" s="64" t="n">
        <v>0</v>
      </c>
      <c r="L36" s="64" t="n"/>
      <c r="M36" s="64" t="n">
        <v>0</v>
      </c>
      <c r="N36" s="64" t="n">
        <v>0</v>
      </c>
      <c r="O36" s="64" t="n"/>
      <c r="P36" s="64" t="n"/>
      <c r="Q36" s="64" t="inlineStr">
        <is>
          <t>FILM EDITING; SOUND EDITING; SOUND MIXING</t>
        </is>
      </c>
      <c r="R36" s="64" t="inlineStr">
        <is>
          <t>https://github.com/DLu/oscar_data</t>
        </is>
      </c>
    </row>
    <row r="37" ht="30" customHeight="1" s="95">
      <c r="A37" t="inlineStr">
        <is>
          <t>F0033</t>
        </is>
      </c>
      <c r="B37" t="inlineStr">
        <is>
          <t>Back to the Future</t>
        </is>
      </c>
      <c r="C37" t="inlineStr">
        <is>
          <t>1985</t>
        </is>
      </c>
      <c r="D37" t="n">
        <v>4</v>
      </c>
      <c r="E37" t="n">
        <v>1</v>
      </c>
      <c r="G37" t="n">
        <v>0</v>
      </c>
      <c r="H37" t="n">
        <v>0</v>
      </c>
      <c r="I37" s="64" t="n"/>
      <c r="J37" s="64" t="n">
        <v>0</v>
      </c>
      <c r="K37" s="64" t="n">
        <v>0</v>
      </c>
      <c r="L37" s="64" t="n"/>
      <c r="M37" s="64" t="n">
        <v>1</v>
      </c>
      <c r="N37" s="64" t="n">
        <v>0</v>
      </c>
      <c r="O37" s="64" t="n"/>
      <c r="P37" s="64" t="inlineStr">
        <is>
          <t>SOUND EDITING</t>
        </is>
      </c>
      <c r="Q37" s="64" t="inlineStr">
        <is>
          <t>MUSIC (Original Song); SOUND MIXING; SOUND EDITING; WRITING (Original Screenplay)</t>
        </is>
      </c>
      <c r="R37" s="64" t="inlineStr">
        <is>
          <t>https://github.com/DLu/oscar_data</t>
        </is>
      </c>
    </row>
    <row r="38">
      <c r="A38" t="inlineStr">
        <is>
          <t>F0034</t>
        </is>
      </c>
      <c r="B38" t="inlineStr">
        <is>
          <t>Back to the Future Part II</t>
        </is>
      </c>
      <c r="C38" t="inlineStr">
        <is>
          <t>1989</t>
        </is>
      </c>
      <c r="D38" t="n">
        <v>1</v>
      </c>
      <c r="E38" t="n">
        <v>0</v>
      </c>
      <c r="G38" t="n">
        <v>0</v>
      </c>
      <c r="H38" t="n">
        <v>0</v>
      </c>
      <c r="I38" s="64" t="n"/>
      <c r="J38" s="64" t="n">
        <v>0</v>
      </c>
      <c r="K38" s="64" t="n">
        <v>0</v>
      </c>
      <c r="L38" s="64" t="n"/>
      <c r="M38" s="64" t="n">
        <v>0</v>
      </c>
      <c r="N38" s="64" t="n">
        <v>0</v>
      </c>
      <c r="O38" s="64" t="n"/>
      <c r="P38" s="64" t="n"/>
      <c r="Q38" s="64" t="inlineStr">
        <is>
          <t>VISUAL EFFECTS</t>
        </is>
      </c>
      <c r="R38" s="64" t="inlineStr">
        <is>
          <t>https://github.com/DLu/oscar_data</t>
        </is>
      </c>
    </row>
    <row r="39">
      <c r="A39" t="inlineStr">
        <is>
          <t>F0035</t>
        </is>
      </c>
      <c r="B39" t="inlineStr">
        <is>
          <t>Back to the Future Part III</t>
        </is>
      </c>
      <c r="C39" t="inlineStr">
        <is>
          <t>1990</t>
        </is>
      </c>
      <c r="D39" t="n">
        <v>0</v>
      </c>
      <c r="E39" t="n">
        <v>0</v>
      </c>
      <c r="G39" t="n">
        <v>0</v>
      </c>
      <c r="H39" t="n">
        <v>0</v>
      </c>
      <c r="I39" s="64" t="n"/>
      <c r="J39" s="64" t="n">
        <v>0</v>
      </c>
      <c r="K39" s="64" t="n">
        <v>0</v>
      </c>
      <c r="L39" s="64" t="n"/>
      <c r="M39" s="64" t="n">
        <v>0</v>
      </c>
      <c r="N39" s="64" t="n">
        <v>0</v>
      </c>
      <c r="O39" s="64" t="n"/>
      <c r="P39" s="64" t="n"/>
      <c r="Q39" s="64" t="n"/>
      <c r="R39" s="64" t="inlineStr">
        <is>
          <t>https://github.com/DLu/oscar_data</t>
        </is>
      </c>
    </row>
    <row r="40">
      <c r="A40" t="inlineStr">
        <is>
          <t>F0036</t>
        </is>
      </c>
      <c r="B40" t="inlineStr">
        <is>
          <t>Bad Boys</t>
        </is>
      </c>
      <c r="C40" t="inlineStr">
        <is>
          <t>1995</t>
        </is>
      </c>
      <c r="D40" t="n">
        <v>0</v>
      </c>
      <c r="E40" t="n">
        <v>0</v>
      </c>
      <c r="G40" t="n">
        <v>0</v>
      </c>
      <c r="H40" t="n">
        <v>0</v>
      </c>
      <c r="I40" s="64" t="n"/>
      <c r="J40" s="64" t="n">
        <v>0</v>
      </c>
      <c r="K40" s="64" t="n">
        <v>0</v>
      </c>
      <c r="L40" s="64" t="n"/>
      <c r="M40" s="64" t="n">
        <v>0</v>
      </c>
      <c r="N40" s="64" t="n">
        <v>0</v>
      </c>
      <c r="O40" s="64" t="n"/>
      <c r="P40" s="64" t="n"/>
      <c r="Q40" s="64" t="n"/>
      <c r="R40" s="64" t="inlineStr">
        <is>
          <t>https://github.com/DLu/oscar_data</t>
        </is>
      </c>
    </row>
    <row r="41">
      <c r="A41" t="inlineStr">
        <is>
          <t>F0037</t>
        </is>
      </c>
      <c r="B41" t="inlineStr">
        <is>
          <t>Bad Boys II</t>
        </is>
      </c>
      <c r="C41" t="inlineStr">
        <is>
          <t>2003</t>
        </is>
      </c>
      <c r="D41" t="n">
        <v>0</v>
      </c>
      <c r="E41" t="n">
        <v>0</v>
      </c>
      <c r="G41" t="n">
        <v>0</v>
      </c>
      <c r="H41" t="n">
        <v>0</v>
      </c>
      <c r="I41" s="64" t="n"/>
      <c r="J41" s="64" t="n">
        <v>0</v>
      </c>
      <c r="K41" s="64" t="n">
        <v>0</v>
      </c>
      <c r="L41" s="64" t="n"/>
      <c r="M41" s="64" t="n">
        <v>0</v>
      </c>
      <c r="N41" s="64" t="n">
        <v>0</v>
      </c>
      <c r="O41" s="64" t="n"/>
      <c r="P41" s="64" t="n"/>
      <c r="Q41" s="64" t="n"/>
      <c r="R41" s="64" t="inlineStr">
        <is>
          <t>https://github.com/DLu/oscar_data</t>
        </is>
      </c>
    </row>
    <row r="42">
      <c r="A42" t="inlineStr">
        <is>
          <t>F0038</t>
        </is>
      </c>
      <c r="B42" t="inlineStr">
        <is>
          <t>Bad Moms</t>
        </is>
      </c>
      <c r="C42" t="inlineStr">
        <is>
          <t>2016</t>
        </is>
      </c>
      <c r="D42" t="n">
        <v>0</v>
      </c>
      <c r="E42" t="n">
        <v>0</v>
      </c>
      <c r="G42" t="n">
        <v>0</v>
      </c>
      <c r="H42" t="n">
        <v>0</v>
      </c>
      <c r="I42" s="64" t="n"/>
      <c r="J42" s="64" t="n">
        <v>0</v>
      </c>
      <c r="K42" s="64" t="n">
        <v>0</v>
      </c>
      <c r="L42" s="64" t="n"/>
      <c r="M42" s="64" t="n">
        <v>0</v>
      </c>
      <c r="N42" s="64" t="n">
        <v>0</v>
      </c>
      <c r="O42" s="64" t="n"/>
      <c r="P42" s="64" t="n"/>
      <c r="Q42" s="64" t="n"/>
      <c r="R42" s="64" t="inlineStr">
        <is>
          <t>https://github.com/DLu/oscar_data</t>
        </is>
      </c>
    </row>
    <row r="43">
      <c r="A43" t="inlineStr">
        <is>
          <t>F0039</t>
        </is>
      </c>
      <c r="B43" t="inlineStr">
        <is>
          <t>Bad Teacher</t>
        </is>
      </c>
      <c r="C43" t="inlineStr">
        <is>
          <t>2011</t>
        </is>
      </c>
      <c r="D43" t="n">
        <v>0</v>
      </c>
      <c r="E43" t="n">
        <v>0</v>
      </c>
      <c r="G43" t="n">
        <v>0</v>
      </c>
      <c r="H43" t="n">
        <v>0</v>
      </c>
      <c r="I43" s="64" t="n"/>
      <c r="J43" s="64" t="n">
        <v>0</v>
      </c>
      <c r="K43" s="64" t="n">
        <v>0</v>
      </c>
      <c r="L43" s="64" t="n"/>
      <c r="M43" s="64" t="n">
        <v>0</v>
      </c>
      <c r="N43" s="64" t="n">
        <v>0</v>
      </c>
      <c r="O43" s="64" t="n"/>
      <c r="P43" s="64" t="n"/>
      <c r="Q43" s="64" t="n"/>
      <c r="R43" s="64" t="inlineStr">
        <is>
          <t>https://github.com/DLu/oscar_data</t>
        </is>
      </c>
    </row>
    <row r="44">
      <c r="A44" t="inlineStr">
        <is>
          <t>F0040</t>
        </is>
      </c>
      <c r="B44" t="inlineStr">
        <is>
          <t>The Bank Job</t>
        </is>
      </c>
      <c r="C44" t="inlineStr">
        <is>
          <t>2008</t>
        </is>
      </c>
      <c r="D44" t="n">
        <v>0</v>
      </c>
      <c r="E44" t="n">
        <v>0</v>
      </c>
      <c r="G44" t="n">
        <v>0</v>
      </c>
      <c r="H44" t="n">
        <v>0</v>
      </c>
      <c r="I44" s="64" t="n"/>
      <c r="J44" s="64" t="n">
        <v>0</v>
      </c>
      <c r="K44" s="64" t="n">
        <v>0</v>
      </c>
      <c r="L44" s="64" t="n"/>
      <c r="M44" s="64" t="n">
        <v>0</v>
      </c>
      <c r="N44" s="64" t="n">
        <v>0</v>
      </c>
      <c r="O44" s="64" t="n"/>
      <c r="P44" s="64" t="n"/>
      <c r="Q44" s="64" t="n"/>
      <c r="R44" s="64" t="inlineStr">
        <is>
          <t>https://github.com/DLu/oscar_data</t>
        </is>
      </c>
    </row>
    <row r="45" ht="45" customHeight="1" s="95">
      <c r="A45" t="inlineStr">
        <is>
          <t>F0041</t>
        </is>
      </c>
      <c r="B45" t="inlineStr">
        <is>
          <t>Barbie</t>
        </is>
      </c>
      <c r="C45" t="inlineStr">
        <is>
          <t>2023</t>
        </is>
      </c>
      <c r="D45" t="n">
        <v>8</v>
      </c>
      <c r="E45" t="n">
        <v>1</v>
      </c>
      <c r="F45" t="inlineStr">
        <is>
          <t>Nominated</t>
        </is>
      </c>
      <c r="G45" t="n">
        <v>2</v>
      </c>
      <c r="H45" t="n">
        <v>0</v>
      </c>
      <c r="I45" s="64" t="n"/>
      <c r="J45" s="64" t="n">
        <v>0</v>
      </c>
      <c r="K45" s="64" t="n">
        <v>0</v>
      </c>
      <c r="L45" s="64" t="n"/>
      <c r="M45" s="64" t="n">
        <v>1</v>
      </c>
      <c r="N45" s="64" t="n">
        <v>0</v>
      </c>
      <c r="O45" s="64" t="n"/>
      <c r="P45" s="64" t="inlineStr">
        <is>
          <t>MUSIC (Original Song)</t>
        </is>
      </c>
      <c r="Q45" s="64" t="inlineStr">
        <is>
          <t>ACTOR IN A SUPPORTING ROLE; ACTRESS IN A SUPPORTING ROLE; COSTUME DESIGN; MUSIC (Original Song); BEST PICTURE; ART DIRECTION; WRITING (Adapted Screenplay)</t>
        </is>
      </c>
      <c r="R45" s="64" t="inlineStr">
        <is>
          <t>https://github.com/DLu/oscar_data</t>
        </is>
      </c>
    </row>
    <row r="46">
      <c r="A46" t="inlineStr">
        <is>
          <t>F0042</t>
        </is>
      </c>
      <c r="B46" t="inlineStr">
        <is>
          <t>The Batman</t>
        </is>
      </c>
      <c r="C46" t="inlineStr">
        <is>
          <t>2022</t>
        </is>
      </c>
      <c r="D46" t="n">
        <v>3</v>
      </c>
      <c r="E46" t="n">
        <v>0</v>
      </c>
      <c r="G46" t="n">
        <v>0</v>
      </c>
      <c r="H46" t="n">
        <v>0</v>
      </c>
      <c r="I46" s="64" t="n"/>
      <c r="J46" s="64" t="n">
        <v>0</v>
      </c>
      <c r="K46" s="64" t="n">
        <v>0</v>
      </c>
      <c r="L46" s="64" t="n"/>
      <c r="M46" s="64" t="n">
        <v>0</v>
      </c>
      <c r="N46" s="64" t="n">
        <v>0</v>
      </c>
      <c r="O46" s="64" t="n"/>
      <c r="P46" s="64" t="n"/>
      <c r="Q46" s="64" t="inlineStr">
        <is>
          <t>MAKEUP AND HAIRSTYLING; SOUND MIXING; VISUAL EFFECTS</t>
        </is>
      </c>
      <c r="R46" s="64" t="inlineStr">
        <is>
          <t>https://github.com/DLu/oscar_data</t>
        </is>
      </c>
    </row>
    <row r="47">
      <c r="A47" t="inlineStr">
        <is>
          <t>F0043</t>
        </is>
      </c>
      <c r="B47" t="inlineStr">
        <is>
          <t>Batman Begins</t>
        </is>
      </c>
      <c r="C47" t="inlineStr">
        <is>
          <t>2005</t>
        </is>
      </c>
      <c r="D47" t="n">
        <v>1</v>
      </c>
      <c r="E47" t="n">
        <v>0</v>
      </c>
      <c r="G47" t="n">
        <v>0</v>
      </c>
      <c r="H47" t="n">
        <v>0</v>
      </c>
      <c r="I47" s="64" t="n"/>
      <c r="J47" s="64" t="n">
        <v>0</v>
      </c>
      <c r="K47" s="64" t="n">
        <v>0</v>
      </c>
      <c r="L47" s="64" t="n"/>
      <c r="M47" s="64" t="n">
        <v>0</v>
      </c>
      <c r="N47" s="64" t="n">
        <v>0</v>
      </c>
      <c r="O47" s="64" t="n"/>
      <c r="P47" s="64" t="n"/>
      <c r="Q47" s="64" t="inlineStr">
        <is>
          <t>CINEMATOGRAPHY</t>
        </is>
      </c>
      <c r="R47" s="64" t="inlineStr">
        <is>
          <t>https://github.com/DLu/oscar_data</t>
        </is>
      </c>
    </row>
    <row r="48" ht="45" customHeight="1" s="95">
      <c r="A48" t="inlineStr">
        <is>
          <t>F0044</t>
        </is>
      </c>
      <c r="B48" t="inlineStr">
        <is>
          <t>The Dark Knight</t>
        </is>
      </c>
      <c r="C48" t="inlineStr">
        <is>
          <t>2008</t>
        </is>
      </c>
      <c r="D48" t="n">
        <v>8</v>
      </c>
      <c r="E48" t="n">
        <v>2</v>
      </c>
      <c r="G48" t="n">
        <v>1</v>
      </c>
      <c r="H48" t="n">
        <v>1</v>
      </c>
      <c r="I48" s="64" t="inlineStr">
        <is>
          <t>Heath Ledger</t>
        </is>
      </c>
      <c r="J48" s="64" t="n">
        <v>0</v>
      </c>
      <c r="K48" s="64" t="n">
        <v>0</v>
      </c>
      <c r="L48" s="64" t="n"/>
      <c r="M48" s="64" t="n">
        <v>0</v>
      </c>
      <c r="N48" s="64" t="n">
        <v>0</v>
      </c>
      <c r="O48" s="64" t="n"/>
      <c r="P48" s="64" t="inlineStr">
        <is>
          <t>ACTOR IN A SUPPORTING ROLE; SOUND EDITING</t>
        </is>
      </c>
      <c r="Q48" s="64" t="inlineStr">
        <is>
          <t>ACTOR IN A SUPPORTING ROLE; ART DIRECTION; CINEMATOGRAPHY; FILM EDITING; MAKEUP AND HAIRSTYLING; SOUND EDITING; SOUND MIXING; VISUAL EFFECTS</t>
        </is>
      </c>
      <c r="R48" s="64" t="inlineStr">
        <is>
          <t>https://github.com/DLu/oscar_data</t>
        </is>
      </c>
    </row>
    <row r="49">
      <c r="A49" t="inlineStr">
        <is>
          <t>F0045</t>
        </is>
      </c>
      <c r="B49" t="inlineStr">
        <is>
          <t>The Dark Knight Rises</t>
        </is>
      </c>
      <c r="C49" t="inlineStr">
        <is>
          <t>2012</t>
        </is>
      </c>
      <c r="D49" t="n">
        <v>0</v>
      </c>
      <c r="E49" t="n">
        <v>0</v>
      </c>
      <c r="G49" t="n">
        <v>0</v>
      </c>
      <c r="H49" t="n">
        <v>0</v>
      </c>
      <c r="I49" s="64" t="n"/>
      <c r="J49" s="64" t="n">
        <v>0</v>
      </c>
      <c r="K49" s="64" t="n">
        <v>0</v>
      </c>
      <c r="L49" s="64" t="n"/>
      <c r="M49" s="64" t="n">
        <v>0</v>
      </c>
      <c r="N49" s="64" t="n">
        <v>0</v>
      </c>
      <c r="O49" s="64" t="n"/>
      <c r="P49" s="64" t="n"/>
      <c r="Q49" s="64" t="n"/>
      <c r="R49" s="64" t="inlineStr">
        <is>
          <t>https://github.com/DLu/oscar_data</t>
        </is>
      </c>
    </row>
    <row r="50">
      <c r="A50" t="inlineStr">
        <is>
          <t>F0046</t>
        </is>
      </c>
      <c r="B50" t="inlineStr">
        <is>
          <t>Battle: Los Angeles</t>
        </is>
      </c>
      <c r="C50" t="inlineStr">
        <is>
          <t>2011</t>
        </is>
      </c>
      <c r="D50" t="n">
        <v>0</v>
      </c>
      <c r="E50" t="n">
        <v>0</v>
      </c>
      <c r="G50" t="n">
        <v>0</v>
      </c>
      <c r="H50" t="n">
        <v>0</v>
      </c>
      <c r="I50" s="64" t="n"/>
      <c r="J50" s="64" t="n">
        <v>0</v>
      </c>
      <c r="K50" s="64" t="n">
        <v>0</v>
      </c>
      <c r="L50" s="64" t="n"/>
      <c r="M50" s="64" t="n">
        <v>0</v>
      </c>
      <c r="N50" s="64" t="n">
        <v>0</v>
      </c>
      <c r="O50" s="64" t="n"/>
      <c r="P50" s="64" t="n"/>
      <c r="Q50" s="64" t="n"/>
      <c r="R50" s="64" t="inlineStr">
        <is>
          <t>https://github.com/DLu/oscar_data</t>
        </is>
      </c>
    </row>
    <row r="51">
      <c r="A51" t="inlineStr">
        <is>
          <t>F0047</t>
        </is>
      </c>
      <c r="B51" t="inlineStr">
        <is>
          <t>The BFG</t>
        </is>
      </c>
      <c r="C51" t="inlineStr">
        <is>
          <t>2016</t>
        </is>
      </c>
      <c r="D51" t="n">
        <v>0</v>
      </c>
      <c r="E51" t="n">
        <v>0</v>
      </c>
      <c r="G51" t="n">
        <v>0</v>
      </c>
      <c r="H51" t="n">
        <v>0</v>
      </c>
      <c r="I51" s="64" t="n"/>
      <c r="J51" s="64" t="n">
        <v>0</v>
      </c>
      <c r="K51" s="64" t="n">
        <v>0</v>
      </c>
      <c r="L51" s="64" t="n"/>
      <c r="M51" s="64" t="n">
        <v>0</v>
      </c>
      <c r="N51" s="64" t="n">
        <v>0</v>
      </c>
      <c r="O51" s="64" t="n"/>
      <c r="P51" s="64" t="n"/>
      <c r="Q51" s="64" t="n"/>
      <c r="R51" s="64" t="inlineStr">
        <is>
          <t>https://github.com/DLu/oscar_data</t>
        </is>
      </c>
    </row>
    <row r="52">
      <c r="A52" t="inlineStr">
        <is>
          <t>F0048</t>
        </is>
      </c>
      <c r="B52" t="inlineStr">
        <is>
          <t>Big Hero 6</t>
        </is>
      </c>
      <c r="C52" t="inlineStr">
        <is>
          <t>2014</t>
        </is>
      </c>
      <c r="D52" t="n">
        <v>1</v>
      </c>
      <c r="E52" t="n">
        <v>1</v>
      </c>
      <c r="G52" t="n">
        <v>0</v>
      </c>
      <c r="H52" t="n">
        <v>0</v>
      </c>
      <c r="I52" s="64" t="n"/>
      <c r="J52" s="64" t="n">
        <v>0</v>
      </c>
      <c r="K52" s="64" t="n">
        <v>0</v>
      </c>
      <c r="L52" s="64" t="n"/>
      <c r="M52" s="64" t="n">
        <v>0</v>
      </c>
      <c r="N52" s="64" t="n">
        <v>0</v>
      </c>
      <c r="O52" s="64" t="inlineStr">
        <is>
          <t>Winner</t>
        </is>
      </c>
      <c r="P52" s="64" t="inlineStr">
        <is>
          <t>ANIMATED FEATURE FILM</t>
        </is>
      </c>
      <c r="Q52" s="64" t="inlineStr">
        <is>
          <t>ANIMATED FEATURE FILM</t>
        </is>
      </c>
      <c r="R52" s="64" t="inlineStr">
        <is>
          <t>https://github.com/DLu/oscar_data</t>
        </is>
      </c>
    </row>
    <row r="53">
      <c r="A53" t="inlineStr">
        <is>
          <t>F0049</t>
        </is>
      </c>
      <c r="B53" t="inlineStr">
        <is>
          <t>The Big Lebowski</t>
        </is>
      </c>
      <c r="C53" t="inlineStr">
        <is>
          <t>1998</t>
        </is>
      </c>
      <c r="D53" t="n">
        <v>0</v>
      </c>
      <c r="E53" t="n">
        <v>0</v>
      </c>
      <c r="G53" t="n">
        <v>0</v>
      </c>
      <c r="H53" t="n">
        <v>0</v>
      </c>
      <c r="I53" s="64" t="n"/>
      <c r="J53" s="64" t="n">
        <v>0</v>
      </c>
      <c r="K53" s="64" t="n">
        <v>0</v>
      </c>
      <c r="L53" s="64" t="n"/>
      <c r="M53" s="64" t="n">
        <v>0</v>
      </c>
      <c r="N53" s="64" t="n">
        <v>0</v>
      </c>
      <c r="O53" s="64" t="n"/>
      <c r="P53" s="64" t="n"/>
      <c r="Q53" s="64" t="n"/>
      <c r="R53" s="64" t="inlineStr">
        <is>
          <t>https://github.com/DLu/oscar_data</t>
        </is>
      </c>
    </row>
    <row r="54">
      <c r="A54" t="inlineStr">
        <is>
          <t>F0050</t>
        </is>
      </c>
      <c r="B54" t="inlineStr">
        <is>
          <t>Black Hawk Down</t>
        </is>
      </c>
      <c r="C54" t="inlineStr">
        <is>
          <t>2001</t>
        </is>
      </c>
      <c r="D54" t="n">
        <v>4</v>
      </c>
      <c r="E54" t="n">
        <v>2</v>
      </c>
      <c r="G54" t="n">
        <v>0</v>
      </c>
      <c r="H54" t="n">
        <v>0</v>
      </c>
      <c r="I54" s="64" t="n"/>
      <c r="J54" s="64" t="n">
        <v>1</v>
      </c>
      <c r="K54" s="64" t="n">
        <v>0</v>
      </c>
      <c r="L54" s="64" t="n"/>
      <c r="M54" s="64" t="n">
        <v>0</v>
      </c>
      <c r="N54" s="64" t="n">
        <v>0</v>
      </c>
      <c r="O54" s="64" t="n"/>
      <c r="P54" s="64" t="inlineStr">
        <is>
          <t>FILM EDITING; SOUND MIXING</t>
        </is>
      </c>
      <c r="Q54" s="64" t="inlineStr">
        <is>
          <t>CINEMATOGRAPHY; DIRECTING; FILM EDITING; SOUND MIXING</t>
        </is>
      </c>
      <c r="R54" s="64" t="inlineStr">
        <is>
          <t>https://github.com/DLu/oscar_data</t>
        </is>
      </c>
    </row>
    <row r="55">
      <c r="A55" t="inlineStr">
        <is>
          <t>F0051</t>
        </is>
      </c>
      <c r="B55" t="inlineStr">
        <is>
          <t>Body of Lies</t>
        </is>
      </c>
      <c r="C55" t="inlineStr">
        <is>
          <t>2008</t>
        </is>
      </c>
      <c r="D55" t="n">
        <v>0</v>
      </c>
      <c r="E55" t="n">
        <v>0</v>
      </c>
      <c r="G55" t="n">
        <v>0</v>
      </c>
      <c r="H55" t="n">
        <v>0</v>
      </c>
      <c r="I55" s="64" t="n"/>
      <c r="J55" s="64" t="n">
        <v>0</v>
      </c>
      <c r="K55" s="64" t="n">
        <v>0</v>
      </c>
      <c r="L55" s="64" t="n"/>
      <c r="M55" s="64" t="n">
        <v>0</v>
      </c>
      <c r="N55" s="64" t="n">
        <v>0</v>
      </c>
      <c r="O55" s="64" t="n"/>
      <c r="P55" s="64" t="n"/>
      <c r="Q55" s="64" t="n"/>
      <c r="R55" s="64" t="inlineStr">
        <is>
          <t>https://github.com/DLu/oscar_data</t>
        </is>
      </c>
    </row>
    <row r="56" ht="30" customHeight="1" s="95">
      <c r="A56" t="inlineStr">
        <is>
          <t>F0052</t>
        </is>
      </c>
      <c r="B56" t="inlineStr">
        <is>
          <t>Bohemian Rhapsody</t>
        </is>
      </c>
      <c r="C56" t="inlineStr">
        <is>
          <t>2018</t>
        </is>
      </c>
      <c r="D56" t="n">
        <v>5</v>
      </c>
      <c r="E56" t="n">
        <v>4</v>
      </c>
      <c r="F56" t="inlineStr">
        <is>
          <t>Nominated</t>
        </is>
      </c>
      <c r="G56" t="n">
        <v>1</v>
      </c>
      <c r="H56" t="n">
        <v>1</v>
      </c>
      <c r="I56" s="64" t="inlineStr">
        <is>
          <t>Rami Malek</t>
        </is>
      </c>
      <c r="J56" s="64" t="n">
        <v>0</v>
      </c>
      <c r="K56" s="64" t="n">
        <v>0</v>
      </c>
      <c r="L56" s="64" t="n"/>
      <c r="M56" s="64" t="n">
        <v>0</v>
      </c>
      <c r="N56" s="64" t="n">
        <v>0</v>
      </c>
      <c r="O56" s="64" t="n"/>
      <c r="P56" s="64" t="inlineStr">
        <is>
          <t>ACTOR IN A LEADING ROLE; FILM EDITING; SOUND EDITING; SOUND MIXING</t>
        </is>
      </c>
      <c r="Q56" s="64" t="inlineStr">
        <is>
          <t>ACTOR IN A LEADING ROLE; FILM EDITING; BEST PICTURE; SOUND EDITING; SOUND MIXING</t>
        </is>
      </c>
      <c r="R56" s="64" t="inlineStr">
        <is>
          <t>https://github.com/DLu/oscar_data</t>
        </is>
      </c>
    </row>
    <row r="57">
      <c r="A57" t="inlineStr">
        <is>
          <t>F0053</t>
        </is>
      </c>
      <c r="B57" t="inlineStr">
        <is>
          <t>The Bourne Identity</t>
        </is>
      </c>
      <c r="C57" t="inlineStr">
        <is>
          <t>2002</t>
        </is>
      </c>
      <c r="D57" t="n">
        <v>0</v>
      </c>
      <c r="E57" t="n">
        <v>0</v>
      </c>
      <c r="G57" t="n">
        <v>0</v>
      </c>
      <c r="H57" t="n">
        <v>0</v>
      </c>
      <c r="I57" s="64" t="n"/>
      <c r="J57" s="64" t="n">
        <v>0</v>
      </c>
      <c r="K57" s="64" t="n">
        <v>0</v>
      </c>
      <c r="L57" s="64" t="n"/>
      <c r="M57" s="64" t="n">
        <v>0</v>
      </c>
      <c r="N57" s="64" t="n">
        <v>0</v>
      </c>
      <c r="O57" s="64" t="n"/>
      <c r="P57" s="64" t="n"/>
      <c r="Q57" s="64" t="n"/>
      <c r="R57" s="64" t="inlineStr">
        <is>
          <t>https://github.com/DLu/oscar_data</t>
        </is>
      </c>
    </row>
    <row r="58">
      <c r="A58" t="inlineStr">
        <is>
          <t>F0054</t>
        </is>
      </c>
      <c r="B58" t="inlineStr">
        <is>
          <t>The Bourne Supremacy</t>
        </is>
      </c>
      <c r="C58" t="inlineStr">
        <is>
          <t>2004</t>
        </is>
      </c>
      <c r="D58" t="n">
        <v>0</v>
      </c>
      <c r="E58" t="n">
        <v>0</v>
      </c>
      <c r="G58" t="n">
        <v>0</v>
      </c>
      <c r="H58" t="n">
        <v>0</v>
      </c>
      <c r="I58" s="64" t="n"/>
      <c r="J58" s="64" t="n">
        <v>0</v>
      </c>
      <c r="K58" s="64" t="n">
        <v>0</v>
      </c>
      <c r="L58" s="64" t="n"/>
      <c r="M58" s="64" t="n">
        <v>0</v>
      </c>
      <c r="N58" s="64" t="n">
        <v>0</v>
      </c>
      <c r="O58" s="64" t="n"/>
      <c r="P58" s="64" t="n"/>
      <c r="Q58" s="64" t="n"/>
      <c r="R58" s="64" t="inlineStr">
        <is>
          <t>https://github.com/DLu/oscar_data</t>
        </is>
      </c>
    </row>
    <row r="59">
      <c r="A59" t="inlineStr">
        <is>
          <t>F0055</t>
        </is>
      </c>
      <c r="B59" t="inlineStr">
        <is>
          <t>The Bourne Ultimatum</t>
        </is>
      </c>
      <c r="C59" t="inlineStr">
        <is>
          <t>2007</t>
        </is>
      </c>
      <c r="D59" t="n">
        <v>3</v>
      </c>
      <c r="E59" t="n">
        <v>3</v>
      </c>
      <c r="G59" t="n">
        <v>0</v>
      </c>
      <c r="H59" t="n">
        <v>0</v>
      </c>
      <c r="I59" s="64" t="n"/>
      <c r="J59" s="64" t="n">
        <v>0</v>
      </c>
      <c r="K59" s="64" t="n">
        <v>0</v>
      </c>
      <c r="L59" s="64" t="n"/>
      <c r="M59" s="64" t="n">
        <v>0</v>
      </c>
      <c r="N59" s="64" t="n">
        <v>0</v>
      </c>
      <c r="O59" s="64" t="n"/>
      <c r="P59" s="64" t="inlineStr">
        <is>
          <t>FILM EDITING; SOUND EDITING; SOUND MIXING</t>
        </is>
      </c>
      <c r="Q59" s="64" t="inlineStr">
        <is>
          <t>FILM EDITING; SOUND EDITING; SOUND MIXING</t>
        </is>
      </c>
      <c r="R59" s="64" t="inlineStr">
        <is>
          <t>https://github.com/DLu/oscar_data</t>
        </is>
      </c>
    </row>
    <row r="60">
      <c r="A60" t="inlineStr">
        <is>
          <t>F0056</t>
        </is>
      </c>
      <c r="B60" t="inlineStr">
        <is>
          <t>The Bourne Legacy</t>
        </is>
      </c>
      <c r="C60" t="inlineStr">
        <is>
          <t>2012</t>
        </is>
      </c>
      <c r="D60" t="n">
        <v>0</v>
      </c>
      <c r="E60" t="n">
        <v>0</v>
      </c>
      <c r="G60" t="n">
        <v>0</v>
      </c>
      <c r="H60" t="n">
        <v>0</v>
      </c>
      <c r="I60" s="64" t="n"/>
      <c r="J60" s="64" t="n">
        <v>0</v>
      </c>
      <c r="K60" s="64" t="n">
        <v>0</v>
      </c>
      <c r="L60" s="64" t="n"/>
      <c r="M60" s="64" t="n">
        <v>0</v>
      </c>
      <c r="N60" s="64" t="n">
        <v>0</v>
      </c>
      <c r="O60" s="64" t="n"/>
      <c r="P60" s="64" t="n"/>
      <c r="Q60" s="64" t="n"/>
      <c r="R60" s="64" t="inlineStr">
        <is>
          <t>https://github.com/DLu/oscar_data</t>
        </is>
      </c>
    </row>
    <row r="61">
      <c r="A61" t="inlineStr">
        <is>
          <t>F0057</t>
        </is>
      </c>
      <c r="B61" t="inlineStr">
        <is>
          <t>The Breakfast Club</t>
        </is>
      </c>
      <c r="C61" t="inlineStr">
        <is>
          <t>1985</t>
        </is>
      </c>
      <c r="D61" t="n">
        <v>0</v>
      </c>
      <c r="E61" t="n">
        <v>0</v>
      </c>
      <c r="G61" t="n">
        <v>0</v>
      </c>
      <c r="H61" t="n">
        <v>0</v>
      </c>
      <c r="I61" s="64" t="n"/>
      <c r="J61" s="64" t="n">
        <v>0</v>
      </c>
      <c r="K61" s="64" t="n">
        <v>0</v>
      </c>
      <c r="L61" s="64" t="n"/>
      <c r="M61" s="64" t="n">
        <v>0</v>
      </c>
      <c r="N61" s="64" t="n">
        <v>0</v>
      </c>
      <c r="O61" s="64" t="n"/>
      <c r="P61" s="64" t="n"/>
      <c r="Q61" s="64" t="n"/>
      <c r="R61" s="64" t="inlineStr">
        <is>
          <t>https://github.com/DLu/oscar_data</t>
        </is>
      </c>
    </row>
    <row r="62">
      <c r="A62" t="inlineStr">
        <is>
          <t>F0058</t>
        </is>
      </c>
      <c r="B62" t="inlineStr">
        <is>
          <t>Bridesmaids</t>
        </is>
      </c>
      <c r="C62" t="inlineStr">
        <is>
          <t>2011</t>
        </is>
      </c>
      <c r="D62" t="n">
        <v>2</v>
      </c>
      <c r="E62" t="n">
        <v>0</v>
      </c>
      <c r="G62" t="n">
        <v>1</v>
      </c>
      <c r="H62" t="n">
        <v>0</v>
      </c>
      <c r="I62" s="64" t="n"/>
      <c r="J62" s="64" t="n">
        <v>0</v>
      </c>
      <c r="K62" s="64" t="n">
        <v>0</v>
      </c>
      <c r="L62" s="64" t="n"/>
      <c r="M62" s="64" t="n">
        <v>1</v>
      </c>
      <c r="N62" s="64" t="n">
        <v>0</v>
      </c>
      <c r="O62" s="64" t="n"/>
      <c r="P62" s="64" t="n"/>
      <c r="Q62" s="64" t="inlineStr">
        <is>
          <t>ACTRESS IN A SUPPORTING ROLE; WRITING (Original Screenplay)</t>
        </is>
      </c>
      <c r="R62" s="64" t="inlineStr">
        <is>
          <t>https://github.com/DLu/oscar_data</t>
        </is>
      </c>
    </row>
    <row r="63">
      <c r="A63" t="inlineStr">
        <is>
          <t>F0059</t>
        </is>
      </c>
      <c r="B63" t="inlineStr">
        <is>
          <t>Brüno</t>
        </is>
      </c>
      <c r="C63" t="inlineStr">
        <is>
          <t>2009</t>
        </is>
      </c>
      <c r="D63" t="n">
        <v>0</v>
      </c>
      <c r="E63" t="n">
        <v>0</v>
      </c>
      <c r="G63" t="n">
        <v>0</v>
      </c>
      <c r="H63" t="n">
        <v>0</v>
      </c>
      <c r="I63" s="64" t="n"/>
      <c r="J63" s="64" t="n">
        <v>0</v>
      </c>
      <c r="K63" s="64" t="n">
        <v>0</v>
      </c>
      <c r="L63" s="64" t="n"/>
      <c r="M63" s="64" t="n">
        <v>0</v>
      </c>
      <c r="N63" s="64" t="n">
        <v>0</v>
      </c>
      <c r="O63" s="64" t="n"/>
      <c r="P63" s="64" t="n"/>
      <c r="Q63" s="64" t="n"/>
      <c r="R63" s="64" t="inlineStr">
        <is>
          <t>https://github.com/DLu/oscar_data</t>
        </is>
      </c>
    </row>
    <row r="64">
      <c r="A64" t="inlineStr">
        <is>
          <t>F0060</t>
        </is>
      </c>
      <c r="B64" t="inlineStr">
        <is>
          <t>The Bucket List</t>
        </is>
      </c>
      <c r="C64" t="inlineStr">
        <is>
          <t>2007</t>
        </is>
      </c>
      <c r="D64" t="n">
        <v>0</v>
      </c>
      <c r="E64" t="n">
        <v>0</v>
      </c>
      <c r="G64" t="n">
        <v>0</v>
      </c>
      <c r="H64" t="n">
        <v>0</v>
      </c>
      <c r="I64" s="64" t="n"/>
      <c r="J64" s="64" t="n">
        <v>0</v>
      </c>
      <c r="K64" s="64" t="n">
        <v>0</v>
      </c>
      <c r="L64" s="64" t="n"/>
      <c r="M64" s="64" t="n">
        <v>0</v>
      </c>
      <c r="N64" s="64" t="n">
        <v>0</v>
      </c>
      <c r="O64" s="64" t="n"/>
      <c r="P64" s="64" t="n"/>
      <c r="Q64" s="64" t="n"/>
      <c r="R64" s="64" t="inlineStr">
        <is>
          <t>https://github.com/DLu/oscar_data</t>
        </is>
      </c>
    </row>
    <row r="65">
      <c r="A65" t="inlineStr">
        <is>
          <t>F0061</t>
        </is>
      </c>
      <c r="B65" t="inlineStr">
        <is>
          <t>Bumblebee</t>
        </is>
      </c>
      <c r="C65" t="inlineStr">
        <is>
          <t>2018</t>
        </is>
      </c>
      <c r="D65" t="n">
        <v>0</v>
      </c>
      <c r="E65" t="n">
        <v>0</v>
      </c>
      <c r="G65" t="n">
        <v>0</v>
      </c>
      <c r="H65" t="n">
        <v>0</v>
      </c>
      <c r="I65" s="64" t="n"/>
      <c r="J65" s="64" t="n">
        <v>0</v>
      </c>
      <c r="K65" s="64" t="n">
        <v>0</v>
      </c>
      <c r="L65" s="64" t="n"/>
      <c r="M65" s="64" t="n">
        <v>0</v>
      </c>
      <c r="N65" s="64" t="n">
        <v>0</v>
      </c>
      <c r="O65" s="64" t="n"/>
      <c r="P65" s="64" t="n"/>
      <c r="Q65" s="64" t="n"/>
      <c r="R65" s="64" t="inlineStr">
        <is>
          <t>https://github.com/DLu/oscar_data</t>
        </is>
      </c>
    </row>
    <row r="66" ht="30" customHeight="1" s="95">
      <c r="A66" t="inlineStr">
        <is>
          <t>F0062</t>
        </is>
      </c>
      <c r="B66" t="inlineStr">
        <is>
          <t>Captain Phillips</t>
        </is>
      </c>
      <c r="C66" t="inlineStr">
        <is>
          <t>2013</t>
        </is>
      </c>
      <c r="D66" t="n">
        <v>6</v>
      </c>
      <c r="E66" t="n">
        <v>0</v>
      </c>
      <c r="F66" t="inlineStr">
        <is>
          <t>Nominated</t>
        </is>
      </c>
      <c r="G66" t="n">
        <v>1</v>
      </c>
      <c r="H66" t="n">
        <v>0</v>
      </c>
      <c r="I66" s="64" t="n"/>
      <c r="J66" s="64" t="n">
        <v>0</v>
      </c>
      <c r="K66" s="64" t="n">
        <v>0</v>
      </c>
      <c r="L66" s="64" t="n"/>
      <c r="M66" s="64" t="n">
        <v>1</v>
      </c>
      <c r="N66" s="64" t="n">
        <v>0</v>
      </c>
      <c r="O66" s="64" t="n"/>
      <c r="P66" s="64" t="n"/>
      <c r="Q66" s="64" t="inlineStr">
        <is>
          <t>ACTOR IN A SUPPORTING ROLE; FILM EDITING; BEST PICTURE; SOUND EDITING; SOUND MIXING; WRITING (Adapted Screenplay)</t>
        </is>
      </c>
      <c r="R66" s="64" t="inlineStr">
        <is>
          <t>https://github.com/DLu/oscar_data</t>
        </is>
      </c>
    </row>
    <row r="67">
      <c r="A67" t="inlineStr">
        <is>
          <t>F0063</t>
        </is>
      </c>
      <c r="B67" t="inlineStr">
        <is>
          <t>Catch.44</t>
        </is>
      </c>
      <c r="C67" t="inlineStr">
        <is>
          <t>2011</t>
        </is>
      </c>
      <c r="D67" t="n">
        <v>0</v>
      </c>
      <c r="E67" t="n">
        <v>0</v>
      </c>
      <c r="G67" t="n">
        <v>0</v>
      </c>
      <c r="H67" t="n">
        <v>0</v>
      </c>
      <c r="I67" s="64" t="n"/>
      <c r="J67" s="64" t="n">
        <v>0</v>
      </c>
      <c r="K67" s="64" t="n">
        <v>0</v>
      </c>
      <c r="L67" s="64" t="n"/>
      <c r="M67" s="64" t="n">
        <v>0</v>
      </c>
      <c r="N67" s="64" t="n">
        <v>0</v>
      </c>
      <c r="O67" s="64" t="n"/>
      <c r="P67" s="64" t="n"/>
      <c r="Q67" s="64" t="n"/>
      <c r="R67" s="64" t="inlineStr">
        <is>
          <t>https://github.com/DLu/oscar_data</t>
        </is>
      </c>
    </row>
    <row r="68">
      <c r="A68" t="inlineStr">
        <is>
          <t>F0064</t>
        </is>
      </c>
      <c r="B68" t="inlineStr">
        <is>
          <t>Catch Me If You Can</t>
        </is>
      </c>
      <c r="C68" t="inlineStr">
        <is>
          <t>2002</t>
        </is>
      </c>
      <c r="D68" t="n">
        <v>2</v>
      </c>
      <c r="E68" t="n">
        <v>0</v>
      </c>
      <c r="G68" t="n">
        <v>1</v>
      </c>
      <c r="H68" t="n">
        <v>0</v>
      </c>
      <c r="I68" s="64" t="n"/>
      <c r="J68" s="64" t="n">
        <v>0</v>
      </c>
      <c r="K68" s="64" t="n">
        <v>0</v>
      </c>
      <c r="L68" s="64" t="n"/>
      <c r="M68" s="64" t="n">
        <v>0</v>
      </c>
      <c r="N68" s="64" t="n">
        <v>0</v>
      </c>
      <c r="O68" s="64" t="n"/>
      <c r="P68" s="64" t="n"/>
      <c r="Q68" s="64" t="inlineStr">
        <is>
          <t>ACTOR IN A SUPPORTING ROLE; MUSIC (Original Score)</t>
        </is>
      </c>
      <c r="R68" s="64" t="inlineStr">
        <is>
          <t>https://github.com/DLu/oscar_data</t>
        </is>
      </c>
    </row>
    <row r="69">
      <c r="A69" t="inlineStr">
        <is>
          <t>F0065</t>
        </is>
      </c>
      <c r="B69" t="inlineStr">
        <is>
          <t>Chef</t>
        </is>
      </c>
      <c r="C69" t="inlineStr">
        <is>
          <t>2014</t>
        </is>
      </c>
      <c r="D69" t="n">
        <v>0</v>
      </c>
      <c r="E69" t="n">
        <v>0</v>
      </c>
      <c r="G69" t="n">
        <v>0</v>
      </c>
      <c r="H69" t="n">
        <v>0</v>
      </c>
      <c r="I69" s="64" t="n"/>
      <c r="J69" s="64" t="n">
        <v>0</v>
      </c>
      <c r="K69" s="64" t="n">
        <v>0</v>
      </c>
      <c r="L69" s="64" t="n"/>
      <c r="M69" s="64" t="n">
        <v>0</v>
      </c>
      <c r="N69" s="64" t="n">
        <v>0</v>
      </c>
      <c r="O69" s="64" t="n"/>
      <c r="P69" s="64" t="n"/>
      <c r="Q69" s="64" t="n"/>
      <c r="R69" s="64" t="inlineStr">
        <is>
          <t>https://github.com/DLu/oscar_data</t>
        </is>
      </c>
    </row>
    <row r="70">
      <c r="A70" t="inlineStr">
        <is>
          <t>F0066</t>
        </is>
      </c>
      <c r="B70" t="inlineStr">
        <is>
          <t>Clash of the Titans</t>
        </is>
      </c>
      <c r="C70" t="inlineStr">
        <is>
          <t>2010</t>
        </is>
      </c>
      <c r="D70" t="n">
        <v>0</v>
      </c>
      <c r="E70" t="n">
        <v>0</v>
      </c>
      <c r="G70" t="n">
        <v>0</v>
      </c>
      <c r="H70" t="n">
        <v>0</v>
      </c>
      <c r="I70" s="64" t="n"/>
      <c r="J70" s="64" t="n">
        <v>0</v>
      </c>
      <c r="K70" s="64" t="n">
        <v>0</v>
      </c>
      <c r="L70" s="64" t="n"/>
      <c r="M70" s="64" t="n">
        <v>0</v>
      </c>
      <c r="N70" s="64" t="n">
        <v>0</v>
      </c>
      <c r="O70" s="64" t="n"/>
      <c r="P70" s="64" t="n"/>
      <c r="Q70" s="64" t="n"/>
      <c r="R70" s="64" t="inlineStr">
        <is>
          <t>https://github.com/DLu/oscar_data</t>
        </is>
      </c>
    </row>
    <row r="71">
      <c r="A71" t="inlineStr">
        <is>
          <t>F0067</t>
        </is>
      </c>
      <c r="B71" t="inlineStr">
        <is>
          <t>Cloudy with a Chance of Meatballs 2</t>
        </is>
      </c>
      <c r="C71" t="inlineStr">
        <is>
          <t>2013</t>
        </is>
      </c>
      <c r="D71" t="n">
        <v>0</v>
      </c>
      <c r="E71" t="n">
        <v>0</v>
      </c>
      <c r="G71" t="n">
        <v>0</v>
      </c>
      <c r="H71" t="n">
        <v>0</v>
      </c>
      <c r="I71" s="64" t="n"/>
      <c r="J71" s="64" t="n">
        <v>0</v>
      </c>
      <c r="K71" s="64" t="n">
        <v>0</v>
      </c>
      <c r="L71" s="64" t="n"/>
      <c r="M71" s="64" t="n">
        <v>0</v>
      </c>
      <c r="N71" s="64" t="n">
        <v>0</v>
      </c>
      <c r="O71" s="64" t="n"/>
      <c r="P71" s="64" t="n"/>
      <c r="Q71" s="64" t="n"/>
      <c r="R71" s="64" t="inlineStr">
        <is>
          <t>https://github.com/DLu/oscar_data</t>
        </is>
      </c>
    </row>
    <row r="72">
      <c r="A72" t="inlineStr">
        <is>
          <t>F0068</t>
        </is>
      </c>
      <c r="B72" t="inlineStr">
        <is>
          <t>Con Air</t>
        </is>
      </c>
      <c r="C72" t="inlineStr">
        <is>
          <t>1997</t>
        </is>
      </c>
      <c r="D72" t="n">
        <v>2</v>
      </c>
      <c r="E72" t="n">
        <v>0</v>
      </c>
      <c r="G72" t="n">
        <v>0</v>
      </c>
      <c r="H72" t="n">
        <v>0</v>
      </c>
      <c r="I72" s="64" t="n"/>
      <c r="J72" s="64" t="n">
        <v>0</v>
      </c>
      <c r="K72" s="64" t="n">
        <v>0</v>
      </c>
      <c r="L72" s="64" t="n"/>
      <c r="M72" s="64" t="n">
        <v>0</v>
      </c>
      <c r="N72" s="64" t="n">
        <v>0</v>
      </c>
      <c r="O72" s="64" t="n"/>
      <c r="P72" s="64" t="n"/>
      <c r="Q72" s="64" t="inlineStr">
        <is>
          <t>MUSIC (Original Song); SOUND MIXING</t>
        </is>
      </c>
      <c r="R72" s="64" t="inlineStr">
        <is>
          <t>https://github.com/DLu/oscar_data</t>
        </is>
      </c>
    </row>
    <row r="73">
      <c r="A73" t="inlineStr">
        <is>
          <t>F0069</t>
        </is>
      </c>
      <c r="B73" t="inlineStr">
        <is>
          <t>Cop Out</t>
        </is>
      </c>
      <c r="C73" t="inlineStr">
        <is>
          <t>2010</t>
        </is>
      </c>
      <c r="D73" t="n">
        <v>0</v>
      </c>
      <c r="E73" t="n">
        <v>0</v>
      </c>
      <c r="G73" t="n">
        <v>0</v>
      </c>
      <c r="H73" t="n">
        <v>0</v>
      </c>
      <c r="I73" s="64" t="n"/>
      <c r="J73" s="64" t="n">
        <v>0</v>
      </c>
      <c r="K73" s="64" t="n">
        <v>0</v>
      </c>
      <c r="L73" s="64" t="n"/>
      <c r="M73" s="64" t="n">
        <v>0</v>
      </c>
      <c r="N73" s="64" t="n">
        <v>0</v>
      </c>
      <c r="O73" s="64" t="n"/>
      <c r="P73" s="64" t="n"/>
      <c r="Q73" s="64" t="n"/>
      <c r="R73" s="64" t="inlineStr">
        <is>
          <t>https://github.com/DLu/oscar_data</t>
        </is>
      </c>
    </row>
    <row r="74">
      <c r="A74" t="inlineStr">
        <is>
          <t>F0070</t>
        </is>
      </c>
      <c r="B74" t="inlineStr">
        <is>
          <t>Shaun of the Dead</t>
        </is>
      </c>
      <c r="C74" t="inlineStr">
        <is>
          <t>2004</t>
        </is>
      </c>
      <c r="D74" t="n">
        <v>0</v>
      </c>
      <c r="E74" t="n">
        <v>0</v>
      </c>
      <c r="G74" t="n">
        <v>0</v>
      </c>
      <c r="H74" t="n">
        <v>0</v>
      </c>
      <c r="I74" s="64" t="n"/>
      <c r="J74" s="64" t="n">
        <v>0</v>
      </c>
      <c r="K74" s="64" t="n">
        <v>0</v>
      </c>
      <c r="L74" s="64" t="n"/>
      <c r="M74" s="64" t="n">
        <v>0</v>
      </c>
      <c r="N74" s="64" t="n">
        <v>0</v>
      </c>
      <c r="O74" s="64" t="n"/>
      <c r="P74" s="64" t="n"/>
      <c r="Q74" s="64" t="n"/>
      <c r="R74" s="64" t="inlineStr">
        <is>
          <t>https://github.com/DLu/oscar_data</t>
        </is>
      </c>
    </row>
    <row r="75">
      <c r="A75" t="inlineStr">
        <is>
          <t>F0071</t>
        </is>
      </c>
      <c r="B75" t="inlineStr">
        <is>
          <t>Hot Fuzz</t>
        </is>
      </c>
      <c r="C75" t="inlineStr">
        <is>
          <t>2007</t>
        </is>
      </c>
      <c r="D75" t="n">
        <v>0</v>
      </c>
      <c r="E75" t="n">
        <v>0</v>
      </c>
      <c r="G75" t="n">
        <v>0</v>
      </c>
      <c r="H75" t="n">
        <v>0</v>
      </c>
      <c r="I75" s="64" t="n"/>
      <c r="J75" s="64" t="n">
        <v>0</v>
      </c>
      <c r="K75" s="64" t="n">
        <v>0</v>
      </c>
      <c r="L75" s="64" t="n"/>
      <c r="M75" s="64" t="n">
        <v>0</v>
      </c>
      <c r="N75" s="64" t="n">
        <v>0</v>
      </c>
      <c r="O75" s="64" t="n"/>
      <c r="P75" s="64" t="n"/>
      <c r="Q75" s="64" t="n"/>
      <c r="R75" s="64" t="inlineStr">
        <is>
          <t>https://github.com/DLu/oscar_data</t>
        </is>
      </c>
    </row>
    <row r="76">
      <c r="A76" t="inlineStr">
        <is>
          <t>F0072</t>
        </is>
      </c>
      <c r="B76" t="inlineStr">
        <is>
          <t>The World's End</t>
        </is>
      </c>
      <c r="C76" t="inlineStr">
        <is>
          <t>2013</t>
        </is>
      </c>
      <c r="D76" t="n">
        <v>0</v>
      </c>
      <c r="E76" t="n">
        <v>0</v>
      </c>
      <c r="G76" t="n">
        <v>0</v>
      </c>
      <c r="H76" t="n">
        <v>0</v>
      </c>
      <c r="I76" s="64" t="n"/>
      <c r="J76" s="64" t="n">
        <v>0</v>
      </c>
      <c r="K76" s="64" t="n">
        <v>0</v>
      </c>
      <c r="L76" s="64" t="n"/>
      <c r="M76" s="64" t="n">
        <v>0</v>
      </c>
      <c r="N76" s="64" t="n">
        <v>0</v>
      </c>
      <c r="O76" s="64" t="n"/>
      <c r="P76" s="64" t="n"/>
      <c r="Q76" s="64" t="n"/>
      <c r="R76" s="64" t="inlineStr">
        <is>
          <t>https://github.com/DLu/oscar_data</t>
        </is>
      </c>
    </row>
    <row r="77">
      <c r="A77" t="inlineStr">
        <is>
          <t>F0073</t>
        </is>
      </c>
      <c r="B77" t="inlineStr">
        <is>
          <t>Cowboys &amp; Aliens</t>
        </is>
      </c>
      <c r="C77" t="inlineStr">
        <is>
          <t>2011</t>
        </is>
      </c>
      <c r="D77" t="n">
        <v>0</v>
      </c>
      <c r="E77" t="n">
        <v>0</v>
      </c>
      <c r="G77" t="n">
        <v>0</v>
      </c>
      <c r="H77" t="n">
        <v>0</v>
      </c>
      <c r="I77" s="64" t="n"/>
      <c r="J77" s="64" t="n">
        <v>0</v>
      </c>
      <c r="K77" s="64" t="n">
        <v>0</v>
      </c>
      <c r="L77" s="64" t="n"/>
      <c r="M77" s="64" t="n">
        <v>0</v>
      </c>
      <c r="N77" s="64" t="n">
        <v>0</v>
      </c>
      <c r="O77" s="64" t="n"/>
      <c r="P77" s="64" t="n"/>
      <c r="Q77" s="64" t="n"/>
      <c r="R77" s="64" t="inlineStr">
        <is>
          <t>https://github.com/DLu/oscar_data</t>
        </is>
      </c>
    </row>
    <row r="78">
      <c r="A78" t="inlineStr">
        <is>
          <t>F0074</t>
        </is>
      </c>
      <c r="B78" t="inlineStr">
        <is>
          <t>Creed</t>
        </is>
      </c>
      <c r="C78" t="inlineStr">
        <is>
          <t>2015</t>
        </is>
      </c>
      <c r="D78" t="n">
        <v>1</v>
      </c>
      <c r="E78" t="n">
        <v>0</v>
      </c>
      <c r="G78" t="n">
        <v>1</v>
      </c>
      <c r="H78" t="n">
        <v>0</v>
      </c>
      <c r="I78" s="64" t="n"/>
      <c r="J78" s="64" t="n">
        <v>0</v>
      </c>
      <c r="K78" s="64" t="n">
        <v>0</v>
      </c>
      <c r="L78" s="64" t="n"/>
      <c r="M78" s="64" t="n">
        <v>0</v>
      </c>
      <c r="N78" s="64" t="n">
        <v>0</v>
      </c>
      <c r="O78" s="64" t="n"/>
      <c r="P78" s="64" t="n"/>
      <c r="Q78" s="64" t="inlineStr">
        <is>
          <t>ACTOR IN A SUPPORTING ROLE</t>
        </is>
      </c>
      <c r="R78" s="64" t="inlineStr">
        <is>
          <t>https://github.com/DLu/oscar_data</t>
        </is>
      </c>
    </row>
    <row r="79">
      <c r="A79" t="inlineStr">
        <is>
          <t>F0075</t>
        </is>
      </c>
      <c r="B79" t="inlineStr">
        <is>
          <t>The Croods</t>
        </is>
      </c>
      <c r="C79" t="inlineStr">
        <is>
          <t>2013</t>
        </is>
      </c>
      <c r="D79" t="n">
        <v>1</v>
      </c>
      <c r="E79" t="n">
        <v>0</v>
      </c>
      <c r="G79" t="n">
        <v>0</v>
      </c>
      <c r="H79" t="n">
        <v>0</v>
      </c>
      <c r="I79" s="64" t="n"/>
      <c r="J79" s="64" t="n">
        <v>0</v>
      </c>
      <c r="K79" s="64" t="n">
        <v>0</v>
      </c>
      <c r="L79" s="64" t="n"/>
      <c r="M79" s="64" t="n">
        <v>0</v>
      </c>
      <c r="N79" s="64" t="n">
        <v>0</v>
      </c>
      <c r="O79" s="64" t="inlineStr">
        <is>
          <t>Nominated</t>
        </is>
      </c>
      <c r="P79" s="64" t="n"/>
      <c r="Q79" s="64" t="inlineStr">
        <is>
          <t>ANIMATED FEATURE FILM</t>
        </is>
      </c>
      <c r="R79" s="64" t="inlineStr">
        <is>
          <t>https://github.com/DLu/oscar_data</t>
        </is>
      </c>
    </row>
    <row r="80">
      <c r="A80" t="inlineStr">
        <is>
          <t>F0076</t>
        </is>
      </c>
      <c r="B80" t="inlineStr">
        <is>
          <t>Deadpool</t>
        </is>
      </c>
      <c r="C80" t="inlineStr">
        <is>
          <t>2016</t>
        </is>
      </c>
      <c r="D80" t="n">
        <v>0</v>
      </c>
      <c r="E80" t="n">
        <v>0</v>
      </c>
      <c r="G80" t="n">
        <v>0</v>
      </c>
      <c r="H80" t="n">
        <v>0</v>
      </c>
      <c r="I80" s="64" t="n"/>
      <c r="J80" s="64" t="n">
        <v>0</v>
      </c>
      <c r="K80" s="64" t="n">
        <v>0</v>
      </c>
      <c r="L80" s="64" t="n"/>
      <c r="M80" s="64" t="n">
        <v>0</v>
      </c>
      <c r="N80" s="64" t="n">
        <v>0</v>
      </c>
      <c r="O80" s="64" t="n"/>
      <c r="P80" s="64" t="n"/>
      <c r="Q80" s="64" t="n"/>
      <c r="R80" s="64" t="inlineStr">
        <is>
          <t>https://github.com/DLu/oscar_data</t>
        </is>
      </c>
    </row>
    <row r="81">
      <c r="A81" t="inlineStr">
        <is>
          <t>F0077</t>
        </is>
      </c>
      <c r="B81" t="inlineStr">
        <is>
          <t>Deadpool 2</t>
        </is>
      </c>
      <c r="C81" t="inlineStr">
        <is>
          <t>2018</t>
        </is>
      </c>
      <c r="D81" t="n">
        <v>0</v>
      </c>
      <c r="E81" t="n">
        <v>0</v>
      </c>
      <c r="G81" t="n">
        <v>0</v>
      </c>
      <c r="H81" t="n">
        <v>0</v>
      </c>
      <c r="I81" s="64" t="n"/>
      <c r="J81" s="64" t="n">
        <v>0</v>
      </c>
      <c r="K81" s="64" t="n">
        <v>0</v>
      </c>
      <c r="L81" s="64" t="n"/>
      <c r="M81" s="64" t="n">
        <v>0</v>
      </c>
      <c r="N81" s="64" t="n">
        <v>0</v>
      </c>
      <c r="O81" s="64" t="n"/>
      <c r="P81" s="64" t="n"/>
      <c r="Q81" s="64" t="n"/>
      <c r="R81" s="64" t="inlineStr">
        <is>
          <t>https://github.com/DLu/oscar_data</t>
        </is>
      </c>
    </row>
    <row r="82">
      <c r="A82" t="inlineStr">
        <is>
          <t>F0078</t>
        </is>
      </c>
      <c r="B82" t="inlineStr">
        <is>
          <t>Deadpool &amp; Wolverine</t>
        </is>
      </c>
      <c r="C82" t="inlineStr">
        <is>
          <t>2024</t>
        </is>
      </c>
      <c r="D82" t="n">
        <v>0</v>
      </c>
      <c r="E82" t="n">
        <v>0</v>
      </c>
      <c r="G82" t="n">
        <v>0</v>
      </c>
      <c r="H82" t="n">
        <v>0</v>
      </c>
      <c r="I82" s="64" t="n"/>
      <c r="J82" s="64" t="n">
        <v>0</v>
      </c>
      <c r="K82" s="64" t="n">
        <v>0</v>
      </c>
      <c r="L82" s="64" t="n"/>
      <c r="M82" s="64" t="n">
        <v>0</v>
      </c>
      <c r="N82" s="64" t="n">
        <v>0</v>
      </c>
      <c r="O82" s="64" t="n"/>
      <c r="P82" s="64" t="n"/>
      <c r="Q82" s="64" t="n"/>
      <c r="R82" s="64" t="inlineStr">
        <is>
          <t>https://github.com/DLu/oscar_data</t>
        </is>
      </c>
    </row>
    <row r="83">
      <c r="A83" t="inlineStr">
        <is>
          <t>F0079</t>
        </is>
      </c>
      <c r="B83" t="inlineStr">
        <is>
          <t>Dear John</t>
        </is>
      </c>
      <c r="C83" t="inlineStr">
        <is>
          <t>2010</t>
        </is>
      </c>
      <c r="D83" t="n">
        <v>0</v>
      </c>
      <c r="E83" t="n">
        <v>0</v>
      </c>
      <c r="G83" t="n">
        <v>0</v>
      </c>
      <c r="H83" t="n">
        <v>0</v>
      </c>
      <c r="I83" s="64" t="n"/>
      <c r="J83" s="64" t="n">
        <v>0</v>
      </c>
      <c r="K83" s="64" t="n">
        <v>0</v>
      </c>
      <c r="L83" s="64" t="n"/>
      <c r="M83" s="64" t="n">
        <v>0</v>
      </c>
      <c r="N83" s="64" t="n">
        <v>0</v>
      </c>
      <c r="O83" s="64" t="n"/>
      <c r="P83" s="64" t="n"/>
      <c r="Q83" s="64" t="n"/>
      <c r="R83" s="64" t="inlineStr">
        <is>
          <t>https://github.com/DLu/oscar_data</t>
        </is>
      </c>
    </row>
    <row r="84">
      <c r="A84" t="inlineStr">
        <is>
          <t>F0080</t>
        </is>
      </c>
      <c r="B84" t="inlineStr">
        <is>
          <t>Delivery Man</t>
        </is>
      </c>
      <c r="C84" t="inlineStr">
        <is>
          <t>2013</t>
        </is>
      </c>
      <c r="D84" t="n">
        <v>0</v>
      </c>
      <c r="E84" t="n">
        <v>0</v>
      </c>
      <c r="G84" t="n">
        <v>0</v>
      </c>
      <c r="H84" t="n">
        <v>0</v>
      </c>
      <c r="I84" s="64" t="n"/>
      <c r="J84" s="64" t="n">
        <v>0</v>
      </c>
      <c r="K84" s="64" t="n">
        <v>0</v>
      </c>
      <c r="L84" s="64" t="n"/>
      <c r="M84" s="64" t="n">
        <v>0</v>
      </c>
      <c r="N84" s="64" t="n">
        <v>0</v>
      </c>
      <c r="O84" s="64" t="n"/>
      <c r="P84" s="64" t="n"/>
      <c r="Q84" s="64" t="n"/>
      <c r="R84" s="64" t="inlineStr">
        <is>
          <t>https://github.com/DLu/oscar_data</t>
        </is>
      </c>
    </row>
    <row r="85" ht="30" customHeight="1" s="95">
      <c r="A85" t="inlineStr">
        <is>
          <t>F0081</t>
        </is>
      </c>
      <c r="B85" t="inlineStr">
        <is>
          <t>The Departed</t>
        </is>
      </c>
      <c r="C85" t="inlineStr">
        <is>
          <t>2006</t>
        </is>
      </c>
      <c r="D85" t="n">
        <v>5</v>
      </c>
      <c r="E85" t="n">
        <v>4</v>
      </c>
      <c r="F85" t="inlineStr">
        <is>
          <t>Winner</t>
        </is>
      </c>
      <c r="G85" t="n">
        <v>1</v>
      </c>
      <c r="H85" t="n">
        <v>0</v>
      </c>
      <c r="I85" s="64" t="n"/>
      <c r="J85" s="64" t="n">
        <v>1</v>
      </c>
      <c r="K85" s="64" t="n">
        <v>1</v>
      </c>
      <c r="L85" s="64" t="inlineStr">
        <is>
          <t>Martin Scorsese</t>
        </is>
      </c>
      <c r="M85" s="64" t="n">
        <v>1</v>
      </c>
      <c r="N85" s="64" t="n">
        <v>1</v>
      </c>
      <c r="O85" s="64" t="n"/>
      <c r="P85" s="64" t="inlineStr">
        <is>
          <t>DIRECTING; FILM EDITING; BEST PICTURE; WRITING (Adapted Screenplay)</t>
        </is>
      </c>
      <c r="Q85" s="64" t="inlineStr">
        <is>
          <t>ACTOR IN A SUPPORTING ROLE; DIRECTING; FILM EDITING; BEST PICTURE; WRITING (Adapted Screenplay)</t>
        </is>
      </c>
      <c r="R85" s="64" t="inlineStr">
        <is>
          <t>https://github.com/DLu/oscar_data</t>
        </is>
      </c>
    </row>
    <row r="86">
      <c r="A86" t="inlineStr">
        <is>
          <t>F0082</t>
        </is>
      </c>
      <c r="B86" t="inlineStr">
        <is>
          <t>Despicable Me</t>
        </is>
      </c>
      <c r="C86" t="inlineStr">
        <is>
          <t>2010</t>
        </is>
      </c>
      <c r="D86" t="n">
        <v>0</v>
      </c>
      <c r="E86" t="n">
        <v>0</v>
      </c>
      <c r="G86" t="n">
        <v>0</v>
      </c>
      <c r="H86" t="n">
        <v>0</v>
      </c>
      <c r="I86" s="64" t="n"/>
      <c r="J86" s="64" t="n">
        <v>0</v>
      </c>
      <c r="K86" s="64" t="n">
        <v>0</v>
      </c>
      <c r="L86" s="64" t="n"/>
      <c r="M86" s="64" t="n">
        <v>0</v>
      </c>
      <c r="N86" s="64" t="n">
        <v>0</v>
      </c>
      <c r="O86" s="64" t="n"/>
      <c r="P86" s="64" t="n"/>
      <c r="Q86" s="64" t="n"/>
      <c r="R86" s="64" t="inlineStr">
        <is>
          <t>https://github.com/DLu/oscar_data</t>
        </is>
      </c>
    </row>
    <row r="87">
      <c r="A87" t="inlineStr">
        <is>
          <t>F0083</t>
        </is>
      </c>
      <c r="B87" t="inlineStr">
        <is>
          <t>Despicable Me 2</t>
        </is>
      </c>
      <c r="C87" t="inlineStr">
        <is>
          <t>2013</t>
        </is>
      </c>
      <c r="D87" t="n">
        <v>2</v>
      </c>
      <c r="E87" t="n">
        <v>0</v>
      </c>
      <c r="G87" t="n">
        <v>0</v>
      </c>
      <c r="H87" t="n">
        <v>0</v>
      </c>
      <c r="I87" s="64" t="n"/>
      <c r="J87" s="64" t="n">
        <v>0</v>
      </c>
      <c r="K87" s="64" t="n">
        <v>0</v>
      </c>
      <c r="L87" s="64" t="n"/>
      <c r="M87" s="64" t="n">
        <v>0</v>
      </c>
      <c r="N87" s="64" t="n">
        <v>0</v>
      </c>
      <c r="O87" s="64" t="inlineStr">
        <is>
          <t>Nominated</t>
        </is>
      </c>
      <c r="P87" s="64" t="n"/>
      <c r="Q87" s="64" t="inlineStr">
        <is>
          <t>ANIMATED FEATURE FILM; MUSIC (Original Song)</t>
        </is>
      </c>
      <c r="R87" s="64" t="inlineStr">
        <is>
          <t>https://github.com/DLu/oscar_data</t>
        </is>
      </c>
    </row>
    <row r="88">
      <c r="A88" t="inlineStr">
        <is>
          <t>F0084</t>
        </is>
      </c>
      <c r="B88" t="inlineStr">
        <is>
          <t>Despicable Me 3</t>
        </is>
      </c>
      <c r="C88" t="inlineStr">
        <is>
          <t>2017</t>
        </is>
      </c>
      <c r="D88" t="n">
        <v>0</v>
      </c>
      <c r="E88" t="n">
        <v>0</v>
      </c>
      <c r="G88" t="n">
        <v>0</v>
      </c>
      <c r="H88" t="n">
        <v>0</v>
      </c>
      <c r="I88" s="64" t="n"/>
      <c r="J88" s="64" t="n">
        <v>0</v>
      </c>
      <c r="K88" s="64" t="n">
        <v>0</v>
      </c>
      <c r="L88" s="64" t="n"/>
      <c r="M88" s="64" t="n">
        <v>0</v>
      </c>
      <c r="N88" s="64" t="n">
        <v>0</v>
      </c>
      <c r="O88" s="64" t="n"/>
      <c r="P88" s="64" t="n"/>
      <c r="Q88" s="64" t="n"/>
      <c r="R88" s="64" t="inlineStr">
        <is>
          <t>https://github.com/DLu/oscar_data</t>
        </is>
      </c>
    </row>
    <row r="89">
      <c r="A89" t="inlineStr">
        <is>
          <t>F0085</t>
        </is>
      </c>
      <c r="B89" t="inlineStr">
        <is>
          <t>The Dictator</t>
        </is>
      </c>
      <c r="C89" t="inlineStr">
        <is>
          <t>2012</t>
        </is>
      </c>
      <c r="D89" t="n">
        <v>0</v>
      </c>
      <c r="E89" t="n">
        <v>0</v>
      </c>
      <c r="G89" t="n">
        <v>0</v>
      </c>
      <c r="H89" t="n">
        <v>0</v>
      </c>
      <c r="I89" s="64" t="n"/>
      <c r="J89" s="64" t="n">
        <v>0</v>
      </c>
      <c r="K89" s="64" t="n">
        <v>0</v>
      </c>
      <c r="L89" s="64" t="n"/>
      <c r="M89" s="64" t="n">
        <v>0</v>
      </c>
      <c r="N89" s="64" t="n">
        <v>0</v>
      </c>
      <c r="O89" s="64" t="n"/>
      <c r="P89" s="64" t="n"/>
      <c r="Q89" s="64" t="n"/>
      <c r="R89" s="64" t="inlineStr">
        <is>
          <t>https://github.com/DLu/oscar_data</t>
        </is>
      </c>
    </row>
    <row r="90">
      <c r="A90" t="inlineStr">
        <is>
          <t>F0086</t>
        </is>
      </c>
      <c r="B90" t="inlineStr">
        <is>
          <t>Live Free or Die Hard</t>
        </is>
      </c>
      <c r="C90" t="inlineStr">
        <is>
          <t>2007</t>
        </is>
      </c>
      <c r="D90" t="n">
        <v>0</v>
      </c>
      <c r="E90" t="n">
        <v>0</v>
      </c>
      <c r="G90" t="n">
        <v>0</v>
      </c>
      <c r="H90" t="n">
        <v>0</v>
      </c>
      <c r="I90" s="64" t="n"/>
      <c r="J90" s="64" t="n">
        <v>0</v>
      </c>
      <c r="K90" s="64" t="n">
        <v>0</v>
      </c>
      <c r="L90" s="64" t="n"/>
      <c r="M90" s="64" t="n">
        <v>0</v>
      </c>
      <c r="N90" s="64" t="n">
        <v>0</v>
      </c>
      <c r="O90" s="64" t="n"/>
      <c r="P90" s="64" t="n"/>
      <c r="Q90" s="64" t="n"/>
      <c r="R90" s="64" t="inlineStr">
        <is>
          <t>https://github.com/DLu/oscar_data</t>
        </is>
      </c>
    </row>
    <row r="91">
      <c r="A91" t="inlineStr">
        <is>
          <t>F0087</t>
        </is>
      </c>
      <c r="B91" t="inlineStr">
        <is>
          <t>Dirty Grandpa</t>
        </is>
      </c>
      <c r="C91" t="inlineStr">
        <is>
          <t>2016</t>
        </is>
      </c>
      <c r="D91" t="n">
        <v>0</v>
      </c>
      <c r="E91" t="n">
        <v>0</v>
      </c>
      <c r="G91" t="n">
        <v>0</v>
      </c>
      <c r="H91" t="n">
        <v>0</v>
      </c>
      <c r="I91" s="64" t="n"/>
      <c r="J91" s="64" t="n">
        <v>0</v>
      </c>
      <c r="K91" s="64" t="n">
        <v>0</v>
      </c>
      <c r="L91" s="64" t="n"/>
      <c r="M91" s="64" t="n">
        <v>0</v>
      </c>
      <c r="N91" s="64" t="n">
        <v>0</v>
      </c>
      <c r="O91" s="64" t="n"/>
      <c r="P91" s="64" t="n"/>
      <c r="Q91" s="64" t="n"/>
      <c r="R91" s="64" t="inlineStr">
        <is>
          <t>https://github.com/DLu/oscar_data</t>
        </is>
      </c>
    </row>
    <row r="92" ht="30" customHeight="1" s="95">
      <c r="A92" t="inlineStr">
        <is>
          <t>F0088</t>
        </is>
      </c>
      <c r="B92" t="inlineStr">
        <is>
          <t>District 9</t>
        </is>
      </c>
      <c r="C92" t="inlineStr">
        <is>
          <t>2009</t>
        </is>
      </c>
      <c r="D92" t="n">
        <v>4</v>
      </c>
      <c r="E92" t="n">
        <v>0</v>
      </c>
      <c r="F92" t="inlineStr">
        <is>
          <t>Nominated</t>
        </is>
      </c>
      <c r="G92" t="n">
        <v>0</v>
      </c>
      <c r="H92" t="n">
        <v>0</v>
      </c>
      <c r="I92" s="64" t="n"/>
      <c r="J92" s="64" t="n">
        <v>0</v>
      </c>
      <c r="K92" s="64" t="n">
        <v>0</v>
      </c>
      <c r="L92" s="64" t="n"/>
      <c r="M92" s="64" t="n">
        <v>1</v>
      </c>
      <c r="N92" s="64" t="n">
        <v>0</v>
      </c>
      <c r="O92" s="64" t="n"/>
      <c r="P92" s="64" t="n"/>
      <c r="Q92" s="64" t="inlineStr">
        <is>
          <t>FILM EDITING; BEST PICTURE; VISUAL EFFECTS; WRITING (Adapted Screenplay)</t>
        </is>
      </c>
      <c r="R92" s="64" t="inlineStr">
        <is>
          <t>https://github.com/DLu/oscar_data</t>
        </is>
      </c>
    </row>
    <row r="93">
      <c r="A93" t="inlineStr">
        <is>
          <t>F0089</t>
        </is>
      </c>
      <c r="B93" t="inlineStr">
        <is>
          <t>Divergent</t>
        </is>
      </c>
      <c r="C93" t="inlineStr">
        <is>
          <t>2014</t>
        </is>
      </c>
      <c r="D93" t="n">
        <v>0</v>
      </c>
      <c r="E93" t="n">
        <v>0</v>
      </c>
      <c r="G93" t="n">
        <v>0</v>
      </c>
      <c r="H93" t="n">
        <v>0</v>
      </c>
      <c r="I93" s="64" t="n"/>
      <c r="J93" s="64" t="n">
        <v>0</v>
      </c>
      <c r="K93" s="64" t="n">
        <v>0</v>
      </c>
      <c r="L93" s="64" t="n"/>
      <c r="M93" s="64" t="n">
        <v>0</v>
      </c>
      <c r="N93" s="64" t="n">
        <v>0</v>
      </c>
      <c r="O93" s="64" t="n"/>
      <c r="P93" s="64" t="n"/>
      <c r="Q93" s="64" t="n"/>
      <c r="R93" s="64" t="inlineStr">
        <is>
          <t>https://github.com/DLu/oscar_data</t>
        </is>
      </c>
    </row>
    <row r="94" ht="30" customHeight="1" s="95">
      <c r="A94" t="inlineStr">
        <is>
          <t>F0090</t>
        </is>
      </c>
      <c r="B94" t="inlineStr">
        <is>
          <t>Django Unchained</t>
        </is>
      </c>
      <c r="C94" t="inlineStr">
        <is>
          <t>2012</t>
        </is>
      </c>
      <c r="D94" t="n">
        <v>5</v>
      </c>
      <c r="E94" t="n">
        <v>2</v>
      </c>
      <c r="F94" t="inlineStr">
        <is>
          <t>Nominated</t>
        </is>
      </c>
      <c r="G94" t="n">
        <v>1</v>
      </c>
      <c r="H94" t="n">
        <v>1</v>
      </c>
      <c r="I94" s="64" t="inlineStr">
        <is>
          <t>Christoph Waltz</t>
        </is>
      </c>
      <c r="J94" s="64" t="n">
        <v>0</v>
      </c>
      <c r="K94" s="64" t="n">
        <v>0</v>
      </c>
      <c r="L94" s="64" t="n"/>
      <c r="M94" s="64" t="n">
        <v>1</v>
      </c>
      <c r="N94" s="64" t="n">
        <v>1</v>
      </c>
      <c r="O94" s="64" t="n"/>
      <c r="P94" s="64" t="inlineStr">
        <is>
          <t>ACTOR IN A SUPPORTING ROLE; WRITING (Original Screenplay)</t>
        </is>
      </c>
      <c r="Q94" s="64" t="inlineStr">
        <is>
          <t>ACTOR IN A SUPPORTING ROLE; CINEMATOGRAPHY; BEST PICTURE; SOUND EDITING; WRITING (Original Screenplay)</t>
        </is>
      </c>
      <c r="R94" s="64" t="inlineStr">
        <is>
          <t>https://github.com/DLu/oscar_data</t>
        </is>
      </c>
    </row>
    <row r="95">
      <c r="A95" t="inlineStr">
        <is>
          <t>F0091</t>
        </is>
      </c>
      <c r="B95" t="inlineStr">
        <is>
          <t>Due Date</t>
        </is>
      </c>
      <c r="C95" t="inlineStr">
        <is>
          <t>2010</t>
        </is>
      </c>
      <c r="D95" t="n">
        <v>0</v>
      </c>
      <c r="E95" t="n">
        <v>0</v>
      </c>
      <c r="G95" t="n">
        <v>0</v>
      </c>
      <c r="H95" t="n">
        <v>0</v>
      </c>
      <c r="I95" s="64" t="n"/>
      <c r="J95" s="64" t="n">
        <v>0</v>
      </c>
      <c r="K95" s="64" t="n">
        <v>0</v>
      </c>
      <c r="L95" s="64" t="n"/>
      <c r="M95" s="64" t="n">
        <v>0</v>
      </c>
      <c r="N95" s="64" t="n">
        <v>0</v>
      </c>
      <c r="O95" s="64" t="n"/>
      <c r="P95" s="64" t="n"/>
      <c r="Q95" s="64" t="n"/>
      <c r="R95" s="64" t="inlineStr">
        <is>
          <t>https://github.com/DLu/oscar_data</t>
        </is>
      </c>
    </row>
    <row r="96">
      <c r="A96" t="inlineStr">
        <is>
          <t>F0092</t>
        </is>
      </c>
      <c r="B96" t="inlineStr">
        <is>
          <t>Elf</t>
        </is>
      </c>
      <c r="C96" t="inlineStr">
        <is>
          <t>2003</t>
        </is>
      </c>
      <c r="D96" t="n">
        <v>0</v>
      </c>
      <c r="E96" t="n">
        <v>0</v>
      </c>
      <c r="G96" t="n">
        <v>0</v>
      </c>
      <c r="H96" t="n">
        <v>0</v>
      </c>
      <c r="I96" s="64" t="n"/>
      <c r="J96" s="64" t="n">
        <v>0</v>
      </c>
      <c r="K96" s="64" t="n">
        <v>0</v>
      </c>
      <c r="L96" s="64" t="n"/>
      <c r="M96" s="64" t="n">
        <v>0</v>
      </c>
      <c r="N96" s="64" t="n">
        <v>0</v>
      </c>
      <c r="O96" s="64" t="n"/>
      <c r="P96" s="64" t="n"/>
      <c r="Q96" s="64" t="n"/>
      <c r="R96" s="64" t="inlineStr">
        <is>
          <t>https://github.com/DLu/oscar_data</t>
        </is>
      </c>
    </row>
    <row r="97">
      <c r="A97" t="inlineStr">
        <is>
          <t>F0093</t>
        </is>
      </c>
      <c r="B97" t="inlineStr">
        <is>
          <t>Elysium</t>
        </is>
      </c>
      <c r="C97" t="inlineStr">
        <is>
          <t>2013</t>
        </is>
      </c>
      <c r="D97" t="n">
        <v>0</v>
      </c>
      <c r="E97" t="n">
        <v>0</v>
      </c>
      <c r="G97" t="n">
        <v>0</v>
      </c>
      <c r="H97" t="n">
        <v>0</v>
      </c>
      <c r="I97" s="64" t="n"/>
      <c r="J97" s="64" t="n">
        <v>0</v>
      </c>
      <c r="K97" s="64" t="n">
        <v>0</v>
      </c>
      <c r="L97" s="64" t="n"/>
      <c r="M97" s="64" t="n">
        <v>0</v>
      </c>
      <c r="N97" s="64" t="n">
        <v>0</v>
      </c>
      <c r="O97" s="64" t="n"/>
      <c r="P97" s="64" t="n"/>
      <c r="Q97" s="64" t="n"/>
      <c r="R97" s="64" t="inlineStr">
        <is>
          <t>https://github.com/DLu/oscar_data</t>
        </is>
      </c>
    </row>
    <row r="98">
      <c r="A98" t="inlineStr">
        <is>
          <t>F0094</t>
        </is>
      </c>
      <c r="B98" t="inlineStr">
        <is>
          <t>Enemy of the State</t>
        </is>
      </c>
      <c r="C98" t="inlineStr">
        <is>
          <t>1998</t>
        </is>
      </c>
      <c r="D98" t="n">
        <v>0</v>
      </c>
      <c r="E98" t="n">
        <v>0</v>
      </c>
      <c r="G98" t="n">
        <v>0</v>
      </c>
      <c r="H98" t="n">
        <v>0</v>
      </c>
      <c r="I98" s="64" t="n"/>
      <c r="J98" s="64" t="n">
        <v>0</v>
      </c>
      <c r="K98" s="64" t="n">
        <v>0</v>
      </c>
      <c r="L98" s="64" t="n"/>
      <c r="M98" s="64" t="n">
        <v>0</v>
      </c>
      <c r="N98" s="64" t="n">
        <v>0</v>
      </c>
      <c r="O98" s="64" t="n"/>
      <c r="P98" s="64" t="n"/>
      <c r="Q98" s="64" t="n"/>
      <c r="R98" s="64" t="inlineStr">
        <is>
          <t>https://github.com/DLu/oscar_data</t>
        </is>
      </c>
    </row>
    <row r="99">
      <c r="A99" t="inlineStr">
        <is>
          <t>F0095</t>
        </is>
      </c>
      <c r="B99" t="inlineStr">
        <is>
          <t>The Expendables</t>
        </is>
      </c>
      <c r="C99" t="inlineStr">
        <is>
          <t>2010</t>
        </is>
      </c>
      <c r="D99" t="n">
        <v>0</v>
      </c>
      <c r="E99" t="n">
        <v>0</v>
      </c>
      <c r="G99" t="n">
        <v>0</v>
      </c>
      <c r="H99" t="n">
        <v>0</v>
      </c>
      <c r="I99" s="64" t="n"/>
      <c r="J99" s="64" t="n">
        <v>0</v>
      </c>
      <c r="K99" s="64" t="n">
        <v>0</v>
      </c>
      <c r="L99" s="64" t="n"/>
      <c r="M99" s="64" t="n">
        <v>0</v>
      </c>
      <c r="N99" s="64" t="n">
        <v>0</v>
      </c>
      <c r="O99" s="64" t="n"/>
      <c r="P99" s="64" t="n"/>
      <c r="Q99" s="64" t="n"/>
      <c r="R99" s="64" t="inlineStr">
        <is>
          <t>https://github.com/DLu/oscar_data</t>
        </is>
      </c>
    </row>
    <row r="100">
      <c r="A100" t="inlineStr">
        <is>
          <t>F0096</t>
        </is>
      </c>
      <c r="B100" t="inlineStr">
        <is>
          <t>The Expendables 2</t>
        </is>
      </c>
      <c r="C100" t="inlineStr">
        <is>
          <t>2012</t>
        </is>
      </c>
      <c r="D100" t="n">
        <v>0</v>
      </c>
      <c r="E100" t="n">
        <v>0</v>
      </c>
      <c r="G100" t="n">
        <v>0</v>
      </c>
      <c r="H100" t="n">
        <v>0</v>
      </c>
      <c r="I100" s="64" t="n"/>
      <c r="J100" s="64" t="n">
        <v>0</v>
      </c>
      <c r="K100" s="64" t="n">
        <v>0</v>
      </c>
      <c r="L100" s="64" t="n"/>
      <c r="M100" s="64" t="n">
        <v>0</v>
      </c>
      <c r="N100" s="64" t="n">
        <v>0</v>
      </c>
      <c r="O100" s="64" t="n"/>
      <c r="P100" s="64" t="n"/>
      <c r="Q100" s="64" t="n"/>
      <c r="R100" s="64" t="inlineStr">
        <is>
          <t>https://github.com/DLu/oscar_data</t>
        </is>
      </c>
    </row>
    <row r="101">
      <c r="A101" t="inlineStr">
        <is>
          <t>F0097</t>
        </is>
      </c>
      <c r="B101" t="inlineStr">
        <is>
          <t>The Expendables 3</t>
        </is>
      </c>
      <c r="C101" t="inlineStr">
        <is>
          <t>2014</t>
        </is>
      </c>
      <c r="D101" t="n">
        <v>0</v>
      </c>
      <c r="E101" t="n">
        <v>0</v>
      </c>
      <c r="G101" t="n">
        <v>0</v>
      </c>
      <c r="H101" t="n">
        <v>0</v>
      </c>
      <c r="I101" s="64" t="n"/>
      <c r="J101" s="64" t="n">
        <v>0</v>
      </c>
      <c r="K101" s="64" t="n">
        <v>0</v>
      </c>
      <c r="L101" s="64" t="n"/>
      <c r="M101" s="64" t="n">
        <v>0</v>
      </c>
      <c r="N101" s="64" t="n">
        <v>0</v>
      </c>
      <c r="O101" s="64" t="n"/>
      <c r="P101" s="64" t="n"/>
      <c r="Q101" s="64" t="n"/>
      <c r="R101" s="64" t="inlineStr">
        <is>
          <t>https://github.com/DLu/oscar_data</t>
        </is>
      </c>
    </row>
    <row r="102">
      <c r="A102" t="inlineStr">
        <is>
          <t>F0098</t>
        </is>
      </c>
      <c r="B102" t="inlineStr">
        <is>
          <t>F1</t>
        </is>
      </c>
      <c r="C102" t="inlineStr">
        <is>
          <t>2025</t>
        </is>
      </c>
      <c r="D102" t="n">
        <v>4</v>
      </c>
      <c r="E102" t="n">
        <v>1</v>
      </c>
      <c r="F102" t="inlineStr">
        <is>
          <t>Nominated</t>
        </is>
      </c>
      <c r="G102" t="n">
        <v>0</v>
      </c>
      <c r="H102" t="n">
        <v>0</v>
      </c>
      <c r="I102" s="64" t="n"/>
      <c r="J102" s="64" t="n">
        <v>0</v>
      </c>
      <c r="K102" s="64" t="n">
        <v>0</v>
      </c>
      <c r="L102" s="64" t="n"/>
      <c r="M102" s="64" t="n">
        <v>0</v>
      </c>
      <c r="N102" s="64" t="n">
        <v>0</v>
      </c>
      <c r="O102" s="64" t="n"/>
      <c r="P102" s="64" t="inlineStr">
        <is>
          <t>SOUND MIXING</t>
        </is>
      </c>
      <c r="Q102" s="64" t="inlineStr">
        <is>
          <t>FILM EDITING; BEST PICTURE; SOUND MIXING; VISUAL EFFECTS</t>
        </is>
      </c>
      <c r="R102" s="64" t="inlineStr">
        <is>
          <t>https://github.com/DLu/oscar_data</t>
        </is>
      </c>
    </row>
    <row r="103">
      <c r="A103" t="inlineStr">
        <is>
          <t>F0099</t>
        </is>
      </c>
      <c r="B103" t="inlineStr">
        <is>
          <t>The Fall Guy</t>
        </is>
      </c>
      <c r="C103" t="inlineStr">
        <is>
          <t>2024</t>
        </is>
      </c>
      <c r="D103" t="n">
        <v>0</v>
      </c>
      <c r="E103" t="n">
        <v>0</v>
      </c>
      <c r="G103" t="n">
        <v>0</v>
      </c>
      <c r="H103" t="n">
        <v>0</v>
      </c>
      <c r="I103" s="64" t="n"/>
      <c r="J103" s="64" t="n">
        <v>0</v>
      </c>
      <c r="K103" s="64" t="n">
        <v>0</v>
      </c>
      <c r="L103" s="64" t="n"/>
      <c r="M103" s="64" t="n">
        <v>0</v>
      </c>
      <c r="N103" s="64" t="n">
        <v>0</v>
      </c>
      <c r="O103" s="64" t="n"/>
      <c r="P103" s="64" t="n"/>
      <c r="Q103" s="64" t="n"/>
      <c r="R103" s="64" t="inlineStr">
        <is>
          <t>https://github.com/DLu/oscar_data</t>
        </is>
      </c>
    </row>
    <row r="104">
      <c r="A104" t="inlineStr">
        <is>
          <t>F0100</t>
        </is>
      </c>
      <c r="B104" t="inlineStr">
        <is>
          <t>Fantastic Beasts and Where to Find Them</t>
        </is>
      </c>
      <c r="C104" t="inlineStr">
        <is>
          <t>2016</t>
        </is>
      </c>
      <c r="D104" t="n">
        <v>2</v>
      </c>
      <c r="E104" t="n">
        <v>1</v>
      </c>
      <c r="G104" t="n">
        <v>0</v>
      </c>
      <c r="H104" t="n">
        <v>0</v>
      </c>
      <c r="I104" s="64" t="n"/>
      <c r="J104" s="64" t="n">
        <v>0</v>
      </c>
      <c r="K104" s="64" t="n">
        <v>0</v>
      </c>
      <c r="L104" s="64" t="n"/>
      <c r="M104" s="64" t="n">
        <v>0</v>
      </c>
      <c r="N104" s="64" t="n">
        <v>0</v>
      </c>
      <c r="O104" s="64" t="n"/>
      <c r="P104" s="64" t="inlineStr">
        <is>
          <t>COSTUME DESIGN</t>
        </is>
      </c>
      <c r="Q104" s="64" t="inlineStr">
        <is>
          <t>COSTUME DESIGN; ART DIRECTION</t>
        </is>
      </c>
      <c r="R104" s="64" t="inlineStr">
        <is>
          <t>https://github.com/DLu/oscar_data</t>
        </is>
      </c>
    </row>
    <row r="105">
      <c r="A105" t="inlineStr">
        <is>
          <t>F0101</t>
        </is>
      </c>
      <c r="B105" t="inlineStr">
        <is>
          <t>The Fast and the Furious</t>
        </is>
      </c>
      <c r="C105" t="inlineStr">
        <is>
          <t>2001</t>
        </is>
      </c>
      <c r="D105" t="n">
        <v>0</v>
      </c>
      <c r="E105" t="n">
        <v>0</v>
      </c>
      <c r="G105" t="n">
        <v>0</v>
      </c>
      <c r="H105" t="n">
        <v>0</v>
      </c>
      <c r="I105" s="64" t="n"/>
      <c r="J105" s="64" t="n">
        <v>0</v>
      </c>
      <c r="K105" s="64" t="n">
        <v>0</v>
      </c>
      <c r="L105" s="64" t="n"/>
      <c r="M105" s="64" t="n">
        <v>0</v>
      </c>
      <c r="N105" s="64" t="n">
        <v>0</v>
      </c>
      <c r="O105" s="64" t="n"/>
      <c r="P105" s="64" t="n"/>
      <c r="Q105" s="64" t="n"/>
      <c r="R105" s="64" t="inlineStr">
        <is>
          <t>https://github.com/DLu/oscar_data</t>
        </is>
      </c>
    </row>
    <row r="106">
      <c r="A106" t="inlineStr">
        <is>
          <t>F0102</t>
        </is>
      </c>
      <c r="B106" t="inlineStr">
        <is>
          <t>2 Fast 2 Furious</t>
        </is>
      </c>
      <c r="C106" t="inlineStr">
        <is>
          <t>2003</t>
        </is>
      </c>
      <c r="D106" t="n">
        <v>0</v>
      </c>
      <c r="E106" t="n">
        <v>0</v>
      </c>
      <c r="G106" t="n">
        <v>0</v>
      </c>
      <c r="H106" t="n">
        <v>0</v>
      </c>
      <c r="I106" s="64" t="n"/>
      <c r="J106" s="64" t="n">
        <v>0</v>
      </c>
      <c r="K106" s="64" t="n">
        <v>0</v>
      </c>
      <c r="L106" s="64" t="n"/>
      <c r="M106" s="64" t="n">
        <v>0</v>
      </c>
      <c r="N106" s="64" t="n">
        <v>0</v>
      </c>
      <c r="O106" s="64" t="n"/>
      <c r="P106" s="64" t="n"/>
      <c r="Q106" s="64" t="n"/>
      <c r="R106" s="64" t="inlineStr">
        <is>
          <t>https://github.com/DLu/oscar_data</t>
        </is>
      </c>
    </row>
    <row r="107">
      <c r="A107" t="inlineStr">
        <is>
          <t>F0103</t>
        </is>
      </c>
      <c r="B107" t="inlineStr">
        <is>
          <t>The Fast and the Furious: Tokyo Drift</t>
        </is>
      </c>
      <c r="C107" t="inlineStr">
        <is>
          <t>2006</t>
        </is>
      </c>
      <c r="D107" t="n">
        <v>0</v>
      </c>
      <c r="E107" t="n">
        <v>0</v>
      </c>
      <c r="G107" t="n">
        <v>0</v>
      </c>
      <c r="H107" t="n">
        <v>0</v>
      </c>
      <c r="I107" s="64" t="n"/>
      <c r="J107" s="64" t="n">
        <v>0</v>
      </c>
      <c r="K107" s="64" t="n">
        <v>0</v>
      </c>
      <c r="L107" s="64" t="n"/>
      <c r="M107" s="64" t="n">
        <v>0</v>
      </c>
      <c r="N107" s="64" t="n">
        <v>0</v>
      </c>
      <c r="O107" s="64" t="n"/>
      <c r="P107" s="64" t="n"/>
      <c r="Q107" s="64" t="n"/>
      <c r="R107" s="64" t="inlineStr">
        <is>
          <t>https://github.com/DLu/oscar_data</t>
        </is>
      </c>
    </row>
    <row r="108">
      <c r="A108" t="inlineStr">
        <is>
          <t>F0104</t>
        </is>
      </c>
      <c r="B108" t="inlineStr">
        <is>
          <t>Fast &amp; Furious</t>
        </is>
      </c>
      <c r="C108" t="inlineStr">
        <is>
          <t>2009</t>
        </is>
      </c>
      <c r="D108" t="n">
        <v>0</v>
      </c>
      <c r="E108" t="n">
        <v>0</v>
      </c>
      <c r="G108" t="n">
        <v>0</v>
      </c>
      <c r="H108" t="n">
        <v>0</v>
      </c>
      <c r="I108" s="64" t="n"/>
      <c r="J108" s="64" t="n">
        <v>0</v>
      </c>
      <c r="K108" s="64" t="n">
        <v>0</v>
      </c>
      <c r="L108" s="64" t="n"/>
      <c r="M108" s="64" t="n">
        <v>0</v>
      </c>
      <c r="N108" s="64" t="n">
        <v>0</v>
      </c>
      <c r="O108" s="64" t="n"/>
      <c r="P108" s="64" t="n"/>
      <c r="Q108" s="64" t="n"/>
      <c r="R108" s="64" t="inlineStr">
        <is>
          <t>https://github.com/DLu/oscar_data</t>
        </is>
      </c>
    </row>
    <row r="109">
      <c r="A109" t="inlineStr">
        <is>
          <t>F0105</t>
        </is>
      </c>
      <c r="B109" t="inlineStr">
        <is>
          <t>Fast Five</t>
        </is>
      </c>
      <c r="C109" t="inlineStr">
        <is>
          <t>2011</t>
        </is>
      </c>
      <c r="D109" t="n">
        <v>0</v>
      </c>
      <c r="E109" t="n">
        <v>0</v>
      </c>
      <c r="G109" t="n">
        <v>0</v>
      </c>
      <c r="H109" t="n">
        <v>0</v>
      </c>
      <c r="I109" s="64" t="n"/>
      <c r="J109" s="64" t="n">
        <v>0</v>
      </c>
      <c r="K109" s="64" t="n">
        <v>0</v>
      </c>
      <c r="L109" s="64" t="n"/>
      <c r="M109" s="64" t="n">
        <v>0</v>
      </c>
      <c r="N109" s="64" t="n">
        <v>0</v>
      </c>
      <c r="O109" s="64" t="n"/>
      <c r="P109" s="64" t="n"/>
      <c r="Q109" s="64" t="n"/>
      <c r="R109" s="64" t="inlineStr">
        <is>
          <t>https://github.com/DLu/oscar_data</t>
        </is>
      </c>
    </row>
    <row r="110">
      <c r="A110" t="inlineStr">
        <is>
          <t>F0106</t>
        </is>
      </c>
      <c r="B110" t="inlineStr">
        <is>
          <t>Fast &amp; Furious 6</t>
        </is>
      </c>
      <c r="C110" t="inlineStr">
        <is>
          <t>2013</t>
        </is>
      </c>
      <c r="D110" t="n">
        <v>0</v>
      </c>
      <c r="E110" t="n">
        <v>0</v>
      </c>
      <c r="G110" t="n">
        <v>0</v>
      </c>
      <c r="H110" t="n">
        <v>0</v>
      </c>
      <c r="I110" s="64" t="n"/>
      <c r="J110" s="64" t="n">
        <v>0</v>
      </c>
      <c r="K110" s="64" t="n">
        <v>0</v>
      </c>
      <c r="L110" s="64" t="n"/>
      <c r="M110" s="64" t="n">
        <v>0</v>
      </c>
      <c r="N110" s="64" t="n">
        <v>0</v>
      </c>
      <c r="O110" s="64" t="n"/>
      <c r="P110" s="64" t="n"/>
      <c r="Q110" s="64" t="n"/>
      <c r="R110" s="64" t="inlineStr">
        <is>
          <t>https://github.com/DLu/oscar_data</t>
        </is>
      </c>
    </row>
    <row r="111">
      <c r="A111" t="inlineStr">
        <is>
          <t>F0107</t>
        </is>
      </c>
      <c r="B111" t="inlineStr">
        <is>
          <t>Furious 7</t>
        </is>
      </c>
      <c r="C111" t="inlineStr">
        <is>
          <t>2015</t>
        </is>
      </c>
      <c r="D111" t="n">
        <v>0</v>
      </c>
      <c r="E111" t="n">
        <v>0</v>
      </c>
      <c r="G111" t="n">
        <v>0</v>
      </c>
      <c r="H111" t="n">
        <v>0</v>
      </c>
      <c r="I111" s="64" t="n"/>
      <c r="J111" s="64" t="n">
        <v>0</v>
      </c>
      <c r="K111" s="64" t="n">
        <v>0</v>
      </c>
      <c r="L111" s="64" t="n"/>
      <c r="M111" s="64" t="n">
        <v>0</v>
      </c>
      <c r="N111" s="64" t="n">
        <v>0</v>
      </c>
      <c r="O111" s="64" t="n"/>
      <c r="P111" s="64" t="n"/>
      <c r="Q111" s="64" t="n"/>
      <c r="R111" s="64" t="inlineStr">
        <is>
          <t>https://github.com/DLu/oscar_data</t>
        </is>
      </c>
    </row>
    <row r="112">
      <c r="A112" t="inlineStr">
        <is>
          <t>F0108</t>
        </is>
      </c>
      <c r="B112" t="inlineStr">
        <is>
          <t>The Fate of the Furious</t>
        </is>
      </c>
      <c r="C112" t="inlineStr">
        <is>
          <t>2017</t>
        </is>
      </c>
      <c r="D112" t="n">
        <v>0</v>
      </c>
      <c r="E112" t="n">
        <v>0</v>
      </c>
      <c r="G112" t="n">
        <v>0</v>
      </c>
      <c r="H112" t="n">
        <v>0</v>
      </c>
      <c r="I112" s="64" t="n"/>
      <c r="J112" s="64" t="n">
        <v>0</v>
      </c>
      <c r="K112" s="64" t="n">
        <v>0</v>
      </c>
      <c r="L112" s="64" t="n"/>
      <c r="M112" s="64" t="n">
        <v>0</v>
      </c>
      <c r="N112" s="64" t="n">
        <v>0</v>
      </c>
      <c r="O112" s="64" t="n"/>
      <c r="P112" s="64" t="n"/>
      <c r="Q112" s="64" t="n"/>
      <c r="R112" s="64" t="inlineStr">
        <is>
          <t>https://github.com/DLu/oscar_data</t>
        </is>
      </c>
    </row>
    <row r="113">
      <c r="A113" t="inlineStr">
        <is>
          <t>F0109</t>
        </is>
      </c>
      <c r="B113" t="inlineStr">
        <is>
          <t>F9: The Fast Saga</t>
        </is>
      </c>
      <c r="C113" t="inlineStr">
        <is>
          <t>2021</t>
        </is>
      </c>
      <c r="D113" t="n">
        <v>0</v>
      </c>
      <c r="E113" t="n">
        <v>0</v>
      </c>
      <c r="G113" t="n">
        <v>0</v>
      </c>
      <c r="H113" t="n">
        <v>0</v>
      </c>
      <c r="I113" s="64" t="n"/>
      <c r="J113" s="64" t="n">
        <v>0</v>
      </c>
      <c r="K113" s="64" t="n">
        <v>0</v>
      </c>
      <c r="L113" s="64" t="n"/>
      <c r="M113" s="64" t="n">
        <v>0</v>
      </c>
      <c r="N113" s="64" t="n">
        <v>0</v>
      </c>
      <c r="O113" s="64" t="n"/>
      <c r="P113" s="64" t="n"/>
      <c r="Q113" s="64" t="n"/>
      <c r="R113" s="64" t="inlineStr">
        <is>
          <t>https://github.com/DLu/oscar_data</t>
        </is>
      </c>
    </row>
    <row r="114">
      <c r="A114" t="inlineStr">
        <is>
          <t>F0110</t>
        </is>
      </c>
      <c r="B114" t="inlineStr">
        <is>
          <t>Fast X</t>
        </is>
      </c>
      <c r="C114" t="inlineStr">
        <is>
          <t>2023</t>
        </is>
      </c>
      <c r="D114" t="n">
        <v>0</v>
      </c>
      <c r="E114" t="n">
        <v>0</v>
      </c>
      <c r="G114" t="n">
        <v>0</v>
      </c>
      <c r="H114" t="n">
        <v>0</v>
      </c>
      <c r="I114" s="64" t="n"/>
      <c r="J114" s="64" t="n">
        <v>0</v>
      </c>
      <c r="K114" s="64" t="n">
        <v>0</v>
      </c>
      <c r="L114" s="64" t="n"/>
      <c r="M114" s="64" t="n">
        <v>0</v>
      </c>
      <c r="N114" s="64" t="n">
        <v>0</v>
      </c>
      <c r="O114" s="64" t="n"/>
      <c r="P114" s="64" t="n"/>
      <c r="Q114" s="64" t="n"/>
      <c r="R114" s="64" t="inlineStr">
        <is>
          <t>https://github.com/DLu/oscar_data</t>
        </is>
      </c>
    </row>
    <row r="115">
      <c r="A115" t="inlineStr">
        <is>
          <t>F0111</t>
        </is>
      </c>
      <c r="B115" t="inlineStr">
        <is>
          <t>Fast &amp; Furious Presents: Hobbs &amp; Shaw</t>
        </is>
      </c>
      <c r="C115" t="inlineStr">
        <is>
          <t>2019</t>
        </is>
      </c>
      <c r="D115" t="n">
        <v>0</v>
      </c>
      <c r="E115" t="n">
        <v>0</v>
      </c>
      <c r="G115" t="n">
        <v>0</v>
      </c>
      <c r="H115" t="n">
        <v>0</v>
      </c>
      <c r="I115" s="64" t="n"/>
      <c r="J115" s="64" t="n">
        <v>0</v>
      </c>
      <c r="K115" s="64" t="n">
        <v>0</v>
      </c>
      <c r="L115" s="64" t="n"/>
      <c r="M115" s="64" t="n">
        <v>0</v>
      </c>
      <c r="N115" s="64" t="n">
        <v>0</v>
      </c>
      <c r="O115" s="64" t="n"/>
      <c r="P115" s="64" t="n"/>
      <c r="Q115" s="64" t="n"/>
      <c r="R115" s="64" t="inlineStr">
        <is>
          <t>https://github.com/DLu/oscar_data</t>
        </is>
      </c>
    </row>
    <row r="116">
      <c r="A116" t="inlineStr">
        <is>
          <t>F0112</t>
        </is>
      </c>
      <c r="B116" t="inlineStr">
        <is>
          <t>Fight Club</t>
        </is>
      </c>
      <c r="C116" t="inlineStr">
        <is>
          <t>1999</t>
        </is>
      </c>
      <c r="D116" t="n">
        <v>1</v>
      </c>
      <c r="E116" t="n">
        <v>0</v>
      </c>
      <c r="G116" t="n">
        <v>0</v>
      </c>
      <c r="H116" t="n">
        <v>0</v>
      </c>
      <c r="I116" s="64" t="n"/>
      <c r="J116" s="64" t="n">
        <v>0</v>
      </c>
      <c r="K116" s="64" t="n">
        <v>0</v>
      </c>
      <c r="L116" s="64" t="n"/>
      <c r="M116" s="64" t="n">
        <v>0</v>
      </c>
      <c r="N116" s="64" t="n">
        <v>0</v>
      </c>
      <c r="O116" s="64" t="n"/>
      <c r="P116" s="64" t="n"/>
      <c r="Q116" s="64" t="inlineStr">
        <is>
          <t>SOUND EDITING</t>
        </is>
      </c>
      <c r="R116" s="64" t="inlineStr">
        <is>
          <t>https://github.com/DLu/oscar_data</t>
        </is>
      </c>
    </row>
    <row r="117">
      <c r="A117" t="inlineStr">
        <is>
          <t>F0113</t>
        </is>
      </c>
      <c r="B117" t="inlineStr">
        <is>
          <t>Finding Dory</t>
        </is>
      </c>
      <c r="C117" t="inlineStr">
        <is>
          <t>2016</t>
        </is>
      </c>
      <c r="D117" t="n">
        <v>0</v>
      </c>
      <c r="E117" t="n">
        <v>0</v>
      </c>
      <c r="G117" t="n">
        <v>0</v>
      </c>
      <c r="H117" t="n">
        <v>0</v>
      </c>
      <c r="I117" s="64" t="n"/>
      <c r="J117" s="64" t="n">
        <v>0</v>
      </c>
      <c r="K117" s="64" t="n">
        <v>0</v>
      </c>
      <c r="L117" s="64" t="n"/>
      <c r="M117" s="64" t="n">
        <v>0</v>
      </c>
      <c r="N117" s="64" t="n">
        <v>0</v>
      </c>
      <c r="O117" s="64" t="n"/>
      <c r="P117" s="64" t="n"/>
      <c r="Q117" s="64" t="n"/>
      <c r="R117" s="64" t="inlineStr">
        <is>
          <t>https://github.com/DLu/oscar_data</t>
        </is>
      </c>
    </row>
    <row r="118">
      <c r="A118" t="inlineStr">
        <is>
          <t>F0114</t>
        </is>
      </c>
      <c r="B118" t="inlineStr">
        <is>
          <t>Firewall</t>
        </is>
      </c>
      <c r="C118" t="inlineStr">
        <is>
          <t>2006</t>
        </is>
      </c>
      <c r="D118" t="n">
        <v>0</v>
      </c>
      <c r="E118" t="n">
        <v>0</v>
      </c>
      <c r="G118" t="n">
        <v>0</v>
      </c>
      <c r="H118" t="n">
        <v>0</v>
      </c>
      <c r="I118" s="64" t="n"/>
      <c r="J118" s="64" t="n">
        <v>0</v>
      </c>
      <c r="K118" s="64" t="n">
        <v>0</v>
      </c>
      <c r="L118" s="64" t="n"/>
      <c r="M118" s="64" t="n">
        <v>0</v>
      </c>
      <c r="N118" s="64" t="n">
        <v>0</v>
      </c>
      <c r="O118" s="64" t="n"/>
      <c r="P118" s="64" t="n"/>
      <c r="Q118" s="64" t="n"/>
      <c r="R118" s="64" t="inlineStr">
        <is>
          <t>https://github.com/DLu/oscar_data</t>
        </is>
      </c>
    </row>
    <row r="119">
      <c r="A119" t="inlineStr">
        <is>
          <t>F0115</t>
        </is>
      </c>
      <c r="B119" t="inlineStr">
        <is>
          <t>Forgetting Sarah Marshall</t>
        </is>
      </c>
      <c r="C119" t="inlineStr">
        <is>
          <t>2008</t>
        </is>
      </c>
      <c r="D119" t="n">
        <v>0</v>
      </c>
      <c r="E119" t="n">
        <v>0</v>
      </c>
      <c r="G119" t="n">
        <v>0</v>
      </c>
      <c r="H119" t="n">
        <v>0</v>
      </c>
      <c r="I119" s="64" t="n"/>
      <c r="J119" s="64" t="n">
        <v>0</v>
      </c>
      <c r="K119" s="64" t="n">
        <v>0</v>
      </c>
      <c r="L119" s="64" t="n"/>
      <c r="M119" s="64" t="n">
        <v>0</v>
      </c>
      <c r="N119" s="64" t="n">
        <v>0</v>
      </c>
      <c r="O119" s="64" t="n"/>
      <c r="P119" s="64" t="n"/>
      <c r="Q119" s="64" t="n"/>
      <c r="R119" s="64" t="inlineStr">
        <is>
          <t>https://github.com/DLu/oscar_data</t>
        </is>
      </c>
    </row>
    <row r="120">
      <c r="A120" t="inlineStr">
        <is>
          <t>F0116</t>
        </is>
      </c>
      <c r="B120" t="inlineStr">
        <is>
          <t>Frozen</t>
        </is>
      </c>
      <c r="C120" t="inlineStr">
        <is>
          <t>2013</t>
        </is>
      </c>
      <c r="D120" t="n">
        <v>2</v>
      </c>
      <c r="E120" t="n">
        <v>2</v>
      </c>
      <c r="G120" t="n">
        <v>0</v>
      </c>
      <c r="H120" t="n">
        <v>0</v>
      </c>
      <c r="I120" s="64" t="n"/>
      <c r="J120" s="64" t="n">
        <v>0</v>
      </c>
      <c r="K120" s="64" t="n">
        <v>0</v>
      </c>
      <c r="L120" s="64" t="n"/>
      <c r="M120" s="64" t="n">
        <v>0</v>
      </c>
      <c r="N120" s="64" t="n">
        <v>0</v>
      </c>
      <c r="O120" s="64" t="inlineStr">
        <is>
          <t>Winner</t>
        </is>
      </c>
      <c r="P120" s="64" t="inlineStr">
        <is>
          <t>ANIMATED FEATURE FILM; MUSIC (Original Song)</t>
        </is>
      </c>
      <c r="Q120" s="64" t="inlineStr">
        <is>
          <t>ANIMATED FEATURE FILM; MUSIC (Original Song)</t>
        </is>
      </c>
      <c r="R120" s="64" t="inlineStr">
        <is>
          <t>https://github.com/DLu/oscar_data</t>
        </is>
      </c>
    </row>
    <row r="121">
      <c r="A121" t="inlineStr">
        <is>
          <t>F0117</t>
        </is>
      </c>
      <c r="B121" t="inlineStr">
        <is>
          <t>Fury</t>
        </is>
      </c>
      <c r="C121" t="inlineStr">
        <is>
          <t>2014</t>
        </is>
      </c>
      <c r="D121" t="n">
        <v>0</v>
      </c>
      <c r="E121" t="n">
        <v>0</v>
      </c>
      <c r="G121" t="n">
        <v>0</v>
      </c>
      <c r="H121" t="n">
        <v>0</v>
      </c>
      <c r="I121" s="64" t="n"/>
      <c r="J121" s="64" t="n">
        <v>0</v>
      </c>
      <c r="K121" s="64" t="n">
        <v>0</v>
      </c>
      <c r="L121" s="64" t="n"/>
      <c r="M121" s="64" t="n">
        <v>0</v>
      </c>
      <c r="N121" s="64" t="n">
        <v>0</v>
      </c>
      <c r="O121" s="64" t="n"/>
      <c r="P121" s="64" t="n"/>
      <c r="Q121" s="64" t="n"/>
      <c r="R121" s="64" t="inlineStr">
        <is>
          <t>https://github.com/DLu/oscar_data</t>
        </is>
      </c>
    </row>
    <row r="122">
      <c r="A122" t="inlineStr">
        <is>
          <t>F0118</t>
        </is>
      </c>
      <c r="B122" t="inlineStr">
        <is>
          <t>G.I. Joe: The Rise of Cobra</t>
        </is>
      </c>
      <c r="C122" t="inlineStr">
        <is>
          <t>2009</t>
        </is>
      </c>
      <c r="D122" t="n">
        <v>0</v>
      </c>
      <c r="E122" t="n">
        <v>0</v>
      </c>
      <c r="G122" t="n">
        <v>0</v>
      </c>
      <c r="H122" t="n">
        <v>0</v>
      </c>
      <c r="I122" s="64" t="n"/>
      <c r="J122" s="64" t="n">
        <v>0</v>
      </c>
      <c r="K122" s="64" t="n">
        <v>0</v>
      </c>
      <c r="L122" s="64" t="n"/>
      <c r="M122" s="64" t="n">
        <v>0</v>
      </c>
      <c r="N122" s="64" t="n">
        <v>0</v>
      </c>
      <c r="O122" s="64" t="n"/>
      <c r="P122" s="64" t="n"/>
      <c r="Q122" s="64" t="n"/>
      <c r="R122" s="64" t="inlineStr">
        <is>
          <t>https://github.com/DLu/oscar_data</t>
        </is>
      </c>
    </row>
    <row r="123">
      <c r="A123" t="inlineStr">
        <is>
          <t>F0119</t>
        </is>
      </c>
      <c r="B123" t="inlineStr">
        <is>
          <t>The Gentlemen</t>
        </is>
      </c>
      <c r="C123" t="inlineStr">
        <is>
          <t>2020</t>
        </is>
      </c>
      <c r="D123" t="n">
        <v>0</v>
      </c>
      <c r="E123" t="n">
        <v>0</v>
      </c>
      <c r="G123" t="n">
        <v>0</v>
      </c>
      <c r="H123" t="n">
        <v>0</v>
      </c>
      <c r="I123" s="64" t="n"/>
      <c r="J123" s="64" t="n">
        <v>0</v>
      </c>
      <c r="K123" s="64" t="n">
        <v>0</v>
      </c>
      <c r="L123" s="64" t="n"/>
      <c r="M123" s="64" t="n">
        <v>0</v>
      </c>
      <c r="N123" s="64" t="n">
        <v>0</v>
      </c>
      <c r="O123" s="64" t="n"/>
      <c r="P123" s="64" t="n"/>
      <c r="Q123" s="64" t="n"/>
      <c r="R123" s="64" t="inlineStr">
        <is>
          <t>https://github.com/DLu/oscar_data</t>
        </is>
      </c>
    </row>
    <row r="124" ht="30" customHeight="1" s="95">
      <c r="A124" t="inlineStr">
        <is>
          <t>F0120</t>
        </is>
      </c>
      <c r="B124" t="inlineStr">
        <is>
          <t>The Girl with the Dragon Tattoo</t>
        </is>
      </c>
      <c r="C124" t="inlineStr">
        <is>
          <t>2011</t>
        </is>
      </c>
      <c r="D124" t="n">
        <v>5</v>
      </c>
      <c r="E124" t="n">
        <v>1</v>
      </c>
      <c r="G124" t="n">
        <v>1</v>
      </c>
      <c r="H124" t="n">
        <v>0</v>
      </c>
      <c r="I124" s="64" t="n"/>
      <c r="J124" s="64" t="n">
        <v>0</v>
      </c>
      <c r="K124" s="64" t="n">
        <v>0</v>
      </c>
      <c r="L124" s="64" t="n"/>
      <c r="M124" s="64" t="n">
        <v>0</v>
      </c>
      <c r="N124" s="64" t="n">
        <v>0</v>
      </c>
      <c r="O124" s="64" t="n"/>
      <c r="P124" s="64" t="inlineStr">
        <is>
          <t>FILM EDITING</t>
        </is>
      </c>
      <c r="Q124" s="64" t="inlineStr">
        <is>
          <t>ACTRESS IN A LEADING ROLE; CINEMATOGRAPHY; FILM EDITING; SOUND EDITING; SOUND MIXING</t>
        </is>
      </c>
      <c r="R124" s="64" t="inlineStr">
        <is>
          <t>https://github.com/DLu/oscar_data</t>
        </is>
      </c>
    </row>
    <row r="125">
      <c r="A125" t="inlineStr">
        <is>
          <t>F0121</t>
        </is>
      </c>
      <c r="B125" t="inlineStr">
        <is>
          <t>Godzilla</t>
        </is>
      </c>
      <c r="C125" t="inlineStr">
        <is>
          <t>2014</t>
        </is>
      </c>
      <c r="D125" t="n">
        <v>0</v>
      </c>
      <c r="E125" t="n">
        <v>0</v>
      </c>
      <c r="G125" t="n">
        <v>0</v>
      </c>
      <c r="H125" t="n">
        <v>0</v>
      </c>
      <c r="I125" s="64" t="n"/>
      <c r="J125" s="64" t="n">
        <v>0</v>
      </c>
      <c r="K125" s="64" t="n">
        <v>0</v>
      </c>
      <c r="L125" s="64" t="n"/>
      <c r="M125" s="64" t="n">
        <v>0</v>
      </c>
      <c r="N125" s="64" t="n">
        <v>0</v>
      </c>
      <c r="O125" s="64" t="n"/>
      <c r="P125" s="64" t="n"/>
      <c r="Q125" s="64" t="n"/>
      <c r="R125" s="64" t="inlineStr">
        <is>
          <t>https://github.com/DLu/oscar_data</t>
        </is>
      </c>
    </row>
    <row r="126">
      <c r="A126" t="inlineStr">
        <is>
          <t>F0122</t>
        </is>
      </c>
      <c r="B126" t="inlineStr">
        <is>
          <t>Godzilla: King of the Monsters</t>
        </is>
      </c>
      <c r="C126" t="inlineStr">
        <is>
          <t>2019</t>
        </is>
      </c>
      <c r="D126" t="n">
        <v>0</v>
      </c>
      <c r="E126" t="n">
        <v>0</v>
      </c>
      <c r="G126" t="n">
        <v>0</v>
      </c>
      <c r="H126" t="n">
        <v>0</v>
      </c>
      <c r="I126" s="64" t="n"/>
      <c r="J126" s="64" t="n">
        <v>0</v>
      </c>
      <c r="K126" s="64" t="n">
        <v>0</v>
      </c>
      <c r="L126" s="64" t="n"/>
      <c r="M126" s="64" t="n">
        <v>0</v>
      </c>
      <c r="N126" s="64" t="n">
        <v>0</v>
      </c>
      <c r="O126" s="64" t="n"/>
      <c r="P126" s="64" t="n"/>
      <c r="Q126" s="64" t="n"/>
      <c r="R126" s="64" t="inlineStr">
        <is>
          <t>https://github.com/DLu/oscar_data</t>
        </is>
      </c>
    </row>
    <row r="127">
      <c r="A127" t="inlineStr">
        <is>
          <t>F0123</t>
        </is>
      </c>
      <c r="B127" t="inlineStr">
        <is>
          <t>Godzilla vs. Kong</t>
        </is>
      </c>
      <c r="C127" t="inlineStr">
        <is>
          <t>2021</t>
        </is>
      </c>
      <c r="D127" t="n">
        <v>0</v>
      </c>
      <c r="E127" t="n">
        <v>0</v>
      </c>
      <c r="G127" t="n">
        <v>0</v>
      </c>
      <c r="H127" t="n">
        <v>0</v>
      </c>
      <c r="I127" s="64" t="n"/>
      <c r="J127" s="64" t="n">
        <v>0</v>
      </c>
      <c r="K127" s="64" t="n">
        <v>0</v>
      </c>
      <c r="L127" s="64" t="n"/>
      <c r="M127" s="64" t="n">
        <v>0</v>
      </c>
      <c r="N127" s="64" t="n">
        <v>0</v>
      </c>
      <c r="O127" s="64" t="n"/>
      <c r="P127" s="64" t="n"/>
      <c r="Q127" s="64" t="n"/>
      <c r="R127" s="64" t="inlineStr">
        <is>
          <t>https://github.com/DLu/oscar_data</t>
        </is>
      </c>
    </row>
    <row r="128" ht="60" customHeight="1" s="95">
      <c r="A128" t="inlineStr">
        <is>
          <t>F0124</t>
        </is>
      </c>
      <c r="B128" t="inlineStr">
        <is>
          <t>Good Will Hunting</t>
        </is>
      </c>
      <c r="C128" t="inlineStr">
        <is>
          <t>1997</t>
        </is>
      </c>
      <c r="D128" t="n">
        <v>9</v>
      </c>
      <c r="E128" t="n">
        <v>2</v>
      </c>
      <c r="F128" t="inlineStr">
        <is>
          <t>Nominated</t>
        </is>
      </c>
      <c r="G128" t="n">
        <v>3</v>
      </c>
      <c r="H128" t="n">
        <v>1</v>
      </c>
      <c r="I128" s="64" t="inlineStr">
        <is>
          <t>Robin Williams</t>
        </is>
      </c>
      <c r="J128" s="64" t="n">
        <v>1</v>
      </c>
      <c r="K128" s="64" t="n">
        <v>0</v>
      </c>
      <c r="L128" s="64" t="n"/>
      <c r="M128" s="64" t="n">
        <v>1</v>
      </c>
      <c r="N128" s="64" t="n">
        <v>1</v>
      </c>
      <c r="O128" s="64" t="n"/>
      <c r="P128" s="64" t="inlineStr">
        <is>
          <t>ACTOR IN A SUPPORTING ROLE; WRITING (Original Screenplay)</t>
        </is>
      </c>
      <c r="Q128" s="64" t="inlineStr">
        <is>
          <t>ACTOR IN A LEADING ROLE; ACTOR IN A SUPPORTING ROLE; ACTRESS IN A SUPPORTING ROLE; DIRECTING; FILM EDITING; MUSIC (Original Score); MUSIC (Original Song); BEST PICTURE; WRITING (Original Screenplay)</t>
        </is>
      </c>
      <c r="R128" s="64" t="inlineStr">
        <is>
          <t>https://github.com/DLu/oscar_data</t>
        </is>
      </c>
    </row>
    <row r="129">
      <c r="A129" t="inlineStr">
        <is>
          <t>F0125</t>
        </is>
      </c>
      <c r="B129" t="inlineStr">
        <is>
          <t>Gran Torino</t>
        </is>
      </c>
      <c r="C129" t="inlineStr">
        <is>
          <t>2008</t>
        </is>
      </c>
      <c r="D129" t="n">
        <v>0</v>
      </c>
      <c r="E129" t="n">
        <v>0</v>
      </c>
      <c r="G129" t="n">
        <v>0</v>
      </c>
      <c r="H129" t="n">
        <v>0</v>
      </c>
      <c r="I129" s="64" t="n"/>
      <c r="J129" s="64" t="n">
        <v>0</v>
      </c>
      <c r="K129" s="64" t="n">
        <v>0</v>
      </c>
      <c r="L129" s="64" t="n"/>
      <c r="M129" s="64" t="n">
        <v>0</v>
      </c>
      <c r="N129" s="64" t="n">
        <v>0</v>
      </c>
      <c r="O129" s="64" t="n"/>
      <c r="P129" s="64" t="n"/>
      <c r="Q129" s="64" t="n"/>
      <c r="R129" s="64" t="inlineStr">
        <is>
          <t>https://github.com/DLu/oscar_data</t>
        </is>
      </c>
    </row>
    <row r="130">
      <c r="A130" t="inlineStr">
        <is>
          <t>F0126</t>
        </is>
      </c>
      <c r="B130" t="inlineStr">
        <is>
          <t>The Great Gatsby</t>
        </is>
      </c>
      <c r="C130" t="inlineStr">
        <is>
          <t>2013</t>
        </is>
      </c>
      <c r="D130" t="n">
        <v>2</v>
      </c>
      <c r="E130" t="n">
        <v>2</v>
      </c>
      <c r="G130" t="n">
        <v>0</v>
      </c>
      <c r="H130" t="n">
        <v>0</v>
      </c>
      <c r="I130" s="64" t="n"/>
      <c r="J130" s="64" t="n">
        <v>0</v>
      </c>
      <c r="K130" s="64" t="n">
        <v>0</v>
      </c>
      <c r="L130" s="64" t="n"/>
      <c r="M130" s="64" t="n">
        <v>0</v>
      </c>
      <c r="N130" s="64" t="n">
        <v>0</v>
      </c>
      <c r="O130" s="64" t="n"/>
      <c r="P130" s="64" t="inlineStr">
        <is>
          <t>COSTUME DESIGN; ART DIRECTION</t>
        </is>
      </c>
      <c r="Q130" s="64" t="inlineStr">
        <is>
          <t>COSTUME DESIGN; ART DIRECTION</t>
        </is>
      </c>
      <c r="R130" s="64" t="inlineStr">
        <is>
          <t>https://github.com/DLu/oscar_data</t>
        </is>
      </c>
    </row>
    <row r="131">
      <c r="A131" t="inlineStr">
        <is>
          <t>F0127</t>
        </is>
      </c>
      <c r="B131" t="inlineStr">
        <is>
          <t>The Greatest Showman</t>
        </is>
      </c>
      <c r="C131" t="inlineStr">
        <is>
          <t>2017</t>
        </is>
      </c>
      <c r="D131" t="n">
        <v>1</v>
      </c>
      <c r="E131" t="n">
        <v>0</v>
      </c>
      <c r="G131" t="n">
        <v>0</v>
      </c>
      <c r="H131" t="n">
        <v>0</v>
      </c>
      <c r="I131" s="64" t="n"/>
      <c r="J131" s="64" t="n">
        <v>0</v>
      </c>
      <c r="K131" s="64" t="n">
        <v>0</v>
      </c>
      <c r="L131" s="64" t="n"/>
      <c r="M131" s="64" t="n">
        <v>0</v>
      </c>
      <c r="N131" s="64" t="n">
        <v>0</v>
      </c>
      <c r="O131" s="64" t="n"/>
      <c r="P131" s="64" t="n"/>
      <c r="Q131" s="64" t="inlineStr">
        <is>
          <t>MUSIC (Original Song)</t>
        </is>
      </c>
      <c r="R131" s="64" t="inlineStr">
        <is>
          <t>https://github.com/DLu/oscar_data</t>
        </is>
      </c>
    </row>
    <row r="132">
      <c r="A132" t="inlineStr">
        <is>
          <t>F0128</t>
        </is>
      </c>
      <c r="B132" t="inlineStr">
        <is>
          <t>Green Lantern</t>
        </is>
      </c>
      <c r="C132" t="inlineStr">
        <is>
          <t>2011</t>
        </is>
      </c>
      <c r="D132" t="n">
        <v>0</v>
      </c>
      <c r="E132" t="n">
        <v>0</v>
      </c>
      <c r="G132" t="n">
        <v>0</v>
      </c>
      <c r="H132" t="n">
        <v>0</v>
      </c>
      <c r="I132" s="64" t="n"/>
      <c r="J132" s="64" t="n">
        <v>0</v>
      </c>
      <c r="K132" s="64" t="n">
        <v>0</v>
      </c>
      <c r="L132" s="64" t="n"/>
      <c r="M132" s="64" t="n">
        <v>0</v>
      </c>
      <c r="N132" s="64" t="n">
        <v>0</v>
      </c>
      <c r="O132" s="64" t="n"/>
      <c r="P132" s="64" t="n"/>
      <c r="Q132" s="64" t="n"/>
      <c r="R132" s="64" t="inlineStr">
        <is>
          <t>https://github.com/DLu/oscar_data</t>
        </is>
      </c>
    </row>
    <row r="133">
      <c r="A133" t="inlineStr">
        <is>
          <t>F0129</t>
        </is>
      </c>
      <c r="B133" t="inlineStr">
        <is>
          <t>Green Zone</t>
        </is>
      </c>
      <c r="C133" t="inlineStr">
        <is>
          <t>2010</t>
        </is>
      </c>
      <c r="D133" t="n">
        <v>0</v>
      </c>
      <c r="E133" t="n">
        <v>0</v>
      </c>
      <c r="G133" t="n">
        <v>0</v>
      </c>
      <c r="H133" t="n">
        <v>0</v>
      </c>
      <c r="I133" s="64" t="n"/>
      <c r="J133" s="64" t="n">
        <v>0</v>
      </c>
      <c r="K133" s="64" t="n">
        <v>0</v>
      </c>
      <c r="L133" s="64" t="n"/>
      <c r="M133" s="64" t="n">
        <v>0</v>
      </c>
      <c r="N133" s="64" t="n">
        <v>0</v>
      </c>
      <c r="O133" s="64" t="n"/>
      <c r="P133" s="64" t="n"/>
      <c r="Q133" s="64" t="n"/>
      <c r="R133" s="64" t="inlineStr">
        <is>
          <t>https://github.com/DLu/oscar_data</t>
        </is>
      </c>
    </row>
    <row r="134">
      <c r="A134" t="inlineStr">
        <is>
          <t>F0130</t>
        </is>
      </c>
      <c r="B134" t="inlineStr">
        <is>
          <t>Grimsby</t>
        </is>
      </c>
      <c r="C134" t="inlineStr">
        <is>
          <t>2016</t>
        </is>
      </c>
      <c r="D134" t="n">
        <v>0</v>
      </c>
      <c r="E134" t="n">
        <v>0</v>
      </c>
      <c r="G134" t="n">
        <v>0</v>
      </c>
      <c r="H134" t="n">
        <v>0</v>
      </c>
      <c r="I134" s="64" t="n"/>
      <c r="J134" s="64" t="n">
        <v>0</v>
      </c>
      <c r="K134" s="64" t="n">
        <v>0</v>
      </c>
      <c r="L134" s="64" t="n"/>
      <c r="M134" s="64" t="n">
        <v>0</v>
      </c>
      <c r="N134" s="64" t="n">
        <v>0</v>
      </c>
      <c r="O134" s="64" t="n"/>
      <c r="P134" s="64" t="n"/>
      <c r="Q134" s="64" t="n"/>
      <c r="R134" s="64" t="inlineStr">
        <is>
          <t>https://github.com/DLu/oscar_data</t>
        </is>
      </c>
    </row>
    <row r="135">
      <c r="A135" t="inlineStr">
        <is>
          <t>F0131</t>
        </is>
      </c>
      <c r="B135" t="inlineStr">
        <is>
          <t>Grown Ups</t>
        </is>
      </c>
      <c r="C135" t="inlineStr">
        <is>
          <t>2010</t>
        </is>
      </c>
      <c r="D135" t="n">
        <v>0</v>
      </c>
      <c r="E135" t="n">
        <v>0</v>
      </c>
      <c r="G135" t="n">
        <v>0</v>
      </c>
      <c r="H135" t="n">
        <v>0</v>
      </c>
      <c r="I135" s="64" t="n"/>
      <c r="J135" s="64" t="n">
        <v>0</v>
      </c>
      <c r="K135" s="64" t="n">
        <v>0</v>
      </c>
      <c r="L135" s="64" t="n"/>
      <c r="M135" s="64" t="n">
        <v>0</v>
      </c>
      <c r="N135" s="64" t="n">
        <v>0</v>
      </c>
      <c r="O135" s="64" t="n"/>
      <c r="P135" s="64" t="n"/>
      <c r="Q135" s="64" t="n"/>
      <c r="R135" s="64" t="inlineStr">
        <is>
          <t>https://github.com/DLu/oscar_data</t>
        </is>
      </c>
    </row>
    <row r="136">
      <c r="A136" t="inlineStr">
        <is>
          <t>F0132</t>
        </is>
      </c>
      <c r="B136" t="inlineStr">
        <is>
          <t>Grown Ups 2</t>
        </is>
      </c>
      <c r="C136" t="inlineStr">
        <is>
          <t>2013</t>
        </is>
      </c>
      <c r="D136" t="n">
        <v>0</v>
      </c>
      <c r="E136" t="n">
        <v>0</v>
      </c>
      <c r="G136" t="n">
        <v>0</v>
      </c>
      <c r="H136" t="n">
        <v>0</v>
      </c>
      <c r="I136" s="64" t="n"/>
      <c r="J136" s="64" t="n">
        <v>0</v>
      </c>
      <c r="K136" s="64" t="n">
        <v>0</v>
      </c>
      <c r="L136" s="64" t="n"/>
      <c r="M136" s="64" t="n">
        <v>0</v>
      </c>
      <c r="N136" s="64" t="n">
        <v>0</v>
      </c>
      <c r="O136" s="64" t="n"/>
      <c r="P136" s="64" t="n"/>
      <c r="Q136" s="64" t="n"/>
      <c r="R136" s="64" t="inlineStr">
        <is>
          <t>https://github.com/DLu/oscar_data</t>
        </is>
      </c>
    </row>
    <row r="137" ht="30" customHeight="1" s="95">
      <c r="A137" t="inlineStr">
        <is>
          <t>F0133</t>
        </is>
      </c>
      <c r="B137" t="inlineStr">
        <is>
          <t>Hacksaw Ridge</t>
        </is>
      </c>
      <c r="C137" t="inlineStr">
        <is>
          <t>2016</t>
        </is>
      </c>
      <c r="D137" t="n">
        <v>6</v>
      </c>
      <c r="E137" t="n">
        <v>2</v>
      </c>
      <c r="F137" t="inlineStr">
        <is>
          <t>Nominated</t>
        </is>
      </c>
      <c r="G137" t="n">
        <v>1</v>
      </c>
      <c r="H137" t="n">
        <v>0</v>
      </c>
      <c r="I137" s="64" t="n"/>
      <c r="J137" s="64" t="n">
        <v>1</v>
      </c>
      <c r="K137" s="64" t="n">
        <v>0</v>
      </c>
      <c r="L137" s="64" t="n"/>
      <c r="M137" s="64" t="n">
        <v>0</v>
      </c>
      <c r="N137" s="64" t="n">
        <v>0</v>
      </c>
      <c r="O137" s="64" t="n"/>
      <c r="P137" s="64" t="inlineStr">
        <is>
          <t>FILM EDITING; SOUND MIXING</t>
        </is>
      </c>
      <c r="Q137" s="64" t="inlineStr">
        <is>
          <t>ACTOR IN A LEADING ROLE; DIRECTING; FILM EDITING; BEST PICTURE; SOUND EDITING; SOUND MIXING</t>
        </is>
      </c>
      <c r="R137" s="64" t="inlineStr">
        <is>
          <t>https://github.com/DLu/oscar_data</t>
        </is>
      </c>
    </row>
    <row r="138">
      <c r="A138" t="inlineStr">
        <is>
          <t>F0134</t>
        </is>
      </c>
      <c r="B138" t="inlineStr">
        <is>
          <t>The Hangover</t>
        </is>
      </c>
      <c r="C138" t="inlineStr">
        <is>
          <t>2009</t>
        </is>
      </c>
      <c r="D138" t="n">
        <v>0</v>
      </c>
      <c r="E138" t="n">
        <v>0</v>
      </c>
      <c r="G138" t="n">
        <v>0</v>
      </c>
      <c r="H138" t="n">
        <v>0</v>
      </c>
      <c r="I138" s="64" t="n"/>
      <c r="J138" s="64" t="n">
        <v>0</v>
      </c>
      <c r="K138" s="64" t="n">
        <v>0</v>
      </c>
      <c r="L138" s="64" t="n"/>
      <c r="M138" s="64" t="n">
        <v>0</v>
      </c>
      <c r="N138" s="64" t="n">
        <v>0</v>
      </c>
      <c r="O138" s="64" t="n"/>
      <c r="P138" s="64" t="n"/>
      <c r="Q138" s="64" t="n"/>
      <c r="R138" s="64" t="inlineStr">
        <is>
          <t>https://github.com/DLu/oscar_data</t>
        </is>
      </c>
    </row>
    <row r="139">
      <c r="A139" t="inlineStr">
        <is>
          <t>F0135</t>
        </is>
      </c>
      <c r="B139" t="inlineStr">
        <is>
          <t>The Hangover Part II</t>
        </is>
      </c>
      <c r="C139" t="inlineStr">
        <is>
          <t>2011</t>
        </is>
      </c>
      <c r="D139" t="n">
        <v>0</v>
      </c>
      <c r="E139" t="n">
        <v>0</v>
      </c>
      <c r="G139" t="n">
        <v>0</v>
      </c>
      <c r="H139" t="n">
        <v>0</v>
      </c>
      <c r="I139" s="64" t="n"/>
      <c r="J139" s="64" t="n">
        <v>0</v>
      </c>
      <c r="K139" s="64" t="n">
        <v>0</v>
      </c>
      <c r="L139" s="64" t="n"/>
      <c r="M139" s="64" t="n">
        <v>0</v>
      </c>
      <c r="N139" s="64" t="n">
        <v>0</v>
      </c>
      <c r="O139" s="64" t="n"/>
      <c r="P139" s="64" t="n"/>
      <c r="Q139" s="64" t="n"/>
      <c r="R139" s="64" t="inlineStr">
        <is>
          <t>https://github.com/DLu/oscar_data</t>
        </is>
      </c>
    </row>
    <row r="140">
      <c r="A140" t="inlineStr">
        <is>
          <t>F0136</t>
        </is>
      </c>
      <c r="B140" t="inlineStr">
        <is>
          <t>The Hangover Part III</t>
        </is>
      </c>
      <c r="C140" t="inlineStr">
        <is>
          <t>2013</t>
        </is>
      </c>
      <c r="D140" t="n">
        <v>0</v>
      </c>
      <c r="E140" t="n">
        <v>0</v>
      </c>
      <c r="G140" t="n">
        <v>0</v>
      </c>
      <c r="H140" t="n">
        <v>0</v>
      </c>
      <c r="I140" s="64" t="n"/>
      <c r="J140" s="64" t="n">
        <v>0</v>
      </c>
      <c r="K140" s="64" t="n">
        <v>0</v>
      </c>
      <c r="L140" s="64" t="n"/>
      <c r="M140" s="64" t="n">
        <v>0</v>
      </c>
      <c r="N140" s="64" t="n">
        <v>0</v>
      </c>
      <c r="O140" s="64" t="n"/>
      <c r="P140" s="64" t="n"/>
      <c r="Q140" s="64" t="n"/>
      <c r="R140" s="64" t="inlineStr">
        <is>
          <t>https://github.com/DLu/oscar_data</t>
        </is>
      </c>
    </row>
    <row r="141">
      <c r="A141" t="inlineStr">
        <is>
          <t>F0137</t>
        </is>
      </c>
      <c r="B141" t="inlineStr">
        <is>
          <t>Harry Potter and the Philosopher's Stone</t>
        </is>
      </c>
      <c r="C141" t="inlineStr">
        <is>
          <t>2001</t>
        </is>
      </c>
      <c r="D141" t="n">
        <v>0</v>
      </c>
      <c r="E141" t="n">
        <v>0</v>
      </c>
      <c r="G141" t="n">
        <v>0</v>
      </c>
      <c r="H141" t="n">
        <v>0</v>
      </c>
      <c r="I141" s="64" t="n"/>
      <c r="J141" s="64" t="n">
        <v>0</v>
      </c>
      <c r="K141" s="64" t="n">
        <v>0</v>
      </c>
      <c r="L141" s="64" t="n"/>
      <c r="M141" s="64" t="n">
        <v>0</v>
      </c>
      <c r="N141" s="64" t="n">
        <v>0</v>
      </c>
      <c r="O141" s="64" t="n"/>
      <c r="P141" s="64" t="n"/>
      <c r="Q141" s="64" t="n"/>
      <c r="R141" s="64" t="inlineStr">
        <is>
          <t>https://github.com/DLu/oscar_data</t>
        </is>
      </c>
    </row>
    <row r="142">
      <c r="A142" t="inlineStr">
        <is>
          <t>F0138</t>
        </is>
      </c>
      <c r="B142" t="inlineStr">
        <is>
          <t>Harry Potter and the Chamber of Secrets</t>
        </is>
      </c>
      <c r="C142" t="inlineStr">
        <is>
          <t>2002</t>
        </is>
      </c>
      <c r="D142" t="n">
        <v>0</v>
      </c>
      <c r="E142" t="n">
        <v>0</v>
      </c>
      <c r="G142" t="n">
        <v>0</v>
      </c>
      <c r="H142" t="n">
        <v>0</v>
      </c>
      <c r="I142" s="64" t="n"/>
      <c r="J142" s="64" t="n">
        <v>0</v>
      </c>
      <c r="K142" s="64" t="n">
        <v>0</v>
      </c>
      <c r="L142" s="64" t="n"/>
      <c r="M142" s="64" t="n">
        <v>0</v>
      </c>
      <c r="N142" s="64" t="n">
        <v>0</v>
      </c>
      <c r="O142" s="64" t="n"/>
      <c r="P142" s="64" t="n"/>
      <c r="Q142" s="64" t="n"/>
      <c r="R142" s="64" t="inlineStr">
        <is>
          <t>https://github.com/DLu/oscar_data</t>
        </is>
      </c>
    </row>
    <row r="143">
      <c r="A143" t="inlineStr">
        <is>
          <t>F0139</t>
        </is>
      </c>
      <c r="B143" t="inlineStr">
        <is>
          <t>Harry Potter and the Prisoner of Azkaban</t>
        </is>
      </c>
      <c r="C143" t="inlineStr">
        <is>
          <t>2004</t>
        </is>
      </c>
      <c r="D143" t="n">
        <v>2</v>
      </c>
      <c r="E143" t="n">
        <v>0</v>
      </c>
      <c r="G143" t="n">
        <v>0</v>
      </c>
      <c r="H143" t="n">
        <v>0</v>
      </c>
      <c r="I143" s="64" t="n"/>
      <c r="J143" s="64" t="n">
        <v>0</v>
      </c>
      <c r="K143" s="64" t="n">
        <v>0</v>
      </c>
      <c r="L143" s="64" t="n"/>
      <c r="M143" s="64" t="n">
        <v>0</v>
      </c>
      <c r="N143" s="64" t="n">
        <v>0</v>
      </c>
      <c r="O143" s="64" t="n"/>
      <c r="P143" s="64" t="n"/>
      <c r="Q143" s="64" t="inlineStr">
        <is>
          <t>MUSIC (Original Score); VISUAL EFFECTS</t>
        </is>
      </c>
      <c r="R143" s="64" t="inlineStr">
        <is>
          <t>https://github.com/DLu/oscar_data</t>
        </is>
      </c>
    </row>
    <row r="144">
      <c r="A144" t="inlineStr">
        <is>
          <t>F0140</t>
        </is>
      </c>
      <c r="B144" t="inlineStr">
        <is>
          <t>Harry Potter and the Goblet of Fire</t>
        </is>
      </c>
      <c r="C144" t="inlineStr">
        <is>
          <t>2005</t>
        </is>
      </c>
      <c r="D144" t="n">
        <v>1</v>
      </c>
      <c r="E144" t="n">
        <v>0</v>
      </c>
      <c r="G144" t="n">
        <v>0</v>
      </c>
      <c r="H144" t="n">
        <v>0</v>
      </c>
      <c r="I144" s="64" t="n"/>
      <c r="J144" s="64" t="n">
        <v>0</v>
      </c>
      <c r="K144" s="64" t="n">
        <v>0</v>
      </c>
      <c r="L144" s="64" t="n"/>
      <c r="M144" s="64" t="n">
        <v>0</v>
      </c>
      <c r="N144" s="64" t="n">
        <v>0</v>
      </c>
      <c r="O144" s="64" t="n"/>
      <c r="P144" s="64" t="n"/>
      <c r="Q144" s="64" t="inlineStr">
        <is>
          <t>ART DIRECTION</t>
        </is>
      </c>
      <c r="R144" s="64" t="inlineStr">
        <is>
          <t>https://github.com/DLu/oscar_data</t>
        </is>
      </c>
    </row>
    <row r="145">
      <c r="A145" t="inlineStr">
        <is>
          <t>F0141</t>
        </is>
      </c>
      <c r="B145" t="inlineStr">
        <is>
          <t>Harry Potter and the Order of the Phoenix</t>
        </is>
      </c>
      <c r="C145" t="inlineStr">
        <is>
          <t>2007</t>
        </is>
      </c>
      <c r="D145" t="n">
        <v>0</v>
      </c>
      <c r="E145" t="n">
        <v>0</v>
      </c>
      <c r="G145" t="n">
        <v>0</v>
      </c>
      <c r="H145" t="n">
        <v>0</v>
      </c>
      <c r="I145" s="64" t="n"/>
      <c r="J145" s="64" t="n">
        <v>0</v>
      </c>
      <c r="K145" s="64" t="n">
        <v>0</v>
      </c>
      <c r="L145" s="64" t="n"/>
      <c r="M145" s="64" t="n">
        <v>0</v>
      </c>
      <c r="N145" s="64" t="n">
        <v>0</v>
      </c>
      <c r="O145" s="64" t="n"/>
      <c r="P145" s="64" t="n"/>
      <c r="Q145" s="64" t="n"/>
      <c r="R145" s="64" t="inlineStr">
        <is>
          <t>https://github.com/DLu/oscar_data</t>
        </is>
      </c>
    </row>
    <row r="146">
      <c r="A146" t="inlineStr">
        <is>
          <t>F0142</t>
        </is>
      </c>
      <c r="B146" t="inlineStr">
        <is>
          <t>Harry Potter and the Half-Blood Prince</t>
        </is>
      </c>
      <c r="C146" t="inlineStr">
        <is>
          <t>2009</t>
        </is>
      </c>
      <c r="D146" t="n">
        <v>1</v>
      </c>
      <c r="E146" t="n">
        <v>0</v>
      </c>
      <c r="G146" t="n">
        <v>0</v>
      </c>
      <c r="H146" t="n">
        <v>0</v>
      </c>
      <c r="I146" s="64" t="n"/>
      <c r="J146" s="64" t="n">
        <v>0</v>
      </c>
      <c r="K146" s="64" t="n">
        <v>0</v>
      </c>
      <c r="L146" s="64" t="n"/>
      <c r="M146" s="64" t="n">
        <v>0</v>
      </c>
      <c r="N146" s="64" t="n">
        <v>0</v>
      </c>
      <c r="O146" s="64" t="n"/>
      <c r="P146" s="64" t="n"/>
      <c r="Q146" s="64" t="inlineStr">
        <is>
          <t>CINEMATOGRAPHY</t>
        </is>
      </c>
      <c r="R146" s="64" t="inlineStr">
        <is>
          <t>https://github.com/DLu/oscar_data</t>
        </is>
      </c>
    </row>
    <row r="147">
      <c r="A147" t="inlineStr">
        <is>
          <t>F0143</t>
        </is>
      </c>
      <c r="B147" t="inlineStr">
        <is>
          <t>Harry Potter and the Deathly Hallows: Part 1</t>
        </is>
      </c>
      <c r="C147" t="inlineStr">
        <is>
          <t>2010</t>
        </is>
      </c>
      <c r="D147" t="n">
        <v>2</v>
      </c>
      <c r="E147" t="n">
        <v>0</v>
      </c>
      <c r="G147" t="n">
        <v>0</v>
      </c>
      <c r="H147" t="n">
        <v>0</v>
      </c>
      <c r="I147" s="64" t="n"/>
      <c r="J147" s="64" t="n">
        <v>0</v>
      </c>
      <c r="K147" s="64" t="n">
        <v>0</v>
      </c>
      <c r="L147" s="64" t="n"/>
      <c r="M147" s="64" t="n">
        <v>0</v>
      </c>
      <c r="N147" s="64" t="n">
        <v>0</v>
      </c>
      <c r="O147" s="64" t="n"/>
      <c r="P147" s="64" t="n"/>
      <c r="Q147" s="64" t="inlineStr">
        <is>
          <t>ART DIRECTION; VISUAL EFFECTS</t>
        </is>
      </c>
      <c r="R147" s="64" t="inlineStr">
        <is>
          <t>https://github.com/DLu/oscar_data</t>
        </is>
      </c>
    </row>
    <row r="148">
      <c r="A148" t="inlineStr">
        <is>
          <t>F0144</t>
        </is>
      </c>
      <c r="B148" t="inlineStr">
        <is>
          <t>Harry Potter and the Deathly Hallows: Part 2</t>
        </is>
      </c>
      <c r="C148" t="inlineStr">
        <is>
          <t>2011</t>
        </is>
      </c>
      <c r="D148" t="n">
        <v>3</v>
      </c>
      <c r="E148" t="n">
        <v>0</v>
      </c>
      <c r="G148" t="n">
        <v>0</v>
      </c>
      <c r="H148" t="n">
        <v>0</v>
      </c>
      <c r="I148" s="64" t="n"/>
      <c r="J148" s="64" t="n">
        <v>0</v>
      </c>
      <c r="K148" s="64" t="n">
        <v>0</v>
      </c>
      <c r="L148" s="64" t="n"/>
      <c r="M148" s="64" t="n">
        <v>0</v>
      </c>
      <c r="N148" s="64" t="n">
        <v>0</v>
      </c>
      <c r="O148" s="64" t="n"/>
      <c r="P148" s="64" t="n"/>
      <c r="Q148" s="64" t="inlineStr">
        <is>
          <t>ART DIRECTION; MAKEUP AND HAIRSTYLING; VISUAL EFFECTS</t>
        </is>
      </c>
      <c r="R148" s="64" t="inlineStr">
        <is>
          <t>https://github.com/DLu/oscar_data</t>
        </is>
      </c>
    </row>
    <row r="149">
      <c r="A149" t="inlineStr">
        <is>
          <t>F0145</t>
        </is>
      </c>
      <c r="B149" t="inlineStr">
        <is>
          <t>Happy Feet Two</t>
        </is>
      </c>
      <c r="C149" t="inlineStr">
        <is>
          <t>2011</t>
        </is>
      </c>
      <c r="D149" t="n">
        <v>0</v>
      </c>
      <c r="E149" t="n">
        <v>0</v>
      </c>
      <c r="G149" t="n">
        <v>0</v>
      </c>
      <c r="H149" t="n">
        <v>0</v>
      </c>
      <c r="I149" s="64" t="n"/>
      <c r="J149" s="64" t="n">
        <v>0</v>
      </c>
      <c r="K149" s="64" t="n">
        <v>0</v>
      </c>
      <c r="L149" s="64" t="n"/>
      <c r="M149" s="64" t="n">
        <v>0</v>
      </c>
      <c r="N149" s="64" t="n">
        <v>0</v>
      </c>
      <c r="O149" s="64" t="n"/>
      <c r="P149" s="64" t="n"/>
      <c r="Q149" s="64" t="n"/>
      <c r="R149" s="64" t="inlineStr">
        <is>
          <t>https://github.com/DLu/oscar_data</t>
        </is>
      </c>
    </row>
    <row r="150">
      <c r="A150" t="inlineStr">
        <is>
          <t>F0146</t>
        </is>
      </c>
      <c r="B150" t="inlineStr">
        <is>
          <t>The Heat</t>
        </is>
      </c>
      <c r="C150" t="inlineStr">
        <is>
          <t>2013</t>
        </is>
      </c>
      <c r="D150" t="n">
        <v>0</v>
      </c>
      <c r="E150" t="n">
        <v>0</v>
      </c>
      <c r="G150" t="n">
        <v>0</v>
      </c>
      <c r="H150" t="n">
        <v>0</v>
      </c>
      <c r="I150" s="64" t="n"/>
      <c r="J150" s="64" t="n">
        <v>0</v>
      </c>
      <c r="K150" s="64" t="n">
        <v>0</v>
      </c>
      <c r="L150" s="64" t="n"/>
      <c r="M150" s="64" t="n">
        <v>0</v>
      </c>
      <c r="N150" s="64" t="n">
        <v>0</v>
      </c>
      <c r="O150" s="64" t="n"/>
      <c r="P150" s="64" t="n"/>
      <c r="Q150" s="64" t="n"/>
      <c r="R150" s="64" t="inlineStr">
        <is>
          <t>https://github.com/DLu/oscar_data</t>
        </is>
      </c>
    </row>
    <row r="151">
      <c r="A151" t="inlineStr">
        <is>
          <t>F0147</t>
        </is>
      </c>
      <c r="B151" t="inlineStr">
        <is>
          <t>Hercules</t>
        </is>
      </c>
      <c r="C151" t="inlineStr">
        <is>
          <t>2014</t>
        </is>
      </c>
      <c r="D151" t="n">
        <v>0</v>
      </c>
      <c r="E151" t="n">
        <v>0</v>
      </c>
      <c r="G151" t="n">
        <v>0</v>
      </c>
      <c r="H151" t="n">
        <v>0</v>
      </c>
      <c r="I151" s="64" t="n"/>
      <c r="J151" s="64" t="n">
        <v>0</v>
      </c>
      <c r="K151" s="64" t="n">
        <v>0</v>
      </c>
      <c r="L151" s="64" t="n"/>
      <c r="M151" s="64" t="n">
        <v>0</v>
      </c>
      <c r="N151" s="64" t="n">
        <v>0</v>
      </c>
      <c r="O151" s="64" t="n"/>
      <c r="P151" s="64" t="n"/>
      <c r="Q151" s="64" t="n"/>
      <c r="R151" s="64" t="inlineStr">
        <is>
          <t>https://github.com/DLu/oscar_data</t>
        </is>
      </c>
    </row>
    <row r="152">
      <c r="A152" t="inlineStr">
        <is>
          <t>F0148</t>
        </is>
      </c>
      <c r="B152" t="inlineStr">
        <is>
          <t>The Legend of Hercules</t>
        </is>
      </c>
      <c r="C152" t="inlineStr">
        <is>
          <t>2014</t>
        </is>
      </c>
      <c r="D152" t="n">
        <v>0</v>
      </c>
      <c r="E152" t="n">
        <v>0</v>
      </c>
      <c r="G152" t="n">
        <v>0</v>
      </c>
      <c r="H152" t="n">
        <v>0</v>
      </c>
      <c r="I152" s="64" t="n"/>
      <c r="J152" s="64" t="n">
        <v>0</v>
      </c>
      <c r="K152" s="64" t="n">
        <v>0</v>
      </c>
      <c r="L152" s="64" t="n"/>
      <c r="M152" s="64" t="n">
        <v>0</v>
      </c>
      <c r="N152" s="64" t="n">
        <v>0</v>
      </c>
      <c r="O152" s="64" t="n"/>
      <c r="P152" s="64" t="n"/>
      <c r="Q152" s="64" t="n"/>
      <c r="R152" s="64" t="inlineStr">
        <is>
          <t>https://github.com/DLu/oscar_data</t>
        </is>
      </c>
    </row>
    <row r="153">
      <c r="A153" t="inlineStr">
        <is>
          <t>F0149</t>
        </is>
      </c>
      <c r="B153" t="inlineStr">
        <is>
          <t>The Hitman's Bodyguard</t>
        </is>
      </c>
      <c r="C153" t="inlineStr">
        <is>
          <t>2017</t>
        </is>
      </c>
      <c r="D153" t="n">
        <v>0</v>
      </c>
      <c r="E153" t="n">
        <v>0</v>
      </c>
      <c r="G153" t="n">
        <v>0</v>
      </c>
      <c r="H153" t="n">
        <v>0</v>
      </c>
      <c r="I153" s="64" t="n"/>
      <c r="J153" s="64" t="n">
        <v>0</v>
      </c>
      <c r="K153" s="64" t="n">
        <v>0</v>
      </c>
      <c r="L153" s="64" t="n"/>
      <c r="M153" s="64" t="n">
        <v>0</v>
      </c>
      <c r="N153" s="64" t="n">
        <v>0</v>
      </c>
      <c r="O153" s="64" t="n"/>
      <c r="P153" s="64" t="n"/>
      <c r="Q153" s="64" t="n"/>
      <c r="R153" s="64" t="inlineStr">
        <is>
          <t>https://github.com/DLu/oscar_data</t>
        </is>
      </c>
    </row>
    <row r="154">
      <c r="A154" t="inlineStr">
        <is>
          <t>F0150</t>
        </is>
      </c>
      <c r="B154" t="inlineStr">
        <is>
          <t>The Hobbit: An Unexpected Journey</t>
        </is>
      </c>
      <c r="C154" t="inlineStr">
        <is>
          <t>2012</t>
        </is>
      </c>
      <c r="D154" t="n">
        <v>3</v>
      </c>
      <c r="E154" t="n">
        <v>0</v>
      </c>
      <c r="G154" t="n">
        <v>0</v>
      </c>
      <c r="H154" t="n">
        <v>0</v>
      </c>
      <c r="I154" s="64" t="n"/>
      <c r="J154" s="64" t="n">
        <v>0</v>
      </c>
      <c r="K154" s="64" t="n">
        <v>0</v>
      </c>
      <c r="L154" s="64" t="n"/>
      <c r="M154" s="64" t="n">
        <v>0</v>
      </c>
      <c r="N154" s="64" t="n">
        <v>0</v>
      </c>
      <c r="O154" s="64" t="n"/>
      <c r="P154" s="64" t="n"/>
      <c r="Q154" s="64" t="inlineStr">
        <is>
          <t>MAKEUP AND HAIRSTYLING; ART DIRECTION; VISUAL EFFECTS</t>
        </is>
      </c>
      <c r="R154" s="64" t="inlineStr">
        <is>
          <t>https://github.com/DLu/oscar_data</t>
        </is>
      </c>
    </row>
    <row r="155">
      <c r="A155" t="inlineStr">
        <is>
          <t>F0151</t>
        </is>
      </c>
      <c r="B155" t="inlineStr">
        <is>
          <t>The Hobbit: The Desolation of Smaug</t>
        </is>
      </c>
      <c r="C155" t="inlineStr">
        <is>
          <t>2013</t>
        </is>
      </c>
      <c r="D155" t="n">
        <v>3</v>
      </c>
      <c r="E155" t="n">
        <v>0</v>
      </c>
      <c r="G155" t="n">
        <v>0</v>
      </c>
      <c r="H155" t="n">
        <v>0</v>
      </c>
      <c r="I155" s="64" t="n"/>
      <c r="J155" s="64" t="n">
        <v>0</v>
      </c>
      <c r="K155" s="64" t="n">
        <v>0</v>
      </c>
      <c r="L155" s="64" t="n"/>
      <c r="M155" s="64" t="n">
        <v>0</v>
      </c>
      <c r="N155" s="64" t="n">
        <v>0</v>
      </c>
      <c r="O155" s="64" t="n"/>
      <c r="P155" s="64" t="n"/>
      <c r="Q155" s="64" t="inlineStr">
        <is>
          <t>SOUND EDITING; SOUND MIXING; VISUAL EFFECTS</t>
        </is>
      </c>
      <c r="R155" s="64" t="inlineStr">
        <is>
          <t>https://github.com/DLu/oscar_data</t>
        </is>
      </c>
    </row>
    <row r="156">
      <c r="A156" t="inlineStr">
        <is>
          <t>F0152</t>
        </is>
      </c>
      <c r="B156" t="inlineStr">
        <is>
          <t>The Hobbit: The Battle of the Five Armies</t>
        </is>
      </c>
      <c r="C156" t="inlineStr">
        <is>
          <t>2014</t>
        </is>
      </c>
      <c r="D156" t="n">
        <v>1</v>
      </c>
      <c r="E156" t="n">
        <v>0</v>
      </c>
      <c r="G156" t="n">
        <v>0</v>
      </c>
      <c r="H156" t="n">
        <v>0</v>
      </c>
      <c r="I156" s="64" t="n"/>
      <c r="J156" s="64" t="n">
        <v>0</v>
      </c>
      <c r="K156" s="64" t="n">
        <v>0</v>
      </c>
      <c r="L156" s="64" t="n"/>
      <c r="M156" s="64" t="n">
        <v>0</v>
      </c>
      <c r="N156" s="64" t="n">
        <v>0</v>
      </c>
      <c r="O156" s="64" t="n"/>
      <c r="P156" s="64" t="n"/>
      <c r="Q156" s="64" t="inlineStr">
        <is>
          <t>SOUND EDITING</t>
        </is>
      </c>
      <c r="R156" s="64" t="inlineStr">
        <is>
          <t>https://github.com/DLu/oscar_data</t>
        </is>
      </c>
    </row>
    <row r="157">
      <c r="A157" t="inlineStr">
        <is>
          <t>F0153</t>
        </is>
      </c>
      <c r="B157" t="inlineStr">
        <is>
          <t>Home</t>
        </is>
      </c>
      <c r="C157" t="inlineStr">
        <is>
          <t>2015</t>
        </is>
      </c>
      <c r="D157" t="n">
        <v>0</v>
      </c>
      <c r="E157" t="n">
        <v>0</v>
      </c>
      <c r="G157" t="n">
        <v>0</v>
      </c>
      <c r="H157" t="n">
        <v>0</v>
      </c>
      <c r="I157" s="64" t="n"/>
      <c r="J157" s="64" t="n">
        <v>0</v>
      </c>
      <c r="K157" s="64" t="n">
        <v>0</v>
      </c>
      <c r="L157" s="64" t="n"/>
      <c r="M157" s="64" t="n">
        <v>0</v>
      </c>
      <c r="N157" s="64" t="n">
        <v>0</v>
      </c>
      <c r="O157" s="64" t="n"/>
      <c r="P157" s="64" t="n"/>
      <c r="Q157" s="64" t="n"/>
      <c r="R157" s="64" t="inlineStr">
        <is>
          <t>https://github.com/DLu/oscar_data</t>
        </is>
      </c>
    </row>
    <row r="158">
      <c r="A158" t="inlineStr">
        <is>
          <t>F0154</t>
        </is>
      </c>
      <c r="B158" t="inlineStr">
        <is>
          <t>How to Train Your Dragon</t>
        </is>
      </c>
      <c r="C158" t="inlineStr">
        <is>
          <t>2010</t>
        </is>
      </c>
      <c r="D158" t="n">
        <v>2</v>
      </c>
      <c r="E158" t="n">
        <v>0</v>
      </c>
      <c r="G158" t="n">
        <v>0</v>
      </c>
      <c r="H158" t="n">
        <v>0</v>
      </c>
      <c r="I158" s="64" t="n"/>
      <c r="J158" s="64" t="n">
        <v>0</v>
      </c>
      <c r="K158" s="64" t="n">
        <v>0</v>
      </c>
      <c r="L158" s="64" t="n"/>
      <c r="M158" s="64" t="n">
        <v>0</v>
      </c>
      <c r="N158" s="64" t="n">
        <v>0</v>
      </c>
      <c r="O158" s="64" t="inlineStr">
        <is>
          <t>Nominated</t>
        </is>
      </c>
      <c r="P158" s="64" t="n"/>
      <c r="Q158" s="64" t="inlineStr">
        <is>
          <t>ANIMATED FEATURE FILM; MUSIC (Original Score)</t>
        </is>
      </c>
      <c r="R158" s="64" t="inlineStr">
        <is>
          <t>https://github.com/DLu/oscar_data</t>
        </is>
      </c>
    </row>
    <row r="159">
      <c r="A159" t="inlineStr">
        <is>
          <t>F0155</t>
        </is>
      </c>
      <c r="B159" t="inlineStr">
        <is>
          <t>How to Train Your Dragon 2</t>
        </is>
      </c>
      <c r="C159" t="inlineStr">
        <is>
          <t>2014</t>
        </is>
      </c>
      <c r="D159" t="n">
        <v>1</v>
      </c>
      <c r="E159" t="n">
        <v>0</v>
      </c>
      <c r="G159" t="n">
        <v>0</v>
      </c>
      <c r="H159" t="n">
        <v>0</v>
      </c>
      <c r="I159" s="64" t="n"/>
      <c r="J159" s="64" t="n">
        <v>0</v>
      </c>
      <c r="K159" s="64" t="n">
        <v>0</v>
      </c>
      <c r="L159" s="64" t="n"/>
      <c r="M159" s="64" t="n">
        <v>0</v>
      </c>
      <c r="N159" s="64" t="n">
        <v>0</v>
      </c>
      <c r="O159" s="64" t="inlineStr">
        <is>
          <t>Nominated</t>
        </is>
      </c>
      <c r="P159" s="64" t="n"/>
      <c r="Q159" s="64" t="inlineStr">
        <is>
          <t>ANIMATED FEATURE FILM</t>
        </is>
      </c>
      <c r="R159" s="64" t="inlineStr">
        <is>
          <t>https://github.com/DLu/oscar_data</t>
        </is>
      </c>
    </row>
    <row r="160">
      <c r="A160" t="inlineStr">
        <is>
          <t>F0156</t>
        </is>
      </c>
      <c r="B160" t="inlineStr">
        <is>
          <t>Hummingbird</t>
        </is>
      </c>
      <c r="C160" t="inlineStr">
        <is>
          <t>2013</t>
        </is>
      </c>
      <c r="D160" t="n">
        <v>0</v>
      </c>
      <c r="E160" t="n">
        <v>0</v>
      </c>
      <c r="G160" t="n">
        <v>0</v>
      </c>
      <c r="H160" t="n">
        <v>0</v>
      </c>
      <c r="I160" s="64" t="n"/>
      <c r="J160" s="64" t="n">
        <v>0</v>
      </c>
      <c r="K160" s="64" t="n">
        <v>0</v>
      </c>
      <c r="L160" s="64" t="n"/>
      <c r="M160" s="64" t="n">
        <v>0</v>
      </c>
      <c r="N160" s="64" t="n">
        <v>0</v>
      </c>
      <c r="O160" s="64" t="n"/>
      <c r="P160" s="64" t="n"/>
      <c r="Q160" s="64" t="n"/>
      <c r="R160" s="64" t="inlineStr">
        <is>
          <t>https://github.com/DLu/oscar_data</t>
        </is>
      </c>
    </row>
    <row r="161">
      <c r="A161" t="inlineStr">
        <is>
          <t>F0157</t>
        </is>
      </c>
      <c r="B161" t="inlineStr">
        <is>
          <t>The Hunger Games</t>
        </is>
      </c>
      <c r="C161" t="inlineStr">
        <is>
          <t>2012</t>
        </is>
      </c>
      <c r="D161" t="n">
        <v>0</v>
      </c>
      <c r="E161" t="n">
        <v>0</v>
      </c>
      <c r="G161" t="n">
        <v>0</v>
      </c>
      <c r="H161" t="n">
        <v>0</v>
      </c>
      <c r="I161" s="64" t="n"/>
      <c r="J161" s="64" t="n">
        <v>0</v>
      </c>
      <c r="K161" s="64" t="n">
        <v>0</v>
      </c>
      <c r="L161" s="64" t="n"/>
      <c r="M161" s="64" t="n">
        <v>0</v>
      </c>
      <c r="N161" s="64" t="n">
        <v>0</v>
      </c>
      <c r="O161" s="64" t="n"/>
      <c r="P161" s="64" t="n"/>
      <c r="Q161" s="64" t="n"/>
      <c r="R161" s="64" t="inlineStr">
        <is>
          <t>https://github.com/DLu/oscar_data</t>
        </is>
      </c>
    </row>
    <row r="162">
      <c r="A162" t="inlineStr">
        <is>
          <t>F0158</t>
        </is>
      </c>
      <c r="B162" t="inlineStr">
        <is>
          <t>The Hunger Games: Mockingjay - Part 1</t>
        </is>
      </c>
      <c r="C162" t="inlineStr">
        <is>
          <t>2014</t>
        </is>
      </c>
      <c r="D162" t="n">
        <v>0</v>
      </c>
      <c r="E162" t="n">
        <v>0</v>
      </c>
      <c r="G162" t="n">
        <v>0</v>
      </c>
      <c r="H162" t="n">
        <v>0</v>
      </c>
      <c r="I162" s="64" t="n"/>
      <c r="J162" s="64" t="n">
        <v>0</v>
      </c>
      <c r="K162" s="64" t="n">
        <v>0</v>
      </c>
      <c r="L162" s="64" t="n"/>
      <c r="M162" s="64" t="n">
        <v>0</v>
      </c>
      <c r="N162" s="64" t="n">
        <v>0</v>
      </c>
      <c r="O162" s="64" t="n"/>
      <c r="P162" s="64" t="n"/>
      <c r="Q162" s="64" t="n"/>
      <c r="R162" s="64" t="inlineStr">
        <is>
          <t>https://github.com/DLu/oscar_data</t>
        </is>
      </c>
    </row>
    <row r="163">
      <c r="A163" t="inlineStr">
        <is>
          <t>F0159</t>
        </is>
      </c>
      <c r="B163" t="inlineStr">
        <is>
          <t>I, Frankenstein</t>
        </is>
      </c>
      <c r="C163" t="inlineStr">
        <is>
          <t>2014</t>
        </is>
      </c>
      <c r="D163" t="n">
        <v>0</v>
      </c>
      <c r="E163" t="n">
        <v>0</v>
      </c>
      <c r="G163" t="n">
        <v>0</v>
      </c>
      <c r="H163" t="n">
        <v>0</v>
      </c>
      <c r="I163" s="64" t="n"/>
      <c r="J163" s="64" t="n">
        <v>0</v>
      </c>
      <c r="K163" s="64" t="n">
        <v>0</v>
      </c>
      <c r="L163" s="64" t="n"/>
      <c r="M163" s="64" t="n">
        <v>0</v>
      </c>
      <c r="N163" s="64" t="n">
        <v>0</v>
      </c>
      <c r="O163" s="64" t="n"/>
      <c r="P163" s="64" t="n"/>
      <c r="Q163" s="64" t="n"/>
      <c r="R163" s="64" t="inlineStr">
        <is>
          <t>https://github.com/DLu/oscar_data</t>
        </is>
      </c>
    </row>
    <row r="164">
      <c r="A164" t="inlineStr">
        <is>
          <t>F0160</t>
        </is>
      </c>
      <c r="B164" t="inlineStr">
        <is>
          <t>Ice Age: The Meltdown</t>
        </is>
      </c>
      <c r="C164" t="inlineStr">
        <is>
          <t>2006</t>
        </is>
      </c>
      <c r="D164" t="n">
        <v>0</v>
      </c>
      <c r="E164" t="n">
        <v>0</v>
      </c>
      <c r="G164" t="n">
        <v>0</v>
      </c>
      <c r="H164" t="n">
        <v>0</v>
      </c>
      <c r="I164" s="64" t="n"/>
      <c r="J164" s="64" t="n">
        <v>0</v>
      </c>
      <c r="K164" s="64" t="n">
        <v>0</v>
      </c>
      <c r="L164" s="64" t="n"/>
      <c r="M164" s="64" t="n">
        <v>0</v>
      </c>
      <c r="N164" s="64" t="n">
        <v>0</v>
      </c>
      <c r="O164" s="64" t="n"/>
      <c r="P164" s="64" t="n"/>
      <c r="Q164" s="64" t="n"/>
      <c r="R164" s="64" t="inlineStr">
        <is>
          <t>https://github.com/DLu/oscar_data</t>
        </is>
      </c>
    </row>
    <row r="165">
      <c r="A165" t="inlineStr">
        <is>
          <t>F0161</t>
        </is>
      </c>
      <c r="B165" t="inlineStr">
        <is>
          <t>Ice Age: Dawn of the Dinosaurs</t>
        </is>
      </c>
      <c r="C165" t="inlineStr">
        <is>
          <t>2009</t>
        </is>
      </c>
      <c r="D165" t="n">
        <v>0</v>
      </c>
      <c r="E165" t="n">
        <v>0</v>
      </c>
      <c r="G165" t="n">
        <v>0</v>
      </c>
      <c r="H165" t="n">
        <v>0</v>
      </c>
      <c r="I165" s="64" t="n"/>
      <c r="J165" s="64" t="n">
        <v>0</v>
      </c>
      <c r="K165" s="64" t="n">
        <v>0</v>
      </c>
      <c r="L165" s="64" t="n"/>
      <c r="M165" s="64" t="n">
        <v>0</v>
      </c>
      <c r="N165" s="64" t="n">
        <v>0</v>
      </c>
      <c r="O165" s="64" t="n"/>
      <c r="P165" s="64" t="n"/>
      <c r="Q165" s="64" t="n"/>
      <c r="R165" s="64" t="inlineStr">
        <is>
          <t>https://github.com/DLu/oscar_data</t>
        </is>
      </c>
    </row>
    <row r="166" ht="45" customHeight="1" s="95">
      <c r="A166" t="inlineStr">
        <is>
          <t>F0162</t>
        </is>
      </c>
      <c r="B166" t="inlineStr">
        <is>
          <t>The Imitation Game</t>
        </is>
      </c>
      <c r="C166" t="inlineStr">
        <is>
          <t>2014</t>
        </is>
      </c>
      <c r="D166" t="n">
        <v>8</v>
      </c>
      <c r="E166" t="n">
        <v>1</v>
      </c>
      <c r="F166" t="inlineStr">
        <is>
          <t>Nominated</t>
        </is>
      </c>
      <c r="G166" t="n">
        <v>2</v>
      </c>
      <c r="H166" t="n">
        <v>0</v>
      </c>
      <c r="I166" s="64" t="n"/>
      <c r="J166" s="64" t="n">
        <v>1</v>
      </c>
      <c r="K166" s="64" t="n">
        <v>0</v>
      </c>
      <c r="L166" s="64" t="n"/>
      <c r="M166" s="64" t="n">
        <v>1</v>
      </c>
      <c r="N166" s="64" t="n">
        <v>1</v>
      </c>
      <c r="O166" s="64" t="n"/>
      <c r="P166" s="64" t="inlineStr">
        <is>
          <t>WRITING (Adapted Screenplay)</t>
        </is>
      </c>
      <c r="Q166" s="64" t="inlineStr">
        <is>
          <t>ACTOR IN A LEADING ROLE; ACTRESS IN A SUPPORTING ROLE; DIRECTING; FILM EDITING; MUSIC (Original Score); BEST PICTURE; ART DIRECTION; WRITING (Adapted Screenplay)</t>
        </is>
      </c>
      <c r="R166" s="64" t="inlineStr">
        <is>
          <t>https://github.com/DLu/oscar_data</t>
        </is>
      </c>
    </row>
    <row r="167">
      <c r="A167" t="inlineStr">
        <is>
          <t>F0163</t>
        </is>
      </c>
      <c r="B167" t="inlineStr">
        <is>
          <t>The Inbetweeners Movie</t>
        </is>
      </c>
      <c r="C167" t="inlineStr">
        <is>
          <t>2011</t>
        </is>
      </c>
      <c r="D167" t="n">
        <v>0</v>
      </c>
      <c r="E167" t="n">
        <v>0</v>
      </c>
      <c r="G167" t="n">
        <v>0</v>
      </c>
      <c r="H167" t="n">
        <v>0</v>
      </c>
      <c r="I167" s="64" t="n"/>
      <c r="J167" s="64" t="n">
        <v>0</v>
      </c>
      <c r="K167" s="64" t="n">
        <v>0</v>
      </c>
      <c r="L167" s="64" t="n"/>
      <c r="M167" s="64" t="n">
        <v>0</v>
      </c>
      <c r="N167" s="64" t="n">
        <v>0</v>
      </c>
      <c r="O167" s="64" t="n"/>
      <c r="P167" s="64" t="n"/>
      <c r="Q167" s="64" t="n"/>
      <c r="R167" s="64" t="inlineStr">
        <is>
          <t>https://github.com/DLu/oscar_data</t>
        </is>
      </c>
    </row>
    <row r="168">
      <c r="A168" t="inlineStr">
        <is>
          <t>F0164</t>
        </is>
      </c>
      <c r="B168" t="inlineStr">
        <is>
          <t>The Inbetweeners 2</t>
        </is>
      </c>
      <c r="C168" t="inlineStr">
        <is>
          <t>2014</t>
        </is>
      </c>
      <c r="D168" t="n">
        <v>0</v>
      </c>
      <c r="E168" t="n">
        <v>0</v>
      </c>
      <c r="G168" t="n">
        <v>0</v>
      </c>
      <c r="H168" t="n">
        <v>0</v>
      </c>
      <c r="I168" s="64" t="n"/>
      <c r="J168" s="64" t="n">
        <v>0</v>
      </c>
      <c r="K168" s="64" t="n">
        <v>0</v>
      </c>
      <c r="L168" s="64" t="n"/>
      <c r="M168" s="64" t="n">
        <v>0</v>
      </c>
      <c r="N168" s="64" t="n">
        <v>0</v>
      </c>
      <c r="O168" s="64" t="n"/>
      <c r="P168" s="64" t="n"/>
      <c r="Q168" s="64" t="n"/>
      <c r="R168" s="64" t="inlineStr">
        <is>
          <t>https://github.com/DLu/oscar_data</t>
        </is>
      </c>
    </row>
    <row r="169" ht="45" customHeight="1" s="95">
      <c r="A169" t="inlineStr">
        <is>
          <t>F0165</t>
        </is>
      </c>
      <c r="B169" t="inlineStr">
        <is>
          <t>Inception</t>
        </is>
      </c>
      <c r="C169" t="inlineStr">
        <is>
          <t>2010</t>
        </is>
      </c>
      <c r="D169" t="n">
        <v>8</v>
      </c>
      <c r="E169" t="n">
        <v>4</v>
      </c>
      <c r="F169" t="inlineStr">
        <is>
          <t>Nominated</t>
        </is>
      </c>
      <c r="G169" t="n">
        <v>0</v>
      </c>
      <c r="H169" t="n">
        <v>0</v>
      </c>
      <c r="I169" s="64" t="n"/>
      <c r="J169" s="64" t="n">
        <v>0</v>
      </c>
      <c r="K169" s="64" t="n">
        <v>0</v>
      </c>
      <c r="L169" s="64" t="n"/>
      <c r="M169" s="64" t="n">
        <v>1</v>
      </c>
      <c r="N169" s="64" t="n">
        <v>0</v>
      </c>
      <c r="O169" s="64" t="n"/>
      <c r="P169" s="64" t="inlineStr">
        <is>
          <t>CINEMATOGRAPHY; SOUND EDITING; SOUND MIXING; VISUAL EFFECTS</t>
        </is>
      </c>
      <c r="Q169" s="64" t="inlineStr">
        <is>
          <t>ART DIRECTION; CINEMATOGRAPHY; MUSIC (Original Score); BEST PICTURE; SOUND EDITING; SOUND MIXING; VISUAL EFFECTS; WRITING (Original Screenplay)</t>
        </is>
      </c>
      <c r="R169" s="64" t="inlineStr">
        <is>
          <t>https://github.com/DLu/oscar_data</t>
        </is>
      </c>
    </row>
    <row r="170" ht="45" customHeight="1" s="95">
      <c r="A170" t="inlineStr">
        <is>
          <t>F0166</t>
        </is>
      </c>
      <c r="B170" t="inlineStr">
        <is>
          <t>Inglourious Basterds</t>
        </is>
      </c>
      <c r="C170" t="inlineStr">
        <is>
          <t>2009</t>
        </is>
      </c>
      <c r="D170" t="n">
        <v>8</v>
      </c>
      <c r="E170" t="n">
        <v>1</v>
      </c>
      <c r="F170" t="inlineStr">
        <is>
          <t>Nominated</t>
        </is>
      </c>
      <c r="G170" t="n">
        <v>1</v>
      </c>
      <c r="H170" t="n">
        <v>1</v>
      </c>
      <c r="I170" s="64" t="inlineStr">
        <is>
          <t>Christoph Waltz</t>
        </is>
      </c>
      <c r="J170" s="64" t="n">
        <v>1</v>
      </c>
      <c r="K170" s="64" t="n">
        <v>0</v>
      </c>
      <c r="L170" s="64" t="n"/>
      <c r="M170" s="64" t="n">
        <v>1</v>
      </c>
      <c r="N170" s="64" t="n">
        <v>0</v>
      </c>
      <c r="O170" s="64" t="n"/>
      <c r="P170" s="64" t="inlineStr">
        <is>
          <t>ACTOR IN A SUPPORTING ROLE</t>
        </is>
      </c>
      <c r="Q170" s="64" t="inlineStr">
        <is>
          <t>ACTOR IN A SUPPORTING ROLE; CINEMATOGRAPHY; DIRECTING; FILM EDITING; BEST PICTURE; SOUND EDITING; SOUND MIXING; WRITING (Original Screenplay)</t>
        </is>
      </c>
      <c r="R170" s="64" t="inlineStr">
        <is>
          <t>https://github.com/DLu/oscar_data</t>
        </is>
      </c>
    </row>
    <row r="171">
      <c r="A171" t="inlineStr">
        <is>
          <t>F0167</t>
        </is>
      </c>
      <c r="B171" t="inlineStr">
        <is>
          <t>Inside Out</t>
        </is>
      </c>
      <c r="C171" t="inlineStr">
        <is>
          <t>2015</t>
        </is>
      </c>
      <c r="D171" t="n">
        <v>2</v>
      </c>
      <c r="E171" t="n">
        <v>1</v>
      </c>
      <c r="G171" t="n">
        <v>0</v>
      </c>
      <c r="H171" t="n">
        <v>0</v>
      </c>
      <c r="I171" s="64" t="n"/>
      <c r="J171" s="64" t="n">
        <v>0</v>
      </c>
      <c r="K171" s="64" t="n">
        <v>0</v>
      </c>
      <c r="L171" s="64" t="n"/>
      <c r="M171" s="64" t="n">
        <v>1</v>
      </c>
      <c r="N171" s="64" t="n">
        <v>0</v>
      </c>
      <c r="O171" s="64" t="inlineStr">
        <is>
          <t>Winner</t>
        </is>
      </c>
      <c r="P171" s="64" t="inlineStr">
        <is>
          <t>ANIMATED FEATURE FILM</t>
        </is>
      </c>
      <c r="Q171" s="64" t="inlineStr">
        <is>
          <t>ANIMATED FEATURE FILM; WRITING (Original Screenplay)</t>
        </is>
      </c>
      <c r="R171" s="64" t="inlineStr">
        <is>
          <t>https://github.com/DLu/oscar_data</t>
        </is>
      </c>
    </row>
    <row r="172" ht="30" customHeight="1" s="95">
      <c r="A172" t="inlineStr">
        <is>
          <t>F0168</t>
        </is>
      </c>
      <c r="B172" t="inlineStr">
        <is>
          <t>Interstellar</t>
        </is>
      </c>
      <c r="C172" t="inlineStr">
        <is>
          <t>2014</t>
        </is>
      </c>
      <c r="D172" t="n">
        <v>5</v>
      </c>
      <c r="E172" t="n">
        <v>1</v>
      </c>
      <c r="G172" t="n">
        <v>0</v>
      </c>
      <c r="H172" t="n">
        <v>0</v>
      </c>
      <c r="I172" s="64" t="n"/>
      <c r="J172" s="64" t="n">
        <v>0</v>
      </c>
      <c r="K172" s="64" t="n">
        <v>0</v>
      </c>
      <c r="L172" s="64" t="n"/>
      <c r="M172" s="64" t="n">
        <v>0</v>
      </c>
      <c r="N172" s="64" t="n">
        <v>0</v>
      </c>
      <c r="O172" s="64" t="n"/>
      <c r="P172" s="64" t="inlineStr">
        <is>
          <t>VISUAL EFFECTS</t>
        </is>
      </c>
      <c r="Q172" s="64" t="inlineStr">
        <is>
          <t>MUSIC (Original Score); ART DIRECTION; SOUND EDITING; SOUND MIXING; VISUAL EFFECTS</t>
        </is>
      </c>
      <c r="R172" s="64" t="inlineStr">
        <is>
          <t>https://github.com/DLu/oscar_data</t>
        </is>
      </c>
    </row>
    <row r="173">
      <c r="A173" t="inlineStr">
        <is>
          <t>F0169</t>
        </is>
      </c>
      <c r="B173" t="inlineStr">
        <is>
          <t>Iron Man 3</t>
        </is>
      </c>
      <c r="C173" t="inlineStr">
        <is>
          <t>2013</t>
        </is>
      </c>
      <c r="D173" t="n">
        <v>1</v>
      </c>
      <c r="E173" t="n">
        <v>0</v>
      </c>
      <c r="G173" t="n">
        <v>0</v>
      </c>
      <c r="H173" t="n">
        <v>0</v>
      </c>
      <c r="I173" s="64" t="n"/>
      <c r="J173" s="64" t="n">
        <v>0</v>
      </c>
      <c r="K173" s="64" t="n">
        <v>0</v>
      </c>
      <c r="L173" s="64" t="n"/>
      <c r="M173" s="64" t="n">
        <v>0</v>
      </c>
      <c r="N173" s="64" t="n">
        <v>0</v>
      </c>
      <c r="O173" s="64" t="n"/>
      <c r="P173" s="64" t="n"/>
      <c r="Q173" s="64" t="inlineStr">
        <is>
          <t>VISUAL EFFECTS</t>
        </is>
      </c>
      <c r="R173" s="64" t="inlineStr">
        <is>
          <t>https://github.com/DLu/oscar_data</t>
        </is>
      </c>
    </row>
    <row r="174" ht="30" customHeight="1" s="95">
      <c r="A174" t="inlineStr">
        <is>
          <t>F0170</t>
        </is>
      </c>
      <c r="B174" t="inlineStr">
        <is>
          <t>Jojo Rabbit</t>
        </is>
      </c>
      <c r="C174" t="inlineStr">
        <is>
          <t>2019</t>
        </is>
      </c>
      <c r="D174" t="n">
        <v>6</v>
      </c>
      <c r="E174" t="n">
        <v>1</v>
      </c>
      <c r="F174" t="inlineStr">
        <is>
          <t>Nominated</t>
        </is>
      </c>
      <c r="G174" t="n">
        <v>1</v>
      </c>
      <c r="H174" t="n">
        <v>0</v>
      </c>
      <c r="I174" s="64" t="n"/>
      <c r="J174" s="64" t="n">
        <v>0</v>
      </c>
      <c r="K174" s="64" t="n">
        <v>0</v>
      </c>
      <c r="L174" s="64" t="n"/>
      <c r="M174" s="64" t="n">
        <v>1</v>
      </c>
      <c r="N174" s="64" t="n">
        <v>1</v>
      </c>
      <c r="O174" s="64" t="n"/>
      <c r="P174" s="64" t="inlineStr">
        <is>
          <t>WRITING (Adapted Screenplay)</t>
        </is>
      </c>
      <c r="Q174" s="64" t="inlineStr">
        <is>
          <t>ACTRESS IN A SUPPORTING ROLE; COSTUME DESIGN; FILM EDITING; BEST PICTURE; ART DIRECTION; WRITING (Adapted Screenplay)</t>
        </is>
      </c>
      <c r="R174" s="64" t="inlineStr">
        <is>
          <t>https://github.com/DLu/oscar_data</t>
        </is>
      </c>
    </row>
    <row r="175">
      <c r="A175" t="inlineStr">
        <is>
          <t>F0171</t>
        </is>
      </c>
      <c r="B175" t="inlineStr">
        <is>
          <t>Jack Reacher</t>
        </is>
      </c>
      <c r="C175" t="inlineStr">
        <is>
          <t>2012</t>
        </is>
      </c>
      <c r="D175" t="n">
        <v>0</v>
      </c>
      <c r="E175" t="n">
        <v>0</v>
      </c>
      <c r="G175" t="n">
        <v>0</v>
      </c>
      <c r="H175" t="n">
        <v>0</v>
      </c>
      <c r="I175" s="64" t="n"/>
      <c r="J175" s="64" t="n">
        <v>0</v>
      </c>
      <c r="K175" s="64" t="n">
        <v>0</v>
      </c>
      <c r="L175" s="64" t="n"/>
      <c r="M175" s="64" t="n">
        <v>0</v>
      </c>
      <c r="N175" s="64" t="n">
        <v>0</v>
      </c>
      <c r="O175" s="64" t="n"/>
      <c r="P175" s="64" t="n"/>
      <c r="Q175" s="64" t="n"/>
      <c r="R175" s="64" t="inlineStr">
        <is>
          <t>https://github.com/DLu/oscar_data</t>
        </is>
      </c>
    </row>
    <row r="176">
      <c r="A176" t="inlineStr">
        <is>
          <t>F0172</t>
        </is>
      </c>
      <c r="B176" t="inlineStr">
        <is>
          <t>Jackass 3D</t>
        </is>
      </c>
      <c r="C176" t="inlineStr">
        <is>
          <t>2010</t>
        </is>
      </c>
      <c r="D176" t="n">
        <v>0</v>
      </c>
      <c r="E176" t="n">
        <v>0</v>
      </c>
      <c r="G176" t="n">
        <v>0</v>
      </c>
      <c r="H176" t="n">
        <v>0</v>
      </c>
      <c r="I176" s="64" t="n"/>
      <c r="J176" s="64" t="n">
        <v>0</v>
      </c>
      <c r="K176" s="64" t="n">
        <v>0</v>
      </c>
      <c r="L176" s="64" t="n"/>
      <c r="M176" s="64" t="n">
        <v>0</v>
      </c>
      <c r="N176" s="64" t="n">
        <v>0</v>
      </c>
      <c r="O176" s="64" t="n"/>
      <c r="P176" s="64" t="n"/>
      <c r="Q176" s="64" t="n"/>
      <c r="R176" s="64" t="inlineStr">
        <is>
          <t>https://github.com/DLu/oscar_data</t>
        </is>
      </c>
    </row>
    <row r="177">
      <c r="A177" t="inlineStr">
        <is>
          <t>F0173</t>
        </is>
      </c>
      <c r="B177" t="inlineStr">
        <is>
          <t>Jonah Hex</t>
        </is>
      </c>
      <c r="C177" t="inlineStr">
        <is>
          <t>2010</t>
        </is>
      </c>
      <c r="D177" t="n">
        <v>0</v>
      </c>
      <c r="E177" t="n">
        <v>0</v>
      </c>
      <c r="G177" t="n">
        <v>0</v>
      </c>
      <c r="H177" t="n">
        <v>0</v>
      </c>
      <c r="I177" s="64" t="n"/>
      <c r="J177" s="64" t="n">
        <v>0</v>
      </c>
      <c r="K177" s="64" t="n">
        <v>0</v>
      </c>
      <c r="L177" s="64" t="n"/>
      <c r="M177" s="64" t="n">
        <v>0</v>
      </c>
      <c r="N177" s="64" t="n">
        <v>0</v>
      </c>
      <c r="O177" s="64" t="n"/>
      <c r="P177" s="64" t="n"/>
      <c r="Q177" s="64" t="n"/>
      <c r="R177" s="64" t="inlineStr">
        <is>
          <t>https://github.com/DLu/oscar_data</t>
        </is>
      </c>
    </row>
    <row r="178">
      <c r="A178" t="inlineStr">
        <is>
          <t>F0174</t>
        </is>
      </c>
      <c r="B178" t="inlineStr">
        <is>
          <t>Journey to the Center of the Earth</t>
        </is>
      </c>
      <c r="C178" t="inlineStr">
        <is>
          <t>2008</t>
        </is>
      </c>
      <c r="D178" t="n">
        <v>0</v>
      </c>
      <c r="E178" t="n">
        <v>0</v>
      </c>
      <c r="G178" t="n">
        <v>0</v>
      </c>
      <c r="H178" t="n">
        <v>0</v>
      </c>
      <c r="I178" s="64" t="n"/>
      <c r="J178" s="64" t="n">
        <v>0</v>
      </c>
      <c r="K178" s="64" t="n">
        <v>0</v>
      </c>
      <c r="L178" s="64" t="n"/>
      <c r="M178" s="64" t="n">
        <v>0</v>
      </c>
      <c r="N178" s="64" t="n">
        <v>0</v>
      </c>
      <c r="O178" s="64" t="n"/>
      <c r="P178" s="64" t="n"/>
      <c r="Q178" s="64" t="n"/>
      <c r="R178" s="64" t="inlineStr">
        <is>
          <t>https://github.com/DLu/oscar_data</t>
        </is>
      </c>
    </row>
    <row r="179">
      <c r="A179" t="inlineStr">
        <is>
          <t>F0175</t>
        </is>
      </c>
      <c r="B179" t="inlineStr">
        <is>
          <t>Jumper</t>
        </is>
      </c>
      <c r="C179" t="inlineStr">
        <is>
          <t>2008</t>
        </is>
      </c>
      <c r="D179" t="n">
        <v>0</v>
      </c>
      <c r="E179" t="n">
        <v>0</v>
      </c>
      <c r="G179" t="n">
        <v>0</v>
      </c>
      <c r="H179" t="n">
        <v>0</v>
      </c>
      <c r="I179" s="64" t="n"/>
      <c r="J179" s="64" t="n">
        <v>0</v>
      </c>
      <c r="K179" s="64" t="n">
        <v>0</v>
      </c>
      <c r="L179" s="64" t="n"/>
      <c r="M179" s="64" t="n">
        <v>0</v>
      </c>
      <c r="N179" s="64" t="n">
        <v>0</v>
      </c>
      <c r="O179" s="64" t="n"/>
      <c r="P179" s="64" t="n"/>
      <c r="Q179" s="64" t="n"/>
      <c r="R179" s="64" t="inlineStr">
        <is>
          <t>https://github.com/DLu/oscar_data</t>
        </is>
      </c>
    </row>
    <row r="180">
      <c r="A180" t="inlineStr">
        <is>
          <t>F0176</t>
        </is>
      </c>
      <c r="B180" t="inlineStr">
        <is>
          <t>Jurassic Park</t>
        </is>
      </c>
      <c r="C180" t="inlineStr">
        <is>
          <t>1993</t>
        </is>
      </c>
      <c r="D180" t="n">
        <v>3</v>
      </c>
      <c r="E180" t="n">
        <v>3</v>
      </c>
      <c r="G180" t="n">
        <v>0</v>
      </c>
      <c r="H180" t="n">
        <v>0</v>
      </c>
      <c r="I180" s="64" t="n"/>
      <c r="J180" s="64" t="n">
        <v>0</v>
      </c>
      <c r="K180" s="64" t="n">
        <v>0</v>
      </c>
      <c r="L180" s="64" t="n"/>
      <c r="M180" s="64" t="n">
        <v>0</v>
      </c>
      <c r="N180" s="64" t="n">
        <v>0</v>
      </c>
      <c r="O180" s="64" t="n"/>
      <c r="P180" s="64" t="inlineStr">
        <is>
          <t>SOUND MIXING; SOUND EDITING; VISUAL EFFECTS</t>
        </is>
      </c>
      <c r="Q180" s="64" t="inlineStr">
        <is>
          <t>SOUND MIXING; SOUND EDITING; VISUAL EFFECTS</t>
        </is>
      </c>
      <c r="R180" s="64" t="inlineStr">
        <is>
          <t>https://github.com/DLu/oscar_data</t>
        </is>
      </c>
    </row>
    <row r="181">
      <c r="A181" t="inlineStr">
        <is>
          <t>F0177</t>
        </is>
      </c>
      <c r="B181" t="inlineStr">
        <is>
          <t>The Lost World: Jurassic Park</t>
        </is>
      </c>
      <c r="C181" t="inlineStr">
        <is>
          <t>1997</t>
        </is>
      </c>
      <c r="D181" t="n">
        <v>1</v>
      </c>
      <c r="E181" t="n">
        <v>0</v>
      </c>
      <c r="G181" t="n">
        <v>0</v>
      </c>
      <c r="H181" t="n">
        <v>0</v>
      </c>
      <c r="I181" s="64" t="n"/>
      <c r="J181" s="64" t="n">
        <v>0</v>
      </c>
      <c r="K181" s="64" t="n">
        <v>0</v>
      </c>
      <c r="L181" s="64" t="n"/>
      <c r="M181" s="64" t="n">
        <v>0</v>
      </c>
      <c r="N181" s="64" t="n">
        <v>0</v>
      </c>
      <c r="O181" s="64" t="n"/>
      <c r="P181" s="64" t="n"/>
      <c r="Q181" s="64" t="inlineStr">
        <is>
          <t>VISUAL EFFECTS</t>
        </is>
      </c>
      <c r="R181" s="64" t="inlineStr">
        <is>
          <t>https://github.com/DLu/oscar_data</t>
        </is>
      </c>
    </row>
    <row r="182">
      <c r="A182" t="inlineStr">
        <is>
          <t>F0178</t>
        </is>
      </c>
      <c r="B182" t="inlineStr">
        <is>
          <t>Jurassic Park III</t>
        </is>
      </c>
      <c r="C182" t="inlineStr">
        <is>
          <t>2001</t>
        </is>
      </c>
      <c r="D182" t="n">
        <v>0</v>
      </c>
      <c r="E182" t="n">
        <v>0</v>
      </c>
      <c r="G182" t="n">
        <v>0</v>
      </c>
      <c r="H182" t="n">
        <v>0</v>
      </c>
      <c r="I182" s="64" t="n"/>
      <c r="J182" s="64" t="n">
        <v>0</v>
      </c>
      <c r="K182" s="64" t="n">
        <v>0</v>
      </c>
      <c r="L182" s="64" t="n"/>
      <c r="M182" s="64" t="n">
        <v>0</v>
      </c>
      <c r="N182" s="64" t="n">
        <v>0</v>
      </c>
      <c r="O182" s="64" t="n"/>
      <c r="P182" s="64" t="n"/>
      <c r="Q182" s="64" t="n"/>
      <c r="R182" s="64" t="inlineStr">
        <is>
          <t>https://github.com/DLu/oscar_data</t>
        </is>
      </c>
    </row>
    <row r="183">
      <c r="A183" t="inlineStr">
        <is>
          <t>F0179</t>
        </is>
      </c>
      <c r="B183" t="inlineStr">
        <is>
          <t>Jurassic World</t>
        </is>
      </c>
      <c r="C183" t="inlineStr">
        <is>
          <t>2015</t>
        </is>
      </c>
      <c r="D183" t="n">
        <v>0</v>
      </c>
      <c r="E183" t="n">
        <v>0</v>
      </c>
      <c r="G183" t="n">
        <v>0</v>
      </c>
      <c r="H183" t="n">
        <v>0</v>
      </c>
      <c r="I183" s="64" t="n"/>
      <c r="J183" s="64" t="n">
        <v>0</v>
      </c>
      <c r="K183" s="64" t="n">
        <v>0</v>
      </c>
      <c r="L183" s="64" t="n"/>
      <c r="M183" s="64" t="n">
        <v>0</v>
      </c>
      <c r="N183" s="64" t="n">
        <v>0</v>
      </c>
      <c r="O183" s="64" t="n"/>
      <c r="P183" s="64" t="n"/>
      <c r="Q183" s="64" t="n"/>
      <c r="R183" s="64" t="inlineStr">
        <is>
          <t>https://github.com/DLu/oscar_data</t>
        </is>
      </c>
    </row>
    <row r="184">
      <c r="A184" t="inlineStr">
        <is>
          <t>F0180</t>
        </is>
      </c>
      <c r="B184" t="inlineStr">
        <is>
          <t>Jurassic World: Fallen Kingdom</t>
        </is>
      </c>
      <c r="C184" t="inlineStr">
        <is>
          <t>2018</t>
        </is>
      </c>
      <c r="D184" t="n">
        <v>0</v>
      </c>
      <c r="E184" t="n">
        <v>0</v>
      </c>
      <c r="G184" t="n">
        <v>0</v>
      </c>
      <c r="H184" t="n">
        <v>0</v>
      </c>
      <c r="I184" s="64" t="n"/>
      <c r="J184" s="64" t="n">
        <v>0</v>
      </c>
      <c r="K184" s="64" t="n">
        <v>0</v>
      </c>
      <c r="L184" s="64" t="n"/>
      <c r="M184" s="64" t="n">
        <v>0</v>
      </c>
      <c r="N184" s="64" t="n">
        <v>0</v>
      </c>
      <c r="O184" s="64" t="n"/>
      <c r="P184" s="64" t="n"/>
      <c r="Q184" s="64" t="n"/>
      <c r="R184" s="64" t="inlineStr">
        <is>
          <t>https://github.com/DLu/oscar_data</t>
        </is>
      </c>
    </row>
    <row r="185">
      <c r="A185" t="inlineStr">
        <is>
          <t>F0181</t>
        </is>
      </c>
      <c r="B185" t="inlineStr">
        <is>
          <t>Jurassic World Dominion</t>
        </is>
      </c>
      <c r="C185" t="inlineStr">
        <is>
          <t>2022</t>
        </is>
      </c>
      <c r="D185" t="n">
        <v>0</v>
      </c>
      <c r="E185" t="n">
        <v>0</v>
      </c>
      <c r="G185" t="n">
        <v>0</v>
      </c>
      <c r="H185" t="n">
        <v>0</v>
      </c>
      <c r="I185" s="64" t="n"/>
      <c r="J185" s="64" t="n">
        <v>0</v>
      </c>
      <c r="K185" s="64" t="n">
        <v>0</v>
      </c>
      <c r="L185" s="64" t="n"/>
      <c r="M185" s="64" t="n">
        <v>0</v>
      </c>
      <c r="N185" s="64" t="n">
        <v>0</v>
      </c>
      <c r="O185" s="64" t="n"/>
      <c r="P185" s="64" t="n"/>
      <c r="Q185" s="64" t="n"/>
      <c r="R185" s="64" t="inlineStr">
        <is>
          <t>https://github.com/DLu/oscar_data</t>
        </is>
      </c>
    </row>
    <row r="186">
      <c r="A186" t="inlineStr">
        <is>
          <t>F0182</t>
        </is>
      </c>
      <c r="B186" t="inlineStr">
        <is>
          <t>Jurassic World Rebirth</t>
        </is>
      </c>
      <c r="C186" t="inlineStr">
        <is>
          <t>2025</t>
        </is>
      </c>
      <c r="D186" t="n">
        <v>1</v>
      </c>
      <c r="E186" t="n">
        <v>0</v>
      </c>
      <c r="G186" t="n">
        <v>0</v>
      </c>
      <c r="H186" t="n">
        <v>0</v>
      </c>
      <c r="I186" s="64" t="n"/>
      <c r="J186" s="64" t="n">
        <v>0</v>
      </c>
      <c r="K186" s="64" t="n">
        <v>0</v>
      </c>
      <c r="L186" s="64" t="n"/>
      <c r="M186" s="64" t="n">
        <v>0</v>
      </c>
      <c r="N186" s="64" t="n">
        <v>0</v>
      </c>
      <c r="O186" s="64" t="n"/>
      <c r="P186" s="64" t="n"/>
      <c r="Q186" s="64" t="inlineStr">
        <is>
          <t>VISUAL EFFECTS</t>
        </is>
      </c>
      <c r="R186" s="64" t="inlineStr">
        <is>
          <t>https://github.com/DLu/oscar_data</t>
        </is>
      </c>
    </row>
    <row r="187">
      <c r="A187" t="inlineStr">
        <is>
          <t>F0183</t>
        </is>
      </c>
      <c r="B187" t="inlineStr">
        <is>
          <t>Just Go with It</t>
        </is>
      </c>
      <c r="C187" t="inlineStr">
        <is>
          <t>2011</t>
        </is>
      </c>
      <c r="D187" t="n">
        <v>0</v>
      </c>
      <c r="E187" t="n">
        <v>0</v>
      </c>
      <c r="G187" t="n">
        <v>0</v>
      </c>
      <c r="H187" t="n">
        <v>0</v>
      </c>
      <c r="I187" s="64" t="n"/>
      <c r="J187" s="64" t="n">
        <v>0</v>
      </c>
      <c r="K187" s="64" t="n">
        <v>0</v>
      </c>
      <c r="L187" s="64" t="n"/>
      <c r="M187" s="64" t="n">
        <v>0</v>
      </c>
      <c r="N187" s="64" t="n">
        <v>0</v>
      </c>
      <c r="O187" s="64" t="n"/>
      <c r="P187" s="64" t="n"/>
      <c r="Q187" s="64" t="n"/>
      <c r="R187" s="64" t="inlineStr">
        <is>
          <t>https://github.com/DLu/oscar_data</t>
        </is>
      </c>
    </row>
    <row r="188">
      <c r="A188" t="inlineStr">
        <is>
          <t>F0184</t>
        </is>
      </c>
      <c r="B188" t="inlineStr">
        <is>
          <t>The Karate Kid</t>
        </is>
      </c>
      <c r="C188" t="inlineStr">
        <is>
          <t>2010</t>
        </is>
      </c>
      <c r="D188" t="n">
        <v>0</v>
      </c>
      <c r="E188" t="n">
        <v>0</v>
      </c>
      <c r="G188" t="n">
        <v>0</v>
      </c>
      <c r="H188" t="n">
        <v>0</v>
      </c>
      <c r="I188" s="64" t="n"/>
      <c r="J188" s="64" t="n">
        <v>0</v>
      </c>
      <c r="K188" s="64" t="n">
        <v>0</v>
      </c>
      <c r="L188" s="64" t="n"/>
      <c r="M188" s="64" t="n">
        <v>0</v>
      </c>
      <c r="N188" s="64" t="n">
        <v>0</v>
      </c>
      <c r="O188" s="64" t="n"/>
      <c r="P188" s="64" t="n"/>
      <c r="Q188" s="64" t="n"/>
      <c r="R188" s="64" t="inlineStr">
        <is>
          <t>https://github.com/DLu/oscar_data</t>
        </is>
      </c>
    </row>
    <row r="189">
      <c r="A189" t="inlineStr">
        <is>
          <t>F0185</t>
        </is>
      </c>
      <c r="B189" t="inlineStr">
        <is>
          <t>Kick-Ass</t>
        </is>
      </c>
      <c r="C189" t="inlineStr">
        <is>
          <t>2010</t>
        </is>
      </c>
      <c r="D189" t="n">
        <v>0</v>
      </c>
      <c r="E189" t="n">
        <v>0</v>
      </c>
      <c r="G189" t="n">
        <v>0</v>
      </c>
      <c r="H189" t="n">
        <v>0</v>
      </c>
      <c r="I189" s="64" t="n"/>
      <c r="J189" s="64" t="n">
        <v>0</v>
      </c>
      <c r="K189" s="64" t="n">
        <v>0</v>
      </c>
      <c r="L189" s="64" t="n"/>
      <c r="M189" s="64" t="n">
        <v>0</v>
      </c>
      <c r="N189" s="64" t="n">
        <v>0</v>
      </c>
      <c r="O189" s="64" t="n"/>
      <c r="P189" s="64" t="n"/>
      <c r="Q189" s="64" t="n"/>
      <c r="R189" s="64" t="inlineStr">
        <is>
          <t>https://github.com/DLu/oscar_data</t>
        </is>
      </c>
    </row>
    <row r="190">
      <c r="A190" t="inlineStr">
        <is>
          <t>F0186</t>
        </is>
      </c>
      <c r="B190" t="inlineStr">
        <is>
          <t>Kick-Ass 2</t>
        </is>
      </c>
      <c r="C190" t="inlineStr">
        <is>
          <t>2013</t>
        </is>
      </c>
      <c r="D190" t="n">
        <v>0</v>
      </c>
      <c r="E190" t="n">
        <v>0</v>
      </c>
      <c r="G190" t="n">
        <v>0</v>
      </c>
      <c r="H190" t="n">
        <v>0</v>
      </c>
      <c r="I190" s="64" t="n"/>
      <c r="J190" s="64" t="n">
        <v>0</v>
      </c>
      <c r="K190" s="64" t="n">
        <v>0</v>
      </c>
      <c r="L190" s="64" t="n"/>
      <c r="M190" s="64" t="n">
        <v>0</v>
      </c>
      <c r="N190" s="64" t="n">
        <v>0</v>
      </c>
      <c r="O190" s="64" t="n"/>
      <c r="P190" s="64" t="n"/>
      <c r="Q190" s="64" t="n"/>
      <c r="R190" s="64" t="inlineStr">
        <is>
          <t>https://github.com/DLu/oscar_data</t>
        </is>
      </c>
    </row>
    <row r="191">
      <c r="A191" t="inlineStr">
        <is>
          <t>F0187</t>
        </is>
      </c>
      <c r="B191" t="inlineStr">
        <is>
          <t>Killing Them Softly</t>
        </is>
      </c>
      <c r="C191" t="inlineStr">
        <is>
          <t>2012</t>
        </is>
      </c>
      <c r="D191" t="n">
        <v>0</v>
      </c>
      <c r="E191" t="n">
        <v>0</v>
      </c>
      <c r="G191" t="n">
        <v>0</v>
      </c>
      <c r="H191" t="n">
        <v>0</v>
      </c>
      <c r="I191" s="64" t="n"/>
      <c r="J191" s="64" t="n">
        <v>0</v>
      </c>
      <c r="K191" s="64" t="n">
        <v>0</v>
      </c>
      <c r="L191" s="64" t="n"/>
      <c r="M191" s="64" t="n">
        <v>0</v>
      </c>
      <c r="N191" s="64" t="n">
        <v>0</v>
      </c>
      <c r="O191" s="64" t="n"/>
      <c r="P191" s="64" t="n"/>
      <c r="Q191" s="64" t="n"/>
      <c r="R191" s="64" t="inlineStr">
        <is>
          <t>https://github.com/DLu/oscar_data</t>
        </is>
      </c>
    </row>
    <row r="192">
      <c r="A192" t="inlineStr">
        <is>
          <t>F0188</t>
        </is>
      </c>
      <c r="B192" t="inlineStr">
        <is>
          <t>King Kong</t>
        </is>
      </c>
      <c r="C192" t="inlineStr">
        <is>
          <t>2005</t>
        </is>
      </c>
      <c r="D192" t="n">
        <v>4</v>
      </c>
      <c r="E192" t="n">
        <v>3</v>
      </c>
      <c r="G192" t="n">
        <v>0</v>
      </c>
      <c r="H192" t="n">
        <v>0</v>
      </c>
      <c r="I192" s="64" t="n"/>
      <c r="J192" s="64" t="n">
        <v>0</v>
      </c>
      <c r="K192" s="64" t="n">
        <v>0</v>
      </c>
      <c r="L192" s="64" t="n"/>
      <c r="M192" s="64" t="n">
        <v>0</v>
      </c>
      <c r="N192" s="64" t="n">
        <v>0</v>
      </c>
      <c r="O192" s="64" t="n"/>
      <c r="P192" s="64" t="inlineStr">
        <is>
          <t>SOUND EDITING; SOUND MIXING; VISUAL EFFECTS</t>
        </is>
      </c>
      <c r="Q192" s="64" t="inlineStr">
        <is>
          <t>ART DIRECTION; SOUND EDITING; SOUND MIXING; VISUAL EFFECTS</t>
        </is>
      </c>
      <c r="R192" s="64" t="inlineStr">
        <is>
          <t>https://github.com/DLu/oscar_data</t>
        </is>
      </c>
    </row>
    <row r="193" ht="75" customHeight="1" s="95">
      <c r="A193" t="inlineStr">
        <is>
          <t>F0189</t>
        </is>
      </c>
      <c r="B193" t="inlineStr">
        <is>
          <t>The King's Speech</t>
        </is>
      </c>
      <c r="C193" t="inlineStr">
        <is>
          <t>2010</t>
        </is>
      </c>
      <c r="D193" t="n">
        <v>12</v>
      </c>
      <c r="E193" t="n">
        <v>4</v>
      </c>
      <c r="F193" t="inlineStr">
        <is>
          <t>Winner</t>
        </is>
      </c>
      <c r="G193" t="n">
        <v>3</v>
      </c>
      <c r="H193" t="n">
        <v>1</v>
      </c>
      <c r="I193" s="64" t="inlineStr">
        <is>
          <t>Colin Firth</t>
        </is>
      </c>
      <c r="J193" s="64" t="n">
        <v>1</v>
      </c>
      <c r="K193" s="64" t="n">
        <v>1</v>
      </c>
      <c r="L193" s="64" t="inlineStr">
        <is>
          <t>Tom Hooper</t>
        </is>
      </c>
      <c r="M193" s="64" t="n">
        <v>1</v>
      </c>
      <c r="N193" s="64" t="n">
        <v>1</v>
      </c>
      <c r="O193" s="64" t="n"/>
      <c r="P193" s="64" t="inlineStr">
        <is>
          <t>ACTOR IN A LEADING ROLE; DIRECTING; BEST PICTURE; WRITING (Original Screenplay)</t>
        </is>
      </c>
      <c r="Q193" s="64" t="inlineStr">
        <is>
          <t>ACTOR IN A LEADING ROLE; ACTOR IN A SUPPORTING ROLE; ACTRESS IN A SUPPORTING ROLE; ART DIRECTION; CINEMATOGRAPHY; COSTUME DESIGN; DIRECTING; FILM EDITING; MUSIC (Original Score); BEST PICTURE; SOUND MIXING; WRITING (Original Screenplay)</t>
        </is>
      </c>
      <c r="R193" s="64" t="inlineStr">
        <is>
          <t>https://github.com/DLu/oscar_data</t>
        </is>
      </c>
    </row>
    <row r="194">
      <c r="A194" t="inlineStr">
        <is>
          <t>F0190</t>
        </is>
      </c>
      <c r="B194" t="inlineStr">
        <is>
          <t>Kong: Skull Island</t>
        </is>
      </c>
      <c r="C194" t="inlineStr">
        <is>
          <t>2017</t>
        </is>
      </c>
      <c r="D194" t="n">
        <v>1</v>
      </c>
      <c r="E194" t="n">
        <v>0</v>
      </c>
      <c r="G194" t="n">
        <v>0</v>
      </c>
      <c r="H194" t="n">
        <v>0</v>
      </c>
      <c r="I194" s="64" t="n"/>
      <c r="J194" s="64" t="n">
        <v>0</v>
      </c>
      <c r="K194" s="64" t="n">
        <v>0</v>
      </c>
      <c r="L194" s="64" t="n"/>
      <c r="M194" s="64" t="n">
        <v>0</v>
      </c>
      <c r="N194" s="64" t="n">
        <v>0</v>
      </c>
      <c r="O194" s="64" t="n"/>
      <c r="P194" s="64" t="n"/>
      <c r="Q194" s="64" t="inlineStr">
        <is>
          <t>VISUAL EFFECTS</t>
        </is>
      </c>
      <c r="R194" s="64" t="inlineStr">
        <is>
          <t>https://github.com/DLu/oscar_data</t>
        </is>
      </c>
    </row>
    <row r="195">
      <c r="A195" t="inlineStr">
        <is>
          <t>F0191</t>
        </is>
      </c>
      <c r="B195" t="inlineStr">
        <is>
          <t>Law Abiding Citizen</t>
        </is>
      </c>
      <c r="C195" t="inlineStr">
        <is>
          <t>2009</t>
        </is>
      </c>
      <c r="D195" t="n">
        <v>0</v>
      </c>
      <c r="E195" t="n">
        <v>0</v>
      </c>
      <c r="G195" t="n">
        <v>0</v>
      </c>
      <c r="H195" t="n">
        <v>0</v>
      </c>
      <c r="I195" s="64" t="n"/>
      <c r="J195" s="64" t="n">
        <v>0</v>
      </c>
      <c r="K195" s="64" t="n">
        <v>0</v>
      </c>
      <c r="L195" s="64" t="n"/>
      <c r="M195" s="64" t="n">
        <v>0</v>
      </c>
      <c r="N195" s="64" t="n">
        <v>0</v>
      </c>
      <c r="O195" s="64" t="n"/>
      <c r="P195" s="64" t="n"/>
      <c r="Q195" s="64" t="n"/>
      <c r="R195" s="64" t="inlineStr">
        <is>
          <t>https://github.com/DLu/oscar_data</t>
        </is>
      </c>
    </row>
    <row r="196">
      <c r="A196" t="inlineStr">
        <is>
          <t>F0192</t>
        </is>
      </c>
      <c r="B196" t="inlineStr">
        <is>
          <t>Lawless</t>
        </is>
      </c>
      <c r="C196" t="inlineStr">
        <is>
          <t>2012</t>
        </is>
      </c>
      <c r="D196" t="n">
        <v>0</v>
      </c>
      <c r="E196" t="n">
        <v>0</v>
      </c>
      <c r="G196" t="n">
        <v>0</v>
      </c>
      <c r="H196" t="n">
        <v>0</v>
      </c>
      <c r="I196" s="64" t="n"/>
      <c r="J196" s="64" t="n">
        <v>0</v>
      </c>
      <c r="K196" s="64" t="n">
        <v>0</v>
      </c>
      <c r="L196" s="64" t="n"/>
      <c r="M196" s="64" t="n">
        <v>0</v>
      </c>
      <c r="N196" s="64" t="n">
        <v>0</v>
      </c>
      <c r="O196" s="64" t="n"/>
      <c r="P196" s="64" t="n"/>
      <c r="Q196" s="64" t="n"/>
      <c r="R196" s="64" t="inlineStr">
        <is>
          <t>https://github.com/DLu/oscar_data</t>
        </is>
      </c>
    </row>
    <row r="197">
      <c r="A197" t="inlineStr">
        <is>
          <t>F0193</t>
        </is>
      </c>
      <c r="B197" t="inlineStr">
        <is>
          <t>The Lego Batman Movie</t>
        </is>
      </c>
      <c r="C197" t="inlineStr">
        <is>
          <t>2017</t>
        </is>
      </c>
      <c r="D197" t="n">
        <v>0</v>
      </c>
      <c r="E197" t="n">
        <v>0</v>
      </c>
      <c r="G197" t="n">
        <v>0</v>
      </c>
      <c r="H197" t="n">
        <v>0</v>
      </c>
      <c r="I197" s="64" t="n"/>
      <c r="J197" s="64" t="n">
        <v>0</v>
      </c>
      <c r="K197" s="64" t="n">
        <v>0</v>
      </c>
      <c r="L197" s="64" t="n"/>
      <c r="M197" s="64" t="n">
        <v>0</v>
      </c>
      <c r="N197" s="64" t="n">
        <v>0</v>
      </c>
      <c r="O197" s="64" t="n"/>
      <c r="P197" s="64" t="n"/>
      <c r="Q197" s="64" t="n"/>
      <c r="R197" s="64" t="inlineStr">
        <is>
          <t>https://github.com/DLu/oscar_data</t>
        </is>
      </c>
    </row>
    <row r="198">
      <c r="A198" t="inlineStr">
        <is>
          <t>F0194</t>
        </is>
      </c>
      <c r="B198" t="inlineStr">
        <is>
          <t>Lego Batman: The Movie - DC Super Heroes Unite</t>
        </is>
      </c>
      <c r="C198" t="inlineStr">
        <is>
          <t>2013</t>
        </is>
      </c>
      <c r="D198" t="n">
        <v>0</v>
      </c>
      <c r="E198" t="n">
        <v>0</v>
      </c>
      <c r="G198" t="n">
        <v>0</v>
      </c>
      <c r="H198" t="n">
        <v>0</v>
      </c>
      <c r="I198" s="64" t="n"/>
      <c r="J198" s="64" t="n">
        <v>0</v>
      </c>
      <c r="K198" s="64" t="n">
        <v>0</v>
      </c>
      <c r="L198" s="64" t="n"/>
      <c r="M198" s="64" t="n">
        <v>0</v>
      </c>
      <c r="N198" s="64" t="n">
        <v>0</v>
      </c>
      <c r="O198" s="64" t="n"/>
      <c r="P198" s="64" t="n"/>
      <c r="Q198" s="64" t="n"/>
      <c r="R198" s="64" t="inlineStr">
        <is>
          <t>https://github.com/DLu/oscar_data</t>
        </is>
      </c>
    </row>
    <row r="199">
      <c r="A199" t="inlineStr">
        <is>
          <t>F0195</t>
        </is>
      </c>
      <c r="B199" t="inlineStr">
        <is>
          <t>The Lego Movie</t>
        </is>
      </c>
      <c r="C199" t="inlineStr">
        <is>
          <t>2014</t>
        </is>
      </c>
      <c r="D199" t="n">
        <v>1</v>
      </c>
      <c r="E199" t="n">
        <v>0</v>
      </c>
      <c r="G199" t="n">
        <v>0</v>
      </c>
      <c r="H199" t="n">
        <v>0</v>
      </c>
      <c r="I199" s="64" t="n"/>
      <c r="J199" s="64" t="n">
        <v>0</v>
      </c>
      <c r="K199" s="64" t="n">
        <v>0</v>
      </c>
      <c r="L199" s="64" t="n"/>
      <c r="M199" s="64" t="n">
        <v>0</v>
      </c>
      <c r="N199" s="64" t="n">
        <v>0</v>
      </c>
      <c r="O199" s="64" t="n"/>
      <c r="P199" s="64" t="n"/>
      <c r="Q199" s="64" t="inlineStr">
        <is>
          <t>MUSIC (Original Song)</t>
        </is>
      </c>
      <c r="R199" s="64" t="inlineStr">
        <is>
          <t>https://github.com/DLu/oscar_data</t>
        </is>
      </c>
    </row>
    <row r="200">
      <c r="A200" t="inlineStr">
        <is>
          <t>F0196</t>
        </is>
      </c>
      <c r="B200" t="inlineStr">
        <is>
          <t>The Lego Movie 2: The Second Part</t>
        </is>
      </c>
      <c r="C200" t="inlineStr">
        <is>
          <t>2019</t>
        </is>
      </c>
      <c r="D200" t="n">
        <v>0</v>
      </c>
      <c r="E200" t="n">
        <v>0</v>
      </c>
      <c r="G200" t="n">
        <v>0</v>
      </c>
      <c r="H200" t="n">
        <v>0</v>
      </c>
      <c r="I200" s="64" t="n"/>
      <c r="J200" s="64" t="n">
        <v>0</v>
      </c>
      <c r="K200" s="64" t="n">
        <v>0</v>
      </c>
      <c r="L200" s="64" t="n"/>
      <c r="M200" s="64" t="n">
        <v>0</v>
      </c>
      <c r="N200" s="64" t="n">
        <v>0</v>
      </c>
      <c r="O200" s="64" t="n"/>
      <c r="P200" s="64" t="n"/>
      <c r="Q200" s="64" t="n"/>
      <c r="R200" s="64" t="inlineStr">
        <is>
          <t>https://github.com/DLu/oscar_data</t>
        </is>
      </c>
    </row>
    <row r="201">
      <c r="A201" t="inlineStr">
        <is>
          <t>F0197</t>
        </is>
      </c>
      <c r="B201" t="inlineStr">
        <is>
          <t>Lego DC Comics Super Heroes: Justice League vs. Bizarro League</t>
        </is>
      </c>
      <c r="C201" t="inlineStr">
        <is>
          <t>2015</t>
        </is>
      </c>
      <c r="D201" t="n">
        <v>0</v>
      </c>
      <c r="E201" t="n">
        <v>0</v>
      </c>
      <c r="G201" t="n">
        <v>0</v>
      </c>
      <c r="H201" t="n">
        <v>0</v>
      </c>
      <c r="I201" s="64" t="n"/>
      <c r="J201" s="64" t="n">
        <v>0</v>
      </c>
      <c r="K201" s="64" t="n">
        <v>0</v>
      </c>
      <c r="L201" s="64" t="n"/>
      <c r="M201" s="64" t="n">
        <v>0</v>
      </c>
      <c r="N201" s="64" t="n">
        <v>0</v>
      </c>
      <c r="O201" s="64" t="n"/>
      <c r="P201" s="64" t="n"/>
      <c r="Q201" s="64" t="n"/>
      <c r="R201" s="64" t="inlineStr">
        <is>
          <t>https://github.com/DLu/oscar_data</t>
        </is>
      </c>
    </row>
    <row r="202">
      <c r="A202" t="inlineStr">
        <is>
          <t>F0198</t>
        </is>
      </c>
      <c r="B202" t="inlineStr">
        <is>
          <t>Lego DC Comics Super Heroes: Justice League - Gotham City Breakout</t>
        </is>
      </c>
      <c r="C202" t="inlineStr">
        <is>
          <t>2016</t>
        </is>
      </c>
      <c r="D202" t="n">
        <v>0</v>
      </c>
      <c r="E202" t="n">
        <v>0</v>
      </c>
      <c r="G202" t="n">
        <v>0</v>
      </c>
      <c r="H202" t="n">
        <v>0</v>
      </c>
      <c r="I202" s="64" t="n"/>
      <c r="J202" s="64" t="n">
        <v>0</v>
      </c>
      <c r="K202" s="64" t="n">
        <v>0</v>
      </c>
      <c r="L202" s="64" t="n"/>
      <c r="M202" s="64" t="n">
        <v>0</v>
      </c>
      <c r="N202" s="64" t="n">
        <v>0</v>
      </c>
      <c r="O202" s="64" t="n"/>
      <c r="P202" s="64" t="n"/>
      <c r="Q202" s="64" t="n"/>
      <c r="R202" s="64" t="inlineStr">
        <is>
          <t>https://github.com/DLu/oscar_data</t>
        </is>
      </c>
    </row>
    <row r="203" ht="45" customHeight="1" s="95">
      <c r="A203" t="inlineStr">
        <is>
          <t>F0199</t>
        </is>
      </c>
      <c r="B203" t="inlineStr">
        <is>
          <t>Les Misérables</t>
        </is>
      </c>
      <c r="C203" t="inlineStr">
        <is>
          <t>2012</t>
        </is>
      </c>
      <c r="D203" t="n">
        <v>8</v>
      </c>
      <c r="E203" t="n">
        <v>3</v>
      </c>
      <c r="F203" t="inlineStr">
        <is>
          <t>Nominated</t>
        </is>
      </c>
      <c r="G203" t="n">
        <v>2</v>
      </c>
      <c r="H203" t="n">
        <v>1</v>
      </c>
      <c r="I203" s="64" t="inlineStr">
        <is>
          <t>Anne Hathaway</t>
        </is>
      </c>
      <c r="J203" s="64" t="n">
        <v>0</v>
      </c>
      <c r="K203" s="64" t="n">
        <v>0</v>
      </c>
      <c r="L203" s="64" t="n"/>
      <c r="M203" s="64" t="n">
        <v>0</v>
      </c>
      <c r="N203" s="64" t="n">
        <v>0</v>
      </c>
      <c r="O203" s="64" t="n"/>
      <c r="P203" s="64" t="inlineStr">
        <is>
          <t>ACTRESS IN A SUPPORTING ROLE; MAKEUP AND HAIRSTYLING; SOUND MIXING</t>
        </is>
      </c>
      <c r="Q203" s="64" t="inlineStr">
        <is>
          <t>ACTOR IN A LEADING ROLE; ACTRESS IN A SUPPORTING ROLE; COSTUME DESIGN; MAKEUP AND HAIRSTYLING; MUSIC (Original Song); BEST PICTURE; ART DIRECTION; SOUND MIXING</t>
        </is>
      </c>
      <c r="R203" s="64" t="inlineStr">
        <is>
          <t>https://github.com/DLu/oscar_data</t>
        </is>
      </c>
    </row>
    <row r="204">
      <c r="A204" t="inlineStr">
        <is>
          <t>F0200</t>
        </is>
      </c>
      <c r="B204" t="inlineStr">
        <is>
          <t>The Lion King</t>
        </is>
      </c>
      <c r="C204" t="inlineStr">
        <is>
          <t>1994</t>
        </is>
      </c>
      <c r="D204" t="n">
        <v>3</v>
      </c>
      <c r="E204" t="n">
        <v>2</v>
      </c>
      <c r="G204" t="n">
        <v>0</v>
      </c>
      <c r="H204" t="n">
        <v>0</v>
      </c>
      <c r="I204" s="64" t="n"/>
      <c r="J204" s="64" t="n">
        <v>0</v>
      </c>
      <c r="K204" s="64" t="n">
        <v>0</v>
      </c>
      <c r="L204" s="64" t="n"/>
      <c r="M204" s="64" t="n">
        <v>0</v>
      </c>
      <c r="N204" s="64" t="n">
        <v>0</v>
      </c>
      <c r="O204" s="64" t="n"/>
      <c r="P204" s="64" t="inlineStr">
        <is>
          <t>MUSIC (Original Score); MUSIC (Original Song)</t>
        </is>
      </c>
      <c r="Q204" s="64" t="inlineStr">
        <is>
          <t>MUSIC (Original Score); MUSIC (Original Song)</t>
        </is>
      </c>
      <c r="R204" s="64" t="inlineStr">
        <is>
          <t>https://github.com/DLu/oscar_data</t>
        </is>
      </c>
    </row>
    <row r="205">
      <c r="A205" t="inlineStr">
        <is>
          <t>F0201</t>
        </is>
      </c>
      <c r="B205" t="inlineStr">
        <is>
          <t>Logan</t>
        </is>
      </c>
      <c r="C205" t="inlineStr">
        <is>
          <t>2017</t>
        </is>
      </c>
      <c r="D205" t="n">
        <v>1</v>
      </c>
      <c r="E205" t="n">
        <v>0</v>
      </c>
      <c r="G205" t="n">
        <v>0</v>
      </c>
      <c r="H205" t="n">
        <v>0</v>
      </c>
      <c r="I205" s="64" t="n"/>
      <c r="J205" s="64" t="n">
        <v>0</v>
      </c>
      <c r="K205" s="64" t="n">
        <v>0</v>
      </c>
      <c r="L205" s="64" t="n"/>
      <c r="M205" s="64" t="n">
        <v>1</v>
      </c>
      <c r="N205" s="64" t="n">
        <v>0</v>
      </c>
      <c r="O205" s="64" t="n"/>
      <c r="P205" s="64" t="n"/>
      <c r="Q205" s="64" t="inlineStr">
        <is>
          <t>WRITING (Adapted Screenplay)</t>
        </is>
      </c>
      <c r="R205" s="64" t="inlineStr">
        <is>
          <t>https://github.com/DLu/oscar_data</t>
        </is>
      </c>
    </row>
    <row r="206">
      <c r="A206" t="inlineStr">
        <is>
          <t>F0202</t>
        </is>
      </c>
      <c r="B206" t="inlineStr">
        <is>
          <t>Lone Survivor</t>
        </is>
      </c>
      <c r="C206" t="inlineStr">
        <is>
          <t>2013</t>
        </is>
      </c>
      <c r="D206" t="n">
        <v>2</v>
      </c>
      <c r="E206" t="n">
        <v>0</v>
      </c>
      <c r="G206" t="n">
        <v>0</v>
      </c>
      <c r="H206" t="n">
        <v>0</v>
      </c>
      <c r="I206" s="64" t="n"/>
      <c r="J206" s="64" t="n">
        <v>0</v>
      </c>
      <c r="K206" s="64" t="n">
        <v>0</v>
      </c>
      <c r="L206" s="64" t="n"/>
      <c r="M206" s="64" t="n">
        <v>0</v>
      </c>
      <c r="N206" s="64" t="n">
        <v>0</v>
      </c>
      <c r="O206" s="64" t="n"/>
      <c r="P206" s="64" t="n"/>
      <c r="Q206" s="64" t="inlineStr">
        <is>
          <t>SOUND EDITING; SOUND MIXING</t>
        </is>
      </c>
      <c r="R206" s="64" t="inlineStr">
        <is>
          <t>https://github.com/DLu/oscar_data</t>
        </is>
      </c>
    </row>
    <row r="207" ht="75" customHeight="1" s="95">
      <c r="A207" t="inlineStr">
        <is>
          <t>F0203</t>
        </is>
      </c>
      <c r="B207" t="inlineStr">
        <is>
          <t>The Lord of the Rings: The Fellowship of the Ring</t>
        </is>
      </c>
      <c r="C207" t="inlineStr">
        <is>
          <t>2001</t>
        </is>
      </c>
      <c r="D207" t="n">
        <v>13</v>
      </c>
      <c r="E207" t="n">
        <v>4</v>
      </c>
      <c r="F207" t="inlineStr">
        <is>
          <t>Nominated</t>
        </is>
      </c>
      <c r="G207" t="n">
        <v>1</v>
      </c>
      <c r="H207" t="n">
        <v>0</v>
      </c>
      <c r="I207" s="64" t="n"/>
      <c r="J207" s="64" t="n">
        <v>1</v>
      </c>
      <c r="K207" s="64" t="n">
        <v>0</v>
      </c>
      <c r="L207" s="64" t="n"/>
      <c r="M207" s="64" t="n">
        <v>1</v>
      </c>
      <c r="N207" s="64" t="n">
        <v>0</v>
      </c>
      <c r="O207" s="64" t="n"/>
      <c r="P207" s="64" t="inlineStr">
        <is>
          <t>CINEMATOGRAPHY; MAKEUP AND HAIRSTYLING; MUSIC (Original Score); VISUAL EFFECTS</t>
        </is>
      </c>
      <c r="Q207" s="64" t="inlineStr">
        <is>
          <t>ACTOR IN A SUPPORTING ROLE; ART DIRECTION; CINEMATOGRAPHY; COSTUME DESIGN; DIRECTING; FILM EDITING; MAKEUP AND HAIRSTYLING; MUSIC (Original Score); MUSIC (Original Song); BEST PICTURE; SOUND MIXING; VISUAL EFFECTS; WRITING (Adapted Screenplay)</t>
        </is>
      </c>
      <c r="R207" s="64" t="inlineStr">
        <is>
          <t>https://github.com/DLu/oscar_data</t>
        </is>
      </c>
    </row>
    <row r="208" ht="30" customHeight="1" s="95">
      <c r="A208" t="inlineStr">
        <is>
          <t>F0204</t>
        </is>
      </c>
      <c r="B208" t="inlineStr">
        <is>
          <t>The Lord of the Rings: The Two Towers</t>
        </is>
      </c>
      <c r="C208" t="inlineStr">
        <is>
          <t>2002</t>
        </is>
      </c>
      <c r="D208" t="n">
        <v>6</v>
      </c>
      <c r="E208" t="n">
        <v>2</v>
      </c>
      <c r="F208" t="inlineStr">
        <is>
          <t>Nominated</t>
        </is>
      </c>
      <c r="G208" t="n">
        <v>0</v>
      </c>
      <c r="H208" t="n">
        <v>0</v>
      </c>
      <c r="I208" s="64" t="n"/>
      <c r="J208" s="64" t="n">
        <v>0</v>
      </c>
      <c r="K208" s="64" t="n">
        <v>0</v>
      </c>
      <c r="L208" s="64" t="n"/>
      <c r="M208" s="64" t="n">
        <v>0</v>
      </c>
      <c r="N208" s="64" t="n">
        <v>0</v>
      </c>
      <c r="O208" s="64" t="n"/>
      <c r="P208" s="64" t="inlineStr">
        <is>
          <t>SOUND EDITING; VISUAL EFFECTS</t>
        </is>
      </c>
      <c r="Q208" s="64" t="inlineStr">
        <is>
          <t>ART DIRECTION; FILM EDITING; BEST PICTURE; SOUND MIXING; SOUND EDITING; VISUAL EFFECTS</t>
        </is>
      </c>
      <c r="R208" s="64" t="inlineStr">
        <is>
          <t>https://github.com/DLu/oscar_data</t>
        </is>
      </c>
    </row>
    <row r="209" ht="75" customHeight="1" s="95">
      <c r="A209" t="inlineStr">
        <is>
          <t>F0205</t>
        </is>
      </c>
      <c r="B209" t="inlineStr">
        <is>
          <t>The Lord of the Rings: The Return of the King</t>
        </is>
      </c>
      <c r="C209" t="inlineStr">
        <is>
          <t>2003</t>
        </is>
      </c>
      <c r="D209" t="n">
        <v>11</v>
      </c>
      <c r="E209" t="n">
        <v>11</v>
      </c>
      <c r="F209" t="inlineStr">
        <is>
          <t>Winner</t>
        </is>
      </c>
      <c r="G209" t="n">
        <v>0</v>
      </c>
      <c r="H209" t="n">
        <v>0</v>
      </c>
      <c r="I209" s="64" t="n"/>
      <c r="J209" s="64" t="n">
        <v>1</v>
      </c>
      <c r="K209" s="64" t="n">
        <v>1</v>
      </c>
      <c r="L209" s="64" t="inlineStr">
        <is>
          <t>Peter Jackson</t>
        </is>
      </c>
      <c r="M209" s="64" t="n">
        <v>1</v>
      </c>
      <c r="N209" s="64" t="n">
        <v>1</v>
      </c>
      <c r="O209" s="64" t="n"/>
      <c r="P209" s="64" t="inlineStr">
        <is>
          <t>ART DIRECTION; COSTUME DESIGN; DIRECTING; FILM EDITING; MAKEUP AND HAIRSTYLING; MUSIC (Original Score); MUSIC (Original Song); BEST PICTURE; SOUND MIXING; VISUAL EFFECTS; WRITING (Adapted Screenplay)</t>
        </is>
      </c>
      <c r="Q209" s="64" t="inlineStr">
        <is>
          <t>ART DIRECTION; COSTUME DESIGN; DIRECTING; FILM EDITING; MAKEUP AND HAIRSTYLING; MUSIC (Original Score); MUSIC (Original Song); BEST PICTURE; SOUND MIXING; VISUAL EFFECTS; WRITING (Adapted Screenplay)</t>
        </is>
      </c>
      <c r="R209" s="64" t="inlineStr">
        <is>
          <t>https://github.com/DLu/oscar_data</t>
        </is>
      </c>
    </row>
    <row r="210">
      <c r="A210" t="inlineStr">
        <is>
          <t>F0206</t>
        </is>
      </c>
      <c r="B210" t="inlineStr">
        <is>
          <t>Magic Mike</t>
        </is>
      </c>
      <c r="C210" t="inlineStr">
        <is>
          <t>2012</t>
        </is>
      </c>
      <c r="D210" t="n">
        <v>0</v>
      </c>
      <c r="E210" t="n">
        <v>0</v>
      </c>
      <c r="G210" t="n">
        <v>0</v>
      </c>
      <c r="H210" t="n">
        <v>0</v>
      </c>
      <c r="I210" s="64" t="n"/>
      <c r="J210" s="64" t="n">
        <v>0</v>
      </c>
      <c r="K210" s="64" t="n">
        <v>0</v>
      </c>
      <c r="L210" s="64" t="n"/>
      <c r="M210" s="64" t="n">
        <v>0</v>
      </c>
      <c r="N210" s="64" t="n">
        <v>0</v>
      </c>
      <c r="O210" s="64" t="n"/>
      <c r="P210" s="64" t="n"/>
      <c r="Q210" s="64" t="n"/>
      <c r="R210" s="64" t="inlineStr">
        <is>
          <t>https://github.com/DLu/oscar_data</t>
        </is>
      </c>
    </row>
    <row r="211">
      <c r="A211" t="inlineStr">
        <is>
          <t>F0207</t>
        </is>
      </c>
      <c r="B211" t="inlineStr">
        <is>
          <t>The Magnificent Seven</t>
        </is>
      </c>
      <c r="C211" t="inlineStr">
        <is>
          <t>2016</t>
        </is>
      </c>
      <c r="D211" t="n">
        <v>0</v>
      </c>
      <c r="E211" t="n">
        <v>0</v>
      </c>
      <c r="G211" t="n">
        <v>0</v>
      </c>
      <c r="H211" t="n">
        <v>0</v>
      </c>
      <c r="I211" s="64" t="n"/>
      <c r="J211" s="64" t="n">
        <v>0</v>
      </c>
      <c r="K211" s="64" t="n">
        <v>0</v>
      </c>
      <c r="L211" s="64" t="n"/>
      <c r="M211" s="64" t="n">
        <v>0</v>
      </c>
      <c r="N211" s="64" t="n">
        <v>0</v>
      </c>
      <c r="O211" s="64" t="n"/>
      <c r="P211" s="64" t="n"/>
      <c r="Q211" s="64" t="n"/>
      <c r="R211" s="64" t="inlineStr">
        <is>
          <t>https://github.com/DLu/oscar_data</t>
        </is>
      </c>
    </row>
    <row r="212">
      <c r="A212" t="inlineStr">
        <is>
          <t>F0208</t>
        </is>
      </c>
      <c r="B212" t="inlineStr">
        <is>
          <t>Maleficent</t>
        </is>
      </c>
      <c r="C212" t="inlineStr">
        <is>
          <t>2014</t>
        </is>
      </c>
      <c r="D212" t="n">
        <v>1</v>
      </c>
      <c r="E212" t="n">
        <v>0</v>
      </c>
      <c r="G212" t="n">
        <v>0</v>
      </c>
      <c r="H212" t="n">
        <v>0</v>
      </c>
      <c r="I212" s="64" t="n"/>
      <c r="J212" s="64" t="n">
        <v>0</v>
      </c>
      <c r="K212" s="64" t="n">
        <v>0</v>
      </c>
      <c r="L212" s="64" t="n"/>
      <c r="M212" s="64" t="n">
        <v>0</v>
      </c>
      <c r="N212" s="64" t="n">
        <v>0</v>
      </c>
      <c r="O212" s="64" t="n"/>
      <c r="P212" s="64" t="n"/>
      <c r="Q212" s="64" t="inlineStr">
        <is>
          <t>COSTUME DESIGN</t>
        </is>
      </c>
      <c r="R212" s="64" t="inlineStr">
        <is>
          <t>https://github.com/DLu/oscar_data</t>
        </is>
      </c>
    </row>
    <row r="213">
      <c r="A213" t="inlineStr">
        <is>
          <t>F0209</t>
        </is>
      </c>
      <c r="B213" t="inlineStr">
        <is>
          <t>Mamma Mia!</t>
        </is>
      </c>
      <c r="C213" t="inlineStr">
        <is>
          <t>2008</t>
        </is>
      </c>
      <c r="D213" t="n">
        <v>0</v>
      </c>
      <c r="E213" t="n">
        <v>0</v>
      </c>
      <c r="G213" t="n">
        <v>0</v>
      </c>
      <c r="H213" t="n">
        <v>0</v>
      </c>
      <c r="I213" s="64" t="n"/>
      <c r="J213" s="64" t="n">
        <v>0</v>
      </c>
      <c r="K213" s="64" t="n">
        <v>0</v>
      </c>
      <c r="L213" s="64" t="n"/>
      <c r="M213" s="64" t="n">
        <v>0</v>
      </c>
      <c r="N213" s="64" t="n">
        <v>0</v>
      </c>
      <c r="O213" s="64" t="n"/>
      <c r="P213" s="64" t="n"/>
      <c r="Q213" s="64" t="n"/>
      <c r="R213" s="64" t="inlineStr">
        <is>
          <t>https://github.com/DLu/oscar_data</t>
        </is>
      </c>
    </row>
    <row r="214">
      <c r="A214" t="inlineStr">
        <is>
          <t>F0210</t>
        </is>
      </c>
      <c r="B214" t="inlineStr">
        <is>
          <t>Man on a Ledge</t>
        </is>
      </c>
      <c r="C214" t="inlineStr">
        <is>
          <t>2012</t>
        </is>
      </c>
      <c r="D214" t="n">
        <v>0</v>
      </c>
      <c r="E214" t="n">
        <v>0</v>
      </c>
      <c r="G214" t="n">
        <v>0</v>
      </c>
      <c r="H214" t="n">
        <v>0</v>
      </c>
      <c r="I214" s="64" t="n"/>
      <c r="J214" s="64" t="n">
        <v>0</v>
      </c>
      <c r="K214" s="64" t="n">
        <v>0</v>
      </c>
      <c r="L214" s="64" t="n"/>
      <c r="M214" s="64" t="n">
        <v>0</v>
      </c>
      <c r="N214" s="64" t="n">
        <v>0</v>
      </c>
      <c r="O214" s="64" t="n"/>
      <c r="P214" s="64" t="n"/>
      <c r="Q214" s="64" t="n"/>
      <c r="R214" s="64" t="inlineStr">
        <is>
          <t>https://github.com/DLu/oscar_data</t>
        </is>
      </c>
    </row>
    <row r="215">
      <c r="A215" t="inlineStr">
        <is>
          <t>F0211</t>
        </is>
      </c>
      <c r="B215" t="inlineStr">
        <is>
          <t>Man of Steel</t>
        </is>
      </c>
      <c r="C215" t="inlineStr">
        <is>
          <t>2013</t>
        </is>
      </c>
      <c r="D215" t="n">
        <v>0</v>
      </c>
      <c r="E215" t="n">
        <v>0</v>
      </c>
      <c r="G215" t="n">
        <v>0</v>
      </c>
      <c r="H215" t="n">
        <v>0</v>
      </c>
      <c r="I215" s="64" t="n"/>
      <c r="J215" s="64" t="n">
        <v>0</v>
      </c>
      <c r="K215" s="64" t="n">
        <v>0</v>
      </c>
      <c r="L215" s="64" t="n"/>
      <c r="M215" s="64" t="n">
        <v>0</v>
      </c>
      <c r="N215" s="64" t="n">
        <v>0</v>
      </c>
      <c r="O215" s="64" t="n"/>
      <c r="P215" s="64" t="n"/>
      <c r="Q215" s="64" t="n"/>
      <c r="R215" s="64" t="inlineStr">
        <is>
          <t>https://github.com/DLu/oscar_data</t>
        </is>
      </c>
    </row>
    <row r="216">
      <c r="A216" t="inlineStr">
        <is>
          <t>F0212</t>
        </is>
      </c>
      <c r="B216" t="inlineStr">
        <is>
          <t>The Super Mario Bros. Movie</t>
        </is>
      </c>
      <c r="C216" t="inlineStr">
        <is>
          <t>2023</t>
        </is>
      </c>
      <c r="D216" t="n">
        <v>0</v>
      </c>
      <c r="E216" t="n">
        <v>0</v>
      </c>
      <c r="G216" t="n">
        <v>0</v>
      </c>
      <c r="H216" t="n">
        <v>0</v>
      </c>
      <c r="I216" s="64" t="n"/>
      <c r="J216" s="64" t="n">
        <v>0</v>
      </c>
      <c r="K216" s="64" t="n">
        <v>0</v>
      </c>
      <c r="L216" s="64" t="n"/>
      <c r="M216" s="64" t="n">
        <v>0</v>
      </c>
      <c r="N216" s="64" t="n">
        <v>0</v>
      </c>
      <c r="O216" s="64" t="n"/>
      <c r="P216" s="64" t="n"/>
      <c r="Q216" s="64" t="n"/>
      <c r="R216" s="64" t="inlineStr">
        <is>
          <t>https://github.com/DLu/oscar_data</t>
        </is>
      </c>
    </row>
    <row r="217" ht="45" customHeight="1" s="95">
      <c r="A217" t="inlineStr">
        <is>
          <t>F0213</t>
        </is>
      </c>
      <c r="B217" t="inlineStr">
        <is>
          <t>The Martian</t>
        </is>
      </c>
      <c r="C217" t="inlineStr">
        <is>
          <t>2015</t>
        </is>
      </c>
      <c r="D217" t="n">
        <v>7</v>
      </c>
      <c r="E217" t="n">
        <v>0</v>
      </c>
      <c r="F217" t="inlineStr">
        <is>
          <t>Nominated</t>
        </is>
      </c>
      <c r="G217" t="n">
        <v>1</v>
      </c>
      <c r="H217" t="n">
        <v>0</v>
      </c>
      <c r="I217" s="64" t="n"/>
      <c r="J217" s="64" t="n">
        <v>0</v>
      </c>
      <c r="K217" s="64" t="n">
        <v>0</v>
      </c>
      <c r="L217" s="64" t="n"/>
      <c r="M217" s="64" t="n">
        <v>1</v>
      </c>
      <c r="N217" s="64" t="n">
        <v>0</v>
      </c>
      <c r="O217" s="64" t="n"/>
      <c r="P217" s="64" t="n"/>
      <c r="Q217" s="64" t="inlineStr">
        <is>
          <t>ACTOR IN A LEADING ROLE; BEST PICTURE; ART DIRECTION; SOUND EDITING; SOUND MIXING; VISUAL EFFECTS; WRITING (Adapted Screenplay)</t>
        </is>
      </c>
      <c r="R217" s="64" t="inlineStr">
        <is>
          <t>https://github.com/DLu/oscar_data</t>
        </is>
      </c>
    </row>
    <row r="218" ht="30" customHeight="1" s="95">
      <c r="A218" t="inlineStr">
        <is>
          <t>F0214</t>
        </is>
      </c>
      <c r="B218" t="inlineStr">
        <is>
          <t>The Matrix</t>
        </is>
      </c>
      <c r="C218" t="inlineStr">
        <is>
          <t>1999</t>
        </is>
      </c>
      <c r="D218" t="n">
        <v>4</v>
      </c>
      <c r="E218" t="n">
        <v>4</v>
      </c>
      <c r="G218" t="n">
        <v>0</v>
      </c>
      <c r="H218" t="n">
        <v>0</v>
      </c>
      <c r="I218" s="64" t="n"/>
      <c r="J218" s="64" t="n">
        <v>0</v>
      </c>
      <c r="K218" s="64" t="n">
        <v>0</v>
      </c>
      <c r="L218" s="64" t="n"/>
      <c r="M218" s="64" t="n">
        <v>0</v>
      </c>
      <c r="N218" s="64" t="n">
        <v>0</v>
      </c>
      <c r="O218" s="64" t="n"/>
      <c r="P218" s="64" t="inlineStr">
        <is>
          <t>FILM EDITING; SOUND MIXING; SOUND EDITING; VISUAL EFFECTS</t>
        </is>
      </c>
      <c r="Q218" s="64" t="inlineStr">
        <is>
          <t>FILM EDITING; SOUND MIXING; SOUND EDITING; VISUAL EFFECTS</t>
        </is>
      </c>
      <c r="R218" s="64" t="inlineStr">
        <is>
          <t>https://github.com/DLu/oscar_data</t>
        </is>
      </c>
    </row>
    <row r="219">
      <c r="A219" t="inlineStr">
        <is>
          <t>F0215</t>
        </is>
      </c>
      <c r="B219" t="inlineStr">
        <is>
          <t>The Matrix Reloaded</t>
        </is>
      </c>
      <c r="C219" t="inlineStr">
        <is>
          <t>2003</t>
        </is>
      </c>
      <c r="D219" t="n">
        <v>0</v>
      </c>
      <c r="E219" t="n">
        <v>0</v>
      </c>
      <c r="G219" t="n">
        <v>0</v>
      </c>
      <c r="H219" t="n">
        <v>0</v>
      </c>
      <c r="I219" s="64" t="n"/>
      <c r="J219" s="64" t="n">
        <v>0</v>
      </c>
      <c r="K219" s="64" t="n">
        <v>0</v>
      </c>
      <c r="L219" s="64" t="n"/>
      <c r="M219" s="64" t="n">
        <v>0</v>
      </c>
      <c r="N219" s="64" t="n">
        <v>0</v>
      </c>
      <c r="O219" s="64" t="n"/>
      <c r="P219" s="64" t="n"/>
      <c r="Q219" s="64" t="n"/>
      <c r="R219" s="64" t="inlineStr">
        <is>
          <t>https://github.com/DLu/oscar_data</t>
        </is>
      </c>
    </row>
    <row r="220">
      <c r="A220" t="inlineStr">
        <is>
          <t>F0216</t>
        </is>
      </c>
      <c r="B220" t="inlineStr">
        <is>
          <t>The Matrix Revolutions</t>
        </is>
      </c>
      <c r="C220" t="inlineStr">
        <is>
          <t>2003</t>
        </is>
      </c>
      <c r="D220" t="n">
        <v>0</v>
      </c>
      <c r="E220" t="n">
        <v>0</v>
      </c>
      <c r="G220" t="n">
        <v>0</v>
      </c>
      <c r="H220" t="n">
        <v>0</v>
      </c>
      <c r="I220" s="64" t="n"/>
      <c r="J220" s="64" t="n">
        <v>0</v>
      </c>
      <c r="K220" s="64" t="n">
        <v>0</v>
      </c>
      <c r="L220" s="64" t="n"/>
      <c r="M220" s="64" t="n">
        <v>0</v>
      </c>
      <c r="N220" s="64" t="n">
        <v>0</v>
      </c>
      <c r="O220" s="64" t="n"/>
      <c r="P220" s="64" t="n"/>
      <c r="Q220" s="64" t="n"/>
      <c r="R220" s="64" t="inlineStr">
        <is>
          <t>https://github.com/DLu/oscar_data</t>
        </is>
      </c>
    </row>
    <row r="221">
      <c r="A221" t="inlineStr">
        <is>
          <t>F0217</t>
        </is>
      </c>
      <c r="B221" t="inlineStr">
        <is>
          <t>The Maze Runner</t>
        </is>
      </c>
      <c r="C221" t="inlineStr">
        <is>
          <t>2014</t>
        </is>
      </c>
      <c r="D221" t="n">
        <v>0</v>
      </c>
      <c r="E221" t="n">
        <v>0</v>
      </c>
      <c r="G221" t="n">
        <v>0</v>
      </c>
      <c r="H221" t="n">
        <v>0</v>
      </c>
      <c r="I221" s="64" t="n"/>
      <c r="J221" s="64" t="n">
        <v>0</v>
      </c>
      <c r="K221" s="64" t="n">
        <v>0</v>
      </c>
      <c r="L221" s="64" t="n"/>
      <c r="M221" s="64" t="n">
        <v>0</v>
      </c>
      <c r="N221" s="64" t="n">
        <v>0</v>
      </c>
      <c r="O221" s="64" t="n"/>
      <c r="P221" s="64" t="n"/>
      <c r="Q221" s="64" t="n"/>
      <c r="R221" s="64" t="inlineStr">
        <is>
          <t>https://github.com/DLu/oscar_data</t>
        </is>
      </c>
    </row>
    <row r="222" ht="30" customHeight="1" s="95">
      <c r="A222" t="inlineStr">
        <is>
          <t>F0218</t>
        </is>
      </c>
      <c r="B222" t="inlineStr">
        <is>
          <t>Men in Black</t>
        </is>
      </c>
      <c r="C222" t="inlineStr">
        <is>
          <t>1997</t>
        </is>
      </c>
      <c r="D222" t="n">
        <v>3</v>
      </c>
      <c r="E222" t="n">
        <v>1</v>
      </c>
      <c r="G222" t="n">
        <v>0</v>
      </c>
      <c r="H222" t="n">
        <v>0</v>
      </c>
      <c r="I222" s="64" t="n"/>
      <c r="J222" s="64" t="n">
        <v>0</v>
      </c>
      <c r="K222" s="64" t="n">
        <v>0</v>
      </c>
      <c r="L222" s="64" t="n"/>
      <c r="M222" s="64" t="n">
        <v>0</v>
      </c>
      <c r="N222" s="64" t="n">
        <v>0</v>
      </c>
      <c r="O222" s="64" t="n"/>
      <c r="P222" s="64" t="inlineStr">
        <is>
          <t>MAKEUP AND HAIRSTYLING</t>
        </is>
      </c>
      <c r="Q222" s="64" t="inlineStr">
        <is>
          <t>ART DIRECTION; MAKEUP AND HAIRSTYLING; MUSIC (Original Song Score or Adaptation Score)</t>
        </is>
      </c>
      <c r="R222" s="64" t="inlineStr">
        <is>
          <t>https://github.com/DLu/oscar_data</t>
        </is>
      </c>
    </row>
    <row r="223">
      <c r="A223" t="inlineStr">
        <is>
          <t>F0219</t>
        </is>
      </c>
      <c r="B223" t="inlineStr">
        <is>
          <t>Men in Black 3</t>
        </is>
      </c>
      <c r="C223" t="inlineStr">
        <is>
          <t>2012</t>
        </is>
      </c>
      <c r="D223" t="n">
        <v>0</v>
      </c>
      <c r="E223" t="n">
        <v>0</v>
      </c>
      <c r="G223" t="n">
        <v>0</v>
      </c>
      <c r="H223" t="n">
        <v>0</v>
      </c>
      <c r="I223" s="64" t="n"/>
      <c r="J223" s="64" t="n">
        <v>0</v>
      </c>
      <c r="K223" s="64" t="n">
        <v>0</v>
      </c>
      <c r="L223" s="64" t="n"/>
      <c r="M223" s="64" t="n">
        <v>0</v>
      </c>
      <c r="N223" s="64" t="n">
        <v>0</v>
      </c>
      <c r="O223" s="64" t="n"/>
      <c r="P223" s="64" t="n"/>
      <c r="Q223" s="64" t="n"/>
      <c r="R223" s="64" t="inlineStr">
        <is>
          <t>https://github.com/DLu/oscar_data</t>
        </is>
      </c>
    </row>
    <row r="224">
      <c r="A224" t="inlineStr">
        <is>
          <t>F0220</t>
        </is>
      </c>
      <c r="B224" t="inlineStr">
        <is>
          <t>Minions</t>
        </is>
      </c>
      <c r="C224" t="inlineStr">
        <is>
          <t>2015</t>
        </is>
      </c>
      <c r="D224" t="n">
        <v>0</v>
      </c>
      <c r="E224" t="n">
        <v>0</v>
      </c>
      <c r="G224" t="n">
        <v>0</v>
      </c>
      <c r="H224" t="n">
        <v>0</v>
      </c>
      <c r="I224" s="64" t="n"/>
      <c r="J224" s="64" t="n">
        <v>0</v>
      </c>
      <c r="K224" s="64" t="n">
        <v>0</v>
      </c>
      <c r="L224" s="64" t="n"/>
      <c r="M224" s="64" t="n">
        <v>0</v>
      </c>
      <c r="N224" s="64" t="n">
        <v>0</v>
      </c>
      <c r="O224" s="64" t="n"/>
      <c r="P224" s="64" t="n"/>
      <c r="Q224" s="64" t="n"/>
      <c r="R224" s="64" t="inlineStr">
        <is>
          <t>https://github.com/DLu/oscar_data</t>
        </is>
      </c>
    </row>
    <row r="225">
      <c r="A225" t="inlineStr">
        <is>
          <t>F0221</t>
        </is>
      </c>
      <c r="B225" t="inlineStr">
        <is>
          <t>Mission: Impossible</t>
        </is>
      </c>
      <c r="C225" t="inlineStr">
        <is>
          <t>1996</t>
        </is>
      </c>
      <c r="D225" t="n">
        <v>0</v>
      </c>
      <c r="E225" t="n">
        <v>0</v>
      </c>
      <c r="G225" t="n">
        <v>0</v>
      </c>
      <c r="H225" t="n">
        <v>0</v>
      </c>
      <c r="I225" s="64" t="n"/>
      <c r="J225" s="64" t="n">
        <v>0</v>
      </c>
      <c r="K225" s="64" t="n">
        <v>0</v>
      </c>
      <c r="L225" s="64" t="n"/>
      <c r="M225" s="64" t="n">
        <v>0</v>
      </c>
      <c r="N225" s="64" t="n">
        <v>0</v>
      </c>
      <c r="O225" s="64" t="n"/>
      <c r="P225" s="64" t="n"/>
      <c r="Q225" s="64" t="n"/>
      <c r="R225" s="64" t="inlineStr">
        <is>
          <t>https://github.com/DLu/oscar_data</t>
        </is>
      </c>
    </row>
    <row r="226">
      <c r="A226" t="inlineStr">
        <is>
          <t>F0222</t>
        </is>
      </c>
      <c r="B226" t="inlineStr">
        <is>
          <t>Mission: Impossible II</t>
        </is>
      </c>
      <c r="C226" t="inlineStr">
        <is>
          <t>2000</t>
        </is>
      </c>
      <c r="D226" t="n">
        <v>0</v>
      </c>
      <c r="E226" t="n">
        <v>0</v>
      </c>
      <c r="G226" t="n">
        <v>0</v>
      </c>
      <c r="H226" t="n">
        <v>0</v>
      </c>
      <c r="I226" s="64" t="n"/>
      <c r="J226" s="64" t="n">
        <v>0</v>
      </c>
      <c r="K226" s="64" t="n">
        <v>0</v>
      </c>
      <c r="L226" s="64" t="n"/>
      <c r="M226" s="64" t="n">
        <v>0</v>
      </c>
      <c r="N226" s="64" t="n">
        <v>0</v>
      </c>
      <c r="O226" s="64" t="n"/>
      <c r="P226" s="64" t="n"/>
      <c r="Q226" s="64" t="n"/>
      <c r="R226" s="64" t="inlineStr">
        <is>
          <t>https://github.com/DLu/oscar_data</t>
        </is>
      </c>
    </row>
    <row r="227">
      <c r="A227" t="inlineStr">
        <is>
          <t>F0223</t>
        </is>
      </c>
      <c r="B227" t="inlineStr">
        <is>
          <t>Mission: Impossible III</t>
        </is>
      </c>
      <c r="C227" t="inlineStr">
        <is>
          <t>2006</t>
        </is>
      </c>
      <c r="D227" t="n">
        <v>0</v>
      </c>
      <c r="E227" t="n">
        <v>0</v>
      </c>
      <c r="G227" t="n">
        <v>0</v>
      </c>
      <c r="H227" t="n">
        <v>0</v>
      </c>
      <c r="I227" s="64" t="n"/>
      <c r="J227" s="64" t="n">
        <v>0</v>
      </c>
      <c r="K227" s="64" t="n">
        <v>0</v>
      </c>
      <c r="L227" s="64" t="n"/>
      <c r="M227" s="64" t="n">
        <v>0</v>
      </c>
      <c r="N227" s="64" t="n">
        <v>0</v>
      </c>
      <c r="O227" s="64" t="n"/>
      <c r="P227" s="64" t="n"/>
      <c r="Q227" s="64" t="n"/>
      <c r="R227" s="64" t="inlineStr">
        <is>
          <t>https://github.com/DLu/oscar_data</t>
        </is>
      </c>
    </row>
    <row r="228">
      <c r="A228" t="inlineStr">
        <is>
          <t>F0224</t>
        </is>
      </c>
      <c r="B228" t="inlineStr">
        <is>
          <t>Mission: Impossible - Ghost Protocol</t>
        </is>
      </c>
      <c r="C228" t="inlineStr">
        <is>
          <t>2011</t>
        </is>
      </c>
      <c r="D228" t="n">
        <v>0</v>
      </c>
      <c r="E228" t="n">
        <v>0</v>
      </c>
      <c r="G228" t="n">
        <v>0</v>
      </c>
      <c r="H228" t="n">
        <v>0</v>
      </c>
      <c r="I228" s="64" t="n"/>
      <c r="J228" s="64" t="n">
        <v>0</v>
      </c>
      <c r="K228" s="64" t="n">
        <v>0</v>
      </c>
      <c r="L228" s="64" t="n"/>
      <c r="M228" s="64" t="n">
        <v>0</v>
      </c>
      <c r="N228" s="64" t="n">
        <v>0</v>
      </c>
      <c r="O228" s="64" t="n"/>
      <c r="P228" s="64" t="n"/>
      <c r="Q228" s="64" t="n"/>
      <c r="R228" s="64" t="inlineStr">
        <is>
          <t>https://github.com/DLu/oscar_data</t>
        </is>
      </c>
    </row>
    <row r="229">
      <c r="A229" t="inlineStr">
        <is>
          <t>F0225</t>
        </is>
      </c>
      <c r="B229" t="inlineStr">
        <is>
          <t>Mission: Impossible - Rogue Nation</t>
        </is>
      </c>
      <c r="C229" t="inlineStr">
        <is>
          <t>2015</t>
        </is>
      </c>
      <c r="D229" t="n">
        <v>0</v>
      </c>
      <c r="E229" t="n">
        <v>0</v>
      </c>
      <c r="G229" t="n">
        <v>0</v>
      </c>
      <c r="H229" t="n">
        <v>0</v>
      </c>
      <c r="I229" s="64" t="n"/>
      <c r="J229" s="64" t="n">
        <v>0</v>
      </c>
      <c r="K229" s="64" t="n">
        <v>0</v>
      </c>
      <c r="L229" s="64" t="n"/>
      <c r="M229" s="64" t="n">
        <v>0</v>
      </c>
      <c r="N229" s="64" t="n">
        <v>0</v>
      </c>
      <c r="O229" s="64" t="n"/>
      <c r="P229" s="64" t="n"/>
      <c r="Q229" s="64" t="n"/>
      <c r="R229" s="64" t="inlineStr">
        <is>
          <t>https://github.com/DLu/oscar_data</t>
        </is>
      </c>
    </row>
    <row r="230">
      <c r="A230" t="inlineStr">
        <is>
          <t>F0226</t>
        </is>
      </c>
      <c r="B230" t="inlineStr">
        <is>
          <t>Mission: Impossible - Fallout</t>
        </is>
      </c>
      <c r="C230" t="inlineStr">
        <is>
          <t>2018</t>
        </is>
      </c>
      <c r="D230" t="n">
        <v>0</v>
      </c>
      <c r="E230" t="n">
        <v>0</v>
      </c>
      <c r="G230" t="n">
        <v>0</v>
      </c>
      <c r="H230" t="n">
        <v>0</v>
      </c>
      <c r="I230" s="64" t="n"/>
      <c r="J230" s="64" t="n">
        <v>0</v>
      </c>
      <c r="K230" s="64" t="n">
        <v>0</v>
      </c>
      <c r="L230" s="64" t="n"/>
      <c r="M230" s="64" t="n">
        <v>0</v>
      </c>
      <c r="N230" s="64" t="n">
        <v>0</v>
      </c>
      <c r="O230" s="64" t="n"/>
      <c r="P230" s="64" t="n"/>
      <c r="Q230" s="64" t="n"/>
      <c r="R230" s="64" t="inlineStr">
        <is>
          <t>https://github.com/DLu/oscar_data</t>
        </is>
      </c>
    </row>
    <row r="231">
      <c r="A231" t="inlineStr">
        <is>
          <t>F0227</t>
        </is>
      </c>
      <c r="B231" t="inlineStr">
        <is>
          <t>Mission: Impossible - Dead Reckoning Part One</t>
        </is>
      </c>
      <c r="C231" t="inlineStr">
        <is>
          <t>2023</t>
        </is>
      </c>
      <c r="D231" t="n">
        <v>2</v>
      </c>
      <c r="E231" t="n">
        <v>0</v>
      </c>
      <c r="G231" t="n">
        <v>0</v>
      </c>
      <c r="H231" t="n">
        <v>0</v>
      </c>
      <c r="I231" s="64" t="n"/>
      <c r="J231" s="64" t="n">
        <v>0</v>
      </c>
      <c r="K231" s="64" t="n">
        <v>0</v>
      </c>
      <c r="L231" s="64" t="n"/>
      <c r="M231" s="64" t="n">
        <v>0</v>
      </c>
      <c r="N231" s="64" t="n">
        <v>0</v>
      </c>
      <c r="O231" s="64" t="n"/>
      <c r="P231" s="64" t="n"/>
      <c r="Q231" s="64" t="inlineStr">
        <is>
          <t>SOUND MIXING; VISUAL EFFECTS</t>
        </is>
      </c>
      <c r="R231" s="64" t="inlineStr">
        <is>
          <t>https://github.com/DLu/oscar_data</t>
        </is>
      </c>
    </row>
    <row r="232">
      <c r="A232" t="inlineStr">
        <is>
          <t>F0228</t>
        </is>
      </c>
      <c r="B232" t="inlineStr">
        <is>
          <t>Mission: Impossible - The Final Reckoning</t>
        </is>
      </c>
      <c r="C232" t="inlineStr">
        <is>
          <t>2025</t>
        </is>
      </c>
      <c r="D232" t="n">
        <v>0</v>
      </c>
      <c r="E232" t="n">
        <v>0</v>
      </c>
      <c r="G232" t="n">
        <v>0</v>
      </c>
      <c r="H232" t="n">
        <v>0</v>
      </c>
      <c r="I232" s="64" t="n"/>
      <c r="J232" s="64" t="n">
        <v>0</v>
      </c>
      <c r="K232" s="64" t="n">
        <v>0</v>
      </c>
      <c r="L232" s="64" t="n"/>
      <c r="M232" s="64" t="n">
        <v>0</v>
      </c>
      <c r="N232" s="64" t="n">
        <v>0</v>
      </c>
      <c r="O232" s="64" t="n"/>
      <c r="P232" s="64" t="n"/>
      <c r="Q232" s="64" t="n"/>
      <c r="R232" s="64" t="inlineStr">
        <is>
          <t>https://github.com/DLu/oscar_data</t>
        </is>
      </c>
    </row>
    <row r="233" ht="30" customHeight="1" s="95">
      <c r="A233" t="inlineStr">
        <is>
          <t>F0229</t>
        </is>
      </c>
      <c r="B233" t="inlineStr">
        <is>
          <t>Monsters, Inc.</t>
        </is>
      </c>
      <c r="C233" t="inlineStr">
        <is>
          <t>2001</t>
        </is>
      </c>
      <c r="D233" t="n">
        <v>4</v>
      </c>
      <c r="E233" t="n">
        <v>1</v>
      </c>
      <c r="G233" t="n">
        <v>0</v>
      </c>
      <c r="H233" t="n">
        <v>0</v>
      </c>
      <c r="I233" s="64" t="n"/>
      <c r="J233" s="64" t="n">
        <v>0</v>
      </c>
      <c r="K233" s="64" t="n">
        <v>0</v>
      </c>
      <c r="L233" s="64" t="n"/>
      <c r="M233" s="64" t="n">
        <v>0</v>
      </c>
      <c r="N233" s="64" t="n">
        <v>0</v>
      </c>
      <c r="O233" s="64" t="inlineStr">
        <is>
          <t>Nominated</t>
        </is>
      </c>
      <c r="P233" s="64" t="inlineStr">
        <is>
          <t>MUSIC (Original Song)</t>
        </is>
      </c>
      <c r="Q233" s="64" t="inlineStr">
        <is>
          <t>ANIMATED FEATURE FILM; MUSIC (Original Score); MUSIC (Original Song); SOUND EDITING</t>
        </is>
      </c>
      <c r="R233" s="64" t="inlineStr">
        <is>
          <t>https://github.com/DLu/oscar_data</t>
        </is>
      </c>
    </row>
    <row r="234">
      <c r="A234" t="inlineStr">
        <is>
          <t>F0230</t>
        </is>
      </c>
      <c r="B234" t="inlineStr">
        <is>
          <t>Monsters University</t>
        </is>
      </c>
      <c r="C234" t="inlineStr">
        <is>
          <t>2013</t>
        </is>
      </c>
      <c r="D234" t="n">
        <v>0</v>
      </c>
      <c r="E234" t="n">
        <v>0</v>
      </c>
      <c r="G234" t="n">
        <v>0</v>
      </c>
      <c r="H234" t="n">
        <v>0</v>
      </c>
      <c r="I234" s="64" t="n"/>
      <c r="J234" s="64" t="n">
        <v>0</v>
      </c>
      <c r="K234" s="64" t="n">
        <v>0</v>
      </c>
      <c r="L234" s="64" t="n"/>
      <c r="M234" s="64" t="n">
        <v>0</v>
      </c>
      <c r="N234" s="64" t="n">
        <v>0</v>
      </c>
      <c r="O234" s="64" t="n"/>
      <c r="P234" s="64" t="n"/>
      <c r="Q234" s="64" t="n"/>
      <c r="R234" s="64" t="inlineStr">
        <is>
          <t>https://github.com/DLu/oscar_data</t>
        </is>
      </c>
    </row>
    <row r="235">
      <c r="A235" t="inlineStr">
        <is>
          <t>F0231</t>
        </is>
      </c>
      <c r="B235" t="inlineStr">
        <is>
          <t>Mr. &amp; Mrs. Smith</t>
        </is>
      </c>
      <c r="C235" t="inlineStr">
        <is>
          <t>2005</t>
        </is>
      </c>
      <c r="D235" t="n">
        <v>0</v>
      </c>
      <c r="E235" t="n">
        <v>0</v>
      </c>
      <c r="G235" t="n">
        <v>0</v>
      </c>
      <c r="H235" t="n">
        <v>0</v>
      </c>
      <c r="I235" s="64" t="n"/>
      <c r="J235" s="64" t="n">
        <v>0</v>
      </c>
      <c r="K235" s="64" t="n">
        <v>0</v>
      </c>
      <c r="L235" s="64" t="n"/>
      <c r="M235" s="64" t="n">
        <v>0</v>
      </c>
      <c r="N235" s="64" t="n">
        <v>0</v>
      </c>
      <c r="O235" s="64" t="n"/>
      <c r="P235" s="64" t="n"/>
      <c r="Q235" s="64" t="n"/>
      <c r="R235" s="64" t="inlineStr">
        <is>
          <t>https://github.com/DLu/oscar_data</t>
        </is>
      </c>
    </row>
    <row r="236">
      <c r="A236" t="inlineStr">
        <is>
          <t>F0232</t>
        </is>
      </c>
      <c r="B236" t="inlineStr">
        <is>
          <t>Muppets Most Wanted</t>
        </is>
      </c>
      <c r="C236" t="inlineStr">
        <is>
          <t>2014</t>
        </is>
      </c>
      <c r="D236" t="n">
        <v>0</v>
      </c>
      <c r="E236" t="n">
        <v>0</v>
      </c>
      <c r="G236" t="n">
        <v>0</v>
      </c>
      <c r="H236" t="n">
        <v>0</v>
      </c>
      <c r="I236" s="64" t="n"/>
      <c r="J236" s="64" t="n">
        <v>0</v>
      </c>
      <c r="K236" s="64" t="n">
        <v>0</v>
      </c>
      <c r="L236" s="64" t="n"/>
      <c r="M236" s="64" t="n">
        <v>0</v>
      </c>
      <c r="N236" s="64" t="n">
        <v>0</v>
      </c>
      <c r="O236" s="64" t="n"/>
      <c r="P236" s="64" t="n"/>
      <c r="Q236" s="64" t="n"/>
      <c r="R236" s="64" t="inlineStr">
        <is>
          <t>https://github.com/DLu/oscar_data</t>
        </is>
      </c>
    </row>
    <row r="237">
      <c r="A237" t="inlineStr">
        <is>
          <t>F0233</t>
        </is>
      </c>
      <c r="B237" t="inlineStr">
        <is>
          <t>National Treasure: Book of Secrets</t>
        </is>
      </c>
      <c r="C237" t="inlineStr">
        <is>
          <t>2007</t>
        </is>
      </c>
      <c r="D237" t="n">
        <v>0</v>
      </c>
      <c r="E237" t="n">
        <v>0</v>
      </c>
      <c r="G237" t="n">
        <v>0</v>
      </c>
      <c r="H237" t="n">
        <v>0</v>
      </c>
      <c r="I237" s="64" t="n"/>
      <c r="J237" s="64" t="n">
        <v>0</v>
      </c>
      <c r="K237" s="64" t="n">
        <v>0</v>
      </c>
      <c r="L237" s="64" t="n"/>
      <c r="M237" s="64" t="n">
        <v>0</v>
      </c>
      <c r="N237" s="64" t="n">
        <v>0</v>
      </c>
      <c r="O237" s="64" t="n"/>
      <c r="P237" s="64" t="n"/>
      <c r="Q237" s="64" t="n"/>
      <c r="R237" s="64" t="inlineStr">
        <is>
          <t>https://github.com/DLu/oscar_data</t>
        </is>
      </c>
    </row>
    <row r="238">
      <c r="A238" t="inlineStr">
        <is>
          <t>F0234</t>
        </is>
      </c>
      <c r="B238" t="inlineStr">
        <is>
          <t>Need for Speed</t>
        </is>
      </c>
      <c r="C238" t="inlineStr">
        <is>
          <t>2014</t>
        </is>
      </c>
      <c r="D238" t="n">
        <v>0</v>
      </c>
      <c r="E238" t="n">
        <v>0</v>
      </c>
      <c r="G238" t="n">
        <v>0</v>
      </c>
      <c r="H238" t="n">
        <v>0</v>
      </c>
      <c r="I238" s="64" t="n"/>
      <c r="J238" s="64" t="n">
        <v>0</v>
      </c>
      <c r="K238" s="64" t="n">
        <v>0</v>
      </c>
      <c r="L238" s="64" t="n"/>
      <c r="M238" s="64" t="n">
        <v>0</v>
      </c>
      <c r="N238" s="64" t="n">
        <v>0</v>
      </c>
      <c r="O238" s="64" t="n"/>
      <c r="P238" s="64" t="n"/>
      <c r="Q238" s="64" t="n"/>
      <c r="R238" s="64" t="inlineStr">
        <is>
          <t>https://github.com/DLu/oscar_data</t>
        </is>
      </c>
    </row>
    <row r="239">
      <c r="A239" t="inlineStr">
        <is>
          <t>F0235</t>
        </is>
      </c>
      <c r="B239" t="inlineStr">
        <is>
          <t>The Nice Guys</t>
        </is>
      </c>
      <c r="C239" t="inlineStr">
        <is>
          <t>2016</t>
        </is>
      </c>
      <c r="D239" t="n">
        <v>0</v>
      </c>
      <c r="E239" t="n">
        <v>0</v>
      </c>
      <c r="G239" t="n">
        <v>0</v>
      </c>
      <c r="H239" t="n">
        <v>0</v>
      </c>
      <c r="I239" s="64" t="n"/>
      <c r="J239" s="64" t="n">
        <v>0</v>
      </c>
      <c r="K239" s="64" t="n">
        <v>0</v>
      </c>
      <c r="L239" s="64" t="n"/>
      <c r="M239" s="64" t="n">
        <v>0</v>
      </c>
      <c r="N239" s="64" t="n">
        <v>0</v>
      </c>
      <c r="O239" s="64" t="n"/>
      <c r="P239" s="64" t="n"/>
      <c r="Q239" s="64" t="n"/>
      <c r="R239" s="64" t="inlineStr">
        <is>
          <t>https://github.com/DLu/oscar_data</t>
        </is>
      </c>
    </row>
    <row r="240">
      <c r="A240" t="inlineStr">
        <is>
          <t>F0236</t>
        </is>
      </c>
      <c r="B240" t="inlineStr">
        <is>
          <t>Night at the Museum: Battle of the Smithsonian</t>
        </is>
      </c>
      <c r="C240" t="inlineStr">
        <is>
          <t>2009</t>
        </is>
      </c>
      <c r="D240" t="n">
        <v>0</v>
      </c>
      <c r="E240" t="n">
        <v>0</v>
      </c>
      <c r="G240" t="n">
        <v>0</v>
      </c>
      <c r="H240" t="n">
        <v>0</v>
      </c>
      <c r="I240" s="64" t="n"/>
      <c r="J240" s="64" t="n">
        <v>0</v>
      </c>
      <c r="K240" s="64" t="n">
        <v>0</v>
      </c>
      <c r="L240" s="64" t="n"/>
      <c r="M240" s="64" t="n">
        <v>0</v>
      </c>
      <c r="N240" s="64" t="n">
        <v>0</v>
      </c>
      <c r="O240" s="64" t="n"/>
      <c r="P240" s="64" t="n"/>
      <c r="Q240" s="64" t="n"/>
      <c r="R240" s="64" t="inlineStr">
        <is>
          <t>https://github.com/DLu/oscar_data</t>
        </is>
      </c>
    </row>
    <row r="241">
      <c r="A241" t="inlineStr">
        <is>
          <t>F0237</t>
        </is>
      </c>
      <c r="B241" t="inlineStr">
        <is>
          <t>The Notebook</t>
        </is>
      </c>
      <c r="C241" t="inlineStr">
        <is>
          <t>2004</t>
        </is>
      </c>
      <c r="D241" t="n">
        <v>0</v>
      </c>
      <c r="E241" t="n">
        <v>0</v>
      </c>
      <c r="G241" t="n">
        <v>0</v>
      </c>
      <c r="H241" t="n">
        <v>0</v>
      </c>
      <c r="I241" s="64" t="n"/>
      <c r="J241" s="64" t="n">
        <v>0</v>
      </c>
      <c r="K241" s="64" t="n">
        <v>0</v>
      </c>
      <c r="L241" s="64" t="n"/>
      <c r="M241" s="64" t="n">
        <v>0</v>
      </c>
      <c r="N241" s="64" t="n">
        <v>0</v>
      </c>
      <c r="O241" s="64" t="n"/>
      <c r="P241" s="64" t="n"/>
      <c r="Q241" s="64" t="n"/>
      <c r="R241" s="64" t="inlineStr">
        <is>
          <t>https://github.com/DLu/oscar_data</t>
        </is>
      </c>
    </row>
    <row r="242">
      <c r="A242" t="inlineStr">
        <is>
          <t>F0238</t>
        </is>
      </c>
      <c r="B242" t="inlineStr">
        <is>
          <t>Noah</t>
        </is>
      </c>
      <c r="C242" t="inlineStr">
        <is>
          <t>2014</t>
        </is>
      </c>
      <c r="D242" t="n">
        <v>0</v>
      </c>
      <c r="E242" t="n">
        <v>0</v>
      </c>
      <c r="G242" t="n">
        <v>0</v>
      </c>
      <c r="H242" t="n">
        <v>0</v>
      </c>
      <c r="I242" s="64" t="n"/>
      <c r="J242" s="64" t="n">
        <v>0</v>
      </c>
      <c r="K242" s="64" t="n">
        <v>0</v>
      </c>
      <c r="L242" s="64" t="n"/>
      <c r="M242" s="64" t="n">
        <v>0</v>
      </c>
      <c r="N242" s="64" t="n">
        <v>0</v>
      </c>
      <c r="O242" s="64" t="n"/>
      <c r="P242" s="64" t="n"/>
      <c r="Q242" s="64" t="n"/>
      <c r="R242" s="64" t="inlineStr">
        <is>
          <t>https://github.com/DLu/oscar_data</t>
        </is>
      </c>
    </row>
    <row r="243">
      <c r="A243" t="inlineStr">
        <is>
          <t>F0239</t>
        </is>
      </c>
      <c r="B243" t="inlineStr">
        <is>
          <t>Oblivion</t>
        </is>
      </c>
      <c r="C243" t="inlineStr">
        <is>
          <t>2013</t>
        </is>
      </c>
      <c r="D243" t="n">
        <v>0</v>
      </c>
      <c r="E243" t="n">
        <v>0</v>
      </c>
      <c r="G243" t="n">
        <v>0</v>
      </c>
      <c r="H243" t="n">
        <v>0</v>
      </c>
      <c r="I243" s="64" t="n"/>
      <c r="J243" s="64" t="n">
        <v>0</v>
      </c>
      <c r="K243" s="64" t="n">
        <v>0</v>
      </c>
      <c r="L243" s="64" t="n"/>
      <c r="M243" s="64" t="n">
        <v>0</v>
      </c>
      <c r="N243" s="64" t="n">
        <v>0</v>
      </c>
      <c r="O243" s="64" t="n"/>
      <c r="P243" s="64" t="n"/>
      <c r="Q243" s="64" t="n"/>
      <c r="R243" s="64" t="inlineStr">
        <is>
          <t>https://github.com/DLu/oscar_data</t>
        </is>
      </c>
    </row>
    <row r="244">
      <c r="A244" t="inlineStr">
        <is>
          <t>F0240</t>
        </is>
      </c>
      <c r="B244" t="inlineStr">
        <is>
          <t>Olympus Has Fallen</t>
        </is>
      </c>
      <c r="C244" t="inlineStr">
        <is>
          <t>2013</t>
        </is>
      </c>
      <c r="D244" t="n">
        <v>0</v>
      </c>
      <c r="E244" t="n">
        <v>0</v>
      </c>
      <c r="G244" t="n">
        <v>0</v>
      </c>
      <c r="H244" t="n">
        <v>0</v>
      </c>
      <c r="I244" s="64" t="n"/>
      <c r="J244" s="64" t="n">
        <v>0</v>
      </c>
      <c r="K244" s="64" t="n">
        <v>0</v>
      </c>
      <c r="L244" s="64" t="n"/>
      <c r="M244" s="64" t="n">
        <v>0</v>
      </c>
      <c r="N244" s="64" t="n">
        <v>0</v>
      </c>
      <c r="O244" s="64" t="n"/>
      <c r="P244" s="64" t="n"/>
      <c r="Q244" s="64" t="n"/>
      <c r="R244" s="64" t="inlineStr">
        <is>
          <t>https://github.com/DLu/oscar_data</t>
        </is>
      </c>
    </row>
    <row r="245" ht="60" customHeight="1" s="95">
      <c r="A245" t="inlineStr">
        <is>
          <t>F0241</t>
        </is>
      </c>
      <c r="B245" t="inlineStr">
        <is>
          <t>Once Upon a Time… in Hollywood</t>
        </is>
      </c>
      <c r="C245" t="inlineStr">
        <is>
          <t>2019</t>
        </is>
      </c>
      <c r="D245" t="n">
        <v>10</v>
      </c>
      <c r="E245" t="n">
        <v>2</v>
      </c>
      <c r="F245" t="inlineStr">
        <is>
          <t>Nominated</t>
        </is>
      </c>
      <c r="G245" t="n">
        <v>2</v>
      </c>
      <c r="H245" t="n">
        <v>1</v>
      </c>
      <c r="I245" s="64" t="inlineStr">
        <is>
          <t>Brad Pitt</t>
        </is>
      </c>
      <c r="J245" s="64" t="n">
        <v>1</v>
      </c>
      <c r="K245" s="64" t="n">
        <v>0</v>
      </c>
      <c r="L245" s="64" t="n"/>
      <c r="M245" s="64" t="n">
        <v>1</v>
      </c>
      <c r="N245" s="64" t="n">
        <v>0</v>
      </c>
      <c r="O245" s="64" t="n"/>
      <c r="P245" s="64" t="inlineStr">
        <is>
          <t>ACTOR IN A SUPPORTING ROLE; ART DIRECTION</t>
        </is>
      </c>
      <c r="Q245" s="64" t="inlineStr">
        <is>
          <t>ACTOR IN A LEADING ROLE; ACTOR IN A SUPPORTING ROLE; CINEMATOGRAPHY; COSTUME DESIGN; DIRECTING; BEST PICTURE; ART DIRECTION; SOUND EDITING; SOUND MIXING; WRITING (Original Screenplay)</t>
        </is>
      </c>
      <c r="R245" s="64" t="inlineStr">
        <is>
          <t>https://github.com/DLu/oscar_data</t>
        </is>
      </c>
    </row>
    <row r="246" ht="75" customHeight="1" s="95">
      <c r="A246" t="inlineStr">
        <is>
          <t>F0242</t>
        </is>
      </c>
      <c r="B246" t="inlineStr">
        <is>
          <t>Oppenheimer</t>
        </is>
      </c>
      <c r="C246" t="inlineStr">
        <is>
          <t>2023</t>
        </is>
      </c>
      <c r="D246" t="n">
        <v>13</v>
      </c>
      <c r="E246" t="n">
        <v>7</v>
      </c>
      <c r="F246" t="inlineStr">
        <is>
          <t>Winner</t>
        </is>
      </c>
      <c r="G246" t="n">
        <v>3</v>
      </c>
      <c r="H246" t="n">
        <v>2</v>
      </c>
      <c r="I246" s="64" t="inlineStr">
        <is>
          <t>Cillian Murphy; Robert Downey Jr.</t>
        </is>
      </c>
      <c r="J246" s="64" t="n">
        <v>1</v>
      </c>
      <c r="K246" s="64" t="n">
        <v>1</v>
      </c>
      <c r="L246" s="64" t="inlineStr">
        <is>
          <t>Christopher Nolan</t>
        </is>
      </c>
      <c r="M246" s="64" t="n">
        <v>1</v>
      </c>
      <c r="N246" s="64" t="n">
        <v>0</v>
      </c>
      <c r="O246" s="64" t="n"/>
      <c r="P246" s="64" t="inlineStr">
        <is>
          <t>ACTOR IN A LEADING ROLE; ACTOR IN A SUPPORTING ROLE; CINEMATOGRAPHY; DIRECTING; FILM EDITING; MUSIC (Original Score); BEST PICTURE</t>
        </is>
      </c>
      <c r="Q246" s="64" t="inlineStr">
        <is>
          <t>ACTOR IN A LEADING ROLE; ACTOR IN A SUPPORTING ROLE; ACTRESS IN A SUPPORTING ROLE; CINEMATOGRAPHY; COSTUME DESIGN; DIRECTING; FILM EDITING; MAKEUP AND HAIRSTYLING; MUSIC (Original Score); BEST PICTURE; ART DIRECTION; SOUND MIXING; WRITING (Adapted Screenplay)</t>
        </is>
      </c>
      <c r="R246" s="64" t="inlineStr">
        <is>
          <t>https://github.com/DLu/oscar_data</t>
        </is>
      </c>
    </row>
    <row r="247">
      <c r="A247" t="inlineStr">
        <is>
          <t>F0243</t>
        </is>
      </c>
      <c r="B247" t="inlineStr">
        <is>
          <t>Pacific Rim</t>
        </is>
      </c>
      <c r="C247" t="inlineStr">
        <is>
          <t>2013</t>
        </is>
      </c>
      <c r="D247" t="n">
        <v>0</v>
      </c>
      <c r="E247" t="n">
        <v>0</v>
      </c>
      <c r="G247" t="n">
        <v>0</v>
      </c>
      <c r="H247" t="n">
        <v>0</v>
      </c>
      <c r="I247" s="64" t="n"/>
      <c r="J247" s="64" t="n">
        <v>0</v>
      </c>
      <c r="K247" s="64" t="n">
        <v>0</v>
      </c>
      <c r="L247" s="64" t="n"/>
      <c r="M247" s="64" t="n">
        <v>0</v>
      </c>
      <c r="N247" s="64" t="n">
        <v>0</v>
      </c>
      <c r="O247" s="64" t="n"/>
      <c r="P247" s="64" t="n"/>
      <c r="Q247" s="64" t="n"/>
      <c r="R247" s="64" t="inlineStr">
        <is>
          <t>https://github.com/DLu/oscar_data</t>
        </is>
      </c>
    </row>
    <row r="248">
      <c r="A248" t="inlineStr">
        <is>
          <t>F0244</t>
        </is>
      </c>
      <c r="B248" t="inlineStr">
        <is>
          <t>Paddington</t>
        </is>
      </c>
      <c r="C248" t="inlineStr">
        <is>
          <t>2014</t>
        </is>
      </c>
      <c r="D248" t="n">
        <v>0</v>
      </c>
      <c r="E248" t="n">
        <v>0</v>
      </c>
      <c r="G248" t="n">
        <v>0</v>
      </c>
      <c r="H248" t="n">
        <v>0</v>
      </c>
      <c r="I248" s="64" t="n"/>
      <c r="J248" s="64" t="n">
        <v>0</v>
      </c>
      <c r="K248" s="64" t="n">
        <v>0</v>
      </c>
      <c r="L248" s="64" t="n"/>
      <c r="M248" s="64" t="n">
        <v>0</v>
      </c>
      <c r="N248" s="64" t="n">
        <v>0</v>
      </c>
      <c r="O248" s="64" t="n"/>
      <c r="P248" s="64" t="n"/>
      <c r="Q248" s="64" t="n"/>
      <c r="R248" s="64" t="inlineStr">
        <is>
          <t>https://github.com/DLu/oscar_data</t>
        </is>
      </c>
    </row>
    <row r="249">
      <c r="A249" t="inlineStr">
        <is>
          <t>F0245</t>
        </is>
      </c>
      <c r="B249" t="inlineStr">
        <is>
          <t>Paul</t>
        </is>
      </c>
      <c r="C249" t="inlineStr">
        <is>
          <t>2011</t>
        </is>
      </c>
      <c r="D249" t="n">
        <v>0</v>
      </c>
      <c r="E249" t="n">
        <v>0</v>
      </c>
      <c r="G249" t="n">
        <v>0</v>
      </c>
      <c r="H249" t="n">
        <v>0</v>
      </c>
      <c r="I249" s="64" t="n"/>
      <c r="J249" s="64" t="n">
        <v>0</v>
      </c>
      <c r="K249" s="64" t="n">
        <v>0</v>
      </c>
      <c r="L249" s="64" t="n"/>
      <c r="M249" s="64" t="n">
        <v>0</v>
      </c>
      <c r="N249" s="64" t="n">
        <v>0</v>
      </c>
      <c r="O249" s="64" t="n"/>
      <c r="P249" s="64" t="n"/>
      <c r="Q249" s="64" t="n"/>
      <c r="R249" s="64" t="inlineStr">
        <is>
          <t>https://github.com/DLu/oscar_data</t>
        </is>
      </c>
    </row>
    <row r="250" ht="30" customHeight="1" s="95">
      <c r="A250" t="inlineStr">
        <is>
          <t>F0246</t>
        </is>
      </c>
      <c r="B250" t="inlineStr">
        <is>
          <t>Pearl Harbor</t>
        </is>
      </c>
      <c r="C250" t="inlineStr">
        <is>
          <t>2001</t>
        </is>
      </c>
      <c r="D250" t="n">
        <v>4</v>
      </c>
      <c r="E250" t="n">
        <v>1</v>
      </c>
      <c r="G250" t="n">
        <v>0</v>
      </c>
      <c r="H250" t="n">
        <v>0</v>
      </c>
      <c r="I250" s="64" t="n"/>
      <c r="J250" s="64" t="n">
        <v>0</v>
      </c>
      <c r="K250" s="64" t="n">
        <v>0</v>
      </c>
      <c r="L250" s="64" t="n"/>
      <c r="M250" s="64" t="n">
        <v>0</v>
      </c>
      <c r="N250" s="64" t="n">
        <v>0</v>
      </c>
      <c r="O250" s="64" t="n"/>
      <c r="P250" s="64" t="inlineStr">
        <is>
          <t>SOUND EDITING</t>
        </is>
      </c>
      <c r="Q250" s="64" t="inlineStr">
        <is>
          <t>MUSIC (Original Song); SOUND MIXING; SOUND EDITING; VISUAL EFFECTS</t>
        </is>
      </c>
      <c r="R250" s="64" t="inlineStr">
        <is>
          <t>https://github.com/DLu/oscar_data</t>
        </is>
      </c>
    </row>
    <row r="251">
      <c r="A251" t="inlineStr">
        <is>
          <t>F0247</t>
        </is>
      </c>
      <c r="B251" t="inlineStr">
        <is>
          <t>Pineapple Express</t>
        </is>
      </c>
      <c r="C251" t="inlineStr">
        <is>
          <t>2008</t>
        </is>
      </c>
      <c r="D251" t="n">
        <v>0</v>
      </c>
      <c r="E251" t="n">
        <v>0</v>
      </c>
      <c r="G251" t="n">
        <v>0</v>
      </c>
      <c r="H251" t="n">
        <v>0</v>
      </c>
      <c r="I251" s="64" t="n"/>
      <c r="J251" s="64" t="n">
        <v>0</v>
      </c>
      <c r="K251" s="64" t="n">
        <v>0</v>
      </c>
      <c r="L251" s="64" t="n"/>
      <c r="M251" s="64" t="n">
        <v>0</v>
      </c>
      <c r="N251" s="64" t="n">
        <v>0</v>
      </c>
      <c r="O251" s="64" t="n"/>
      <c r="P251" s="64" t="n"/>
      <c r="Q251" s="64" t="n"/>
      <c r="R251" s="64" t="inlineStr">
        <is>
          <t>https://github.com/DLu/oscar_data</t>
        </is>
      </c>
    </row>
    <row r="252">
      <c r="A252" t="inlineStr">
        <is>
          <t>F0248</t>
        </is>
      </c>
      <c r="B252" t="inlineStr">
        <is>
          <t>Pinocchio</t>
        </is>
      </c>
      <c r="C252" t="inlineStr">
        <is>
          <t>1940</t>
        </is>
      </c>
      <c r="D252" t="n">
        <v>2</v>
      </c>
      <c r="E252" t="n">
        <v>2</v>
      </c>
      <c r="G252" t="n">
        <v>0</v>
      </c>
      <c r="H252" t="n">
        <v>0</v>
      </c>
      <c r="I252" s="64" t="n"/>
      <c r="J252" s="64" t="n">
        <v>0</v>
      </c>
      <c r="K252" s="64" t="n">
        <v>0</v>
      </c>
      <c r="L252" s="64" t="n"/>
      <c r="M252" s="64" t="n">
        <v>0</v>
      </c>
      <c r="N252" s="64" t="n">
        <v>0</v>
      </c>
      <c r="O252" s="64" t="n"/>
      <c r="P252" s="64" t="inlineStr">
        <is>
          <t>MUSIC (Original Score); MUSIC (Original Song)</t>
        </is>
      </c>
      <c r="Q252" s="64" t="inlineStr">
        <is>
          <t>MUSIC (Original Score); MUSIC (Original Song)</t>
        </is>
      </c>
      <c r="R252" s="64" t="inlineStr">
        <is>
          <t>https://github.com/DLu/oscar_data</t>
        </is>
      </c>
    </row>
    <row r="253">
      <c r="A253" t="inlineStr">
        <is>
          <t>F0249</t>
        </is>
      </c>
      <c r="B253" t="inlineStr">
        <is>
          <t>Pirates of the Caribbean: On Stranger Tides</t>
        </is>
      </c>
      <c r="C253" t="inlineStr">
        <is>
          <t>2011</t>
        </is>
      </c>
      <c r="D253" t="n">
        <v>0</v>
      </c>
      <c r="E253" t="n">
        <v>0</v>
      </c>
      <c r="G253" t="n">
        <v>0</v>
      </c>
      <c r="H253" t="n">
        <v>0</v>
      </c>
      <c r="I253" s="64" t="n"/>
      <c r="J253" s="64" t="n">
        <v>0</v>
      </c>
      <c r="K253" s="64" t="n">
        <v>0</v>
      </c>
      <c r="L253" s="64" t="n"/>
      <c r="M253" s="64" t="n">
        <v>0</v>
      </c>
      <c r="N253" s="64" t="n">
        <v>0</v>
      </c>
      <c r="O253" s="64" t="n"/>
      <c r="P253" s="64" t="n"/>
      <c r="Q253" s="64" t="n"/>
      <c r="R253" s="64" t="inlineStr">
        <is>
          <t>https://github.com/DLu/oscar_data</t>
        </is>
      </c>
    </row>
    <row r="254">
      <c r="A254" t="inlineStr">
        <is>
          <t>F0250</t>
        </is>
      </c>
      <c r="B254" t="inlineStr">
        <is>
          <t>Pitch Perfect</t>
        </is>
      </c>
      <c r="C254" t="inlineStr">
        <is>
          <t>2012</t>
        </is>
      </c>
      <c r="D254" t="n">
        <v>0</v>
      </c>
      <c r="E254" t="n">
        <v>0</v>
      </c>
      <c r="G254" t="n">
        <v>0</v>
      </c>
      <c r="H254" t="n">
        <v>0</v>
      </c>
      <c r="I254" s="64" t="n"/>
      <c r="J254" s="64" t="n">
        <v>0</v>
      </c>
      <c r="K254" s="64" t="n">
        <v>0</v>
      </c>
      <c r="L254" s="64" t="n"/>
      <c r="M254" s="64" t="n">
        <v>0</v>
      </c>
      <c r="N254" s="64" t="n">
        <v>0</v>
      </c>
      <c r="O254" s="64" t="n"/>
      <c r="P254" s="64" t="n"/>
      <c r="Q254" s="64" t="n"/>
      <c r="R254" s="64" t="inlineStr">
        <is>
          <t>https://github.com/DLu/oscar_data</t>
        </is>
      </c>
    </row>
    <row r="255">
      <c r="A255" t="inlineStr">
        <is>
          <t>F0251</t>
        </is>
      </c>
      <c r="B255" t="inlineStr">
        <is>
          <t>Pitch Perfect 2</t>
        </is>
      </c>
      <c r="C255" t="inlineStr">
        <is>
          <t>2015</t>
        </is>
      </c>
      <c r="D255" t="n">
        <v>0</v>
      </c>
      <c r="E255" t="n">
        <v>0</v>
      </c>
      <c r="G255" t="n">
        <v>0</v>
      </c>
      <c r="H255" t="n">
        <v>0</v>
      </c>
      <c r="I255" s="64" t="n"/>
      <c r="J255" s="64" t="n">
        <v>0</v>
      </c>
      <c r="K255" s="64" t="n">
        <v>0</v>
      </c>
      <c r="L255" s="64" t="n"/>
      <c r="M255" s="64" t="n">
        <v>0</v>
      </c>
      <c r="N255" s="64" t="n">
        <v>0</v>
      </c>
      <c r="O255" s="64" t="n"/>
      <c r="P255" s="64" t="n"/>
      <c r="Q255" s="64" t="n"/>
      <c r="R255" s="64" t="inlineStr">
        <is>
          <t>https://github.com/DLu/oscar_data</t>
        </is>
      </c>
    </row>
    <row r="256">
      <c r="A256" t="inlineStr">
        <is>
          <t>F0252</t>
        </is>
      </c>
      <c r="B256" t="inlineStr">
        <is>
          <t>Pitch Perfect 3</t>
        </is>
      </c>
      <c r="C256" t="inlineStr">
        <is>
          <t>2017</t>
        </is>
      </c>
      <c r="D256" t="n">
        <v>0</v>
      </c>
      <c r="E256" t="n">
        <v>0</v>
      </c>
      <c r="G256" t="n">
        <v>0</v>
      </c>
      <c r="H256" t="n">
        <v>0</v>
      </c>
      <c r="I256" s="64" t="n"/>
      <c r="J256" s="64" t="n">
        <v>0</v>
      </c>
      <c r="K256" s="64" t="n">
        <v>0</v>
      </c>
      <c r="L256" s="64" t="n"/>
      <c r="M256" s="64" t="n">
        <v>0</v>
      </c>
      <c r="N256" s="64" t="n">
        <v>0</v>
      </c>
      <c r="O256" s="64" t="n"/>
      <c r="P256" s="64" t="n"/>
      <c r="Q256" s="64" t="n"/>
      <c r="R256" s="64" t="inlineStr">
        <is>
          <t>https://github.com/DLu/oscar_data</t>
        </is>
      </c>
    </row>
    <row r="257">
      <c r="A257" t="inlineStr">
        <is>
          <t>F0253</t>
        </is>
      </c>
      <c r="B257" t="inlineStr">
        <is>
          <t>Rise of the Planet of the Apes</t>
        </is>
      </c>
      <c r="C257" t="inlineStr">
        <is>
          <t>2011</t>
        </is>
      </c>
      <c r="D257" t="n">
        <v>1</v>
      </c>
      <c r="E257" t="n">
        <v>0</v>
      </c>
      <c r="G257" t="n">
        <v>0</v>
      </c>
      <c r="H257" t="n">
        <v>0</v>
      </c>
      <c r="I257" s="64" t="n"/>
      <c r="J257" s="64" t="n">
        <v>0</v>
      </c>
      <c r="K257" s="64" t="n">
        <v>0</v>
      </c>
      <c r="L257" s="64" t="n"/>
      <c r="M257" s="64" t="n">
        <v>0</v>
      </c>
      <c r="N257" s="64" t="n">
        <v>0</v>
      </c>
      <c r="O257" s="64" t="n"/>
      <c r="P257" s="64" t="n"/>
      <c r="Q257" s="64" t="inlineStr">
        <is>
          <t>VISUAL EFFECTS</t>
        </is>
      </c>
      <c r="R257" s="64" t="inlineStr">
        <is>
          <t>https://github.com/DLu/oscar_data</t>
        </is>
      </c>
    </row>
    <row r="258">
      <c r="A258" t="inlineStr">
        <is>
          <t>F0254</t>
        </is>
      </c>
      <c r="B258" t="inlineStr">
        <is>
          <t>Dawn of the Planet of the Apes</t>
        </is>
      </c>
      <c r="C258" t="inlineStr">
        <is>
          <t>2014</t>
        </is>
      </c>
      <c r="D258" t="n">
        <v>1</v>
      </c>
      <c r="E258" t="n">
        <v>0</v>
      </c>
      <c r="G258" t="n">
        <v>0</v>
      </c>
      <c r="H258" t="n">
        <v>0</v>
      </c>
      <c r="I258" s="64" t="n"/>
      <c r="J258" s="64" t="n">
        <v>0</v>
      </c>
      <c r="K258" s="64" t="n">
        <v>0</v>
      </c>
      <c r="L258" s="64" t="n"/>
      <c r="M258" s="64" t="n">
        <v>0</v>
      </c>
      <c r="N258" s="64" t="n">
        <v>0</v>
      </c>
      <c r="O258" s="64" t="n"/>
      <c r="P258" s="64" t="n"/>
      <c r="Q258" s="64" t="inlineStr">
        <is>
          <t>VISUAL EFFECTS</t>
        </is>
      </c>
      <c r="R258" s="64" t="inlineStr">
        <is>
          <t>https://github.com/DLu/oscar_data</t>
        </is>
      </c>
    </row>
    <row r="259">
      <c r="A259" t="inlineStr">
        <is>
          <t>F0255</t>
        </is>
      </c>
      <c r="B259" t="inlineStr">
        <is>
          <t>War for the Planet of the Apes</t>
        </is>
      </c>
      <c r="C259" t="inlineStr">
        <is>
          <t>2017</t>
        </is>
      </c>
      <c r="D259" t="n">
        <v>1</v>
      </c>
      <c r="E259" t="n">
        <v>0</v>
      </c>
      <c r="G259" t="n">
        <v>0</v>
      </c>
      <c r="H259" t="n">
        <v>0</v>
      </c>
      <c r="I259" s="64" t="n"/>
      <c r="J259" s="64" t="n">
        <v>0</v>
      </c>
      <c r="K259" s="64" t="n">
        <v>0</v>
      </c>
      <c r="L259" s="64" t="n"/>
      <c r="M259" s="64" t="n">
        <v>0</v>
      </c>
      <c r="N259" s="64" t="n">
        <v>0</v>
      </c>
      <c r="O259" s="64" t="n"/>
      <c r="P259" s="64" t="n"/>
      <c r="Q259" s="64" t="inlineStr">
        <is>
          <t>VISUAL EFFECTS</t>
        </is>
      </c>
      <c r="R259" s="64" t="inlineStr">
        <is>
          <t>https://github.com/DLu/oscar_data</t>
        </is>
      </c>
    </row>
    <row r="260">
      <c r="A260" t="inlineStr">
        <is>
          <t>F0256</t>
        </is>
      </c>
      <c r="B260" t="inlineStr">
        <is>
          <t>Kingdom of the Planet of the Apes</t>
        </is>
      </c>
      <c r="C260" t="inlineStr">
        <is>
          <t>2024</t>
        </is>
      </c>
      <c r="D260" t="n">
        <v>1</v>
      </c>
      <c r="E260" t="n">
        <v>0</v>
      </c>
      <c r="G260" t="n">
        <v>0</v>
      </c>
      <c r="H260" t="n">
        <v>0</v>
      </c>
      <c r="I260" s="64" t="n"/>
      <c r="J260" s="64" t="n">
        <v>0</v>
      </c>
      <c r="K260" s="64" t="n">
        <v>0</v>
      </c>
      <c r="L260" s="64" t="n"/>
      <c r="M260" s="64" t="n">
        <v>0</v>
      </c>
      <c r="N260" s="64" t="n">
        <v>0</v>
      </c>
      <c r="O260" s="64" t="n"/>
      <c r="P260" s="64" t="n"/>
      <c r="Q260" s="64" t="inlineStr">
        <is>
          <t>VISUAL EFFECTS</t>
        </is>
      </c>
      <c r="R260" s="64" t="inlineStr">
        <is>
          <t>https://github.com/DLu/oscar_data</t>
        </is>
      </c>
    </row>
    <row r="261">
      <c r="A261" t="inlineStr">
        <is>
          <t>F0257</t>
        </is>
      </c>
      <c r="B261" t="inlineStr">
        <is>
          <t>The Prestige</t>
        </is>
      </c>
      <c r="C261" t="inlineStr">
        <is>
          <t>2006</t>
        </is>
      </c>
      <c r="D261" t="n">
        <v>2</v>
      </c>
      <c r="E261" t="n">
        <v>0</v>
      </c>
      <c r="G261" t="n">
        <v>0</v>
      </c>
      <c r="H261" t="n">
        <v>0</v>
      </c>
      <c r="I261" s="64" t="n"/>
      <c r="J261" s="64" t="n">
        <v>0</v>
      </c>
      <c r="K261" s="64" t="n">
        <v>0</v>
      </c>
      <c r="L261" s="64" t="n"/>
      <c r="M261" s="64" t="n">
        <v>0</v>
      </c>
      <c r="N261" s="64" t="n">
        <v>0</v>
      </c>
      <c r="O261" s="64" t="n"/>
      <c r="P261" s="64" t="n"/>
      <c r="Q261" s="64" t="inlineStr">
        <is>
          <t>ART DIRECTION; CINEMATOGRAPHY</t>
        </is>
      </c>
      <c r="R261" s="64" t="inlineStr">
        <is>
          <t>https://github.com/DLu/oscar_data</t>
        </is>
      </c>
    </row>
    <row r="262">
      <c r="A262" t="inlineStr">
        <is>
          <t>F0258</t>
        </is>
      </c>
      <c r="B262" t="inlineStr">
        <is>
          <t>Prisoners</t>
        </is>
      </c>
      <c r="C262" t="inlineStr">
        <is>
          <t>2013</t>
        </is>
      </c>
      <c r="D262" t="n">
        <v>1</v>
      </c>
      <c r="E262" t="n">
        <v>0</v>
      </c>
      <c r="G262" t="n">
        <v>0</v>
      </c>
      <c r="H262" t="n">
        <v>0</v>
      </c>
      <c r="I262" s="64" t="n"/>
      <c r="J262" s="64" t="n">
        <v>0</v>
      </c>
      <c r="K262" s="64" t="n">
        <v>0</v>
      </c>
      <c r="L262" s="64" t="n"/>
      <c r="M262" s="64" t="n">
        <v>0</v>
      </c>
      <c r="N262" s="64" t="n">
        <v>0</v>
      </c>
      <c r="O262" s="64" t="n"/>
      <c r="P262" s="64" t="n"/>
      <c r="Q262" s="64" t="inlineStr">
        <is>
          <t>CINEMATOGRAPHY</t>
        </is>
      </c>
      <c r="R262" s="64" t="inlineStr">
        <is>
          <t>https://github.com/DLu/oscar_data</t>
        </is>
      </c>
    </row>
    <row r="263">
      <c r="A263" t="inlineStr">
        <is>
          <t>F0259</t>
        </is>
      </c>
      <c r="B263" t="inlineStr">
        <is>
          <t>Prometheus</t>
        </is>
      </c>
      <c r="C263" t="inlineStr">
        <is>
          <t>2012</t>
        </is>
      </c>
      <c r="D263" t="n">
        <v>1</v>
      </c>
      <c r="E263" t="n">
        <v>0</v>
      </c>
      <c r="G263" t="n">
        <v>0</v>
      </c>
      <c r="H263" t="n">
        <v>0</v>
      </c>
      <c r="I263" s="64" t="n"/>
      <c r="J263" s="64" t="n">
        <v>0</v>
      </c>
      <c r="K263" s="64" t="n">
        <v>0</v>
      </c>
      <c r="L263" s="64" t="n"/>
      <c r="M263" s="64" t="n">
        <v>0</v>
      </c>
      <c r="N263" s="64" t="n">
        <v>0</v>
      </c>
      <c r="O263" s="64" t="n"/>
      <c r="P263" s="64" t="n"/>
      <c r="Q263" s="64" t="inlineStr">
        <is>
          <t>VISUAL EFFECTS</t>
        </is>
      </c>
      <c r="R263" s="64" t="inlineStr">
        <is>
          <t>https://github.com/DLu/oscar_data</t>
        </is>
      </c>
    </row>
    <row r="264">
      <c r="A264" t="inlineStr">
        <is>
          <t>F0260</t>
        </is>
      </c>
      <c r="B264" t="inlineStr">
        <is>
          <t>The Pursuit of Happyness</t>
        </is>
      </c>
      <c r="C264" t="inlineStr">
        <is>
          <t>2006</t>
        </is>
      </c>
      <c r="D264" t="n">
        <v>1</v>
      </c>
      <c r="E264" t="n">
        <v>0</v>
      </c>
      <c r="G264" t="n">
        <v>1</v>
      </c>
      <c r="H264" t="n">
        <v>0</v>
      </c>
      <c r="I264" s="64" t="n"/>
      <c r="J264" s="64" t="n">
        <v>0</v>
      </c>
      <c r="K264" s="64" t="n">
        <v>0</v>
      </c>
      <c r="L264" s="64" t="n"/>
      <c r="M264" s="64" t="n">
        <v>0</v>
      </c>
      <c r="N264" s="64" t="n">
        <v>0</v>
      </c>
      <c r="O264" s="64" t="n"/>
      <c r="P264" s="64" t="n"/>
      <c r="Q264" s="64" t="inlineStr">
        <is>
          <t>ACTOR IN A LEADING ROLE</t>
        </is>
      </c>
      <c r="R264" s="64" t="inlineStr">
        <is>
          <t>https://github.com/DLu/oscar_data</t>
        </is>
      </c>
    </row>
    <row r="265">
      <c r="A265" t="inlineStr">
        <is>
          <t>F0261</t>
        </is>
      </c>
      <c r="B265" t="inlineStr">
        <is>
          <t>Rambo</t>
        </is>
      </c>
      <c r="C265" t="inlineStr">
        <is>
          <t>2008</t>
        </is>
      </c>
      <c r="D265" t="n">
        <v>0</v>
      </c>
      <c r="E265" t="n">
        <v>0</v>
      </c>
      <c r="G265" t="n">
        <v>0</v>
      </c>
      <c r="H265" t="n">
        <v>0</v>
      </c>
      <c r="I265" s="64" t="n"/>
      <c r="J265" s="64" t="n">
        <v>0</v>
      </c>
      <c r="K265" s="64" t="n">
        <v>0</v>
      </c>
      <c r="L265" s="64" t="n"/>
      <c r="M265" s="64" t="n">
        <v>0</v>
      </c>
      <c r="N265" s="64" t="n">
        <v>0</v>
      </c>
      <c r="O265" s="64" t="n"/>
      <c r="P265" s="64" t="n"/>
      <c r="Q265" s="64" t="n"/>
      <c r="R265" s="64" t="inlineStr">
        <is>
          <t>https://github.com/DLu/oscar_data</t>
        </is>
      </c>
    </row>
    <row r="266">
      <c r="A266" t="inlineStr">
        <is>
          <t>F0262</t>
        </is>
      </c>
      <c r="B266" t="inlineStr">
        <is>
          <t>RED</t>
        </is>
      </c>
      <c r="C266" t="inlineStr">
        <is>
          <t>2010</t>
        </is>
      </c>
      <c r="D266" t="n">
        <v>0</v>
      </c>
      <c r="E266" t="n">
        <v>0</v>
      </c>
      <c r="G266" t="n">
        <v>0</v>
      </c>
      <c r="H266" t="n">
        <v>0</v>
      </c>
      <c r="I266" s="64" t="n"/>
      <c r="J266" s="64" t="n">
        <v>0</v>
      </c>
      <c r="K266" s="64" t="n">
        <v>0</v>
      </c>
      <c r="L266" s="64" t="n"/>
      <c r="M266" s="64" t="n">
        <v>0</v>
      </c>
      <c r="N266" s="64" t="n">
        <v>0</v>
      </c>
      <c r="O266" s="64" t="n"/>
      <c r="P266" s="64" t="n"/>
      <c r="Q266" s="64" t="n"/>
      <c r="R266" s="64" t="inlineStr">
        <is>
          <t>https://github.com/DLu/oscar_data</t>
        </is>
      </c>
    </row>
    <row r="267">
      <c r="A267" t="inlineStr">
        <is>
          <t>F0263</t>
        </is>
      </c>
      <c r="B267" t="inlineStr">
        <is>
          <t>Reign of Fire</t>
        </is>
      </c>
      <c r="C267" t="inlineStr">
        <is>
          <t>2002</t>
        </is>
      </c>
      <c r="D267" t="n">
        <v>0</v>
      </c>
      <c r="E267" t="n">
        <v>0</v>
      </c>
      <c r="G267" t="n">
        <v>0</v>
      </c>
      <c r="H267" t="n">
        <v>0</v>
      </c>
      <c r="I267" s="64" t="n"/>
      <c r="J267" s="64" t="n">
        <v>0</v>
      </c>
      <c r="K267" s="64" t="n">
        <v>0</v>
      </c>
      <c r="L267" s="64" t="n"/>
      <c r="M267" s="64" t="n">
        <v>0</v>
      </c>
      <c r="N267" s="64" t="n">
        <v>0</v>
      </c>
      <c r="O267" s="64" t="n"/>
      <c r="P267" s="64" t="n"/>
      <c r="Q267" s="64" t="n"/>
      <c r="R267" s="64" t="inlineStr">
        <is>
          <t>https://github.com/DLu/oscar_data</t>
        </is>
      </c>
    </row>
    <row r="268">
      <c r="A268" t="inlineStr">
        <is>
          <t>F0264</t>
        </is>
      </c>
      <c r="B268" t="inlineStr">
        <is>
          <t>Riddick</t>
        </is>
      </c>
      <c r="C268" t="inlineStr">
        <is>
          <t>2013</t>
        </is>
      </c>
      <c r="D268" t="n">
        <v>0</v>
      </c>
      <c r="E268" t="n">
        <v>0</v>
      </c>
      <c r="G268" t="n">
        <v>0</v>
      </c>
      <c r="H268" t="n">
        <v>0</v>
      </c>
      <c r="I268" s="64" t="n"/>
      <c r="J268" s="64" t="n">
        <v>0</v>
      </c>
      <c r="K268" s="64" t="n">
        <v>0</v>
      </c>
      <c r="L268" s="64" t="n"/>
      <c r="M268" s="64" t="n">
        <v>0</v>
      </c>
      <c r="N268" s="64" t="n">
        <v>0</v>
      </c>
      <c r="O268" s="64" t="n"/>
      <c r="P268" s="64" t="n"/>
      <c r="Q268" s="64" t="n"/>
      <c r="R268" s="64" t="inlineStr">
        <is>
          <t>https://github.com/DLu/oscar_data</t>
        </is>
      </c>
    </row>
    <row r="269">
      <c r="A269" t="inlineStr">
        <is>
          <t>F0265</t>
        </is>
      </c>
      <c r="B269" t="inlineStr">
        <is>
          <t>Rio</t>
        </is>
      </c>
      <c r="C269" t="inlineStr">
        <is>
          <t>2011</t>
        </is>
      </c>
      <c r="D269" t="n">
        <v>1</v>
      </c>
      <c r="E269" t="n">
        <v>0</v>
      </c>
      <c r="G269" t="n">
        <v>0</v>
      </c>
      <c r="H269" t="n">
        <v>0</v>
      </c>
      <c r="I269" s="64" t="n"/>
      <c r="J269" s="64" t="n">
        <v>0</v>
      </c>
      <c r="K269" s="64" t="n">
        <v>0</v>
      </c>
      <c r="L269" s="64" t="n"/>
      <c r="M269" s="64" t="n">
        <v>0</v>
      </c>
      <c r="N269" s="64" t="n">
        <v>0</v>
      </c>
      <c r="O269" s="64" t="n"/>
      <c r="P269" s="64" t="n"/>
      <c r="Q269" s="64" t="inlineStr">
        <is>
          <t>MUSIC (Original Song)</t>
        </is>
      </c>
      <c r="R269" s="64" t="inlineStr">
        <is>
          <t>https://github.com/DLu/oscar_data</t>
        </is>
      </c>
    </row>
    <row r="270">
      <c r="A270" t="inlineStr">
        <is>
          <t>F0266</t>
        </is>
      </c>
      <c r="B270" t="inlineStr">
        <is>
          <t>Rio 2</t>
        </is>
      </c>
      <c r="C270" t="inlineStr">
        <is>
          <t>2014</t>
        </is>
      </c>
      <c r="D270" t="n">
        <v>0</v>
      </c>
      <c r="E270" t="n">
        <v>0</v>
      </c>
      <c r="G270" t="n">
        <v>0</v>
      </c>
      <c r="H270" t="n">
        <v>0</v>
      </c>
      <c r="I270" s="64" t="n"/>
      <c r="J270" s="64" t="n">
        <v>0</v>
      </c>
      <c r="K270" s="64" t="n">
        <v>0</v>
      </c>
      <c r="L270" s="64" t="n"/>
      <c r="M270" s="64" t="n">
        <v>0</v>
      </c>
      <c r="N270" s="64" t="n">
        <v>0</v>
      </c>
      <c r="O270" s="64" t="n"/>
      <c r="P270" s="64" t="n"/>
      <c r="Q270" s="64" t="n"/>
      <c r="R270" s="64" t="inlineStr">
        <is>
          <t>https://github.com/DLu/oscar_data</t>
        </is>
      </c>
    </row>
    <row r="271">
      <c r="A271" t="inlineStr">
        <is>
          <t>F0267</t>
        </is>
      </c>
      <c r="B271" t="inlineStr">
        <is>
          <t>Robin Hood</t>
        </is>
      </c>
      <c r="C271" t="inlineStr">
        <is>
          <t>2010</t>
        </is>
      </c>
      <c r="D271" t="n">
        <v>0</v>
      </c>
      <c r="E271" t="n">
        <v>0</v>
      </c>
      <c r="G271" t="n">
        <v>0</v>
      </c>
      <c r="H271" t="n">
        <v>0</v>
      </c>
      <c r="I271" s="64" t="n"/>
      <c r="J271" s="64" t="n">
        <v>0</v>
      </c>
      <c r="K271" s="64" t="n">
        <v>0</v>
      </c>
      <c r="L271" s="64" t="n"/>
      <c r="M271" s="64" t="n">
        <v>0</v>
      </c>
      <c r="N271" s="64" t="n">
        <v>0</v>
      </c>
      <c r="O271" s="64" t="n"/>
      <c r="P271" s="64" t="n"/>
      <c r="Q271" s="64" t="n"/>
      <c r="R271" s="64" t="inlineStr">
        <is>
          <t>https://github.com/DLu/oscar_data</t>
        </is>
      </c>
    </row>
    <row r="272">
      <c r="A272" t="inlineStr">
        <is>
          <t>F0268</t>
        </is>
      </c>
      <c r="B272" t="inlineStr">
        <is>
          <t>RoboCop</t>
        </is>
      </c>
      <c r="D272" t="n">
        <v>0</v>
      </c>
      <c r="E272" t="n">
        <v>0</v>
      </c>
      <c r="G272" t="n">
        <v>0</v>
      </c>
      <c r="H272" t="n">
        <v>0</v>
      </c>
      <c r="I272" s="64" t="n"/>
      <c r="J272" s="64" t="n">
        <v>0</v>
      </c>
      <c r="K272" s="64" t="n">
        <v>0</v>
      </c>
      <c r="L272" s="64" t="n"/>
      <c r="M272" s="64" t="n">
        <v>0</v>
      </c>
      <c r="N272" s="64" t="n">
        <v>0</v>
      </c>
      <c r="O272" s="64" t="n"/>
      <c r="P272" s="64" t="n"/>
      <c r="Q272" s="64" t="n"/>
      <c r="R272" s="64" t="inlineStr">
        <is>
          <t>https://github.com/DLu/oscar_data</t>
        </is>
      </c>
    </row>
    <row r="273">
      <c r="A273" t="inlineStr">
        <is>
          <t>F0269</t>
        </is>
      </c>
      <c r="B273" t="inlineStr">
        <is>
          <t>Rocketman</t>
        </is>
      </c>
      <c r="C273" t="inlineStr">
        <is>
          <t>2019</t>
        </is>
      </c>
      <c r="D273" t="n">
        <v>1</v>
      </c>
      <c r="E273" t="n">
        <v>1</v>
      </c>
      <c r="G273" t="n">
        <v>0</v>
      </c>
      <c r="H273" t="n">
        <v>0</v>
      </c>
      <c r="I273" s="64" t="n"/>
      <c r="J273" s="64" t="n">
        <v>0</v>
      </c>
      <c r="K273" s="64" t="n">
        <v>0</v>
      </c>
      <c r="L273" s="64" t="n"/>
      <c r="M273" s="64" t="n">
        <v>0</v>
      </c>
      <c r="N273" s="64" t="n">
        <v>0</v>
      </c>
      <c r="O273" s="64" t="n"/>
      <c r="P273" s="64" t="inlineStr">
        <is>
          <t>MUSIC (Original Song)</t>
        </is>
      </c>
      <c r="Q273" s="64" t="inlineStr">
        <is>
          <t>MUSIC (Original Song)</t>
        </is>
      </c>
      <c r="R273" s="64" t="inlineStr">
        <is>
          <t>https://github.com/DLu/oscar_data</t>
        </is>
      </c>
    </row>
    <row r="274">
      <c r="A274" t="inlineStr">
        <is>
          <t>F0270</t>
        </is>
      </c>
      <c r="B274" t="inlineStr">
        <is>
          <t>Rush</t>
        </is>
      </c>
      <c r="C274" t="inlineStr">
        <is>
          <t>2013</t>
        </is>
      </c>
      <c r="D274" t="n">
        <v>0</v>
      </c>
      <c r="E274" t="n">
        <v>0</v>
      </c>
      <c r="G274" t="n">
        <v>0</v>
      </c>
      <c r="H274" t="n">
        <v>0</v>
      </c>
      <c r="I274" s="64" t="n"/>
      <c r="J274" s="64" t="n">
        <v>0</v>
      </c>
      <c r="K274" s="64" t="n">
        <v>0</v>
      </c>
      <c r="L274" s="64" t="n"/>
      <c r="M274" s="64" t="n">
        <v>0</v>
      </c>
      <c r="N274" s="64" t="n">
        <v>0</v>
      </c>
      <c r="O274" s="64" t="n"/>
      <c r="P274" s="64" t="n"/>
      <c r="Q274" s="64" t="n"/>
      <c r="R274" s="64" t="inlineStr">
        <is>
          <t>https://github.com/DLu/oscar_data</t>
        </is>
      </c>
    </row>
    <row r="275">
      <c r="A275" t="inlineStr">
        <is>
          <t>F0271</t>
        </is>
      </c>
      <c r="B275" t="inlineStr">
        <is>
          <t>Rush Hour 3</t>
        </is>
      </c>
      <c r="C275" t="inlineStr">
        <is>
          <t>2007</t>
        </is>
      </c>
      <c r="D275" t="n">
        <v>0</v>
      </c>
      <c r="E275" t="n">
        <v>0</v>
      </c>
      <c r="G275" t="n">
        <v>0</v>
      </c>
      <c r="H275" t="n">
        <v>0</v>
      </c>
      <c r="I275" s="64" t="n"/>
      <c r="J275" s="64" t="n">
        <v>0</v>
      </c>
      <c r="K275" s="64" t="n">
        <v>0</v>
      </c>
      <c r="L275" s="64" t="n"/>
      <c r="M275" s="64" t="n">
        <v>0</v>
      </c>
      <c r="N275" s="64" t="n">
        <v>0</v>
      </c>
      <c r="O275" s="64" t="n"/>
      <c r="P275" s="64" t="n"/>
      <c r="Q275" s="64" t="n"/>
      <c r="R275" s="64" t="inlineStr">
        <is>
          <t>https://github.com/DLu/oscar_data</t>
        </is>
      </c>
    </row>
    <row r="276">
      <c r="A276" t="inlineStr">
        <is>
          <t>F0272</t>
        </is>
      </c>
      <c r="B276" t="inlineStr">
        <is>
          <t>Safe House</t>
        </is>
      </c>
      <c r="C276" t="inlineStr">
        <is>
          <t>2012</t>
        </is>
      </c>
      <c r="D276" t="n">
        <v>0</v>
      </c>
      <c r="E276" t="n">
        <v>0</v>
      </c>
      <c r="G276" t="n">
        <v>0</v>
      </c>
      <c r="H276" t="n">
        <v>0</v>
      </c>
      <c r="I276" s="64" t="n"/>
      <c r="J276" s="64" t="n">
        <v>0</v>
      </c>
      <c r="K276" s="64" t="n">
        <v>0</v>
      </c>
      <c r="L276" s="64" t="n"/>
      <c r="M276" s="64" t="n">
        <v>0</v>
      </c>
      <c r="N276" s="64" t="n">
        <v>0</v>
      </c>
      <c r="O276" s="64" t="n"/>
      <c r="P276" s="64" t="n"/>
      <c r="Q276" s="64" t="n"/>
      <c r="R276" s="64" t="inlineStr">
        <is>
          <t>https://github.com/DLu/oscar_data</t>
        </is>
      </c>
    </row>
    <row r="277">
      <c r="A277" t="inlineStr">
        <is>
          <t>F0273</t>
        </is>
      </c>
      <c r="B277" t="inlineStr">
        <is>
          <t>Salt</t>
        </is>
      </c>
      <c r="C277" t="inlineStr">
        <is>
          <t>2010</t>
        </is>
      </c>
      <c r="D277" t="n">
        <v>1</v>
      </c>
      <c r="E277" t="n">
        <v>0</v>
      </c>
      <c r="G277" t="n">
        <v>0</v>
      </c>
      <c r="H277" t="n">
        <v>0</v>
      </c>
      <c r="I277" s="64" t="n"/>
      <c r="J277" s="64" t="n">
        <v>0</v>
      </c>
      <c r="K277" s="64" t="n">
        <v>0</v>
      </c>
      <c r="L277" s="64" t="n"/>
      <c r="M277" s="64" t="n">
        <v>0</v>
      </c>
      <c r="N277" s="64" t="n">
        <v>0</v>
      </c>
      <c r="O277" s="64" t="n"/>
      <c r="P277" s="64" t="n"/>
      <c r="Q277" s="64" t="inlineStr">
        <is>
          <t>SOUND MIXING</t>
        </is>
      </c>
      <c r="R277" s="64" t="inlineStr">
        <is>
          <t>https://github.com/DLu/oscar_data</t>
        </is>
      </c>
    </row>
    <row r="278">
      <c r="A278" t="inlineStr">
        <is>
          <t>F0274</t>
        </is>
      </c>
      <c r="B278" t="inlineStr">
        <is>
          <t>The Secret Life of Pets</t>
        </is>
      </c>
      <c r="C278" t="inlineStr">
        <is>
          <t>2016</t>
        </is>
      </c>
      <c r="D278" t="n">
        <v>0</v>
      </c>
      <c r="E278" t="n">
        <v>0</v>
      </c>
      <c r="G278" t="n">
        <v>0</v>
      </c>
      <c r="H278" t="n">
        <v>0</v>
      </c>
      <c r="I278" s="64" t="n"/>
      <c r="J278" s="64" t="n">
        <v>0</v>
      </c>
      <c r="K278" s="64" t="n">
        <v>0</v>
      </c>
      <c r="L278" s="64" t="n"/>
      <c r="M278" s="64" t="n">
        <v>0</v>
      </c>
      <c r="N278" s="64" t="n">
        <v>0</v>
      </c>
      <c r="O278" s="64" t="n"/>
      <c r="P278" s="64" t="n"/>
      <c r="Q278" s="64" t="n"/>
      <c r="R278" s="64" t="inlineStr">
        <is>
          <t>https://github.com/DLu/oscar_data</t>
        </is>
      </c>
    </row>
    <row r="279">
      <c r="A279" t="inlineStr">
        <is>
          <t>F0275</t>
        </is>
      </c>
      <c r="B279" t="inlineStr">
        <is>
          <t>Senna</t>
        </is>
      </c>
      <c r="C279" t="inlineStr">
        <is>
          <t>2010</t>
        </is>
      </c>
      <c r="D279" t="n">
        <v>0</v>
      </c>
      <c r="E279" t="n">
        <v>0</v>
      </c>
      <c r="G279" t="n">
        <v>0</v>
      </c>
      <c r="H279" t="n">
        <v>0</v>
      </c>
      <c r="I279" s="64" t="n"/>
      <c r="J279" s="64" t="n">
        <v>0</v>
      </c>
      <c r="K279" s="64" t="n">
        <v>0</v>
      </c>
      <c r="L279" s="64" t="n"/>
      <c r="M279" s="64" t="n">
        <v>0</v>
      </c>
      <c r="N279" s="64" t="n">
        <v>0</v>
      </c>
      <c r="O279" s="64" t="n"/>
      <c r="P279" s="64" t="n"/>
      <c r="Q279" s="64" t="n"/>
      <c r="R279" s="64" t="inlineStr">
        <is>
          <t>https://github.com/DLu/oscar_data</t>
        </is>
      </c>
    </row>
    <row r="280">
      <c r="A280" t="inlineStr">
        <is>
          <t>F0276</t>
        </is>
      </c>
      <c r="B280" t="inlineStr">
        <is>
          <t>Se7en</t>
        </is>
      </c>
      <c r="C280" t="inlineStr">
        <is>
          <t>1995</t>
        </is>
      </c>
      <c r="D280" t="n">
        <v>1</v>
      </c>
      <c r="E280" t="n">
        <v>0</v>
      </c>
      <c r="G280" t="n">
        <v>0</v>
      </c>
      <c r="H280" t="n">
        <v>0</v>
      </c>
      <c r="I280" s="64" t="n"/>
      <c r="J280" s="64" t="n">
        <v>0</v>
      </c>
      <c r="K280" s="64" t="n">
        <v>0</v>
      </c>
      <c r="L280" s="64" t="n"/>
      <c r="M280" s="64" t="n">
        <v>0</v>
      </c>
      <c r="N280" s="64" t="n">
        <v>0</v>
      </c>
      <c r="O280" s="64" t="n"/>
      <c r="P280" s="64" t="n"/>
      <c r="Q280" s="64" t="inlineStr">
        <is>
          <t>FILM EDITING</t>
        </is>
      </c>
      <c r="R280" s="64" t="inlineStr">
        <is>
          <t>https://github.com/DLu/oscar_data</t>
        </is>
      </c>
    </row>
    <row r="281">
      <c r="A281" t="inlineStr">
        <is>
          <t>F0277</t>
        </is>
      </c>
      <c r="B281" t="inlineStr">
        <is>
          <t>Sex &amp; Drugs &amp; Rock &amp; Roll</t>
        </is>
      </c>
      <c r="C281" t="inlineStr">
        <is>
          <t>2010</t>
        </is>
      </c>
      <c r="D281" t="n">
        <v>0</v>
      </c>
      <c r="E281" t="n">
        <v>0</v>
      </c>
      <c r="G281" t="n">
        <v>0</v>
      </c>
      <c r="H281" t="n">
        <v>0</v>
      </c>
      <c r="I281" s="64" t="n"/>
      <c r="J281" s="64" t="n">
        <v>0</v>
      </c>
      <c r="K281" s="64" t="n">
        <v>0</v>
      </c>
      <c r="L281" s="64" t="n"/>
      <c r="M281" s="64" t="n">
        <v>0</v>
      </c>
      <c r="N281" s="64" t="n">
        <v>0</v>
      </c>
      <c r="O281" s="64" t="n"/>
      <c r="P281" s="64" t="n"/>
      <c r="Q281" s="64" t="n"/>
      <c r="R281" s="64" t="inlineStr">
        <is>
          <t>https://github.com/DLu/oscar_data</t>
        </is>
      </c>
    </row>
    <row r="282">
      <c r="A282" t="inlineStr">
        <is>
          <t>F0278</t>
        </is>
      </c>
      <c r="B282" t="inlineStr">
        <is>
          <t>Sherlock Holmes</t>
        </is>
      </c>
      <c r="C282" t="inlineStr">
        <is>
          <t>2009</t>
        </is>
      </c>
      <c r="D282" t="n">
        <v>2</v>
      </c>
      <c r="E282" t="n">
        <v>0</v>
      </c>
      <c r="G282" t="n">
        <v>0</v>
      </c>
      <c r="H282" t="n">
        <v>0</v>
      </c>
      <c r="I282" s="64" t="n"/>
      <c r="J282" s="64" t="n">
        <v>0</v>
      </c>
      <c r="K282" s="64" t="n">
        <v>0</v>
      </c>
      <c r="L282" s="64" t="n"/>
      <c r="M282" s="64" t="n">
        <v>0</v>
      </c>
      <c r="N282" s="64" t="n">
        <v>0</v>
      </c>
      <c r="O282" s="64" t="n"/>
      <c r="P282" s="64" t="n"/>
      <c r="Q282" s="64" t="inlineStr">
        <is>
          <t>ART DIRECTION; MUSIC (Original Score)</t>
        </is>
      </c>
      <c r="R282" s="64" t="inlineStr">
        <is>
          <t>https://github.com/DLu/oscar_data</t>
        </is>
      </c>
    </row>
    <row r="283">
      <c r="A283" t="inlineStr">
        <is>
          <t>F0279</t>
        </is>
      </c>
      <c r="B283" t="inlineStr">
        <is>
          <t>Sherlock Holmes: A Game of Shadows</t>
        </is>
      </c>
      <c r="C283" t="inlineStr">
        <is>
          <t>2011</t>
        </is>
      </c>
      <c r="D283" t="n">
        <v>0</v>
      </c>
      <c r="E283" t="n">
        <v>0</v>
      </c>
      <c r="G283" t="n">
        <v>0</v>
      </c>
      <c r="H283" t="n">
        <v>0</v>
      </c>
      <c r="I283" s="64" t="n"/>
      <c r="J283" s="64" t="n">
        <v>0</v>
      </c>
      <c r="K283" s="64" t="n">
        <v>0</v>
      </c>
      <c r="L283" s="64" t="n"/>
      <c r="M283" s="64" t="n">
        <v>0</v>
      </c>
      <c r="N283" s="64" t="n">
        <v>0</v>
      </c>
      <c r="O283" s="64" t="n"/>
      <c r="P283" s="64" t="n"/>
      <c r="Q283" s="64" t="n"/>
      <c r="R283" s="64" t="inlineStr">
        <is>
          <t>https://github.com/DLu/oscar_data</t>
        </is>
      </c>
    </row>
    <row r="284">
      <c r="A284" t="inlineStr">
        <is>
          <t>F0280</t>
        </is>
      </c>
      <c r="B284" t="inlineStr">
        <is>
          <t>Sing</t>
        </is>
      </c>
      <c r="C284" t="inlineStr">
        <is>
          <t>2016</t>
        </is>
      </c>
      <c r="D284" t="n">
        <v>1</v>
      </c>
      <c r="E284" t="n">
        <v>1</v>
      </c>
      <c r="G284" t="n">
        <v>0</v>
      </c>
      <c r="H284" t="n">
        <v>0</v>
      </c>
      <c r="I284" s="64" t="n"/>
      <c r="J284" s="64" t="n">
        <v>0</v>
      </c>
      <c r="K284" s="64" t="n">
        <v>0</v>
      </c>
      <c r="L284" s="64" t="n"/>
      <c r="M284" s="64" t="n">
        <v>0</v>
      </c>
      <c r="N284" s="64" t="n">
        <v>0</v>
      </c>
      <c r="O284" s="64" t="n"/>
      <c r="P284" s="64" t="inlineStr">
        <is>
          <t>SHORT FILM (Live Action)</t>
        </is>
      </c>
      <c r="Q284" s="64" t="inlineStr">
        <is>
          <t>SHORT FILM (Live Action)</t>
        </is>
      </c>
      <c r="R284" s="64" t="inlineStr">
        <is>
          <t>https://github.com/DLu/oscar_data</t>
        </is>
      </c>
    </row>
    <row r="285" ht="45" customHeight="1" s="95">
      <c r="A285" t="inlineStr">
        <is>
          <t>F0281</t>
        </is>
      </c>
      <c r="B285" t="inlineStr">
        <is>
          <t>Slumdog Millionaire</t>
        </is>
      </c>
      <c r="C285" t="inlineStr">
        <is>
          <t>2008</t>
        </is>
      </c>
      <c r="D285" t="n">
        <v>10</v>
      </c>
      <c r="E285" t="n">
        <v>8</v>
      </c>
      <c r="F285" t="inlineStr">
        <is>
          <t>Winner</t>
        </is>
      </c>
      <c r="G285" t="n">
        <v>0</v>
      </c>
      <c r="H285" t="n">
        <v>0</v>
      </c>
      <c r="I285" s="64" t="n"/>
      <c r="J285" s="64" t="n">
        <v>1</v>
      </c>
      <c r="K285" s="64" t="n">
        <v>1</v>
      </c>
      <c r="L285" s="64" t="inlineStr">
        <is>
          <t>Danny Boyle</t>
        </is>
      </c>
      <c r="M285" s="64" t="n">
        <v>1</v>
      </c>
      <c r="N285" s="64" t="n">
        <v>1</v>
      </c>
      <c r="O285" s="64" t="n"/>
      <c r="P285" s="64" t="inlineStr">
        <is>
          <t>CINEMATOGRAPHY; DIRECTING; FILM EDITING; MUSIC (Original Score); MUSIC (Original Song); BEST PICTURE; SOUND MIXING; WRITING (Adapted Screenplay)</t>
        </is>
      </c>
      <c r="Q285" s="64" t="inlineStr">
        <is>
          <t>CINEMATOGRAPHY; DIRECTING; FILM EDITING; MUSIC (Original Score); MUSIC (Original Song); BEST PICTURE; SOUND EDITING; SOUND MIXING; WRITING (Adapted Screenplay)</t>
        </is>
      </c>
      <c r="R285" s="64" t="inlineStr">
        <is>
          <t>https://github.com/DLu/oscar_data</t>
        </is>
      </c>
    </row>
    <row r="286">
      <c r="A286" t="inlineStr">
        <is>
          <t>F0282</t>
        </is>
      </c>
      <c r="B286" t="inlineStr">
        <is>
          <t>The Smurfs 2</t>
        </is>
      </c>
      <c r="C286" t="inlineStr">
        <is>
          <t>2013</t>
        </is>
      </c>
      <c r="D286" t="n">
        <v>0</v>
      </c>
      <c r="E286" t="n">
        <v>0</v>
      </c>
      <c r="G286" t="n">
        <v>0</v>
      </c>
      <c r="H286" t="n">
        <v>0</v>
      </c>
      <c r="I286" s="64" t="n"/>
      <c r="J286" s="64" t="n">
        <v>0</v>
      </c>
      <c r="K286" s="64" t="n">
        <v>0</v>
      </c>
      <c r="L286" s="64" t="n"/>
      <c r="M286" s="64" t="n">
        <v>0</v>
      </c>
      <c r="N286" s="64" t="n">
        <v>0</v>
      </c>
      <c r="O286" s="64" t="n"/>
      <c r="P286" s="64" t="n"/>
      <c r="Q286" s="64" t="n"/>
      <c r="R286" s="64" t="inlineStr">
        <is>
          <t>https://github.com/DLu/oscar_data</t>
        </is>
      </c>
    </row>
    <row r="287">
      <c r="A287" t="inlineStr">
        <is>
          <t>F0283</t>
        </is>
      </c>
      <c r="B287" t="inlineStr">
        <is>
          <t>Snowpiercer</t>
        </is>
      </c>
      <c r="C287" t="inlineStr">
        <is>
          <t>2013</t>
        </is>
      </c>
      <c r="D287" t="n">
        <v>0</v>
      </c>
      <c r="E287" t="n">
        <v>0</v>
      </c>
      <c r="G287" t="n">
        <v>0</v>
      </c>
      <c r="H287" t="n">
        <v>0</v>
      </c>
      <c r="I287" s="64" t="n"/>
      <c r="J287" s="64" t="n">
        <v>0</v>
      </c>
      <c r="K287" s="64" t="n">
        <v>0</v>
      </c>
      <c r="L287" s="64" t="n"/>
      <c r="M287" s="64" t="n">
        <v>0</v>
      </c>
      <c r="N287" s="64" t="n">
        <v>0</v>
      </c>
      <c r="O287" s="64" t="n"/>
      <c r="P287" s="64" t="n"/>
      <c r="Q287" s="64" t="n"/>
      <c r="R287" s="64" t="inlineStr">
        <is>
          <t>https://github.com/DLu/oscar_data</t>
        </is>
      </c>
    </row>
    <row r="288">
      <c r="A288" t="inlineStr">
        <is>
          <t>F0284</t>
        </is>
      </c>
      <c r="B288" t="inlineStr">
        <is>
          <t>Snow White and the Huntsman</t>
        </is>
      </c>
      <c r="C288" t="inlineStr">
        <is>
          <t>2012</t>
        </is>
      </c>
      <c r="D288" t="n">
        <v>2</v>
      </c>
      <c r="E288" t="n">
        <v>0</v>
      </c>
      <c r="G288" t="n">
        <v>0</v>
      </c>
      <c r="H288" t="n">
        <v>0</v>
      </c>
      <c r="I288" s="64" t="n"/>
      <c r="J288" s="64" t="n">
        <v>0</v>
      </c>
      <c r="K288" s="64" t="n">
        <v>0</v>
      </c>
      <c r="L288" s="64" t="n"/>
      <c r="M288" s="64" t="n">
        <v>0</v>
      </c>
      <c r="N288" s="64" t="n">
        <v>0</v>
      </c>
      <c r="O288" s="64" t="n"/>
      <c r="P288" s="64" t="n"/>
      <c r="Q288" s="64" t="inlineStr">
        <is>
          <t>COSTUME DESIGN; VISUAL EFFECTS</t>
        </is>
      </c>
      <c r="R288" s="64" t="inlineStr">
        <is>
          <t>https://github.com/DLu/oscar_data</t>
        </is>
      </c>
    </row>
    <row r="289">
      <c r="A289" t="inlineStr">
        <is>
          <t>F0285</t>
        </is>
      </c>
      <c r="B289" t="inlineStr">
        <is>
          <t>Source Code</t>
        </is>
      </c>
      <c r="C289" t="inlineStr">
        <is>
          <t>2011</t>
        </is>
      </c>
      <c r="D289" t="n">
        <v>0</v>
      </c>
      <c r="E289" t="n">
        <v>0</v>
      </c>
      <c r="G289" t="n">
        <v>0</v>
      </c>
      <c r="H289" t="n">
        <v>0</v>
      </c>
      <c r="I289" s="64" t="n"/>
      <c r="J289" s="64" t="n">
        <v>0</v>
      </c>
      <c r="K289" s="64" t="n">
        <v>0</v>
      </c>
      <c r="L289" s="64" t="n"/>
      <c r="M289" s="64" t="n">
        <v>0</v>
      </c>
      <c r="N289" s="64" t="n">
        <v>0</v>
      </c>
      <c r="O289" s="64" t="n"/>
      <c r="P289" s="64" t="n"/>
      <c r="Q289" s="64" t="n"/>
      <c r="R289" s="64" t="inlineStr">
        <is>
          <t>https://github.com/DLu/oscar_data</t>
        </is>
      </c>
    </row>
    <row r="290">
      <c r="A290" t="inlineStr">
        <is>
          <t>F0286</t>
        </is>
      </c>
      <c r="B290" t="inlineStr">
        <is>
          <t>Southpaw</t>
        </is>
      </c>
      <c r="C290" t="inlineStr">
        <is>
          <t>2015</t>
        </is>
      </c>
      <c r="D290" t="n">
        <v>0</v>
      </c>
      <c r="E290" t="n">
        <v>0</v>
      </c>
      <c r="G290" t="n">
        <v>0</v>
      </c>
      <c r="H290" t="n">
        <v>0</v>
      </c>
      <c r="I290" s="64" t="n"/>
      <c r="J290" s="64" t="n">
        <v>0</v>
      </c>
      <c r="K290" s="64" t="n">
        <v>0</v>
      </c>
      <c r="L290" s="64" t="n"/>
      <c r="M290" s="64" t="n">
        <v>0</v>
      </c>
      <c r="N290" s="64" t="n">
        <v>0</v>
      </c>
      <c r="O290" s="64" t="n"/>
      <c r="P290" s="64" t="n"/>
      <c r="Q290" s="64" t="n"/>
      <c r="R290" s="64" t="inlineStr">
        <is>
          <t>https://github.com/DLu/oscar_data</t>
        </is>
      </c>
    </row>
    <row r="291">
      <c r="A291" t="inlineStr">
        <is>
          <t>F0287</t>
        </is>
      </c>
      <c r="B291" t="inlineStr">
        <is>
          <t>Spider-Man</t>
        </is>
      </c>
      <c r="C291" t="inlineStr">
        <is>
          <t>2002</t>
        </is>
      </c>
      <c r="D291" t="n">
        <v>2</v>
      </c>
      <c r="E291" t="n">
        <v>0</v>
      </c>
      <c r="G291" t="n">
        <v>0</v>
      </c>
      <c r="H291" t="n">
        <v>0</v>
      </c>
      <c r="I291" s="64" t="n"/>
      <c r="J291" s="64" t="n">
        <v>0</v>
      </c>
      <c r="K291" s="64" t="n">
        <v>0</v>
      </c>
      <c r="L291" s="64" t="n"/>
      <c r="M291" s="64" t="n">
        <v>0</v>
      </c>
      <c r="N291" s="64" t="n">
        <v>0</v>
      </c>
      <c r="O291" s="64" t="n"/>
      <c r="P291" s="64" t="n"/>
      <c r="Q291" s="64" t="inlineStr">
        <is>
          <t>SOUND MIXING; VISUAL EFFECTS</t>
        </is>
      </c>
      <c r="R291" s="64" t="inlineStr">
        <is>
          <t>https://github.com/DLu/oscar_data</t>
        </is>
      </c>
    </row>
    <row r="292">
      <c r="A292" t="inlineStr">
        <is>
          <t>F0288</t>
        </is>
      </c>
      <c r="B292" t="inlineStr">
        <is>
          <t>Spider-Man 2</t>
        </is>
      </c>
      <c r="C292" t="inlineStr">
        <is>
          <t>2004</t>
        </is>
      </c>
      <c r="D292" t="n">
        <v>3</v>
      </c>
      <c r="E292" t="n">
        <v>1</v>
      </c>
      <c r="G292" t="n">
        <v>0</v>
      </c>
      <c r="H292" t="n">
        <v>0</v>
      </c>
      <c r="I292" s="64" t="n"/>
      <c r="J292" s="64" t="n">
        <v>0</v>
      </c>
      <c r="K292" s="64" t="n">
        <v>0</v>
      </c>
      <c r="L292" s="64" t="n"/>
      <c r="M292" s="64" t="n">
        <v>0</v>
      </c>
      <c r="N292" s="64" t="n">
        <v>0</v>
      </c>
      <c r="O292" s="64" t="n"/>
      <c r="P292" s="64" t="inlineStr">
        <is>
          <t>VISUAL EFFECTS</t>
        </is>
      </c>
      <c r="Q292" s="64" t="inlineStr">
        <is>
          <t>SOUND EDITING; SOUND MIXING; VISUAL EFFECTS</t>
        </is>
      </c>
      <c r="R292" s="64" t="inlineStr">
        <is>
          <t>https://github.com/DLu/oscar_data</t>
        </is>
      </c>
    </row>
    <row r="293">
      <c r="A293" t="inlineStr">
        <is>
          <t>F0289</t>
        </is>
      </c>
      <c r="B293" t="inlineStr">
        <is>
          <t>Spider-Man 3</t>
        </is>
      </c>
      <c r="C293" t="inlineStr">
        <is>
          <t>2007</t>
        </is>
      </c>
      <c r="D293" t="n">
        <v>0</v>
      </c>
      <c r="E293" t="n">
        <v>0</v>
      </c>
      <c r="G293" t="n">
        <v>0</v>
      </c>
      <c r="H293" t="n">
        <v>0</v>
      </c>
      <c r="I293" s="64" t="n"/>
      <c r="J293" s="64" t="n">
        <v>0</v>
      </c>
      <c r="K293" s="64" t="n">
        <v>0</v>
      </c>
      <c r="L293" s="64" t="n"/>
      <c r="M293" s="64" t="n">
        <v>0</v>
      </c>
      <c r="N293" s="64" t="n">
        <v>0</v>
      </c>
      <c r="O293" s="64" t="n"/>
      <c r="P293" s="64" t="n"/>
      <c r="Q293" s="64" t="n"/>
      <c r="R293" s="64" t="inlineStr">
        <is>
          <t>https://github.com/DLu/oscar_data</t>
        </is>
      </c>
    </row>
    <row r="294">
      <c r="A294" t="inlineStr">
        <is>
          <t>F0290</t>
        </is>
      </c>
      <c r="B294" t="inlineStr">
        <is>
          <t>Spy</t>
        </is>
      </c>
      <c r="C294" t="inlineStr">
        <is>
          <t>2015</t>
        </is>
      </c>
      <c r="D294" t="n">
        <v>0</v>
      </c>
      <c r="E294" t="n">
        <v>0</v>
      </c>
      <c r="G294" t="n">
        <v>0</v>
      </c>
      <c r="H294" t="n">
        <v>0</v>
      </c>
      <c r="I294" s="64" t="n"/>
      <c r="J294" s="64" t="n">
        <v>0</v>
      </c>
      <c r="K294" s="64" t="n">
        <v>0</v>
      </c>
      <c r="L294" s="64" t="n"/>
      <c r="M294" s="64" t="n">
        <v>0</v>
      </c>
      <c r="N294" s="64" t="n">
        <v>0</v>
      </c>
      <c r="O294" s="64" t="n"/>
      <c r="P294" s="64" t="n"/>
      <c r="Q294" s="64" t="n"/>
      <c r="R294" s="64" t="inlineStr">
        <is>
          <t>https://github.com/DLu/oscar_data</t>
        </is>
      </c>
    </row>
    <row r="295" ht="30" customHeight="1" s="95">
      <c r="A295" t="inlineStr">
        <is>
          <t>F0291</t>
        </is>
      </c>
      <c r="B295" t="inlineStr">
        <is>
          <t>Star Trek</t>
        </is>
      </c>
      <c r="C295" t="inlineStr">
        <is>
          <t>2009</t>
        </is>
      </c>
      <c r="D295" t="n">
        <v>4</v>
      </c>
      <c r="E295" t="n">
        <v>1</v>
      </c>
      <c r="G295" t="n">
        <v>0</v>
      </c>
      <c r="H295" t="n">
        <v>0</v>
      </c>
      <c r="I295" s="64" t="n"/>
      <c r="J295" s="64" t="n">
        <v>0</v>
      </c>
      <c r="K295" s="64" t="n">
        <v>0</v>
      </c>
      <c r="L295" s="64" t="n"/>
      <c r="M295" s="64" t="n">
        <v>0</v>
      </c>
      <c r="N295" s="64" t="n">
        <v>0</v>
      </c>
      <c r="O295" s="64" t="n"/>
      <c r="P295" s="64" t="inlineStr">
        <is>
          <t>MAKEUP AND HAIRSTYLING</t>
        </is>
      </c>
      <c r="Q295" s="64" t="inlineStr">
        <is>
          <t>MAKEUP AND HAIRSTYLING; SOUND EDITING; SOUND MIXING; VISUAL EFFECTS</t>
        </is>
      </c>
      <c r="R295" s="64" t="inlineStr">
        <is>
          <t>https://github.com/DLu/oscar_data</t>
        </is>
      </c>
    </row>
    <row r="296">
      <c r="A296" t="inlineStr">
        <is>
          <t>F0292</t>
        </is>
      </c>
      <c r="B296" t="inlineStr">
        <is>
          <t>Star Wars: Episode I – The Phantom Menace</t>
        </is>
      </c>
      <c r="C296" t="inlineStr">
        <is>
          <t>1999</t>
        </is>
      </c>
      <c r="D296" t="n">
        <v>3</v>
      </c>
      <c r="E296" t="n">
        <v>0</v>
      </c>
      <c r="G296" t="n">
        <v>0</v>
      </c>
      <c r="H296" t="n">
        <v>0</v>
      </c>
      <c r="I296" s="64" t="n"/>
      <c r="J296" s="64" t="n">
        <v>0</v>
      </c>
      <c r="K296" s="64" t="n">
        <v>0</v>
      </c>
      <c r="L296" s="64" t="n"/>
      <c r="M296" s="64" t="n">
        <v>0</v>
      </c>
      <c r="N296" s="64" t="n">
        <v>0</v>
      </c>
      <c r="O296" s="64" t="n"/>
      <c r="P296" s="64" t="n"/>
      <c r="Q296" s="64" t="inlineStr">
        <is>
          <t>SOUND MIXING; SOUND EDITING; VISUAL EFFECTS</t>
        </is>
      </c>
      <c r="R296" s="64" t="inlineStr">
        <is>
          <t>https://github.com/DLu/oscar_data</t>
        </is>
      </c>
    </row>
    <row r="297">
      <c r="A297" t="inlineStr">
        <is>
          <t>F0293</t>
        </is>
      </c>
      <c r="B297" t="inlineStr">
        <is>
          <t>Star Wars: Episode II – Attack of the Clones</t>
        </is>
      </c>
      <c r="C297" t="inlineStr">
        <is>
          <t>2002</t>
        </is>
      </c>
      <c r="D297" t="n">
        <v>1</v>
      </c>
      <c r="E297" t="n">
        <v>0</v>
      </c>
      <c r="G297" t="n">
        <v>0</v>
      </c>
      <c r="H297" t="n">
        <v>0</v>
      </c>
      <c r="I297" s="64" t="n"/>
      <c r="J297" s="64" t="n">
        <v>0</v>
      </c>
      <c r="K297" s="64" t="n">
        <v>0</v>
      </c>
      <c r="L297" s="64" t="n"/>
      <c r="M297" s="64" t="n">
        <v>0</v>
      </c>
      <c r="N297" s="64" t="n">
        <v>0</v>
      </c>
      <c r="O297" s="64" t="n"/>
      <c r="P297" s="64" t="n"/>
      <c r="Q297" s="64" t="inlineStr">
        <is>
          <t>VISUAL EFFECTS</t>
        </is>
      </c>
      <c r="R297" s="64" t="inlineStr">
        <is>
          <t>https://github.com/DLu/oscar_data</t>
        </is>
      </c>
    </row>
    <row r="298">
      <c r="A298" t="inlineStr">
        <is>
          <t>F0294</t>
        </is>
      </c>
      <c r="B298" t="inlineStr">
        <is>
          <t>Star Wars: Episode III – Revenge of the Sith</t>
        </is>
      </c>
      <c r="C298" t="inlineStr">
        <is>
          <t>2005</t>
        </is>
      </c>
      <c r="D298" t="n">
        <v>1</v>
      </c>
      <c r="E298" t="n">
        <v>0</v>
      </c>
      <c r="G298" t="n">
        <v>0</v>
      </c>
      <c r="H298" t="n">
        <v>0</v>
      </c>
      <c r="I298" s="64" t="n"/>
      <c r="J298" s="64" t="n">
        <v>0</v>
      </c>
      <c r="K298" s="64" t="n">
        <v>0</v>
      </c>
      <c r="L298" s="64" t="n"/>
      <c r="M298" s="64" t="n">
        <v>0</v>
      </c>
      <c r="N298" s="64" t="n">
        <v>0</v>
      </c>
      <c r="O298" s="64" t="n"/>
      <c r="P298" s="64" t="n"/>
      <c r="Q298" s="64" t="inlineStr">
        <is>
          <t>MAKEUP AND HAIRSTYLING</t>
        </is>
      </c>
      <c r="R298" s="64" t="inlineStr">
        <is>
          <t>https://github.com/DLu/oscar_data</t>
        </is>
      </c>
    </row>
    <row r="299" ht="60" customHeight="1" s="95">
      <c r="A299" t="inlineStr">
        <is>
          <t>F0295</t>
        </is>
      </c>
      <c r="B299" t="inlineStr">
        <is>
          <t>Star Wars: Episode IV – A New Hope</t>
        </is>
      </c>
      <c r="C299" t="inlineStr">
        <is>
          <t>1977</t>
        </is>
      </c>
      <c r="D299" t="n">
        <v>11</v>
      </c>
      <c r="E299" t="n">
        <v>7</v>
      </c>
      <c r="F299" t="inlineStr">
        <is>
          <t>Nominated</t>
        </is>
      </c>
      <c r="G299" t="n">
        <v>1</v>
      </c>
      <c r="H299" t="n">
        <v>0</v>
      </c>
      <c r="I299" s="64" t="n"/>
      <c r="J299" s="64" t="n">
        <v>1</v>
      </c>
      <c r="K299" s="64" t="n">
        <v>0</v>
      </c>
      <c r="L299" s="64" t="n"/>
      <c r="M299" s="64" t="n">
        <v>1</v>
      </c>
      <c r="N299" s="64" t="n">
        <v>0</v>
      </c>
      <c r="O299" s="64" t="n"/>
      <c r="P299" s="64" t="inlineStr">
        <is>
          <t>ART DIRECTION; COSTUME DESIGN; FILM EDITING; MUSIC (Original Score); SOUND MIXING; VISUAL EFFECTS; SPECIAL ACHIEVEMENT AWARD</t>
        </is>
      </c>
      <c r="Q299" s="64" t="inlineStr">
        <is>
          <t>ACTOR IN A SUPPORTING ROLE; ART DIRECTION; COSTUME DESIGN; DIRECTING; FILM EDITING; MUSIC (Original Score); BEST PICTURE; SOUND MIXING; VISUAL EFFECTS; WRITING (Original Screenplay); SPECIAL ACHIEVEMENT AWARD</t>
        </is>
      </c>
      <c r="R299" s="64" t="inlineStr">
        <is>
          <t>https://github.com/DLu/oscar_data</t>
        </is>
      </c>
    </row>
    <row r="300">
      <c r="A300" t="inlineStr">
        <is>
          <t>F0296</t>
        </is>
      </c>
      <c r="B300" t="inlineStr">
        <is>
          <t>Star Wars: Episode V – The Empire Strikes Back</t>
        </is>
      </c>
      <c r="C300" t="inlineStr">
        <is>
          <t>1980</t>
        </is>
      </c>
      <c r="D300" t="n">
        <v>0</v>
      </c>
      <c r="E300" t="n">
        <v>0</v>
      </c>
      <c r="G300" t="n">
        <v>0</v>
      </c>
      <c r="H300" t="n">
        <v>0</v>
      </c>
      <c r="I300" s="64" t="n"/>
      <c r="J300" s="64" t="n">
        <v>0</v>
      </c>
      <c r="K300" s="64" t="n">
        <v>0</v>
      </c>
      <c r="L300" s="64" t="n"/>
      <c r="M300" s="64" t="n">
        <v>0</v>
      </c>
      <c r="N300" s="64" t="n">
        <v>0</v>
      </c>
      <c r="O300" s="64" t="n"/>
      <c r="P300" s="64" t="n"/>
      <c r="Q300" s="64" t="n"/>
      <c r="R300" s="64" t="inlineStr">
        <is>
          <t>https://github.com/DLu/oscar_data</t>
        </is>
      </c>
    </row>
    <row r="301">
      <c r="A301" t="inlineStr">
        <is>
          <t>F0297</t>
        </is>
      </c>
      <c r="B301" t="inlineStr">
        <is>
          <t>Star Wars: Episode VI – Return of the Jedi</t>
        </is>
      </c>
      <c r="C301" t="inlineStr">
        <is>
          <t>1983</t>
        </is>
      </c>
      <c r="D301" t="n">
        <v>0</v>
      </c>
      <c r="E301" t="n">
        <v>0</v>
      </c>
      <c r="G301" t="n">
        <v>0</v>
      </c>
      <c r="H301" t="n">
        <v>0</v>
      </c>
      <c r="I301" s="64" t="n"/>
      <c r="J301" s="64" t="n">
        <v>0</v>
      </c>
      <c r="K301" s="64" t="n">
        <v>0</v>
      </c>
      <c r="L301" s="64" t="n"/>
      <c r="M301" s="64" t="n">
        <v>0</v>
      </c>
      <c r="N301" s="64" t="n">
        <v>0</v>
      </c>
      <c r="O301" s="64" t="n"/>
      <c r="P301" s="64" t="n"/>
      <c r="Q301" s="64" t="n"/>
      <c r="R301" s="64" t="inlineStr">
        <is>
          <t>https://github.com/DLu/oscar_data</t>
        </is>
      </c>
    </row>
    <row r="302" ht="30" customHeight="1" s="95">
      <c r="A302" t="inlineStr">
        <is>
          <t>F0298</t>
        </is>
      </c>
      <c r="B302" t="inlineStr">
        <is>
          <t>Star Wars: The Force Awakens</t>
        </is>
      </c>
      <c r="C302" t="inlineStr">
        <is>
          <t>2015</t>
        </is>
      </c>
      <c r="D302" t="n">
        <v>5</v>
      </c>
      <c r="E302" t="n">
        <v>0</v>
      </c>
      <c r="G302" t="n">
        <v>0</v>
      </c>
      <c r="H302" t="n">
        <v>0</v>
      </c>
      <c r="I302" s="64" t="n"/>
      <c r="J302" s="64" t="n">
        <v>0</v>
      </c>
      <c r="K302" s="64" t="n">
        <v>0</v>
      </c>
      <c r="L302" s="64" t="n"/>
      <c r="M302" s="64" t="n">
        <v>0</v>
      </c>
      <c r="N302" s="64" t="n">
        <v>0</v>
      </c>
      <c r="O302" s="64" t="n"/>
      <c r="P302" s="64" t="n"/>
      <c r="Q302" s="64" t="inlineStr">
        <is>
          <t>FILM EDITING; MUSIC (Original Score); SOUND EDITING; SOUND MIXING; VISUAL EFFECTS</t>
        </is>
      </c>
      <c r="R302" s="64" t="inlineStr">
        <is>
          <t>https://github.com/DLu/oscar_data</t>
        </is>
      </c>
    </row>
    <row r="303" ht="30" customHeight="1" s="95">
      <c r="A303" t="inlineStr">
        <is>
          <t>F0299</t>
        </is>
      </c>
      <c r="B303" t="inlineStr">
        <is>
          <t>Star Wars: The Last Jedi</t>
        </is>
      </c>
      <c r="C303" t="inlineStr">
        <is>
          <t>2017</t>
        </is>
      </c>
      <c r="D303" t="n">
        <v>4</v>
      </c>
      <c r="E303" t="n">
        <v>0</v>
      </c>
      <c r="G303" t="n">
        <v>0</v>
      </c>
      <c r="H303" t="n">
        <v>0</v>
      </c>
      <c r="I303" s="64" t="n"/>
      <c r="J303" s="64" t="n">
        <v>0</v>
      </c>
      <c r="K303" s="64" t="n">
        <v>0</v>
      </c>
      <c r="L303" s="64" t="n"/>
      <c r="M303" s="64" t="n">
        <v>0</v>
      </c>
      <c r="N303" s="64" t="n">
        <v>0</v>
      </c>
      <c r="O303" s="64" t="n"/>
      <c r="P303" s="64" t="n"/>
      <c r="Q303" s="64" t="inlineStr">
        <is>
          <t>MUSIC (Original Score); SOUND EDITING; SOUND MIXING; VISUAL EFFECTS</t>
        </is>
      </c>
      <c r="R303" s="64" t="inlineStr">
        <is>
          <t>https://github.com/DLu/oscar_data</t>
        </is>
      </c>
    </row>
    <row r="304">
      <c r="A304" t="inlineStr">
        <is>
          <t>F0300</t>
        </is>
      </c>
      <c r="B304" t="inlineStr">
        <is>
          <t>Star Wars: The Rise of Skywalker</t>
        </is>
      </c>
      <c r="C304" t="inlineStr">
        <is>
          <t>2019</t>
        </is>
      </c>
      <c r="D304" t="n">
        <v>3</v>
      </c>
      <c r="E304" t="n">
        <v>0</v>
      </c>
      <c r="G304" t="n">
        <v>0</v>
      </c>
      <c r="H304" t="n">
        <v>0</v>
      </c>
      <c r="I304" s="64" t="n"/>
      <c r="J304" s="64" t="n">
        <v>0</v>
      </c>
      <c r="K304" s="64" t="n">
        <v>0</v>
      </c>
      <c r="L304" s="64" t="n"/>
      <c r="M304" s="64" t="n">
        <v>0</v>
      </c>
      <c r="N304" s="64" t="n">
        <v>0</v>
      </c>
      <c r="O304" s="64" t="n"/>
      <c r="P304" s="64" t="n"/>
      <c r="Q304" s="64" t="inlineStr">
        <is>
          <t>MUSIC (Original Score); SOUND EDITING; VISUAL EFFECTS</t>
        </is>
      </c>
      <c r="R304" s="64" t="inlineStr">
        <is>
          <t>https://github.com/DLu/oscar_data</t>
        </is>
      </c>
    </row>
    <row r="305">
      <c r="A305" t="inlineStr">
        <is>
          <t>F0301</t>
        </is>
      </c>
      <c r="B305" t="inlineStr">
        <is>
          <t>Straight Outta Compton</t>
        </is>
      </c>
      <c r="C305" t="inlineStr">
        <is>
          <t>2015</t>
        </is>
      </c>
      <c r="D305" t="n">
        <v>1</v>
      </c>
      <c r="E305" t="n">
        <v>0</v>
      </c>
      <c r="G305" t="n">
        <v>0</v>
      </c>
      <c r="H305" t="n">
        <v>0</v>
      </c>
      <c r="I305" s="64" t="n"/>
      <c r="J305" s="64" t="n">
        <v>0</v>
      </c>
      <c r="K305" s="64" t="n">
        <v>0</v>
      </c>
      <c r="L305" s="64" t="n"/>
      <c r="M305" s="64" t="n">
        <v>1</v>
      </c>
      <c r="N305" s="64" t="n">
        <v>0</v>
      </c>
      <c r="O305" s="64" t="n"/>
      <c r="P305" s="64" t="n"/>
      <c r="Q305" s="64" t="inlineStr">
        <is>
          <t>WRITING (Original Screenplay)</t>
        </is>
      </c>
      <c r="R305" s="64" t="inlineStr">
        <is>
          <t>https://github.com/DLu/oscar_data</t>
        </is>
      </c>
    </row>
    <row r="306">
      <c r="A306" t="inlineStr">
        <is>
          <t>F0302</t>
        </is>
      </c>
      <c r="B306" t="inlineStr">
        <is>
          <t>Super 8</t>
        </is>
      </c>
      <c r="C306" t="inlineStr">
        <is>
          <t>2011</t>
        </is>
      </c>
      <c r="D306" t="n">
        <v>0</v>
      </c>
      <c r="E306" t="n">
        <v>0</v>
      </c>
      <c r="G306" t="n">
        <v>0</v>
      </c>
      <c r="H306" t="n">
        <v>0</v>
      </c>
      <c r="I306" s="64" t="n"/>
      <c r="J306" s="64" t="n">
        <v>0</v>
      </c>
      <c r="K306" s="64" t="n">
        <v>0</v>
      </c>
      <c r="L306" s="64" t="n"/>
      <c r="M306" s="64" t="n">
        <v>0</v>
      </c>
      <c r="N306" s="64" t="n">
        <v>0</v>
      </c>
      <c r="O306" s="64" t="n"/>
      <c r="P306" s="64" t="n"/>
      <c r="Q306" s="64" t="n"/>
      <c r="R306" s="64" t="inlineStr">
        <is>
          <t>https://github.com/DLu/oscar_data</t>
        </is>
      </c>
    </row>
    <row r="307">
      <c r="A307" t="inlineStr">
        <is>
          <t>F0303</t>
        </is>
      </c>
      <c r="B307" t="inlineStr">
        <is>
          <t>Superbad</t>
        </is>
      </c>
      <c r="C307" t="inlineStr">
        <is>
          <t>2007</t>
        </is>
      </c>
      <c r="D307" t="n">
        <v>0</v>
      </c>
      <c r="E307" t="n">
        <v>0</v>
      </c>
      <c r="G307" t="n">
        <v>0</v>
      </c>
      <c r="H307" t="n">
        <v>0</v>
      </c>
      <c r="I307" s="64" t="n"/>
      <c r="J307" s="64" t="n">
        <v>0</v>
      </c>
      <c r="K307" s="64" t="n">
        <v>0</v>
      </c>
      <c r="L307" s="64" t="n"/>
      <c r="M307" s="64" t="n">
        <v>0</v>
      </c>
      <c r="N307" s="64" t="n">
        <v>0</v>
      </c>
      <c r="O307" s="64" t="n"/>
      <c r="P307" s="64" t="n"/>
      <c r="Q307" s="64" t="n"/>
      <c r="R307" s="64" t="inlineStr">
        <is>
          <t>https://github.com/DLu/oscar_data</t>
        </is>
      </c>
    </row>
    <row r="308">
      <c r="A308" t="inlineStr">
        <is>
          <t>F0304</t>
        </is>
      </c>
      <c r="B308" t="inlineStr">
        <is>
          <t>Superman</t>
        </is>
      </c>
      <c r="C308" t="inlineStr">
        <is>
          <t>2025</t>
        </is>
      </c>
      <c r="D308" t="n">
        <v>0</v>
      </c>
      <c r="E308" t="n">
        <v>0</v>
      </c>
      <c r="G308" t="n">
        <v>0</v>
      </c>
      <c r="H308" t="n">
        <v>0</v>
      </c>
      <c r="I308" s="64" t="n"/>
      <c r="J308" s="64" t="n">
        <v>0</v>
      </c>
      <c r="K308" s="64" t="n">
        <v>0</v>
      </c>
      <c r="L308" s="64" t="n"/>
      <c r="M308" s="64" t="n">
        <v>0</v>
      </c>
      <c r="N308" s="64" t="n">
        <v>0</v>
      </c>
      <c r="O308" s="64" t="n"/>
      <c r="P308" s="64" t="n"/>
      <c r="Q308" s="64" t="n"/>
      <c r="R308" s="64" t="inlineStr">
        <is>
          <t>https://github.com/DLu/oscar_data</t>
        </is>
      </c>
    </row>
    <row r="309">
      <c r="A309" t="inlineStr">
        <is>
          <t>F0305</t>
        </is>
      </c>
      <c r="B309" t="inlineStr">
        <is>
          <t>The Sweeney</t>
        </is>
      </c>
      <c r="C309" t="inlineStr">
        <is>
          <t>2012</t>
        </is>
      </c>
      <c r="D309" t="n">
        <v>0</v>
      </c>
      <c r="E309" t="n">
        <v>0</v>
      </c>
      <c r="G309" t="n">
        <v>0</v>
      </c>
      <c r="H309" t="n">
        <v>0</v>
      </c>
      <c r="I309" s="64" t="n"/>
      <c r="J309" s="64" t="n">
        <v>0</v>
      </c>
      <c r="K309" s="64" t="n">
        <v>0</v>
      </c>
      <c r="L309" s="64" t="n"/>
      <c r="M309" s="64" t="n">
        <v>0</v>
      </c>
      <c r="N309" s="64" t="n">
        <v>0</v>
      </c>
      <c r="O309" s="64" t="n"/>
      <c r="P309" s="64" t="n"/>
      <c r="Q309" s="64" t="n"/>
      <c r="R309" s="64" t="inlineStr">
        <is>
          <t>https://github.com/DLu/oscar_data</t>
        </is>
      </c>
    </row>
    <row r="310">
      <c r="A310" t="inlineStr">
        <is>
          <t>F0306</t>
        </is>
      </c>
      <c r="B310" t="inlineStr">
        <is>
          <t>Taken</t>
        </is>
      </c>
      <c r="C310" t="inlineStr">
        <is>
          <t>2008</t>
        </is>
      </c>
      <c r="D310" t="n">
        <v>0</v>
      </c>
      <c r="E310" t="n">
        <v>0</v>
      </c>
      <c r="G310" t="n">
        <v>0</v>
      </c>
      <c r="H310" t="n">
        <v>0</v>
      </c>
      <c r="I310" s="64" t="n"/>
      <c r="J310" s="64" t="n">
        <v>0</v>
      </c>
      <c r="K310" s="64" t="n">
        <v>0</v>
      </c>
      <c r="L310" s="64" t="n"/>
      <c r="M310" s="64" t="n">
        <v>0</v>
      </c>
      <c r="N310" s="64" t="n">
        <v>0</v>
      </c>
      <c r="O310" s="64" t="n"/>
      <c r="P310" s="64" t="n"/>
      <c r="Q310" s="64" t="n"/>
      <c r="R310" s="64" t="inlineStr">
        <is>
          <t>https://github.com/DLu/oscar_data</t>
        </is>
      </c>
    </row>
    <row r="311">
      <c r="A311" t="inlineStr">
        <is>
          <t>F0307</t>
        </is>
      </c>
      <c r="B311" t="inlineStr">
        <is>
          <t>Taken 2</t>
        </is>
      </c>
      <c r="C311" t="inlineStr">
        <is>
          <t>2012</t>
        </is>
      </c>
      <c r="D311" t="n">
        <v>0</v>
      </c>
      <c r="E311" t="n">
        <v>0</v>
      </c>
      <c r="G311" t="n">
        <v>0</v>
      </c>
      <c r="H311" t="n">
        <v>0</v>
      </c>
      <c r="I311" s="64" t="n"/>
      <c r="J311" s="64" t="n">
        <v>0</v>
      </c>
      <c r="K311" s="64" t="n">
        <v>0</v>
      </c>
      <c r="L311" s="64" t="n"/>
      <c r="M311" s="64" t="n">
        <v>0</v>
      </c>
      <c r="N311" s="64" t="n">
        <v>0</v>
      </c>
      <c r="O311" s="64" t="n"/>
      <c r="P311" s="64" t="n"/>
      <c r="Q311" s="64" t="n"/>
      <c r="R311" s="64" t="inlineStr">
        <is>
          <t>https://github.com/DLu/oscar_data</t>
        </is>
      </c>
    </row>
    <row r="312">
      <c r="A312" t="inlineStr">
        <is>
          <t>F0308</t>
        </is>
      </c>
      <c r="B312" t="inlineStr">
        <is>
          <t>Ted</t>
        </is>
      </c>
      <c r="C312" t="inlineStr">
        <is>
          <t>2012</t>
        </is>
      </c>
      <c r="D312" t="n">
        <v>1</v>
      </c>
      <c r="E312" t="n">
        <v>0</v>
      </c>
      <c r="G312" t="n">
        <v>0</v>
      </c>
      <c r="H312" t="n">
        <v>0</v>
      </c>
      <c r="I312" s="64" t="n"/>
      <c r="J312" s="64" t="n">
        <v>0</v>
      </c>
      <c r="K312" s="64" t="n">
        <v>0</v>
      </c>
      <c r="L312" s="64" t="n"/>
      <c r="M312" s="64" t="n">
        <v>0</v>
      </c>
      <c r="N312" s="64" t="n">
        <v>0</v>
      </c>
      <c r="O312" s="64" t="n"/>
      <c r="P312" s="64" t="n"/>
      <c r="Q312" s="64" t="inlineStr">
        <is>
          <t>MUSIC (Original Song)</t>
        </is>
      </c>
      <c r="R312" s="64" t="inlineStr">
        <is>
          <t>https://github.com/DLu/oscar_data</t>
        </is>
      </c>
    </row>
    <row r="313">
      <c r="A313" t="inlineStr">
        <is>
          <t>F0309</t>
        </is>
      </c>
      <c r="B313" t="inlineStr">
        <is>
          <t>Teenage Mutant Ninja Turtles</t>
        </is>
      </c>
      <c r="C313" t="inlineStr">
        <is>
          <t>2014</t>
        </is>
      </c>
      <c r="D313" t="n">
        <v>0</v>
      </c>
      <c r="E313" t="n">
        <v>0</v>
      </c>
      <c r="G313" t="n">
        <v>0</v>
      </c>
      <c r="H313" t="n">
        <v>0</v>
      </c>
      <c r="I313" s="64" t="n"/>
      <c r="J313" s="64" t="n">
        <v>0</v>
      </c>
      <c r="K313" s="64" t="n">
        <v>0</v>
      </c>
      <c r="L313" s="64" t="n"/>
      <c r="M313" s="64" t="n">
        <v>0</v>
      </c>
      <c r="N313" s="64" t="n">
        <v>0</v>
      </c>
      <c r="O313" s="64" t="n"/>
      <c r="P313" s="64" t="n"/>
      <c r="Q313" s="64" t="n"/>
      <c r="R313" s="64" t="inlineStr">
        <is>
          <t>https://github.com/DLu/oscar_data</t>
        </is>
      </c>
    </row>
    <row r="314">
      <c r="A314" t="inlineStr">
        <is>
          <t>F0310</t>
        </is>
      </c>
      <c r="B314" t="inlineStr">
        <is>
          <t>Terminator Salvation</t>
        </is>
      </c>
      <c r="C314" t="inlineStr">
        <is>
          <t>2009</t>
        </is>
      </c>
      <c r="D314" t="n">
        <v>0</v>
      </c>
      <c r="E314" t="n">
        <v>0</v>
      </c>
      <c r="G314" t="n">
        <v>0</v>
      </c>
      <c r="H314" t="n">
        <v>0</v>
      </c>
      <c r="I314" s="64" t="n"/>
      <c r="J314" s="64" t="n">
        <v>0</v>
      </c>
      <c r="K314" s="64" t="n">
        <v>0</v>
      </c>
      <c r="L314" s="64" t="n"/>
      <c r="M314" s="64" t="n">
        <v>0</v>
      </c>
      <c r="N314" s="64" t="n">
        <v>0</v>
      </c>
      <c r="O314" s="64" t="n"/>
      <c r="P314" s="64" t="n"/>
      <c r="Q314" s="64" t="n"/>
      <c r="R314" s="64" t="inlineStr">
        <is>
          <t>https://github.com/DLu/oscar_data</t>
        </is>
      </c>
    </row>
    <row r="315" ht="30" customHeight="1" s="95">
      <c r="A315" t="inlineStr">
        <is>
          <t>F0311</t>
        </is>
      </c>
      <c r="B315" t="inlineStr">
        <is>
          <t>The Theory of Everything</t>
        </is>
      </c>
      <c r="C315" t="inlineStr">
        <is>
          <t>2014</t>
        </is>
      </c>
      <c r="D315" t="n">
        <v>5</v>
      </c>
      <c r="E315" t="n">
        <v>1</v>
      </c>
      <c r="F315" t="inlineStr">
        <is>
          <t>Nominated</t>
        </is>
      </c>
      <c r="G315" t="n">
        <v>2</v>
      </c>
      <c r="H315" t="n">
        <v>1</v>
      </c>
      <c r="I315" s="64" t="inlineStr">
        <is>
          <t>Eddie Redmayne</t>
        </is>
      </c>
      <c r="J315" s="64" t="n">
        <v>0</v>
      </c>
      <c r="K315" s="64" t="n">
        <v>0</v>
      </c>
      <c r="L315" s="64" t="n"/>
      <c r="M315" s="64" t="n">
        <v>1</v>
      </c>
      <c r="N315" s="64" t="n">
        <v>0</v>
      </c>
      <c r="O315" s="64" t="n"/>
      <c r="P315" s="64" t="inlineStr">
        <is>
          <t>ACTOR IN A LEADING ROLE</t>
        </is>
      </c>
      <c r="Q315" s="64" t="inlineStr">
        <is>
          <t>ACTOR IN A LEADING ROLE; ACTRESS IN A LEADING ROLE; MUSIC (Original Score); BEST PICTURE; WRITING (Adapted Screenplay)</t>
        </is>
      </c>
      <c r="R315" s="64" t="inlineStr">
        <is>
          <t>https://github.com/DLu/oscar_data</t>
        </is>
      </c>
    </row>
    <row r="316" ht="45" customHeight="1" s="95">
      <c r="A316" t="inlineStr">
        <is>
          <t>F0312</t>
        </is>
      </c>
      <c r="B316" t="inlineStr">
        <is>
          <t>Toy Story</t>
        </is>
      </c>
      <c r="C316" t="inlineStr">
        <is>
          <t>1995</t>
        </is>
      </c>
      <c r="D316" t="n">
        <v>4</v>
      </c>
      <c r="E316" t="n">
        <v>1</v>
      </c>
      <c r="G316" t="n">
        <v>0</v>
      </c>
      <c r="H316" t="n">
        <v>0</v>
      </c>
      <c r="I316" s="64" t="n"/>
      <c r="J316" s="64" t="n">
        <v>0</v>
      </c>
      <c r="K316" s="64" t="n">
        <v>0</v>
      </c>
      <c r="L316" s="64" t="n"/>
      <c r="M316" s="64" t="n">
        <v>1</v>
      </c>
      <c r="N316" s="64" t="n">
        <v>0</v>
      </c>
      <c r="O316" s="64" t="n"/>
      <c r="P316" s="64" t="inlineStr">
        <is>
          <t>SPECIAL ACHIEVEMENT AWARD</t>
        </is>
      </c>
      <c r="Q316" s="64" t="inlineStr">
        <is>
          <t>MUSIC (Original Song Score or Adaptation Score); MUSIC (Original Song); WRITING (Original Screenplay); SPECIAL ACHIEVEMENT AWARD</t>
        </is>
      </c>
      <c r="R316" s="64" t="inlineStr">
        <is>
          <t>https://github.com/DLu/oscar_data</t>
        </is>
      </c>
    </row>
    <row r="317">
      <c r="A317" t="inlineStr">
        <is>
          <t>F0313</t>
        </is>
      </c>
      <c r="B317" t="inlineStr">
        <is>
          <t>Toy Story 2</t>
        </is>
      </c>
      <c r="C317" t="inlineStr">
        <is>
          <t>1999</t>
        </is>
      </c>
      <c r="D317" t="n">
        <v>1</v>
      </c>
      <c r="E317" t="n">
        <v>0</v>
      </c>
      <c r="G317" t="n">
        <v>0</v>
      </c>
      <c r="H317" t="n">
        <v>0</v>
      </c>
      <c r="I317" s="64" t="n"/>
      <c r="J317" s="64" t="n">
        <v>0</v>
      </c>
      <c r="K317" s="64" t="n">
        <v>0</v>
      </c>
      <c r="L317" s="64" t="n"/>
      <c r="M317" s="64" t="n">
        <v>0</v>
      </c>
      <c r="N317" s="64" t="n">
        <v>0</v>
      </c>
      <c r="O317" s="64" t="n"/>
      <c r="P317" s="64" t="n"/>
      <c r="Q317" s="64" t="inlineStr">
        <is>
          <t>MUSIC (Original Song)</t>
        </is>
      </c>
      <c r="R317" s="64" t="inlineStr">
        <is>
          <t>https://github.com/DLu/oscar_data</t>
        </is>
      </c>
    </row>
    <row r="318" ht="30" customHeight="1" s="95">
      <c r="A318" t="inlineStr">
        <is>
          <t>F0314</t>
        </is>
      </c>
      <c r="B318" t="inlineStr">
        <is>
          <t>Toy Story 3</t>
        </is>
      </c>
      <c r="C318" t="inlineStr">
        <is>
          <t>2010</t>
        </is>
      </c>
      <c r="D318" t="n">
        <v>5</v>
      </c>
      <c r="E318" t="n">
        <v>2</v>
      </c>
      <c r="F318" t="inlineStr">
        <is>
          <t>Nominated</t>
        </is>
      </c>
      <c r="G318" t="n">
        <v>0</v>
      </c>
      <c r="H318" t="n">
        <v>0</v>
      </c>
      <c r="I318" s="64" t="n"/>
      <c r="J318" s="64" t="n">
        <v>0</v>
      </c>
      <c r="K318" s="64" t="n">
        <v>0</v>
      </c>
      <c r="L318" s="64" t="n"/>
      <c r="M318" s="64" t="n">
        <v>1</v>
      </c>
      <c r="N318" s="64" t="n">
        <v>0</v>
      </c>
      <c r="O318" s="64" t="inlineStr">
        <is>
          <t>Winner</t>
        </is>
      </c>
      <c r="P318" s="64" t="inlineStr">
        <is>
          <t>ANIMATED FEATURE FILM; MUSIC (Original Song)</t>
        </is>
      </c>
      <c r="Q318" s="64" t="inlineStr">
        <is>
          <t>ANIMATED FEATURE FILM; MUSIC (Original Song); BEST PICTURE; SOUND EDITING; WRITING (Adapted Screenplay)</t>
        </is>
      </c>
      <c r="R318" s="64" t="inlineStr">
        <is>
          <t>https://github.com/DLu/oscar_data</t>
        </is>
      </c>
    </row>
    <row r="319">
      <c r="A319" t="inlineStr">
        <is>
          <t>F0315</t>
        </is>
      </c>
      <c r="B319" t="inlineStr">
        <is>
          <t>Toy Story 4</t>
        </is>
      </c>
      <c r="C319" t="inlineStr">
        <is>
          <t>2019</t>
        </is>
      </c>
      <c r="D319" t="n">
        <v>2</v>
      </c>
      <c r="E319" t="n">
        <v>1</v>
      </c>
      <c r="G319" t="n">
        <v>0</v>
      </c>
      <c r="H319" t="n">
        <v>0</v>
      </c>
      <c r="I319" s="64" t="n"/>
      <c r="J319" s="64" t="n">
        <v>0</v>
      </c>
      <c r="K319" s="64" t="n">
        <v>0</v>
      </c>
      <c r="L319" s="64" t="n"/>
      <c r="M319" s="64" t="n">
        <v>0</v>
      </c>
      <c r="N319" s="64" t="n">
        <v>0</v>
      </c>
      <c r="O319" s="64" t="inlineStr">
        <is>
          <t>Winner</t>
        </is>
      </c>
      <c r="P319" s="64" t="inlineStr">
        <is>
          <t>ANIMATED FEATURE FILM</t>
        </is>
      </c>
      <c r="Q319" s="64" t="inlineStr">
        <is>
          <t>ANIMATED FEATURE FILM; MUSIC (Original Song)</t>
        </is>
      </c>
      <c r="R319" s="64" t="inlineStr">
        <is>
          <t>https://github.com/DLu/oscar_data</t>
        </is>
      </c>
    </row>
    <row r="320">
      <c r="A320" t="inlineStr">
        <is>
          <t>F0316</t>
        </is>
      </c>
      <c r="B320" t="inlineStr">
        <is>
          <t>Transformers</t>
        </is>
      </c>
      <c r="C320" t="inlineStr">
        <is>
          <t>2007</t>
        </is>
      </c>
      <c r="D320" t="n">
        <v>3</v>
      </c>
      <c r="E320" t="n">
        <v>0</v>
      </c>
      <c r="G320" t="n">
        <v>0</v>
      </c>
      <c r="H320" t="n">
        <v>0</v>
      </c>
      <c r="I320" s="64" t="n"/>
      <c r="J320" s="64" t="n">
        <v>0</v>
      </c>
      <c r="K320" s="64" t="n">
        <v>0</v>
      </c>
      <c r="L320" s="64" t="n"/>
      <c r="M320" s="64" t="n">
        <v>0</v>
      </c>
      <c r="N320" s="64" t="n">
        <v>0</v>
      </c>
      <c r="O320" s="64" t="n"/>
      <c r="P320" s="64" t="n"/>
      <c r="Q320" s="64" t="inlineStr">
        <is>
          <t>SOUND EDITING; SOUND MIXING; VISUAL EFFECTS</t>
        </is>
      </c>
      <c r="R320" s="64" t="inlineStr">
        <is>
          <t>https://github.com/DLu/oscar_data</t>
        </is>
      </c>
    </row>
    <row r="321">
      <c r="A321" t="inlineStr">
        <is>
          <t>F0317</t>
        </is>
      </c>
      <c r="B321" t="inlineStr">
        <is>
          <t>Transformers: Revenge of the Fallen</t>
        </is>
      </c>
      <c r="C321" t="inlineStr">
        <is>
          <t>2009</t>
        </is>
      </c>
      <c r="D321" t="n">
        <v>1</v>
      </c>
      <c r="E321" t="n">
        <v>0</v>
      </c>
      <c r="G321" t="n">
        <v>0</v>
      </c>
      <c r="H321" t="n">
        <v>0</v>
      </c>
      <c r="I321" s="64" t="n"/>
      <c r="J321" s="64" t="n">
        <v>0</v>
      </c>
      <c r="K321" s="64" t="n">
        <v>0</v>
      </c>
      <c r="L321" s="64" t="n"/>
      <c r="M321" s="64" t="n">
        <v>0</v>
      </c>
      <c r="N321" s="64" t="n">
        <v>0</v>
      </c>
      <c r="O321" s="64" t="n"/>
      <c r="P321" s="64" t="n"/>
      <c r="Q321" s="64" t="inlineStr">
        <is>
          <t>SOUND MIXING</t>
        </is>
      </c>
      <c r="R321" s="64" t="inlineStr">
        <is>
          <t>https://github.com/DLu/oscar_data</t>
        </is>
      </c>
    </row>
    <row r="322">
      <c r="A322" t="inlineStr">
        <is>
          <t>F0318</t>
        </is>
      </c>
      <c r="B322" t="inlineStr">
        <is>
          <t>Transformers: Dark of the Moon</t>
        </is>
      </c>
      <c r="C322" t="inlineStr">
        <is>
          <t>2011</t>
        </is>
      </c>
      <c r="D322" t="n">
        <v>3</v>
      </c>
      <c r="E322" t="n">
        <v>0</v>
      </c>
      <c r="G322" t="n">
        <v>0</v>
      </c>
      <c r="H322" t="n">
        <v>0</v>
      </c>
      <c r="I322" s="64" t="n"/>
      <c r="J322" s="64" t="n">
        <v>0</v>
      </c>
      <c r="K322" s="64" t="n">
        <v>0</v>
      </c>
      <c r="L322" s="64" t="n"/>
      <c r="M322" s="64" t="n">
        <v>0</v>
      </c>
      <c r="N322" s="64" t="n">
        <v>0</v>
      </c>
      <c r="O322" s="64" t="n"/>
      <c r="P322" s="64" t="n"/>
      <c r="Q322" s="64" t="inlineStr">
        <is>
          <t>SOUND EDITING; SOUND MIXING; VISUAL EFFECTS</t>
        </is>
      </c>
      <c r="R322" s="64" t="inlineStr">
        <is>
          <t>https://github.com/DLu/oscar_data</t>
        </is>
      </c>
    </row>
    <row r="323">
      <c r="A323" t="inlineStr">
        <is>
          <t>F0319</t>
        </is>
      </c>
      <c r="B323" t="inlineStr">
        <is>
          <t>Transformers: Age of Extinction</t>
        </is>
      </c>
      <c r="C323" t="inlineStr">
        <is>
          <t>2014</t>
        </is>
      </c>
      <c r="D323" t="n">
        <v>0</v>
      </c>
      <c r="E323" t="n">
        <v>0</v>
      </c>
      <c r="G323" t="n">
        <v>0</v>
      </c>
      <c r="H323" t="n">
        <v>0</v>
      </c>
      <c r="I323" s="64" t="n"/>
      <c r="J323" s="64" t="n">
        <v>0</v>
      </c>
      <c r="K323" s="64" t="n">
        <v>0</v>
      </c>
      <c r="L323" s="64" t="n"/>
      <c r="M323" s="64" t="n">
        <v>0</v>
      </c>
      <c r="N323" s="64" t="n">
        <v>0</v>
      </c>
      <c r="O323" s="64" t="n"/>
      <c r="P323" s="64" t="n"/>
      <c r="Q323" s="64" t="n"/>
      <c r="R323" s="64" t="inlineStr">
        <is>
          <t>https://github.com/DLu/oscar_data</t>
        </is>
      </c>
    </row>
    <row r="324">
      <c r="A324" t="inlineStr">
        <is>
          <t>F0320</t>
        </is>
      </c>
      <c r="B324" t="inlineStr">
        <is>
          <t>Transformers: The Last Knight</t>
        </is>
      </c>
      <c r="C324" t="inlineStr">
        <is>
          <t>2017</t>
        </is>
      </c>
      <c r="D324" t="n">
        <v>0</v>
      </c>
      <c r="E324" t="n">
        <v>0</v>
      </c>
      <c r="G324" t="n">
        <v>0</v>
      </c>
      <c r="H324" t="n">
        <v>0</v>
      </c>
      <c r="I324" s="64" t="n"/>
      <c r="J324" s="64" t="n">
        <v>0</v>
      </c>
      <c r="K324" s="64" t="n">
        <v>0</v>
      </c>
      <c r="L324" s="64" t="n"/>
      <c r="M324" s="64" t="n">
        <v>0</v>
      </c>
      <c r="N324" s="64" t="n">
        <v>0</v>
      </c>
      <c r="O324" s="64" t="n"/>
      <c r="P324" s="64" t="n"/>
      <c r="Q324" s="64" t="n"/>
      <c r="R324" s="64" t="inlineStr">
        <is>
          <t>https://github.com/DLu/oscar_data</t>
        </is>
      </c>
    </row>
    <row r="325">
      <c r="A325" t="inlineStr">
        <is>
          <t>F0321</t>
        </is>
      </c>
      <c r="B325" t="inlineStr">
        <is>
          <t>Transformers: Rise of the Beasts</t>
        </is>
      </c>
      <c r="C325" t="inlineStr">
        <is>
          <t>2023</t>
        </is>
      </c>
      <c r="D325" t="n">
        <v>0</v>
      </c>
      <c r="E325" t="n">
        <v>0</v>
      </c>
      <c r="G325" t="n">
        <v>0</v>
      </c>
      <c r="H325" t="n">
        <v>0</v>
      </c>
      <c r="I325" s="64" t="n"/>
      <c r="J325" s="64" t="n">
        <v>0</v>
      </c>
      <c r="K325" s="64" t="n">
        <v>0</v>
      </c>
      <c r="L325" s="64" t="n"/>
      <c r="M325" s="64" t="n">
        <v>0</v>
      </c>
      <c r="N325" s="64" t="n">
        <v>0</v>
      </c>
      <c r="O325" s="64" t="n"/>
      <c r="P325" s="64" t="n"/>
      <c r="Q325" s="64" t="n"/>
      <c r="R325" s="64" t="inlineStr">
        <is>
          <t>https://github.com/DLu/oscar_data</t>
        </is>
      </c>
    </row>
    <row r="326">
      <c r="A326" t="inlineStr">
        <is>
          <t>F0322</t>
        </is>
      </c>
      <c r="B326" t="inlineStr">
        <is>
          <t>The Transformers: The Movie</t>
        </is>
      </c>
      <c r="C326" t="inlineStr">
        <is>
          <t>1986</t>
        </is>
      </c>
      <c r="D326" t="n">
        <v>0</v>
      </c>
      <c r="E326" t="n">
        <v>0</v>
      </c>
      <c r="G326" t="n">
        <v>0</v>
      </c>
      <c r="H326" t="n">
        <v>0</v>
      </c>
      <c r="I326" s="64" t="n"/>
      <c r="J326" s="64" t="n">
        <v>0</v>
      </c>
      <c r="K326" s="64" t="n">
        <v>0</v>
      </c>
      <c r="L326" s="64" t="n"/>
      <c r="M326" s="64" t="n">
        <v>0</v>
      </c>
      <c r="N326" s="64" t="n">
        <v>0</v>
      </c>
      <c r="O326" s="64" t="n"/>
      <c r="P326" s="64" t="n"/>
      <c r="Q326" s="64" t="n"/>
      <c r="R326" s="64" t="inlineStr">
        <is>
          <t>https://github.com/DLu/oscar_data</t>
        </is>
      </c>
    </row>
    <row r="327">
      <c r="A327" t="inlineStr">
        <is>
          <t>F0323</t>
        </is>
      </c>
      <c r="B327" t="inlineStr">
        <is>
          <t>The Transporter Refueled</t>
        </is>
      </c>
      <c r="C327" t="inlineStr">
        <is>
          <t>2015</t>
        </is>
      </c>
      <c r="D327" t="n">
        <v>0</v>
      </c>
      <c r="E327" t="n">
        <v>0</v>
      </c>
      <c r="G327" t="n">
        <v>0</v>
      </c>
      <c r="H327" t="n">
        <v>0</v>
      </c>
      <c r="I327" s="64" t="n"/>
      <c r="J327" s="64" t="n">
        <v>0</v>
      </c>
      <c r="K327" s="64" t="n">
        <v>0</v>
      </c>
      <c r="L327" s="64" t="n"/>
      <c r="M327" s="64" t="n">
        <v>0</v>
      </c>
      <c r="N327" s="64" t="n">
        <v>0</v>
      </c>
      <c r="O327" s="64" t="n"/>
      <c r="P327" s="64" t="n"/>
      <c r="Q327" s="64" t="n"/>
      <c r="R327" s="64" t="inlineStr">
        <is>
          <t>https://github.com/DLu/oscar_data</t>
        </is>
      </c>
    </row>
    <row r="328">
      <c r="A328" t="inlineStr">
        <is>
          <t>F0324</t>
        </is>
      </c>
      <c r="B328" t="inlineStr">
        <is>
          <t>Tropic Thunder</t>
        </is>
      </c>
      <c r="C328" t="inlineStr">
        <is>
          <t>2008</t>
        </is>
      </c>
      <c r="D328" t="n">
        <v>1</v>
      </c>
      <c r="E328" t="n">
        <v>0</v>
      </c>
      <c r="G328" t="n">
        <v>1</v>
      </c>
      <c r="H328" t="n">
        <v>0</v>
      </c>
      <c r="I328" s="64" t="n"/>
      <c r="J328" s="64" t="n">
        <v>0</v>
      </c>
      <c r="K328" s="64" t="n">
        <v>0</v>
      </c>
      <c r="L328" s="64" t="n"/>
      <c r="M328" s="64" t="n">
        <v>0</v>
      </c>
      <c r="N328" s="64" t="n">
        <v>0</v>
      </c>
      <c r="O328" s="64" t="n"/>
      <c r="P328" s="64" t="n"/>
      <c r="Q328" s="64" t="inlineStr">
        <is>
          <t>ACTOR IN A SUPPORTING ROLE</t>
        </is>
      </c>
      <c r="R328" s="64" t="inlineStr">
        <is>
          <t>https://github.com/DLu/oscar_data</t>
        </is>
      </c>
    </row>
    <row r="329" ht="60" customHeight="1" s="95">
      <c r="A329" t="inlineStr">
        <is>
          <t>F0325</t>
        </is>
      </c>
      <c r="B329" t="inlineStr">
        <is>
          <t>True Grit</t>
        </is>
      </c>
      <c r="C329" t="inlineStr">
        <is>
          <t>2010</t>
        </is>
      </c>
      <c r="D329" t="n">
        <v>10</v>
      </c>
      <c r="E329" t="n">
        <v>0</v>
      </c>
      <c r="F329" t="inlineStr">
        <is>
          <t>Nominated</t>
        </is>
      </c>
      <c r="G329" t="n">
        <v>2</v>
      </c>
      <c r="H329" t="n">
        <v>0</v>
      </c>
      <c r="I329" s="64" t="n"/>
      <c r="J329" s="64" t="n">
        <v>1</v>
      </c>
      <c r="K329" s="64" t="n">
        <v>0</v>
      </c>
      <c r="L329" s="64" t="n"/>
      <c r="M329" s="64" t="n">
        <v>1</v>
      </c>
      <c r="N329" s="64" t="n">
        <v>0</v>
      </c>
      <c r="O329" s="64" t="n"/>
      <c r="P329" s="64" t="n"/>
      <c r="Q329" s="64" t="inlineStr">
        <is>
          <t>ACTOR IN A LEADING ROLE; ACTRESS IN A SUPPORTING ROLE; ART DIRECTION; CINEMATOGRAPHY; COSTUME DESIGN; DIRECTING; BEST PICTURE; SOUND EDITING; SOUND MIXING; WRITING (Adapted Screenplay)</t>
        </is>
      </c>
      <c r="R329" s="64" t="inlineStr">
        <is>
          <t>https://github.com/DLu/oscar_data</t>
        </is>
      </c>
    </row>
    <row r="330">
      <c r="A330" t="inlineStr">
        <is>
          <t>F0326</t>
        </is>
      </c>
      <c r="B330" t="inlineStr">
        <is>
          <t>Underworld: Evolution</t>
        </is>
      </c>
      <c r="C330" t="inlineStr">
        <is>
          <t>2006</t>
        </is>
      </c>
      <c r="D330" t="n">
        <v>0</v>
      </c>
      <c r="E330" t="n">
        <v>0</v>
      </c>
      <c r="G330" t="n">
        <v>0</v>
      </c>
      <c r="H330" t="n">
        <v>0</v>
      </c>
      <c r="I330" s="64" t="n"/>
      <c r="J330" s="64" t="n">
        <v>0</v>
      </c>
      <c r="K330" s="64" t="n">
        <v>0</v>
      </c>
      <c r="L330" s="64" t="n"/>
      <c r="M330" s="64" t="n">
        <v>0</v>
      </c>
      <c r="N330" s="64" t="n">
        <v>0</v>
      </c>
      <c r="O330" s="64" t="n"/>
      <c r="P330" s="64" t="n"/>
      <c r="Q330" s="64" t="n"/>
      <c r="R330" s="64" t="inlineStr">
        <is>
          <t>https://github.com/DLu/oscar_data</t>
        </is>
      </c>
    </row>
    <row r="331">
      <c r="A331" t="inlineStr">
        <is>
          <t>F0327</t>
        </is>
      </c>
      <c r="B331" t="inlineStr">
        <is>
          <t>Underworld: Rise of the Lycans</t>
        </is>
      </c>
      <c r="C331" t="inlineStr">
        <is>
          <t>2009</t>
        </is>
      </c>
      <c r="D331" t="n">
        <v>0</v>
      </c>
      <c r="E331" t="n">
        <v>0</v>
      </c>
      <c r="G331" t="n">
        <v>0</v>
      </c>
      <c r="H331" t="n">
        <v>0</v>
      </c>
      <c r="I331" s="64" t="n"/>
      <c r="J331" s="64" t="n">
        <v>0</v>
      </c>
      <c r="K331" s="64" t="n">
        <v>0</v>
      </c>
      <c r="L331" s="64" t="n"/>
      <c r="M331" s="64" t="n">
        <v>0</v>
      </c>
      <c r="N331" s="64" t="n">
        <v>0</v>
      </c>
      <c r="O331" s="64" t="n"/>
      <c r="P331" s="64" t="n"/>
      <c r="Q331" s="64" t="n"/>
      <c r="R331" s="64" t="inlineStr">
        <is>
          <t>https://github.com/DLu/oscar_data</t>
        </is>
      </c>
    </row>
    <row r="332">
      <c r="A332" t="inlineStr">
        <is>
          <t>F0328</t>
        </is>
      </c>
      <c r="B332" t="inlineStr">
        <is>
          <t>Underworld: Awakening</t>
        </is>
      </c>
      <c r="C332" t="inlineStr">
        <is>
          <t>2012</t>
        </is>
      </c>
      <c r="D332" t="n">
        <v>0</v>
      </c>
      <c r="E332" t="n">
        <v>0</v>
      </c>
      <c r="G332" t="n">
        <v>0</v>
      </c>
      <c r="H332" t="n">
        <v>0</v>
      </c>
      <c r="I332" s="64" t="n"/>
      <c r="J332" s="64" t="n">
        <v>0</v>
      </c>
      <c r="K332" s="64" t="n">
        <v>0</v>
      </c>
      <c r="L332" s="64" t="n"/>
      <c r="M332" s="64" t="n">
        <v>0</v>
      </c>
      <c r="N332" s="64" t="n">
        <v>0</v>
      </c>
      <c r="O332" s="64" t="n"/>
      <c r="P332" s="64" t="n"/>
      <c r="Q332" s="64" t="n"/>
      <c r="R332" s="64" t="inlineStr">
        <is>
          <t>https://github.com/DLu/oscar_data</t>
        </is>
      </c>
    </row>
    <row r="333">
      <c r="A333" t="inlineStr">
        <is>
          <t>F0329</t>
        </is>
      </c>
      <c r="B333" t="inlineStr">
        <is>
          <t>Unknown</t>
        </is>
      </c>
      <c r="C333" t="inlineStr">
        <is>
          <t>2011</t>
        </is>
      </c>
      <c r="D333" t="n">
        <v>0</v>
      </c>
      <c r="E333" t="n">
        <v>0</v>
      </c>
      <c r="G333" t="n">
        <v>0</v>
      </c>
      <c r="H333" t="n">
        <v>0</v>
      </c>
      <c r="I333" s="64" t="n"/>
      <c r="J333" s="64" t="n">
        <v>0</v>
      </c>
      <c r="K333" s="64" t="n">
        <v>0</v>
      </c>
      <c r="L333" s="64" t="n"/>
      <c r="M333" s="64" t="n">
        <v>0</v>
      </c>
      <c r="N333" s="64" t="n">
        <v>0</v>
      </c>
      <c r="O333" s="64" t="n"/>
      <c r="P333" s="64" t="n"/>
      <c r="Q333" s="64" t="n"/>
      <c r="R333" s="64" t="inlineStr">
        <is>
          <t>https://github.com/DLu/oscar_data</t>
        </is>
      </c>
    </row>
    <row r="334" ht="30" customHeight="1" s="95">
      <c r="A334" t="inlineStr">
        <is>
          <t>F0330</t>
        </is>
      </c>
      <c r="B334" t="inlineStr">
        <is>
          <t>Up</t>
        </is>
      </c>
      <c r="C334" t="inlineStr">
        <is>
          <t>2009</t>
        </is>
      </c>
      <c r="D334" t="n">
        <v>5</v>
      </c>
      <c r="E334" t="n">
        <v>2</v>
      </c>
      <c r="F334" t="inlineStr">
        <is>
          <t>Nominated</t>
        </is>
      </c>
      <c r="G334" t="n">
        <v>0</v>
      </c>
      <c r="H334" t="n">
        <v>0</v>
      </c>
      <c r="I334" s="64" t="n"/>
      <c r="J334" s="64" t="n">
        <v>0</v>
      </c>
      <c r="K334" s="64" t="n">
        <v>0</v>
      </c>
      <c r="L334" s="64" t="n"/>
      <c r="M334" s="64" t="n">
        <v>1</v>
      </c>
      <c r="N334" s="64" t="n">
        <v>0</v>
      </c>
      <c r="O334" s="64" t="inlineStr">
        <is>
          <t>Winner</t>
        </is>
      </c>
      <c r="P334" s="64" t="inlineStr">
        <is>
          <t>ANIMATED FEATURE FILM; MUSIC (Original Score)</t>
        </is>
      </c>
      <c r="Q334" s="64" t="inlineStr">
        <is>
          <t>ANIMATED FEATURE FILM; MUSIC (Original Score); BEST PICTURE; SOUND EDITING; WRITING (Original Screenplay)</t>
        </is>
      </c>
      <c r="R334" s="64" t="inlineStr">
        <is>
          <t>https://github.com/DLu/oscar_data</t>
        </is>
      </c>
    </row>
    <row r="335" ht="45" customHeight="1" s="95">
      <c r="A335" t="inlineStr">
        <is>
          <t>F0331</t>
        </is>
      </c>
      <c r="B335" t="inlineStr">
        <is>
          <t>WALL·E</t>
        </is>
      </c>
      <c r="C335" t="inlineStr">
        <is>
          <t>2008</t>
        </is>
      </c>
      <c r="D335" t="n">
        <v>6</v>
      </c>
      <c r="E335" t="n">
        <v>1</v>
      </c>
      <c r="G335" t="n">
        <v>0</v>
      </c>
      <c r="H335" t="n">
        <v>0</v>
      </c>
      <c r="I335" s="64" t="n"/>
      <c r="J335" s="64" t="n">
        <v>0</v>
      </c>
      <c r="K335" s="64" t="n">
        <v>0</v>
      </c>
      <c r="L335" s="64" t="n"/>
      <c r="M335" s="64" t="n">
        <v>1</v>
      </c>
      <c r="N335" s="64" t="n">
        <v>0</v>
      </c>
      <c r="O335" s="64" t="inlineStr">
        <is>
          <t>Winner</t>
        </is>
      </c>
      <c r="P335" s="64" t="inlineStr">
        <is>
          <t>ANIMATED FEATURE FILM</t>
        </is>
      </c>
      <c r="Q335" s="64" t="inlineStr">
        <is>
          <t>ANIMATED FEATURE FILM; MUSIC (Original Score); MUSIC (Original Song); SOUND EDITING; SOUND MIXING; WRITING (Original Screenplay)</t>
        </is>
      </c>
      <c r="R335" s="64" t="inlineStr">
        <is>
          <t>https://github.com/DLu/oscar_data</t>
        </is>
      </c>
    </row>
    <row r="336">
      <c r="A336" t="inlineStr">
        <is>
          <t>F0332</t>
        </is>
      </c>
      <c r="B336" t="inlineStr">
        <is>
          <t>War of the Worlds</t>
        </is>
      </c>
      <c r="C336" t="inlineStr">
        <is>
          <t>2005</t>
        </is>
      </c>
      <c r="D336" t="n">
        <v>3</v>
      </c>
      <c r="E336" t="n">
        <v>0</v>
      </c>
      <c r="G336" t="n">
        <v>0</v>
      </c>
      <c r="H336" t="n">
        <v>0</v>
      </c>
      <c r="I336" s="64" t="n"/>
      <c r="J336" s="64" t="n">
        <v>0</v>
      </c>
      <c r="K336" s="64" t="n">
        <v>0</v>
      </c>
      <c r="L336" s="64" t="n"/>
      <c r="M336" s="64" t="n">
        <v>0</v>
      </c>
      <c r="N336" s="64" t="n">
        <v>0</v>
      </c>
      <c r="O336" s="64" t="n"/>
      <c r="P336" s="64" t="n"/>
      <c r="Q336" s="64" t="inlineStr">
        <is>
          <t>SOUND EDITING; SOUND MIXING; VISUAL EFFECTS</t>
        </is>
      </c>
      <c r="R336" s="64" t="inlineStr">
        <is>
          <t>https://github.com/DLu/oscar_data</t>
        </is>
      </c>
    </row>
    <row r="337">
      <c r="A337" t="inlineStr">
        <is>
          <t>F0333</t>
        </is>
      </c>
      <c r="B337" t="inlineStr">
        <is>
          <t>Warrior</t>
        </is>
      </c>
      <c r="C337" t="inlineStr">
        <is>
          <t>2011</t>
        </is>
      </c>
      <c r="D337" t="n">
        <v>1</v>
      </c>
      <c r="E337" t="n">
        <v>0</v>
      </c>
      <c r="G337" t="n">
        <v>1</v>
      </c>
      <c r="H337" t="n">
        <v>0</v>
      </c>
      <c r="I337" s="64" t="n"/>
      <c r="J337" s="64" t="n">
        <v>0</v>
      </c>
      <c r="K337" s="64" t="n">
        <v>0</v>
      </c>
      <c r="L337" s="64" t="n"/>
      <c r="M337" s="64" t="n">
        <v>0</v>
      </c>
      <c r="N337" s="64" t="n">
        <v>0</v>
      </c>
      <c r="O337" s="64" t="n"/>
      <c r="P337" s="64" t="n"/>
      <c r="Q337" s="64" t="inlineStr">
        <is>
          <t>ACTOR IN A SUPPORTING ROLE</t>
        </is>
      </c>
      <c r="R337" s="64" t="inlineStr">
        <is>
          <t>https://github.com/DLu/oscar_data</t>
        </is>
      </c>
    </row>
    <row r="338">
      <c r="A338" t="inlineStr">
        <is>
          <t>F0334</t>
        </is>
      </c>
      <c r="B338" t="inlineStr">
        <is>
          <t>The Warriors</t>
        </is>
      </c>
      <c r="C338" t="inlineStr">
        <is>
          <t>1979</t>
        </is>
      </c>
      <c r="D338" t="n">
        <v>0</v>
      </c>
      <c r="E338" t="n">
        <v>0</v>
      </c>
      <c r="G338" t="n">
        <v>0</v>
      </c>
      <c r="H338" t="n">
        <v>0</v>
      </c>
      <c r="I338" s="64" t="n"/>
      <c r="J338" s="64" t="n">
        <v>0</v>
      </c>
      <c r="K338" s="64" t="n">
        <v>0</v>
      </c>
      <c r="L338" s="64" t="n"/>
      <c r="M338" s="64" t="n">
        <v>0</v>
      </c>
      <c r="N338" s="64" t="n">
        <v>0</v>
      </c>
      <c r="O338" s="64" t="n"/>
      <c r="P338" s="64" t="n"/>
      <c r="Q338" s="64" t="n"/>
      <c r="R338" s="64" t="inlineStr">
        <is>
          <t>https://github.com/DLu/oscar_data</t>
        </is>
      </c>
    </row>
    <row r="339">
      <c r="A339" t="inlineStr">
        <is>
          <t>F0335</t>
        </is>
      </c>
      <c r="B339" t="inlineStr">
        <is>
          <t>White House Down</t>
        </is>
      </c>
      <c r="C339" t="inlineStr">
        <is>
          <t>2013</t>
        </is>
      </c>
      <c r="D339" t="n">
        <v>0</v>
      </c>
      <c r="E339" t="n">
        <v>0</v>
      </c>
      <c r="G339" t="n">
        <v>0</v>
      </c>
      <c r="H339" t="n">
        <v>0</v>
      </c>
      <c r="I339" s="64" t="n"/>
      <c r="J339" s="64" t="n">
        <v>0</v>
      </c>
      <c r="K339" s="64" t="n">
        <v>0</v>
      </c>
      <c r="L339" s="64" t="n"/>
      <c r="M339" s="64" t="n">
        <v>0</v>
      </c>
      <c r="N339" s="64" t="n">
        <v>0</v>
      </c>
      <c r="O339" s="64" t="n"/>
      <c r="P339" s="64" t="n"/>
      <c r="Q339" s="64" t="n"/>
      <c r="R339" s="64" t="inlineStr">
        <is>
          <t>https://github.com/DLu/oscar_data</t>
        </is>
      </c>
    </row>
    <row r="340">
      <c r="A340" t="inlineStr">
        <is>
          <t>F0336</t>
        </is>
      </c>
      <c r="B340" t="inlineStr">
        <is>
          <t>Wreck-It Ralph</t>
        </is>
      </c>
      <c r="C340" t="inlineStr">
        <is>
          <t>2012</t>
        </is>
      </c>
      <c r="D340" t="n">
        <v>1</v>
      </c>
      <c r="E340" t="n">
        <v>0</v>
      </c>
      <c r="G340" t="n">
        <v>0</v>
      </c>
      <c r="H340" t="n">
        <v>0</v>
      </c>
      <c r="I340" s="64" t="n"/>
      <c r="J340" s="64" t="n">
        <v>0</v>
      </c>
      <c r="K340" s="64" t="n">
        <v>0</v>
      </c>
      <c r="L340" s="64" t="n"/>
      <c r="M340" s="64" t="n">
        <v>0</v>
      </c>
      <c r="N340" s="64" t="n">
        <v>0</v>
      </c>
      <c r="O340" s="64" t="inlineStr">
        <is>
          <t>Nominated</t>
        </is>
      </c>
      <c r="P340" s="64" t="n"/>
      <c r="Q340" s="64" t="inlineStr">
        <is>
          <t>ANIMATED FEATURE FILM</t>
        </is>
      </c>
      <c r="R340" s="64" t="inlineStr">
        <is>
          <t>https://github.com/DLu/oscar_data</t>
        </is>
      </c>
    </row>
    <row r="341">
      <c r="A341" t="inlineStr">
        <is>
          <t>F0337</t>
        </is>
      </c>
      <c r="B341" t="inlineStr">
        <is>
          <t>Ralph Breaks the Internet</t>
        </is>
      </c>
      <c r="C341" t="inlineStr">
        <is>
          <t>2018</t>
        </is>
      </c>
      <c r="D341" t="n">
        <v>1</v>
      </c>
      <c r="E341" t="n">
        <v>0</v>
      </c>
      <c r="G341" t="n">
        <v>0</v>
      </c>
      <c r="H341" t="n">
        <v>0</v>
      </c>
      <c r="I341" s="64" t="n"/>
      <c r="J341" s="64" t="n">
        <v>0</v>
      </c>
      <c r="K341" s="64" t="n">
        <v>0</v>
      </c>
      <c r="L341" s="64" t="n"/>
      <c r="M341" s="64" t="n">
        <v>0</v>
      </c>
      <c r="N341" s="64" t="n">
        <v>0</v>
      </c>
      <c r="O341" s="64" t="inlineStr">
        <is>
          <t>Nominated</t>
        </is>
      </c>
      <c r="P341" s="64" t="n"/>
      <c r="Q341" s="64" t="inlineStr">
        <is>
          <t>ANIMATED FEATURE FILM</t>
        </is>
      </c>
      <c r="R341" s="64" t="inlineStr">
        <is>
          <t>https://github.com/DLu/oscar_data</t>
        </is>
      </c>
    </row>
    <row r="342">
      <c r="A342" t="inlineStr">
        <is>
          <t>F0338</t>
        </is>
      </c>
      <c r="B342" t="inlineStr">
        <is>
          <t>Wonka</t>
        </is>
      </c>
      <c r="C342" t="inlineStr">
        <is>
          <t>2023</t>
        </is>
      </c>
      <c r="D342" t="n">
        <v>0</v>
      </c>
      <c r="E342" t="n">
        <v>0</v>
      </c>
      <c r="G342" t="n">
        <v>0</v>
      </c>
      <c r="H342" t="n">
        <v>0</v>
      </c>
      <c r="I342" s="64" t="n"/>
      <c r="J342" s="64" t="n">
        <v>0</v>
      </c>
      <c r="K342" s="64" t="n">
        <v>0</v>
      </c>
      <c r="L342" s="64" t="n"/>
      <c r="M342" s="64" t="n">
        <v>0</v>
      </c>
      <c r="N342" s="64" t="n">
        <v>0</v>
      </c>
      <c r="O342" s="64" t="n"/>
      <c r="P342" s="64" t="n"/>
      <c r="Q342" s="64" t="n"/>
      <c r="R342" s="64" t="inlineStr">
        <is>
          <t>https://github.com/DLu/oscar_data</t>
        </is>
      </c>
    </row>
    <row r="343">
      <c r="A343" t="inlineStr">
        <is>
          <t>F0339</t>
        </is>
      </c>
      <c r="B343" t="inlineStr">
        <is>
          <t>Willy Wonka &amp; the Chocolate Factory</t>
        </is>
      </c>
      <c r="C343" t="inlineStr">
        <is>
          <t>1971</t>
        </is>
      </c>
      <c r="D343" t="n">
        <v>1</v>
      </c>
      <c r="E343" t="n">
        <v>0</v>
      </c>
      <c r="G343" t="n">
        <v>0</v>
      </c>
      <c r="H343" t="n">
        <v>0</v>
      </c>
      <c r="I343" s="64" t="n"/>
      <c r="J343" s="64" t="n">
        <v>0</v>
      </c>
      <c r="K343" s="64" t="n">
        <v>0</v>
      </c>
      <c r="L343" s="64" t="n"/>
      <c r="M343" s="64" t="n">
        <v>0</v>
      </c>
      <c r="N343" s="64" t="n">
        <v>0</v>
      </c>
      <c r="O343" s="64" t="n"/>
      <c r="P343" s="64" t="n"/>
      <c r="Q343" s="64" t="inlineStr">
        <is>
          <t>MUSIC (Original Song Score or Adaptation Score)</t>
        </is>
      </c>
      <c r="R343" s="64" t="inlineStr">
        <is>
          <t>https://github.com/DLu/oscar_data</t>
        </is>
      </c>
    </row>
    <row r="344">
      <c r="A344" t="inlineStr">
        <is>
          <t>F0340</t>
        </is>
      </c>
      <c r="B344" t="inlineStr">
        <is>
          <t>X-Men: First Class</t>
        </is>
      </c>
      <c r="C344" t="inlineStr">
        <is>
          <t>2011</t>
        </is>
      </c>
      <c r="D344" t="n">
        <v>0</v>
      </c>
      <c r="E344" t="n">
        <v>0</v>
      </c>
      <c r="G344" t="n">
        <v>0</v>
      </c>
      <c r="H344" t="n">
        <v>0</v>
      </c>
      <c r="I344" s="64" t="n"/>
      <c r="J344" s="64" t="n">
        <v>0</v>
      </c>
      <c r="K344" s="64" t="n">
        <v>0</v>
      </c>
      <c r="L344" s="64" t="n"/>
      <c r="M344" s="64" t="n">
        <v>0</v>
      </c>
      <c r="N344" s="64" t="n">
        <v>0</v>
      </c>
      <c r="O344" s="64" t="n"/>
      <c r="P344" s="64" t="n"/>
      <c r="Q344" s="64" t="n"/>
      <c r="R344" s="64" t="inlineStr">
        <is>
          <t>https://github.com/DLu/oscar_data</t>
        </is>
      </c>
    </row>
    <row r="345">
      <c r="A345" t="inlineStr">
        <is>
          <t>F0341</t>
        </is>
      </c>
      <c r="B345" t="inlineStr">
        <is>
          <t>X-Men: Days of Future Past</t>
        </is>
      </c>
      <c r="C345" t="inlineStr">
        <is>
          <t>2014</t>
        </is>
      </c>
      <c r="D345" t="n">
        <v>1</v>
      </c>
      <c r="E345" t="n">
        <v>0</v>
      </c>
      <c r="G345" t="n">
        <v>0</v>
      </c>
      <c r="H345" t="n">
        <v>0</v>
      </c>
      <c r="I345" s="64" t="n"/>
      <c r="J345" s="64" t="n">
        <v>0</v>
      </c>
      <c r="K345" s="64" t="n">
        <v>0</v>
      </c>
      <c r="L345" s="64" t="n"/>
      <c r="M345" s="64" t="n">
        <v>0</v>
      </c>
      <c r="N345" s="64" t="n">
        <v>0</v>
      </c>
      <c r="O345" s="64" t="n"/>
      <c r="P345" s="64" t="n"/>
      <c r="Q345" s="64" t="inlineStr">
        <is>
          <t>VISUAL EFFECTS</t>
        </is>
      </c>
      <c r="R345" s="64" t="inlineStr">
        <is>
          <t>https://github.com/DLu/oscar_data</t>
        </is>
      </c>
    </row>
    <row r="346">
      <c r="A346" t="inlineStr">
        <is>
          <t>F0342</t>
        </is>
      </c>
      <c r="B346" t="inlineStr">
        <is>
          <t>X-Men: Apocalypse</t>
        </is>
      </c>
      <c r="C346" t="inlineStr">
        <is>
          <t>2016</t>
        </is>
      </c>
      <c r="D346" t="n">
        <v>0</v>
      </c>
      <c r="E346" t="n">
        <v>0</v>
      </c>
      <c r="G346" t="n">
        <v>0</v>
      </c>
      <c r="H346" t="n">
        <v>0</v>
      </c>
      <c r="I346" s="64" t="n"/>
      <c r="J346" s="64" t="n">
        <v>0</v>
      </c>
      <c r="K346" s="64" t="n">
        <v>0</v>
      </c>
      <c r="L346" s="64" t="n"/>
      <c r="M346" s="64" t="n">
        <v>0</v>
      </c>
      <c r="N346" s="64" t="n">
        <v>0</v>
      </c>
      <c r="O346" s="64" t="n"/>
      <c r="P346" s="64" t="n"/>
      <c r="Q346" s="64" t="n"/>
      <c r="R346" s="64" t="inlineStr">
        <is>
          <t>https://github.com/DLu/oscar_data</t>
        </is>
      </c>
    </row>
    <row r="347">
      <c r="A347" t="inlineStr">
        <is>
          <t>F0343</t>
        </is>
      </c>
      <c r="B347" t="inlineStr">
        <is>
          <t>X-Men Origins: Wolverine</t>
        </is>
      </c>
      <c r="C347" t="inlineStr">
        <is>
          <t>2009</t>
        </is>
      </c>
      <c r="D347" t="n">
        <v>0</v>
      </c>
      <c r="E347" t="n">
        <v>0</v>
      </c>
      <c r="G347" t="n">
        <v>0</v>
      </c>
      <c r="H347" t="n">
        <v>0</v>
      </c>
      <c r="I347" s="64" t="n"/>
      <c r="J347" s="64" t="n">
        <v>0</v>
      </c>
      <c r="K347" s="64" t="n">
        <v>0</v>
      </c>
      <c r="L347" s="64" t="n"/>
      <c r="M347" s="64" t="n">
        <v>0</v>
      </c>
      <c r="N347" s="64" t="n">
        <v>0</v>
      </c>
      <c r="O347" s="64" t="n"/>
      <c r="P347" s="64" t="n"/>
      <c r="Q347" s="64" t="n"/>
      <c r="R347" s="64" t="inlineStr">
        <is>
          <t>https://github.com/DLu/oscar_data</t>
        </is>
      </c>
    </row>
    <row r="348">
      <c r="A348" t="inlineStr">
        <is>
          <t>F0344</t>
        </is>
      </c>
      <c r="B348" t="inlineStr">
        <is>
          <t>X-Men</t>
        </is>
      </c>
      <c r="C348" t="inlineStr">
        <is>
          <t>2000</t>
        </is>
      </c>
      <c r="D348" t="n">
        <v>0</v>
      </c>
      <c r="E348" t="n">
        <v>0</v>
      </c>
      <c r="G348" t="n">
        <v>0</v>
      </c>
      <c r="H348" t="n">
        <v>0</v>
      </c>
      <c r="I348" s="64" t="n"/>
      <c r="J348" s="64" t="n">
        <v>0</v>
      </c>
      <c r="K348" s="64" t="n">
        <v>0</v>
      </c>
      <c r="L348" s="64" t="n"/>
      <c r="M348" s="64" t="n">
        <v>0</v>
      </c>
      <c r="N348" s="64" t="n">
        <v>0</v>
      </c>
      <c r="O348" s="64" t="n"/>
      <c r="P348" s="64" t="n"/>
      <c r="Q348" s="64" t="n"/>
      <c r="R348" s="64" t="inlineStr">
        <is>
          <t>https://github.com/DLu/oscar_data</t>
        </is>
      </c>
    </row>
    <row r="349">
      <c r="A349" t="inlineStr">
        <is>
          <t>F0345</t>
        </is>
      </c>
      <c r="B349" t="inlineStr">
        <is>
          <t>X2: X-Men United</t>
        </is>
      </c>
      <c r="C349" t="inlineStr">
        <is>
          <t>2003</t>
        </is>
      </c>
      <c r="D349" t="n">
        <v>0</v>
      </c>
      <c r="E349" t="n">
        <v>0</v>
      </c>
      <c r="G349" t="n">
        <v>0</v>
      </c>
      <c r="H349" t="n">
        <v>0</v>
      </c>
      <c r="I349" s="64" t="n"/>
      <c r="J349" s="64" t="n">
        <v>0</v>
      </c>
      <c r="K349" s="64" t="n">
        <v>0</v>
      </c>
      <c r="L349" s="64" t="n"/>
      <c r="M349" s="64" t="n">
        <v>0</v>
      </c>
      <c r="N349" s="64" t="n">
        <v>0</v>
      </c>
      <c r="O349" s="64" t="n"/>
      <c r="P349" s="64" t="n"/>
      <c r="Q349" s="64" t="n"/>
      <c r="R349" s="64" t="inlineStr">
        <is>
          <t>https://github.com/DLu/oscar_data</t>
        </is>
      </c>
    </row>
    <row r="350">
      <c r="A350" t="inlineStr">
        <is>
          <t>F0346</t>
        </is>
      </c>
      <c r="B350" t="inlineStr">
        <is>
          <t>X-Men: The Last Stand</t>
        </is>
      </c>
      <c r="C350" t="inlineStr">
        <is>
          <t>2006</t>
        </is>
      </c>
      <c r="D350" t="n">
        <v>0</v>
      </c>
      <c r="E350" t="n">
        <v>0</v>
      </c>
      <c r="G350" t="n">
        <v>0</v>
      </c>
      <c r="H350" t="n">
        <v>0</v>
      </c>
      <c r="I350" s="64" t="n"/>
      <c r="J350" s="64" t="n">
        <v>0</v>
      </c>
      <c r="K350" s="64" t="n">
        <v>0</v>
      </c>
      <c r="L350" s="64" t="n"/>
      <c r="M350" s="64" t="n">
        <v>0</v>
      </c>
      <c r="N350" s="64" t="n">
        <v>0</v>
      </c>
      <c r="O350" s="64" t="n"/>
      <c r="P350" s="64" t="n"/>
      <c r="Q350" s="64" t="n"/>
      <c r="R350" s="64" t="inlineStr">
        <is>
          <t>https://github.com/DLu/oscar_data</t>
        </is>
      </c>
    </row>
    <row r="351">
      <c r="A351" t="inlineStr">
        <is>
          <t>F0347</t>
        </is>
      </c>
      <c r="B351" t="inlineStr">
        <is>
          <t>The Wolverine</t>
        </is>
      </c>
      <c r="C351" t="inlineStr">
        <is>
          <t>2013</t>
        </is>
      </c>
      <c r="D351" t="n">
        <v>0</v>
      </c>
      <c r="E351" t="n">
        <v>0</v>
      </c>
      <c r="G351" t="n">
        <v>0</v>
      </c>
      <c r="H351" t="n">
        <v>0</v>
      </c>
      <c r="I351" s="64" t="n"/>
      <c r="J351" s="64" t="n">
        <v>0</v>
      </c>
      <c r="K351" s="64" t="n">
        <v>0</v>
      </c>
      <c r="L351" s="64" t="n"/>
      <c r="M351" s="64" t="n">
        <v>0</v>
      </c>
      <c r="N351" s="64" t="n">
        <v>0</v>
      </c>
      <c r="O351" s="64" t="n"/>
      <c r="P351" s="64" t="n"/>
      <c r="Q351" s="64" t="n"/>
      <c r="R351" s="64" t="inlineStr">
        <is>
          <t>https://github.com/DLu/oscar_data</t>
        </is>
      </c>
    </row>
    <row r="352">
      <c r="A352" t="inlineStr">
        <is>
          <t>F0348</t>
        </is>
      </c>
      <c r="B352" t="inlineStr">
        <is>
          <t>Yogi Bear</t>
        </is>
      </c>
      <c r="C352" t="inlineStr">
        <is>
          <t>2010</t>
        </is>
      </c>
      <c r="D352" t="n">
        <v>0</v>
      </c>
      <c r="E352" t="n">
        <v>0</v>
      </c>
      <c r="G352" t="n">
        <v>0</v>
      </c>
      <c r="H352" t="n">
        <v>0</v>
      </c>
      <c r="I352" s="64" t="n"/>
      <c r="J352" s="64" t="n">
        <v>0</v>
      </c>
      <c r="K352" s="64" t="n">
        <v>0</v>
      </c>
      <c r="L352" s="64" t="n"/>
      <c r="M352" s="64" t="n">
        <v>0</v>
      </c>
      <c r="N352" s="64" t="n">
        <v>0</v>
      </c>
      <c r="O352" s="64" t="n"/>
      <c r="P352" s="64" t="n"/>
      <c r="Q352" s="64" t="n"/>
      <c r="R352" s="64" t="inlineStr">
        <is>
          <t>https://github.com/DLu/oscar_data</t>
        </is>
      </c>
    </row>
    <row r="353" ht="30" customHeight="1" s="95">
      <c r="A353" t="inlineStr">
        <is>
          <t>F0349</t>
        </is>
      </c>
      <c r="B353" t="inlineStr">
        <is>
          <t>Zero Dark Thirty</t>
        </is>
      </c>
      <c r="C353" t="inlineStr">
        <is>
          <t>2012</t>
        </is>
      </c>
      <c r="D353" t="n">
        <v>5</v>
      </c>
      <c r="E353" t="n">
        <v>1</v>
      </c>
      <c r="F353" t="inlineStr">
        <is>
          <t>Nominated</t>
        </is>
      </c>
      <c r="G353" t="n">
        <v>1</v>
      </c>
      <c r="H353" t="n">
        <v>0</v>
      </c>
      <c r="I353" s="64" t="n"/>
      <c r="J353" s="64" t="n">
        <v>0</v>
      </c>
      <c r="K353" s="64" t="n">
        <v>0</v>
      </c>
      <c r="L353" s="64" t="n"/>
      <c r="M353" s="64" t="n">
        <v>1</v>
      </c>
      <c r="N353" s="64" t="n">
        <v>0</v>
      </c>
      <c r="O353" s="64" t="n"/>
      <c r="P353" s="64" t="inlineStr">
        <is>
          <t>SOUND EDITING</t>
        </is>
      </c>
      <c r="Q353" s="64" t="inlineStr">
        <is>
          <t>ACTRESS IN A LEADING ROLE; FILM EDITING; BEST PICTURE; SOUND EDITING; WRITING (Original Screenplay)</t>
        </is>
      </c>
      <c r="R353" s="64" t="inlineStr">
        <is>
          <t>https://github.com/DLu/oscar_data</t>
        </is>
      </c>
    </row>
    <row r="354">
      <c r="A354" s="65" t="inlineStr">
        <is>
          <t>F0350</t>
        </is>
      </c>
      <c r="B354" s="65" t="inlineStr">
        <is>
          <t>Zodiac</t>
        </is>
      </c>
      <c r="C354" s="65" t="inlineStr">
        <is>
          <t>2007</t>
        </is>
      </c>
      <c r="D354" s="65" t="n">
        <v>0</v>
      </c>
      <c r="E354" s="65" t="n">
        <v>0</v>
      </c>
      <c r="F354" s="65" t="n"/>
      <c r="G354" s="65" t="n">
        <v>0</v>
      </c>
      <c r="H354" s="65" t="n">
        <v>0</v>
      </c>
      <c r="I354" s="68" t="n"/>
      <c r="J354" s="68" t="n">
        <v>0</v>
      </c>
      <c r="K354" s="68" t="n">
        <v>0</v>
      </c>
      <c r="L354" s="68" t="n"/>
      <c r="M354" s="68" t="n">
        <v>0</v>
      </c>
      <c r="N354" s="68" t="n">
        <v>0</v>
      </c>
      <c r="O354" s="68" t="n"/>
      <c r="P354" s="68" t="n"/>
      <c r="Q354" s="68" t="n"/>
      <c r="R354" s="68" t="inlineStr">
        <is>
          <t>https://github.com/DLu/oscar_data</t>
        </is>
      </c>
    </row>
  </sheetData>
  <mergeCells count="2">
    <mergeCell ref="A2:R2"/>
    <mergeCell ref="A1:R1"/>
  </mergeCells>
  <conditionalFormatting sqref="E5:E354">
    <cfRule type="dataBar" priority="1">
      <dataBar>
        <cfvo type="min"/>
        <cfvo type="max"/>
        <color rgb="FFD7B56D"/>
      </dataBar>
    </cfRule>
  </conditionalFormatting>
  <conditionalFormatting sqref="F5:F354">
    <cfRule type="expression" priority="2" dxfId="4">
      <formula>F5="Winner"</formula>
    </cfRule>
    <cfRule type="expression" priority="3" dxfId="5">
      <formula>F5="Nominated"</formula>
    </cfRule>
  </conditionalFormatting>
  <conditionalFormatting sqref="O5:O354">
    <cfRule type="expression" priority="4" dxfId="4">
      <formula>O5="Winner"</formula>
    </cfRule>
  </conditionalFormatting>
  <pageMargins left="0.7" right="0.7" top="0.75" bottom="0.75" header="0.3" footer="0.3"/>
  <tableParts count="1">
    <tablePart xmlns:r="http://schemas.openxmlformats.org/officeDocument/2006/relationships" r:id="rId1"/>
  </tableParts>
</worksheet>
</file>

<file path=xl/worksheets/sheet8.xml><?xml version="1.0" encoding="utf-8"?>
<worksheet xmlns="http://schemas.openxmlformats.org/spreadsheetml/2006/main">
  <sheetPr>
    <outlinePr summaryBelow="1" summaryRight="1"/>
    <pageSetUpPr/>
  </sheetPr>
  <dimension ref="A1:R500"/>
  <sheetViews>
    <sheetView workbookViewId="0">
      <selection activeCell="A1" sqref="A1"/>
    </sheetView>
  </sheetViews>
  <sheetFormatPr baseColWidth="8" defaultRowHeight="15"/>
  <cols>
    <col width="10" customWidth="1" style="95" min="1" max="1"/>
    <col width="39" customWidth="1" style="95" min="2" max="2"/>
    <col width="8" customWidth="1" style="95" min="3" max="3"/>
    <col width="13" customWidth="1" style="95" min="4" max="4"/>
    <col width="10" customWidth="1" style="95" min="5" max="5"/>
    <col width="13" customWidth="1" style="95" min="6" max="6"/>
    <col width="12" customWidth="1" style="95" min="7" max="8"/>
    <col width="13" customWidth="1" style="95" min="9" max="9"/>
    <col width="14" customWidth="1" style="95" min="10" max="10"/>
    <col width="10" customWidth="1" style="95" min="11" max="11"/>
    <col width="14" customWidth="1" style="95" min="12" max="14"/>
    <col width="35" customWidth="1" style="95" min="15" max="15"/>
    <col width="37" customWidth="1" style="95" min="16" max="16"/>
    <col width="34" customWidth="1" style="95" min="17" max="17"/>
    <col width="35" customWidth="1" style="95" min="18" max="18"/>
  </cols>
  <sheetData>
    <row r="1" ht="23.25" customHeight="1" s="95">
      <c r="A1" s="99" t="inlineStr">
        <is>
          <t>⭐ RATINGS</t>
        </is>
      </c>
    </row>
    <row r="2">
      <c r="A2" s="100" t="inlineStr">
        <is>
          <t>One row per film. External scores are snapshots rather than live formulas; the search links make future checking/updating quick and keep the workbook reliable.</t>
        </is>
      </c>
    </row>
    <row r="4" ht="30" customHeight="1" s="95">
      <c r="A4" s="81" t="inlineStr">
        <is>
          <t>Film ID</t>
        </is>
      </c>
      <c r="B4" s="81" t="inlineStr">
        <is>
          <t>Title</t>
        </is>
      </c>
      <c r="C4" s="81" t="inlineStr">
        <is>
          <t>Year</t>
        </is>
      </c>
      <c r="D4" s="81" t="inlineStr">
        <is>
          <t>Your Rating /5</t>
        </is>
      </c>
      <c r="E4" s="81" t="inlineStr">
        <is>
          <t>IMDb /10</t>
        </is>
      </c>
      <c r="F4" s="81" t="inlineStr">
        <is>
          <t>IMDb Votes</t>
        </is>
      </c>
      <c r="G4" s="81" t="inlineStr">
        <is>
          <t>RT Critics %</t>
        </is>
      </c>
      <c r="H4" s="81" t="inlineStr">
        <is>
          <t>RT Audience %</t>
        </is>
      </c>
      <c r="I4" s="81" t="inlineStr">
        <is>
          <t>Letterboxd /5</t>
        </is>
      </c>
      <c r="J4" s="81" t="inlineStr">
        <is>
          <t>Metacritic /100</t>
        </is>
      </c>
      <c r="K4" s="81" t="inlineStr">
        <is>
          <t>TMDb /10</t>
        </is>
      </c>
      <c r="L4" s="81" t="inlineStr">
        <is>
          <t>Consensus /100</t>
        </is>
      </c>
      <c r="M4" s="81" t="inlineStr">
        <is>
          <t>Rating Status</t>
        </is>
      </c>
      <c r="N4" s="81" t="inlineStr">
        <is>
          <t>Last Checked</t>
        </is>
      </c>
      <c r="O4" s="81" t="inlineStr">
        <is>
          <t>IMDb Lookup</t>
        </is>
      </c>
      <c r="P4" s="81" t="inlineStr">
        <is>
          <t>Rotten Tomatoes Lookup</t>
        </is>
      </c>
      <c r="Q4" s="81" t="inlineStr">
        <is>
          <t>Letterboxd Lookup</t>
        </is>
      </c>
      <c r="R4" s="81" t="inlineStr">
        <is>
          <t>Metacritic Lookup</t>
        </is>
      </c>
    </row>
    <row r="5">
      <c r="A5" t="inlineStr">
        <is>
          <t>F0001</t>
        </is>
      </c>
      <c r="B5" t="inlineStr">
        <is>
          <t>Casino Royale</t>
        </is>
      </c>
      <c r="C5" s="63" t="inlineStr">
        <is>
          <t>2006</t>
        </is>
      </c>
      <c r="E5" s="82" t="n"/>
      <c r="F5" s="85" t="n"/>
      <c r="G5" s="71" t="n"/>
      <c r="H5" s="71" t="n"/>
      <c r="I5" s="83" t="n"/>
      <c r="J5" s="71" t="n"/>
      <c r="K5" s="82" t="n"/>
      <c r="L5" s="82">
        <f>IF(COUNT(E5,G5,H5,I5,J5,K5)=0,"",ROUND((IF(E5="",0,E5*10)+IF(G5="",0,G5)+IF(H5="",0,H5)+IF(I5="",0,I5*20)+IF(J5="",0,J5)+IF(K5="",0,K5*10))/COUNT(E5,G5,H5,I5,J5,K5),1))</f>
        <v/>
      </c>
      <c r="M5">
        <f>IF(L5="","",IF(L5&gt;=85,"Excellent",IF(L5&gt;=70,"Good",IF(L5&gt;=55,"Mixed","Poor"))))</f>
        <v/>
      </c>
      <c r="N5" s="66" t="n"/>
      <c r="O5" t="inlineStr">
        <is>
          <t>https://www.imdb.com/find/?q=Casino+Royale+2006</t>
        </is>
      </c>
      <c r="P5" t="inlineStr">
        <is>
          <t>https://www.rottentomatoes.com/search?search=Casino+Royale</t>
        </is>
      </c>
      <c r="Q5" t="inlineStr">
        <is>
          <t>https://letterboxd.com/search/Casino%20Royale/</t>
        </is>
      </c>
      <c r="R5" t="inlineStr">
        <is>
          <t>https://www.metacritic.com/search/Casino+Royale/</t>
        </is>
      </c>
    </row>
    <row r="6">
      <c r="A6" t="inlineStr">
        <is>
          <t>F0002</t>
        </is>
      </c>
      <c r="B6" t="inlineStr">
        <is>
          <t>Quantum of Solace</t>
        </is>
      </c>
      <c r="C6" s="63" t="inlineStr">
        <is>
          <t>2008</t>
        </is>
      </c>
      <c r="E6" s="82" t="n"/>
      <c r="F6" s="85" t="n"/>
      <c r="G6" s="71" t="n"/>
      <c r="H6" s="71" t="n"/>
      <c r="I6" s="83" t="n"/>
      <c r="J6" s="71" t="n"/>
      <c r="K6" s="82" t="n"/>
      <c r="L6" s="82">
        <f>IF(COUNT(E6,G6,H6,I6,J6,K6)=0,"",ROUND((IF(E6="",0,E6*10)+IF(G6="",0,G6)+IF(H6="",0,H6)+IF(I6="",0,I6*20)+IF(J6="",0,J6)+IF(K6="",0,K6*10))/COUNT(E6,G6,H6,I6,J6,K6),1))</f>
        <v/>
      </c>
      <c r="M6">
        <f>IF(L6="","",IF(L6&gt;=85,"Excellent",IF(L6&gt;=70,"Good",IF(L6&gt;=55,"Mixed","Poor"))))</f>
        <v/>
      </c>
      <c r="N6" s="66" t="n"/>
      <c r="O6" t="inlineStr">
        <is>
          <t>https://www.imdb.com/find/?q=Quantum+of+Solace+2008</t>
        </is>
      </c>
      <c r="P6" t="inlineStr">
        <is>
          <t>https://www.rottentomatoes.com/search?search=Quantum+of+Solace</t>
        </is>
      </c>
      <c r="Q6" t="inlineStr">
        <is>
          <t>https://letterboxd.com/search/Quantum%20of%20Solace/</t>
        </is>
      </c>
      <c r="R6" t="inlineStr">
        <is>
          <t>https://www.metacritic.com/search/Quantum+of+Solace/</t>
        </is>
      </c>
    </row>
    <row r="7">
      <c r="A7" t="inlineStr">
        <is>
          <t>F0003</t>
        </is>
      </c>
      <c r="B7" t="inlineStr">
        <is>
          <t>Skyfall</t>
        </is>
      </c>
      <c r="C7" s="63" t="inlineStr">
        <is>
          <t>2012</t>
        </is>
      </c>
      <c r="E7" s="82" t="n"/>
      <c r="F7" s="85" t="n"/>
      <c r="G7" s="71" t="n"/>
      <c r="H7" s="71" t="n"/>
      <c r="I7" s="83" t="n"/>
      <c r="J7" s="71" t="n"/>
      <c r="K7" s="82" t="n"/>
      <c r="L7" s="82">
        <f>IF(COUNT(E7,G7,H7,I7,J7,K7)=0,"",ROUND((IF(E7="",0,E7*10)+IF(G7="",0,G7)+IF(H7="",0,H7)+IF(I7="",0,I7*20)+IF(J7="",0,J7)+IF(K7="",0,K7*10))/COUNT(E7,G7,H7,I7,J7,K7),1))</f>
        <v/>
      </c>
      <c r="M7">
        <f>IF(L7="","",IF(L7&gt;=85,"Excellent",IF(L7&gt;=70,"Good",IF(L7&gt;=55,"Mixed","Poor"))))</f>
        <v/>
      </c>
      <c r="N7" s="66" t="n"/>
      <c r="O7" t="inlineStr">
        <is>
          <t>https://www.imdb.com/find/?q=Skyfall+2012</t>
        </is>
      </c>
      <c r="P7" t="inlineStr">
        <is>
          <t>https://www.rottentomatoes.com/search?search=Skyfall</t>
        </is>
      </c>
      <c r="Q7" t="inlineStr">
        <is>
          <t>https://letterboxd.com/search/Skyfall/</t>
        </is>
      </c>
      <c r="R7" t="inlineStr">
        <is>
          <t>https://www.metacritic.com/search/Skyfall/</t>
        </is>
      </c>
    </row>
    <row r="8">
      <c r="A8" t="inlineStr">
        <is>
          <t>F0004</t>
        </is>
      </c>
      <c r="B8" t="inlineStr">
        <is>
          <t>Spectre</t>
        </is>
      </c>
      <c r="C8" s="63" t="inlineStr">
        <is>
          <t>2015</t>
        </is>
      </c>
      <c r="E8" s="82" t="n"/>
      <c r="F8" s="85" t="n"/>
      <c r="G8" s="71" t="n"/>
      <c r="H8" s="71" t="n"/>
      <c r="I8" s="83" t="n"/>
      <c r="J8" s="71" t="n"/>
      <c r="K8" s="82" t="n"/>
      <c r="L8" s="82">
        <f>IF(COUNT(E8,G8,H8,I8,J8,K8)=0,"",ROUND((IF(E8="",0,E8*10)+IF(G8="",0,G8)+IF(H8="",0,H8)+IF(I8="",0,I8*20)+IF(J8="",0,J8)+IF(K8="",0,K8*10))/COUNT(E8,G8,H8,I8,J8,K8),1))</f>
        <v/>
      </c>
      <c r="M8">
        <f>IF(L8="","",IF(L8&gt;=85,"Excellent",IF(L8&gt;=70,"Good",IF(L8&gt;=55,"Mixed","Poor"))))</f>
        <v/>
      </c>
      <c r="N8" s="66" t="n"/>
      <c r="O8" t="inlineStr">
        <is>
          <t>https://www.imdb.com/find/?q=Spectre+2015</t>
        </is>
      </c>
      <c r="P8" t="inlineStr">
        <is>
          <t>https://www.rottentomatoes.com/search?search=Spectre</t>
        </is>
      </c>
      <c r="Q8" t="inlineStr">
        <is>
          <t>https://letterboxd.com/search/Spectre/</t>
        </is>
      </c>
      <c r="R8" t="inlineStr">
        <is>
          <t>https://www.metacritic.com/search/Spectre/</t>
        </is>
      </c>
    </row>
    <row r="9">
      <c r="A9" t="inlineStr">
        <is>
          <t>F0005</t>
        </is>
      </c>
      <c r="B9" t="inlineStr">
        <is>
          <t>No Time to Die</t>
        </is>
      </c>
      <c r="C9" s="63" t="inlineStr">
        <is>
          <t>2021</t>
        </is>
      </c>
      <c r="E9" s="82" t="n"/>
      <c r="F9" s="85" t="n"/>
      <c r="G9" s="71" t="n"/>
      <c r="H9" s="71" t="n"/>
      <c r="I9" s="83" t="n"/>
      <c r="J9" s="71" t="n"/>
      <c r="K9" s="82" t="n"/>
      <c r="L9" s="82">
        <f>IF(COUNT(E9,G9,H9,I9,J9,K9)=0,"",ROUND((IF(E9="",0,E9*10)+IF(G9="",0,G9)+IF(H9="",0,H9)+IF(I9="",0,I9*20)+IF(J9="",0,J9)+IF(K9="",0,K9*10))/COUNT(E9,G9,H9,I9,J9,K9),1))</f>
        <v/>
      </c>
      <c r="M9">
        <f>IF(L9="","",IF(L9&gt;=85,"Excellent",IF(L9&gt;=70,"Good",IF(L9&gt;=55,"Mixed","Poor"))))</f>
        <v/>
      </c>
      <c r="N9" s="66" t="n"/>
      <c r="O9" t="inlineStr">
        <is>
          <t>https://www.imdb.com/find/?q=No+Time+to+Die+2021</t>
        </is>
      </c>
      <c r="P9" t="inlineStr">
        <is>
          <t>https://www.rottentomatoes.com/search?search=No+Time+to+Die</t>
        </is>
      </c>
      <c r="Q9" t="inlineStr">
        <is>
          <t>https://letterboxd.com/search/No%20Time%20to%20Die/</t>
        </is>
      </c>
      <c r="R9" t="inlineStr">
        <is>
          <t>https://www.metacritic.com/search/No+Time+to+Die/</t>
        </is>
      </c>
    </row>
    <row r="10">
      <c r="A10" t="inlineStr">
        <is>
          <t>F0006</t>
        </is>
      </c>
      <c r="B10" t="inlineStr">
        <is>
          <t>2012</t>
        </is>
      </c>
      <c r="C10" s="63" t="inlineStr">
        <is>
          <t>2009</t>
        </is>
      </c>
      <c r="E10" s="82" t="n"/>
      <c r="F10" s="85" t="n"/>
      <c r="G10" s="71" t="n"/>
      <c r="H10" s="71" t="n"/>
      <c r="I10" s="83" t="n"/>
      <c r="J10" s="71" t="n"/>
      <c r="K10" s="82" t="n"/>
      <c r="L10" s="82">
        <f>IF(COUNT(E10,G10,H10,I10,J10,K10)=0,"",ROUND((IF(E10="",0,E10*10)+IF(G10="",0,G10)+IF(H10="",0,H10)+IF(I10="",0,I10*20)+IF(J10="",0,J10)+IF(K10="",0,K10*10))/COUNT(E10,G10,H10,I10,J10,K10),1))</f>
        <v/>
      </c>
      <c r="M10">
        <f>IF(L10="","",IF(L10&gt;=85,"Excellent",IF(L10&gt;=70,"Good",IF(L10&gt;=55,"Mixed","Poor"))))</f>
        <v/>
      </c>
      <c r="N10" s="66" t="n"/>
      <c r="O10" t="inlineStr">
        <is>
          <t>https://www.imdb.com/find/?q=2012+2009</t>
        </is>
      </c>
      <c r="P10" t="inlineStr">
        <is>
          <t>https://www.rottentomatoes.com/search?search=2012</t>
        </is>
      </c>
      <c r="Q10" t="inlineStr">
        <is>
          <t>https://letterboxd.com/search/2012/</t>
        </is>
      </c>
      <c r="R10" t="inlineStr">
        <is>
          <t>https://www.metacritic.com/search/2012/</t>
        </is>
      </c>
    </row>
    <row r="11">
      <c r="A11" t="inlineStr">
        <is>
          <t>F0007</t>
        </is>
      </c>
      <c r="B11" t="inlineStr">
        <is>
          <t>21 Jump Street</t>
        </is>
      </c>
      <c r="C11" s="63" t="inlineStr">
        <is>
          <t>2012</t>
        </is>
      </c>
      <c r="D11" t="n">
        <v>4</v>
      </c>
      <c r="E11" s="82" t="n"/>
      <c r="F11" s="85" t="n"/>
      <c r="G11" s="71" t="n"/>
      <c r="H11" s="71" t="n"/>
      <c r="I11" s="83" t="n"/>
      <c r="J11" s="71" t="n"/>
      <c r="K11" s="82" t="n"/>
      <c r="L11" s="82">
        <f>IF(COUNT(E11,G11,H11,I11,J11,K11)=0,"",ROUND((IF(E11="",0,E11*10)+IF(G11="",0,G11)+IF(H11="",0,H11)+IF(I11="",0,I11*20)+IF(J11="",0,J11)+IF(K11="",0,K11*10))/COUNT(E11,G11,H11,I11,J11,K11),1))</f>
        <v/>
      </c>
      <c r="M11">
        <f>IF(L11="","",IF(L11&gt;=85,"Excellent",IF(L11&gt;=70,"Good",IF(L11&gt;=55,"Mixed","Poor"))))</f>
        <v/>
      </c>
      <c r="N11" s="66" t="n"/>
      <c r="O11" t="inlineStr">
        <is>
          <t>https://www.imdb.com/find/?q=21+Jump+Street+2012</t>
        </is>
      </c>
      <c r="P11" t="inlineStr">
        <is>
          <t>https://www.rottentomatoes.com/search?search=21+Jump+Street</t>
        </is>
      </c>
      <c r="Q11" t="inlineStr">
        <is>
          <t>https://letterboxd.com/search/21%20Jump%20Street/</t>
        </is>
      </c>
      <c r="R11" t="inlineStr">
        <is>
          <t>https://www.metacritic.com/search/21+Jump+Street/</t>
        </is>
      </c>
    </row>
    <row r="12">
      <c r="A12" t="inlineStr">
        <is>
          <t>F0008</t>
        </is>
      </c>
      <c r="B12" t="inlineStr">
        <is>
          <t>22 Jump Street</t>
        </is>
      </c>
      <c r="C12" s="63" t="inlineStr">
        <is>
          <t>2014</t>
        </is>
      </c>
      <c r="E12" s="82" t="n"/>
      <c r="F12" s="85" t="n"/>
      <c r="G12" s="71" t="n"/>
      <c r="H12" s="71" t="n"/>
      <c r="I12" s="83" t="n"/>
      <c r="J12" s="71" t="n"/>
      <c r="K12" s="82" t="n"/>
      <c r="L12" s="82">
        <f>IF(COUNT(E12,G12,H12,I12,J12,K12)=0,"",ROUND((IF(E12="",0,E12*10)+IF(G12="",0,G12)+IF(H12="",0,H12)+IF(I12="",0,I12*20)+IF(J12="",0,J12)+IF(K12="",0,K12*10))/COUNT(E12,G12,H12,I12,J12,K12),1))</f>
        <v/>
      </c>
      <c r="M12">
        <f>IF(L12="","",IF(L12&gt;=85,"Excellent",IF(L12&gt;=70,"Good",IF(L12&gt;=55,"Mixed","Poor"))))</f>
        <v/>
      </c>
      <c r="N12" s="66" t="n"/>
      <c r="O12" t="inlineStr">
        <is>
          <t>https://www.imdb.com/find/?q=22+Jump+Street+2014</t>
        </is>
      </c>
      <c r="P12" t="inlineStr">
        <is>
          <t>https://www.rottentomatoes.com/search?search=22+Jump+Street</t>
        </is>
      </c>
      <c r="Q12" t="inlineStr">
        <is>
          <t>https://letterboxd.com/search/22%20Jump%20Street/</t>
        </is>
      </c>
      <c r="R12" t="inlineStr">
        <is>
          <t>https://www.metacritic.com/search/22+Jump+Street/</t>
        </is>
      </c>
    </row>
    <row r="13">
      <c r="A13" t="inlineStr">
        <is>
          <t>F0009</t>
        </is>
      </c>
      <c r="B13" t="inlineStr">
        <is>
          <t>30 Minutes or Less</t>
        </is>
      </c>
      <c r="C13" s="63" t="inlineStr">
        <is>
          <t>2011</t>
        </is>
      </c>
      <c r="E13" s="82" t="n"/>
      <c r="F13" s="85" t="n"/>
      <c r="G13" s="71" t="n"/>
      <c r="H13" s="71" t="n"/>
      <c r="I13" s="83" t="n"/>
      <c r="J13" s="71" t="n"/>
      <c r="K13" s="82" t="n"/>
      <c r="L13" s="82">
        <f>IF(COUNT(E13,G13,H13,I13,J13,K13)=0,"",ROUND((IF(E13="",0,E13*10)+IF(G13="",0,G13)+IF(H13="",0,H13)+IF(I13="",0,I13*20)+IF(J13="",0,J13)+IF(K13="",0,K13*10))/COUNT(E13,G13,H13,I13,J13,K13),1))</f>
        <v/>
      </c>
      <c r="M13">
        <f>IF(L13="","",IF(L13&gt;=85,"Excellent",IF(L13&gt;=70,"Good",IF(L13&gt;=55,"Mixed","Poor"))))</f>
        <v/>
      </c>
      <c r="N13" s="66" t="n"/>
      <c r="O13" t="inlineStr">
        <is>
          <t>https://www.imdb.com/find/?q=30+Minutes+or+Less+2011</t>
        </is>
      </c>
      <c r="P13" t="inlineStr">
        <is>
          <t>https://www.rottentomatoes.com/search?search=30+Minutes+or+Less</t>
        </is>
      </c>
      <c r="Q13" t="inlineStr">
        <is>
          <t>https://letterboxd.com/search/30%20Minutes%20or%20Less/</t>
        </is>
      </c>
      <c r="R13" t="inlineStr">
        <is>
          <t>https://www.metacritic.com/search/30+Minutes+or+Less/</t>
        </is>
      </c>
    </row>
    <row r="14">
      <c r="A14" t="inlineStr">
        <is>
          <t>F0010</t>
        </is>
      </c>
      <c r="B14" t="inlineStr">
        <is>
          <t>44 Inch Chest</t>
        </is>
      </c>
      <c r="C14" s="63" t="inlineStr">
        <is>
          <t>2009</t>
        </is>
      </c>
      <c r="E14" s="82" t="n"/>
      <c r="F14" s="85" t="n"/>
      <c r="G14" s="71" t="n"/>
      <c r="H14" s="71" t="n"/>
      <c r="I14" s="83" t="n"/>
      <c r="J14" s="71" t="n"/>
      <c r="K14" s="82" t="n"/>
      <c r="L14" s="82">
        <f>IF(COUNT(E14,G14,H14,I14,J14,K14)=0,"",ROUND((IF(E14="",0,E14*10)+IF(G14="",0,G14)+IF(H14="",0,H14)+IF(I14="",0,I14*20)+IF(J14="",0,J14)+IF(K14="",0,K14*10))/COUNT(E14,G14,H14,I14,J14,K14),1))</f>
        <v/>
      </c>
      <c r="M14">
        <f>IF(L14="","",IF(L14&gt;=85,"Excellent",IF(L14&gt;=70,"Good",IF(L14&gt;=55,"Mixed","Poor"))))</f>
        <v/>
      </c>
      <c r="N14" s="66" t="n"/>
      <c r="O14" t="inlineStr">
        <is>
          <t>https://www.imdb.com/find/?q=44+Inch+Chest+2009</t>
        </is>
      </c>
      <c r="P14" t="inlineStr">
        <is>
          <t>https://www.rottentomatoes.com/search?search=44+Inch+Chest</t>
        </is>
      </c>
      <c r="Q14" t="inlineStr">
        <is>
          <t>https://letterboxd.com/search/44%20Inch%20Chest/</t>
        </is>
      </c>
      <c r="R14" t="inlineStr">
        <is>
          <t>https://www.metacritic.com/search/44+Inch+Chest/</t>
        </is>
      </c>
    </row>
    <row r="15">
      <c r="A15" t="inlineStr">
        <is>
          <t>F0011</t>
        </is>
      </c>
      <c r="B15" t="inlineStr">
        <is>
          <t>50/50</t>
        </is>
      </c>
      <c r="C15" s="63" t="inlineStr">
        <is>
          <t>2011</t>
        </is>
      </c>
      <c r="E15" s="82" t="n"/>
      <c r="F15" s="85" t="n"/>
      <c r="G15" s="71" t="n"/>
      <c r="H15" s="71" t="n"/>
      <c r="I15" s="83" t="n"/>
      <c r="J15" s="71" t="n"/>
      <c r="K15" s="82" t="n"/>
      <c r="L15" s="82">
        <f>IF(COUNT(E15,G15,H15,I15,J15,K15)=0,"",ROUND((IF(E15="",0,E15*10)+IF(G15="",0,G15)+IF(H15="",0,H15)+IF(I15="",0,I15*20)+IF(J15="",0,J15)+IF(K15="",0,K15*10))/COUNT(E15,G15,H15,I15,J15,K15),1))</f>
        <v/>
      </c>
      <c r="M15">
        <f>IF(L15="","",IF(L15&gt;=85,"Excellent",IF(L15&gt;=70,"Good",IF(L15&gt;=55,"Mixed","Poor"))))</f>
        <v/>
      </c>
      <c r="N15" s="66" t="n"/>
      <c r="O15" t="inlineStr">
        <is>
          <t>https://www.imdb.com/find/?q=50%2F50+2011</t>
        </is>
      </c>
      <c r="P15" t="inlineStr">
        <is>
          <t>https://www.rottentomatoes.com/search?search=50%2F50</t>
        </is>
      </c>
      <c r="Q15" t="inlineStr">
        <is>
          <t>https://letterboxd.com/search/50/50/</t>
        </is>
      </c>
      <c r="R15" t="inlineStr">
        <is>
          <t>https://www.metacritic.com/search/50%2F50/</t>
        </is>
      </c>
    </row>
    <row r="16">
      <c r="A16" t="inlineStr">
        <is>
          <t>F0012</t>
        </is>
      </c>
      <c r="B16" t="inlineStr">
        <is>
          <t>A Bug's Life</t>
        </is>
      </c>
      <c r="C16" s="63" t="inlineStr">
        <is>
          <t>1998</t>
        </is>
      </c>
      <c r="D16" t="n">
        <v>4</v>
      </c>
      <c r="E16" s="82" t="n"/>
      <c r="F16" s="85" t="n"/>
      <c r="G16" s="71" t="n"/>
      <c r="H16" s="71" t="n"/>
      <c r="I16" s="83" t="n"/>
      <c r="J16" s="71" t="n"/>
      <c r="K16" s="82" t="n"/>
      <c r="L16" s="82">
        <f>IF(COUNT(E16,G16,H16,I16,J16,K16)=0,"",ROUND((IF(E16="",0,E16*10)+IF(G16="",0,G16)+IF(H16="",0,H16)+IF(I16="",0,I16*20)+IF(J16="",0,J16)+IF(K16="",0,K16*10))/COUNT(E16,G16,H16,I16,J16,K16),1))</f>
        <v/>
      </c>
      <c r="M16">
        <f>IF(L16="","",IF(L16&gt;=85,"Excellent",IF(L16&gt;=70,"Good",IF(L16&gt;=55,"Mixed","Poor"))))</f>
        <v/>
      </c>
      <c r="N16" s="66" t="n"/>
      <c r="O16" t="inlineStr">
        <is>
          <t>https://www.imdb.com/find/?q=A+Bug%27s+Life+1998</t>
        </is>
      </c>
      <c r="P16" t="inlineStr">
        <is>
          <t>https://www.rottentomatoes.com/search?search=A+Bug%27s+Life</t>
        </is>
      </c>
      <c r="Q16" t="inlineStr">
        <is>
          <t>https://letterboxd.com/search/A%20Bug%27s%20Life/</t>
        </is>
      </c>
      <c r="R16" t="inlineStr">
        <is>
          <t>https://www.metacritic.com/search/A+Bug%27s+Life/</t>
        </is>
      </c>
    </row>
    <row r="17">
      <c r="A17" t="inlineStr">
        <is>
          <t>F0013</t>
        </is>
      </c>
      <c r="B17" t="inlineStr">
        <is>
          <t>The Accountant</t>
        </is>
      </c>
      <c r="C17" s="63" t="inlineStr">
        <is>
          <t>2016</t>
        </is>
      </c>
      <c r="E17" s="82" t="n"/>
      <c r="F17" s="85" t="n"/>
      <c r="G17" s="71" t="n"/>
      <c r="H17" s="71" t="n"/>
      <c r="I17" s="83" t="n"/>
      <c r="J17" s="71" t="n"/>
      <c r="K17" s="82" t="n"/>
      <c r="L17" s="82">
        <f>IF(COUNT(E17,G17,H17,I17,J17,K17)=0,"",ROUND((IF(E17="",0,E17*10)+IF(G17="",0,G17)+IF(H17="",0,H17)+IF(I17="",0,I17*20)+IF(J17="",0,J17)+IF(K17="",0,K17*10))/COUNT(E17,G17,H17,I17,J17,K17),1))</f>
        <v/>
      </c>
      <c r="M17">
        <f>IF(L17="","",IF(L17&gt;=85,"Excellent",IF(L17&gt;=70,"Good",IF(L17&gt;=55,"Mixed","Poor"))))</f>
        <v/>
      </c>
      <c r="N17" s="66" t="n"/>
      <c r="O17" t="inlineStr">
        <is>
          <t>https://www.imdb.com/find/?q=The+Accountant+2016</t>
        </is>
      </c>
      <c r="P17" t="inlineStr">
        <is>
          <t>https://www.rottentomatoes.com/search?search=The+Accountant</t>
        </is>
      </c>
      <c r="Q17" t="inlineStr">
        <is>
          <t>https://letterboxd.com/search/The%20Accountant/</t>
        </is>
      </c>
      <c r="R17" t="inlineStr">
        <is>
          <t>https://www.metacritic.com/search/The+Accountant/</t>
        </is>
      </c>
    </row>
    <row r="18">
      <c r="A18" t="inlineStr">
        <is>
          <t>F0014</t>
        </is>
      </c>
      <c r="B18" t="inlineStr">
        <is>
          <t>Alan Partridge: Alpha Papa</t>
        </is>
      </c>
      <c r="C18" s="63" t="inlineStr">
        <is>
          <t>2013</t>
        </is>
      </c>
      <c r="E18" s="82" t="n"/>
      <c r="F18" s="85" t="n"/>
      <c r="G18" s="71" t="n"/>
      <c r="H18" s="71" t="n"/>
      <c r="I18" s="83" t="n"/>
      <c r="J18" s="71" t="n"/>
      <c r="K18" s="82" t="n"/>
      <c r="L18" s="82">
        <f>IF(COUNT(E18,G18,H18,I18,J18,K18)=0,"",ROUND((IF(E18="",0,E18*10)+IF(G18="",0,G18)+IF(H18="",0,H18)+IF(I18="",0,I18*20)+IF(J18="",0,J18)+IF(K18="",0,K18*10))/COUNT(E18,G18,H18,I18,J18,K18),1))</f>
        <v/>
      </c>
      <c r="M18">
        <f>IF(L18="","",IF(L18&gt;=85,"Excellent",IF(L18&gt;=70,"Good",IF(L18&gt;=55,"Mixed","Poor"))))</f>
        <v/>
      </c>
      <c r="N18" s="66" t="n"/>
      <c r="O18" t="inlineStr">
        <is>
          <t>https://www.imdb.com/find/?q=Alan+Partridge%3A+Alpha+Papa+2013</t>
        </is>
      </c>
      <c r="P18" t="inlineStr">
        <is>
          <t>https://www.rottentomatoes.com/search?search=Alan+Partridge%3A+Alpha+Papa</t>
        </is>
      </c>
      <c r="Q18" t="inlineStr">
        <is>
          <t>https://letterboxd.com/search/Alan%20Partridge%3A%20Alpha%20Papa/</t>
        </is>
      </c>
      <c r="R18" t="inlineStr">
        <is>
          <t>https://www.metacritic.com/search/Alan+Partridge%3A+Alpha+Papa/</t>
        </is>
      </c>
    </row>
    <row r="19">
      <c r="A19" t="inlineStr">
        <is>
          <t>F0015</t>
        </is>
      </c>
      <c r="B19" t="inlineStr">
        <is>
          <t>Alien</t>
        </is>
      </c>
      <c r="C19" s="63" t="inlineStr">
        <is>
          <t>1979</t>
        </is>
      </c>
      <c r="E19" s="82" t="n"/>
      <c r="F19" s="85" t="n"/>
      <c r="G19" s="71" t="n"/>
      <c r="H19" s="71" t="n"/>
      <c r="I19" s="83" t="n"/>
      <c r="J19" s="71" t="n"/>
      <c r="K19" s="82" t="n"/>
      <c r="L19" s="82">
        <f>IF(COUNT(E19,G19,H19,I19,J19,K19)=0,"",ROUND((IF(E19="",0,E19*10)+IF(G19="",0,G19)+IF(H19="",0,H19)+IF(I19="",0,I19*20)+IF(J19="",0,J19)+IF(K19="",0,K19*10))/COUNT(E19,G19,H19,I19,J19,K19),1))</f>
        <v/>
      </c>
      <c r="M19">
        <f>IF(L19="","",IF(L19&gt;=85,"Excellent",IF(L19&gt;=70,"Good",IF(L19&gt;=55,"Mixed","Poor"))))</f>
        <v/>
      </c>
      <c r="N19" s="66" t="n"/>
      <c r="O19" t="inlineStr">
        <is>
          <t>https://www.imdb.com/find/?q=Alien+1979</t>
        </is>
      </c>
      <c r="P19" t="inlineStr">
        <is>
          <t>https://www.rottentomatoes.com/search?search=Alien</t>
        </is>
      </c>
      <c r="Q19" t="inlineStr">
        <is>
          <t>https://letterboxd.com/search/Alien/</t>
        </is>
      </c>
      <c r="R19" t="inlineStr">
        <is>
          <t>https://www.metacritic.com/search/Alien/</t>
        </is>
      </c>
    </row>
    <row r="20">
      <c r="A20" t="inlineStr">
        <is>
          <t>F0016</t>
        </is>
      </c>
      <c r="B20" t="inlineStr">
        <is>
          <t>Aliens</t>
        </is>
      </c>
      <c r="C20" s="63" t="inlineStr">
        <is>
          <t>1986</t>
        </is>
      </c>
      <c r="E20" s="82" t="n"/>
      <c r="F20" s="85" t="n"/>
      <c r="G20" s="71" t="n"/>
      <c r="H20" s="71" t="n"/>
      <c r="I20" s="83" t="n"/>
      <c r="J20" s="71" t="n"/>
      <c r="K20" s="82" t="n"/>
      <c r="L20" s="82">
        <f>IF(COUNT(E20,G20,H20,I20,J20,K20)=0,"",ROUND((IF(E20="",0,E20*10)+IF(G20="",0,G20)+IF(H20="",0,H20)+IF(I20="",0,I20*20)+IF(J20="",0,J20)+IF(K20="",0,K20*10))/COUNT(E20,G20,H20,I20,J20,K20),1))</f>
        <v/>
      </c>
      <c r="M20">
        <f>IF(L20="","",IF(L20&gt;=85,"Excellent",IF(L20&gt;=70,"Good",IF(L20&gt;=55,"Mixed","Poor"))))</f>
        <v/>
      </c>
      <c r="N20" s="66" t="n"/>
      <c r="O20" t="inlineStr">
        <is>
          <t>https://www.imdb.com/find/?q=Aliens+1986</t>
        </is>
      </c>
      <c r="P20" t="inlineStr">
        <is>
          <t>https://www.rottentomatoes.com/search?search=Aliens</t>
        </is>
      </c>
      <c r="Q20" t="inlineStr">
        <is>
          <t>https://letterboxd.com/search/Aliens/</t>
        </is>
      </c>
      <c r="R20" t="inlineStr">
        <is>
          <t>https://www.metacritic.com/search/Aliens/</t>
        </is>
      </c>
    </row>
    <row r="21">
      <c r="A21" t="inlineStr">
        <is>
          <t>F0017</t>
        </is>
      </c>
      <c r="B21" t="inlineStr">
        <is>
          <t>Alien³</t>
        </is>
      </c>
      <c r="C21" s="63" t="inlineStr">
        <is>
          <t>1992</t>
        </is>
      </c>
      <c r="E21" s="82" t="n"/>
      <c r="F21" s="85" t="n"/>
      <c r="G21" s="71" t="n"/>
      <c r="H21" s="71" t="n"/>
      <c r="I21" s="83" t="n"/>
      <c r="J21" s="71" t="n"/>
      <c r="K21" s="82" t="n"/>
      <c r="L21" s="82">
        <f>IF(COUNT(E21,G21,H21,I21,J21,K21)=0,"",ROUND((IF(E21="",0,E21*10)+IF(G21="",0,G21)+IF(H21="",0,H21)+IF(I21="",0,I21*20)+IF(J21="",0,J21)+IF(K21="",0,K21*10))/COUNT(E21,G21,H21,I21,J21,K21),1))</f>
        <v/>
      </c>
      <c r="M21">
        <f>IF(L21="","",IF(L21&gt;=85,"Excellent",IF(L21&gt;=70,"Good",IF(L21&gt;=55,"Mixed","Poor"))))</f>
        <v/>
      </c>
      <c r="N21" s="66" t="n"/>
      <c r="O21" t="inlineStr">
        <is>
          <t>https://www.imdb.com/find/?q=Alien%C2%B3+1992</t>
        </is>
      </c>
      <c r="P21" t="inlineStr">
        <is>
          <t>https://www.rottentomatoes.com/search?search=Alien%C2%B3</t>
        </is>
      </c>
      <c r="Q21" t="inlineStr">
        <is>
          <t>https://letterboxd.com/search/Alien%C2%B3/</t>
        </is>
      </c>
      <c r="R21" t="inlineStr">
        <is>
          <t>https://www.metacritic.com/search/Alien%C2%B3/</t>
        </is>
      </c>
    </row>
    <row r="22">
      <c r="A22" t="inlineStr">
        <is>
          <t>F0018</t>
        </is>
      </c>
      <c r="B22" t="inlineStr">
        <is>
          <t>Alien Resurrection</t>
        </is>
      </c>
      <c r="C22" s="63" t="inlineStr">
        <is>
          <t>1997</t>
        </is>
      </c>
      <c r="E22" s="82" t="n"/>
      <c r="F22" s="85" t="n"/>
      <c r="G22" s="71" t="n"/>
      <c r="H22" s="71" t="n"/>
      <c r="I22" s="83" t="n"/>
      <c r="J22" s="71" t="n"/>
      <c r="K22" s="82" t="n"/>
      <c r="L22" s="82">
        <f>IF(COUNT(E22,G22,H22,I22,J22,K22)=0,"",ROUND((IF(E22="",0,E22*10)+IF(G22="",0,G22)+IF(H22="",0,H22)+IF(I22="",0,I22*20)+IF(J22="",0,J22)+IF(K22="",0,K22*10))/COUNT(E22,G22,H22,I22,J22,K22),1))</f>
        <v/>
      </c>
      <c r="M22">
        <f>IF(L22="","",IF(L22&gt;=85,"Excellent",IF(L22&gt;=70,"Good",IF(L22&gt;=55,"Mixed","Poor"))))</f>
        <v/>
      </c>
      <c r="N22" s="66" t="n"/>
      <c r="O22" t="inlineStr">
        <is>
          <t>https://www.imdb.com/find/?q=Alien+Resurrection+1997</t>
        </is>
      </c>
      <c r="P22" t="inlineStr">
        <is>
          <t>https://www.rottentomatoes.com/search?search=Alien+Resurrection</t>
        </is>
      </c>
      <c r="Q22" t="inlineStr">
        <is>
          <t>https://letterboxd.com/search/Alien%20Resurrection/</t>
        </is>
      </c>
      <c r="R22" t="inlineStr">
        <is>
          <t>https://www.metacritic.com/search/Alien+Resurrection/</t>
        </is>
      </c>
    </row>
    <row r="23">
      <c r="A23" t="inlineStr">
        <is>
          <t>F0019</t>
        </is>
      </c>
      <c r="B23" t="inlineStr">
        <is>
          <t>The Amazing Spider-Man</t>
        </is>
      </c>
      <c r="C23" s="63" t="inlineStr">
        <is>
          <t>2012</t>
        </is>
      </c>
      <c r="E23" s="82" t="n"/>
      <c r="F23" s="85" t="n"/>
      <c r="G23" s="71" t="n"/>
      <c r="H23" s="71" t="n"/>
      <c r="I23" s="83" t="n"/>
      <c r="J23" s="71" t="n"/>
      <c r="K23" s="82" t="n"/>
      <c r="L23" s="82">
        <f>IF(COUNT(E23,G23,H23,I23,J23,K23)=0,"",ROUND((IF(E23="",0,E23*10)+IF(G23="",0,G23)+IF(H23="",0,H23)+IF(I23="",0,I23*20)+IF(J23="",0,J23)+IF(K23="",0,K23*10))/COUNT(E23,G23,H23,I23,J23,K23),1))</f>
        <v/>
      </c>
      <c r="M23">
        <f>IF(L23="","",IF(L23&gt;=85,"Excellent",IF(L23&gt;=70,"Good",IF(L23&gt;=55,"Mixed","Poor"))))</f>
        <v/>
      </c>
      <c r="N23" s="66" t="n"/>
      <c r="O23" t="inlineStr">
        <is>
          <t>https://www.imdb.com/find/?q=The+Amazing+Spider-Man+2012</t>
        </is>
      </c>
      <c r="P23" t="inlineStr">
        <is>
          <t>https://www.rottentomatoes.com/search?search=The+Amazing+Spider-Man</t>
        </is>
      </c>
      <c r="Q23" t="inlineStr">
        <is>
          <t>https://letterboxd.com/search/The%20Amazing%20Spider-Man/</t>
        </is>
      </c>
      <c r="R23" t="inlineStr">
        <is>
          <t>https://www.metacritic.com/search/The+Amazing+Spider-Man/</t>
        </is>
      </c>
    </row>
    <row r="24">
      <c r="A24" t="inlineStr">
        <is>
          <t>F0020</t>
        </is>
      </c>
      <c r="B24" t="inlineStr">
        <is>
          <t>American Hustle</t>
        </is>
      </c>
      <c r="C24" s="63" t="inlineStr">
        <is>
          <t>2013</t>
        </is>
      </c>
      <c r="E24" s="82" t="n"/>
      <c r="F24" s="85" t="n"/>
      <c r="G24" s="71" t="n"/>
      <c r="H24" s="71" t="n"/>
      <c r="I24" s="83" t="n"/>
      <c r="J24" s="71" t="n"/>
      <c r="K24" s="82" t="n"/>
      <c r="L24" s="82">
        <f>IF(COUNT(E24,G24,H24,I24,J24,K24)=0,"",ROUND((IF(E24="",0,E24*10)+IF(G24="",0,G24)+IF(H24="",0,H24)+IF(I24="",0,I24*20)+IF(J24="",0,J24)+IF(K24="",0,K24*10))/COUNT(E24,G24,H24,I24,J24,K24),1))</f>
        <v/>
      </c>
      <c r="M24">
        <f>IF(L24="","",IF(L24&gt;=85,"Excellent",IF(L24&gt;=70,"Good",IF(L24&gt;=55,"Mixed","Poor"))))</f>
        <v/>
      </c>
      <c r="N24" s="66" t="n"/>
      <c r="O24" t="inlineStr">
        <is>
          <t>https://www.imdb.com/find/?q=American+Hustle+2013</t>
        </is>
      </c>
      <c r="P24" t="inlineStr">
        <is>
          <t>https://www.rottentomatoes.com/search?search=American+Hustle</t>
        </is>
      </c>
      <c r="Q24" t="inlineStr">
        <is>
          <t>https://letterboxd.com/search/American%20Hustle/</t>
        </is>
      </c>
      <c r="R24" t="inlineStr">
        <is>
          <t>https://www.metacritic.com/search/American+Hustle/</t>
        </is>
      </c>
    </row>
    <row r="25">
      <c r="A25" t="inlineStr">
        <is>
          <t>F0021</t>
        </is>
      </c>
      <c r="B25" t="inlineStr">
        <is>
          <t>A Million Ways to Die in the West</t>
        </is>
      </c>
      <c r="C25" s="63" t="inlineStr">
        <is>
          <t>2014</t>
        </is>
      </c>
      <c r="E25" s="82" t="n"/>
      <c r="F25" s="85" t="n"/>
      <c r="G25" s="71" t="n"/>
      <c r="H25" s="71" t="n"/>
      <c r="I25" s="83" t="n"/>
      <c r="J25" s="71" t="n"/>
      <c r="K25" s="82" t="n"/>
      <c r="L25" s="82">
        <f>IF(COUNT(E25,G25,H25,I25,J25,K25)=0,"",ROUND((IF(E25="",0,E25*10)+IF(G25="",0,G25)+IF(H25="",0,H25)+IF(I25="",0,I25*20)+IF(J25="",0,J25)+IF(K25="",0,K25*10))/COUNT(E25,G25,H25,I25,J25,K25),1))</f>
        <v/>
      </c>
      <c r="M25">
        <f>IF(L25="","",IF(L25&gt;=85,"Excellent",IF(L25&gt;=70,"Good",IF(L25&gt;=55,"Mixed","Poor"))))</f>
        <v/>
      </c>
      <c r="N25" s="66" t="n"/>
      <c r="O25" t="inlineStr">
        <is>
          <t>https://www.imdb.com/find/?q=A+Million+Ways+to+Die+in+the+West+2014</t>
        </is>
      </c>
      <c r="P25" t="inlineStr">
        <is>
          <t>https://www.rottentomatoes.com/search?search=A+Million+Ways+to+Die+in+the+West</t>
        </is>
      </c>
      <c r="Q25" t="inlineStr">
        <is>
          <t>https://letterboxd.com/search/A%20Million%20Ways%20to%20Die%20in%20the%20West/</t>
        </is>
      </c>
      <c r="R25" t="inlineStr">
        <is>
          <t>https://www.metacritic.com/search/A+Million+Ways+to+Die+in+the+West/</t>
        </is>
      </c>
    </row>
    <row r="26">
      <c r="A26" t="inlineStr">
        <is>
          <t>F0022</t>
        </is>
      </c>
      <c r="B26" t="inlineStr">
        <is>
          <t>Anchorman: The Legend of Ron Burgundy</t>
        </is>
      </c>
      <c r="C26" s="63" t="inlineStr">
        <is>
          <t>2004</t>
        </is>
      </c>
      <c r="E26" s="82" t="n"/>
      <c r="F26" s="85" t="n"/>
      <c r="G26" s="71" t="n"/>
      <c r="H26" s="71" t="n"/>
      <c r="I26" s="83" t="n"/>
      <c r="J26" s="71" t="n"/>
      <c r="K26" s="82" t="n"/>
      <c r="L26" s="82">
        <f>IF(COUNT(E26,G26,H26,I26,J26,K26)=0,"",ROUND((IF(E26="",0,E26*10)+IF(G26="",0,G26)+IF(H26="",0,H26)+IF(I26="",0,I26*20)+IF(J26="",0,J26)+IF(K26="",0,K26*10))/COUNT(E26,G26,H26,I26,J26,K26),1))</f>
        <v/>
      </c>
      <c r="M26">
        <f>IF(L26="","",IF(L26&gt;=85,"Excellent",IF(L26&gt;=70,"Good",IF(L26&gt;=55,"Mixed","Poor"))))</f>
        <v/>
      </c>
      <c r="N26" s="66" t="n"/>
      <c r="O26" t="inlineStr">
        <is>
          <t>https://www.imdb.com/find/?q=Anchorman%3A+The+Legend+of+Ron+Burgundy+2004</t>
        </is>
      </c>
      <c r="P26" t="inlineStr">
        <is>
          <t>https://www.rottentomatoes.com/search?search=Anchorman%3A+The+Legend+of+Ron+Burgundy</t>
        </is>
      </c>
      <c r="Q26" t="inlineStr">
        <is>
          <t>https://letterboxd.com/search/Anchorman%3A%20The%20Legend%20of%20Ron%20Burgundy/</t>
        </is>
      </c>
      <c r="R26" t="inlineStr">
        <is>
          <t>https://www.metacritic.com/search/Anchorman%3A+The+Legend+of+Ron+Burgundy/</t>
        </is>
      </c>
    </row>
    <row r="27">
      <c r="A27" t="inlineStr">
        <is>
          <t>F0023</t>
        </is>
      </c>
      <c r="B27" t="inlineStr">
        <is>
          <t>Angels &amp; Demons</t>
        </is>
      </c>
      <c r="C27" s="63" t="inlineStr">
        <is>
          <t>2009</t>
        </is>
      </c>
      <c r="E27" s="82" t="n"/>
      <c r="F27" s="85" t="n"/>
      <c r="G27" s="71" t="n"/>
      <c r="H27" s="71" t="n"/>
      <c r="I27" s="83" t="n"/>
      <c r="J27" s="71" t="n"/>
      <c r="K27" s="82" t="n"/>
      <c r="L27" s="82">
        <f>IF(COUNT(E27,G27,H27,I27,J27,K27)=0,"",ROUND((IF(E27="",0,E27*10)+IF(G27="",0,G27)+IF(H27="",0,H27)+IF(I27="",0,I27*20)+IF(J27="",0,J27)+IF(K27="",0,K27*10))/COUNT(E27,G27,H27,I27,J27,K27),1))</f>
        <v/>
      </c>
      <c r="M27">
        <f>IF(L27="","",IF(L27&gt;=85,"Excellent",IF(L27&gt;=70,"Good",IF(L27&gt;=55,"Mixed","Poor"))))</f>
        <v/>
      </c>
      <c r="N27" s="66" t="n"/>
      <c r="O27" t="inlineStr">
        <is>
          <t>https://www.imdb.com/find/?q=Angels+%26+Demons+2009</t>
        </is>
      </c>
      <c r="P27" t="inlineStr">
        <is>
          <t>https://www.rottentomatoes.com/search?search=Angels+%26+Demons</t>
        </is>
      </c>
      <c r="Q27" t="inlineStr">
        <is>
          <t>https://letterboxd.com/search/Angels%20%26%20Demons/</t>
        </is>
      </c>
      <c r="R27" t="inlineStr">
        <is>
          <t>https://www.metacritic.com/search/Angels+%26+Demons/</t>
        </is>
      </c>
    </row>
    <row r="28">
      <c r="A28" t="inlineStr">
        <is>
          <t>F0024</t>
        </is>
      </c>
      <c r="B28" t="inlineStr">
        <is>
          <t>Anuvahood</t>
        </is>
      </c>
      <c r="C28" s="63" t="inlineStr">
        <is>
          <t>2011</t>
        </is>
      </c>
      <c r="E28" s="82" t="n"/>
      <c r="F28" s="85" t="n"/>
      <c r="G28" s="71" t="n"/>
      <c r="H28" s="71" t="n"/>
      <c r="I28" s="83" t="n"/>
      <c r="J28" s="71" t="n"/>
      <c r="K28" s="82" t="n"/>
      <c r="L28" s="82">
        <f>IF(COUNT(E28,G28,H28,I28,J28,K28)=0,"",ROUND((IF(E28="",0,E28*10)+IF(G28="",0,G28)+IF(H28="",0,H28)+IF(I28="",0,I28*20)+IF(J28="",0,J28)+IF(K28="",0,K28*10))/COUNT(E28,G28,H28,I28,J28,K28),1))</f>
        <v/>
      </c>
      <c r="M28">
        <f>IF(L28="","",IF(L28&gt;=85,"Excellent",IF(L28&gt;=70,"Good",IF(L28&gt;=55,"Mixed","Poor"))))</f>
        <v/>
      </c>
      <c r="N28" s="66" t="n"/>
      <c r="O28" t="inlineStr">
        <is>
          <t>https://www.imdb.com/find/?q=Anuvahood+2011</t>
        </is>
      </c>
      <c r="P28" t="inlineStr">
        <is>
          <t>https://www.rottentomatoes.com/search?search=Anuvahood</t>
        </is>
      </c>
      <c r="Q28" t="inlineStr">
        <is>
          <t>https://letterboxd.com/search/Anuvahood/</t>
        </is>
      </c>
      <c r="R28" t="inlineStr">
        <is>
          <t>https://www.metacritic.com/search/Anuvahood/</t>
        </is>
      </c>
    </row>
    <row r="29">
      <c r="A29" t="inlineStr">
        <is>
          <t>F0025</t>
        </is>
      </c>
      <c r="B29" t="inlineStr">
        <is>
          <t>Argo</t>
        </is>
      </c>
      <c r="C29" s="63" t="inlineStr">
        <is>
          <t>2012</t>
        </is>
      </c>
      <c r="E29" s="82" t="n"/>
      <c r="F29" s="85" t="n"/>
      <c r="G29" s="71" t="n"/>
      <c r="H29" s="71" t="n"/>
      <c r="I29" s="83" t="n"/>
      <c r="J29" s="71" t="n"/>
      <c r="K29" s="82" t="n"/>
      <c r="L29" s="82">
        <f>IF(COUNT(E29,G29,H29,I29,J29,K29)=0,"",ROUND((IF(E29="",0,E29*10)+IF(G29="",0,G29)+IF(H29="",0,H29)+IF(I29="",0,I29*20)+IF(J29="",0,J29)+IF(K29="",0,K29*10))/COUNT(E29,G29,H29,I29,J29,K29),1))</f>
        <v/>
      </c>
      <c r="M29">
        <f>IF(L29="","",IF(L29&gt;=85,"Excellent",IF(L29&gt;=70,"Good",IF(L29&gt;=55,"Mixed","Poor"))))</f>
        <v/>
      </c>
      <c r="N29" s="66" t="n"/>
      <c r="O29" t="inlineStr">
        <is>
          <t>https://www.imdb.com/find/?q=Argo+2012</t>
        </is>
      </c>
      <c r="P29" t="inlineStr">
        <is>
          <t>https://www.rottentomatoes.com/search?search=Argo</t>
        </is>
      </c>
      <c r="Q29" t="inlineStr">
        <is>
          <t>https://letterboxd.com/search/Argo/</t>
        </is>
      </c>
      <c r="R29" t="inlineStr">
        <is>
          <t>https://www.metacritic.com/search/Argo/</t>
        </is>
      </c>
    </row>
    <row r="30">
      <c r="A30" t="inlineStr">
        <is>
          <t>F0026</t>
        </is>
      </c>
      <c r="B30" t="inlineStr">
        <is>
          <t>The A-Team</t>
        </is>
      </c>
      <c r="C30" s="63" t="inlineStr">
        <is>
          <t>2010</t>
        </is>
      </c>
      <c r="E30" s="82" t="n"/>
      <c r="F30" s="85" t="n"/>
      <c r="G30" s="71" t="n"/>
      <c r="H30" s="71" t="n"/>
      <c r="I30" s="83" t="n"/>
      <c r="J30" s="71" t="n"/>
      <c r="K30" s="82" t="n"/>
      <c r="L30" s="82">
        <f>IF(COUNT(E30,G30,H30,I30,J30,K30)=0,"",ROUND((IF(E30="",0,E30*10)+IF(G30="",0,G30)+IF(H30="",0,H30)+IF(I30="",0,I30*20)+IF(J30="",0,J30)+IF(K30="",0,K30*10))/COUNT(E30,G30,H30,I30,J30,K30),1))</f>
        <v/>
      </c>
      <c r="M30">
        <f>IF(L30="","",IF(L30&gt;=85,"Excellent",IF(L30&gt;=70,"Good",IF(L30&gt;=55,"Mixed","Poor"))))</f>
        <v/>
      </c>
      <c r="N30" s="66" t="n"/>
      <c r="O30" t="inlineStr">
        <is>
          <t>https://www.imdb.com/find/?q=The+A-Team+2010</t>
        </is>
      </c>
      <c r="P30" t="inlineStr">
        <is>
          <t>https://www.rottentomatoes.com/search?search=The+A-Team</t>
        </is>
      </c>
      <c r="Q30" t="inlineStr">
        <is>
          <t>https://letterboxd.com/search/The%20A-Team/</t>
        </is>
      </c>
      <c r="R30" t="inlineStr">
        <is>
          <t>https://www.metacritic.com/search/The+A-Team/</t>
        </is>
      </c>
    </row>
    <row r="31">
      <c r="A31" t="inlineStr">
        <is>
          <t>F0027</t>
        </is>
      </c>
      <c r="B31" t="inlineStr">
        <is>
          <t>Attack the Block</t>
        </is>
      </c>
      <c r="C31" s="63" t="inlineStr">
        <is>
          <t>2011</t>
        </is>
      </c>
      <c r="E31" s="82" t="n"/>
      <c r="F31" s="85" t="n"/>
      <c r="G31" s="71" t="n"/>
      <c r="H31" s="71" t="n"/>
      <c r="I31" s="83" t="n"/>
      <c r="J31" s="71" t="n"/>
      <c r="K31" s="82" t="n"/>
      <c r="L31" s="82">
        <f>IF(COUNT(E31,G31,H31,I31,J31,K31)=0,"",ROUND((IF(E31="",0,E31*10)+IF(G31="",0,G31)+IF(H31="",0,H31)+IF(I31="",0,I31*20)+IF(J31="",0,J31)+IF(K31="",0,K31*10))/COUNT(E31,G31,H31,I31,J31,K31),1))</f>
        <v/>
      </c>
      <c r="M31">
        <f>IF(L31="","",IF(L31&gt;=85,"Excellent",IF(L31&gt;=70,"Good",IF(L31&gt;=55,"Mixed","Poor"))))</f>
        <v/>
      </c>
      <c r="N31" s="66" t="n"/>
      <c r="O31" t="inlineStr">
        <is>
          <t>https://www.imdb.com/find/?q=Attack+the+Block+2011</t>
        </is>
      </c>
      <c r="P31" t="inlineStr">
        <is>
          <t>https://www.rottentomatoes.com/search?search=Attack+the+Block</t>
        </is>
      </c>
      <c r="Q31" t="inlineStr">
        <is>
          <t>https://letterboxd.com/search/Attack%20the%20Block/</t>
        </is>
      </c>
      <c r="R31" t="inlineStr">
        <is>
          <t>https://www.metacritic.com/search/Attack+the+Block/</t>
        </is>
      </c>
    </row>
    <row r="32">
      <c r="A32" t="inlineStr">
        <is>
          <t>F0028</t>
        </is>
      </c>
      <c r="B32" t="inlineStr">
        <is>
          <t>Avatar</t>
        </is>
      </c>
      <c r="C32" s="63" t="inlineStr">
        <is>
          <t>2009</t>
        </is>
      </c>
      <c r="E32" s="82" t="n"/>
      <c r="F32" s="85" t="n"/>
      <c r="G32" s="71" t="n"/>
      <c r="H32" s="71" t="n"/>
      <c r="I32" s="83" t="n"/>
      <c r="J32" s="71" t="n"/>
      <c r="K32" s="82" t="n"/>
      <c r="L32" s="82">
        <f>IF(COUNT(E32,G32,H32,I32,J32,K32)=0,"",ROUND((IF(E32="",0,E32*10)+IF(G32="",0,G32)+IF(H32="",0,H32)+IF(I32="",0,I32*20)+IF(J32="",0,J32)+IF(K32="",0,K32*10))/COUNT(E32,G32,H32,I32,J32,K32),1))</f>
        <v/>
      </c>
      <c r="M32">
        <f>IF(L32="","",IF(L32&gt;=85,"Excellent",IF(L32&gt;=70,"Good",IF(L32&gt;=55,"Mixed","Poor"))))</f>
        <v/>
      </c>
      <c r="N32" s="66" t="n"/>
      <c r="O32" t="inlineStr">
        <is>
          <t>https://www.imdb.com/find/?q=Avatar+2009</t>
        </is>
      </c>
      <c r="P32" t="inlineStr">
        <is>
          <t>https://www.rottentomatoes.com/search?search=Avatar</t>
        </is>
      </c>
      <c r="Q32" t="inlineStr">
        <is>
          <t>https://letterboxd.com/search/Avatar/</t>
        </is>
      </c>
      <c r="R32" t="inlineStr">
        <is>
          <t>https://www.metacritic.com/search/Avatar/</t>
        </is>
      </c>
    </row>
    <row r="33">
      <c r="A33" t="inlineStr">
        <is>
          <t>F0029</t>
        </is>
      </c>
      <c r="B33" t="inlineStr">
        <is>
          <t>The Avengers</t>
        </is>
      </c>
      <c r="C33" s="63" t="inlineStr">
        <is>
          <t>2012</t>
        </is>
      </c>
      <c r="E33" s="82" t="n"/>
      <c r="F33" s="85" t="n"/>
      <c r="G33" s="71" t="n"/>
      <c r="H33" s="71" t="n"/>
      <c r="I33" s="83" t="n"/>
      <c r="J33" s="71" t="n"/>
      <c r="K33" s="82" t="n"/>
      <c r="L33" s="82">
        <f>IF(COUNT(E33,G33,H33,I33,J33,K33)=0,"",ROUND((IF(E33="",0,E33*10)+IF(G33="",0,G33)+IF(H33="",0,H33)+IF(I33="",0,I33*20)+IF(J33="",0,J33)+IF(K33="",0,K33*10))/COUNT(E33,G33,H33,I33,J33,K33),1))</f>
        <v/>
      </c>
      <c r="M33">
        <f>IF(L33="","",IF(L33&gt;=85,"Excellent",IF(L33&gt;=70,"Good",IF(L33&gt;=55,"Mixed","Poor"))))</f>
        <v/>
      </c>
      <c r="N33" s="66" t="n"/>
      <c r="O33" t="inlineStr">
        <is>
          <t>https://www.imdb.com/find/?q=The+Avengers+2012</t>
        </is>
      </c>
      <c r="P33" t="inlineStr">
        <is>
          <t>https://www.rottentomatoes.com/search?search=The+Avengers</t>
        </is>
      </c>
      <c r="Q33" t="inlineStr">
        <is>
          <t>https://letterboxd.com/search/The%20Avengers/</t>
        </is>
      </c>
      <c r="R33" t="inlineStr">
        <is>
          <t>https://www.metacritic.com/search/The+Avengers/</t>
        </is>
      </c>
    </row>
    <row r="34">
      <c r="A34" t="inlineStr">
        <is>
          <t>F0030</t>
        </is>
      </c>
      <c r="B34" t="inlineStr">
        <is>
          <t>Avengers: Infinity War</t>
        </is>
      </c>
      <c r="C34" s="63" t="inlineStr">
        <is>
          <t>2018</t>
        </is>
      </c>
      <c r="E34" s="82" t="n"/>
      <c r="F34" s="85" t="n"/>
      <c r="G34" s="71" t="n"/>
      <c r="H34" s="71" t="n"/>
      <c r="I34" s="83" t="n"/>
      <c r="J34" s="71" t="n"/>
      <c r="K34" s="82" t="n"/>
      <c r="L34" s="82">
        <f>IF(COUNT(E34,G34,H34,I34,J34,K34)=0,"",ROUND((IF(E34="",0,E34*10)+IF(G34="",0,G34)+IF(H34="",0,H34)+IF(I34="",0,I34*20)+IF(J34="",0,J34)+IF(K34="",0,K34*10))/COUNT(E34,G34,H34,I34,J34,K34),1))</f>
        <v/>
      </c>
      <c r="M34">
        <f>IF(L34="","",IF(L34&gt;=85,"Excellent",IF(L34&gt;=70,"Good",IF(L34&gt;=55,"Mixed","Poor"))))</f>
        <v/>
      </c>
      <c r="N34" s="66" t="n"/>
      <c r="O34" t="inlineStr">
        <is>
          <t>https://www.imdb.com/find/?q=Avengers%3A+Infinity+War+2018</t>
        </is>
      </c>
      <c r="P34" t="inlineStr">
        <is>
          <t>https://www.rottentomatoes.com/search?search=Avengers%3A+Infinity+War</t>
        </is>
      </c>
      <c r="Q34" t="inlineStr">
        <is>
          <t>https://letterboxd.com/search/Avengers%3A%20Infinity%20War/</t>
        </is>
      </c>
      <c r="R34" t="inlineStr">
        <is>
          <t>https://www.metacritic.com/search/Avengers%3A+Infinity+War/</t>
        </is>
      </c>
    </row>
    <row r="35">
      <c r="A35" t="inlineStr">
        <is>
          <t>F0031</t>
        </is>
      </c>
      <c r="B35" t="inlineStr">
        <is>
          <t>Avengers: Endgame</t>
        </is>
      </c>
      <c r="C35" s="63" t="inlineStr">
        <is>
          <t>2019</t>
        </is>
      </c>
      <c r="E35" s="82" t="n"/>
      <c r="F35" s="85" t="n"/>
      <c r="G35" s="71" t="n"/>
      <c r="H35" s="71" t="n"/>
      <c r="I35" s="83" t="n"/>
      <c r="J35" s="71" t="n"/>
      <c r="K35" s="82" t="n"/>
      <c r="L35" s="82">
        <f>IF(COUNT(E35,G35,H35,I35,J35,K35)=0,"",ROUND((IF(E35="",0,E35*10)+IF(G35="",0,G35)+IF(H35="",0,H35)+IF(I35="",0,I35*20)+IF(J35="",0,J35)+IF(K35="",0,K35*10))/COUNT(E35,G35,H35,I35,J35,K35),1))</f>
        <v/>
      </c>
      <c r="M35">
        <f>IF(L35="","",IF(L35&gt;=85,"Excellent",IF(L35&gt;=70,"Good",IF(L35&gt;=55,"Mixed","Poor"))))</f>
        <v/>
      </c>
      <c r="N35" s="66" t="n"/>
      <c r="O35" t="inlineStr">
        <is>
          <t>https://www.imdb.com/find/?q=Avengers%3A+Endgame+2019</t>
        </is>
      </c>
      <c r="P35" t="inlineStr">
        <is>
          <t>https://www.rottentomatoes.com/search?search=Avengers%3A+Endgame</t>
        </is>
      </c>
      <c r="Q35" t="inlineStr">
        <is>
          <t>https://letterboxd.com/search/Avengers%3A%20Endgame/</t>
        </is>
      </c>
      <c r="R35" t="inlineStr">
        <is>
          <t>https://www.metacritic.com/search/Avengers%3A+Endgame/</t>
        </is>
      </c>
    </row>
    <row r="36">
      <c r="A36" t="inlineStr">
        <is>
          <t>F0032</t>
        </is>
      </c>
      <c r="B36" t="inlineStr">
        <is>
          <t>Baby Driver</t>
        </is>
      </c>
      <c r="C36" s="63" t="inlineStr">
        <is>
          <t>2017</t>
        </is>
      </c>
      <c r="E36" s="82" t="n"/>
      <c r="F36" s="85" t="n"/>
      <c r="G36" s="71" t="n"/>
      <c r="H36" s="71" t="n"/>
      <c r="I36" s="83" t="n"/>
      <c r="J36" s="71" t="n"/>
      <c r="K36" s="82" t="n"/>
      <c r="L36" s="82">
        <f>IF(COUNT(E36,G36,H36,I36,J36,K36)=0,"",ROUND((IF(E36="",0,E36*10)+IF(G36="",0,G36)+IF(H36="",0,H36)+IF(I36="",0,I36*20)+IF(J36="",0,J36)+IF(K36="",0,K36*10))/COUNT(E36,G36,H36,I36,J36,K36),1))</f>
        <v/>
      </c>
      <c r="M36">
        <f>IF(L36="","",IF(L36&gt;=85,"Excellent",IF(L36&gt;=70,"Good",IF(L36&gt;=55,"Mixed","Poor"))))</f>
        <v/>
      </c>
      <c r="N36" s="66" t="n"/>
      <c r="O36" t="inlineStr">
        <is>
          <t>https://www.imdb.com/find/?q=Baby+Driver+2017</t>
        </is>
      </c>
      <c r="P36" t="inlineStr">
        <is>
          <t>https://www.rottentomatoes.com/search?search=Baby+Driver</t>
        </is>
      </c>
      <c r="Q36" t="inlineStr">
        <is>
          <t>https://letterboxd.com/search/Baby%20Driver/</t>
        </is>
      </c>
      <c r="R36" t="inlineStr">
        <is>
          <t>https://www.metacritic.com/search/Baby+Driver/</t>
        </is>
      </c>
    </row>
    <row r="37">
      <c r="A37" t="inlineStr">
        <is>
          <t>F0033</t>
        </is>
      </c>
      <c r="B37" t="inlineStr">
        <is>
          <t>Back to the Future</t>
        </is>
      </c>
      <c r="C37" s="63" t="inlineStr">
        <is>
          <t>1985</t>
        </is>
      </c>
      <c r="E37" s="82" t="n"/>
      <c r="F37" s="85" t="n"/>
      <c r="G37" s="71" t="n"/>
      <c r="H37" s="71" t="n"/>
      <c r="I37" s="83" t="n"/>
      <c r="J37" s="71" t="n"/>
      <c r="K37" s="82" t="n"/>
      <c r="L37" s="82">
        <f>IF(COUNT(E37,G37,H37,I37,J37,K37)=0,"",ROUND((IF(E37="",0,E37*10)+IF(G37="",0,G37)+IF(H37="",0,H37)+IF(I37="",0,I37*20)+IF(J37="",0,J37)+IF(K37="",0,K37*10))/COUNT(E37,G37,H37,I37,J37,K37),1))</f>
        <v/>
      </c>
      <c r="M37">
        <f>IF(L37="","",IF(L37&gt;=85,"Excellent",IF(L37&gt;=70,"Good",IF(L37&gt;=55,"Mixed","Poor"))))</f>
        <v/>
      </c>
      <c r="N37" s="66" t="n"/>
      <c r="O37" t="inlineStr">
        <is>
          <t>https://www.imdb.com/find/?q=Back+to+the+Future+1985</t>
        </is>
      </c>
      <c r="P37" t="inlineStr">
        <is>
          <t>https://www.rottentomatoes.com/search?search=Back+to+the+Future</t>
        </is>
      </c>
      <c r="Q37" t="inlineStr">
        <is>
          <t>https://letterboxd.com/search/Back%20to%20the%20Future/</t>
        </is>
      </c>
      <c r="R37" t="inlineStr">
        <is>
          <t>https://www.metacritic.com/search/Back+to+the+Future/</t>
        </is>
      </c>
    </row>
    <row r="38">
      <c r="A38" t="inlineStr">
        <is>
          <t>F0034</t>
        </is>
      </c>
      <c r="B38" t="inlineStr">
        <is>
          <t>Back to the Future Part II</t>
        </is>
      </c>
      <c r="C38" s="63" t="inlineStr">
        <is>
          <t>1989</t>
        </is>
      </c>
      <c r="E38" s="82" t="n"/>
      <c r="F38" s="85" t="n"/>
      <c r="G38" s="71" t="n"/>
      <c r="H38" s="71" t="n"/>
      <c r="I38" s="83" t="n"/>
      <c r="J38" s="71" t="n"/>
      <c r="K38" s="82" t="n"/>
      <c r="L38" s="82">
        <f>IF(COUNT(E38,G38,H38,I38,J38,K38)=0,"",ROUND((IF(E38="",0,E38*10)+IF(G38="",0,G38)+IF(H38="",0,H38)+IF(I38="",0,I38*20)+IF(J38="",0,J38)+IF(K38="",0,K38*10))/COUNT(E38,G38,H38,I38,J38,K38),1))</f>
        <v/>
      </c>
      <c r="M38">
        <f>IF(L38="","",IF(L38&gt;=85,"Excellent",IF(L38&gt;=70,"Good",IF(L38&gt;=55,"Mixed","Poor"))))</f>
        <v/>
      </c>
      <c r="N38" s="66" t="n"/>
      <c r="O38" t="inlineStr">
        <is>
          <t>https://www.imdb.com/find/?q=Back+to+the+Future+Part+II+1989</t>
        </is>
      </c>
      <c r="P38" t="inlineStr">
        <is>
          <t>https://www.rottentomatoes.com/search?search=Back+to+the+Future+Part+II</t>
        </is>
      </c>
      <c r="Q38" t="inlineStr">
        <is>
          <t>https://letterboxd.com/search/Back%20to%20the%20Future%20Part%20II/</t>
        </is>
      </c>
      <c r="R38" t="inlineStr">
        <is>
          <t>https://www.metacritic.com/search/Back+to+the+Future+Part+II/</t>
        </is>
      </c>
    </row>
    <row r="39">
      <c r="A39" t="inlineStr">
        <is>
          <t>F0035</t>
        </is>
      </c>
      <c r="B39" t="inlineStr">
        <is>
          <t>Back to the Future Part III</t>
        </is>
      </c>
      <c r="C39" s="63" t="inlineStr">
        <is>
          <t>1990</t>
        </is>
      </c>
      <c r="E39" s="82" t="n"/>
      <c r="F39" s="85" t="n"/>
      <c r="G39" s="71" t="n"/>
      <c r="H39" s="71" t="n"/>
      <c r="I39" s="83" t="n"/>
      <c r="J39" s="71" t="n"/>
      <c r="K39" s="82" t="n"/>
      <c r="L39" s="82">
        <f>IF(COUNT(E39,G39,H39,I39,J39,K39)=0,"",ROUND((IF(E39="",0,E39*10)+IF(G39="",0,G39)+IF(H39="",0,H39)+IF(I39="",0,I39*20)+IF(J39="",0,J39)+IF(K39="",0,K39*10))/COUNT(E39,G39,H39,I39,J39,K39),1))</f>
        <v/>
      </c>
      <c r="M39">
        <f>IF(L39="","",IF(L39&gt;=85,"Excellent",IF(L39&gt;=70,"Good",IF(L39&gt;=55,"Mixed","Poor"))))</f>
        <v/>
      </c>
      <c r="N39" s="66" t="n"/>
      <c r="O39" t="inlineStr">
        <is>
          <t>https://www.imdb.com/find/?q=Back+to+the+Future+Part+III+1990</t>
        </is>
      </c>
      <c r="P39" t="inlineStr">
        <is>
          <t>https://www.rottentomatoes.com/search?search=Back+to+the+Future+Part+III</t>
        </is>
      </c>
      <c r="Q39" t="inlineStr">
        <is>
          <t>https://letterboxd.com/search/Back%20to%20the%20Future%20Part%20III/</t>
        </is>
      </c>
      <c r="R39" t="inlineStr">
        <is>
          <t>https://www.metacritic.com/search/Back+to+the+Future+Part+III/</t>
        </is>
      </c>
    </row>
    <row r="40">
      <c r="A40" t="inlineStr">
        <is>
          <t>F0036</t>
        </is>
      </c>
      <c r="B40" t="inlineStr">
        <is>
          <t>Bad Boys</t>
        </is>
      </c>
      <c r="C40" s="63" t="inlineStr">
        <is>
          <t>1995</t>
        </is>
      </c>
      <c r="E40" s="82" t="n"/>
      <c r="F40" s="85" t="n"/>
      <c r="G40" s="71" t="n"/>
      <c r="H40" s="71" t="n"/>
      <c r="I40" s="83" t="n"/>
      <c r="J40" s="71" t="n"/>
      <c r="K40" s="82" t="n"/>
      <c r="L40" s="82">
        <f>IF(COUNT(E40,G40,H40,I40,J40,K40)=0,"",ROUND((IF(E40="",0,E40*10)+IF(G40="",0,G40)+IF(H40="",0,H40)+IF(I40="",0,I40*20)+IF(J40="",0,J40)+IF(K40="",0,K40*10))/COUNT(E40,G40,H40,I40,J40,K40),1))</f>
        <v/>
      </c>
      <c r="M40">
        <f>IF(L40="","",IF(L40&gt;=85,"Excellent",IF(L40&gt;=70,"Good",IF(L40&gt;=55,"Mixed","Poor"))))</f>
        <v/>
      </c>
      <c r="N40" s="66" t="n"/>
      <c r="O40" t="inlineStr">
        <is>
          <t>https://www.imdb.com/find/?q=Bad+Boys+1995</t>
        </is>
      </c>
      <c r="P40" t="inlineStr">
        <is>
          <t>https://www.rottentomatoes.com/search?search=Bad+Boys</t>
        </is>
      </c>
      <c r="Q40" t="inlineStr">
        <is>
          <t>https://letterboxd.com/search/Bad%20Boys/</t>
        </is>
      </c>
      <c r="R40" t="inlineStr">
        <is>
          <t>https://www.metacritic.com/search/Bad+Boys/</t>
        </is>
      </c>
    </row>
    <row r="41">
      <c r="A41" t="inlineStr">
        <is>
          <t>F0037</t>
        </is>
      </c>
      <c r="B41" t="inlineStr">
        <is>
          <t>Bad Boys II</t>
        </is>
      </c>
      <c r="C41" s="63" t="inlineStr">
        <is>
          <t>2003</t>
        </is>
      </c>
      <c r="E41" s="82" t="n"/>
      <c r="F41" s="85" t="n"/>
      <c r="G41" s="71" t="n"/>
      <c r="H41" s="71" t="n"/>
      <c r="I41" s="83" t="n"/>
      <c r="J41" s="71" t="n"/>
      <c r="K41" s="82" t="n"/>
      <c r="L41" s="82">
        <f>IF(COUNT(E41,G41,H41,I41,J41,K41)=0,"",ROUND((IF(E41="",0,E41*10)+IF(G41="",0,G41)+IF(H41="",0,H41)+IF(I41="",0,I41*20)+IF(J41="",0,J41)+IF(K41="",0,K41*10))/COUNT(E41,G41,H41,I41,J41,K41),1))</f>
        <v/>
      </c>
      <c r="M41">
        <f>IF(L41="","",IF(L41&gt;=85,"Excellent",IF(L41&gt;=70,"Good",IF(L41&gt;=55,"Mixed","Poor"))))</f>
        <v/>
      </c>
      <c r="N41" s="66" t="n"/>
      <c r="O41" t="inlineStr">
        <is>
          <t>https://www.imdb.com/find/?q=Bad+Boys+II+2003</t>
        </is>
      </c>
      <c r="P41" t="inlineStr">
        <is>
          <t>https://www.rottentomatoes.com/search?search=Bad+Boys+II</t>
        </is>
      </c>
      <c r="Q41" t="inlineStr">
        <is>
          <t>https://letterboxd.com/search/Bad%20Boys%20II/</t>
        </is>
      </c>
      <c r="R41" t="inlineStr">
        <is>
          <t>https://www.metacritic.com/search/Bad+Boys+II/</t>
        </is>
      </c>
    </row>
    <row r="42">
      <c r="A42" t="inlineStr">
        <is>
          <t>F0038</t>
        </is>
      </c>
      <c r="B42" t="inlineStr">
        <is>
          <t>Bad Moms</t>
        </is>
      </c>
      <c r="C42" s="63" t="inlineStr">
        <is>
          <t>2016</t>
        </is>
      </c>
      <c r="E42" s="82" t="n"/>
      <c r="F42" s="85" t="n"/>
      <c r="G42" s="71" t="n"/>
      <c r="H42" s="71" t="n"/>
      <c r="I42" s="83" t="n"/>
      <c r="J42" s="71" t="n"/>
      <c r="K42" s="82" t="n"/>
      <c r="L42" s="82">
        <f>IF(COUNT(E42,G42,H42,I42,J42,K42)=0,"",ROUND((IF(E42="",0,E42*10)+IF(G42="",0,G42)+IF(H42="",0,H42)+IF(I42="",0,I42*20)+IF(J42="",0,J42)+IF(K42="",0,K42*10))/COUNT(E42,G42,H42,I42,J42,K42),1))</f>
        <v/>
      </c>
      <c r="M42">
        <f>IF(L42="","",IF(L42&gt;=85,"Excellent",IF(L42&gt;=70,"Good",IF(L42&gt;=55,"Mixed","Poor"))))</f>
        <v/>
      </c>
      <c r="N42" s="66" t="n"/>
      <c r="O42" t="inlineStr">
        <is>
          <t>https://www.imdb.com/find/?q=Bad+Moms+2016</t>
        </is>
      </c>
      <c r="P42" t="inlineStr">
        <is>
          <t>https://www.rottentomatoes.com/search?search=Bad+Moms</t>
        </is>
      </c>
      <c r="Q42" t="inlineStr">
        <is>
          <t>https://letterboxd.com/search/Bad%20Moms/</t>
        </is>
      </c>
      <c r="R42" t="inlineStr">
        <is>
          <t>https://www.metacritic.com/search/Bad+Moms/</t>
        </is>
      </c>
    </row>
    <row r="43">
      <c r="A43" t="inlineStr">
        <is>
          <t>F0039</t>
        </is>
      </c>
      <c r="B43" t="inlineStr">
        <is>
          <t>Bad Teacher</t>
        </is>
      </c>
      <c r="C43" s="63" t="inlineStr">
        <is>
          <t>2011</t>
        </is>
      </c>
      <c r="E43" s="82" t="n"/>
      <c r="F43" s="85" t="n"/>
      <c r="G43" s="71" t="n"/>
      <c r="H43" s="71" t="n"/>
      <c r="I43" s="83" t="n"/>
      <c r="J43" s="71" t="n"/>
      <c r="K43" s="82" t="n"/>
      <c r="L43" s="82">
        <f>IF(COUNT(E43,G43,H43,I43,J43,K43)=0,"",ROUND((IF(E43="",0,E43*10)+IF(G43="",0,G43)+IF(H43="",0,H43)+IF(I43="",0,I43*20)+IF(J43="",0,J43)+IF(K43="",0,K43*10))/COUNT(E43,G43,H43,I43,J43,K43),1))</f>
        <v/>
      </c>
      <c r="M43">
        <f>IF(L43="","",IF(L43&gt;=85,"Excellent",IF(L43&gt;=70,"Good",IF(L43&gt;=55,"Mixed","Poor"))))</f>
        <v/>
      </c>
      <c r="N43" s="66" t="n"/>
      <c r="O43" t="inlineStr">
        <is>
          <t>https://www.imdb.com/find/?q=Bad+Teacher+2011</t>
        </is>
      </c>
      <c r="P43" t="inlineStr">
        <is>
          <t>https://www.rottentomatoes.com/search?search=Bad+Teacher</t>
        </is>
      </c>
      <c r="Q43" t="inlineStr">
        <is>
          <t>https://letterboxd.com/search/Bad%20Teacher/</t>
        </is>
      </c>
      <c r="R43" t="inlineStr">
        <is>
          <t>https://www.metacritic.com/search/Bad+Teacher/</t>
        </is>
      </c>
    </row>
    <row r="44">
      <c r="A44" t="inlineStr">
        <is>
          <t>F0040</t>
        </is>
      </c>
      <c r="B44" t="inlineStr">
        <is>
          <t>The Bank Job</t>
        </is>
      </c>
      <c r="C44" s="63" t="inlineStr">
        <is>
          <t>2008</t>
        </is>
      </c>
      <c r="E44" s="82" t="n"/>
      <c r="F44" s="85" t="n"/>
      <c r="G44" s="71" t="n"/>
      <c r="H44" s="71" t="n"/>
      <c r="I44" s="83" t="n"/>
      <c r="J44" s="71" t="n"/>
      <c r="K44" s="82" t="n"/>
      <c r="L44" s="82">
        <f>IF(COUNT(E44,G44,H44,I44,J44,K44)=0,"",ROUND((IF(E44="",0,E44*10)+IF(G44="",0,G44)+IF(H44="",0,H44)+IF(I44="",0,I44*20)+IF(J44="",0,J44)+IF(K44="",0,K44*10))/COUNT(E44,G44,H44,I44,J44,K44),1))</f>
        <v/>
      </c>
      <c r="M44">
        <f>IF(L44="","",IF(L44&gt;=85,"Excellent",IF(L44&gt;=70,"Good",IF(L44&gt;=55,"Mixed","Poor"))))</f>
        <v/>
      </c>
      <c r="N44" s="66" t="n"/>
      <c r="O44" t="inlineStr">
        <is>
          <t>https://www.imdb.com/find/?q=The+Bank+Job+2008</t>
        </is>
      </c>
      <c r="P44" t="inlineStr">
        <is>
          <t>https://www.rottentomatoes.com/search?search=The+Bank+Job</t>
        </is>
      </c>
      <c r="Q44" t="inlineStr">
        <is>
          <t>https://letterboxd.com/search/The%20Bank%20Job/</t>
        </is>
      </c>
      <c r="R44" t="inlineStr">
        <is>
          <t>https://www.metacritic.com/search/The+Bank+Job/</t>
        </is>
      </c>
    </row>
    <row r="45">
      <c r="A45" t="inlineStr">
        <is>
          <t>F0041</t>
        </is>
      </c>
      <c r="B45" t="inlineStr">
        <is>
          <t>Barbie</t>
        </is>
      </c>
      <c r="C45" s="63" t="inlineStr">
        <is>
          <t>2023</t>
        </is>
      </c>
      <c r="E45" s="82" t="n"/>
      <c r="F45" s="85" t="n"/>
      <c r="G45" s="71" t="n"/>
      <c r="H45" s="71" t="n"/>
      <c r="I45" s="83" t="n"/>
      <c r="J45" s="71" t="n"/>
      <c r="K45" s="82" t="n"/>
      <c r="L45" s="82">
        <f>IF(COUNT(E45,G45,H45,I45,J45,K45)=0,"",ROUND((IF(E45="",0,E45*10)+IF(G45="",0,G45)+IF(H45="",0,H45)+IF(I45="",0,I45*20)+IF(J45="",0,J45)+IF(K45="",0,K45*10))/COUNT(E45,G45,H45,I45,J45,K45),1))</f>
        <v/>
      </c>
      <c r="M45">
        <f>IF(L45="","",IF(L45&gt;=85,"Excellent",IF(L45&gt;=70,"Good",IF(L45&gt;=55,"Mixed","Poor"))))</f>
        <v/>
      </c>
      <c r="N45" s="66" t="n"/>
      <c r="O45" t="inlineStr">
        <is>
          <t>https://www.imdb.com/find/?q=Barbie+2023</t>
        </is>
      </c>
      <c r="P45" t="inlineStr">
        <is>
          <t>https://www.rottentomatoes.com/search?search=Barbie</t>
        </is>
      </c>
      <c r="Q45" t="inlineStr">
        <is>
          <t>https://letterboxd.com/search/Barbie/</t>
        </is>
      </c>
      <c r="R45" t="inlineStr">
        <is>
          <t>https://www.metacritic.com/search/Barbie/</t>
        </is>
      </c>
    </row>
    <row r="46">
      <c r="A46" t="inlineStr">
        <is>
          <t>F0042</t>
        </is>
      </c>
      <c r="B46" t="inlineStr">
        <is>
          <t>The Batman</t>
        </is>
      </c>
      <c r="C46" s="63" t="inlineStr">
        <is>
          <t>2022</t>
        </is>
      </c>
      <c r="E46" s="82" t="n"/>
      <c r="F46" s="85" t="n"/>
      <c r="G46" s="71" t="n"/>
      <c r="H46" s="71" t="n"/>
      <c r="I46" s="83" t="n"/>
      <c r="J46" s="71" t="n"/>
      <c r="K46" s="82" t="n"/>
      <c r="L46" s="82">
        <f>IF(COUNT(E46,G46,H46,I46,J46,K46)=0,"",ROUND((IF(E46="",0,E46*10)+IF(G46="",0,G46)+IF(H46="",0,H46)+IF(I46="",0,I46*20)+IF(J46="",0,J46)+IF(K46="",0,K46*10))/COUNT(E46,G46,H46,I46,J46,K46),1))</f>
        <v/>
      </c>
      <c r="M46">
        <f>IF(L46="","",IF(L46&gt;=85,"Excellent",IF(L46&gt;=70,"Good",IF(L46&gt;=55,"Mixed","Poor"))))</f>
        <v/>
      </c>
      <c r="N46" s="66" t="n"/>
      <c r="O46" t="inlineStr">
        <is>
          <t>https://www.imdb.com/find/?q=The+Batman+2022</t>
        </is>
      </c>
      <c r="P46" t="inlineStr">
        <is>
          <t>https://www.rottentomatoes.com/search?search=The+Batman</t>
        </is>
      </c>
      <c r="Q46" t="inlineStr">
        <is>
          <t>https://letterboxd.com/search/The%20Batman/</t>
        </is>
      </c>
      <c r="R46" t="inlineStr">
        <is>
          <t>https://www.metacritic.com/search/The+Batman/</t>
        </is>
      </c>
    </row>
    <row r="47">
      <c r="A47" t="inlineStr">
        <is>
          <t>F0043</t>
        </is>
      </c>
      <c r="B47" t="inlineStr">
        <is>
          <t>Batman Begins</t>
        </is>
      </c>
      <c r="C47" s="63" t="inlineStr">
        <is>
          <t>2005</t>
        </is>
      </c>
      <c r="E47" s="82" t="n"/>
      <c r="F47" s="85" t="n"/>
      <c r="G47" s="71" t="n"/>
      <c r="H47" s="71" t="n"/>
      <c r="I47" s="83" t="n"/>
      <c r="J47" s="71" t="n"/>
      <c r="K47" s="82" t="n"/>
      <c r="L47" s="82">
        <f>IF(COUNT(E47,G47,H47,I47,J47,K47)=0,"",ROUND((IF(E47="",0,E47*10)+IF(G47="",0,G47)+IF(H47="",0,H47)+IF(I47="",0,I47*20)+IF(J47="",0,J47)+IF(K47="",0,K47*10))/COUNT(E47,G47,H47,I47,J47,K47),1))</f>
        <v/>
      </c>
      <c r="M47">
        <f>IF(L47="","",IF(L47&gt;=85,"Excellent",IF(L47&gt;=70,"Good",IF(L47&gt;=55,"Mixed","Poor"))))</f>
        <v/>
      </c>
      <c r="N47" s="66" t="n"/>
      <c r="O47" t="inlineStr">
        <is>
          <t>https://www.imdb.com/find/?q=Batman+Begins+2005</t>
        </is>
      </c>
      <c r="P47" t="inlineStr">
        <is>
          <t>https://www.rottentomatoes.com/search?search=Batman+Begins</t>
        </is>
      </c>
      <c r="Q47" t="inlineStr">
        <is>
          <t>https://letterboxd.com/search/Batman%20Begins/</t>
        </is>
      </c>
      <c r="R47" t="inlineStr">
        <is>
          <t>https://www.metacritic.com/search/Batman+Begins/</t>
        </is>
      </c>
    </row>
    <row r="48">
      <c r="A48" t="inlineStr">
        <is>
          <t>F0044</t>
        </is>
      </c>
      <c r="B48" t="inlineStr">
        <is>
          <t>The Dark Knight</t>
        </is>
      </c>
      <c r="C48" s="63" t="inlineStr">
        <is>
          <t>2008</t>
        </is>
      </c>
      <c r="E48" s="82" t="n"/>
      <c r="F48" s="85" t="n"/>
      <c r="G48" s="71" t="n"/>
      <c r="H48" s="71" t="n"/>
      <c r="I48" s="83" t="n"/>
      <c r="J48" s="71" t="n"/>
      <c r="K48" s="82" t="n"/>
      <c r="L48" s="82">
        <f>IF(COUNT(E48,G48,H48,I48,J48,K48)=0,"",ROUND((IF(E48="",0,E48*10)+IF(G48="",0,G48)+IF(H48="",0,H48)+IF(I48="",0,I48*20)+IF(J48="",0,J48)+IF(K48="",0,K48*10))/COUNT(E48,G48,H48,I48,J48,K48),1))</f>
        <v/>
      </c>
      <c r="M48">
        <f>IF(L48="","",IF(L48&gt;=85,"Excellent",IF(L48&gt;=70,"Good",IF(L48&gt;=55,"Mixed","Poor"))))</f>
        <v/>
      </c>
      <c r="N48" s="66" t="n"/>
      <c r="O48" t="inlineStr">
        <is>
          <t>https://www.imdb.com/find/?q=The+Dark+Knight+2008</t>
        </is>
      </c>
      <c r="P48" t="inlineStr">
        <is>
          <t>https://www.rottentomatoes.com/search?search=The+Dark+Knight</t>
        </is>
      </c>
      <c r="Q48" t="inlineStr">
        <is>
          <t>https://letterboxd.com/search/The%20Dark%20Knight/</t>
        </is>
      </c>
      <c r="R48" t="inlineStr">
        <is>
          <t>https://www.metacritic.com/search/The+Dark+Knight/</t>
        </is>
      </c>
    </row>
    <row r="49">
      <c r="A49" t="inlineStr">
        <is>
          <t>F0045</t>
        </is>
      </c>
      <c r="B49" t="inlineStr">
        <is>
          <t>The Dark Knight Rises</t>
        </is>
      </c>
      <c r="C49" s="63" t="inlineStr">
        <is>
          <t>2012</t>
        </is>
      </c>
      <c r="E49" s="82" t="n"/>
      <c r="F49" s="85" t="n"/>
      <c r="G49" s="71" t="n"/>
      <c r="H49" s="71" t="n"/>
      <c r="I49" s="83" t="n"/>
      <c r="J49" s="71" t="n"/>
      <c r="K49" s="82" t="n"/>
      <c r="L49" s="82">
        <f>IF(COUNT(E49,G49,H49,I49,J49,K49)=0,"",ROUND((IF(E49="",0,E49*10)+IF(G49="",0,G49)+IF(H49="",0,H49)+IF(I49="",0,I49*20)+IF(J49="",0,J49)+IF(K49="",0,K49*10))/COUNT(E49,G49,H49,I49,J49,K49),1))</f>
        <v/>
      </c>
      <c r="M49">
        <f>IF(L49="","",IF(L49&gt;=85,"Excellent",IF(L49&gt;=70,"Good",IF(L49&gt;=55,"Mixed","Poor"))))</f>
        <v/>
      </c>
      <c r="N49" s="66" t="n"/>
      <c r="O49" t="inlineStr">
        <is>
          <t>https://www.imdb.com/find/?q=The+Dark+Knight+Rises+2012</t>
        </is>
      </c>
      <c r="P49" t="inlineStr">
        <is>
          <t>https://www.rottentomatoes.com/search?search=The+Dark+Knight+Rises</t>
        </is>
      </c>
      <c r="Q49" t="inlineStr">
        <is>
          <t>https://letterboxd.com/search/The%20Dark%20Knight%20Rises/</t>
        </is>
      </c>
      <c r="R49" t="inlineStr">
        <is>
          <t>https://www.metacritic.com/search/The+Dark+Knight+Rises/</t>
        </is>
      </c>
    </row>
    <row r="50">
      <c r="A50" t="inlineStr">
        <is>
          <t>F0046</t>
        </is>
      </c>
      <c r="B50" t="inlineStr">
        <is>
          <t>Battle: Los Angeles</t>
        </is>
      </c>
      <c r="C50" s="63" t="inlineStr">
        <is>
          <t>2011</t>
        </is>
      </c>
      <c r="E50" s="82" t="n"/>
      <c r="F50" s="85" t="n"/>
      <c r="G50" s="71" t="n"/>
      <c r="H50" s="71" t="n"/>
      <c r="I50" s="83" t="n"/>
      <c r="J50" s="71" t="n"/>
      <c r="K50" s="82" t="n"/>
      <c r="L50" s="82">
        <f>IF(COUNT(E50,G50,H50,I50,J50,K50)=0,"",ROUND((IF(E50="",0,E50*10)+IF(G50="",0,G50)+IF(H50="",0,H50)+IF(I50="",0,I50*20)+IF(J50="",0,J50)+IF(K50="",0,K50*10))/COUNT(E50,G50,H50,I50,J50,K50),1))</f>
        <v/>
      </c>
      <c r="M50">
        <f>IF(L50="","",IF(L50&gt;=85,"Excellent",IF(L50&gt;=70,"Good",IF(L50&gt;=55,"Mixed","Poor"))))</f>
        <v/>
      </c>
      <c r="N50" s="66" t="n"/>
      <c r="O50" t="inlineStr">
        <is>
          <t>https://www.imdb.com/find/?q=Battle%3A+Los+Angeles+2011</t>
        </is>
      </c>
      <c r="P50" t="inlineStr">
        <is>
          <t>https://www.rottentomatoes.com/search?search=Battle%3A+Los+Angeles</t>
        </is>
      </c>
      <c r="Q50" t="inlineStr">
        <is>
          <t>https://letterboxd.com/search/Battle%3A%20Los%20Angeles/</t>
        </is>
      </c>
      <c r="R50" t="inlineStr">
        <is>
          <t>https://www.metacritic.com/search/Battle%3A+Los+Angeles/</t>
        </is>
      </c>
    </row>
    <row r="51">
      <c r="A51" t="inlineStr">
        <is>
          <t>F0047</t>
        </is>
      </c>
      <c r="B51" t="inlineStr">
        <is>
          <t>The BFG</t>
        </is>
      </c>
      <c r="C51" s="63" t="inlineStr">
        <is>
          <t>2016</t>
        </is>
      </c>
      <c r="E51" s="82" t="n"/>
      <c r="F51" s="85" t="n"/>
      <c r="G51" s="71" t="n"/>
      <c r="H51" s="71" t="n"/>
      <c r="I51" s="83" t="n"/>
      <c r="J51" s="71" t="n"/>
      <c r="K51" s="82" t="n"/>
      <c r="L51" s="82">
        <f>IF(COUNT(E51,G51,H51,I51,J51,K51)=0,"",ROUND((IF(E51="",0,E51*10)+IF(G51="",0,G51)+IF(H51="",0,H51)+IF(I51="",0,I51*20)+IF(J51="",0,J51)+IF(K51="",0,K51*10))/COUNT(E51,G51,H51,I51,J51,K51),1))</f>
        <v/>
      </c>
      <c r="M51">
        <f>IF(L51="","",IF(L51&gt;=85,"Excellent",IF(L51&gt;=70,"Good",IF(L51&gt;=55,"Mixed","Poor"))))</f>
        <v/>
      </c>
      <c r="N51" s="66" t="n"/>
      <c r="O51" t="inlineStr">
        <is>
          <t>https://www.imdb.com/find/?q=The+BFG+2016</t>
        </is>
      </c>
      <c r="P51" t="inlineStr">
        <is>
          <t>https://www.rottentomatoes.com/search?search=The+BFG</t>
        </is>
      </c>
      <c r="Q51" t="inlineStr">
        <is>
          <t>https://letterboxd.com/search/The%20BFG/</t>
        </is>
      </c>
      <c r="R51" t="inlineStr">
        <is>
          <t>https://www.metacritic.com/search/The+BFG/</t>
        </is>
      </c>
    </row>
    <row r="52">
      <c r="A52" t="inlineStr">
        <is>
          <t>F0048</t>
        </is>
      </c>
      <c r="B52" t="inlineStr">
        <is>
          <t>Big Hero 6</t>
        </is>
      </c>
      <c r="C52" s="63" t="inlineStr">
        <is>
          <t>2014</t>
        </is>
      </c>
      <c r="E52" s="82" t="n"/>
      <c r="F52" s="85" t="n"/>
      <c r="G52" s="71" t="n"/>
      <c r="H52" s="71" t="n"/>
      <c r="I52" s="83" t="n"/>
      <c r="J52" s="71" t="n"/>
      <c r="K52" s="82" t="n"/>
      <c r="L52" s="82">
        <f>IF(COUNT(E52,G52,H52,I52,J52,K52)=0,"",ROUND((IF(E52="",0,E52*10)+IF(G52="",0,G52)+IF(H52="",0,H52)+IF(I52="",0,I52*20)+IF(J52="",0,J52)+IF(K52="",0,K52*10))/COUNT(E52,G52,H52,I52,J52,K52),1))</f>
        <v/>
      </c>
      <c r="M52">
        <f>IF(L52="","",IF(L52&gt;=85,"Excellent",IF(L52&gt;=70,"Good",IF(L52&gt;=55,"Mixed","Poor"))))</f>
        <v/>
      </c>
      <c r="N52" s="66" t="n"/>
      <c r="O52" t="inlineStr">
        <is>
          <t>https://www.imdb.com/find/?q=Big+Hero+6+2014</t>
        </is>
      </c>
      <c r="P52" t="inlineStr">
        <is>
          <t>https://www.rottentomatoes.com/search?search=Big+Hero+6</t>
        </is>
      </c>
      <c r="Q52" t="inlineStr">
        <is>
          <t>https://letterboxd.com/search/Big%20Hero%206/</t>
        </is>
      </c>
      <c r="R52" t="inlineStr">
        <is>
          <t>https://www.metacritic.com/search/Big+Hero+6/</t>
        </is>
      </c>
    </row>
    <row r="53">
      <c r="A53" t="inlineStr">
        <is>
          <t>F0049</t>
        </is>
      </c>
      <c r="B53" t="inlineStr">
        <is>
          <t>The Big Lebowski</t>
        </is>
      </c>
      <c r="C53" s="63" t="inlineStr">
        <is>
          <t>1998</t>
        </is>
      </c>
      <c r="E53" s="82" t="n"/>
      <c r="F53" s="85" t="n"/>
      <c r="G53" s="71" t="n"/>
      <c r="H53" s="71" t="n"/>
      <c r="I53" s="83" t="n"/>
      <c r="J53" s="71" t="n"/>
      <c r="K53" s="82" t="n"/>
      <c r="L53" s="82">
        <f>IF(COUNT(E53,G53,H53,I53,J53,K53)=0,"",ROUND((IF(E53="",0,E53*10)+IF(G53="",0,G53)+IF(H53="",0,H53)+IF(I53="",0,I53*20)+IF(J53="",0,J53)+IF(K53="",0,K53*10))/COUNT(E53,G53,H53,I53,J53,K53),1))</f>
        <v/>
      </c>
      <c r="M53">
        <f>IF(L53="","",IF(L53&gt;=85,"Excellent",IF(L53&gt;=70,"Good",IF(L53&gt;=55,"Mixed","Poor"))))</f>
        <v/>
      </c>
      <c r="N53" s="66" t="n"/>
      <c r="O53" t="inlineStr">
        <is>
          <t>https://www.imdb.com/find/?q=The+Big+Lebowski+1998</t>
        </is>
      </c>
      <c r="P53" t="inlineStr">
        <is>
          <t>https://www.rottentomatoes.com/search?search=The+Big+Lebowski</t>
        </is>
      </c>
      <c r="Q53" t="inlineStr">
        <is>
          <t>https://letterboxd.com/search/The%20Big%20Lebowski/</t>
        </is>
      </c>
      <c r="R53" t="inlineStr">
        <is>
          <t>https://www.metacritic.com/search/The+Big+Lebowski/</t>
        </is>
      </c>
    </row>
    <row r="54">
      <c r="A54" t="inlineStr">
        <is>
          <t>F0050</t>
        </is>
      </c>
      <c r="B54" t="inlineStr">
        <is>
          <t>Black Hawk Down</t>
        </is>
      </c>
      <c r="C54" s="63" t="inlineStr">
        <is>
          <t>2001</t>
        </is>
      </c>
      <c r="E54" s="82" t="n"/>
      <c r="F54" s="85" t="n"/>
      <c r="G54" s="71" t="n"/>
      <c r="H54" s="71" t="n"/>
      <c r="I54" s="83" t="n"/>
      <c r="J54" s="71" t="n"/>
      <c r="K54" s="82" t="n"/>
      <c r="L54" s="82">
        <f>IF(COUNT(E54,G54,H54,I54,J54,K54)=0,"",ROUND((IF(E54="",0,E54*10)+IF(G54="",0,G54)+IF(H54="",0,H54)+IF(I54="",0,I54*20)+IF(J54="",0,J54)+IF(K54="",0,K54*10))/COUNT(E54,G54,H54,I54,J54,K54),1))</f>
        <v/>
      </c>
      <c r="M54">
        <f>IF(L54="","",IF(L54&gt;=85,"Excellent",IF(L54&gt;=70,"Good",IF(L54&gt;=55,"Mixed","Poor"))))</f>
        <v/>
      </c>
      <c r="N54" s="66" t="n"/>
      <c r="O54" t="inlineStr">
        <is>
          <t>https://www.imdb.com/find/?q=Black+Hawk+Down+2001</t>
        </is>
      </c>
      <c r="P54" t="inlineStr">
        <is>
          <t>https://www.rottentomatoes.com/search?search=Black+Hawk+Down</t>
        </is>
      </c>
      <c r="Q54" t="inlineStr">
        <is>
          <t>https://letterboxd.com/search/Black%20Hawk%20Down/</t>
        </is>
      </c>
      <c r="R54" t="inlineStr">
        <is>
          <t>https://www.metacritic.com/search/Black+Hawk+Down/</t>
        </is>
      </c>
    </row>
    <row r="55">
      <c r="A55" t="inlineStr">
        <is>
          <t>F0051</t>
        </is>
      </c>
      <c r="B55" t="inlineStr">
        <is>
          <t>Body of Lies</t>
        </is>
      </c>
      <c r="C55" s="63" t="inlineStr">
        <is>
          <t>2008</t>
        </is>
      </c>
      <c r="E55" s="82" t="n"/>
      <c r="F55" s="85" t="n"/>
      <c r="G55" s="71" t="n"/>
      <c r="H55" s="71" t="n"/>
      <c r="I55" s="83" t="n"/>
      <c r="J55" s="71" t="n"/>
      <c r="K55" s="82" t="n"/>
      <c r="L55" s="82">
        <f>IF(COUNT(E55,G55,H55,I55,J55,K55)=0,"",ROUND((IF(E55="",0,E55*10)+IF(G55="",0,G55)+IF(H55="",0,H55)+IF(I55="",0,I55*20)+IF(J55="",0,J55)+IF(K55="",0,K55*10))/COUNT(E55,G55,H55,I55,J55,K55),1))</f>
        <v/>
      </c>
      <c r="M55">
        <f>IF(L55="","",IF(L55&gt;=85,"Excellent",IF(L55&gt;=70,"Good",IF(L55&gt;=55,"Mixed","Poor"))))</f>
        <v/>
      </c>
      <c r="N55" s="66" t="n"/>
      <c r="O55" t="inlineStr">
        <is>
          <t>https://www.imdb.com/find/?q=Body+of+Lies+2008</t>
        </is>
      </c>
      <c r="P55" t="inlineStr">
        <is>
          <t>https://www.rottentomatoes.com/search?search=Body+of+Lies</t>
        </is>
      </c>
      <c r="Q55" t="inlineStr">
        <is>
          <t>https://letterboxd.com/search/Body%20of%20Lies/</t>
        </is>
      </c>
      <c r="R55" t="inlineStr">
        <is>
          <t>https://www.metacritic.com/search/Body+of+Lies/</t>
        </is>
      </c>
    </row>
    <row r="56">
      <c r="A56" t="inlineStr">
        <is>
          <t>F0052</t>
        </is>
      </c>
      <c r="B56" t="inlineStr">
        <is>
          <t>Bohemian Rhapsody</t>
        </is>
      </c>
      <c r="C56" s="63" t="inlineStr">
        <is>
          <t>2018</t>
        </is>
      </c>
      <c r="E56" s="82" t="n"/>
      <c r="F56" s="85" t="n"/>
      <c r="G56" s="71" t="n"/>
      <c r="H56" s="71" t="n"/>
      <c r="I56" s="83" t="n"/>
      <c r="J56" s="71" t="n"/>
      <c r="K56" s="82" t="n"/>
      <c r="L56" s="82">
        <f>IF(COUNT(E56,G56,H56,I56,J56,K56)=0,"",ROUND((IF(E56="",0,E56*10)+IF(G56="",0,G56)+IF(H56="",0,H56)+IF(I56="",0,I56*20)+IF(J56="",0,J56)+IF(K56="",0,K56*10))/COUNT(E56,G56,H56,I56,J56,K56),1))</f>
        <v/>
      </c>
      <c r="M56">
        <f>IF(L56="","",IF(L56&gt;=85,"Excellent",IF(L56&gt;=70,"Good",IF(L56&gt;=55,"Mixed","Poor"))))</f>
        <v/>
      </c>
      <c r="N56" s="66" t="n"/>
      <c r="O56" t="inlineStr">
        <is>
          <t>https://www.imdb.com/find/?q=Bohemian+Rhapsody+2018</t>
        </is>
      </c>
      <c r="P56" t="inlineStr">
        <is>
          <t>https://www.rottentomatoes.com/search?search=Bohemian+Rhapsody</t>
        </is>
      </c>
      <c r="Q56" t="inlineStr">
        <is>
          <t>https://letterboxd.com/search/Bohemian%20Rhapsody/</t>
        </is>
      </c>
      <c r="R56" t="inlineStr">
        <is>
          <t>https://www.metacritic.com/search/Bohemian+Rhapsody/</t>
        </is>
      </c>
    </row>
    <row r="57">
      <c r="A57" t="inlineStr">
        <is>
          <t>F0053</t>
        </is>
      </c>
      <c r="B57" t="inlineStr">
        <is>
          <t>The Bourne Identity</t>
        </is>
      </c>
      <c r="C57" s="63" t="inlineStr">
        <is>
          <t>2002</t>
        </is>
      </c>
      <c r="E57" s="82" t="n"/>
      <c r="F57" s="85" t="n"/>
      <c r="G57" s="71" t="n"/>
      <c r="H57" s="71" t="n"/>
      <c r="I57" s="83" t="n"/>
      <c r="J57" s="71" t="n"/>
      <c r="K57" s="82" t="n"/>
      <c r="L57" s="82">
        <f>IF(COUNT(E57,G57,H57,I57,J57,K57)=0,"",ROUND((IF(E57="",0,E57*10)+IF(G57="",0,G57)+IF(H57="",0,H57)+IF(I57="",0,I57*20)+IF(J57="",0,J57)+IF(K57="",0,K57*10))/COUNT(E57,G57,H57,I57,J57,K57),1))</f>
        <v/>
      </c>
      <c r="M57">
        <f>IF(L57="","",IF(L57&gt;=85,"Excellent",IF(L57&gt;=70,"Good",IF(L57&gt;=55,"Mixed","Poor"))))</f>
        <v/>
      </c>
      <c r="N57" s="66" t="n"/>
      <c r="O57" t="inlineStr">
        <is>
          <t>https://www.imdb.com/find/?q=The+Bourne+Identity+2002</t>
        </is>
      </c>
      <c r="P57" t="inlineStr">
        <is>
          <t>https://www.rottentomatoes.com/search?search=The+Bourne+Identity</t>
        </is>
      </c>
      <c r="Q57" t="inlineStr">
        <is>
          <t>https://letterboxd.com/search/The%20Bourne%20Identity/</t>
        </is>
      </c>
      <c r="R57" t="inlineStr">
        <is>
          <t>https://www.metacritic.com/search/The+Bourne+Identity/</t>
        </is>
      </c>
    </row>
    <row r="58">
      <c r="A58" t="inlineStr">
        <is>
          <t>F0054</t>
        </is>
      </c>
      <c r="B58" t="inlineStr">
        <is>
          <t>The Bourne Supremacy</t>
        </is>
      </c>
      <c r="C58" s="63" t="inlineStr">
        <is>
          <t>2004</t>
        </is>
      </c>
      <c r="E58" s="82" t="n"/>
      <c r="F58" s="85" t="n"/>
      <c r="G58" s="71" t="n"/>
      <c r="H58" s="71" t="n"/>
      <c r="I58" s="83" t="n"/>
      <c r="J58" s="71" t="n"/>
      <c r="K58" s="82" t="n"/>
      <c r="L58" s="82">
        <f>IF(COUNT(E58,G58,H58,I58,J58,K58)=0,"",ROUND((IF(E58="",0,E58*10)+IF(G58="",0,G58)+IF(H58="",0,H58)+IF(I58="",0,I58*20)+IF(J58="",0,J58)+IF(K58="",0,K58*10))/COUNT(E58,G58,H58,I58,J58,K58),1))</f>
        <v/>
      </c>
      <c r="M58">
        <f>IF(L58="","",IF(L58&gt;=85,"Excellent",IF(L58&gt;=70,"Good",IF(L58&gt;=55,"Mixed","Poor"))))</f>
        <v/>
      </c>
      <c r="N58" s="66" t="n"/>
      <c r="O58" t="inlineStr">
        <is>
          <t>https://www.imdb.com/find/?q=The+Bourne+Supremacy+2004</t>
        </is>
      </c>
      <c r="P58" t="inlineStr">
        <is>
          <t>https://www.rottentomatoes.com/search?search=The+Bourne+Supremacy</t>
        </is>
      </c>
      <c r="Q58" t="inlineStr">
        <is>
          <t>https://letterboxd.com/search/The%20Bourne%20Supremacy/</t>
        </is>
      </c>
      <c r="R58" t="inlineStr">
        <is>
          <t>https://www.metacritic.com/search/The+Bourne+Supremacy/</t>
        </is>
      </c>
    </row>
    <row r="59">
      <c r="A59" t="inlineStr">
        <is>
          <t>F0055</t>
        </is>
      </c>
      <c r="B59" t="inlineStr">
        <is>
          <t>The Bourne Ultimatum</t>
        </is>
      </c>
      <c r="C59" s="63" t="inlineStr">
        <is>
          <t>2007</t>
        </is>
      </c>
      <c r="E59" s="82" t="n"/>
      <c r="F59" s="85" t="n"/>
      <c r="G59" s="71" t="n"/>
      <c r="H59" s="71" t="n"/>
      <c r="I59" s="83" t="n"/>
      <c r="J59" s="71" t="n"/>
      <c r="K59" s="82" t="n"/>
      <c r="L59" s="82">
        <f>IF(COUNT(E59,G59,H59,I59,J59,K59)=0,"",ROUND((IF(E59="",0,E59*10)+IF(G59="",0,G59)+IF(H59="",0,H59)+IF(I59="",0,I59*20)+IF(J59="",0,J59)+IF(K59="",0,K59*10))/COUNT(E59,G59,H59,I59,J59,K59),1))</f>
        <v/>
      </c>
      <c r="M59">
        <f>IF(L59="","",IF(L59&gt;=85,"Excellent",IF(L59&gt;=70,"Good",IF(L59&gt;=55,"Mixed","Poor"))))</f>
        <v/>
      </c>
      <c r="N59" s="66" t="n"/>
      <c r="O59" t="inlineStr">
        <is>
          <t>https://www.imdb.com/find/?q=The+Bourne+Ultimatum+2007</t>
        </is>
      </c>
      <c r="P59" t="inlineStr">
        <is>
          <t>https://www.rottentomatoes.com/search?search=The+Bourne+Ultimatum</t>
        </is>
      </c>
      <c r="Q59" t="inlineStr">
        <is>
          <t>https://letterboxd.com/search/The%20Bourne%20Ultimatum/</t>
        </is>
      </c>
      <c r="R59" t="inlineStr">
        <is>
          <t>https://www.metacritic.com/search/The+Bourne+Ultimatum/</t>
        </is>
      </c>
    </row>
    <row r="60">
      <c r="A60" t="inlineStr">
        <is>
          <t>F0056</t>
        </is>
      </c>
      <c r="B60" t="inlineStr">
        <is>
          <t>The Bourne Legacy</t>
        </is>
      </c>
      <c r="C60" s="63" t="inlineStr">
        <is>
          <t>2012</t>
        </is>
      </c>
      <c r="E60" s="82" t="n"/>
      <c r="F60" s="85" t="n"/>
      <c r="G60" s="71" t="n"/>
      <c r="H60" s="71" t="n"/>
      <c r="I60" s="83" t="n"/>
      <c r="J60" s="71" t="n"/>
      <c r="K60" s="82" t="n"/>
      <c r="L60" s="82">
        <f>IF(COUNT(E60,G60,H60,I60,J60,K60)=0,"",ROUND((IF(E60="",0,E60*10)+IF(G60="",0,G60)+IF(H60="",0,H60)+IF(I60="",0,I60*20)+IF(J60="",0,J60)+IF(K60="",0,K60*10))/COUNT(E60,G60,H60,I60,J60,K60),1))</f>
        <v/>
      </c>
      <c r="M60">
        <f>IF(L60="","",IF(L60&gt;=85,"Excellent",IF(L60&gt;=70,"Good",IF(L60&gt;=55,"Mixed","Poor"))))</f>
        <v/>
      </c>
      <c r="N60" s="66" t="n"/>
      <c r="O60" t="inlineStr">
        <is>
          <t>https://www.imdb.com/find/?q=The+Bourne+Legacy+2012</t>
        </is>
      </c>
      <c r="P60" t="inlineStr">
        <is>
          <t>https://www.rottentomatoes.com/search?search=The+Bourne+Legacy</t>
        </is>
      </c>
      <c r="Q60" t="inlineStr">
        <is>
          <t>https://letterboxd.com/search/The%20Bourne%20Legacy/</t>
        </is>
      </c>
      <c r="R60" t="inlineStr">
        <is>
          <t>https://www.metacritic.com/search/The+Bourne+Legacy/</t>
        </is>
      </c>
    </row>
    <row r="61">
      <c r="A61" t="inlineStr">
        <is>
          <t>F0057</t>
        </is>
      </c>
      <c r="B61" t="inlineStr">
        <is>
          <t>The Breakfast Club</t>
        </is>
      </c>
      <c r="C61" s="63" t="inlineStr">
        <is>
          <t>1985</t>
        </is>
      </c>
      <c r="E61" s="82" t="n"/>
      <c r="F61" s="85" t="n"/>
      <c r="G61" s="71" t="n"/>
      <c r="H61" s="71" t="n"/>
      <c r="I61" s="83" t="n"/>
      <c r="J61" s="71" t="n"/>
      <c r="K61" s="82" t="n"/>
      <c r="L61" s="82">
        <f>IF(COUNT(E61,G61,H61,I61,J61,K61)=0,"",ROUND((IF(E61="",0,E61*10)+IF(G61="",0,G61)+IF(H61="",0,H61)+IF(I61="",0,I61*20)+IF(J61="",0,J61)+IF(K61="",0,K61*10))/COUNT(E61,G61,H61,I61,J61,K61),1))</f>
        <v/>
      </c>
      <c r="M61">
        <f>IF(L61="","",IF(L61&gt;=85,"Excellent",IF(L61&gt;=70,"Good",IF(L61&gt;=55,"Mixed","Poor"))))</f>
        <v/>
      </c>
      <c r="N61" s="66" t="n"/>
      <c r="O61" t="inlineStr">
        <is>
          <t>https://www.imdb.com/find/?q=The+Breakfast+Club+1985</t>
        </is>
      </c>
      <c r="P61" t="inlineStr">
        <is>
          <t>https://www.rottentomatoes.com/search?search=The+Breakfast+Club</t>
        </is>
      </c>
      <c r="Q61" t="inlineStr">
        <is>
          <t>https://letterboxd.com/search/The%20Breakfast%20Club/</t>
        </is>
      </c>
      <c r="R61" t="inlineStr">
        <is>
          <t>https://www.metacritic.com/search/The+Breakfast+Club/</t>
        </is>
      </c>
    </row>
    <row r="62">
      <c r="A62" t="inlineStr">
        <is>
          <t>F0058</t>
        </is>
      </c>
      <c r="B62" t="inlineStr">
        <is>
          <t>Bridesmaids</t>
        </is>
      </c>
      <c r="C62" s="63" t="inlineStr">
        <is>
          <t>2011</t>
        </is>
      </c>
      <c r="E62" s="82" t="n"/>
      <c r="F62" s="85" t="n"/>
      <c r="G62" s="71" t="n"/>
      <c r="H62" s="71" t="n"/>
      <c r="I62" s="83" t="n"/>
      <c r="J62" s="71" t="n"/>
      <c r="K62" s="82" t="n"/>
      <c r="L62" s="82">
        <f>IF(COUNT(E62,G62,H62,I62,J62,K62)=0,"",ROUND((IF(E62="",0,E62*10)+IF(G62="",0,G62)+IF(H62="",0,H62)+IF(I62="",0,I62*20)+IF(J62="",0,J62)+IF(K62="",0,K62*10))/COUNT(E62,G62,H62,I62,J62,K62),1))</f>
        <v/>
      </c>
      <c r="M62">
        <f>IF(L62="","",IF(L62&gt;=85,"Excellent",IF(L62&gt;=70,"Good",IF(L62&gt;=55,"Mixed","Poor"))))</f>
        <v/>
      </c>
      <c r="N62" s="66" t="n"/>
      <c r="O62" t="inlineStr">
        <is>
          <t>https://www.imdb.com/find/?q=Bridesmaids+2011</t>
        </is>
      </c>
      <c r="P62" t="inlineStr">
        <is>
          <t>https://www.rottentomatoes.com/search?search=Bridesmaids</t>
        </is>
      </c>
      <c r="Q62" t="inlineStr">
        <is>
          <t>https://letterboxd.com/search/Bridesmaids/</t>
        </is>
      </c>
      <c r="R62" t="inlineStr">
        <is>
          <t>https://www.metacritic.com/search/Bridesmaids/</t>
        </is>
      </c>
    </row>
    <row r="63">
      <c r="A63" t="inlineStr">
        <is>
          <t>F0059</t>
        </is>
      </c>
      <c r="B63" t="inlineStr">
        <is>
          <t>Brüno</t>
        </is>
      </c>
      <c r="C63" s="63" t="inlineStr">
        <is>
          <t>2009</t>
        </is>
      </c>
      <c r="E63" s="82" t="n"/>
      <c r="F63" s="85" t="n"/>
      <c r="G63" s="71" t="n"/>
      <c r="H63" s="71" t="n"/>
      <c r="I63" s="83" t="n"/>
      <c r="J63" s="71" t="n"/>
      <c r="K63" s="82" t="n"/>
      <c r="L63" s="82">
        <f>IF(COUNT(E63,G63,H63,I63,J63,K63)=0,"",ROUND((IF(E63="",0,E63*10)+IF(G63="",0,G63)+IF(H63="",0,H63)+IF(I63="",0,I63*20)+IF(J63="",0,J63)+IF(K63="",0,K63*10))/COUNT(E63,G63,H63,I63,J63,K63),1))</f>
        <v/>
      </c>
      <c r="M63">
        <f>IF(L63="","",IF(L63&gt;=85,"Excellent",IF(L63&gt;=70,"Good",IF(L63&gt;=55,"Mixed","Poor"))))</f>
        <v/>
      </c>
      <c r="N63" s="66" t="n"/>
      <c r="O63" t="inlineStr">
        <is>
          <t>https://www.imdb.com/find/?q=Br%C3%BCno+2009</t>
        </is>
      </c>
      <c r="P63" t="inlineStr">
        <is>
          <t>https://www.rottentomatoes.com/search?search=Br%C3%BCno</t>
        </is>
      </c>
      <c r="Q63" t="inlineStr">
        <is>
          <t>https://letterboxd.com/search/Br%C3%BCno/</t>
        </is>
      </c>
      <c r="R63" t="inlineStr">
        <is>
          <t>https://www.metacritic.com/search/Br%C3%BCno/</t>
        </is>
      </c>
    </row>
    <row r="64">
      <c r="A64" t="inlineStr">
        <is>
          <t>F0060</t>
        </is>
      </c>
      <c r="B64" t="inlineStr">
        <is>
          <t>The Bucket List</t>
        </is>
      </c>
      <c r="C64" s="63" t="inlineStr">
        <is>
          <t>2007</t>
        </is>
      </c>
      <c r="E64" s="82" t="n"/>
      <c r="F64" s="85" t="n"/>
      <c r="G64" s="71" t="n"/>
      <c r="H64" s="71" t="n"/>
      <c r="I64" s="83" t="n"/>
      <c r="J64" s="71" t="n"/>
      <c r="K64" s="82" t="n"/>
      <c r="L64" s="82">
        <f>IF(COUNT(E64,G64,H64,I64,J64,K64)=0,"",ROUND((IF(E64="",0,E64*10)+IF(G64="",0,G64)+IF(H64="",0,H64)+IF(I64="",0,I64*20)+IF(J64="",0,J64)+IF(K64="",0,K64*10))/COUNT(E64,G64,H64,I64,J64,K64),1))</f>
        <v/>
      </c>
      <c r="M64">
        <f>IF(L64="","",IF(L64&gt;=85,"Excellent",IF(L64&gt;=70,"Good",IF(L64&gt;=55,"Mixed","Poor"))))</f>
        <v/>
      </c>
      <c r="N64" s="66" t="n"/>
      <c r="O64" t="inlineStr">
        <is>
          <t>https://www.imdb.com/find/?q=The+Bucket+List+2007</t>
        </is>
      </c>
      <c r="P64" t="inlineStr">
        <is>
          <t>https://www.rottentomatoes.com/search?search=The+Bucket+List</t>
        </is>
      </c>
      <c r="Q64" t="inlineStr">
        <is>
          <t>https://letterboxd.com/search/The%20Bucket%20List/</t>
        </is>
      </c>
      <c r="R64" t="inlineStr">
        <is>
          <t>https://www.metacritic.com/search/The+Bucket+List/</t>
        </is>
      </c>
    </row>
    <row r="65">
      <c r="A65" t="inlineStr">
        <is>
          <t>F0061</t>
        </is>
      </c>
      <c r="B65" t="inlineStr">
        <is>
          <t>Bumblebee</t>
        </is>
      </c>
      <c r="C65" s="63" t="inlineStr">
        <is>
          <t>2018</t>
        </is>
      </c>
      <c r="E65" s="82" t="n"/>
      <c r="F65" s="85" t="n"/>
      <c r="G65" s="71" t="n"/>
      <c r="H65" s="71" t="n"/>
      <c r="I65" s="83" t="n"/>
      <c r="J65" s="71" t="n"/>
      <c r="K65" s="82" t="n"/>
      <c r="L65" s="82">
        <f>IF(COUNT(E65,G65,H65,I65,J65,K65)=0,"",ROUND((IF(E65="",0,E65*10)+IF(G65="",0,G65)+IF(H65="",0,H65)+IF(I65="",0,I65*20)+IF(J65="",0,J65)+IF(K65="",0,K65*10))/COUNT(E65,G65,H65,I65,J65,K65),1))</f>
        <v/>
      </c>
      <c r="M65">
        <f>IF(L65="","",IF(L65&gt;=85,"Excellent",IF(L65&gt;=70,"Good",IF(L65&gt;=55,"Mixed","Poor"))))</f>
        <v/>
      </c>
      <c r="N65" s="66" t="n"/>
      <c r="O65" t="inlineStr">
        <is>
          <t>https://www.imdb.com/find/?q=Bumblebee+2018</t>
        </is>
      </c>
      <c r="P65" t="inlineStr">
        <is>
          <t>https://www.rottentomatoes.com/search?search=Bumblebee</t>
        </is>
      </c>
      <c r="Q65" t="inlineStr">
        <is>
          <t>https://letterboxd.com/search/Bumblebee/</t>
        </is>
      </c>
      <c r="R65" t="inlineStr">
        <is>
          <t>https://www.metacritic.com/search/Bumblebee/</t>
        </is>
      </c>
    </row>
    <row r="66">
      <c r="A66" t="inlineStr">
        <is>
          <t>F0062</t>
        </is>
      </c>
      <c r="B66" t="inlineStr">
        <is>
          <t>Captain Phillips</t>
        </is>
      </c>
      <c r="C66" s="63" t="inlineStr">
        <is>
          <t>2013</t>
        </is>
      </c>
      <c r="E66" s="82" t="n"/>
      <c r="F66" s="85" t="n"/>
      <c r="G66" s="71" t="n"/>
      <c r="H66" s="71" t="n"/>
      <c r="I66" s="83" t="n"/>
      <c r="J66" s="71" t="n"/>
      <c r="K66" s="82" t="n"/>
      <c r="L66" s="82">
        <f>IF(COUNT(E66,G66,H66,I66,J66,K66)=0,"",ROUND((IF(E66="",0,E66*10)+IF(G66="",0,G66)+IF(H66="",0,H66)+IF(I66="",0,I66*20)+IF(J66="",0,J66)+IF(K66="",0,K66*10))/COUNT(E66,G66,H66,I66,J66,K66),1))</f>
        <v/>
      </c>
      <c r="M66">
        <f>IF(L66="","",IF(L66&gt;=85,"Excellent",IF(L66&gt;=70,"Good",IF(L66&gt;=55,"Mixed","Poor"))))</f>
        <v/>
      </c>
      <c r="N66" s="66" t="n"/>
      <c r="O66" t="inlineStr">
        <is>
          <t>https://www.imdb.com/find/?q=Captain+Phillips+2013</t>
        </is>
      </c>
      <c r="P66" t="inlineStr">
        <is>
          <t>https://www.rottentomatoes.com/search?search=Captain+Phillips</t>
        </is>
      </c>
      <c r="Q66" t="inlineStr">
        <is>
          <t>https://letterboxd.com/search/Captain%20Phillips/</t>
        </is>
      </c>
      <c r="R66" t="inlineStr">
        <is>
          <t>https://www.metacritic.com/search/Captain+Phillips/</t>
        </is>
      </c>
    </row>
    <row r="67">
      <c r="A67" t="inlineStr">
        <is>
          <t>F0063</t>
        </is>
      </c>
      <c r="B67" t="inlineStr">
        <is>
          <t>Catch.44</t>
        </is>
      </c>
      <c r="C67" s="63" t="inlineStr">
        <is>
          <t>2011</t>
        </is>
      </c>
      <c r="E67" s="82" t="n"/>
      <c r="F67" s="85" t="n"/>
      <c r="G67" s="71" t="n"/>
      <c r="H67" s="71" t="n"/>
      <c r="I67" s="83" t="n"/>
      <c r="J67" s="71" t="n"/>
      <c r="K67" s="82" t="n"/>
      <c r="L67" s="82">
        <f>IF(COUNT(E67,G67,H67,I67,J67,K67)=0,"",ROUND((IF(E67="",0,E67*10)+IF(G67="",0,G67)+IF(H67="",0,H67)+IF(I67="",0,I67*20)+IF(J67="",0,J67)+IF(K67="",0,K67*10))/COUNT(E67,G67,H67,I67,J67,K67),1))</f>
        <v/>
      </c>
      <c r="M67">
        <f>IF(L67="","",IF(L67&gt;=85,"Excellent",IF(L67&gt;=70,"Good",IF(L67&gt;=55,"Mixed","Poor"))))</f>
        <v/>
      </c>
      <c r="N67" s="66" t="n"/>
      <c r="O67" t="inlineStr">
        <is>
          <t>https://www.imdb.com/find/?q=Catch.44+2011</t>
        </is>
      </c>
      <c r="P67" t="inlineStr">
        <is>
          <t>https://www.rottentomatoes.com/search?search=Catch.44</t>
        </is>
      </c>
      <c r="Q67" t="inlineStr">
        <is>
          <t>https://letterboxd.com/search/Catch.44/</t>
        </is>
      </c>
      <c r="R67" t="inlineStr">
        <is>
          <t>https://www.metacritic.com/search/Catch.44/</t>
        </is>
      </c>
    </row>
    <row r="68">
      <c r="A68" t="inlineStr">
        <is>
          <t>F0064</t>
        </is>
      </c>
      <c r="B68" t="inlineStr">
        <is>
          <t>Catch Me If You Can</t>
        </is>
      </c>
      <c r="C68" s="63" t="inlineStr">
        <is>
          <t>2002</t>
        </is>
      </c>
      <c r="E68" s="82" t="n"/>
      <c r="F68" s="85" t="n"/>
      <c r="G68" s="71" t="n"/>
      <c r="H68" s="71" t="n"/>
      <c r="I68" s="83" t="n"/>
      <c r="J68" s="71" t="n"/>
      <c r="K68" s="82" t="n"/>
      <c r="L68" s="82">
        <f>IF(COUNT(E68,G68,H68,I68,J68,K68)=0,"",ROUND((IF(E68="",0,E68*10)+IF(G68="",0,G68)+IF(H68="",0,H68)+IF(I68="",0,I68*20)+IF(J68="",0,J68)+IF(K68="",0,K68*10))/COUNT(E68,G68,H68,I68,J68,K68),1))</f>
        <v/>
      </c>
      <c r="M68">
        <f>IF(L68="","",IF(L68&gt;=85,"Excellent",IF(L68&gt;=70,"Good",IF(L68&gt;=55,"Mixed","Poor"))))</f>
        <v/>
      </c>
      <c r="N68" s="66" t="n"/>
      <c r="O68" t="inlineStr">
        <is>
          <t>https://www.imdb.com/find/?q=Catch+Me+If+You+Can+2002</t>
        </is>
      </c>
      <c r="P68" t="inlineStr">
        <is>
          <t>https://www.rottentomatoes.com/search?search=Catch+Me+If+You+Can</t>
        </is>
      </c>
      <c r="Q68" t="inlineStr">
        <is>
          <t>https://letterboxd.com/search/Catch%20Me%20If%20You%20Can/</t>
        </is>
      </c>
      <c r="R68" t="inlineStr">
        <is>
          <t>https://www.metacritic.com/search/Catch+Me+If+You+Can/</t>
        </is>
      </c>
    </row>
    <row r="69">
      <c r="A69" t="inlineStr">
        <is>
          <t>F0065</t>
        </is>
      </c>
      <c r="B69" t="inlineStr">
        <is>
          <t>Chef</t>
        </is>
      </c>
      <c r="C69" s="63" t="inlineStr">
        <is>
          <t>2014</t>
        </is>
      </c>
      <c r="E69" s="82" t="n"/>
      <c r="F69" s="85" t="n"/>
      <c r="G69" s="71" t="n"/>
      <c r="H69" s="71" t="n"/>
      <c r="I69" s="83" t="n"/>
      <c r="J69" s="71" t="n"/>
      <c r="K69" s="82" t="n"/>
      <c r="L69" s="82">
        <f>IF(COUNT(E69,G69,H69,I69,J69,K69)=0,"",ROUND((IF(E69="",0,E69*10)+IF(G69="",0,G69)+IF(H69="",0,H69)+IF(I69="",0,I69*20)+IF(J69="",0,J69)+IF(K69="",0,K69*10))/COUNT(E69,G69,H69,I69,J69,K69),1))</f>
        <v/>
      </c>
      <c r="M69">
        <f>IF(L69="","",IF(L69&gt;=85,"Excellent",IF(L69&gt;=70,"Good",IF(L69&gt;=55,"Mixed","Poor"))))</f>
        <v/>
      </c>
      <c r="N69" s="66" t="n"/>
      <c r="O69" t="inlineStr">
        <is>
          <t>https://www.imdb.com/find/?q=Chef+2014</t>
        </is>
      </c>
      <c r="P69" t="inlineStr">
        <is>
          <t>https://www.rottentomatoes.com/search?search=Chef</t>
        </is>
      </c>
      <c r="Q69" t="inlineStr">
        <is>
          <t>https://letterboxd.com/search/Chef/</t>
        </is>
      </c>
      <c r="R69" t="inlineStr">
        <is>
          <t>https://www.metacritic.com/search/Chef/</t>
        </is>
      </c>
    </row>
    <row r="70">
      <c r="A70" t="inlineStr">
        <is>
          <t>F0066</t>
        </is>
      </c>
      <c r="B70" t="inlineStr">
        <is>
          <t>Clash of the Titans</t>
        </is>
      </c>
      <c r="C70" s="63" t="inlineStr">
        <is>
          <t>2010</t>
        </is>
      </c>
      <c r="E70" s="82" t="n"/>
      <c r="F70" s="85" t="n"/>
      <c r="G70" s="71" t="n"/>
      <c r="H70" s="71" t="n"/>
      <c r="I70" s="83" t="n"/>
      <c r="J70" s="71" t="n"/>
      <c r="K70" s="82" t="n"/>
      <c r="L70" s="82">
        <f>IF(COUNT(E70,G70,H70,I70,J70,K70)=0,"",ROUND((IF(E70="",0,E70*10)+IF(G70="",0,G70)+IF(H70="",0,H70)+IF(I70="",0,I70*20)+IF(J70="",0,J70)+IF(K70="",0,K70*10))/COUNT(E70,G70,H70,I70,J70,K70),1))</f>
        <v/>
      </c>
      <c r="M70">
        <f>IF(L70="","",IF(L70&gt;=85,"Excellent",IF(L70&gt;=70,"Good",IF(L70&gt;=55,"Mixed","Poor"))))</f>
        <v/>
      </c>
      <c r="N70" s="66" t="n"/>
      <c r="O70" t="inlineStr">
        <is>
          <t>https://www.imdb.com/find/?q=Clash+of+the+Titans+2010</t>
        </is>
      </c>
      <c r="P70" t="inlineStr">
        <is>
          <t>https://www.rottentomatoes.com/search?search=Clash+of+the+Titans</t>
        </is>
      </c>
      <c r="Q70" t="inlineStr">
        <is>
          <t>https://letterboxd.com/search/Clash%20of%20the%20Titans/</t>
        </is>
      </c>
      <c r="R70" t="inlineStr">
        <is>
          <t>https://www.metacritic.com/search/Clash+of+the+Titans/</t>
        </is>
      </c>
    </row>
    <row r="71">
      <c r="A71" t="inlineStr">
        <is>
          <t>F0067</t>
        </is>
      </c>
      <c r="B71" t="inlineStr">
        <is>
          <t>Cloudy with a Chance of Meatballs 2</t>
        </is>
      </c>
      <c r="C71" s="63" t="inlineStr">
        <is>
          <t>2013</t>
        </is>
      </c>
      <c r="E71" s="82" t="n"/>
      <c r="F71" s="85" t="n"/>
      <c r="G71" s="71" t="n"/>
      <c r="H71" s="71" t="n"/>
      <c r="I71" s="83" t="n"/>
      <c r="J71" s="71" t="n"/>
      <c r="K71" s="82" t="n"/>
      <c r="L71" s="82">
        <f>IF(COUNT(E71,G71,H71,I71,J71,K71)=0,"",ROUND((IF(E71="",0,E71*10)+IF(G71="",0,G71)+IF(H71="",0,H71)+IF(I71="",0,I71*20)+IF(J71="",0,J71)+IF(K71="",0,K71*10))/COUNT(E71,G71,H71,I71,J71,K71),1))</f>
        <v/>
      </c>
      <c r="M71">
        <f>IF(L71="","",IF(L71&gt;=85,"Excellent",IF(L71&gt;=70,"Good",IF(L71&gt;=55,"Mixed","Poor"))))</f>
        <v/>
      </c>
      <c r="N71" s="66" t="n"/>
      <c r="O71" t="inlineStr">
        <is>
          <t>https://www.imdb.com/find/?q=Cloudy+with+a+Chance+of+Meatballs+2+2013</t>
        </is>
      </c>
      <c r="P71" t="inlineStr">
        <is>
          <t>https://www.rottentomatoes.com/search?search=Cloudy+with+a+Chance+of+Meatballs+2</t>
        </is>
      </c>
      <c r="Q71" t="inlineStr">
        <is>
          <t>https://letterboxd.com/search/Cloudy%20with%20a%20Chance%20of%20Meatballs%202/</t>
        </is>
      </c>
      <c r="R71" t="inlineStr">
        <is>
          <t>https://www.metacritic.com/search/Cloudy+with+a+Chance+of+Meatballs+2/</t>
        </is>
      </c>
    </row>
    <row r="72">
      <c r="A72" t="inlineStr">
        <is>
          <t>F0068</t>
        </is>
      </c>
      <c r="B72" t="inlineStr">
        <is>
          <t>Con Air</t>
        </is>
      </c>
      <c r="C72" s="63" t="inlineStr">
        <is>
          <t>1997</t>
        </is>
      </c>
      <c r="E72" s="82" t="n"/>
      <c r="F72" s="85" t="n"/>
      <c r="G72" s="71" t="n"/>
      <c r="H72" s="71" t="n"/>
      <c r="I72" s="83" t="n"/>
      <c r="J72" s="71" t="n"/>
      <c r="K72" s="82" t="n"/>
      <c r="L72" s="82">
        <f>IF(COUNT(E72,G72,H72,I72,J72,K72)=0,"",ROUND((IF(E72="",0,E72*10)+IF(G72="",0,G72)+IF(H72="",0,H72)+IF(I72="",0,I72*20)+IF(J72="",0,J72)+IF(K72="",0,K72*10))/COUNT(E72,G72,H72,I72,J72,K72),1))</f>
        <v/>
      </c>
      <c r="M72">
        <f>IF(L72="","",IF(L72&gt;=85,"Excellent",IF(L72&gt;=70,"Good",IF(L72&gt;=55,"Mixed","Poor"))))</f>
        <v/>
      </c>
      <c r="N72" s="66" t="n"/>
      <c r="O72" t="inlineStr">
        <is>
          <t>https://www.imdb.com/find/?q=Con+Air+1997</t>
        </is>
      </c>
      <c r="P72" t="inlineStr">
        <is>
          <t>https://www.rottentomatoes.com/search?search=Con+Air</t>
        </is>
      </c>
      <c r="Q72" t="inlineStr">
        <is>
          <t>https://letterboxd.com/search/Con%20Air/</t>
        </is>
      </c>
      <c r="R72" t="inlineStr">
        <is>
          <t>https://www.metacritic.com/search/Con+Air/</t>
        </is>
      </c>
    </row>
    <row r="73">
      <c r="A73" t="inlineStr">
        <is>
          <t>F0069</t>
        </is>
      </c>
      <c r="B73" t="inlineStr">
        <is>
          <t>Cop Out</t>
        </is>
      </c>
      <c r="C73" s="63" t="inlineStr">
        <is>
          <t>2010</t>
        </is>
      </c>
      <c r="E73" s="82" t="n"/>
      <c r="F73" s="85" t="n"/>
      <c r="G73" s="71" t="n"/>
      <c r="H73" s="71" t="n"/>
      <c r="I73" s="83" t="n"/>
      <c r="J73" s="71" t="n"/>
      <c r="K73" s="82" t="n"/>
      <c r="L73" s="82">
        <f>IF(COUNT(E73,G73,H73,I73,J73,K73)=0,"",ROUND((IF(E73="",0,E73*10)+IF(G73="",0,G73)+IF(H73="",0,H73)+IF(I73="",0,I73*20)+IF(J73="",0,J73)+IF(K73="",0,K73*10))/COUNT(E73,G73,H73,I73,J73,K73),1))</f>
        <v/>
      </c>
      <c r="M73">
        <f>IF(L73="","",IF(L73&gt;=85,"Excellent",IF(L73&gt;=70,"Good",IF(L73&gt;=55,"Mixed","Poor"))))</f>
        <v/>
      </c>
      <c r="N73" s="66" t="n"/>
      <c r="O73" t="inlineStr">
        <is>
          <t>https://www.imdb.com/find/?q=Cop+Out+2010</t>
        </is>
      </c>
      <c r="P73" t="inlineStr">
        <is>
          <t>https://www.rottentomatoes.com/search?search=Cop+Out</t>
        </is>
      </c>
      <c r="Q73" t="inlineStr">
        <is>
          <t>https://letterboxd.com/search/Cop%20Out/</t>
        </is>
      </c>
      <c r="R73" t="inlineStr">
        <is>
          <t>https://www.metacritic.com/search/Cop+Out/</t>
        </is>
      </c>
    </row>
    <row r="74">
      <c r="A74" t="inlineStr">
        <is>
          <t>F0070</t>
        </is>
      </c>
      <c r="B74" t="inlineStr">
        <is>
          <t>Shaun of the Dead</t>
        </is>
      </c>
      <c r="C74" s="63" t="inlineStr">
        <is>
          <t>2004</t>
        </is>
      </c>
      <c r="E74" s="82" t="n"/>
      <c r="F74" s="85" t="n"/>
      <c r="G74" s="71" t="n"/>
      <c r="H74" s="71" t="n"/>
      <c r="I74" s="83" t="n"/>
      <c r="J74" s="71" t="n"/>
      <c r="K74" s="82" t="n"/>
      <c r="L74" s="82">
        <f>IF(COUNT(E74,G74,H74,I74,J74,K74)=0,"",ROUND((IF(E74="",0,E74*10)+IF(G74="",0,G74)+IF(H74="",0,H74)+IF(I74="",0,I74*20)+IF(J74="",0,J74)+IF(K74="",0,K74*10))/COUNT(E74,G74,H74,I74,J74,K74),1))</f>
        <v/>
      </c>
      <c r="M74">
        <f>IF(L74="","",IF(L74&gt;=85,"Excellent",IF(L74&gt;=70,"Good",IF(L74&gt;=55,"Mixed","Poor"))))</f>
        <v/>
      </c>
      <c r="N74" s="66" t="n"/>
      <c r="O74" t="inlineStr">
        <is>
          <t>https://www.imdb.com/find/?q=Shaun+of+the+Dead+2004</t>
        </is>
      </c>
      <c r="P74" t="inlineStr">
        <is>
          <t>https://www.rottentomatoes.com/search?search=Shaun+of+the+Dead</t>
        </is>
      </c>
      <c r="Q74" t="inlineStr">
        <is>
          <t>https://letterboxd.com/search/Shaun%20of%20the%20Dead/</t>
        </is>
      </c>
      <c r="R74" t="inlineStr">
        <is>
          <t>https://www.metacritic.com/search/Shaun+of+the+Dead/</t>
        </is>
      </c>
    </row>
    <row r="75">
      <c r="A75" t="inlineStr">
        <is>
          <t>F0071</t>
        </is>
      </c>
      <c r="B75" t="inlineStr">
        <is>
          <t>Hot Fuzz</t>
        </is>
      </c>
      <c r="C75" s="63" t="inlineStr">
        <is>
          <t>2007</t>
        </is>
      </c>
      <c r="E75" s="82" t="n"/>
      <c r="F75" s="85" t="n"/>
      <c r="G75" s="71" t="n"/>
      <c r="H75" s="71" t="n"/>
      <c r="I75" s="83" t="n"/>
      <c r="J75" s="71" t="n"/>
      <c r="K75" s="82" t="n"/>
      <c r="L75" s="82">
        <f>IF(COUNT(E75,G75,H75,I75,J75,K75)=0,"",ROUND((IF(E75="",0,E75*10)+IF(G75="",0,G75)+IF(H75="",0,H75)+IF(I75="",0,I75*20)+IF(J75="",0,J75)+IF(K75="",0,K75*10))/COUNT(E75,G75,H75,I75,J75,K75),1))</f>
        <v/>
      </c>
      <c r="M75">
        <f>IF(L75="","",IF(L75&gt;=85,"Excellent",IF(L75&gt;=70,"Good",IF(L75&gt;=55,"Mixed","Poor"))))</f>
        <v/>
      </c>
      <c r="N75" s="66" t="n"/>
      <c r="O75" t="inlineStr">
        <is>
          <t>https://www.imdb.com/find/?q=Hot+Fuzz+2007</t>
        </is>
      </c>
      <c r="P75" t="inlineStr">
        <is>
          <t>https://www.rottentomatoes.com/search?search=Hot+Fuzz</t>
        </is>
      </c>
      <c r="Q75" t="inlineStr">
        <is>
          <t>https://letterboxd.com/search/Hot%20Fuzz/</t>
        </is>
      </c>
      <c r="R75" t="inlineStr">
        <is>
          <t>https://www.metacritic.com/search/Hot+Fuzz/</t>
        </is>
      </c>
    </row>
    <row r="76">
      <c r="A76" t="inlineStr">
        <is>
          <t>F0072</t>
        </is>
      </c>
      <c r="B76" t="inlineStr">
        <is>
          <t>The World's End</t>
        </is>
      </c>
      <c r="C76" s="63" t="inlineStr">
        <is>
          <t>2013</t>
        </is>
      </c>
      <c r="E76" s="82" t="n"/>
      <c r="F76" s="85" t="n"/>
      <c r="G76" s="71" t="n"/>
      <c r="H76" s="71" t="n"/>
      <c r="I76" s="83" t="n"/>
      <c r="J76" s="71" t="n"/>
      <c r="K76" s="82" t="n"/>
      <c r="L76" s="82">
        <f>IF(COUNT(E76,G76,H76,I76,J76,K76)=0,"",ROUND((IF(E76="",0,E76*10)+IF(G76="",0,G76)+IF(H76="",0,H76)+IF(I76="",0,I76*20)+IF(J76="",0,J76)+IF(K76="",0,K76*10))/COUNT(E76,G76,H76,I76,J76,K76),1))</f>
        <v/>
      </c>
      <c r="M76">
        <f>IF(L76="","",IF(L76&gt;=85,"Excellent",IF(L76&gt;=70,"Good",IF(L76&gt;=55,"Mixed","Poor"))))</f>
        <v/>
      </c>
      <c r="N76" s="66" t="n"/>
      <c r="O76" t="inlineStr">
        <is>
          <t>https://www.imdb.com/find/?q=The+World%27s+End+2013</t>
        </is>
      </c>
      <c r="P76" t="inlineStr">
        <is>
          <t>https://www.rottentomatoes.com/search?search=The+World%27s+End</t>
        </is>
      </c>
      <c r="Q76" t="inlineStr">
        <is>
          <t>https://letterboxd.com/search/The%20World%27s%20End/</t>
        </is>
      </c>
      <c r="R76" t="inlineStr">
        <is>
          <t>https://www.metacritic.com/search/The+World%27s+End/</t>
        </is>
      </c>
    </row>
    <row r="77">
      <c r="A77" t="inlineStr">
        <is>
          <t>F0073</t>
        </is>
      </c>
      <c r="B77" t="inlineStr">
        <is>
          <t>Cowboys &amp; Aliens</t>
        </is>
      </c>
      <c r="C77" s="63" t="inlineStr">
        <is>
          <t>2011</t>
        </is>
      </c>
      <c r="E77" s="82" t="n"/>
      <c r="F77" s="85" t="n"/>
      <c r="G77" s="71" t="n"/>
      <c r="H77" s="71" t="n"/>
      <c r="I77" s="83" t="n"/>
      <c r="J77" s="71" t="n"/>
      <c r="K77" s="82" t="n"/>
      <c r="L77" s="82">
        <f>IF(COUNT(E77,G77,H77,I77,J77,K77)=0,"",ROUND((IF(E77="",0,E77*10)+IF(G77="",0,G77)+IF(H77="",0,H77)+IF(I77="",0,I77*20)+IF(J77="",0,J77)+IF(K77="",0,K77*10))/COUNT(E77,G77,H77,I77,J77,K77),1))</f>
        <v/>
      </c>
      <c r="M77">
        <f>IF(L77="","",IF(L77&gt;=85,"Excellent",IF(L77&gt;=70,"Good",IF(L77&gt;=55,"Mixed","Poor"))))</f>
        <v/>
      </c>
      <c r="N77" s="66" t="n"/>
      <c r="O77" t="inlineStr">
        <is>
          <t>https://www.imdb.com/find/?q=Cowboys+%26+Aliens+2011</t>
        </is>
      </c>
      <c r="P77" t="inlineStr">
        <is>
          <t>https://www.rottentomatoes.com/search?search=Cowboys+%26+Aliens</t>
        </is>
      </c>
      <c r="Q77" t="inlineStr">
        <is>
          <t>https://letterboxd.com/search/Cowboys%20%26%20Aliens/</t>
        </is>
      </c>
      <c r="R77" t="inlineStr">
        <is>
          <t>https://www.metacritic.com/search/Cowboys+%26+Aliens/</t>
        </is>
      </c>
    </row>
    <row r="78">
      <c r="A78" t="inlineStr">
        <is>
          <t>F0074</t>
        </is>
      </c>
      <c r="B78" t="inlineStr">
        <is>
          <t>Creed</t>
        </is>
      </c>
      <c r="C78" s="63" t="inlineStr">
        <is>
          <t>2015</t>
        </is>
      </c>
      <c r="E78" s="82" t="n"/>
      <c r="F78" s="85" t="n"/>
      <c r="G78" s="71" t="n"/>
      <c r="H78" s="71" t="n"/>
      <c r="I78" s="83" t="n"/>
      <c r="J78" s="71" t="n"/>
      <c r="K78" s="82" t="n"/>
      <c r="L78" s="82">
        <f>IF(COUNT(E78,G78,H78,I78,J78,K78)=0,"",ROUND((IF(E78="",0,E78*10)+IF(G78="",0,G78)+IF(H78="",0,H78)+IF(I78="",0,I78*20)+IF(J78="",0,J78)+IF(K78="",0,K78*10))/COUNT(E78,G78,H78,I78,J78,K78),1))</f>
        <v/>
      </c>
      <c r="M78">
        <f>IF(L78="","",IF(L78&gt;=85,"Excellent",IF(L78&gt;=70,"Good",IF(L78&gt;=55,"Mixed","Poor"))))</f>
        <v/>
      </c>
      <c r="N78" s="66" t="n"/>
      <c r="O78" t="inlineStr">
        <is>
          <t>https://www.imdb.com/find/?q=Creed+2015</t>
        </is>
      </c>
      <c r="P78" t="inlineStr">
        <is>
          <t>https://www.rottentomatoes.com/search?search=Creed</t>
        </is>
      </c>
      <c r="Q78" t="inlineStr">
        <is>
          <t>https://letterboxd.com/search/Creed/</t>
        </is>
      </c>
      <c r="R78" t="inlineStr">
        <is>
          <t>https://www.metacritic.com/search/Creed/</t>
        </is>
      </c>
    </row>
    <row r="79">
      <c r="A79" t="inlineStr">
        <is>
          <t>F0075</t>
        </is>
      </c>
      <c r="B79" t="inlineStr">
        <is>
          <t>The Croods</t>
        </is>
      </c>
      <c r="C79" s="63" t="inlineStr">
        <is>
          <t>2013</t>
        </is>
      </c>
      <c r="E79" s="82" t="n"/>
      <c r="F79" s="85" t="n"/>
      <c r="G79" s="71" t="n"/>
      <c r="H79" s="71" t="n"/>
      <c r="I79" s="83" t="n"/>
      <c r="J79" s="71" t="n"/>
      <c r="K79" s="82" t="n"/>
      <c r="L79" s="82">
        <f>IF(COUNT(E79,G79,H79,I79,J79,K79)=0,"",ROUND((IF(E79="",0,E79*10)+IF(G79="",0,G79)+IF(H79="",0,H79)+IF(I79="",0,I79*20)+IF(J79="",0,J79)+IF(K79="",0,K79*10))/COUNT(E79,G79,H79,I79,J79,K79),1))</f>
        <v/>
      </c>
      <c r="M79">
        <f>IF(L79="","",IF(L79&gt;=85,"Excellent",IF(L79&gt;=70,"Good",IF(L79&gt;=55,"Mixed","Poor"))))</f>
        <v/>
      </c>
      <c r="N79" s="66" t="n"/>
      <c r="O79" t="inlineStr">
        <is>
          <t>https://www.imdb.com/find/?q=The+Croods+2013</t>
        </is>
      </c>
      <c r="P79" t="inlineStr">
        <is>
          <t>https://www.rottentomatoes.com/search?search=The+Croods</t>
        </is>
      </c>
      <c r="Q79" t="inlineStr">
        <is>
          <t>https://letterboxd.com/search/The%20Croods/</t>
        </is>
      </c>
      <c r="R79" t="inlineStr">
        <is>
          <t>https://www.metacritic.com/search/The+Croods/</t>
        </is>
      </c>
    </row>
    <row r="80">
      <c r="A80" t="inlineStr">
        <is>
          <t>F0076</t>
        </is>
      </c>
      <c r="B80" t="inlineStr">
        <is>
          <t>Deadpool</t>
        </is>
      </c>
      <c r="C80" s="63" t="inlineStr">
        <is>
          <t>2016</t>
        </is>
      </c>
      <c r="E80" s="82" t="n"/>
      <c r="F80" s="85" t="n"/>
      <c r="G80" s="71" t="n"/>
      <c r="H80" s="71" t="n"/>
      <c r="I80" s="83" t="n"/>
      <c r="J80" s="71" t="n"/>
      <c r="K80" s="82" t="n"/>
      <c r="L80" s="82">
        <f>IF(COUNT(E80,G80,H80,I80,J80,K80)=0,"",ROUND((IF(E80="",0,E80*10)+IF(G80="",0,G80)+IF(H80="",0,H80)+IF(I80="",0,I80*20)+IF(J80="",0,J80)+IF(K80="",0,K80*10))/COUNT(E80,G80,H80,I80,J80,K80),1))</f>
        <v/>
      </c>
      <c r="M80">
        <f>IF(L80="","",IF(L80&gt;=85,"Excellent",IF(L80&gt;=70,"Good",IF(L80&gt;=55,"Mixed","Poor"))))</f>
        <v/>
      </c>
      <c r="N80" s="66" t="n"/>
      <c r="O80" t="inlineStr">
        <is>
          <t>https://www.imdb.com/find/?q=Deadpool+2016</t>
        </is>
      </c>
      <c r="P80" t="inlineStr">
        <is>
          <t>https://www.rottentomatoes.com/search?search=Deadpool</t>
        </is>
      </c>
      <c r="Q80" t="inlineStr">
        <is>
          <t>https://letterboxd.com/search/Deadpool/</t>
        </is>
      </c>
      <c r="R80" t="inlineStr">
        <is>
          <t>https://www.metacritic.com/search/Deadpool/</t>
        </is>
      </c>
    </row>
    <row r="81">
      <c r="A81" t="inlineStr">
        <is>
          <t>F0077</t>
        </is>
      </c>
      <c r="B81" t="inlineStr">
        <is>
          <t>Deadpool 2</t>
        </is>
      </c>
      <c r="C81" s="63" t="inlineStr">
        <is>
          <t>2018</t>
        </is>
      </c>
      <c r="E81" s="82" t="n"/>
      <c r="F81" s="85" t="n"/>
      <c r="G81" s="71" t="n"/>
      <c r="H81" s="71" t="n"/>
      <c r="I81" s="83" t="n"/>
      <c r="J81" s="71" t="n"/>
      <c r="K81" s="82" t="n"/>
      <c r="L81" s="82">
        <f>IF(COUNT(E81,G81,H81,I81,J81,K81)=0,"",ROUND((IF(E81="",0,E81*10)+IF(G81="",0,G81)+IF(H81="",0,H81)+IF(I81="",0,I81*20)+IF(J81="",0,J81)+IF(K81="",0,K81*10))/COUNT(E81,G81,H81,I81,J81,K81),1))</f>
        <v/>
      </c>
      <c r="M81">
        <f>IF(L81="","",IF(L81&gt;=85,"Excellent",IF(L81&gt;=70,"Good",IF(L81&gt;=55,"Mixed","Poor"))))</f>
        <v/>
      </c>
      <c r="N81" s="66" t="n"/>
      <c r="O81" t="inlineStr">
        <is>
          <t>https://www.imdb.com/find/?q=Deadpool+2+2018</t>
        </is>
      </c>
      <c r="P81" t="inlineStr">
        <is>
          <t>https://www.rottentomatoes.com/search?search=Deadpool+2</t>
        </is>
      </c>
      <c r="Q81" t="inlineStr">
        <is>
          <t>https://letterboxd.com/search/Deadpool%202/</t>
        </is>
      </c>
      <c r="R81" t="inlineStr">
        <is>
          <t>https://www.metacritic.com/search/Deadpool+2/</t>
        </is>
      </c>
    </row>
    <row r="82">
      <c r="A82" t="inlineStr">
        <is>
          <t>F0078</t>
        </is>
      </c>
      <c r="B82" t="inlineStr">
        <is>
          <t>Deadpool &amp; Wolverine</t>
        </is>
      </c>
      <c r="C82" s="63" t="inlineStr">
        <is>
          <t>2024</t>
        </is>
      </c>
      <c r="E82" s="82" t="n"/>
      <c r="F82" s="85" t="n"/>
      <c r="G82" s="71" t="n"/>
      <c r="H82" s="71" t="n"/>
      <c r="I82" s="83" t="n"/>
      <c r="J82" s="71" t="n"/>
      <c r="K82" s="82" t="n"/>
      <c r="L82" s="82">
        <f>IF(COUNT(E82,G82,H82,I82,J82,K82)=0,"",ROUND((IF(E82="",0,E82*10)+IF(G82="",0,G82)+IF(H82="",0,H82)+IF(I82="",0,I82*20)+IF(J82="",0,J82)+IF(K82="",0,K82*10))/COUNT(E82,G82,H82,I82,J82,K82),1))</f>
        <v/>
      </c>
      <c r="M82">
        <f>IF(L82="","",IF(L82&gt;=85,"Excellent",IF(L82&gt;=70,"Good",IF(L82&gt;=55,"Mixed","Poor"))))</f>
        <v/>
      </c>
      <c r="N82" s="66" t="n"/>
      <c r="O82" t="inlineStr">
        <is>
          <t>https://www.imdb.com/find/?q=Deadpool+%26+Wolverine+2024</t>
        </is>
      </c>
      <c r="P82" t="inlineStr">
        <is>
          <t>https://www.rottentomatoes.com/search?search=Deadpool+%26+Wolverine</t>
        </is>
      </c>
      <c r="Q82" t="inlineStr">
        <is>
          <t>https://letterboxd.com/search/Deadpool%20%26%20Wolverine/</t>
        </is>
      </c>
      <c r="R82" t="inlineStr">
        <is>
          <t>https://www.metacritic.com/search/Deadpool+%26+Wolverine/</t>
        </is>
      </c>
    </row>
    <row r="83">
      <c r="A83" t="inlineStr">
        <is>
          <t>F0079</t>
        </is>
      </c>
      <c r="B83" t="inlineStr">
        <is>
          <t>Dear John</t>
        </is>
      </c>
      <c r="C83" s="63" t="inlineStr">
        <is>
          <t>2010</t>
        </is>
      </c>
      <c r="E83" s="82" t="n"/>
      <c r="F83" s="85" t="n"/>
      <c r="G83" s="71" t="n"/>
      <c r="H83" s="71" t="n"/>
      <c r="I83" s="83" t="n"/>
      <c r="J83" s="71" t="n"/>
      <c r="K83" s="82" t="n"/>
      <c r="L83" s="82">
        <f>IF(COUNT(E83,G83,H83,I83,J83,K83)=0,"",ROUND((IF(E83="",0,E83*10)+IF(G83="",0,G83)+IF(H83="",0,H83)+IF(I83="",0,I83*20)+IF(J83="",0,J83)+IF(K83="",0,K83*10))/COUNT(E83,G83,H83,I83,J83,K83),1))</f>
        <v/>
      </c>
      <c r="M83">
        <f>IF(L83="","",IF(L83&gt;=85,"Excellent",IF(L83&gt;=70,"Good",IF(L83&gt;=55,"Mixed","Poor"))))</f>
        <v/>
      </c>
      <c r="N83" s="66" t="n"/>
      <c r="O83" t="inlineStr">
        <is>
          <t>https://www.imdb.com/find/?q=Dear+John+2010</t>
        </is>
      </c>
      <c r="P83" t="inlineStr">
        <is>
          <t>https://www.rottentomatoes.com/search?search=Dear+John</t>
        </is>
      </c>
      <c r="Q83" t="inlineStr">
        <is>
          <t>https://letterboxd.com/search/Dear%20John/</t>
        </is>
      </c>
      <c r="R83" t="inlineStr">
        <is>
          <t>https://www.metacritic.com/search/Dear+John/</t>
        </is>
      </c>
    </row>
    <row r="84">
      <c r="A84" t="inlineStr">
        <is>
          <t>F0080</t>
        </is>
      </c>
      <c r="B84" t="inlineStr">
        <is>
          <t>Delivery Man</t>
        </is>
      </c>
      <c r="C84" s="63" t="inlineStr">
        <is>
          <t>2013</t>
        </is>
      </c>
      <c r="E84" s="82" t="n"/>
      <c r="F84" s="85" t="n"/>
      <c r="G84" s="71" t="n"/>
      <c r="H84" s="71" t="n"/>
      <c r="I84" s="83" t="n"/>
      <c r="J84" s="71" t="n"/>
      <c r="K84" s="82" t="n"/>
      <c r="L84" s="82">
        <f>IF(COUNT(E84,G84,H84,I84,J84,K84)=0,"",ROUND((IF(E84="",0,E84*10)+IF(G84="",0,G84)+IF(H84="",0,H84)+IF(I84="",0,I84*20)+IF(J84="",0,J84)+IF(K84="",0,K84*10))/COUNT(E84,G84,H84,I84,J84,K84),1))</f>
        <v/>
      </c>
      <c r="M84">
        <f>IF(L84="","",IF(L84&gt;=85,"Excellent",IF(L84&gt;=70,"Good",IF(L84&gt;=55,"Mixed","Poor"))))</f>
        <v/>
      </c>
      <c r="N84" s="66" t="n"/>
      <c r="O84" t="inlineStr">
        <is>
          <t>https://www.imdb.com/find/?q=Delivery+Man+2013</t>
        </is>
      </c>
      <c r="P84" t="inlineStr">
        <is>
          <t>https://www.rottentomatoes.com/search?search=Delivery+Man</t>
        </is>
      </c>
      <c r="Q84" t="inlineStr">
        <is>
          <t>https://letterboxd.com/search/Delivery%20Man/</t>
        </is>
      </c>
      <c r="R84" t="inlineStr">
        <is>
          <t>https://www.metacritic.com/search/Delivery+Man/</t>
        </is>
      </c>
    </row>
    <row r="85">
      <c r="A85" t="inlineStr">
        <is>
          <t>F0081</t>
        </is>
      </c>
      <c r="B85" t="inlineStr">
        <is>
          <t>The Departed</t>
        </is>
      </c>
      <c r="C85" s="63" t="inlineStr">
        <is>
          <t>2006</t>
        </is>
      </c>
      <c r="E85" s="82" t="n"/>
      <c r="F85" s="85" t="n"/>
      <c r="G85" s="71" t="n"/>
      <c r="H85" s="71" t="n"/>
      <c r="I85" s="83" t="n"/>
      <c r="J85" s="71" t="n"/>
      <c r="K85" s="82" t="n"/>
      <c r="L85" s="82">
        <f>IF(COUNT(E85,G85,H85,I85,J85,K85)=0,"",ROUND((IF(E85="",0,E85*10)+IF(G85="",0,G85)+IF(H85="",0,H85)+IF(I85="",0,I85*20)+IF(J85="",0,J85)+IF(K85="",0,K85*10))/COUNT(E85,G85,H85,I85,J85,K85),1))</f>
        <v/>
      </c>
      <c r="M85">
        <f>IF(L85="","",IF(L85&gt;=85,"Excellent",IF(L85&gt;=70,"Good",IF(L85&gt;=55,"Mixed","Poor"))))</f>
        <v/>
      </c>
      <c r="N85" s="66" t="n"/>
      <c r="O85" t="inlineStr">
        <is>
          <t>https://www.imdb.com/find/?q=The+Departed+2006</t>
        </is>
      </c>
      <c r="P85" t="inlineStr">
        <is>
          <t>https://www.rottentomatoes.com/search?search=The+Departed</t>
        </is>
      </c>
      <c r="Q85" t="inlineStr">
        <is>
          <t>https://letterboxd.com/search/The%20Departed/</t>
        </is>
      </c>
      <c r="R85" t="inlineStr">
        <is>
          <t>https://www.metacritic.com/search/The+Departed/</t>
        </is>
      </c>
    </row>
    <row r="86">
      <c r="A86" t="inlineStr">
        <is>
          <t>F0082</t>
        </is>
      </c>
      <c r="B86" t="inlineStr">
        <is>
          <t>Despicable Me</t>
        </is>
      </c>
      <c r="C86" s="63" t="inlineStr">
        <is>
          <t>2010</t>
        </is>
      </c>
      <c r="E86" s="82" t="n"/>
      <c r="F86" s="85" t="n"/>
      <c r="G86" s="71" t="n"/>
      <c r="H86" s="71" t="n"/>
      <c r="I86" s="83" t="n"/>
      <c r="J86" s="71" t="n"/>
      <c r="K86" s="82" t="n"/>
      <c r="L86" s="82">
        <f>IF(COUNT(E86,G86,H86,I86,J86,K86)=0,"",ROUND((IF(E86="",0,E86*10)+IF(G86="",0,G86)+IF(H86="",0,H86)+IF(I86="",0,I86*20)+IF(J86="",0,J86)+IF(K86="",0,K86*10))/COUNT(E86,G86,H86,I86,J86,K86),1))</f>
        <v/>
      </c>
      <c r="M86">
        <f>IF(L86="","",IF(L86&gt;=85,"Excellent",IF(L86&gt;=70,"Good",IF(L86&gt;=55,"Mixed","Poor"))))</f>
        <v/>
      </c>
      <c r="N86" s="66" t="n"/>
      <c r="O86" t="inlineStr">
        <is>
          <t>https://www.imdb.com/find/?q=Despicable+Me+2010</t>
        </is>
      </c>
      <c r="P86" t="inlineStr">
        <is>
          <t>https://www.rottentomatoes.com/search?search=Despicable+Me</t>
        </is>
      </c>
      <c r="Q86" t="inlineStr">
        <is>
          <t>https://letterboxd.com/search/Despicable%20Me/</t>
        </is>
      </c>
      <c r="R86" t="inlineStr">
        <is>
          <t>https://www.metacritic.com/search/Despicable+Me/</t>
        </is>
      </c>
    </row>
    <row r="87">
      <c r="A87" t="inlineStr">
        <is>
          <t>F0083</t>
        </is>
      </c>
      <c r="B87" t="inlineStr">
        <is>
          <t>Despicable Me 2</t>
        </is>
      </c>
      <c r="C87" s="63" t="inlineStr">
        <is>
          <t>2013</t>
        </is>
      </c>
      <c r="E87" s="82" t="n"/>
      <c r="F87" s="85" t="n"/>
      <c r="G87" s="71" t="n"/>
      <c r="H87" s="71" t="n"/>
      <c r="I87" s="83" t="n"/>
      <c r="J87" s="71" t="n"/>
      <c r="K87" s="82" t="n"/>
      <c r="L87" s="82">
        <f>IF(COUNT(E87,G87,H87,I87,J87,K87)=0,"",ROUND((IF(E87="",0,E87*10)+IF(G87="",0,G87)+IF(H87="",0,H87)+IF(I87="",0,I87*20)+IF(J87="",0,J87)+IF(K87="",0,K87*10))/COUNT(E87,G87,H87,I87,J87,K87),1))</f>
        <v/>
      </c>
      <c r="M87">
        <f>IF(L87="","",IF(L87&gt;=85,"Excellent",IF(L87&gt;=70,"Good",IF(L87&gt;=55,"Mixed","Poor"))))</f>
        <v/>
      </c>
      <c r="N87" s="66" t="n"/>
      <c r="O87" t="inlineStr">
        <is>
          <t>https://www.imdb.com/find/?q=Despicable+Me+2+2013</t>
        </is>
      </c>
      <c r="P87" t="inlineStr">
        <is>
          <t>https://www.rottentomatoes.com/search?search=Despicable+Me+2</t>
        </is>
      </c>
      <c r="Q87" t="inlineStr">
        <is>
          <t>https://letterboxd.com/search/Despicable%20Me%202/</t>
        </is>
      </c>
      <c r="R87" t="inlineStr">
        <is>
          <t>https://www.metacritic.com/search/Despicable+Me+2/</t>
        </is>
      </c>
    </row>
    <row r="88">
      <c r="A88" t="inlineStr">
        <is>
          <t>F0084</t>
        </is>
      </c>
      <c r="B88" t="inlineStr">
        <is>
          <t>Despicable Me 3</t>
        </is>
      </c>
      <c r="C88" s="63" t="inlineStr">
        <is>
          <t>2017</t>
        </is>
      </c>
      <c r="E88" s="82" t="n"/>
      <c r="F88" s="85" t="n"/>
      <c r="G88" s="71" t="n"/>
      <c r="H88" s="71" t="n"/>
      <c r="I88" s="83" t="n"/>
      <c r="J88" s="71" t="n"/>
      <c r="K88" s="82" t="n"/>
      <c r="L88" s="82">
        <f>IF(COUNT(E88,G88,H88,I88,J88,K88)=0,"",ROUND((IF(E88="",0,E88*10)+IF(G88="",0,G88)+IF(H88="",0,H88)+IF(I88="",0,I88*20)+IF(J88="",0,J88)+IF(K88="",0,K88*10))/COUNT(E88,G88,H88,I88,J88,K88),1))</f>
        <v/>
      </c>
      <c r="M88">
        <f>IF(L88="","",IF(L88&gt;=85,"Excellent",IF(L88&gt;=70,"Good",IF(L88&gt;=55,"Mixed","Poor"))))</f>
        <v/>
      </c>
      <c r="N88" s="66" t="n"/>
      <c r="O88" t="inlineStr">
        <is>
          <t>https://www.imdb.com/find/?q=Despicable+Me+3+2017</t>
        </is>
      </c>
      <c r="P88" t="inlineStr">
        <is>
          <t>https://www.rottentomatoes.com/search?search=Despicable+Me+3</t>
        </is>
      </c>
      <c r="Q88" t="inlineStr">
        <is>
          <t>https://letterboxd.com/search/Despicable%20Me%203/</t>
        </is>
      </c>
      <c r="R88" t="inlineStr">
        <is>
          <t>https://www.metacritic.com/search/Despicable+Me+3/</t>
        </is>
      </c>
    </row>
    <row r="89">
      <c r="A89" t="inlineStr">
        <is>
          <t>F0085</t>
        </is>
      </c>
      <c r="B89" t="inlineStr">
        <is>
          <t>The Dictator</t>
        </is>
      </c>
      <c r="C89" s="63" t="inlineStr">
        <is>
          <t>2012</t>
        </is>
      </c>
      <c r="E89" s="82" t="n"/>
      <c r="F89" s="85" t="n"/>
      <c r="G89" s="71" t="n"/>
      <c r="H89" s="71" t="n"/>
      <c r="I89" s="83" t="n"/>
      <c r="J89" s="71" t="n"/>
      <c r="K89" s="82" t="n"/>
      <c r="L89" s="82">
        <f>IF(COUNT(E89,G89,H89,I89,J89,K89)=0,"",ROUND((IF(E89="",0,E89*10)+IF(G89="",0,G89)+IF(H89="",0,H89)+IF(I89="",0,I89*20)+IF(J89="",0,J89)+IF(K89="",0,K89*10))/COUNT(E89,G89,H89,I89,J89,K89),1))</f>
        <v/>
      </c>
      <c r="M89">
        <f>IF(L89="","",IF(L89&gt;=85,"Excellent",IF(L89&gt;=70,"Good",IF(L89&gt;=55,"Mixed","Poor"))))</f>
        <v/>
      </c>
      <c r="N89" s="66" t="n"/>
      <c r="O89" t="inlineStr">
        <is>
          <t>https://www.imdb.com/find/?q=The+Dictator+2012</t>
        </is>
      </c>
      <c r="P89" t="inlineStr">
        <is>
          <t>https://www.rottentomatoes.com/search?search=The+Dictator</t>
        </is>
      </c>
      <c r="Q89" t="inlineStr">
        <is>
          <t>https://letterboxd.com/search/The%20Dictator/</t>
        </is>
      </c>
      <c r="R89" t="inlineStr">
        <is>
          <t>https://www.metacritic.com/search/The+Dictator/</t>
        </is>
      </c>
    </row>
    <row r="90">
      <c r="A90" t="inlineStr">
        <is>
          <t>F0086</t>
        </is>
      </c>
      <c r="B90" t="inlineStr">
        <is>
          <t>Live Free or Die Hard</t>
        </is>
      </c>
      <c r="C90" s="63" t="inlineStr">
        <is>
          <t>2007</t>
        </is>
      </c>
      <c r="E90" s="82" t="n"/>
      <c r="F90" s="85" t="n"/>
      <c r="G90" s="71" t="n"/>
      <c r="H90" s="71" t="n"/>
      <c r="I90" s="83" t="n"/>
      <c r="J90" s="71" t="n"/>
      <c r="K90" s="82" t="n"/>
      <c r="L90" s="82">
        <f>IF(COUNT(E90,G90,H90,I90,J90,K90)=0,"",ROUND((IF(E90="",0,E90*10)+IF(G90="",0,G90)+IF(H90="",0,H90)+IF(I90="",0,I90*20)+IF(J90="",0,J90)+IF(K90="",0,K90*10))/COUNT(E90,G90,H90,I90,J90,K90),1))</f>
        <v/>
      </c>
      <c r="M90">
        <f>IF(L90="","",IF(L90&gt;=85,"Excellent",IF(L90&gt;=70,"Good",IF(L90&gt;=55,"Mixed","Poor"))))</f>
        <v/>
      </c>
      <c r="N90" s="66" t="n"/>
      <c r="O90" t="inlineStr">
        <is>
          <t>https://www.imdb.com/find/?q=Live+Free+or+Die+Hard+2007</t>
        </is>
      </c>
      <c r="P90" t="inlineStr">
        <is>
          <t>https://www.rottentomatoes.com/search?search=Live+Free+or+Die+Hard</t>
        </is>
      </c>
      <c r="Q90" t="inlineStr">
        <is>
          <t>https://letterboxd.com/search/Live%20Free%20or%20Die%20Hard/</t>
        </is>
      </c>
      <c r="R90" t="inlineStr">
        <is>
          <t>https://www.metacritic.com/search/Live+Free+or+Die+Hard/</t>
        </is>
      </c>
    </row>
    <row r="91">
      <c r="A91" t="inlineStr">
        <is>
          <t>F0087</t>
        </is>
      </c>
      <c r="B91" t="inlineStr">
        <is>
          <t>Dirty Grandpa</t>
        </is>
      </c>
      <c r="C91" s="63" t="inlineStr">
        <is>
          <t>2016</t>
        </is>
      </c>
      <c r="E91" s="82" t="n"/>
      <c r="F91" s="85" t="n"/>
      <c r="G91" s="71" t="n"/>
      <c r="H91" s="71" t="n"/>
      <c r="I91" s="83" t="n"/>
      <c r="J91" s="71" t="n"/>
      <c r="K91" s="82" t="n"/>
      <c r="L91" s="82">
        <f>IF(COUNT(E91,G91,H91,I91,J91,K91)=0,"",ROUND((IF(E91="",0,E91*10)+IF(G91="",0,G91)+IF(H91="",0,H91)+IF(I91="",0,I91*20)+IF(J91="",0,J91)+IF(K91="",0,K91*10))/COUNT(E91,G91,H91,I91,J91,K91),1))</f>
        <v/>
      </c>
      <c r="M91">
        <f>IF(L91="","",IF(L91&gt;=85,"Excellent",IF(L91&gt;=70,"Good",IF(L91&gt;=55,"Mixed","Poor"))))</f>
        <v/>
      </c>
      <c r="N91" s="66" t="n"/>
      <c r="O91" t="inlineStr">
        <is>
          <t>https://www.imdb.com/find/?q=Dirty+Grandpa+2016</t>
        </is>
      </c>
      <c r="P91" t="inlineStr">
        <is>
          <t>https://www.rottentomatoes.com/search?search=Dirty+Grandpa</t>
        </is>
      </c>
      <c r="Q91" t="inlineStr">
        <is>
          <t>https://letterboxd.com/search/Dirty%20Grandpa/</t>
        </is>
      </c>
      <c r="R91" t="inlineStr">
        <is>
          <t>https://www.metacritic.com/search/Dirty+Grandpa/</t>
        </is>
      </c>
    </row>
    <row r="92">
      <c r="A92" t="inlineStr">
        <is>
          <t>F0088</t>
        </is>
      </c>
      <c r="B92" t="inlineStr">
        <is>
          <t>District 9</t>
        </is>
      </c>
      <c r="C92" s="63" t="inlineStr">
        <is>
          <t>2009</t>
        </is>
      </c>
      <c r="E92" s="82" t="n"/>
      <c r="F92" s="85" t="n"/>
      <c r="G92" s="71" t="n"/>
      <c r="H92" s="71" t="n"/>
      <c r="I92" s="83" t="n"/>
      <c r="J92" s="71" t="n"/>
      <c r="K92" s="82" t="n"/>
      <c r="L92" s="82">
        <f>IF(COUNT(E92,G92,H92,I92,J92,K92)=0,"",ROUND((IF(E92="",0,E92*10)+IF(G92="",0,G92)+IF(H92="",0,H92)+IF(I92="",0,I92*20)+IF(J92="",0,J92)+IF(K92="",0,K92*10))/COUNT(E92,G92,H92,I92,J92,K92),1))</f>
        <v/>
      </c>
      <c r="M92">
        <f>IF(L92="","",IF(L92&gt;=85,"Excellent",IF(L92&gt;=70,"Good",IF(L92&gt;=55,"Mixed","Poor"))))</f>
        <v/>
      </c>
      <c r="N92" s="66" t="n"/>
      <c r="O92" t="inlineStr">
        <is>
          <t>https://www.imdb.com/find/?q=District+9+2009</t>
        </is>
      </c>
      <c r="P92" t="inlineStr">
        <is>
          <t>https://www.rottentomatoes.com/search?search=District+9</t>
        </is>
      </c>
      <c r="Q92" t="inlineStr">
        <is>
          <t>https://letterboxd.com/search/District%209/</t>
        </is>
      </c>
      <c r="R92" t="inlineStr">
        <is>
          <t>https://www.metacritic.com/search/District+9/</t>
        </is>
      </c>
    </row>
    <row r="93">
      <c r="A93" t="inlineStr">
        <is>
          <t>F0089</t>
        </is>
      </c>
      <c r="B93" t="inlineStr">
        <is>
          <t>Divergent</t>
        </is>
      </c>
      <c r="C93" s="63" t="inlineStr">
        <is>
          <t>2014</t>
        </is>
      </c>
      <c r="E93" s="82" t="n"/>
      <c r="F93" s="85" t="n"/>
      <c r="G93" s="71" t="n"/>
      <c r="H93" s="71" t="n"/>
      <c r="I93" s="83" t="n"/>
      <c r="J93" s="71" t="n"/>
      <c r="K93" s="82" t="n"/>
      <c r="L93" s="82">
        <f>IF(COUNT(E93,G93,H93,I93,J93,K93)=0,"",ROUND((IF(E93="",0,E93*10)+IF(G93="",0,G93)+IF(H93="",0,H93)+IF(I93="",0,I93*20)+IF(J93="",0,J93)+IF(K93="",0,K93*10))/COUNT(E93,G93,H93,I93,J93,K93),1))</f>
        <v/>
      </c>
      <c r="M93">
        <f>IF(L93="","",IF(L93&gt;=85,"Excellent",IF(L93&gt;=70,"Good",IF(L93&gt;=55,"Mixed","Poor"))))</f>
        <v/>
      </c>
      <c r="N93" s="66" t="n"/>
      <c r="O93" t="inlineStr">
        <is>
          <t>https://www.imdb.com/find/?q=Divergent+2014</t>
        </is>
      </c>
      <c r="P93" t="inlineStr">
        <is>
          <t>https://www.rottentomatoes.com/search?search=Divergent</t>
        </is>
      </c>
      <c r="Q93" t="inlineStr">
        <is>
          <t>https://letterboxd.com/search/Divergent/</t>
        </is>
      </c>
      <c r="R93" t="inlineStr">
        <is>
          <t>https://www.metacritic.com/search/Divergent/</t>
        </is>
      </c>
    </row>
    <row r="94">
      <c r="A94" t="inlineStr">
        <is>
          <t>F0090</t>
        </is>
      </c>
      <c r="B94" t="inlineStr">
        <is>
          <t>Django Unchained</t>
        </is>
      </c>
      <c r="C94" s="63" t="inlineStr">
        <is>
          <t>2012</t>
        </is>
      </c>
      <c r="E94" s="82" t="n"/>
      <c r="F94" s="85" t="n"/>
      <c r="G94" s="71" t="n"/>
      <c r="H94" s="71" t="n"/>
      <c r="I94" s="83" t="n"/>
      <c r="J94" s="71" t="n"/>
      <c r="K94" s="82" t="n"/>
      <c r="L94" s="82">
        <f>IF(COUNT(E94,G94,H94,I94,J94,K94)=0,"",ROUND((IF(E94="",0,E94*10)+IF(G94="",0,G94)+IF(H94="",0,H94)+IF(I94="",0,I94*20)+IF(J94="",0,J94)+IF(K94="",0,K94*10))/COUNT(E94,G94,H94,I94,J94,K94),1))</f>
        <v/>
      </c>
      <c r="M94">
        <f>IF(L94="","",IF(L94&gt;=85,"Excellent",IF(L94&gt;=70,"Good",IF(L94&gt;=55,"Mixed","Poor"))))</f>
        <v/>
      </c>
      <c r="N94" s="66" t="n"/>
      <c r="O94" t="inlineStr">
        <is>
          <t>https://www.imdb.com/find/?q=Django+Unchained+2012</t>
        </is>
      </c>
      <c r="P94" t="inlineStr">
        <is>
          <t>https://www.rottentomatoes.com/search?search=Django+Unchained</t>
        </is>
      </c>
      <c r="Q94" t="inlineStr">
        <is>
          <t>https://letterboxd.com/search/Django%20Unchained/</t>
        </is>
      </c>
      <c r="R94" t="inlineStr">
        <is>
          <t>https://www.metacritic.com/search/Django+Unchained/</t>
        </is>
      </c>
    </row>
    <row r="95">
      <c r="A95" t="inlineStr">
        <is>
          <t>F0091</t>
        </is>
      </c>
      <c r="B95" t="inlineStr">
        <is>
          <t>Due Date</t>
        </is>
      </c>
      <c r="C95" s="63" t="inlineStr">
        <is>
          <t>2010</t>
        </is>
      </c>
      <c r="D95" t="n">
        <v>4</v>
      </c>
      <c r="E95" s="82" t="n"/>
      <c r="F95" s="85" t="n"/>
      <c r="G95" s="71" t="n"/>
      <c r="H95" s="71" t="n"/>
      <c r="I95" s="83" t="n"/>
      <c r="J95" s="71" t="n"/>
      <c r="K95" s="82" t="n"/>
      <c r="L95" s="82">
        <f>IF(COUNT(E95,G95,H95,I95,J95,K95)=0,"",ROUND((IF(E95="",0,E95*10)+IF(G95="",0,G95)+IF(H95="",0,H95)+IF(I95="",0,I95*20)+IF(J95="",0,J95)+IF(K95="",0,K95*10))/COUNT(E95,G95,H95,I95,J95,K95),1))</f>
        <v/>
      </c>
      <c r="M95">
        <f>IF(L95="","",IF(L95&gt;=85,"Excellent",IF(L95&gt;=70,"Good",IF(L95&gt;=55,"Mixed","Poor"))))</f>
        <v/>
      </c>
      <c r="N95" s="66" t="n"/>
      <c r="O95" t="inlineStr">
        <is>
          <t>https://www.imdb.com/find/?q=Due+Date+2010</t>
        </is>
      </c>
      <c r="P95" t="inlineStr">
        <is>
          <t>https://www.rottentomatoes.com/search?search=Due+Date</t>
        </is>
      </c>
      <c r="Q95" t="inlineStr">
        <is>
          <t>https://letterboxd.com/search/Due%20Date/</t>
        </is>
      </c>
      <c r="R95" t="inlineStr">
        <is>
          <t>https://www.metacritic.com/search/Due+Date/</t>
        </is>
      </c>
    </row>
    <row r="96">
      <c r="A96" t="inlineStr">
        <is>
          <t>F0092</t>
        </is>
      </c>
      <c r="B96" t="inlineStr">
        <is>
          <t>Elf</t>
        </is>
      </c>
      <c r="C96" s="63" t="inlineStr">
        <is>
          <t>2003</t>
        </is>
      </c>
      <c r="E96" s="82" t="n"/>
      <c r="F96" s="85" t="n"/>
      <c r="G96" s="71" t="n"/>
      <c r="H96" s="71" t="n"/>
      <c r="I96" s="83" t="n"/>
      <c r="J96" s="71" t="n"/>
      <c r="K96" s="82" t="n"/>
      <c r="L96" s="82">
        <f>IF(COUNT(E96,G96,H96,I96,J96,K96)=0,"",ROUND((IF(E96="",0,E96*10)+IF(G96="",0,G96)+IF(H96="",0,H96)+IF(I96="",0,I96*20)+IF(J96="",0,J96)+IF(K96="",0,K96*10))/COUNT(E96,G96,H96,I96,J96,K96),1))</f>
        <v/>
      </c>
      <c r="M96">
        <f>IF(L96="","",IF(L96&gt;=85,"Excellent",IF(L96&gt;=70,"Good",IF(L96&gt;=55,"Mixed","Poor"))))</f>
        <v/>
      </c>
      <c r="N96" s="66" t="n"/>
      <c r="O96" t="inlineStr">
        <is>
          <t>https://www.imdb.com/find/?q=Elf+2003</t>
        </is>
      </c>
      <c r="P96" t="inlineStr">
        <is>
          <t>https://www.rottentomatoes.com/search?search=Elf</t>
        </is>
      </c>
      <c r="Q96" t="inlineStr">
        <is>
          <t>https://letterboxd.com/search/Elf/</t>
        </is>
      </c>
      <c r="R96" t="inlineStr">
        <is>
          <t>https://www.metacritic.com/search/Elf/</t>
        </is>
      </c>
    </row>
    <row r="97">
      <c r="A97" t="inlineStr">
        <is>
          <t>F0093</t>
        </is>
      </c>
      <c r="B97" t="inlineStr">
        <is>
          <t>Elysium</t>
        </is>
      </c>
      <c r="C97" s="63" t="inlineStr">
        <is>
          <t>2013</t>
        </is>
      </c>
      <c r="E97" s="82" t="n"/>
      <c r="F97" s="85" t="n"/>
      <c r="G97" s="71" t="n"/>
      <c r="H97" s="71" t="n"/>
      <c r="I97" s="83" t="n"/>
      <c r="J97" s="71" t="n"/>
      <c r="K97" s="82" t="n"/>
      <c r="L97" s="82">
        <f>IF(COUNT(E97,G97,H97,I97,J97,K97)=0,"",ROUND((IF(E97="",0,E97*10)+IF(G97="",0,G97)+IF(H97="",0,H97)+IF(I97="",0,I97*20)+IF(J97="",0,J97)+IF(K97="",0,K97*10))/COUNT(E97,G97,H97,I97,J97,K97),1))</f>
        <v/>
      </c>
      <c r="M97">
        <f>IF(L97="","",IF(L97&gt;=85,"Excellent",IF(L97&gt;=70,"Good",IF(L97&gt;=55,"Mixed","Poor"))))</f>
        <v/>
      </c>
      <c r="N97" s="66" t="n"/>
      <c r="O97" t="inlineStr">
        <is>
          <t>https://www.imdb.com/find/?q=Elysium+2013</t>
        </is>
      </c>
      <c r="P97" t="inlineStr">
        <is>
          <t>https://www.rottentomatoes.com/search?search=Elysium</t>
        </is>
      </c>
      <c r="Q97" t="inlineStr">
        <is>
          <t>https://letterboxd.com/search/Elysium/</t>
        </is>
      </c>
      <c r="R97" t="inlineStr">
        <is>
          <t>https://www.metacritic.com/search/Elysium/</t>
        </is>
      </c>
    </row>
    <row r="98">
      <c r="A98" t="inlineStr">
        <is>
          <t>F0094</t>
        </is>
      </c>
      <c r="B98" t="inlineStr">
        <is>
          <t>Enemy of the State</t>
        </is>
      </c>
      <c r="C98" s="63" t="inlineStr">
        <is>
          <t>1998</t>
        </is>
      </c>
      <c r="E98" s="82" t="n"/>
      <c r="F98" s="85" t="n"/>
      <c r="G98" s="71" t="n"/>
      <c r="H98" s="71" t="n"/>
      <c r="I98" s="83" t="n"/>
      <c r="J98" s="71" t="n"/>
      <c r="K98" s="82" t="n"/>
      <c r="L98" s="82">
        <f>IF(COUNT(E98,G98,H98,I98,J98,K98)=0,"",ROUND((IF(E98="",0,E98*10)+IF(G98="",0,G98)+IF(H98="",0,H98)+IF(I98="",0,I98*20)+IF(J98="",0,J98)+IF(K98="",0,K98*10))/COUNT(E98,G98,H98,I98,J98,K98),1))</f>
        <v/>
      </c>
      <c r="M98">
        <f>IF(L98="","",IF(L98&gt;=85,"Excellent",IF(L98&gt;=70,"Good",IF(L98&gt;=55,"Mixed","Poor"))))</f>
        <v/>
      </c>
      <c r="N98" s="66" t="n"/>
      <c r="O98" t="inlineStr">
        <is>
          <t>https://www.imdb.com/find/?q=Enemy+of+the+State+1998</t>
        </is>
      </c>
      <c r="P98" t="inlineStr">
        <is>
          <t>https://www.rottentomatoes.com/search?search=Enemy+of+the+State</t>
        </is>
      </c>
      <c r="Q98" t="inlineStr">
        <is>
          <t>https://letterboxd.com/search/Enemy%20of%20the%20State/</t>
        </is>
      </c>
      <c r="R98" t="inlineStr">
        <is>
          <t>https://www.metacritic.com/search/Enemy+of+the+State/</t>
        </is>
      </c>
    </row>
    <row r="99">
      <c r="A99" t="inlineStr">
        <is>
          <t>F0095</t>
        </is>
      </c>
      <c r="B99" t="inlineStr">
        <is>
          <t>The Expendables</t>
        </is>
      </c>
      <c r="C99" s="63" t="inlineStr">
        <is>
          <t>2010</t>
        </is>
      </c>
      <c r="E99" s="82" t="n"/>
      <c r="F99" s="85" t="n"/>
      <c r="G99" s="71" t="n"/>
      <c r="H99" s="71" t="n"/>
      <c r="I99" s="83" t="n"/>
      <c r="J99" s="71" t="n"/>
      <c r="K99" s="82" t="n"/>
      <c r="L99" s="82">
        <f>IF(COUNT(E99,G99,H99,I99,J99,K99)=0,"",ROUND((IF(E99="",0,E99*10)+IF(G99="",0,G99)+IF(H99="",0,H99)+IF(I99="",0,I99*20)+IF(J99="",0,J99)+IF(K99="",0,K99*10))/COUNT(E99,G99,H99,I99,J99,K99),1))</f>
        <v/>
      </c>
      <c r="M99">
        <f>IF(L99="","",IF(L99&gt;=85,"Excellent",IF(L99&gt;=70,"Good",IF(L99&gt;=55,"Mixed","Poor"))))</f>
        <v/>
      </c>
      <c r="N99" s="66" t="n"/>
      <c r="O99" t="inlineStr">
        <is>
          <t>https://www.imdb.com/find/?q=The+Expendables+2010</t>
        </is>
      </c>
      <c r="P99" t="inlineStr">
        <is>
          <t>https://www.rottentomatoes.com/search?search=The+Expendables</t>
        </is>
      </c>
      <c r="Q99" t="inlineStr">
        <is>
          <t>https://letterboxd.com/search/The%20Expendables/</t>
        </is>
      </c>
      <c r="R99" t="inlineStr">
        <is>
          <t>https://www.metacritic.com/search/The+Expendables/</t>
        </is>
      </c>
    </row>
    <row r="100">
      <c r="A100" t="inlineStr">
        <is>
          <t>F0096</t>
        </is>
      </c>
      <c r="B100" t="inlineStr">
        <is>
          <t>The Expendables 2</t>
        </is>
      </c>
      <c r="C100" s="63" t="inlineStr">
        <is>
          <t>2012</t>
        </is>
      </c>
      <c r="E100" s="82" t="n"/>
      <c r="F100" s="85" t="n"/>
      <c r="G100" s="71" t="n"/>
      <c r="H100" s="71" t="n"/>
      <c r="I100" s="83" t="n"/>
      <c r="J100" s="71" t="n"/>
      <c r="K100" s="82" t="n"/>
      <c r="L100" s="82">
        <f>IF(COUNT(E100,G100,H100,I100,J100,K100)=0,"",ROUND((IF(E100="",0,E100*10)+IF(G100="",0,G100)+IF(H100="",0,H100)+IF(I100="",0,I100*20)+IF(J100="",0,J100)+IF(K100="",0,K100*10))/COUNT(E100,G100,H100,I100,J100,K100),1))</f>
        <v/>
      </c>
      <c r="M100">
        <f>IF(L100="","",IF(L100&gt;=85,"Excellent",IF(L100&gt;=70,"Good",IF(L100&gt;=55,"Mixed","Poor"))))</f>
        <v/>
      </c>
      <c r="N100" s="66" t="n"/>
      <c r="O100" t="inlineStr">
        <is>
          <t>https://www.imdb.com/find/?q=The+Expendables+2+2012</t>
        </is>
      </c>
      <c r="P100" t="inlineStr">
        <is>
          <t>https://www.rottentomatoes.com/search?search=The+Expendables+2</t>
        </is>
      </c>
      <c r="Q100" t="inlineStr">
        <is>
          <t>https://letterboxd.com/search/The%20Expendables%202/</t>
        </is>
      </c>
      <c r="R100" t="inlineStr">
        <is>
          <t>https://www.metacritic.com/search/The+Expendables+2/</t>
        </is>
      </c>
    </row>
    <row r="101">
      <c r="A101" t="inlineStr">
        <is>
          <t>F0097</t>
        </is>
      </c>
      <c r="B101" t="inlineStr">
        <is>
          <t>The Expendables 3</t>
        </is>
      </c>
      <c r="C101" s="63" t="inlineStr">
        <is>
          <t>2014</t>
        </is>
      </c>
      <c r="E101" s="82" t="n"/>
      <c r="F101" s="85" t="n"/>
      <c r="G101" s="71" t="n"/>
      <c r="H101" s="71" t="n"/>
      <c r="I101" s="83" t="n"/>
      <c r="J101" s="71" t="n"/>
      <c r="K101" s="82" t="n"/>
      <c r="L101" s="82">
        <f>IF(COUNT(E101,G101,H101,I101,J101,K101)=0,"",ROUND((IF(E101="",0,E101*10)+IF(G101="",0,G101)+IF(H101="",0,H101)+IF(I101="",0,I101*20)+IF(J101="",0,J101)+IF(K101="",0,K101*10))/COUNT(E101,G101,H101,I101,J101,K101),1))</f>
        <v/>
      </c>
      <c r="M101">
        <f>IF(L101="","",IF(L101&gt;=85,"Excellent",IF(L101&gt;=70,"Good",IF(L101&gt;=55,"Mixed","Poor"))))</f>
        <v/>
      </c>
      <c r="N101" s="66" t="n"/>
      <c r="O101" t="inlineStr">
        <is>
          <t>https://www.imdb.com/find/?q=The+Expendables+3+2014</t>
        </is>
      </c>
      <c r="P101" t="inlineStr">
        <is>
          <t>https://www.rottentomatoes.com/search?search=The+Expendables+3</t>
        </is>
      </c>
      <c r="Q101" t="inlineStr">
        <is>
          <t>https://letterboxd.com/search/The%20Expendables%203/</t>
        </is>
      </c>
      <c r="R101" t="inlineStr">
        <is>
          <t>https://www.metacritic.com/search/The+Expendables+3/</t>
        </is>
      </c>
    </row>
    <row r="102">
      <c r="A102" t="inlineStr">
        <is>
          <t>F0098</t>
        </is>
      </c>
      <c r="B102" t="inlineStr">
        <is>
          <t>F1</t>
        </is>
      </c>
      <c r="C102" s="63" t="inlineStr">
        <is>
          <t>2025</t>
        </is>
      </c>
      <c r="E102" s="82" t="n"/>
      <c r="F102" s="85" t="n"/>
      <c r="G102" s="71" t="n"/>
      <c r="H102" s="71" t="n"/>
      <c r="I102" s="83" t="n"/>
      <c r="J102" s="71" t="n"/>
      <c r="K102" s="82" t="n"/>
      <c r="L102" s="82">
        <f>IF(COUNT(E102,G102,H102,I102,J102,K102)=0,"",ROUND((IF(E102="",0,E102*10)+IF(G102="",0,G102)+IF(H102="",0,H102)+IF(I102="",0,I102*20)+IF(J102="",0,J102)+IF(K102="",0,K102*10))/COUNT(E102,G102,H102,I102,J102,K102),1))</f>
        <v/>
      </c>
      <c r="M102">
        <f>IF(L102="","",IF(L102&gt;=85,"Excellent",IF(L102&gt;=70,"Good",IF(L102&gt;=55,"Mixed","Poor"))))</f>
        <v/>
      </c>
      <c r="N102" s="66" t="n"/>
      <c r="O102" t="inlineStr">
        <is>
          <t>https://www.imdb.com/find/?q=F1+2025</t>
        </is>
      </c>
      <c r="P102" t="inlineStr">
        <is>
          <t>https://www.rottentomatoes.com/search?search=F1</t>
        </is>
      </c>
      <c r="Q102" t="inlineStr">
        <is>
          <t>https://letterboxd.com/search/F1/</t>
        </is>
      </c>
      <c r="R102" t="inlineStr">
        <is>
          <t>https://www.metacritic.com/search/F1/</t>
        </is>
      </c>
    </row>
    <row r="103">
      <c r="A103" t="inlineStr">
        <is>
          <t>F0099</t>
        </is>
      </c>
      <c r="B103" t="inlineStr">
        <is>
          <t>The Fall Guy</t>
        </is>
      </c>
      <c r="C103" s="63" t="inlineStr">
        <is>
          <t>2024</t>
        </is>
      </c>
      <c r="E103" s="82" t="n"/>
      <c r="F103" s="85" t="n"/>
      <c r="G103" s="71" t="n"/>
      <c r="H103" s="71" t="n"/>
      <c r="I103" s="83" t="n"/>
      <c r="J103" s="71" t="n"/>
      <c r="K103" s="82" t="n"/>
      <c r="L103" s="82">
        <f>IF(COUNT(E103,G103,H103,I103,J103,K103)=0,"",ROUND((IF(E103="",0,E103*10)+IF(G103="",0,G103)+IF(H103="",0,H103)+IF(I103="",0,I103*20)+IF(J103="",0,J103)+IF(K103="",0,K103*10))/COUNT(E103,G103,H103,I103,J103,K103),1))</f>
        <v/>
      </c>
      <c r="M103">
        <f>IF(L103="","",IF(L103&gt;=85,"Excellent",IF(L103&gt;=70,"Good",IF(L103&gt;=55,"Mixed","Poor"))))</f>
        <v/>
      </c>
      <c r="N103" s="66" t="n"/>
      <c r="O103" t="inlineStr">
        <is>
          <t>https://www.imdb.com/find/?q=The+Fall+Guy+2024</t>
        </is>
      </c>
      <c r="P103" t="inlineStr">
        <is>
          <t>https://www.rottentomatoes.com/search?search=The+Fall+Guy</t>
        </is>
      </c>
      <c r="Q103" t="inlineStr">
        <is>
          <t>https://letterboxd.com/search/The%20Fall%20Guy/</t>
        </is>
      </c>
      <c r="R103" t="inlineStr">
        <is>
          <t>https://www.metacritic.com/search/The+Fall+Guy/</t>
        </is>
      </c>
    </row>
    <row r="104">
      <c r="A104" t="inlineStr">
        <is>
          <t>F0100</t>
        </is>
      </c>
      <c r="B104" t="inlineStr">
        <is>
          <t>Fantastic Beasts and Where to Find Them</t>
        </is>
      </c>
      <c r="C104" s="63" t="inlineStr">
        <is>
          <t>2016</t>
        </is>
      </c>
      <c r="E104" s="82" t="n"/>
      <c r="F104" s="85" t="n"/>
      <c r="G104" s="71" t="n"/>
      <c r="H104" s="71" t="n"/>
      <c r="I104" s="83" t="n"/>
      <c r="J104" s="71" t="n"/>
      <c r="K104" s="82" t="n"/>
      <c r="L104" s="82">
        <f>IF(COUNT(E104,G104,H104,I104,J104,K104)=0,"",ROUND((IF(E104="",0,E104*10)+IF(G104="",0,G104)+IF(H104="",0,H104)+IF(I104="",0,I104*20)+IF(J104="",0,J104)+IF(K104="",0,K104*10))/COUNT(E104,G104,H104,I104,J104,K104),1))</f>
        <v/>
      </c>
      <c r="M104">
        <f>IF(L104="","",IF(L104&gt;=85,"Excellent",IF(L104&gt;=70,"Good",IF(L104&gt;=55,"Mixed","Poor"))))</f>
        <v/>
      </c>
      <c r="N104" s="66" t="n"/>
      <c r="O104" t="inlineStr">
        <is>
          <t>https://www.imdb.com/find/?q=Fantastic+Beasts+and+Where+to+Find+Them+2016</t>
        </is>
      </c>
      <c r="P104" t="inlineStr">
        <is>
          <t>https://www.rottentomatoes.com/search?search=Fantastic+Beasts+and+Where+to+Find+Them</t>
        </is>
      </c>
      <c r="Q104" t="inlineStr">
        <is>
          <t>https://letterboxd.com/search/Fantastic%20Beasts%20and%20Where%20to%20Find%20Them/</t>
        </is>
      </c>
      <c r="R104" t="inlineStr">
        <is>
          <t>https://www.metacritic.com/search/Fantastic+Beasts+and+Where+to+Find+Them/</t>
        </is>
      </c>
    </row>
    <row r="105">
      <c r="A105" t="inlineStr">
        <is>
          <t>F0101</t>
        </is>
      </c>
      <c r="B105" t="inlineStr">
        <is>
          <t>The Fast and the Furious</t>
        </is>
      </c>
      <c r="C105" s="63" t="inlineStr">
        <is>
          <t>2001</t>
        </is>
      </c>
      <c r="E105" s="82" t="n"/>
      <c r="F105" s="85" t="n"/>
      <c r="G105" s="71" t="n"/>
      <c r="H105" s="71" t="n"/>
      <c r="I105" s="83" t="n"/>
      <c r="J105" s="71" t="n"/>
      <c r="K105" s="82" t="n"/>
      <c r="L105" s="82">
        <f>IF(COUNT(E105,G105,H105,I105,J105,K105)=0,"",ROUND((IF(E105="",0,E105*10)+IF(G105="",0,G105)+IF(H105="",0,H105)+IF(I105="",0,I105*20)+IF(J105="",0,J105)+IF(K105="",0,K105*10))/COUNT(E105,G105,H105,I105,J105,K105),1))</f>
        <v/>
      </c>
      <c r="M105">
        <f>IF(L105="","",IF(L105&gt;=85,"Excellent",IF(L105&gt;=70,"Good",IF(L105&gt;=55,"Mixed","Poor"))))</f>
        <v/>
      </c>
      <c r="N105" s="66" t="n"/>
      <c r="O105" t="inlineStr">
        <is>
          <t>https://www.imdb.com/find/?q=The+Fast+and+the+Furious+2001</t>
        </is>
      </c>
      <c r="P105" t="inlineStr">
        <is>
          <t>https://www.rottentomatoes.com/search?search=The+Fast+and+the+Furious</t>
        </is>
      </c>
      <c r="Q105" t="inlineStr">
        <is>
          <t>https://letterboxd.com/search/The%20Fast%20and%20the%20Furious/</t>
        </is>
      </c>
      <c r="R105" t="inlineStr">
        <is>
          <t>https://www.metacritic.com/search/The+Fast+and+the+Furious/</t>
        </is>
      </c>
    </row>
    <row r="106">
      <c r="A106" t="inlineStr">
        <is>
          <t>F0102</t>
        </is>
      </c>
      <c r="B106" t="inlineStr">
        <is>
          <t>2 Fast 2 Furious</t>
        </is>
      </c>
      <c r="C106" s="63" t="inlineStr">
        <is>
          <t>2003</t>
        </is>
      </c>
      <c r="E106" s="82" t="n"/>
      <c r="F106" s="85" t="n"/>
      <c r="G106" s="71" t="n"/>
      <c r="H106" s="71" t="n"/>
      <c r="I106" s="83" t="n"/>
      <c r="J106" s="71" t="n"/>
      <c r="K106" s="82" t="n"/>
      <c r="L106" s="82">
        <f>IF(COUNT(E106,G106,H106,I106,J106,K106)=0,"",ROUND((IF(E106="",0,E106*10)+IF(G106="",0,G106)+IF(H106="",0,H106)+IF(I106="",0,I106*20)+IF(J106="",0,J106)+IF(K106="",0,K106*10))/COUNT(E106,G106,H106,I106,J106,K106),1))</f>
        <v/>
      </c>
      <c r="M106">
        <f>IF(L106="","",IF(L106&gt;=85,"Excellent",IF(L106&gt;=70,"Good",IF(L106&gt;=55,"Mixed","Poor"))))</f>
        <v/>
      </c>
      <c r="N106" s="66" t="n"/>
      <c r="O106" t="inlineStr">
        <is>
          <t>https://www.imdb.com/find/?q=2+Fast+2+Furious+2003</t>
        </is>
      </c>
      <c r="P106" t="inlineStr">
        <is>
          <t>https://www.rottentomatoes.com/search?search=2+Fast+2+Furious</t>
        </is>
      </c>
      <c r="Q106" t="inlineStr">
        <is>
          <t>https://letterboxd.com/search/2%20Fast%202%20Furious/</t>
        </is>
      </c>
      <c r="R106" t="inlineStr">
        <is>
          <t>https://www.metacritic.com/search/2+Fast+2+Furious/</t>
        </is>
      </c>
    </row>
    <row r="107">
      <c r="A107" t="inlineStr">
        <is>
          <t>F0103</t>
        </is>
      </c>
      <c r="B107" t="inlineStr">
        <is>
          <t>The Fast and the Furious: Tokyo Drift</t>
        </is>
      </c>
      <c r="C107" s="63" t="inlineStr">
        <is>
          <t>2006</t>
        </is>
      </c>
      <c r="E107" s="82" t="n"/>
      <c r="F107" s="85" t="n"/>
      <c r="G107" s="71" t="n"/>
      <c r="H107" s="71" t="n"/>
      <c r="I107" s="83" t="n"/>
      <c r="J107" s="71" t="n"/>
      <c r="K107" s="82" t="n"/>
      <c r="L107" s="82">
        <f>IF(COUNT(E107,G107,H107,I107,J107,K107)=0,"",ROUND((IF(E107="",0,E107*10)+IF(G107="",0,G107)+IF(H107="",0,H107)+IF(I107="",0,I107*20)+IF(J107="",0,J107)+IF(K107="",0,K107*10))/COUNT(E107,G107,H107,I107,J107,K107),1))</f>
        <v/>
      </c>
      <c r="M107">
        <f>IF(L107="","",IF(L107&gt;=85,"Excellent",IF(L107&gt;=70,"Good",IF(L107&gt;=55,"Mixed","Poor"))))</f>
        <v/>
      </c>
      <c r="N107" s="66" t="n"/>
      <c r="O107" t="inlineStr">
        <is>
          <t>https://www.imdb.com/find/?q=The+Fast+and+the+Furious%3A+Tokyo+Drift+2006</t>
        </is>
      </c>
      <c r="P107" t="inlineStr">
        <is>
          <t>https://www.rottentomatoes.com/search?search=The+Fast+and+the+Furious%3A+Tokyo+Drift</t>
        </is>
      </c>
      <c r="Q107" t="inlineStr">
        <is>
          <t>https://letterboxd.com/search/The%20Fast%20and%20the%20Furious%3A%20Tokyo%20Drift/</t>
        </is>
      </c>
      <c r="R107" t="inlineStr">
        <is>
          <t>https://www.metacritic.com/search/The+Fast+and+the+Furious%3A+Tokyo+Drift/</t>
        </is>
      </c>
    </row>
    <row r="108">
      <c r="A108" t="inlineStr">
        <is>
          <t>F0104</t>
        </is>
      </c>
      <c r="B108" t="inlineStr">
        <is>
          <t>Fast &amp; Furious</t>
        </is>
      </c>
      <c r="C108" s="63" t="inlineStr">
        <is>
          <t>2009</t>
        </is>
      </c>
      <c r="E108" s="82" t="n"/>
      <c r="F108" s="85" t="n"/>
      <c r="G108" s="71" t="n"/>
      <c r="H108" s="71" t="n"/>
      <c r="I108" s="83" t="n"/>
      <c r="J108" s="71" t="n"/>
      <c r="K108" s="82" t="n"/>
      <c r="L108" s="82">
        <f>IF(COUNT(E108,G108,H108,I108,J108,K108)=0,"",ROUND((IF(E108="",0,E108*10)+IF(G108="",0,G108)+IF(H108="",0,H108)+IF(I108="",0,I108*20)+IF(J108="",0,J108)+IF(K108="",0,K108*10))/COUNT(E108,G108,H108,I108,J108,K108),1))</f>
        <v/>
      </c>
      <c r="M108">
        <f>IF(L108="","",IF(L108&gt;=85,"Excellent",IF(L108&gt;=70,"Good",IF(L108&gt;=55,"Mixed","Poor"))))</f>
        <v/>
      </c>
      <c r="N108" s="66" t="n"/>
      <c r="O108" t="inlineStr">
        <is>
          <t>https://www.imdb.com/find/?q=Fast+%26+Furious+2009</t>
        </is>
      </c>
      <c r="P108" t="inlineStr">
        <is>
          <t>https://www.rottentomatoes.com/search?search=Fast+%26+Furious</t>
        </is>
      </c>
      <c r="Q108" t="inlineStr">
        <is>
          <t>https://letterboxd.com/search/Fast%20%26%20Furious/</t>
        </is>
      </c>
      <c r="R108" t="inlineStr">
        <is>
          <t>https://www.metacritic.com/search/Fast+%26+Furious/</t>
        </is>
      </c>
    </row>
    <row r="109">
      <c r="A109" t="inlineStr">
        <is>
          <t>F0105</t>
        </is>
      </c>
      <c r="B109" t="inlineStr">
        <is>
          <t>Fast Five</t>
        </is>
      </c>
      <c r="C109" s="63" t="inlineStr">
        <is>
          <t>2011</t>
        </is>
      </c>
      <c r="E109" s="82" t="n"/>
      <c r="F109" s="85" t="n"/>
      <c r="G109" s="71" t="n"/>
      <c r="H109" s="71" t="n"/>
      <c r="I109" s="83" t="n"/>
      <c r="J109" s="71" t="n"/>
      <c r="K109" s="82" t="n"/>
      <c r="L109" s="82">
        <f>IF(COUNT(E109,G109,H109,I109,J109,K109)=0,"",ROUND((IF(E109="",0,E109*10)+IF(G109="",0,G109)+IF(H109="",0,H109)+IF(I109="",0,I109*20)+IF(J109="",0,J109)+IF(K109="",0,K109*10))/COUNT(E109,G109,H109,I109,J109,K109),1))</f>
        <v/>
      </c>
      <c r="M109">
        <f>IF(L109="","",IF(L109&gt;=85,"Excellent",IF(L109&gt;=70,"Good",IF(L109&gt;=55,"Mixed","Poor"))))</f>
        <v/>
      </c>
      <c r="N109" s="66" t="n"/>
      <c r="O109" t="inlineStr">
        <is>
          <t>https://www.imdb.com/find/?q=Fast+Five+2011</t>
        </is>
      </c>
      <c r="P109" t="inlineStr">
        <is>
          <t>https://www.rottentomatoes.com/search?search=Fast+Five</t>
        </is>
      </c>
      <c r="Q109" t="inlineStr">
        <is>
          <t>https://letterboxd.com/search/Fast%20Five/</t>
        </is>
      </c>
      <c r="R109" t="inlineStr">
        <is>
          <t>https://www.metacritic.com/search/Fast+Five/</t>
        </is>
      </c>
    </row>
    <row r="110">
      <c r="A110" t="inlineStr">
        <is>
          <t>F0106</t>
        </is>
      </c>
      <c r="B110" t="inlineStr">
        <is>
          <t>Fast &amp; Furious 6</t>
        </is>
      </c>
      <c r="C110" s="63" t="inlineStr">
        <is>
          <t>2013</t>
        </is>
      </c>
      <c r="E110" s="82" t="n"/>
      <c r="F110" s="85" t="n"/>
      <c r="G110" s="71" t="n"/>
      <c r="H110" s="71" t="n"/>
      <c r="I110" s="83" t="n"/>
      <c r="J110" s="71" t="n"/>
      <c r="K110" s="82" t="n"/>
      <c r="L110" s="82">
        <f>IF(COUNT(E110,G110,H110,I110,J110,K110)=0,"",ROUND((IF(E110="",0,E110*10)+IF(G110="",0,G110)+IF(H110="",0,H110)+IF(I110="",0,I110*20)+IF(J110="",0,J110)+IF(K110="",0,K110*10))/COUNT(E110,G110,H110,I110,J110,K110),1))</f>
        <v/>
      </c>
      <c r="M110">
        <f>IF(L110="","",IF(L110&gt;=85,"Excellent",IF(L110&gt;=70,"Good",IF(L110&gt;=55,"Mixed","Poor"))))</f>
        <v/>
      </c>
      <c r="N110" s="66" t="n"/>
      <c r="O110" t="inlineStr">
        <is>
          <t>https://www.imdb.com/find/?q=Fast+%26+Furious+6+2013</t>
        </is>
      </c>
      <c r="P110" t="inlineStr">
        <is>
          <t>https://www.rottentomatoes.com/search?search=Fast+%26+Furious+6</t>
        </is>
      </c>
      <c r="Q110" t="inlineStr">
        <is>
          <t>https://letterboxd.com/search/Fast%20%26%20Furious%206/</t>
        </is>
      </c>
      <c r="R110" t="inlineStr">
        <is>
          <t>https://www.metacritic.com/search/Fast+%26+Furious+6/</t>
        </is>
      </c>
    </row>
    <row r="111">
      <c r="A111" t="inlineStr">
        <is>
          <t>F0107</t>
        </is>
      </c>
      <c r="B111" t="inlineStr">
        <is>
          <t>Furious 7</t>
        </is>
      </c>
      <c r="C111" s="63" t="inlineStr">
        <is>
          <t>2015</t>
        </is>
      </c>
      <c r="E111" s="82" t="n"/>
      <c r="F111" s="85" t="n"/>
      <c r="G111" s="71" t="n"/>
      <c r="H111" s="71" t="n"/>
      <c r="I111" s="83" t="n"/>
      <c r="J111" s="71" t="n"/>
      <c r="K111" s="82" t="n"/>
      <c r="L111" s="82">
        <f>IF(COUNT(E111,G111,H111,I111,J111,K111)=0,"",ROUND((IF(E111="",0,E111*10)+IF(G111="",0,G111)+IF(H111="",0,H111)+IF(I111="",0,I111*20)+IF(J111="",0,J111)+IF(K111="",0,K111*10))/COUNT(E111,G111,H111,I111,J111,K111),1))</f>
        <v/>
      </c>
      <c r="M111">
        <f>IF(L111="","",IF(L111&gt;=85,"Excellent",IF(L111&gt;=70,"Good",IF(L111&gt;=55,"Mixed","Poor"))))</f>
        <v/>
      </c>
      <c r="N111" s="66" t="n"/>
      <c r="O111" t="inlineStr">
        <is>
          <t>https://www.imdb.com/find/?q=Furious+7+2015</t>
        </is>
      </c>
      <c r="P111" t="inlineStr">
        <is>
          <t>https://www.rottentomatoes.com/search?search=Furious+7</t>
        </is>
      </c>
      <c r="Q111" t="inlineStr">
        <is>
          <t>https://letterboxd.com/search/Furious%207/</t>
        </is>
      </c>
      <c r="R111" t="inlineStr">
        <is>
          <t>https://www.metacritic.com/search/Furious+7/</t>
        </is>
      </c>
    </row>
    <row r="112">
      <c r="A112" t="inlineStr">
        <is>
          <t>F0108</t>
        </is>
      </c>
      <c r="B112" t="inlineStr">
        <is>
          <t>The Fate of the Furious</t>
        </is>
      </c>
      <c r="C112" s="63" t="inlineStr">
        <is>
          <t>2017</t>
        </is>
      </c>
      <c r="E112" s="82" t="n"/>
      <c r="F112" s="85" t="n"/>
      <c r="G112" s="71" t="n"/>
      <c r="H112" s="71" t="n"/>
      <c r="I112" s="83" t="n"/>
      <c r="J112" s="71" t="n"/>
      <c r="K112" s="82" t="n"/>
      <c r="L112" s="82">
        <f>IF(COUNT(E112,G112,H112,I112,J112,K112)=0,"",ROUND((IF(E112="",0,E112*10)+IF(G112="",0,G112)+IF(H112="",0,H112)+IF(I112="",0,I112*20)+IF(J112="",0,J112)+IF(K112="",0,K112*10))/COUNT(E112,G112,H112,I112,J112,K112),1))</f>
        <v/>
      </c>
      <c r="M112">
        <f>IF(L112="","",IF(L112&gt;=85,"Excellent",IF(L112&gt;=70,"Good",IF(L112&gt;=55,"Mixed","Poor"))))</f>
        <v/>
      </c>
      <c r="N112" s="66" t="n"/>
      <c r="O112" t="inlineStr">
        <is>
          <t>https://www.imdb.com/find/?q=The+Fate+of+the+Furious+2017</t>
        </is>
      </c>
      <c r="P112" t="inlineStr">
        <is>
          <t>https://www.rottentomatoes.com/search?search=The+Fate+of+the+Furious</t>
        </is>
      </c>
      <c r="Q112" t="inlineStr">
        <is>
          <t>https://letterboxd.com/search/The%20Fate%20of%20the%20Furious/</t>
        </is>
      </c>
      <c r="R112" t="inlineStr">
        <is>
          <t>https://www.metacritic.com/search/The+Fate+of+the+Furious/</t>
        </is>
      </c>
    </row>
    <row r="113">
      <c r="A113" t="inlineStr">
        <is>
          <t>F0109</t>
        </is>
      </c>
      <c r="B113" t="inlineStr">
        <is>
          <t>F9: The Fast Saga</t>
        </is>
      </c>
      <c r="C113" s="63" t="inlineStr">
        <is>
          <t>2021</t>
        </is>
      </c>
      <c r="E113" s="82" t="n"/>
      <c r="F113" s="85" t="n"/>
      <c r="G113" s="71" t="n"/>
      <c r="H113" s="71" t="n"/>
      <c r="I113" s="83" t="n"/>
      <c r="J113" s="71" t="n"/>
      <c r="K113" s="82" t="n"/>
      <c r="L113" s="82">
        <f>IF(COUNT(E113,G113,H113,I113,J113,K113)=0,"",ROUND((IF(E113="",0,E113*10)+IF(G113="",0,G113)+IF(H113="",0,H113)+IF(I113="",0,I113*20)+IF(J113="",0,J113)+IF(K113="",0,K113*10))/COUNT(E113,G113,H113,I113,J113,K113),1))</f>
        <v/>
      </c>
      <c r="M113">
        <f>IF(L113="","",IF(L113&gt;=85,"Excellent",IF(L113&gt;=70,"Good",IF(L113&gt;=55,"Mixed","Poor"))))</f>
        <v/>
      </c>
      <c r="N113" s="66" t="n"/>
      <c r="O113" t="inlineStr">
        <is>
          <t>https://www.imdb.com/find/?q=F9%3A+The+Fast+Saga+2021</t>
        </is>
      </c>
      <c r="P113" t="inlineStr">
        <is>
          <t>https://www.rottentomatoes.com/search?search=F9%3A+The+Fast+Saga</t>
        </is>
      </c>
      <c r="Q113" t="inlineStr">
        <is>
          <t>https://letterboxd.com/search/F9%3A%20The%20Fast%20Saga/</t>
        </is>
      </c>
      <c r="R113" t="inlineStr">
        <is>
          <t>https://www.metacritic.com/search/F9%3A+The+Fast+Saga/</t>
        </is>
      </c>
    </row>
    <row r="114">
      <c r="A114" t="inlineStr">
        <is>
          <t>F0110</t>
        </is>
      </c>
      <c r="B114" t="inlineStr">
        <is>
          <t>Fast X</t>
        </is>
      </c>
      <c r="C114" s="63" t="inlineStr">
        <is>
          <t>2023</t>
        </is>
      </c>
      <c r="E114" s="82" t="n"/>
      <c r="F114" s="85" t="n"/>
      <c r="G114" s="71" t="n"/>
      <c r="H114" s="71" t="n"/>
      <c r="I114" s="83" t="n"/>
      <c r="J114" s="71" t="n"/>
      <c r="K114" s="82" t="n"/>
      <c r="L114" s="82">
        <f>IF(COUNT(E114,G114,H114,I114,J114,K114)=0,"",ROUND((IF(E114="",0,E114*10)+IF(G114="",0,G114)+IF(H114="",0,H114)+IF(I114="",0,I114*20)+IF(J114="",0,J114)+IF(K114="",0,K114*10))/COUNT(E114,G114,H114,I114,J114,K114),1))</f>
        <v/>
      </c>
      <c r="M114">
        <f>IF(L114="","",IF(L114&gt;=85,"Excellent",IF(L114&gt;=70,"Good",IF(L114&gt;=55,"Mixed","Poor"))))</f>
        <v/>
      </c>
      <c r="N114" s="66" t="n"/>
      <c r="O114" t="inlineStr">
        <is>
          <t>https://www.imdb.com/find/?q=Fast+X+2023</t>
        </is>
      </c>
      <c r="P114" t="inlineStr">
        <is>
          <t>https://www.rottentomatoes.com/search?search=Fast+X</t>
        </is>
      </c>
      <c r="Q114" t="inlineStr">
        <is>
          <t>https://letterboxd.com/search/Fast%20X/</t>
        </is>
      </c>
      <c r="R114" t="inlineStr">
        <is>
          <t>https://www.metacritic.com/search/Fast+X/</t>
        </is>
      </c>
    </row>
    <row r="115">
      <c r="A115" t="inlineStr">
        <is>
          <t>F0111</t>
        </is>
      </c>
      <c r="B115" t="inlineStr">
        <is>
          <t>Fast &amp; Furious Presents: Hobbs &amp; Shaw</t>
        </is>
      </c>
      <c r="C115" s="63" t="inlineStr">
        <is>
          <t>2019</t>
        </is>
      </c>
      <c r="E115" s="82" t="n"/>
      <c r="F115" s="85" t="n"/>
      <c r="G115" s="71" t="n"/>
      <c r="H115" s="71" t="n"/>
      <c r="I115" s="83" t="n"/>
      <c r="J115" s="71" t="n"/>
      <c r="K115" s="82" t="n"/>
      <c r="L115" s="82">
        <f>IF(COUNT(E115,G115,H115,I115,J115,K115)=0,"",ROUND((IF(E115="",0,E115*10)+IF(G115="",0,G115)+IF(H115="",0,H115)+IF(I115="",0,I115*20)+IF(J115="",0,J115)+IF(K115="",0,K115*10))/COUNT(E115,G115,H115,I115,J115,K115),1))</f>
        <v/>
      </c>
      <c r="M115">
        <f>IF(L115="","",IF(L115&gt;=85,"Excellent",IF(L115&gt;=70,"Good",IF(L115&gt;=55,"Mixed","Poor"))))</f>
        <v/>
      </c>
      <c r="N115" s="66" t="n"/>
      <c r="O115" t="inlineStr">
        <is>
          <t>https://www.imdb.com/find/?q=Fast+%26+Furious+Presents%3A+Hobbs+%26+Shaw+2019</t>
        </is>
      </c>
      <c r="P115" t="inlineStr">
        <is>
          <t>https://www.rottentomatoes.com/search?search=Fast+%26+Furious+Presents%3A+Hobbs+%26+Shaw</t>
        </is>
      </c>
      <c r="Q115" t="inlineStr">
        <is>
          <t>https://letterboxd.com/search/Fast%20%26%20Furious%20Presents%3A%20Hobbs%20%26%20Shaw/</t>
        </is>
      </c>
      <c r="R115" t="inlineStr">
        <is>
          <t>https://www.metacritic.com/search/Fast+%26+Furious+Presents%3A+Hobbs+%26+Shaw/</t>
        </is>
      </c>
    </row>
    <row r="116">
      <c r="A116" t="inlineStr">
        <is>
          <t>F0112</t>
        </is>
      </c>
      <c r="B116" t="inlineStr">
        <is>
          <t>Fight Club</t>
        </is>
      </c>
      <c r="C116" s="63" t="inlineStr">
        <is>
          <t>1999</t>
        </is>
      </c>
      <c r="E116" s="82" t="n"/>
      <c r="F116" s="85" t="n"/>
      <c r="G116" s="71" t="n"/>
      <c r="H116" s="71" t="n"/>
      <c r="I116" s="83" t="n"/>
      <c r="J116" s="71" t="n"/>
      <c r="K116" s="82" t="n"/>
      <c r="L116" s="82">
        <f>IF(COUNT(E116,G116,H116,I116,J116,K116)=0,"",ROUND((IF(E116="",0,E116*10)+IF(G116="",0,G116)+IF(H116="",0,H116)+IF(I116="",0,I116*20)+IF(J116="",0,J116)+IF(K116="",0,K116*10))/COUNT(E116,G116,H116,I116,J116,K116),1))</f>
        <v/>
      </c>
      <c r="M116">
        <f>IF(L116="","",IF(L116&gt;=85,"Excellent",IF(L116&gt;=70,"Good",IF(L116&gt;=55,"Mixed","Poor"))))</f>
        <v/>
      </c>
      <c r="N116" s="66" t="n"/>
      <c r="O116" t="inlineStr">
        <is>
          <t>https://www.imdb.com/find/?q=Fight+Club+1999</t>
        </is>
      </c>
      <c r="P116" t="inlineStr">
        <is>
          <t>https://www.rottentomatoes.com/search?search=Fight+Club</t>
        </is>
      </c>
      <c r="Q116" t="inlineStr">
        <is>
          <t>https://letterboxd.com/search/Fight%20Club/</t>
        </is>
      </c>
      <c r="R116" t="inlineStr">
        <is>
          <t>https://www.metacritic.com/search/Fight+Club/</t>
        </is>
      </c>
    </row>
    <row r="117">
      <c r="A117" t="inlineStr">
        <is>
          <t>F0113</t>
        </is>
      </c>
      <c r="B117" t="inlineStr">
        <is>
          <t>Finding Dory</t>
        </is>
      </c>
      <c r="C117" s="63" t="inlineStr">
        <is>
          <t>2016</t>
        </is>
      </c>
      <c r="E117" s="82" t="n"/>
      <c r="F117" s="85" t="n"/>
      <c r="G117" s="71" t="n"/>
      <c r="H117" s="71" t="n"/>
      <c r="I117" s="83" t="n"/>
      <c r="J117" s="71" t="n"/>
      <c r="K117" s="82" t="n"/>
      <c r="L117" s="82">
        <f>IF(COUNT(E117,G117,H117,I117,J117,K117)=0,"",ROUND((IF(E117="",0,E117*10)+IF(G117="",0,G117)+IF(H117="",0,H117)+IF(I117="",0,I117*20)+IF(J117="",0,J117)+IF(K117="",0,K117*10))/COUNT(E117,G117,H117,I117,J117,K117),1))</f>
        <v/>
      </c>
      <c r="M117">
        <f>IF(L117="","",IF(L117&gt;=85,"Excellent",IF(L117&gt;=70,"Good",IF(L117&gt;=55,"Mixed","Poor"))))</f>
        <v/>
      </c>
      <c r="N117" s="66" t="n"/>
      <c r="O117" t="inlineStr">
        <is>
          <t>https://www.imdb.com/find/?q=Finding+Dory+2016</t>
        </is>
      </c>
      <c r="P117" t="inlineStr">
        <is>
          <t>https://www.rottentomatoes.com/search?search=Finding+Dory</t>
        </is>
      </c>
      <c r="Q117" t="inlineStr">
        <is>
          <t>https://letterboxd.com/search/Finding%20Dory/</t>
        </is>
      </c>
      <c r="R117" t="inlineStr">
        <is>
          <t>https://www.metacritic.com/search/Finding+Dory/</t>
        </is>
      </c>
    </row>
    <row r="118">
      <c r="A118" t="inlineStr">
        <is>
          <t>F0114</t>
        </is>
      </c>
      <c r="B118" t="inlineStr">
        <is>
          <t>Firewall</t>
        </is>
      </c>
      <c r="C118" s="63" t="inlineStr">
        <is>
          <t>2006</t>
        </is>
      </c>
      <c r="E118" s="82" t="n"/>
      <c r="F118" s="85" t="n"/>
      <c r="G118" s="71" t="n"/>
      <c r="H118" s="71" t="n"/>
      <c r="I118" s="83" t="n"/>
      <c r="J118" s="71" t="n"/>
      <c r="K118" s="82" t="n"/>
      <c r="L118" s="82">
        <f>IF(COUNT(E118,G118,H118,I118,J118,K118)=0,"",ROUND((IF(E118="",0,E118*10)+IF(G118="",0,G118)+IF(H118="",0,H118)+IF(I118="",0,I118*20)+IF(J118="",0,J118)+IF(K118="",0,K118*10))/COUNT(E118,G118,H118,I118,J118,K118),1))</f>
        <v/>
      </c>
      <c r="M118">
        <f>IF(L118="","",IF(L118&gt;=85,"Excellent",IF(L118&gt;=70,"Good",IF(L118&gt;=55,"Mixed","Poor"))))</f>
        <v/>
      </c>
      <c r="N118" s="66" t="n"/>
      <c r="O118" t="inlineStr">
        <is>
          <t>https://www.imdb.com/find/?q=Firewall+2006</t>
        </is>
      </c>
      <c r="P118" t="inlineStr">
        <is>
          <t>https://www.rottentomatoes.com/search?search=Firewall</t>
        </is>
      </c>
      <c r="Q118" t="inlineStr">
        <is>
          <t>https://letterboxd.com/search/Firewall/</t>
        </is>
      </c>
      <c r="R118" t="inlineStr">
        <is>
          <t>https://www.metacritic.com/search/Firewall/</t>
        </is>
      </c>
    </row>
    <row r="119">
      <c r="A119" t="inlineStr">
        <is>
          <t>F0115</t>
        </is>
      </c>
      <c r="B119" t="inlineStr">
        <is>
          <t>Forgetting Sarah Marshall</t>
        </is>
      </c>
      <c r="C119" s="63" t="inlineStr">
        <is>
          <t>2008</t>
        </is>
      </c>
      <c r="E119" s="82" t="n"/>
      <c r="F119" s="85" t="n"/>
      <c r="G119" s="71" t="n"/>
      <c r="H119" s="71" t="n"/>
      <c r="I119" s="83" t="n"/>
      <c r="J119" s="71" t="n"/>
      <c r="K119" s="82" t="n"/>
      <c r="L119" s="82">
        <f>IF(COUNT(E119,G119,H119,I119,J119,K119)=0,"",ROUND((IF(E119="",0,E119*10)+IF(G119="",0,G119)+IF(H119="",0,H119)+IF(I119="",0,I119*20)+IF(J119="",0,J119)+IF(K119="",0,K119*10))/COUNT(E119,G119,H119,I119,J119,K119),1))</f>
        <v/>
      </c>
      <c r="M119">
        <f>IF(L119="","",IF(L119&gt;=85,"Excellent",IF(L119&gt;=70,"Good",IF(L119&gt;=55,"Mixed","Poor"))))</f>
        <v/>
      </c>
      <c r="N119" s="66" t="n"/>
      <c r="O119" t="inlineStr">
        <is>
          <t>https://www.imdb.com/find/?q=Forgetting+Sarah+Marshall+2008</t>
        </is>
      </c>
      <c r="P119" t="inlineStr">
        <is>
          <t>https://www.rottentomatoes.com/search?search=Forgetting+Sarah+Marshall</t>
        </is>
      </c>
      <c r="Q119" t="inlineStr">
        <is>
          <t>https://letterboxd.com/search/Forgetting%20Sarah%20Marshall/</t>
        </is>
      </c>
      <c r="R119" t="inlineStr">
        <is>
          <t>https://www.metacritic.com/search/Forgetting+Sarah+Marshall/</t>
        </is>
      </c>
    </row>
    <row r="120">
      <c r="A120" t="inlineStr">
        <is>
          <t>F0116</t>
        </is>
      </c>
      <c r="B120" t="inlineStr">
        <is>
          <t>Frozen</t>
        </is>
      </c>
      <c r="C120" s="63" t="inlineStr">
        <is>
          <t>2013</t>
        </is>
      </c>
      <c r="E120" s="82" t="n"/>
      <c r="F120" s="85" t="n"/>
      <c r="G120" s="71" t="n"/>
      <c r="H120" s="71" t="n"/>
      <c r="I120" s="83" t="n"/>
      <c r="J120" s="71" t="n"/>
      <c r="K120" s="82" t="n"/>
      <c r="L120" s="82">
        <f>IF(COUNT(E120,G120,H120,I120,J120,K120)=0,"",ROUND((IF(E120="",0,E120*10)+IF(G120="",0,G120)+IF(H120="",0,H120)+IF(I120="",0,I120*20)+IF(J120="",0,J120)+IF(K120="",0,K120*10))/COUNT(E120,G120,H120,I120,J120,K120),1))</f>
        <v/>
      </c>
      <c r="M120">
        <f>IF(L120="","",IF(L120&gt;=85,"Excellent",IF(L120&gt;=70,"Good",IF(L120&gt;=55,"Mixed","Poor"))))</f>
        <v/>
      </c>
      <c r="N120" s="66" t="n"/>
      <c r="O120" t="inlineStr">
        <is>
          <t>https://www.imdb.com/find/?q=Frozen+2013</t>
        </is>
      </c>
      <c r="P120" t="inlineStr">
        <is>
          <t>https://www.rottentomatoes.com/search?search=Frozen</t>
        </is>
      </c>
      <c r="Q120" t="inlineStr">
        <is>
          <t>https://letterboxd.com/search/Frozen/</t>
        </is>
      </c>
      <c r="R120" t="inlineStr">
        <is>
          <t>https://www.metacritic.com/search/Frozen/</t>
        </is>
      </c>
    </row>
    <row r="121">
      <c r="A121" t="inlineStr">
        <is>
          <t>F0117</t>
        </is>
      </c>
      <c r="B121" t="inlineStr">
        <is>
          <t>Fury</t>
        </is>
      </c>
      <c r="C121" s="63" t="inlineStr">
        <is>
          <t>2014</t>
        </is>
      </c>
      <c r="E121" s="82" t="n"/>
      <c r="F121" s="85" t="n"/>
      <c r="G121" s="71" t="n"/>
      <c r="H121" s="71" t="n"/>
      <c r="I121" s="83" t="n"/>
      <c r="J121" s="71" t="n"/>
      <c r="K121" s="82" t="n"/>
      <c r="L121" s="82">
        <f>IF(COUNT(E121,G121,H121,I121,J121,K121)=0,"",ROUND((IF(E121="",0,E121*10)+IF(G121="",0,G121)+IF(H121="",0,H121)+IF(I121="",0,I121*20)+IF(J121="",0,J121)+IF(K121="",0,K121*10))/COUNT(E121,G121,H121,I121,J121,K121),1))</f>
        <v/>
      </c>
      <c r="M121">
        <f>IF(L121="","",IF(L121&gt;=85,"Excellent",IF(L121&gt;=70,"Good",IF(L121&gt;=55,"Mixed","Poor"))))</f>
        <v/>
      </c>
      <c r="N121" s="66" t="n"/>
      <c r="O121" t="inlineStr">
        <is>
          <t>https://www.imdb.com/find/?q=Fury+2014</t>
        </is>
      </c>
      <c r="P121" t="inlineStr">
        <is>
          <t>https://www.rottentomatoes.com/search?search=Fury</t>
        </is>
      </c>
      <c r="Q121" t="inlineStr">
        <is>
          <t>https://letterboxd.com/search/Fury/</t>
        </is>
      </c>
      <c r="R121" t="inlineStr">
        <is>
          <t>https://www.metacritic.com/search/Fury/</t>
        </is>
      </c>
    </row>
    <row r="122">
      <c r="A122" t="inlineStr">
        <is>
          <t>F0118</t>
        </is>
      </c>
      <c r="B122" t="inlineStr">
        <is>
          <t>G.I. Joe: The Rise of Cobra</t>
        </is>
      </c>
      <c r="C122" s="63" t="inlineStr">
        <is>
          <t>2009</t>
        </is>
      </c>
      <c r="E122" s="82" t="n"/>
      <c r="F122" s="85" t="n"/>
      <c r="G122" s="71" t="n"/>
      <c r="H122" s="71" t="n"/>
      <c r="I122" s="83" t="n"/>
      <c r="J122" s="71" t="n"/>
      <c r="K122" s="82" t="n"/>
      <c r="L122" s="82">
        <f>IF(COUNT(E122,G122,H122,I122,J122,K122)=0,"",ROUND((IF(E122="",0,E122*10)+IF(G122="",0,G122)+IF(H122="",0,H122)+IF(I122="",0,I122*20)+IF(J122="",0,J122)+IF(K122="",0,K122*10))/COUNT(E122,G122,H122,I122,J122,K122),1))</f>
        <v/>
      </c>
      <c r="M122">
        <f>IF(L122="","",IF(L122&gt;=85,"Excellent",IF(L122&gt;=70,"Good",IF(L122&gt;=55,"Mixed","Poor"))))</f>
        <v/>
      </c>
      <c r="N122" s="66" t="n"/>
      <c r="O122" t="inlineStr">
        <is>
          <t>https://www.imdb.com/find/?q=G.I.+Joe%3A+The+Rise+of+Cobra+2009</t>
        </is>
      </c>
      <c r="P122" t="inlineStr">
        <is>
          <t>https://www.rottentomatoes.com/search?search=G.I.+Joe%3A+The+Rise+of+Cobra</t>
        </is>
      </c>
      <c r="Q122" t="inlineStr">
        <is>
          <t>https://letterboxd.com/search/G.I.%20Joe%3A%20The%20Rise%20of%20Cobra/</t>
        </is>
      </c>
      <c r="R122" t="inlineStr">
        <is>
          <t>https://www.metacritic.com/search/G.I.+Joe%3A+The+Rise+of+Cobra/</t>
        </is>
      </c>
    </row>
    <row r="123">
      <c r="A123" t="inlineStr">
        <is>
          <t>F0119</t>
        </is>
      </c>
      <c r="B123" t="inlineStr">
        <is>
          <t>The Gentlemen</t>
        </is>
      </c>
      <c r="C123" s="63" t="inlineStr">
        <is>
          <t>2020</t>
        </is>
      </c>
      <c r="E123" s="82" t="n"/>
      <c r="F123" s="85" t="n"/>
      <c r="G123" s="71" t="n"/>
      <c r="H123" s="71" t="n"/>
      <c r="I123" s="83" t="n"/>
      <c r="J123" s="71" t="n"/>
      <c r="K123" s="82" t="n"/>
      <c r="L123" s="82">
        <f>IF(COUNT(E123,G123,H123,I123,J123,K123)=0,"",ROUND((IF(E123="",0,E123*10)+IF(G123="",0,G123)+IF(H123="",0,H123)+IF(I123="",0,I123*20)+IF(J123="",0,J123)+IF(K123="",0,K123*10))/COUNT(E123,G123,H123,I123,J123,K123),1))</f>
        <v/>
      </c>
      <c r="M123">
        <f>IF(L123="","",IF(L123&gt;=85,"Excellent",IF(L123&gt;=70,"Good",IF(L123&gt;=55,"Mixed","Poor"))))</f>
        <v/>
      </c>
      <c r="N123" s="66" t="n"/>
      <c r="O123" t="inlineStr">
        <is>
          <t>https://www.imdb.com/find/?q=The+Gentlemen+2020</t>
        </is>
      </c>
      <c r="P123" t="inlineStr">
        <is>
          <t>https://www.rottentomatoes.com/search?search=The+Gentlemen</t>
        </is>
      </c>
      <c r="Q123" t="inlineStr">
        <is>
          <t>https://letterboxd.com/search/The%20Gentlemen/</t>
        </is>
      </c>
      <c r="R123" t="inlineStr">
        <is>
          <t>https://www.metacritic.com/search/The+Gentlemen/</t>
        </is>
      </c>
    </row>
    <row r="124">
      <c r="A124" t="inlineStr">
        <is>
          <t>F0120</t>
        </is>
      </c>
      <c r="B124" t="inlineStr">
        <is>
          <t>The Girl with the Dragon Tattoo</t>
        </is>
      </c>
      <c r="C124" s="63" t="inlineStr">
        <is>
          <t>2011</t>
        </is>
      </c>
      <c r="E124" s="82" t="n"/>
      <c r="F124" s="85" t="n"/>
      <c r="G124" s="71" t="n"/>
      <c r="H124" s="71" t="n"/>
      <c r="I124" s="83" t="n"/>
      <c r="J124" s="71" t="n"/>
      <c r="K124" s="82" t="n"/>
      <c r="L124" s="82">
        <f>IF(COUNT(E124,G124,H124,I124,J124,K124)=0,"",ROUND((IF(E124="",0,E124*10)+IF(G124="",0,G124)+IF(H124="",0,H124)+IF(I124="",0,I124*20)+IF(J124="",0,J124)+IF(K124="",0,K124*10))/COUNT(E124,G124,H124,I124,J124,K124),1))</f>
        <v/>
      </c>
      <c r="M124">
        <f>IF(L124="","",IF(L124&gt;=85,"Excellent",IF(L124&gt;=70,"Good",IF(L124&gt;=55,"Mixed","Poor"))))</f>
        <v/>
      </c>
      <c r="N124" s="66" t="n"/>
      <c r="O124" t="inlineStr">
        <is>
          <t>https://www.imdb.com/find/?q=The+Girl+with+the+Dragon+Tattoo+2011</t>
        </is>
      </c>
      <c r="P124" t="inlineStr">
        <is>
          <t>https://www.rottentomatoes.com/search?search=The+Girl+with+the+Dragon+Tattoo</t>
        </is>
      </c>
      <c r="Q124" t="inlineStr">
        <is>
          <t>https://letterboxd.com/search/The%20Girl%20with%20the%20Dragon%20Tattoo/</t>
        </is>
      </c>
      <c r="R124" t="inlineStr">
        <is>
          <t>https://www.metacritic.com/search/The+Girl+with+the+Dragon+Tattoo/</t>
        </is>
      </c>
    </row>
    <row r="125">
      <c r="A125" t="inlineStr">
        <is>
          <t>F0121</t>
        </is>
      </c>
      <c r="B125" t="inlineStr">
        <is>
          <t>Godzilla</t>
        </is>
      </c>
      <c r="C125" s="63" t="inlineStr">
        <is>
          <t>2014</t>
        </is>
      </c>
      <c r="E125" s="82" t="n"/>
      <c r="F125" s="85" t="n"/>
      <c r="G125" s="71" t="n"/>
      <c r="H125" s="71" t="n"/>
      <c r="I125" s="83" t="n"/>
      <c r="J125" s="71" t="n"/>
      <c r="K125" s="82" t="n"/>
      <c r="L125" s="82">
        <f>IF(COUNT(E125,G125,H125,I125,J125,K125)=0,"",ROUND((IF(E125="",0,E125*10)+IF(G125="",0,G125)+IF(H125="",0,H125)+IF(I125="",0,I125*20)+IF(J125="",0,J125)+IF(K125="",0,K125*10))/COUNT(E125,G125,H125,I125,J125,K125),1))</f>
        <v/>
      </c>
      <c r="M125">
        <f>IF(L125="","",IF(L125&gt;=85,"Excellent",IF(L125&gt;=70,"Good",IF(L125&gt;=55,"Mixed","Poor"))))</f>
        <v/>
      </c>
      <c r="N125" s="66" t="n"/>
      <c r="O125" t="inlineStr">
        <is>
          <t>https://www.imdb.com/find/?q=Godzilla+2014</t>
        </is>
      </c>
      <c r="P125" t="inlineStr">
        <is>
          <t>https://www.rottentomatoes.com/search?search=Godzilla</t>
        </is>
      </c>
      <c r="Q125" t="inlineStr">
        <is>
          <t>https://letterboxd.com/search/Godzilla/</t>
        </is>
      </c>
      <c r="R125" t="inlineStr">
        <is>
          <t>https://www.metacritic.com/search/Godzilla/</t>
        </is>
      </c>
    </row>
    <row r="126">
      <c r="A126" t="inlineStr">
        <is>
          <t>F0122</t>
        </is>
      </c>
      <c r="B126" t="inlineStr">
        <is>
          <t>Godzilla: King of the Monsters</t>
        </is>
      </c>
      <c r="C126" s="63" t="inlineStr">
        <is>
          <t>2019</t>
        </is>
      </c>
      <c r="E126" s="82" t="n"/>
      <c r="F126" s="85" t="n"/>
      <c r="G126" s="71" t="n"/>
      <c r="H126" s="71" t="n"/>
      <c r="I126" s="83" t="n"/>
      <c r="J126" s="71" t="n"/>
      <c r="K126" s="82" t="n"/>
      <c r="L126" s="82">
        <f>IF(COUNT(E126,G126,H126,I126,J126,K126)=0,"",ROUND((IF(E126="",0,E126*10)+IF(G126="",0,G126)+IF(H126="",0,H126)+IF(I126="",0,I126*20)+IF(J126="",0,J126)+IF(K126="",0,K126*10))/COUNT(E126,G126,H126,I126,J126,K126),1))</f>
        <v/>
      </c>
      <c r="M126">
        <f>IF(L126="","",IF(L126&gt;=85,"Excellent",IF(L126&gt;=70,"Good",IF(L126&gt;=55,"Mixed","Poor"))))</f>
        <v/>
      </c>
      <c r="N126" s="66" t="n"/>
      <c r="O126" t="inlineStr">
        <is>
          <t>https://www.imdb.com/find/?q=Godzilla%3A+King+of+the+Monsters+2019</t>
        </is>
      </c>
      <c r="P126" t="inlineStr">
        <is>
          <t>https://www.rottentomatoes.com/search?search=Godzilla%3A+King+of+the+Monsters</t>
        </is>
      </c>
      <c r="Q126" t="inlineStr">
        <is>
          <t>https://letterboxd.com/search/Godzilla%3A%20King%20of%20the%20Monsters/</t>
        </is>
      </c>
      <c r="R126" t="inlineStr">
        <is>
          <t>https://www.metacritic.com/search/Godzilla%3A+King+of+the+Monsters/</t>
        </is>
      </c>
    </row>
    <row r="127">
      <c r="A127" t="inlineStr">
        <is>
          <t>F0123</t>
        </is>
      </c>
      <c r="B127" t="inlineStr">
        <is>
          <t>Godzilla vs. Kong</t>
        </is>
      </c>
      <c r="C127" s="63" t="inlineStr">
        <is>
          <t>2021</t>
        </is>
      </c>
      <c r="E127" s="82" t="n"/>
      <c r="F127" s="85" t="n"/>
      <c r="G127" s="71" t="n"/>
      <c r="H127" s="71" t="n"/>
      <c r="I127" s="83" t="n"/>
      <c r="J127" s="71" t="n"/>
      <c r="K127" s="82" t="n"/>
      <c r="L127" s="82">
        <f>IF(COUNT(E127,G127,H127,I127,J127,K127)=0,"",ROUND((IF(E127="",0,E127*10)+IF(G127="",0,G127)+IF(H127="",0,H127)+IF(I127="",0,I127*20)+IF(J127="",0,J127)+IF(K127="",0,K127*10))/COUNT(E127,G127,H127,I127,J127,K127),1))</f>
        <v/>
      </c>
      <c r="M127">
        <f>IF(L127="","",IF(L127&gt;=85,"Excellent",IF(L127&gt;=70,"Good",IF(L127&gt;=55,"Mixed","Poor"))))</f>
        <v/>
      </c>
      <c r="N127" s="66" t="n"/>
      <c r="O127" t="inlineStr">
        <is>
          <t>https://www.imdb.com/find/?q=Godzilla+vs.+Kong+2021</t>
        </is>
      </c>
      <c r="P127" t="inlineStr">
        <is>
          <t>https://www.rottentomatoes.com/search?search=Godzilla+vs.+Kong</t>
        </is>
      </c>
      <c r="Q127" t="inlineStr">
        <is>
          <t>https://letterboxd.com/search/Godzilla%20vs.%20Kong/</t>
        </is>
      </c>
      <c r="R127" t="inlineStr">
        <is>
          <t>https://www.metacritic.com/search/Godzilla+vs.+Kong/</t>
        </is>
      </c>
    </row>
    <row r="128">
      <c r="A128" t="inlineStr">
        <is>
          <t>F0124</t>
        </is>
      </c>
      <c r="B128" t="inlineStr">
        <is>
          <t>Good Will Hunting</t>
        </is>
      </c>
      <c r="C128" s="63" t="inlineStr">
        <is>
          <t>1997</t>
        </is>
      </c>
      <c r="E128" s="82" t="n"/>
      <c r="F128" s="85" t="n"/>
      <c r="G128" s="71" t="n"/>
      <c r="H128" s="71" t="n"/>
      <c r="I128" s="83" t="n"/>
      <c r="J128" s="71" t="n"/>
      <c r="K128" s="82" t="n"/>
      <c r="L128" s="82">
        <f>IF(COUNT(E128,G128,H128,I128,J128,K128)=0,"",ROUND((IF(E128="",0,E128*10)+IF(G128="",0,G128)+IF(H128="",0,H128)+IF(I128="",0,I128*20)+IF(J128="",0,J128)+IF(K128="",0,K128*10))/COUNT(E128,G128,H128,I128,J128,K128),1))</f>
        <v/>
      </c>
      <c r="M128">
        <f>IF(L128="","",IF(L128&gt;=85,"Excellent",IF(L128&gt;=70,"Good",IF(L128&gt;=55,"Mixed","Poor"))))</f>
        <v/>
      </c>
      <c r="N128" s="66" t="n"/>
      <c r="O128" t="inlineStr">
        <is>
          <t>https://www.imdb.com/find/?q=Good+Will+Hunting+1997</t>
        </is>
      </c>
      <c r="P128" t="inlineStr">
        <is>
          <t>https://www.rottentomatoes.com/search?search=Good+Will+Hunting</t>
        </is>
      </c>
      <c r="Q128" t="inlineStr">
        <is>
          <t>https://letterboxd.com/search/Good%20Will%20Hunting/</t>
        </is>
      </c>
      <c r="R128" t="inlineStr">
        <is>
          <t>https://www.metacritic.com/search/Good+Will+Hunting/</t>
        </is>
      </c>
    </row>
    <row r="129">
      <c r="A129" t="inlineStr">
        <is>
          <t>F0125</t>
        </is>
      </c>
      <c r="B129" t="inlineStr">
        <is>
          <t>Gran Torino</t>
        </is>
      </c>
      <c r="C129" s="63" t="inlineStr">
        <is>
          <t>2008</t>
        </is>
      </c>
      <c r="E129" s="82" t="n"/>
      <c r="F129" s="85" t="n"/>
      <c r="G129" s="71" t="n"/>
      <c r="H129" s="71" t="n"/>
      <c r="I129" s="83" t="n"/>
      <c r="J129" s="71" t="n"/>
      <c r="K129" s="82" t="n"/>
      <c r="L129" s="82">
        <f>IF(COUNT(E129,G129,H129,I129,J129,K129)=0,"",ROUND((IF(E129="",0,E129*10)+IF(G129="",0,G129)+IF(H129="",0,H129)+IF(I129="",0,I129*20)+IF(J129="",0,J129)+IF(K129="",0,K129*10))/COUNT(E129,G129,H129,I129,J129,K129),1))</f>
        <v/>
      </c>
      <c r="M129">
        <f>IF(L129="","",IF(L129&gt;=85,"Excellent",IF(L129&gt;=70,"Good",IF(L129&gt;=55,"Mixed","Poor"))))</f>
        <v/>
      </c>
      <c r="N129" s="66" t="n"/>
      <c r="O129" t="inlineStr">
        <is>
          <t>https://www.imdb.com/find/?q=Gran+Torino+2008</t>
        </is>
      </c>
      <c r="P129" t="inlineStr">
        <is>
          <t>https://www.rottentomatoes.com/search?search=Gran+Torino</t>
        </is>
      </c>
      <c r="Q129" t="inlineStr">
        <is>
          <t>https://letterboxd.com/search/Gran%20Torino/</t>
        </is>
      </c>
      <c r="R129" t="inlineStr">
        <is>
          <t>https://www.metacritic.com/search/Gran+Torino/</t>
        </is>
      </c>
    </row>
    <row r="130">
      <c r="A130" t="inlineStr">
        <is>
          <t>F0126</t>
        </is>
      </c>
      <c r="B130" t="inlineStr">
        <is>
          <t>The Great Gatsby</t>
        </is>
      </c>
      <c r="C130" s="63" t="inlineStr">
        <is>
          <t>2013</t>
        </is>
      </c>
      <c r="E130" s="82" t="n"/>
      <c r="F130" s="85" t="n"/>
      <c r="G130" s="71" t="n"/>
      <c r="H130" s="71" t="n"/>
      <c r="I130" s="83" t="n"/>
      <c r="J130" s="71" t="n"/>
      <c r="K130" s="82" t="n"/>
      <c r="L130" s="82">
        <f>IF(COUNT(E130,G130,H130,I130,J130,K130)=0,"",ROUND((IF(E130="",0,E130*10)+IF(G130="",0,G130)+IF(H130="",0,H130)+IF(I130="",0,I130*20)+IF(J130="",0,J130)+IF(K130="",0,K130*10))/COUNT(E130,G130,H130,I130,J130,K130),1))</f>
        <v/>
      </c>
      <c r="M130">
        <f>IF(L130="","",IF(L130&gt;=85,"Excellent",IF(L130&gt;=70,"Good",IF(L130&gt;=55,"Mixed","Poor"))))</f>
        <v/>
      </c>
      <c r="N130" s="66" t="n"/>
      <c r="O130" t="inlineStr">
        <is>
          <t>https://www.imdb.com/find/?q=The+Great+Gatsby+2013</t>
        </is>
      </c>
      <c r="P130" t="inlineStr">
        <is>
          <t>https://www.rottentomatoes.com/search?search=The+Great+Gatsby</t>
        </is>
      </c>
      <c r="Q130" t="inlineStr">
        <is>
          <t>https://letterboxd.com/search/The%20Great%20Gatsby/</t>
        </is>
      </c>
      <c r="R130" t="inlineStr">
        <is>
          <t>https://www.metacritic.com/search/The+Great+Gatsby/</t>
        </is>
      </c>
    </row>
    <row r="131">
      <c r="A131" t="inlineStr">
        <is>
          <t>F0127</t>
        </is>
      </c>
      <c r="B131" t="inlineStr">
        <is>
          <t>The Greatest Showman</t>
        </is>
      </c>
      <c r="C131" s="63" t="inlineStr">
        <is>
          <t>2017</t>
        </is>
      </c>
      <c r="E131" s="82" t="n"/>
      <c r="F131" s="85" t="n"/>
      <c r="G131" s="71" t="n"/>
      <c r="H131" s="71" t="n"/>
      <c r="I131" s="83" t="n"/>
      <c r="J131" s="71" t="n"/>
      <c r="K131" s="82" t="n"/>
      <c r="L131" s="82">
        <f>IF(COUNT(E131,G131,H131,I131,J131,K131)=0,"",ROUND((IF(E131="",0,E131*10)+IF(G131="",0,G131)+IF(H131="",0,H131)+IF(I131="",0,I131*20)+IF(J131="",0,J131)+IF(K131="",0,K131*10))/COUNT(E131,G131,H131,I131,J131,K131),1))</f>
        <v/>
      </c>
      <c r="M131">
        <f>IF(L131="","",IF(L131&gt;=85,"Excellent",IF(L131&gt;=70,"Good",IF(L131&gt;=55,"Mixed","Poor"))))</f>
        <v/>
      </c>
      <c r="N131" s="66" t="n"/>
      <c r="O131" t="inlineStr">
        <is>
          <t>https://www.imdb.com/find/?q=The+Greatest+Showman+2017</t>
        </is>
      </c>
      <c r="P131" t="inlineStr">
        <is>
          <t>https://www.rottentomatoes.com/search?search=The+Greatest+Showman</t>
        </is>
      </c>
      <c r="Q131" t="inlineStr">
        <is>
          <t>https://letterboxd.com/search/The%20Greatest%20Showman/</t>
        </is>
      </c>
      <c r="R131" t="inlineStr">
        <is>
          <t>https://www.metacritic.com/search/The+Greatest+Showman/</t>
        </is>
      </c>
    </row>
    <row r="132">
      <c r="A132" t="inlineStr">
        <is>
          <t>F0128</t>
        </is>
      </c>
      <c r="B132" t="inlineStr">
        <is>
          <t>Green Lantern</t>
        </is>
      </c>
      <c r="C132" s="63" t="inlineStr">
        <is>
          <t>2011</t>
        </is>
      </c>
      <c r="E132" s="82" t="n"/>
      <c r="F132" s="85" t="n"/>
      <c r="G132" s="71" t="n"/>
      <c r="H132" s="71" t="n"/>
      <c r="I132" s="83" t="n"/>
      <c r="J132" s="71" t="n"/>
      <c r="K132" s="82" t="n"/>
      <c r="L132" s="82">
        <f>IF(COUNT(E132,G132,H132,I132,J132,K132)=0,"",ROUND((IF(E132="",0,E132*10)+IF(G132="",0,G132)+IF(H132="",0,H132)+IF(I132="",0,I132*20)+IF(J132="",0,J132)+IF(K132="",0,K132*10))/COUNT(E132,G132,H132,I132,J132,K132),1))</f>
        <v/>
      </c>
      <c r="M132">
        <f>IF(L132="","",IF(L132&gt;=85,"Excellent",IF(L132&gt;=70,"Good",IF(L132&gt;=55,"Mixed","Poor"))))</f>
        <v/>
      </c>
      <c r="N132" s="66" t="n"/>
      <c r="O132" t="inlineStr">
        <is>
          <t>https://www.imdb.com/find/?q=Green+Lantern+2011</t>
        </is>
      </c>
      <c r="P132" t="inlineStr">
        <is>
          <t>https://www.rottentomatoes.com/search?search=Green+Lantern</t>
        </is>
      </c>
      <c r="Q132" t="inlineStr">
        <is>
          <t>https://letterboxd.com/search/Green%20Lantern/</t>
        </is>
      </c>
      <c r="R132" t="inlineStr">
        <is>
          <t>https://www.metacritic.com/search/Green+Lantern/</t>
        </is>
      </c>
    </row>
    <row r="133">
      <c r="A133" t="inlineStr">
        <is>
          <t>F0129</t>
        </is>
      </c>
      <c r="B133" t="inlineStr">
        <is>
          <t>Green Zone</t>
        </is>
      </c>
      <c r="C133" s="63" t="inlineStr">
        <is>
          <t>2010</t>
        </is>
      </c>
      <c r="E133" s="82" t="n"/>
      <c r="F133" s="85" t="n"/>
      <c r="G133" s="71" t="n"/>
      <c r="H133" s="71" t="n"/>
      <c r="I133" s="83" t="n"/>
      <c r="J133" s="71" t="n"/>
      <c r="K133" s="82" t="n"/>
      <c r="L133" s="82">
        <f>IF(COUNT(E133,G133,H133,I133,J133,K133)=0,"",ROUND((IF(E133="",0,E133*10)+IF(G133="",0,G133)+IF(H133="",0,H133)+IF(I133="",0,I133*20)+IF(J133="",0,J133)+IF(K133="",0,K133*10))/COUNT(E133,G133,H133,I133,J133,K133),1))</f>
        <v/>
      </c>
      <c r="M133">
        <f>IF(L133="","",IF(L133&gt;=85,"Excellent",IF(L133&gt;=70,"Good",IF(L133&gt;=55,"Mixed","Poor"))))</f>
        <v/>
      </c>
      <c r="N133" s="66" t="n"/>
      <c r="O133" t="inlineStr">
        <is>
          <t>https://www.imdb.com/find/?q=Green+Zone+2010</t>
        </is>
      </c>
      <c r="P133" t="inlineStr">
        <is>
          <t>https://www.rottentomatoes.com/search?search=Green+Zone</t>
        </is>
      </c>
      <c r="Q133" t="inlineStr">
        <is>
          <t>https://letterboxd.com/search/Green%20Zone/</t>
        </is>
      </c>
      <c r="R133" t="inlineStr">
        <is>
          <t>https://www.metacritic.com/search/Green+Zone/</t>
        </is>
      </c>
    </row>
    <row r="134">
      <c r="A134" t="inlineStr">
        <is>
          <t>F0130</t>
        </is>
      </c>
      <c r="B134" t="inlineStr">
        <is>
          <t>Grimsby</t>
        </is>
      </c>
      <c r="C134" s="63" t="inlineStr">
        <is>
          <t>2016</t>
        </is>
      </c>
      <c r="E134" s="82" t="n"/>
      <c r="F134" s="85" t="n"/>
      <c r="G134" s="71" t="n"/>
      <c r="H134" s="71" t="n"/>
      <c r="I134" s="83" t="n"/>
      <c r="J134" s="71" t="n"/>
      <c r="K134" s="82" t="n"/>
      <c r="L134" s="82">
        <f>IF(COUNT(E134,G134,H134,I134,J134,K134)=0,"",ROUND((IF(E134="",0,E134*10)+IF(G134="",0,G134)+IF(H134="",0,H134)+IF(I134="",0,I134*20)+IF(J134="",0,J134)+IF(K134="",0,K134*10))/COUNT(E134,G134,H134,I134,J134,K134),1))</f>
        <v/>
      </c>
      <c r="M134">
        <f>IF(L134="","",IF(L134&gt;=85,"Excellent",IF(L134&gt;=70,"Good",IF(L134&gt;=55,"Mixed","Poor"))))</f>
        <v/>
      </c>
      <c r="N134" s="66" t="n"/>
      <c r="O134" t="inlineStr">
        <is>
          <t>https://www.imdb.com/find/?q=Grimsby+2016</t>
        </is>
      </c>
      <c r="P134" t="inlineStr">
        <is>
          <t>https://www.rottentomatoes.com/search?search=Grimsby</t>
        </is>
      </c>
      <c r="Q134" t="inlineStr">
        <is>
          <t>https://letterboxd.com/search/Grimsby/</t>
        </is>
      </c>
      <c r="R134" t="inlineStr">
        <is>
          <t>https://www.metacritic.com/search/Grimsby/</t>
        </is>
      </c>
    </row>
    <row r="135">
      <c r="A135" t="inlineStr">
        <is>
          <t>F0131</t>
        </is>
      </c>
      <c r="B135" t="inlineStr">
        <is>
          <t>Grown Ups</t>
        </is>
      </c>
      <c r="C135" s="63" t="inlineStr">
        <is>
          <t>2010</t>
        </is>
      </c>
      <c r="E135" s="82" t="n"/>
      <c r="F135" s="85" t="n"/>
      <c r="G135" s="71" t="n"/>
      <c r="H135" s="71" t="n"/>
      <c r="I135" s="83" t="n"/>
      <c r="J135" s="71" t="n"/>
      <c r="K135" s="82" t="n"/>
      <c r="L135" s="82">
        <f>IF(COUNT(E135,G135,H135,I135,J135,K135)=0,"",ROUND((IF(E135="",0,E135*10)+IF(G135="",0,G135)+IF(H135="",0,H135)+IF(I135="",0,I135*20)+IF(J135="",0,J135)+IF(K135="",0,K135*10))/COUNT(E135,G135,H135,I135,J135,K135),1))</f>
        <v/>
      </c>
      <c r="M135">
        <f>IF(L135="","",IF(L135&gt;=85,"Excellent",IF(L135&gt;=70,"Good",IF(L135&gt;=55,"Mixed","Poor"))))</f>
        <v/>
      </c>
      <c r="N135" s="66" t="n"/>
      <c r="O135" t="inlineStr">
        <is>
          <t>https://www.imdb.com/find/?q=Grown+Ups+2010</t>
        </is>
      </c>
      <c r="P135" t="inlineStr">
        <is>
          <t>https://www.rottentomatoes.com/search?search=Grown+Ups</t>
        </is>
      </c>
      <c r="Q135" t="inlineStr">
        <is>
          <t>https://letterboxd.com/search/Grown%20Ups/</t>
        </is>
      </c>
      <c r="R135" t="inlineStr">
        <is>
          <t>https://www.metacritic.com/search/Grown+Ups/</t>
        </is>
      </c>
    </row>
    <row r="136">
      <c r="A136" t="inlineStr">
        <is>
          <t>F0132</t>
        </is>
      </c>
      <c r="B136" t="inlineStr">
        <is>
          <t>Grown Ups 2</t>
        </is>
      </c>
      <c r="C136" s="63" t="inlineStr">
        <is>
          <t>2013</t>
        </is>
      </c>
      <c r="E136" s="82" t="n"/>
      <c r="F136" s="85" t="n"/>
      <c r="G136" s="71" t="n"/>
      <c r="H136" s="71" t="n"/>
      <c r="I136" s="83" t="n"/>
      <c r="J136" s="71" t="n"/>
      <c r="K136" s="82" t="n"/>
      <c r="L136" s="82">
        <f>IF(COUNT(E136,G136,H136,I136,J136,K136)=0,"",ROUND((IF(E136="",0,E136*10)+IF(G136="",0,G136)+IF(H136="",0,H136)+IF(I136="",0,I136*20)+IF(J136="",0,J136)+IF(K136="",0,K136*10))/COUNT(E136,G136,H136,I136,J136,K136),1))</f>
        <v/>
      </c>
      <c r="M136">
        <f>IF(L136="","",IF(L136&gt;=85,"Excellent",IF(L136&gt;=70,"Good",IF(L136&gt;=55,"Mixed","Poor"))))</f>
        <v/>
      </c>
      <c r="N136" s="66" t="n"/>
      <c r="O136" t="inlineStr">
        <is>
          <t>https://www.imdb.com/find/?q=Grown+Ups+2+2013</t>
        </is>
      </c>
      <c r="P136" t="inlineStr">
        <is>
          <t>https://www.rottentomatoes.com/search?search=Grown+Ups+2</t>
        </is>
      </c>
      <c r="Q136" t="inlineStr">
        <is>
          <t>https://letterboxd.com/search/Grown%20Ups%202/</t>
        </is>
      </c>
      <c r="R136" t="inlineStr">
        <is>
          <t>https://www.metacritic.com/search/Grown+Ups+2/</t>
        </is>
      </c>
    </row>
    <row r="137">
      <c r="A137" t="inlineStr">
        <is>
          <t>F0133</t>
        </is>
      </c>
      <c r="B137" t="inlineStr">
        <is>
          <t>Hacksaw Ridge</t>
        </is>
      </c>
      <c r="C137" s="63" t="inlineStr">
        <is>
          <t>2016</t>
        </is>
      </c>
      <c r="E137" s="82" t="n"/>
      <c r="F137" s="85" t="n"/>
      <c r="G137" s="71" t="n"/>
      <c r="H137" s="71" t="n"/>
      <c r="I137" s="83" t="n"/>
      <c r="J137" s="71" t="n"/>
      <c r="K137" s="82" t="n"/>
      <c r="L137" s="82">
        <f>IF(COUNT(E137,G137,H137,I137,J137,K137)=0,"",ROUND((IF(E137="",0,E137*10)+IF(G137="",0,G137)+IF(H137="",0,H137)+IF(I137="",0,I137*20)+IF(J137="",0,J137)+IF(K137="",0,K137*10))/COUNT(E137,G137,H137,I137,J137,K137),1))</f>
        <v/>
      </c>
      <c r="M137">
        <f>IF(L137="","",IF(L137&gt;=85,"Excellent",IF(L137&gt;=70,"Good",IF(L137&gt;=55,"Mixed","Poor"))))</f>
        <v/>
      </c>
      <c r="N137" s="66" t="n"/>
      <c r="O137" t="inlineStr">
        <is>
          <t>https://www.imdb.com/find/?q=Hacksaw+Ridge+2016</t>
        </is>
      </c>
      <c r="P137" t="inlineStr">
        <is>
          <t>https://www.rottentomatoes.com/search?search=Hacksaw+Ridge</t>
        </is>
      </c>
      <c r="Q137" t="inlineStr">
        <is>
          <t>https://letterboxd.com/search/Hacksaw%20Ridge/</t>
        </is>
      </c>
      <c r="R137" t="inlineStr">
        <is>
          <t>https://www.metacritic.com/search/Hacksaw+Ridge/</t>
        </is>
      </c>
    </row>
    <row r="138">
      <c r="A138" t="inlineStr">
        <is>
          <t>F0134</t>
        </is>
      </c>
      <c r="B138" t="inlineStr">
        <is>
          <t>The Hangover</t>
        </is>
      </c>
      <c r="C138" s="63" t="inlineStr">
        <is>
          <t>2009</t>
        </is>
      </c>
      <c r="E138" s="82" t="n"/>
      <c r="F138" s="85" t="n"/>
      <c r="G138" s="71" t="n"/>
      <c r="H138" s="71" t="n"/>
      <c r="I138" s="83" t="n"/>
      <c r="J138" s="71" t="n"/>
      <c r="K138" s="82" t="n"/>
      <c r="L138" s="82">
        <f>IF(COUNT(E138,G138,H138,I138,J138,K138)=0,"",ROUND((IF(E138="",0,E138*10)+IF(G138="",0,G138)+IF(H138="",0,H138)+IF(I138="",0,I138*20)+IF(J138="",0,J138)+IF(K138="",0,K138*10))/COUNT(E138,G138,H138,I138,J138,K138),1))</f>
        <v/>
      </c>
      <c r="M138">
        <f>IF(L138="","",IF(L138&gt;=85,"Excellent",IF(L138&gt;=70,"Good",IF(L138&gt;=55,"Mixed","Poor"))))</f>
        <v/>
      </c>
      <c r="N138" s="66" t="n"/>
      <c r="O138" t="inlineStr">
        <is>
          <t>https://www.imdb.com/find/?q=The+Hangover+2009</t>
        </is>
      </c>
      <c r="P138" t="inlineStr">
        <is>
          <t>https://www.rottentomatoes.com/search?search=The+Hangover</t>
        </is>
      </c>
      <c r="Q138" t="inlineStr">
        <is>
          <t>https://letterboxd.com/search/The%20Hangover/</t>
        </is>
      </c>
      <c r="R138" t="inlineStr">
        <is>
          <t>https://www.metacritic.com/search/The+Hangover/</t>
        </is>
      </c>
    </row>
    <row r="139">
      <c r="A139" t="inlineStr">
        <is>
          <t>F0135</t>
        </is>
      </c>
      <c r="B139" t="inlineStr">
        <is>
          <t>The Hangover Part II</t>
        </is>
      </c>
      <c r="C139" s="63" t="inlineStr">
        <is>
          <t>2011</t>
        </is>
      </c>
      <c r="E139" s="82" t="n"/>
      <c r="F139" s="85" t="n"/>
      <c r="G139" s="71" t="n"/>
      <c r="H139" s="71" t="n"/>
      <c r="I139" s="83" t="n"/>
      <c r="J139" s="71" t="n"/>
      <c r="K139" s="82" t="n"/>
      <c r="L139" s="82">
        <f>IF(COUNT(E139,G139,H139,I139,J139,K139)=0,"",ROUND((IF(E139="",0,E139*10)+IF(G139="",0,G139)+IF(H139="",0,H139)+IF(I139="",0,I139*20)+IF(J139="",0,J139)+IF(K139="",0,K139*10))/COUNT(E139,G139,H139,I139,J139,K139),1))</f>
        <v/>
      </c>
      <c r="M139">
        <f>IF(L139="","",IF(L139&gt;=85,"Excellent",IF(L139&gt;=70,"Good",IF(L139&gt;=55,"Mixed","Poor"))))</f>
        <v/>
      </c>
      <c r="N139" s="66" t="n"/>
      <c r="O139" t="inlineStr">
        <is>
          <t>https://www.imdb.com/find/?q=The+Hangover+Part+II+2011</t>
        </is>
      </c>
      <c r="P139" t="inlineStr">
        <is>
          <t>https://www.rottentomatoes.com/search?search=The+Hangover+Part+II</t>
        </is>
      </c>
      <c r="Q139" t="inlineStr">
        <is>
          <t>https://letterboxd.com/search/The%20Hangover%20Part%20II/</t>
        </is>
      </c>
      <c r="R139" t="inlineStr">
        <is>
          <t>https://www.metacritic.com/search/The+Hangover+Part+II/</t>
        </is>
      </c>
    </row>
    <row r="140">
      <c r="A140" t="inlineStr">
        <is>
          <t>F0136</t>
        </is>
      </c>
      <c r="B140" t="inlineStr">
        <is>
          <t>The Hangover Part III</t>
        </is>
      </c>
      <c r="C140" s="63" t="inlineStr">
        <is>
          <t>2013</t>
        </is>
      </c>
      <c r="E140" s="82" t="n"/>
      <c r="F140" s="85" t="n"/>
      <c r="G140" s="71" t="n"/>
      <c r="H140" s="71" t="n"/>
      <c r="I140" s="83" t="n"/>
      <c r="J140" s="71" t="n"/>
      <c r="K140" s="82" t="n"/>
      <c r="L140" s="82">
        <f>IF(COUNT(E140,G140,H140,I140,J140,K140)=0,"",ROUND((IF(E140="",0,E140*10)+IF(G140="",0,G140)+IF(H140="",0,H140)+IF(I140="",0,I140*20)+IF(J140="",0,J140)+IF(K140="",0,K140*10))/COUNT(E140,G140,H140,I140,J140,K140),1))</f>
        <v/>
      </c>
      <c r="M140">
        <f>IF(L140="","",IF(L140&gt;=85,"Excellent",IF(L140&gt;=70,"Good",IF(L140&gt;=55,"Mixed","Poor"))))</f>
        <v/>
      </c>
      <c r="N140" s="66" t="n"/>
      <c r="O140" t="inlineStr">
        <is>
          <t>https://www.imdb.com/find/?q=The+Hangover+Part+III+2013</t>
        </is>
      </c>
      <c r="P140" t="inlineStr">
        <is>
          <t>https://www.rottentomatoes.com/search?search=The+Hangover+Part+III</t>
        </is>
      </c>
      <c r="Q140" t="inlineStr">
        <is>
          <t>https://letterboxd.com/search/The%20Hangover%20Part%20III/</t>
        </is>
      </c>
      <c r="R140" t="inlineStr">
        <is>
          <t>https://www.metacritic.com/search/The+Hangover+Part+III/</t>
        </is>
      </c>
    </row>
    <row r="141">
      <c r="A141" t="inlineStr">
        <is>
          <t>F0137</t>
        </is>
      </c>
      <c r="B141" t="inlineStr">
        <is>
          <t>Harry Potter and the Philosopher's Stone</t>
        </is>
      </c>
      <c r="C141" s="63" t="inlineStr">
        <is>
          <t>2001</t>
        </is>
      </c>
      <c r="E141" s="82" t="n"/>
      <c r="F141" s="85" t="n"/>
      <c r="G141" s="71" t="n"/>
      <c r="H141" s="71" t="n"/>
      <c r="I141" s="83" t="n"/>
      <c r="J141" s="71" t="n"/>
      <c r="K141" s="82" t="n"/>
      <c r="L141" s="82">
        <f>IF(COUNT(E141,G141,H141,I141,J141,K141)=0,"",ROUND((IF(E141="",0,E141*10)+IF(G141="",0,G141)+IF(H141="",0,H141)+IF(I141="",0,I141*20)+IF(J141="",0,J141)+IF(K141="",0,K141*10))/COUNT(E141,G141,H141,I141,J141,K141),1))</f>
        <v/>
      </c>
      <c r="M141">
        <f>IF(L141="","",IF(L141&gt;=85,"Excellent",IF(L141&gt;=70,"Good",IF(L141&gt;=55,"Mixed","Poor"))))</f>
        <v/>
      </c>
      <c r="N141" s="66" t="n"/>
      <c r="O141" t="inlineStr">
        <is>
          <t>https://www.imdb.com/find/?q=Harry+Potter+and+the+Philosopher%27s+Stone+2001</t>
        </is>
      </c>
      <c r="P141" t="inlineStr">
        <is>
          <t>https://www.rottentomatoes.com/search?search=Harry+Potter+and+the+Philosopher%27s+Stone</t>
        </is>
      </c>
      <c r="Q141" t="inlineStr">
        <is>
          <t>https://letterboxd.com/search/Harry%20Potter%20and%20the%20Philosopher%27s%20Stone/</t>
        </is>
      </c>
      <c r="R141" t="inlineStr">
        <is>
          <t>https://www.metacritic.com/search/Harry+Potter+and+the+Philosopher%27s+Stone/</t>
        </is>
      </c>
    </row>
    <row r="142">
      <c r="A142" t="inlineStr">
        <is>
          <t>F0138</t>
        </is>
      </c>
      <c r="B142" t="inlineStr">
        <is>
          <t>Harry Potter and the Chamber of Secrets</t>
        </is>
      </c>
      <c r="C142" s="63" t="inlineStr">
        <is>
          <t>2002</t>
        </is>
      </c>
      <c r="E142" s="82" t="n"/>
      <c r="F142" s="85" t="n"/>
      <c r="G142" s="71" t="n"/>
      <c r="H142" s="71" t="n"/>
      <c r="I142" s="83" t="n"/>
      <c r="J142" s="71" t="n"/>
      <c r="K142" s="82" t="n"/>
      <c r="L142" s="82">
        <f>IF(COUNT(E142,G142,H142,I142,J142,K142)=0,"",ROUND((IF(E142="",0,E142*10)+IF(G142="",0,G142)+IF(H142="",0,H142)+IF(I142="",0,I142*20)+IF(J142="",0,J142)+IF(K142="",0,K142*10))/COUNT(E142,G142,H142,I142,J142,K142),1))</f>
        <v/>
      </c>
      <c r="M142">
        <f>IF(L142="","",IF(L142&gt;=85,"Excellent",IF(L142&gt;=70,"Good",IF(L142&gt;=55,"Mixed","Poor"))))</f>
        <v/>
      </c>
      <c r="N142" s="66" t="n"/>
      <c r="O142" t="inlineStr">
        <is>
          <t>https://www.imdb.com/find/?q=Harry+Potter+and+the+Chamber+of+Secrets+2002</t>
        </is>
      </c>
      <c r="P142" t="inlineStr">
        <is>
          <t>https://www.rottentomatoes.com/search?search=Harry+Potter+and+the+Chamber+of+Secrets</t>
        </is>
      </c>
      <c r="Q142" t="inlineStr">
        <is>
          <t>https://letterboxd.com/search/Harry%20Potter%20and%20the%20Chamber%20of%20Secrets/</t>
        </is>
      </c>
      <c r="R142" t="inlineStr">
        <is>
          <t>https://www.metacritic.com/search/Harry+Potter+and+the+Chamber+of+Secrets/</t>
        </is>
      </c>
    </row>
    <row r="143">
      <c r="A143" t="inlineStr">
        <is>
          <t>F0139</t>
        </is>
      </c>
      <c r="B143" t="inlineStr">
        <is>
          <t>Harry Potter and the Prisoner of Azkaban</t>
        </is>
      </c>
      <c r="C143" s="63" t="inlineStr">
        <is>
          <t>2004</t>
        </is>
      </c>
      <c r="E143" s="82" t="n"/>
      <c r="F143" s="85" t="n"/>
      <c r="G143" s="71" t="n"/>
      <c r="H143" s="71" t="n"/>
      <c r="I143" s="83" t="n"/>
      <c r="J143" s="71" t="n"/>
      <c r="K143" s="82" t="n"/>
      <c r="L143" s="82">
        <f>IF(COUNT(E143,G143,H143,I143,J143,K143)=0,"",ROUND((IF(E143="",0,E143*10)+IF(G143="",0,G143)+IF(H143="",0,H143)+IF(I143="",0,I143*20)+IF(J143="",0,J143)+IF(K143="",0,K143*10))/COUNT(E143,G143,H143,I143,J143,K143),1))</f>
        <v/>
      </c>
      <c r="M143">
        <f>IF(L143="","",IF(L143&gt;=85,"Excellent",IF(L143&gt;=70,"Good",IF(L143&gt;=55,"Mixed","Poor"))))</f>
        <v/>
      </c>
      <c r="N143" s="66" t="n"/>
      <c r="O143" t="inlineStr">
        <is>
          <t>https://www.imdb.com/find/?q=Harry+Potter+and+the+Prisoner+of+Azkaban+2004</t>
        </is>
      </c>
      <c r="P143" t="inlineStr">
        <is>
          <t>https://www.rottentomatoes.com/search?search=Harry+Potter+and+the+Prisoner+of+Azkaban</t>
        </is>
      </c>
      <c r="Q143" t="inlineStr">
        <is>
          <t>https://letterboxd.com/search/Harry%20Potter%20and%20the%20Prisoner%20of%20Azkaban/</t>
        </is>
      </c>
      <c r="R143" t="inlineStr">
        <is>
          <t>https://www.metacritic.com/search/Harry+Potter+and+the+Prisoner+of+Azkaban/</t>
        </is>
      </c>
    </row>
    <row r="144">
      <c r="A144" t="inlineStr">
        <is>
          <t>F0140</t>
        </is>
      </c>
      <c r="B144" t="inlineStr">
        <is>
          <t>Harry Potter and the Goblet of Fire</t>
        </is>
      </c>
      <c r="C144" s="63" t="inlineStr">
        <is>
          <t>2005</t>
        </is>
      </c>
      <c r="E144" s="82" t="n"/>
      <c r="F144" s="85" t="n"/>
      <c r="G144" s="71" t="n"/>
      <c r="H144" s="71" t="n"/>
      <c r="I144" s="83" t="n"/>
      <c r="J144" s="71" t="n"/>
      <c r="K144" s="82" t="n"/>
      <c r="L144" s="82">
        <f>IF(COUNT(E144,G144,H144,I144,J144,K144)=0,"",ROUND((IF(E144="",0,E144*10)+IF(G144="",0,G144)+IF(H144="",0,H144)+IF(I144="",0,I144*20)+IF(J144="",0,J144)+IF(K144="",0,K144*10))/COUNT(E144,G144,H144,I144,J144,K144),1))</f>
        <v/>
      </c>
      <c r="M144">
        <f>IF(L144="","",IF(L144&gt;=85,"Excellent",IF(L144&gt;=70,"Good",IF(L144&gt;=55,"Mixed","Poor"))))</f>
        <v/>
      </c>
      <c r="N144" s="66" t="n"/>
      <c r="O144" t="inlineStr">
        <is>
          <t>https://www.imdb.com/find/?q=Harry+Potter+and+the+Goblet+of+Fire+2005</t>
        </is>
      </c>
      <c r="P144" t="inlineStr">
        <is>
          <t>https://www.rottentomatoes.com/search?search=Harry+Potter+and+the+Goblet+of+Fire</t>
        </is>
      </c>
      <c r="Q144" t="inlineStr">
        <is>
          <t>https://letterboxd.com/search/Harry%20Potter%20and%20the%20Goblet%20of%20Fire/</t>
        </is>
      </c>
      <c r="R144" t="inlineStr">
        <is>
          <t>https://www.metacritic.com/search/Harry+Potter+and+the+Goblet+of+Fire/</t>
        </is>
      </c>
    </row>
    <row r="145">
      <c r="A145" t="inlineStr">
        <is>
          <t>F0141</t>
        </is>
      </c>
      <c r="B145" t="inlineStr">
        <is>
          <t>Harry Potter and the Order of the Phoenix</t>
        </is>
      </c>
      <c r="C145" s="63" t="inlineStr">
        <is>
          <t>2007</t>
        </is>
      </c>
      <c r="E145" s="82" t="n"/>
      <c r="F145" s="85" t="n"/>
      <c r="G145" s="71" t="n"/>
      <c r="H145" s="71" t="n"/>
      <c r="I145" s="83" t="n"/>
      <c r="J145" s="71" t="n"/>
      <c r="K145" s="82" t="n"/>
      <c r="L145" s="82">
        <f>IF(COUNT(E145,G145,H145,I145,J145,K145)=0,"",ROUND((IF(E145="",0,E145*10)+IF(G145="",0,G145)+IF(H145="",0,H145)+IF(I145="",0,I145*20)+IF(J145="",0,J145)+IF(K145="",0,K145*10))/COUNT(E145,G145,H145,I145,J145,K145),1))</f>
        <v/>
      </c>
      <c r="M145">
        <f>IF(L145="","",IF(L145&gt;=85,"Excellent",IF(L145&gt;=70,"Good",IF(L145&gt;=55,"Mixed","Poor"))))</f>
        <v/>
      </c>
      <c r="N145" s="66" t="n"/>
      <c r="O145" t="inlineStr">
        <is>
          <t>https://www.imdb.com/find/?q=Harry+Potter+and+the+Order+of+the+Phoenix+2007</t>
        </is>
      </c>
      <c r="P145" t="inlineStr">
        <is>
          <t>https://www.rottentomatoes.com/search?search=Harry+Potter+and+the+Order+of+the+Phoenix</t>
        </is>
      </c>
      <c r="Q145" t="inlineStr">
        <is>
          <t>https://letterboxd.com/search/Harry%20Potter%20and%20the%20Order%20of%20the%20Phoenix/</t>
        </is>
      </c>
      <c r="R145" t="inlineStr">
        <is>
          <t>https://www.metacritic.com/search/Harry+Potter+and+the+Order+of+the+Phoenix/</t>
        </is>
      </c>
    </row>
    <row r="146">
      <c r="A146" t="inlineStr">
        <is>
          <t>F0142</t>
        </is>
      </c>
      <c r="B146" t="inlineStr">
        <is>
          <t>Harry Potter and the Half-Blood Prince</t>
        </is>
      </c>
      <c r="C146" s="63" t="inlineStr">
        <is>
          <t>2009</t>
        </is>
      </c>
      <c r="E146" s="82" t="n"/>
      <c r="F146" s="85" t="n"/>
      <c r="G146" s="71" t="n"/>
      <c r="H146" s="71" t="n"/>
      <c r="I146" s="83" t="n"/>
      <c r="J146" s="71" t="n"/>
      <c r="K146" s="82" t="n"/>
      <c r="L146" s="82">
        <f>IF(COUNT(E146,G146,H146,I146,J146,K146)=0,"",ROUND((IF(E146="",0,E146*10)+IF(G146="",0,G146)+IF(H146="",0,H146)+IF(I146="",0,I146*20)+IF(J146="",0,J146)+IF(K146="",0,K146*10))/COUNT(E146,G146,H146,I146,J146,K146),1))</f>
        <v/>
      </c>
      <c r="M146">
        <f>IF(L146="","",IF(L146&gt;=85,"Excellent",IF(L146&gt;=70,"Good",IF(L146&gt;=55,"Mixed","Poor"))))</f>
        <v/>
      </c>
      <c r="N146" s="66" t="n"/>
      <c r="O146" t="inlineStr">
        <is>
          <t>https://www.imdb.com/find/?q=Harry+Potter+and+the+Half-Blood+Prince+2009</t>
        </is>
      </c>
      <c r="P146" t="inlineStr">
        <is>
          <t>https://www.rottentomatoes.com/search?search=Harry+Potter+and+the+Half-Blood+Prince</t>
        </is>
      </c>
      <c r="Q146" t="inlineStr">
        <is>
          <t>https://letterboxd.com/search/Harry%20Potter%20and%20the%20Half-Blood%20Prince/</t>
        </is>
      </c>
      <c r="R146" t="inlineStr">
        <is>
          <t>https://www.metacritic.com/search/Harry+Potter+and+the+Half-Blood+Prince/</t>
        </is>
      </c>
    </row>
    <row r="147">
      <c r="A147" t="inlineStr">
        <is>
          <t>F0143</t>
        </is>
      </c>
      <c r="B147" t="inlineStr">
        <is>
          <t>Harry Potter and the Deathly Hallows: Part 1</t>
        </is>
      </c>
      <c r="C147" s="63" t="inlineStr">
        <is>
          <t>2010</t>
        </is>
      </c>
      <c r="E147" s="82" t="n"/>
      <c r="F147" s="85" t="n"/>
      <c r="G147" s="71" t="n"/>
      <c r="H147" s="71" t="n"/>
      <c r="I147" s="83" t="n"/>
      <c r="J147" s="71" t="n"/>
      <c r="K147" s="82" t="n"/>
      <c r="L147" s="82">
        <f>IF(COUNT(E147,G147,H147,I147,J147,K147)=0,"",ROUND((IF(E147="",0,E147*10)+IF(G147="",0,G147)+IF(H147="",0,H147)+IF(I147="",0,I147*20)+IF(J147="",0,J147)+IF(K147="",0,K147*10))/COUNT(E147,G147,H147,I147,J147,K147),1))</f>
        <v/>
      </c>
      <c r="M147">
        <f>IF(L147="","",IF(L147&gt;=85,"Excellent",IF(L147&gt;=70,"Good",IF(L147&gt;=55,"Mixed","Poor"))))</f>
        <v/>
      </c>
      <c r="N147" s="66" t="n"/>
      <c r="O147" t="inlineStr">
        <is>
          <t>https://www.imdb.com/find/?q=Harry+Potter+and+the+Deathly+Hallows%3A+Part+1+2010</t>
        </is>
      </c>
      <c r="P147" t="inlineStr">
        <is>
          <t>https://www.rottentomatoes.com/search?search=Harry+Potter+and+the+Deathly+Hallows%3A+Part+1</t>
        </is>
      </c>
      <c r="Q147" t="inlineStr">
        <is>
          <t>https://letterboxd.com/search/Harry%20Potter%20and%20the%20Deathly%20Hallows%3A%20Part%201/</t>
        </is>
      </c>
      <c r="R147" t="inlineStr">
        <is>
          <t>https://www.metacritic.com/search/Harry+Potter+and+the+Deathly+Hallows%3A+Part+1/</t>
        </is>
      </c>
    </row>
    <row r="148">
      <c r="A148" t="inlineStr">
        <is>
          <t>F0144</t>
        </is>
      </c>
      <c r="B148" t="inlineStr">
        <is>
          <t>Harry Potter and the Deathly Hallows: Part 2</t>
        </is>
      </c>
      <c r="C148" s="63" t="inlineStr">
        <is>
          <t>2011</t>
        </is>
      </c>
      <c r="E148" s="82" t="n"/>
      <c r="F148" s="85" t="n"/>
      <c r="G148" s="71" t="n"/>
      <c r="H148" s="71" t="n"/>
      <c r="I148" s="83" t="n"/>
      <c r="J148" s="71" t="n"/>
      <c r="K148" s="82" t="n"/>
      <c r="L148" s="82">
        <f>IF(COUNT(E148,G148,H148,I148,J148,K148)=0,"",ROUND((IF(E148="",0,E148*10)+IF(G148="",0,G148)+IF(H148="",0,H148)+IF(I148="",0,I148*20)+IF(J148="",0,J148)+IF(K148="",0,K148*10))/COUNT(E148,G148,H148,I148,J148,K148),1))</f>
        <v/>
      </c>
      <c r="M148">
        <f>IF(L148="","",IF(L148&gt;=85,"Excellent",IF(L148&gt;=70,"Good",IF(L148&gt;=55,"Mixed","Poor"))))</f>
        <v/>
      </c>
      <c r="N148" s="66" t="n"/>
      <c r="O148" t="inlineStr">
        <is>
          <t>https://www.imdb.com/find/?q=Harry+Potter+and+the+Deathly+Hallows%3A+Part+2+2011</t>
        </is>
      </c>
      <c r="P148" t="inlineStr">
        <is>
          <t>https://www.rottentomatoes.com/search?search=Harry+Potter+and+the+Deathly+Hallows%3A+Part+2</t>
        </is>
      </c>
      <c r="Q148" t="inlineStr">
        <is>
          <t>https://letterboxd.com/search/Harry%20Potter%20and%20the%20Deathly%20Hallows%3A%20Part%202/</t>
        </is>
      </c>
      <c r="R148" t="inlineStr">
        <is>
          <t>https://www.metacritic.com/search/Harry+Potter+and+the+Deathly+Hallows%3A+Part+2/</t>
        </is>
      </c>
    </row>
    <row r="149">
      <c r="A149" t="inlineStr">
        <is>
          <t>F0145</t>
        </is>
      </c>
      <c r="B149" t="inlineStr">
        <is>
          <t>Happy Feet Two</t>
        </is>
      </c>
      <c r="C149" s="63" t="inlineStr">
        <is>
          <t>2011</t>
        </is>
      </c>
      <c r="E149" s="82" t="n"/>
      <c r="F149" s="85" t="n"/>
      <c r="G149" s="71" t="n"/>
      <c r="H149" s="71" t="n"/>
      <c r="I149" s="83" t="n"/>
      <c r="J149" s="71" t="n"/>
      <c r="K149" s="82" t="n"/>
      <c r="L149" s="82">
        <f>IF(COUNT(E149,G149,H149,I149,J149,K149)=0,"",ROUND((IF(E149="",0,E149*10)+IF(G149="",0,G149)+IF(H149="",0,H149)+IF(I149="",0,I149*20)+IF(J149="",0,J149)+IF(K149="",0,K149*10))/COUNT(E149,G149,H149,I149,J149,K149),1))</f>
        <v/>
      </c>
      <c r="M149">
        <f>IF(L149="","",IF(L149&gt;=85,"Excellent",IF(L149&gt;=70,"Good",IF(L149&gt;=55,"Mixed","Poor"))))</f>
        <v/>
      </c>
      <c r="N149" s="66" t="n"/>
      <c r="O149" t="inlineStr">
        <is>
          <t>https://www.imdb.com/find/?q=Happy+Feet+Two+2011</t>
        </is>
      </c>
      <c r="P149" t="inlineStr">
        <is>
          <t>https://www.rottentomatoes.com/search?search=Happy+Feet+Two</t>
        </is>
      </c>
      <c r="Q149" t="inlineStr">
        <is>
          <t>https://letterboxd.com/search/Happy%20Feet%20Two/</t>
        </is>
      </c>
      <c r="R149" t="inlineStr">
        <is>
          <t>https://www.metacritic.com/search/Happy+Feet+Two/</t>
        </is>
      </c>
    </row>
    <row r="150">
      <c r="A150" t="inlineStr">
        <is>
          <t>F0146</t>
        </is>
      </c>
      <c r="B150" t="inlineStr">
        <is>
          <t>The Heat</t>
        </is>
      </c>
      <c r="C150" s="63" t="inlineStr">
        <is>
          <t>2013</t>
        </is>
      </c>
      <c r="E150" s="82" t="n"/>
      <c r="F150" s="85" t="n"/>
      <c r="G150" s="71" t="n"/>
      <c r="H150" s="71" t="n"/>
      <c r="I150" s="83" t="n"/>
      <c r="J150" s="71" t="n"/>
      <c r="K150" s="82" t="n"/>
      <c r="L150" s="82">
        <f>IF(COUNT(E150,G150,H150,I150,J150,K150)=0,"",ROUND((IF(E150="",0,E150*10)+IF(G150="",0,G150)+IF(H150="",0,H150)+IF(I150="",0,I150*20)+IF(J150="",0,J150)+IF(K150="",0,K150*10))/COUNT(E150,G150,H150,I150,J150,K150),1))</f>
        <v/>
      </c>
      <c r="M150">
        <f>IF(L150="","",IF(L150&gt;=85,"Excellent",IF(L150&gt;=70,"Good",IF(L150&gt;=55,"Mixed","Poor"))))</f>
        <v/>
      </c>
      <c r="N150" s="66" t="n"/>
      <c r="O150" t="inlineStr">
        <is>
          <t>https://www.imdb.com/find/?q=The+Heat+2013</t>
        </is>
      </c>
      <c r="P150" t="inlineStr">
        <is>
          <t>https://www.rottentomatoes.com/search?search=The+Heat</t>
        </is>
      </c>
      <c r="Q150" t="inlineStr">
        <is>
          <t>https://letterboxd.com/search/The%20Heat/</t>
        </is>
      </c>
      <c r="R150" t="inlineStr">
        <is>
          <t>https://www.metacritic.com/search/The+Heat/</t>
        </is>
      </c>
    </row>
    <row r="151">
      <c r="A151" t="inlineStr">
        <is>
          <t>F0147</t>
        </is>
      </c>
      <c r="B151" t="inlineStr">
        <is>
          <t>Hercules</t>
        </is>
      </c>
      <c r="C151" s="63" t="inlineStr">
        <is>
          <t>2014</t>
        </is>
      </c>
      <c r="E151" s="82" t="n"/>
      <c r="F151" s="85" t="n"/>
      <c r="G151" s="71" t="n"/>
      <c r="H151" s="71" t="n"/>
      <c r="I151" s="83" t="n"/>
      <c r="J151" s="71" t="n"/>
      <c r="K151" s="82" t="n"/>
      <c r="L151" s="82">
        <f>IF(COUNT(E151,G151,H151,I151,J151,K151)=0,"",ROUND((IF(E151="",0,E151*10)+IF(G151="",0,G151)+IF(H151="",0,H151)+IF(I151="",0,I151*20)+IF(J151="",0,J151)+IF(K151="",0,K151*10))/COUNT(E151,G151,H151,I151,J151,K151),1))</f>
        <v/>
      </c>
      <c r="M151">
        <f>IF(L151="","",IF(L151&gt;=85,"Excellent",IF(L151&gt;=70,"Good",IF(L151&gt;=55,"Mixed","Poor"))))</f>
        <v/>
      </c>
      <c r="N151" s="66" t="n"/>
      <c r="O151" t="inlineStr">
        <is>
          <t>https://www.imdb.com/find/?q=Hercules+2014</t>
        </is>
      </c>
      <c r="P151" t="inlineStr">
        <is>
          <t>https://www.rottentomatoes.com/search?search=Hercules</t>
        </is>
      </c>
      <c r="Q151" t="inlineStr">
        <is>
          <t>https://letterboxd.com/search/Hercules/</t>
        </is>
      </c>
      <c r="R151" t="inlineStr">
        <is>
          <t>https://www.metacritic.com/search/Hercules/</t>
        </is>
      </c>
    </row>
    <row r="152">
      <c r="A152" t="inlineStr">
        <is>
          <t>F0148</t>
        </is>
      </c>
      <c r="B152" t="inlineStr">
        <is>
          <t>The Legend of Hercules</t>
        </is>
      </c>
      <c r="C152" s="63" t="inlineStr">
        <is>
          <t>2014</t>
        </is>
      </c>
      <c r="E152" s="82" t="n"/>
      <c r="F152" s="85" t="n"/>
      <c r="G152" s="71" t="n"/>
      <c r="H152" s="71" t="n"/>
      <c r="I152" s="83" t="n"/>
      <c r="J152" s="71" t="n"/>
      <c r="K152" s="82" t="n"/>
      <c r="L152" s="82">
        <f>IF(COUNT(E152,G152,H152,I152,J152,K152)=0,"",ROUND((IF(E152="",0,E152*10)+IF(G152="",0,G152)+IF(H152="",0,H152)+IF(I152="",0,I152*20)+IF(J152="",0,J152)+IF(K152="",0,K152*10))/COUNT(E152,G152,H152,I152,J152,K152),1))</f>
        <v/>
      </c>
      <c r="M152">
        <f>IF(L152="","",IF(L152&gt;=85,"Excellent",IF(L152&gt;=70,"Good",IF(L152&gt;=55,"Mixed","Poor"))))</f>
        <v/>
      </c>
      <c r="N152" s="66" t="n"/>
      <c r="O152" t="inlineStr">
        <is>
          <t>https://www.imdb.com/find/?q=The+Legend+of+Hercules+2014</t>
        </is>
      </c>
      <c r="P152" t="inlineStr">
        <is>
          <t>https://www.rottentomatoes.com/search?search=The+Legend+of+Hercules</t>
        </is>
      </c>
      <c r="Q152" t="inlineStr">
        <is>
          <t>https://letterboxd.com/search/The%20Legend%20of%20Hercules/</t>
        </is>
      </c>
      <c r="R152" t="inlineStr">
        <is>
          <t>https://www.metacritic.com/search/The+Legend+of+Hercules/</t>
        </is>
      </c>
    </row>
    <row r="153">
      <c r="A153" t="inlineStr">
        <is>
          <t>F0149</t>
        </is>
      </c>
      <c r="B153" t="inlineStr">
        <is>
          <t>The Hitman's Bodyguard</t>
        </is>
      </c>
      <c r="C153" s="63" t="inlineStr">
        <is>
          <t>2017</t>
        </is>
      </c>
      <c r="E153" s="82" t="n"/>
      <c r="F153" s="85" t="n"/>
      <c r="G153" s="71" t="n"/>
      <c r="H153" s="71" t="n"/>
      <c r="I153" s="83" t="n"/>
      <c r="J153" s="71" t="n"/>
      <c r="K153" s="82" t="n"/>
      <c r="L153" s="82">
        <f>IF(COUNT(E153,G153,H153,I153,J153,K153)=0,"",ROUND((IF(E153="",0,E153*10)+IF(G153="",0,G153)+IF(H153="",0,H153)+IF(I153="",0,I153*20)+IF(J153="",0,J153)+IF(K153="",0,K153*10))/COUNT(E153,G153,H153,I153,J153,K153),1))</f>
        <v/>
      </c>
      <c r="M153">
        <f>IF(L153="","",IF(L153&gt;=85,"Excellent",IF(L153&gt;=70,"Good",IF(L153&gt;=55,"Mixed","Poor"))))</f>
        <v/>
      </c>
      <c r="N153" s="66" t="n"/>
      <c r="O153" t="inlineStr">
        <is>
          <t>https://www.imdb.com/find/?q=The+Hitman%27s+Bodyguard+2017</t>
        </is>
      </c>
      <c r="P153" t="inlineStr">
        <is>
          <t>https://www.rottentomatoes.com/search?search=The+Hitman%27s+Bodyguard</t>
        </is>
      </c>
      <c r="Q153" t="inlineStr">
        <is>
          <t>https://letterboxd.com/search/The%20Hitman%27s%20Bodyguard/</t>
        </is>
      </c>
      <c r="R153" t="inlineStr">
        <is>
          <t>https://www.metacritic.com/search/The+Hitman%27s+Bodyguard/</t>
        </is>
      </c>
    </row>
    <row r="154">
      <c r="A154" t="inlineStr">
        <is>
          <t>F0150</t>
        </is>
      </c>
      <c r="B154" t="inlineStr">
        <is>
          <t>The Hobbit: An Unexpected Journey</t>
        </is>
      </c>
      <c r="C154" s="63" t="inlineStr">
        <is>
          <t>2012</t>
        </is>
      </c>
      <c r="E154" s="82" t="n"/>
      <c r="F154" s="85" t="n"/>
      <c r="G154" s="71" t="n"/>
      <c r="H154" s="71" t="n"/>
      <c r="I154" s="83" t="n"/>
      <c r="J154" s="71" t="n"/>
      <c r="K154" s="82" t="n"/>
      <c r="L154" s="82">
        <f>IF(COUNT(E154,G154,H154,I154,J154,K154)=0,"",ROUND((IF(E154="",0,E154*10)+IF(G154="",0,G154)+IF(H154="",0,H154)+IF(I154="",0,I154*20)+IF(J154="",0,J154)+IF(K154="",0,K154*10))/COUNT(E154,G154,H154,I154,J154,K154),1))</f>
        <v/>
      </c>
      <c r="M154">
        <f>IF(L154="","",IF(L154&gt;=85,"Excellent",IF(L154&gt;=70,"Good",IF(L154&gt;=55,"Mixed","Poor"))))</f>
        <v/>
      </c>
      <c r="N154" s="66" t="n"/>
      <c r="O154" t="inlineStr">
        <is>
          <t>https://www.imdb.com/find/?q=The+Hobbit%3A+An+Unexpected+Journey+2012</t>
        </is>
      </c>
      <c r="P154" t="inlineStr">
        <is>
          <t>https://www.rottentomatoes.com/search?search=The+Hobbit%3A+An+Unexpected+Journey</t>
        </is>
      </c>
      <c r="Q154" t="inlineStr">
        <is>
          <t>https://letterboxd.com/search/The%20Hobbit%3A%20An%20Unexpected%20Journey/</t>
        </is>
      </c>
      <c r="R154" t="inlineStr">
        <is>
          <t>https://www.metacritic.com/search/The+Hobbit%3A+An+Unexpected+Journey/</t>
        </is>
      </c>
    </row>
    <row r="155">
      <c r="A155" t="inlineStr">
        <is>
          <t>F0151</t>
        </is>
      </c>
      <c r="B155" t="inlineStr">
        <is>
          <t>The Hobbit: The Desolation of Smaug</t>
        </is>
      </c>
      <c r="C155" s="63" t="inlineStr">
        <is>
          <t>2013</t>
        </is>
      </c>
      <c r="E155" s="82" t="n"/>
      <c r="F155" s="85" t="n"/>
      <c r="G155" s="71" t="n"/>
      <c r="H155" s="71" t="n"/>
      <c r="I155" s="83" t="n"/>
      <c r="J155" s="71" t="n"/>
      <c r="K155" s="82" t="n"/>
      <c r="L155" s="82">
        <f>IF(COUNT(E155,G155,H155,I155,J155,K155)=0,"",ROUND((IF(E155="",0,E155*10)+IF(G155="",0,G155)+IF(H155="",0,H155)+IF(I155="",0,I155*20)+IF(J155="",0,J155)+IF(K155="",0,K155*10))/COUNT(E155,G155,H155,I155,J155,K155),1))</f>
        <v/>
      </c>
      <c r="M155">
        <f>IF(L155="","",IF(L155&gt;=85,"Excellent",IF(L155&gt;=70,"Good",IF(L155&gt;=55,"Mixed","Poor"))))</f>
        <v/>
      </c>
      <c r="N155" s="66" t="n"/>
      <c r="O155" t="inlineStr">
        <is>
          <t>https://www.imdb.com/find/?q=The+Hobbit%3A+The+Desolation+of+Smaug+2013</t>
        </is>
      </c>
      <c r="P155" t="inlineStr">
        <is>
          <t>https://www.rottentomatoes.com/search?search=The+Hobbit%3A+The+Desolation+of+Smaug</t>
        </is>
      </c>
      <c r="Q155" t="inlineStr">
        <is>
          <t>https://letterboxd.com/search/The%20Hobbit%3A%20The%20Desolation%20of%20Smaug/</t>
        </is>
      </c>
      <c r="R155" t="inlineStr">
        <is>
          <t>https://www.metacritic.com/search/The+Hobbit%3A+The+Desolation+of+Smaug/</t>
        </is>
      </c>
    </row>
    <row r="156">
      <c r="A156" t="inlineStr">
        <is>
          <t>F0152</t>
        </is>
      </c>
      <c r="B156" t="inlineStr">
        <is>
          <t>The Hobbit: The Battle of the Five Armies</t>
        </is>
      </c>
      <c r="C156" s="63" t="inlineStr">
        <is>
          <t>2014</t>
        </is>
      </c>
      <c r="E156" s="82" t="n"/>
      <c r="F156" s="85" t="n"/>
      <c r="G156" s="71" t="n"/>
      <c r="H156" s="71" t="n"/>
      <c r="I156" s="83" t="n"/>
      <c r="J156" s="71" t="n"/>
      <c r="K156" s="82" t="n"/>
      <c r="L156" s="82">
        <f>IF(COUNT(E156,G156,H156,I156,J156,K156)=0,"",ROUND((IF(E156="",0,E156*10)+IF(G156="",0,G156)+IF(H156="",0,H156)+IF(I156="",0,I156*20)+IF(J156="",0,J156)+IF(K156="",0,K156*10))/COUNT(E156,G156,H156,I156,J156,K156),1))</f>
        <v/>
      </c>
      <c r="M156">
        <f>IF(L156="","",IF(L156&gt;=85,"Excellent",IF(L156&gt;=70,"Good",IF(L156&gt;=55,"Mixed","Poor"))))</f>
        <v/>
      </c>
      <c r="N156" s="66" t="n"/>
      <c r="O156" t="inlineStr">
        <is>
          <t>https://www.imdb.com/find/?q=The+Hobbit%3A+The+Battle+of+the+Five+Armies+2014</t>
        </is>
      </c>
      <c r="P156" t="inlineStr">
        <is>
          <t>https://www.rottentomatoes.com/search?search=The+Hobbit%3A+The+Battle+of+the+Five+Armies</t>
        </is>
      </c>
      <c r="Q156" t="inlineStr">
        <is>
          <t>https://letterboxd.com/search/The%20Hobbit%3A%20The%20Battle%20of%20the%20Five%20Armies/</t>
        </is>
      </c>
      <c r="R156" t="inlineStr">
        <is>
          <t>https://www.metacritic.com/search/The+Hobbit%3A+The+Battle+of+the+Five+Armies/</t>
        </is>
      </c>
    </row>
    <row r="157">
      <c r="A157" t="inlineStr">
        <is>
          <t>F0153</t>
        </is>
      </c>
      <c r="B157" t="inlineStr">
        <is>
          <t>Home</t>
        </is>
      </c>
      <c r="C157" s="63" t="inlineStr">
        <is>
          <t>2015</t>
        </is>
      </c>
      <c r="E157" s="82" t="n"/>
      <c r="F157" s="85" t="n"/>
      <c r="G157" s="71" t="n"/>
      <c r="H157" s="71" t="n"/>
      <c r="I157" s="83" t="n"/>
      <c r="J157" s="71" t="n"/>
      <c r="K157" s="82" t="n"/>
      <c r="L157" s="82">
        <f>IF(COUNT(E157,G157,H157,I157,J157,K157)=0,"",ROUND((IF(E157="",0,E157*10)+IF(G157="",0,G157)+IF(H157="",0,H157)+IF(I157="",0,I157*20)+IF(J157="",0,J157)+IF(K157="",0,K157*10))/COUNT(E157,G157,H157,I157,J157,K157),1))</f>
        <v/>
      </c>
      <c r="M157">
        <f>IF(L157="","",IF(L157&gt;=85,"Excellent",IF(L157&gt;=70,"Good",IF(L157&gt;=55,"Mixed","Poor"))))</f>
        <v/>
      </c>
      <c r="N157" s="66" t="n"/>
      <c r="O157" t="inlineStr">
        <is>
          <t>https://www.imdb.com/find/?q=Home+2015</t>
        </is>
      </c>
      <c r="P157" t="inlineStr">
        <is>
          <t>https://www.rottentomatoes.com/search?search=Home</t>
        </is>
      </c>
      <c r="Q157" t="inlineStr">
        <is>
          <t>https://letterboxd.com/search/Home/</t>
        </is>
      </c>
      <c r="R157" t="inlineStr">
        <is>
          <t>https://www.metacritic.com/search/Home/</t>
        </is>
      </c>
    </row>
    <row r="158">
      <c r="A158" t="inlineStr">
        <is>
          <t>F0154</t>
        </is>
      </c>
      <c r="B158" t="inlineStr">
        <is>
          <t>How to Train Your Dragon</t>
        </is>
      </c>
      <c r="C158" s="63" t="inlineStr">
        <is>
          <t>2010</t>
        </is>
      </c>
      <c r="E158" s="82" t="n"/>
      <c r="F158" s="85" t="n"/>
      <c r="G158" s="71" t="n"/>
      <c r="H158" s="71" t="n"/>
      <c r="I158" s="83" t="n"/>
      <c r="J158" s="71" t="n"/>
      <c r="K158" s="82" t="n"/>
      <c r="L158" s="82">
        <f>IF(COUNT(E158,G158,H158,I158,J158,K158)=0,"",ROUND((IF(E158="",0,E158*10)+IF(G158="",0,G158)+IF(H158="",0,H158)+IF(I158="",0,I158*20)+IF(J158="",0,J158)+IF(K158="",0,K158*10))/COUNT(E158,G158,H158,I158,J158,K158),1))</f>
        <v/>
      </c>
      <c r="M158">
        <f>IF(L158="","",IF(L158&gt;=85,"Excellent",IF(L158&gt;=70,"Good",IF(L158&gt;=55,"Mixed","Poor"))))</f>
        <v/>
      </c>
      <c r="N158" s="66" t="n"/>
      <c r="O158" t="inlineStr">
        <is>
          <t>https://www.imdb.com/find/?q=How+to+Train+Your+Dragon+2010</t>
        </is>
      </c>
      <c r="P158" t="inlineStr">
        <is>
          <t>https://www.rottentomatoes.com/search?search=How+to+Train+Your+Dragon</t>
        </is>
      </c>
      <c r="Q158" t="inlineStr">
        <is>
          <t>https://letterboxd.com/search/How%20to%20Train%20Your%20Dragon/</t>
        </is>
      </c>
      <c r="R158" t="inlineStr">
        <is>
          <t>https://www.metacritic.com/search/How+to+Train+Your+Dragon/</t>
        </is>
      </c>
    </row>
    <row r="159">
      <c r="A159" t="inlineStr">
        <is>
          <t>F0155</t>
        </is>
      </c>
      <c r="B159" t="inlineStr">
        <is>
          <t>How to Train Your Dragon 2</t>
        </is>
      </c>
      <c r="C159" s="63" t="inlineStr">
        <is>
          <t>2014</t>
        </is>
      </c>
      <c r="E159" s="82" t="n"/>
      <c r="F159" s="85" t="n"/>
      <c r="G159" s="71" t="n"/>
      <c r="H159" s="71" t="n"/>
      <c r="I159" s="83" t="n"/>
      <c r="J159" s="71" t="n"/>
      <c r="K159" s="82" t="n"/>
      <c r="L159" s="82">
        <f>IF(COUNT(E159,G159,H159,I159,J159,K159)=0,"",ROUND((IF(E159="",0,E159*10)+IF(G159="",0,G159)+IF(H159="",0,H159)+IF(I159="",0,I159*20)+IF(J159="",0,J159)+IF(K159="",0,K159*10))/COUNT(E159,G159,H159,I159,J159,K159),1))</f>
        <v/>
      </c>
      <c r="M159">
        <f>IF(L159="","",IF(L159&gt;=85,"Excellent",IF(L159&gt;=70,"Good",IF(L159&gt;=55,"Mixed","Poor"))))</f>
        <v/>
      </c>
      <c r="N159" s="66" t="n"/>
      <c r="O159" t="inlineStr">
        <is>
          <t>https://www.imdb.com/find/?q=How+to+Train+Your+Dragon+2+2014</t>
        </is>
      </c>
      <c r="P159" t="inlineStr">
        <is>
          <t>https://www.rottentomatoes.com/search?search=How+to+Train+Your+Dragon+2</t>
        </is>
      </c>
      <c r="Q159" t="inlineStr">
        <is>
          <t>https://letterboxd.com/search/How%20to%20Train%20Your%20Dragon%202/</t>
        </is>
      </c>
      <c r="R159" t="inlineStr">
        <is>
          <t>https://www.metacritic.com/search/How+to+Train+Your+Dragon+2/</t>
        </is>
      </c>
    </row>
    <row r="160">
      <c r="A160" t="inlineStr">
        <is>
          <t>F0156</t>
        </is>
      </c>
      <c r="B160" t="inlineStr">
        <is>
          <t>Hummingbird</t>
        </is>
      </c>
      <c r="C160" s="63" t="inlineStr">
        <is>
          <t>2013</t>
        </is>
      </c>
      <c r="E160" s="82" t="n"/>
      <c r="F160" s="85" t="n"/>
      <c r="G160" s="71" t="n"/>
      <c r="H160" s="71" t="n"/>
      <c r="I160" s="83" t="n"/>
      <c r="J160" s="71" t="n"/>
      <c r="K160" s="82" t="n"/>
      <c r="L160" s="82">
        <f>IF(COUNT(E160,G160,H160,I160,J160,K160)=0,"",ROUND((IF(E160="",0,E160*10)+IF(G160="",0,G160)+IF(H160="",0,H160)+IF(I160="",0,I160*20)+IF(J160="",0,J160)+IF(K160="",0,K160*10))/COUNT(E160,G160,H160,I160,J160,K160),1))</f>
        <v/>
      </c>
      <c r="M160">
        <f>IF(L160="","",IF(L160&gt;=85,"Excellent",IF(L160&gt;=70,"Good",IF(L160&gt;=55,"Mixed","Poor"))))</f>
        <v/>
      </c>
      <c r="N160" s="66" t="n"/>
      <c r="O160" t="inlineStr">
        <is>
          <t>https://www.imdb.com/find/?q=Hummingbird+2013</t>
        </is>
      </c>
      <c r="P160" t="inlineStr">
        <is>
          <t>https://www.rottentomatoes.com/search?search=Hummingbird</t>
        </is>
      </c>
      <c r="Q160" t="inlineStr">
        <is>
          <t>https://letterboxd.com/search/Hummingbird/</t>
        </is>
      </c>
      <c r="R160" t="inlineStr">
        <is>
          <t>https://www.metacritic.com/search/Hummingbird/</t>
        </is>
      </c>
    </row>
    <row r="161">
      <c r="A161" t="inlineStr">
        <is>
          <t>F0157</t>
        </is>
      </c>
      <c r="B161" t="inlineStr">
        <is>
          <t>The Hunger Games</t>
        </is>
      </c>
      <c r="C161" s="63" t="inlineStr">
        <is>
          <t>2012</t>
        </is>
      </c>
      <c r="E161" s="82" t="n"/>
      <c r="F161" s="85" t="n"/>
      <c r="G161" s="71" t="n"/>
      <c r="H161" s="71" t="n"/>
      <c r="I161" s="83" t="n"/>
      <c r="J161" s="71" t="n"/>
      <c r="K161" s="82" t="n"/>
      <c r="L161" s="82">
        <f>IF(COUNT(E161,G161,H161,I161,J161,K161)=0,"",ROUND((IF(E161="",0,E161*10)+IF(G161="",0,G161)+IF(H161="",0,H161)+IF(I161="",0,I161*20)+IF(J161="",0,J161)+IF(K161="",0,K161*10))/COUNT(E161,G161,H161,I161,J161,K161),1))</f>
        <v/>
      </c>
      <c r="M161">
        <f>IF(L161="","",IF(L161&gt;=85,"Excellent",IF(L161&gt;=70,"Good",IF(L161&gt;=55,"Mixed","Poor"))))</f>
        <v/>
      </c>
      <c r="N161" s="66" t="n"/>
      <c r="O161" t="inlineStr">
        <is>
          <t>https://www.imdb.com/find/?q=The+Hunger+Games+2012</t>
        </is>
      </c>
      <c r="P161" t="inlineStr">
        <is>
          <t>https://www.rottentomatoes.com/search?search=The+Hunger+Games</t>
        </is>
      </c>
      <c r="Q161" t="inlineStr">
        <is>
          <t>https://letterboxd.com/search/The%20Hunger%20Games/</t>
        </is>
      </c>
      <c r="R161" t="inlineStr">
        <is>
          <t>https://www.metacritic.com/search/The+Hunger+Games/</t>
        </is>
      </c>
    </row>
    <row r="162">
      <c r="A162" t="inlineStr">
        <is>
          <t>F0158</t>
        </is>
      </c>
      <c r="B162" t="inlineStr">
        <is>
          <t>The Hunger Games: Mockingjay - Part 1</t>
        </is>
      </c>
      <c r="C162" s="63" t="inlineStr">
        <is>
          <t>2014</t>
        </is>
      </c>
      <c r="E162" s="82" t="n"/>
      <c r="F162" s="85" t="n"/>
      <c r="G162" s="71" t="n"/>
      <c r="H162" s="71" t="n"/>
      <c r="I162" s="83" t="n"/>
      <c r="J162" s="71" t="n"/>
      <c r="K162" s="82" t="n"/>
      <c r="L162" s="82">
        <f>IF(COUNT(E162,G162,H162,I162,J162,K162)=0,"",ROUND((IF(E162="",0,E162*10)+IF(G162="",0,G162)+IF(H162="",0,H162)+IF(I162="",0,I162*20)+IF(J162="",0,J162)+IF(K162="",0,K162*10))/COUNT(E162,G162,H162,I162,J162,K162),1))</f>
        <v/>
      </c>
      <c r="M162">
        <f>IF(L162="","",IF(L162&gt;=85,"Excellent",IF(L162&gt;=70,"Good",IF(L162&gt;=55,"Mixed","Poor"))))</f>
        <v/>
      </c>
      <c r="N162" s="66" t="n"/>
      <c r="O162" t="inlineStr">
        <is>
          <t>https://www.imdb.com/find/?q=The+Hunger+Games%3A+Mockingjay+-+Part+1+2014</t>
        </is>
      </c>
      <c r="P162" t="inlineStr">
        <is>
          <t>https://www.rottentomatoes.com/search?search=The+Hunger+Games%3A+Mockingjay+-+Part+1</t>
        </is>
      </c>
      <c r="Q162" t="inlineStr">
        <is>
          <t>https://letterboxd.com/search/The%20Hunger%20Games%3A%20Mockingjay%20-%20Part%201/</t>
        </is>
      </c>
      <c r="R162" t="inlineStr">
        <is>
          <t>https://www.metacritic.com/search/The+Hunger+Games%3A+Mockingjay+-+Part+1/</t>
        </is>
      </c>
    </row>
    <row r="163">
      <c r="A163" t="inlineStr">
        <is>
          <t>F0159</t>
        </is>
      </c>
      <c r="B163" t="inlineStr">
        <is>
          <t>I, Frankenstein</t>
        </is>
      </c>
      <c r="C163" s="63" t="inlineStr">
        <is>
          <t>2014</t>
        </is>
      </c>
      <c r="E163" s="82" t="n"/>
      <c r="F163" s="85" t="n"/>
      <c r="G163" s="71" t="n"/>
      <c r="H163" s="71" t="n"/>
      <c r="I163" s="83" t="n"/>
      <c r="J163" s="71" t="n"/>
      <c r="K163" s="82" t="n"/>
      <c r="L163" s="82">
        <f>IF(COUNT(E163,G163,H163,I163,J163,K163)=0,"",ROUND((IF(E163="",0,E163*10)+IF(G163="",0,G163)+IF(H163="",0,H163)+IF(I163="",0,I163*20)+IF(J163="",0,J163)+IF(K163="",0,K163*10))/COUNT(E163,G163,H163,I163,J163,K163),1))</f>
        <v/>
      </c>
      <c r="M163">
        <f>IF(L163="","",IF(L163&gt;=85,"Excellent",IF(L163&gt;=70,"Good",IF(L163&gt;=55,"Mixed","Poor"))))</f>
        <v/>
      </c>
      <c r="N163" s="66" t="n"/>
      <c r="O163" t="inlineStr">
        <is>
          <t>https://www.imdb.com/find/?q=I%2C+Frankenstein+2014</t>
        </is>
      </c>
      <c r="P163" t="inlineStr">
        <is>
          <t>https://www.rottentomatoes.com/search?search=I%2C+Frankenstein</t>
        </is>
      </c>
      <c r="Q163" t="inlineStr">
        <is>
          <t>https://letterboxd.com/search/I%2C%20Frankenstein/</t>
        </is>
      </c>
      <c r="R163" t="inlineStr">
        <is>
          <t>https://www.metacritic.com/search/I%2C+Frankenstein/</t>
        </is>
      </c>
    </row>
    <row r="164">
      <c r="A164" t="inlineStr">
        <is>
          <t>F0160</t>
        </is>
      </c>
      <c r="B164" t="inlineStr">
        <is>
          <t>Ice Age: The Meltdown</t>
        </is>
      </c>
      <c r="C164" s="63" t="inlineStr">
        <is>
          <t>2006</t>
        </is>
      </c>
      <c r="E164" s="82" t="n"/>
      <c r="F164" s="85" t="n"/>
      <c r="G164" s="71" t="n"/>
      <c r="H164" s="71" t="n"/>
      <c r="I164" s="83" t="n"/>
      <c r="J164" s="71" t="n"/>
      <c r="K164" s="82" t="n"/>
      <c r="L164" s="82">
        <f>IF(COUNT(E164,G164,H164,I164,J164,K164)=0,"",ROUND((IF(E164="",0,E164*10)+IF(G164="",0,G164)+IF(H164="",0,H164)+IF(I164="",0,I164*20)+IF(J164="",0,J164)+IF(K164="",0,K164*10))/COUNT(E164,G164,H164,I164,J164,K164),1))</f>
        <v/>
      </c>
      <c r="M164">
        <f>IF(L164="","",IF(L164&gt;=85,"Excellent",IF(L164&gt;=70,"Good",IF(L164&gt;=55,"Mixed","Poor"))))</f>
        <v/>
      </c>
      <c r="N164" s="66" t="n"/>
      <c r="O164" t="inlineStr">
        <is>
          <t>https://www.imdb.com/find/?q=Ice+Age%3A+The+Meltdown+2006</t>
        </is>
      </c>
      <c r="P164" t="inlineStr">
        <is>
          <t>https://www.rottentomatoes.com/search?search=Ice+Age%3A+The+Meltdown</t>
        </is>
      </c>
      <c r="Q164" t="inlineStr">
        <is>
          <t>https://letterboxd.com/search/Ice%20Age%3A%20The%20Meltdown/</t>
        </is>
      </c>
      <c r="R164" t="inlineStr">
        <is>
          <t>https://www.metacritic.com/search/Ice+Age%3A+The+Meltdown/</t>
        </is>
      </c>
    </row>
    <row r="165">
      <c r="A165" t="inlineStr">
        <is>
          <t>F0161</t>
        </is>
      </c>
      <c r="B165" t="inlineStr">
        <is>
          <t>Ice Age: Dawn of the Dinosaurs</t>
        </is>
      </c>
      <c r="C165" s="63" t="inlineStr">
        <is>
          <t>2009</t>
        </is>
      </c>
      <c r="E165" s="82" t="n"/>
      <c r="F165" s="85" t="n"/>
      <c r="G165" s="71" t="n"/>
      <c r="H165" s="71" t="n"/>
      <c r="I165" s="83" t="n"/>
      <c r="J165" s="71" t="n"/>
      <c r="K165" s="82" t="n"/>
      <c r="L165" s="82">
        <f>IF(COUNT(E165,G165,H165,I165,J165,K165)=0,"",ROUND((IF(E165="",0,E165*10)+IF(G165="",0,G165)+IF(H165="",0,H165)+IF(I165="",0,I165*20)+IF(J165="",0,J165)+IF(K165="",0,K165*10))/COUNT(E165,G165,H165,I165,J165,K165),1))</f>
        <v/>
      </c>
      <c r="M165">
        <f>IF(L165="","",IF(L165&gt;=85,"Excellent",IF(L165&gt;=70,"Good",IF(L165&gt;=55,"Mixed","Poor"))))</f>
        <v/>
      </c>
      <c r="N165" s="66" t="n"/>
      <c r="O165" t="inlineStr">
        <is>
          <t>https://www.imdb.com/find/?q=Ice+Age%3A+Dawn+of+the+Dinosaurs+2009</t>
        </is>
      </c>
      <c r="P165" t="inlineStr">
        <is>
          <t>https://www.rottentomatoes.com/search?search=Ice+Age%3A+Dawn+of+the+Dinosaurs</t>
        </is>
      </c>
      <c r="Q165" t="inlineStr">
        <is>
          <t>https://letterboxd.com/search/Ice%20Age%3A%20Dawn%20of%20the%20Dinosaurs/</t>
        </is>
      </c>
      <c r="R165" t="inlineStr">
        <is>
          <t>https://www.metacritic.com/search/Ice+Age%3A+Dawn+of+the+Dinosaurs/</t>
        </is>
      </c>
    </row>
    <row r="166">
      <c r="A166" t="inlineStr">
        <is>
          <t>F0162</t>
        </is>
      </c>
      <c r="B166" t="inlineStr">
        <is>
          <t>The Imitation Game</t>
        </is>
      </c>
      <c r="C166" s="63" t="inlineStr">
        <is>
          <t>2014</t>
        </is>
      </c>
      <c r="E166" s="82" t="n"/>
      <c r="F166" s="85" t="n"/>
      <c r="G166" s="71" t="n"/>
      <c r="H166" s="71" t="n"/>
      <c r="I166" s="83" t="n"/>
      <c r="J166" s="71" t="n"/>
      <c r="K166" s="82" t="n"/>
      <c r="L166" s="82">
        <f>IF(COUNT(E166,G166,H166,I166,J166,K166)=0,"",ROUND((IF(E166="",0,E166*10)+IF(G166="",0,G166)+IF(H166="",0,H166)+IF(I166="",0,I166*20)+IF(J166="",0,J166)+IF(K166="",0,K166*10))/COUNT(E166,G166,H166,I166,J166,K166),1))</f>
        <v/>
      </c>
      <c r="M166">
        <f>IF(L166="","",IF(L166&gt;=85,"Excellent",IF(L166&gt;=70,"Good",IF(L166&gt;=55,"Mixed","Poor"))))</f>
        <v/>
      </c>
      <c r="N166" s="66" t="n"/>
      <c r="O166" t="inlineStr">
        <is>
          <t>https://www.imdb.com/find/?q=The+Imitation+Game+2014</t>
        </is>
      </c>
      <c r="P166" t="inlineStr">
        <is>
          <t>https://www.rottentomatoes.com/search?search=The+Imitation+Game</t>
        </is>
      </c>
      <c r="Q166" t="inlineStr">
        <is>
          <t>https://letterboxd.com/search/The%20Imitation%20Game/</t>
        </is>
      </c>
      <c r="R166" t="inlineStr">
        <is>
          <t>https://www.metacritic.com/search/The+Imitation+Game/</t>
        </is>
      </c>
    </row>
    <row r="167">
      <c r="A167" t="inlineStr">
        <is>
          <t>F0163</t>
        </is>
      </c>
      <c r="B167" t="inlineStr">
        <is>
          <t>The Inbetweeners Movie</t>
        </is>
      </c>
      <c r="C167" s="63" t="inlineStr">
        <is>
          <t>2011</t>
        </is>
      </c>
      <c r="E167" s="82" t="n"/>
      <c r="F167" s="85" t="n"/>
      <c r="G167" s="71" t="n"/>
      <c r="H167" s="71" t="n"/>
      <c r="I167" s="83" t="n"/>
      <c r="J167" s="71" t="n"/>
      <c r="K167" s="82" t="n"/>
      <c r="L167" s="82">
        <f>IF(COUNT(E167,G167,H167,I167,J167,K167)=0,"",ROUND((IF(E167="",0,E167*10)+IF(G167="",0,G167)+IF(H167="",0,H167)+IF(I167="",0,I167*20)+IF(J167="",0,J167)+IF(K167="",0,K167*10))/COUNT(E167,G167,H167,I167,J167,K167),1))</f>
        <v/>
      </c>
      <c r="M167">
        <f>IF(L167="","",IF(L167&gt;=85,"Excellent",IF(L167&gt;=70,"Good",IF(L167&gt;=55,"Mixed","Poor"))))</f>
        <v/>
      </c>
      <c r="N167" s="66" t="n"/>
      <c r="O167" t="inlineStr">
        <is>
          <t>https://www.imdb.com/find/?q=The+Inbetweeners+Movie+2011</t>
        </is>
      </c>
      <c r="P167" t="inlineStr">
        <is>
          <t>https://www.rottentomatoes.com/search?search=The+Inbetweeners+Movie</t>
        </is>
      </c>
      <c r="Q167" t="inlineStr">
        <is>
          <t>https://letterboxd.com/search/The%20Inbetweeners%20Movie/</t>
        </is>
      </c>
      <c r="R167" t="inlineStr">
        <is>
          <t>https://www.metacritic.com/search/The+Inbetweeners+Movie/</t>
        </is>
      </c>
    </row>
    <row r="168">
      <c r="A168" t="inlineStr">
        <is>
          <t>F0164</t>
        </is>
      </c>
      <c r="B168" t="inlineStr">
        <is>
          <t>The Inbetweeners 2</t>
        </is>
      </c>
      <c r="C168" s="63" t="inlineStr">
        <is>
          <t>2014</t>
        </is>
      </c>
      <c r="E168" s="82" t="n"/>
      <c r="F168" s="85" t="n"/>
      <c r="G168" s="71" t="n"/>
      <c r="H168" s="71" t="n"/>
      <c r="I168" s="83" t="n"/>
      <c r="J168" s="71" t="n"/>
      <c r="K168" s="82" t="n"/>
      <c r="L168" s="82">
        <f>IF(COUNT(E168,G168,H168,I168,J168,K168)=0,"",ROUND((IF(E168="",0,E168*10)+IF(G168="",0,G168)+IF(H168="",0,H168)+IF(I168="",0,I168*20)+IF(J168="",0,J168)+IF(K168="",0,K168*10))/COUNT(E168,G168,H168,I168,J168,K168),1))</f>
        <v/>
      </c>
      <c r="M168">
        <f>IF(L168="","",IF(L168&gt;=85,"Excellent",IF(L168&gt;=70,"Good",IF(L168&gt;=55,"Mixed","Poor"))))</f>
        <v/>
      </c>
      <c r="N168" s="66" t="n"/>
      <c r="O168" t="inlineStr">
        <is>
          <t>https://www.imdb.com/find/?q=The+Inbetweeners+2+2014</t>
        </is>
      </c>
      <c r="P168" t="inlineStr">
        <is>
          <t>https://www.rottentomatoes.com/search?search=The+Inbetweeners+2</t>
        </is>
      </c>
      <c r="Q168" t="inlineStr">
        <is>
          <t>https://letterboxd.com/search/The%20Inbetweeners%202/</t>
        </is>
      </c>
      <c r="R168" t="inlineStr">
        <is>
          <t>https://www.metacritic.com/search/The+Inbetweeners+2/</t>
        </is>
      </c>
    </row>
    <row r="169">
      <c r="A169" t="inlineStr">
        <is>
          <t>F0165</t>
        </is>
      </c>
      <c r="B169" t="inlineStr">
        <is>
          <t>Inception</t>
        </is>
      </c>
      <c r="C169" s="63" t="inlineStr">
        <is>
          <t>2010</t>
        </is>
      </c>
      <c r="E169" s="82" t="n"/>
      <c r="F169" s="85" t="n"/>
      <c r="G169" s="71" t="n"/>
      <c r="H169" s="71" t="n"/>
      <c r="I169" s="83" t="n"/>
      <c r="J169" s="71" t="n"/>
      <c r="K169" s="82" t="n"/>
      <c r="L169" s="82">
        <f>IF(COUNT(E169,G169,H169,I169,J169,K169)=0,"",ROUND((IF(E169="",0,E169*10)+IF(G169="",0,G169)+IF(H169="",0,H169)+IF(I169="",0,I169*20)+IF(J169="",0,J169)+IF(K169="",0,K169*10))/COUNT(E169,G169,H169,I169,J169,K169),1))</f>
        <v/>
      </c>
      <c r="M169">
        <f>IF(L169="","",IF(L169&gt;=85,"Excellent",IF(L169&gt;=70,"Good",IF(L169&gt;=55,"Mixed","Poor"))))</f>
        <v/>
      </c>
      <c r="N169" s="66" t="n"/>
      <c r="O169" t="inlineStr">
        <is>
          <t>https://www.imdb.com/find/?q=Inception+2010</t>
        </is>
      </c>
      <c r="P169" t="inlineStr">
        <is>
          <t>https://www.rottentomatoes.com/search?search=Inception</t>
        </is>
      </c>
      <c r="Q169" t="inlineStr">
        <is>
          <t>https://letterboxd.com/search/Inception/</t>
        </is>
      </c>
      <c r="R169" t="inlineStr">
        <is>
          <t>https://www.metacritic.com/search/Inception/</t>
        </is>
      </c>
    </row>
    <row r="170">
      <c r="A170" t="inlineStr">
        <is>
          <t>F0166</t>
        </is>
      </c>
      <c r="B170" t="inlineStr">
        <is>
          <t>Inglourious Basterds</t>
        </is>
      </c>
      <c r="C170" s="63" t="inlineStr">
        <is>
          <t>2009</t>
        </is>
      </c>
      <c r="E170" s="82" t="n"/>
      <c r="F170" s="85" t="n"/>
      <c r="G170" s="71" t="n"/>
      <c r="H170" s="71" t="n"/>
      <c r="I170" s="83" t="n"/>
      <c r="J170" s="71" t="n"/>
      <c r="K170" s="82" t="n"/>
      <c r="L170" s="82">
        <f>IF(COUNT(E170,G170,H170,I170,J170,K170)=0,"",ROUND((IF(E170="",0,E170*10)+IF(G170="",0,G170)+IF(H170="",0,H170)+IF(I170="",0,I170*20)+IF(J170="",0,J170)+IF(K170="",0,K170*10))/COUNT(E170,G170,H170,I170,J170,K170),1))</f>
        <v/>
      </c>
      <c r="M170">
        <f>IF(L170="","",IF(L170&gt;=85,"Excellent",IF(L170&gt;=70,"Good",IF(L170&gt;=55,"Mixed","Poor"))))</f>
        <v/>
      </c>
      <c r="N170" s="66" t="n"/>
      <c r="O170" t="inlineStr">
        <is>
          <t>https://www.imdb.com/find/?q=Inglourious+Basterds+2009</t>
        </is>
      </c>
      <c r="P170" t="inlineStr">
        <is>
          <t>https://www.rottentomatoes.com/search?search=Inglourious+Basterds</t>
        </is>
      </c>
      <c r="Q170" t="inlineStr">
        <is>
          <t>https://letterboxd.com/search/Inglourious%20Basterds/</t>
        </is>
      </c>
      <c r="R170" t="inlineStr">
        <is>
          <t>https://www.metacritic.com/search/Inglourious+Basterds/</t>
        </is>
      </c>
    </row>
    <row r="171">
      <c r="A171" t="inlineStr">
        <is>
          <t>F0167</t>
        </is>
      </c>
      <c r="B171" t="inlineStr">
        <is>
          <t>Inside Out</t>
        </is>
      </c>
      <c r="C171" s="63" t="inlineStr">
        <is>
          <t>2015</t>
        </is>
      </c>
      <c r="E171" s="82" t="n"/>
      <c r="F171" s="85" t="n"/>
      <c r="G171" s="71" t="n"/>
      <c r="H171" s="71" t="n"/>
      <c r="I171" s="83" t="n"/>
      <c r="J171" s="71" t="n"/>
      <c r="K171" s="82" t="n"/>
      <c r="L171" s="82">
        <f>IF(COUNT(E171,G171,H171,I171,J171,K171)=0,"",ROUND((IF(E171="",0,E171*10)+IF(G171="",0,G171)+IF(H171="",0,H171)+IF(I171="",0,I171*20)+IF(J171="",0,J171)+IF(K171="",0,K171*10))/COUNT(E171,G171,H171,I171,J171,K171),1))</f>
        <v/>
      </c>
      <c r="M171">
        <f>IF(L171="","",IF(L171&gt;=85,"Excellent",IF(L171&gt;=70,"Good",IF(L171&gt;=55,"Mixed","Poor"))))</f>
        <v/>
      </c>
      <c r="N171" s="66" t="n"/>
      <c r="O171" t="inlineStr">
        <is>
          <t>https://www.imdb.com/find/?q=Inside+Out+2015</t>
        </is>
      </c>
      <c r="P171" t="inlineStr">
        <is>
          <t>https://www.rottentomatoes.com/search?search=Inside+Out</t>
        </is>
      </c>
      <c r="Q171" t="inlineStr">
        <is>
          <t>https://letterboxd.com/search/Inside%20Out/</t>
        </is>
      </c>
      <c r="R171" t="inlineStr">
        <is>
          <t>https://www.metacritic.com/search/Inside+Out/</t>
        </is>
      </c>
    </row>
    <row r="172">
      <c r="A172" t="inlineStr">
        <is>
          <t>F0168</t>
        </is>
      </c>
      <c r="B172" t="inlineStr">
        <is>
          <t>Interstellar</t>
        </is>
      </c>
      <c r="C172" s="63" t="inlineStr">
        <is>
          <t>2014</t>
        </is>
      </c>
      <c r="E172" s="82" t="n"/>
      <c r="F172" s="85" t="n"/>
      <c r="G172" s="71" t="n"/>
      <c r="H172" s="71" t="n"/>
      <c r="I172" s="83" t="n"/>
      <c r="J172" s="71" t="n"/>
      <c r="K172" s="82" t="n"/>
      <c r="L172" s="82">
        <f>IF(COUNT(E172,G172,H172,I172,J172,K172)=0,"",ROUND((IF(E172="",0,E172*10)+IF(G172="",0,G172)+IF(H172="",0,H172)+IF(I172="",0,I172*20)+IF(J172="",0,J172)+IF(K172="",0,K172*10))/COUNT(E172,G172,H172,I172,J172,K172),1))</f>
        <v/>
      </c>
      <c r="M172">
        <f>IF(L172="","",IF(L172&gt;=85,"Excellent",IF(L172&gt;=70,"Good",IF(L172&gt;=55,"Mixed","Poor"))))</f>
        <v/>
      </c>
      <c r="N172" s="66" t="n"/>
      <c r="O172" t="inlineStr">
        <is>
          <t>https://www.imdb.com/find/?q=Interstellar+2014</t>
        </is>
      </c>
      <c r="P172" t="inlineStr">
        <is>
          <t>https://www.rottentomatoes.com/search?search=Interstellar</t>
        </is>
      </c>
      <c r="Q172" t="inlineStr">
        <is>
          <t>https://letterboxd.com/search/Interstellar/</t>
        </is>
      </c>
      <c r="R172" t="inlineStr">
        <is>
          <t>https://www.metacritic.com/search/Interstellar/</t>
        </is>
      </c>
    </row>
    <row r="173">
      <c r="A173" t="inlineStr">
        <is>
          <t>F0169</t>
        </is>
      </c>
      <c r="B173" t="inlineStr">
        <is>
          <t>Iron Man 3</t>
        </is>
      </c>
      <c r="C173" s="63" t="inlineStr">
        <is>
          <t>2013</t>
        </is>
      </c>
      <c r="E173" s="82" t="n"/>
      <c r="F173" s="85" t="n"/>
      <c r="G173" s="71" t="n"/>
      <c r="H173" s="71" t="n"/>
      <c r="I173" s="83" t="n"/>
      <c r="J173" s="71" t="n"/>
      <c r="K173" s="82" t="n"/>
      <c r="L173" s="82">
        <f>IF(COUNT(E173,G173,H173,I173,J173,K173)=0,"",ROUND((IF(E173="",0,E173*10)+IF(G173="",0,G173)+IF(H173="",0,H173)+IF(I173="",0,I173*20)+IF(J173="",0,J173)+IF(K173="",0,K173*10))/COUNT(E173,G173,H173,I173,J173,K173),1))</f>
        <v/>
      </c>
      <c r="M173">
        <f>IF(L173="","",IF(L173&gt;=85,"Excellent",IF(L173&gt;=70,"Good",IF(L173&gt;=55,"Mixed","Poor"))))</f>
        <v/>
      </c>
      <c r="N173" s="66" t="n"/>
      <c r="O173" t="inlineStr">
        <is>
          <t>https://www.imdb.com/find/?q=Iron+Man+3+2013</t>
        </is>
      </c>
      <c r="P173" t="inlineStr">
        <is>
          <t>https://www.rottentomatoes.com/search?search=Iron+Man+3</t>
        </is>
      </c>
      <c r="Q173" t="inlineStr">
        <is>
          <t>https://letterboxd.com/search/Iron%20Man%203/</t>
        </is>
      </c>
      <c r="R173" t="inlineStr">
        <is>
          <t>https://www.metacritic.com/search/Iron+Man+3/</t>
        </is>
      </c>
    </row>
    <row r="174">
      <c r="A174" t="inlineStr">
        <is>
          <t>F0170</t>
        </is>
      </c>
      <c r="B174" t="inlineStr">
        <is>
          <t>Jojo Rabbit</t>
        </is>
      </c>
      <c r="C174" s="63" t="inlineStr">
        <is>
          <t>2019</t>
        </is>
      </c>
      <c r="E174" s="82" t="n"/>
      <c r="F174" s="85" t="n"/>
      <c r="G174" s="71" t="n"/>
      <c r="H174" s="71" t="n"/>
      <c r="I174" s="83" t="n"/>
      <c r="J174" s="71" t="n"/>
      <c r="K174" s="82" t="n"/>
      <c r="L174" s="82">
        <f>IF(COUNT(E174,G174,H174,I174,J174,K174)=0,"",ROUND((IF(E174="",0,E174*10)+IF(G174="",0,G174)+IF(H174="",0,H174)+IF(I174="",0,I174*20)+IF(J174="",0,J174)+IF(K174="",0,K174*10))/COUNT(E174,G174,H174,I174,J174,K174),1))</f>
        <v/>
      </c>
      <c r="M174">
        <f>IF(L174="","",IF(L174&gt;=85,"Excellent",IF(L174&gt;=70,"Good",IF(L174&gt;=55,"Mixed","Poor"))))</f>
        <v/>
      </c>
      <c r="N174" s="66" t="n"/>
      <c r="O174" t="inlineStr">
        <is>
          <t>https://www.imdb.com/find/?q=Jojo+Rabbit+2019</t>
        </is>
      </c>
      <c r="P174" t="inlineStr">
        <is>
          <t>https://www.rottentomatoes.com/search?search=Jojo+Rabbit</t>
        </is>
      </c>
      <c r="Q174" t="inlineStr">
        <is>
          <t>https://letterboxd.com/search/Jojo%20Rabbit/</t>
        </is>
      </c>
      <c r="R174" t="inlineStr">
        <is>
          <t>https://www.metacritic.com/search/Jojo+Rabbit/</t>
        </is>
      </c>
    </row>
    <row r="175">
      <c r="A175" t="inlineStr">
        <is>
          <t>F0171</t>
        </is>
      </c>
      <c r="B175" t="inlineStr">
        <is>
          <t>Jack Reacher</t>
        </is>
      </c>
      <c r="C175" s="63" t="inlineStr">
        <is>
          <t>2012</t>
        </is>
      </c>
      <c r="E175" s="82" t="n"/>
      <c r="F175" s="85" t="n"/>
      <c r="G175" s="71" t="n"/>
      <c r="H175" s="71" t="n"/>
      <c r="I175" s="83" t="n"/>
      <c r="J175" s="71" t="n"/>
      <c r="K175" s="82" t="n"/>
      <c r="L175" s="82">
        <f>IF(COUNT(E175,G175,H175,I175,J175,K175)=0,"",ROUND((IF(E175="",0,E175*10)+IF(G175="",0,G175)+IF(H175="",0,H175)+IF(I175="",0,I175*20)+IF(J175="",0,J175)+IF(K175="",0,K175*10))/COUNT(E175,G175,H175,I175,J175,K175),1))</f>
        <v/>
      </c>
      <c r="M175">
        <f>IF(L175="","",IF(L175&gt;=85,"Excellent",IF(L175&gt;=70,"Good",IF(L175&gt;=55,"Mixed","Poor"))))</f>
        <v/>
      </c>
      <c r="N175" s="66" t="n"/>
      <c r="O175" t="inlineStr">
        <is>
          <t>https://www.imdb.com/find/?q=Jack+Reacher+2012</t>
        </is>
      </c>
      <c r="P175" t="inlineStr">
        <is>
          <t>https://www.rottentomatoes.com/search?search=Jack+Reacher</t>
        </is>
      </c>
      <c r="Q175" t="inlineStr">
        <is>
          <t>https://letterboxd.com/search/Jack%20Reacher/</t>
        </is>
      </c>
      <c r="R175" t="inlineStr">
        <is>
          <t>https://www.metacritic.com/search/Jack+Reacher/</t>
        </is>
      </c>
    </row>
    <row r="176">
      <c r="A176" t="inlineStr">
        <is>
          <t>F0172</t>
        </is>
      </c>
      <c r="B176" t="inlineStr">
        <is>
          <t>Jackass 3D</t>
        </is>
      </c>
      <c r="C176" s="63" t="inlineStr">
        <is>
          <t>2010</t>
        </is>
      </c>
      <c r="E176" s="82" t="n"/>
      <c r="F176" s="85" t="n"/>
      <c r="G176" s="71" t="n"/>
      <c r="H176" s="71" t="n"/>
      <c r="I176" s="83" t="n"/>
      <c r="J176" s="71" t="n"/>
      <c r="K176" s="82" t="n"/>
      <c r="L176" s="82">
        <f>IF(COUNT(E176,G176,H176,I176,J176,K176)=0,"",ROUND((IF(E176="",0,E176*10)+IF(G176="",0,G176)+IF(H176="",0,H176)+IF(I176="",0,I176*20)+IF(J176="",0,J176)+IF(K176="",0,K176*10))/COUNT(E176,G176,H176,I176,J176,K176),1))</f>
        <v/>
      </c>
      <c r="M176">
        <f>IF(L176="","",IF(L176&gt;=85,"Excellent",IF(L176&gt;=70,"Good",IF(L176&gt;=55,"Mixed","Poor"))))</f>
        <v/>
      </c>
      <c r="N176" s="66" t="n"/>
      <c r="O176" t="inlineStr">
        <is>
          <t>https://www.imdb.com/find/?q=Jackass+3D+2010</t>
        </is>
      </c>
      <c r="P176" t="inlineStr">
        <is>
          <t>https://www.rottentomatoes.com/search?search=Jackass+3D</t>
        </is>
      </c>
      <c r="Q176" t="inlineStr">
        <is>
          <t>https://letterboxd.com/search/Jackass%203D/</t>
        </is>
      </c>
      <c r="R176" t="inlineStr">
        <is>
          <t>https://www.metacritic.com/search/Jackass+3D/</t>
        </is>
      </c>
    </row>
    <row r="177">
      <c r="A177" t="inlineStr">
        <is>
          <t>F0173</t>
        </is>
      </c>
      <c r="B177" t="inlineStr">
        <is>
          <t>Jonah Hex</t>
        </is>
      </c>
      <c r="C177" s="63" t="inlineStr">
        <is>
          <t>2010</t>
        </is>
      </c>
      <c r="E177" s="82" t="n"/>
      <c r="F177" s="85" t="n"/>
      <c r="G177" s="71" t="n"/>
      <c r="H177" s="71" t="n"/>
      <c r="I177" s="83" t="n"/>
      <c r="J177" s="71" t="n"/>
      <c r="K177" s="82" t="n"/>
      <c r="L177" s="82">
        <f>IF(COUNT(E177,G177,H177,I177,J177,K177)=0,"",ROUND((IF(E177="",0,E177*10)+IF(G177="",0,G177)+IF(H177="",0,H177)+IF(I177="",0,I177*20)+IF(J177="",0,J177)+IF(K177="",0,K177*10))/COUNT(E177,G177,H177,I177,J177,K177),1))</f>
        <v/>
      </c>
      <c r="M177">
        <f>IF(L177="","",IF(L177&gt;=85,"Excellent",IF(L177&gt;=70,"Good",IF(L177&gt;=55,"Mixed","Poor"))))</f>
        <v/>
      </c>
      <c r="N177" s="66" t="n"/>
      <c r="O177" t="inlineStr">
        <is>
          <t>https://www.imdb.com/find/?q=Jonah+Hex+2010</t>
        </is>
      </c>
      <c r="P177" t="inlineStr">
        <is>
          <t>https://www.rottentomatoes.com/search?search=Jonah+Hex</t>
        </is>
      </c>
      <c r="Q177" t="inlineStr">
        <is>
          <t>https://letterboxd.com/search/Jonah%20Hex/</t>
        </is>
      </c>
      <c r="R177" t="inlineStr">
        <is>
          <t>https://www.metacritic.com/search/Jonah+Hex/</t>
        </is>
      </c>
    </row>
    <row r="178">
      <c r="A178" t="inlineStr">
        <is>
          <t>F0174</t>
        </is>
      </c>
      <c r="B178" t="inlineStr">
        <is>
          <t>Journey to the Center of the Earth</t>
        </is>
      </c>
      <c r="C178" s="63" t="inlineStr">
        <is>
          <t>2008</t>
        </is>
      </c>
      <c r="E178" s="82" t="n"/>
      <c r="F178" s="85" t="n"/>
      <c r="G178" s="71" t="n"/>
      <c r="H178" s="71" t="n"/>
      <c r="I178" s="83" t="n"/>
      <c r="J178" s="71" t="n"/>
      <c r="K178" s="82" t="n"/>
      <c r="L178" s="82">
        <f>IF(COUNT(E178,G178,H178,I178,J178,K178)=0,"",ROUND((IF(E178="",0,E178*10)+IF(G178="",0,G178)+IF(H178="",0,H178)+IF(I178="",0,I178*20)+IF(J178="",0,J178)+IF(K178="",0,K178*10))/COUNT(E178,G178,H178,I178,J178,K178),1))</f>
        <v/>
      </c>
      <c r="M178">
        <f>IF(L178="","",IF(L178&gt;=85,"Excellent",IF(L178&gt;=70,"Good",IF(L178&gt;=55,"Mixed","Poor"))))</f>
        <v/>
      </c>
      <c r="N178" s="66" t="n"/>
      <c r="O178" t="inlineStr">
        <is>
          <t>https://www.imdb.com/find/?q=Journey+to+the+Center+of+the+Earth+2008</t>
        </is>
      </c>
      <c r="P178" t="inlineStr">
        <is>
          <t>https://www.rottentomatoes.com/search?search=Journey+to+the+Center+of+the+Earth</t>
        </is>
      </c>
      <c r="Q178" t="inlineStr">
        <is>
          <t>https://letterboxd.com/search/Journey%20to%20the%20Center%20of%20the%20Earth/</t>
        </is>
      </c>
      <c r="R178" t="inlineStr">
        <is>
          <t>https://www.metacritic.com/search/Journey+to+the+Center+of+the+Earth/</t>
        </is>
      </c>
    </row>
    <row r="179">
      <c r="A179" t="inlineStr">
        <is>
          <t>F0175</t>
        </is>
      </c>
      <c r="B179" t="inlineStr">
        <is>
          <t>Jumper</t>
        </is>
      </c>
      <c r="C179" s="63" t="inlineStr">
        <is>
          <t>2008</t>
        </is>
      </c>
      <c r="E179" s="82" t="n"/>
      <c r="F179" s="85" t="n"/>
      <c r="G179" s="71" t="n"/>
      <c r="H179" s="71" t="n"/>
      <c r="I179" s="83" t="n"/>
      <c r="J179" s="71" t="n"/>
      <c r="K179" s="82" t="n"/>
      <c r="L179" s="82">
        <f>IF(COUNT(E179,G179,H179,I179,J179,K179)=0,"",ROUND((IF(E179="",0,E179*10)+IF(G179="",0,G179)+IF(H179="",0,H179)+IF(I179="",0,I179*20)+IF(J179="",0,J179)+IF(K179="",0,K179*10))/COUNT(E179,G179,H179,I179,J179,K179),1))</f>
        <v/>
      </c>
      <c r="M179">
        <f>IF(L179="","",IF(L179&gt;=85,"Excellent",IF(L179&gt;=70,"Good",IF(L179&gt;=55,"Mixed","Poor"))))</f>
        <v/>
      </c>
      <c r="N179" s="66" t="n"/>
      <c r="O179" t="inlineStr">
        <is>
          <t>https://www.imdb.com/find/?q=Jumper+2008</t>
        </is>
      </c>
      <c r="P179" t="inlineStr">
        <is>
          <t>https://www.rottentomatoes.com/search?search=Jumper</t>
        </is>
      </c>
      <c r="Q179" t="inlineStr">
        <is>
          <t>https://letterboxd.com/search/Jumper/</t>
        </is>
      </c>
      <c r="R179" t="inlineStr">
        <is>
          <t>https://www.metacritic.com/search/Jumper/</t>
        </is>
      </c>
    </row>
    <row r="180">
      <c r="A180" t="inlineStr">
        <is>
          <t>F0176</t>
        </is>
      </c>
      <c r="B180" t="inlineStr">
        <is>
          <t>Jurassic Park</t>
        </is>
      </c>
      <c r="C180" s="63" t="inlineStr">
        <is>
          <t>1993</t>
        </is>
      </c>
      <c r="E180" s="82" t="n"/>
      <c r="F180" s="85" t="n"/>
      <c r="G180" s="71" t="n"/>
      <c r="H180" s="71" t="n"/>
      <c r="I180" s="83" t="n"/>
      <c r="J180" s="71" t="n"/>
      <c r="K180" s="82" t="n"/>
      <c r="L180" s="82">
        <f>IF(COUNT(E180,G180,H180,I180,J180,K180)=0,"",ROUND((IF(E180="",0,E180*10)+IF(G180="",0,G180)+IF(H180="",0,H180)+IF(I180="",0,I180*20)+IF(J180="",0,J180)+IF(K180="",0,K180*10))/COUNT(E180,G180,H180,I180,J180,K180),1))</f>
        <v/>
      </c>
      <c r="M180">
        <f>IF(L180="","",IF(L180&gt;=85,"Excellent",IF(L180&gt;=70,"Good",IF(L180&gt;=55,"Mixed","Poor"))))</f>
        <v/>
      </c>
      <c r="N180" s="66" t="n"/>
      <c r="O180" t="inlineStr">
        <is>
          <t>https://www.imdb.com/find/?q=Jurassic+Park+1993</t>
        </is>
      </c>
      <c r="P180" t="inlineStr">
        <is>
          <t>https://www.rottentomatoes.com/search?search=Jurassic+Park</t>
        </is>
      </c>
      <c r="Q180" t="inlineStr">
        <is>
          <t>https://letterboxd.com/search/Jurassic%20Park/</t>
        </is>
      </c>
      <c r="R180" t="inlineStr">
        <is>
          <t>https://www.metacritic.com/search/Jurassic+Park/</t>
        </is>
      </c>
    </row>
    <row r="181">
      <c r="A181" t="inlineStr">
        <is>
          <t>F0177</t>
        </is>
      </c>
      <c r="B181" t="inlineStr">
        <is>
          <t>The Lost World: Jurassic Park</t>
        </is>
      </c>
      <c r="C181" s="63" t="inlineStr">
        <is>
          <t>1997</t>
        </is>
      </c>
      <c r="E181" s="82" t="n"/>
      <c r="F181" s="85" t="n"/>
      <c r="G181" s="71" t="n"/>
      <c r="H181" s="71" t="n"/>
      <c r="I181" s="83" t="n"/>
      <c r="J181" s="71" t="n"/>
      <c r="K181" s="82" t="n"/>
      <c r="L181" s="82">
        <f>IF(COUNT(E181,G181,H181,I181,J181,K181)=0,"",ROUND((IF(E181="",0,E181*10)+IF(G181="",0,G181)+IF(H181="",0,H181)+IF(I181="",0,I181*20)+IF(J181="",0,J181)+IF(K181="",0,K181*10))/COUNT(E181,G181,H181,I181,J181,K181),1))</f>
        <v/>
      </c>
      <c r="M181">
        <f>IF(L181="","",IF(L181&gt;=85,"Excellent",IF(L181&gt;=70,"Good",IF(L181&gt;=55,"Mixed","Poor"))))</f>
        <v/>
      </c>
      <c r="N181" s="66" t="n"/>
      <c r="O181" t="inlineStr">
        <is>
          <t>https://www.imdb.com/find/?q=The+Lost+World%3A+Jurassic+Park+1997</t>
        </is>
      </c>
      <c r="P181" t="inlineStr">
        <is>
          <t>https://www.rottentomatoes.com/search?search=The+Lost+World%3A+Jurassic+Park</t>
        </is>
      </c>
      <c r="Q181" t="inlineStr">
        <is>
          <t>https://letterboxd.com/search/The%20Lost%20World%3A%20Jurassic%20Park/</t>
        </is>
      </c>
      <c r="R181" t="inlineStr">
        <is>
          <t>https://www.metacritic.com/search/The+Lost+World%3A+Jurassic+Park/</t>
        </is>
      </c>
    </row>
    <row r="182">
      <c r="A182" t="inlineStr">
        <is>
          <t>F0178</t>
        </is>
      </c>
      <c r="B182" t="inlineStr">
        <is>
          <t>Jurassic Park III</t>
        </is>
      </c>
      <c r="C182" s="63" t="inlineStr">
        <is>
          <t>2001</t>
        </is>
      </c>
      <c r="E182" s="82" t="n"/>
      <c r="F182" s="85" t="n"/>
      <c r="G182" s="71" t="n"/>
      <c r="H182" s="71" t="n"/>
      <c r="I182" s="83" t="n"/>
      <c r="J182" s="71" t="n"/>
      <c r="K182" s="82" t="n"/>
      <c r="L182" s="82">
        <f>IF(COUNT(E182,G182,H182,I182,J182,K182)=0,"",ROUND((IF(E182="",0,E182*10)+IF(G182="",0,G182)+IF(H182="",0,H182)+IF(I182="",0,I182*20)+IF(J182="",0,J182)+IF(K182="",0,K182*10))/COUNT(E182,G182,H182,I182,J182,K182),1))</f>
        <v/>
      </c>
      <c r="M182">
        <f>IF(L182="","",IF(L182&gt;=85,"Excellent",IF(L182&gt;=70,"Good",IF(L182&gt;=55,"Mixed","Poor"))))</f>
        <v/>
      </c>
      <c r="N182" s="66" t="n"/>
      <c r="O182" t="inlineStr">
        <is>
          <t>https://www.imdb.com/find/?q=Jurassic+Park+III+2001</t>
        </is>
      </c>
      <c r="P182" t="inlineStr">
        <is>
          <t>https://www.rottentomatoes.com/search?search=Jurassic+Park+III</t>
        </is>
      </c>
      <c r="Q182" t="inlineStr">
        <is>
          <t>https://letterboxd.com/search/Jurassic%20Park%20III/</t>
        </is>
      </c>
      <c r="R182" t="inlineStr">
        <is>
          <t>https://www.metacritic.com/search/Jurassic+Park+III/</t>
        </is>
      </c>
    </row>
    <row r="183">
      <c r="A183" t="inlineStr">
        <is>
          <t>F0179</t>
        </is>
      </c>
      <c r="B183" t="inlineStr">
        <is>
          <t>Jurassic World</t>
        </is>
      </c>
      <c r="C183" s="63" t="inlineStr">
        <is>
          <t>2015</t>
        </is>
      </c>
      <c r="E183" s="82" t="n"/>
      <c r="F183" s="85" t="n"/>
      <c r="G183" s="71" t="n"/>
      <c r="H183" s="71" t="n"/>
      <c r="I183" s="83" t="n"/>
      <c r="J183" s="71" t="n"/>
      <c r="K183" s="82" t="n"/>
      <c r="L183" s="82">
        <f>IF(COUNT(E183,G183,H183,I183,J183,K183)=0,"",ROUND((IF(E183="",0,E183*10)+IF(G183="",0,G183)+IF(H183="",0,H183)+IF(I183="",0,I183*20)+IF(J183="",0,J183)+IF(K183="",0,K183*10))/COUNT(E183,G183,H183,I183,J183,K183),1))</f>
        <v/>
      </c>
      <c r="M183">
        <f>IF(L183="","",IF(L183&gt;=85,"Excellent",IF(L183&gt;=70,"Good",IF(L183&gt;=55,"Mixed","Poor"))))</f>
        <v/>
      </c>
      <c r="N183" s="66" t="n"/>
      <c r="O183" t="inlineStr">
        <is>
          <t>https://www.imdb.com/find/?q=Jurassic+World+2015</t>
        </is>
      </c>
      <c r="P183" t="inlineStr">
        <is>
          <t>https://www.rottentomatoes.com/search?search=Jurassic+World</t>
        </is>
      </c>
      <c r="Q183" t="inlineStr">
        <is>
          <t>https://letterboxd.com/search/Jurassic%20World/</t>
        </is>
      </c>
      <c r="R183" t="inlineStr">
        <is>
          <t>https://www.metacritic.com/search/Jurassic+World/</t>
        </is>
      </c>
    </row>
    <row r="184">
      <c r="A184" t="inlineStr">
        <is>
          <t>F0180</t>
        </is>
      </c>
      <c r="B184" t="inlineStr">
        <is>
          <t>Jurassic World: Fallen Kingdom</t>
        </is>
      </c>
      <c r="C184" s="63" t="inlineStr">
        <is>
          <t>2018</t>
        </is>
      </c>
      <c r="E184" s="82" t="n"/>
      <c r="F184" s="85" t="n"/>
      <c r="G184" s="71" t="n"/>
      <c r="H184" s="71" t="n"/>
      <c r="I184" s="83" t="n"/>
      <c r="J184" s="71" t="n"/>
      <c r="K184" s="82" t="n"/>
      <c r="L184" s="82">
        <f>IF(COUNT(E184,G184,H184,I184,J184,K184)=0,"",ROUND((IF(E184="",0,E184*10)+IF(G184="",0,G184)+IF(H184="",0,H184)+IF(I184="",0,I184*20)+IF(J184="",0,J184)+IF(K184="",0,K184*10))/COUNT(E184,G184,H184,I184,J184,K184),1))</f>
        <v/>
      </c>
      <c r="M184">
        <f>IF(L184="","",IF(L184&gt;=85,"Excellent",IF(L184&gt;=70,"Good",IF(L184&gt;=55,"Mixed","Poor"))))</f>
        <v/>
      </c>
      <c r="N184" s="66" t="n"/>
      <c r="O184" t="inlineStr">
        <is>
          <t>https://www.imdb.com/find/?q=Jurassic+World%3A+Fallen+Kingdom+2018</t>
        </is>
      </c>
      <c r="P184" t="inlineStr">
        <is>
          <t>https://www.rottentomatoes.com/search?search=Jurassic+World%3A+Fallen+Kingdom</t>
        </is>
      </c>
      <c r="Q184" t="inlineStr">
        <is>
          <t>https://letterboxd.com/search/Jurassic%20World%3A%20Fallen%20Kingdom/</t>
        </is>
      </c>
      <c r="R184" t="inlineStr">
        <is>
          <t>https://www.metacritic.com/search/Jurassic+World%3A+Fallen+Kingdom/</t>
        </is>
      </c>
    </row>
    <row r="185">
      <c r="A185" t="inlineStr">
        <is>
          <t>F0181</t>
        </is>
      </c>
      <c r="B185" t="inlineStr">
        <is>
          <t>Jurassic World Dominion</t>
        </is>
      </c>
      <c r="C185" s="63" t="inlineStr">
        <is>
          <t>2022</t>
        </is>
      </c>
      <c r="E185" s="82" t="n"/>
      <c r="F185" s="85" t="n"/>
      <c r="G185" s="71" t="n"/>
      <c r="H185" s="71" t="n"/>
      <c r="I185" s="83" t="n"/>
      <c r="J185" s="71" t="n"/>
      <c r="K185" s="82" t="n"/>
      <c r="L185" s="82">
        <f>IF(COUNT(E185,G185,H185,I185,J185,K185)=0,"",ROUND((IF(E185="",0,E185*10)+IF(G185="",0,G185)+IF(H185="",0,H185)+IF(I185="",0,I185*20)+IF(J185="",0,J185)+IF(K185="",0,K185*10))/COUNT(E185,G185,H185,I185,J185,K185),1))</f>
        <v/>
      </c>
      <c r="M185">
        <f>IF(L185="","",IF(L185&gt;=85,"Excellent",IF(L185&gt;=70,"Good",IF(L185&gt;=55,"Mixed","Poor"))))</f>
        <v/>
      </c>
      <c r="N185" s="66" t="n"/>
      <c r="O185" t="inlineStr">
        <is>
          <t>https://www.imdb.com/find/?q=Jurassic+World+Dominion+2022</t>
        </is>
      </c>
      <c r="P185" t="inlineStr">
        <is>
          <t>https://www.rottentomatoes.com/search?search=Jurassic+World+Dominion</t>
        </is>
      </c>
      <c r="Q185" t="inlineStr">
        <is>
          <t>https://letterboxd.com/search/Jurassic%20World%20Dominion/</t>
        </is>
      </c>
      <c r="R185" t="inlineStr">
        <is>
          <t>https://www.metacritic.com/search/Jurassic+World+Dominion/</t>
        </is>
      </c>
    </row>
    <row r="186">
      <c r="A186" t="inlineStr">
        <is>
          <t>F0182</t>
        </is>
      </c>
      <c r="B186" t="inlineStr">
        <is>
          <t>Jurassic World Rebirth</t>
        </is>
      </c>
      <c r="C186" s="63" t="inlineStr">
        <is>
          <t>2025</t>
        </is>
      </c>
      <c r="E186" s="82" t="n"/>
      <c r="F186" s="85" t="n"/>
      <c r="G186" s="71" t="n"/>
      <c r="H186" s="71" t="n"/>
      <c r="I186" s="83" t="n"/>
      <c r="J186" s="71" t="n"/>
      <c r="K186" s="82" t="n"/>
      <c r="L186" s="82">
        <f>IF(COUNT(E186,G186,H186,I186,J186,K186)=0,"",ROUND((IF(E186="",0,E186*10)+IF(G186="",0,G186)+IF(H186="",0,H186)+IF(I186="",0,I186*20)+IF(J186="",0,J186)+IF(K186="",0,K186*10))/COUNT(E186,G186,H186,I186,J186,K186),1))</f>
        <v/>
      </c>
      <c r="M186">
        <f>IF(L186="","",IF(L186&gt;=85,"Excellent",IF(L186&gt;=70,"Good",IF(L186&gt;=55,"Mixed","Poor"))))</f>
        <v/>
      </c>
      <c r="N186" s="66" t="n"/>
      <c r="O186" t="inlineStr">
        <is>
          <t>https://www.imdb.com/find/?q=Jurassic+World+Rebirth+2025</t>
        </is>
      </c>
      <c r="P186" t="inlineStr">
        <is>
          <t>https://www.rottentomatoes.com/search?search=Jurassic+World+Rebirth</t>
        </is>
      </c>
      <c r="Q186" t="inlineStr">
        <is>
          <t>https://letterboxd.com/search/Jurassic%20World%20Rebirth/</t>
        </is>
      </c>
      <c r="R186" t="inlineStr">
        <is>
          <t>https://www.metacritic.com/search/Jurassic+World+Rebirth/</t>
        </is>
      </c>
    </row>
    <row r="187">
      <c r="A187" t="inlineStr">
        <is>
          <t>F0183</t>
        </is>
      </c>
      <c r="B187" t="inlineStr">
        <is>
          <t>Just Go with It</t>
        </is>
      </c>
      <c r="C187" s="63" t="inlineStr">
        <is>
          <t>2011</t>
        </is>
      </c>
      <c r="E187" s="82" t="n"/>
      <c r="F187" s="85" t="n"/>
      <c r="G187" s="71" t="n"/>
      <c r="H187" s="71" t="n"/>
      <c r="I187" s="83" t="n"/>
      <c r="J187" s="71" t="n"/>
      <c r="K187" s="82" t="n"/>
      <c r="L187" s="82">
        <f>IF(COUNT(E187,G187,H187,I187,J187,K187)=0,"",ROUND((IF(E187="",0,E187*10)+IF(G187="",0,G187)+IF(H187="",0,H187)+IF(I187="",0,I187*20)+IF(J187="",0,J187)+IF(K187="",0,K187*10))/COUNT(E187,G187,H187,I187,J187,K187),1))</f>
        <v/>
      </c>
      <c r="M187">
        <f>IF(L187="","",IF(L187&gt;=85,"Excellent",IF(L187&gt;=70,"Good",IF(L187&gt;=55,"Mixed","Poor"))))</f>
        <v/>
      </c>
      <c r="N187" s="66" t="n"/>
      <c r="O187" t="inlineStr">
        <is>
          <t>https://www.imdb.com/find/?q=Just+Go+with+It+2011</t>
        </is>
      </c>
      <c r="P187" t="inlineStr">
        <is>
          <t>https://www.rottentomatoes.com/search?search=Just+Go+with+It</t>
        </is>
      </c>
      <c r="Q187" t="inlineStr">
        <is>
          <t>https://letterboxd.com/search/Just%20Go%20with%20It/</t>
        </is>
      </c>
      <c r="R187" t="inlineStr">
        <is>
          <t>https://www.metacritic.com/search/Just+Go+with+It/</t>
        </is>
      </c>
    </row>
    <row r="188">
      <c r="A188" t="inlineStr">
        <is>
          <t>F0184</t>
        </is>
      </c>
      <c r="B188" t="inlineStr">
        <is>
          <t>The Karate Kid</t>
        </is>
      </c>
      <c r="C188" s="63" t="inlineStr">
        <is>
          <t>2010</t>
        </is>
      </c>
      <c r="E188" s="82" t="n"/>
      <c r="F188" s="85" t="n"/>
      <c r="G188" s="71" t="n"/>
      <c r="H188" s="71" t="n"/>
      <c r="I188" s="83" t="n"/>
      <c r="J188" s="71" t="n"/>
      <c r="K188" s="82" t="n"/>
      <c r="L188" s="82">
        <f>IF(COUNT(E188,G188,H188,I188,J188,K188)=0,"",ROUND((IF(E188="",0,E188*10)+IF(G188="",0,G188)+IF(H188="",0,H188)+IF(I188="",0,I188*20)+IF(J188="",0,J188)+IF(K188="",0,K188*10))/COUNT(E188,G188,H188,I188,J188,K188),1))</f>
        <v/>
      </c>
      <c r="M188">
        <f>IF(L188="","",IF(L188&gt;=85,"Excellent",IF(L188&gt;=70,"Good",IF(L188&gt;=55,"Mixed","Poor"))))</f>
        <v/>
      </c>
      <c r="N188" s="66" t="n"/>
      <c r="O188" t="inlineStr">
        <is>
          <t>https://www.imdb.com/find/?q=The+Karate+Kid+2010</t>
        </is>
      </c>
      <c r="P188" t="inlineStr">
        <is>
          <t>https://www.rottentomatoes.com/search?search=The+Karate+Kid</t>
        </is>
      </c>
      <c r="Q188" t="inlineStr">
        <is>
          <t>https://letterboxd.com/search/The%20Karate%20Kid/</t>
        </is>
      </c>
      <c r="R188" t="inlineStr">
        <is>
          <t>https://www.metacritic.com/search/The+Karate+Kid/</t>
        </is>
      </c>
    </row>
    <row r="189">
      <c r="A189" t="inlineStr">
        <is>
          <t>F0185</t>
        </is>
      </c>
      <c r="B189" t="inlineStr">
        <is>
          <t>Kick-Ass</t>
        </is>
      </c>
      <c r="C189" s="63" t="inlineStr">
        <is>
          <t>2010</t>
        </is>
      </c>
      <c r="E189" s="82" t="n"/>
      <c r="F189" s="85" t="n"/>
      <c r="G189" s="71" t="n"/>
      <c r="H189" s="71" t="n"/>
      <c r="I189" s="83" t="n"/>
      <c r="J189" s="71" t="n"/>
      <c r="K189" s="82" t="n"/>
      <c r="L189" s="82">
        <f>IF(COUNT(E189,G189,H189,I189,J189,K189)=0,"",ROUND((IF(E189="",0,E189*10)+IF(G189="",0,G189)+IF(H189="",0,H189)+IF(I189="",0,I189*20)+IF(J189="",0,J189)+IF(K189="",0,K189*10))/COUNT(E189,G189,H189,I189,J189,K189),1))</f>
        <v/>
      </c>
      <c r="M189">
        <f>IF(L189="","",IF(L189&gt;=85,"Excellent",IF(L189&gt;=70,"Good",IF(L189&gt;=55,"Mixed","Poor"))))</f>
        <v/>
      </c>
      <c r="N189" s="66" t="n"/>
      <c r="O189" t="inlineStr">
        <is>
          <t>https://www.imdb.com/find/?q=Kick-Ass+2010</t>
        </is>
      </c>
      <c r="P189" t="inlineStr">
        <is>
          <t>https://www.rottentomatoes.com/search?search=Kick-Ass</t>
        </is>
      </c>
      <c r="Q189" t="inlineStr">
        <is>
          <t>https://letterboxd.com/search/Kick-Ass/</t>
        </is>
      </c>
      <c r="R189" t="inlineStr">
        <is>
          <t>https://www.metacritic.com/search/Kick-Ass/</t>
        </is>
      </c>
    </row>
    <row r="190">
      <c r="A190" t="inlineStr">
        <is>
          <t>F0186</t>
        </is>
      </c>
      <c r="B190" t="inlineStr">
        <is>
          <t>Kick-Ass 2</t>
        </is>
      </c>
      <c r="C190" s="63" t="inlineStr">
        <is>
          <t>2013</t>
        </is>
      </c>
      <c r="E190" s="82" t="n"/>
      <c r="F190" s="85" t="n"/>
      <c r="G190" s="71" t="n"/>
      <c r="H190" s="71" t="n"/>
      <c r="I190" s="83" t="n"/>
      <c r="J190" s="71" t="n"/>
      <c r="K190" s="82" t="n"/>
      <c r="L190" s="82">
        <f>IF(COUNT(E190,G190,H190,I190,J190,K190)=0,"",ROUND((IF(E190="",0,E190*10)+IF(G190="",0,G190)+IF(H190="",0,H190)+IF(I190="",0,I190*20)+IF(J190="",0,J190)+IF(K190="",0,K190*10))/COUNT(E190,G190,H190,I190,J190,K190),1))</f>
        <v/>
      </c>
      <c r="M190">
        <f>IF(L190="","",IF(L190&gt;=85,"Excellent",IF(L190&gt;=70,"Good",IF(L190&gt;=55,"Mixed","Poor"))))</f>
        <v/>
      </c>
      <c r="N190" s="66" t="n"/>
      <c r="O190" t="inlineStr">
        <is>
          <t>https://www.imdb.com/find/?q=Kick-Ass+2+2013</t>
        </is>
      </c>
      <c r="P190" t="inlineStr">
        <is>
          <t>https://www.rottentomatoes.com/search?search=Kick-Ass+2</t>
        </is>
      </c>
      <c r="Q190" t="inlineStr">
        <is>
          <t>https://letterboxd.com/search/Kick-Ass%202/</t>
        </is>
      </c>
      <c r="R190" t="inlineStr">
        <is>
          <t>https://www.metacritic.com/search/Kick-Ass+2/</t>
        </is>
      </c>
    </row>
    <row r="191">
      <c r="A191" t="inlineStr">
        <is>
          <t>F0187</t>
        </is>
      </c>
      <c r="B191" t="inlineStr">
        <is>
          <t>Killing Them Softly</t>
        </is>
      </c>
      <c r="C191" s="63" t="inlineStr">
        <is>
          <t>2012</t>
        </is>
      </c>
      <c r="E191" s="82" t="n"/>
      <c r="F191" s="85" t="n"/>
      <c r="G191" s="71" t="n"/>
      <c r="H191" s="71" t="n"/>
      <c r="I191" s="83" t="n"/>
      <c r="J191" s="71" t="n"/>
      <c r="K191" s="82" t="n"/>
      <c r="L191" s="82">
        <f>IF(COUNT(E191,G191,H191,I191,J191,K191)=0,"",ROUND((IF(E191="",0,E191*10)+IF(G191="",0,G191)+IF(H191="",0,H191)+IF(I191="",0,I191*20)+IF(J191="",0,J191)+IF(K191="",0,K191*10))/COUNT(E191,G191,H191,I191,J191,K191),1))</f>
        <v/>
      </c>
      <c r="M191">
        <f>IF(L191="","",IF(L191&gt;=85,"Excellent",IF(L191&gt;=70,"Good",IF(L191&gt;=55,"Mixed","Poor"))))</f>
        <v/>
      </c>
      <c r="N191" s="66" t="n"/>
      <c r="O191" t="inlineStr">
        <is>
          <t>https://www.imdb.com/find/?q=Killing+Them+Softly+2012</t>
        </is>
      </c>
      <c r="P191" t="inlineStr">
        <is>
          <t>https://www.rottentomatoes.com/search?search=Killing+Them+Softly</t>
        </is>
      </c>
      <c r="Q191" t="inlineStr">
        <is>
          <t>https://letterboxd.com/search/Killing%20Them%20Softly/</t>
        </is>
      </c>
      <c r="R191" t="inlineStr">
        <is>
          <t>https://www.metacritic.com/search/Killing+Them+Softly/</t>
        </is>
      </c>
    </row>
    <row r="192">
      <c r="A192" t="inlineStr">
        <is>
          <t>F0188</t>
        </is>
      </c>
      <c r="B192" t="inlineStr">
        <is>
          <t>King Kong</t>
        </is>
      </c>
      <c r="C192" s="63" t="inlineStr">
        <is>
          <t>2005</t>
        </is>
      </c>
      <c r="E192" s="82" t="n"/>
      <c r="F192" s="85" t="n"/>
      <c r="G192" s="71" t="n"/>
      <c r="H192" s="71" t="n"/>
      <c r="I192" s="83" t="n"/>
      <c r="J192" s="71" t="n"/>
      <c r="K192" s="82" t="n"/>
      <c r="L192" s="82">
        <f>IF(COUNT(E192,G192,H192,I192,J192,K192)=0,"",ROUND((IF(E192="",0,E192*10)+IF(G192="",0,G192)+IF(H192="",0,H192)+IF(I192="",0,I192*20)+IF(J192="",0,J192)+IF(K192="",0,K192*10))/COUNT(E192,G192,H192,I192,J192,K192),1))</f>
        <v/>
      </c>
      <c r="M192">
        <f>IF(L192="","",IF(L192&gt;=85,"Excellent",IF(L192&gt;=70,"Good",IF(L192&gt;=55,"Mixed","Poor"))))</f>
        <v/>
      </c>
      <c r="N192" s="66" t="n"/>
      <c r="O192" t="inlineStr">
        <is>
          <t>https://www.imdb.com/find/?q=King+Kong+2005</t>
        </is>
      </c>
      <c r="P192" t="inlineStr">
        <is>
          <t>https://www.rottentomatoes.com/search?search=King+Kong</t>
        </is>
      </c>
      <c r="Q192" t="inlineStr">
        <is>
          <t>https://letterboxd.com/search/King%20Kong/</t>
        </is>
      </c>
      <c r="R192" t="inlineStr">
        <is>
          <t>https://www.metacritic.com/search/King+Kong/</t>
        </is>
      </c>
    </row>
    <row r="193">
      <c r="A193" t="inlineStr">
        <is>
          <t>F0189</t>
        </is>
      </c>
      <c r="B193" t="inlineStr">
        <is>
          <t>The King's Speech</t>
        </is>
      </c>
      <c r="C193" s="63" t="inlineStr">
        <is>
          <t>2010</t>
        </is>
      </c>
      <c r="E193" s="82" t="n"/>
      <c r="F193" s="85" t="n"/>
      <c r="G193" s="71" t="n"/>
      <c r="H193" s="71" t="n"/>
      <c r="I193" s="83" t="n"/>
      <c r="J193" s="71" t="n"/>
      <c r="K193" s="82" t="n"/>
      <c r="L193" s="82">
        <f>IF(COUNT(E193,G193,H193,I193,J193,K193)=0,"",ROUND((IF(E193="",0,E193*10)+IF(G193="",0,G193)+IF(H193="",0,H193)+IF(I193="",0,I193*20)+IF(J193="",0,J193)+IF(K193="",0,K193*10))/COUNT(E193,G193,H193,I193,J193,K193),1))</f>
        <v/>
      </c>
      <c r="M193">
        <f>IF(L193="","",IF(L193&gt;=85,"Excellent",IF(L193&gt;=70,"Good",IF(L193&gt;=55,"Mixed","Poor"))))</f>
        <v/>
      </c>
      <c r="N193" s="66" t="n"/>
      <c r="O193" t="inlineStr">
        <is>
          <t>https://www.imdb.com/find/?q=The+King%27s+Speech+2010</t>
        </is>
      </c>
      <c r="P193" t="inlineStr">
        <is>
          <t>https://www.rottentomatoes.com/search?search=The+King%27s+Speech</t>
        </is>
      </c>
      <c r="Q193" t="inlineStr">
        <is>
          <t>https://letterboxd.com/search/The%20King%27s%20Speech/</t>
        </is>
      </c>
      <c r="R193" t="inlineStr">
        <is>
          <t>https://www.metacritic.com/search/The+King%27s+Speech/</t>
        </is>
      </c>
    </row>
    <row r="194">
      <c r="A194" t="inlineStr">
        <is>
          <t>F0190</t>
        </is>
      </c>
      <c r="B194" t="inlineStr">
        <is>
          <t>Kong: Skull Island</t>
        </is>
      </c>
      <c r="C194" s="63" t="inlineStr">
        <is>
          <t>2017</t>
        </is>
      </c>
      <c r="E194" s="82" t="n"/>
      <c r="F194" s="85" t="n"/>
      <c r="G194" s="71" t="n"/>
      <c r="H194" s="71" t="n"/>
      <c r="I194" s="83" t="n"/>
      <c r="J194" s="71" t="n"/>
      <c r="K194" s="82" t="n"/>
      <c r="L194" s="82">
        <f>IF(COUNT(E194,G194,H194,I194,J194,K194)=0,"",ROUND((IF(E194="",0,E194*10)+IF(G194="",0,G194)+IF(H194="",0,H194)+IF(I194="",0,I194*20)+IF(J194="",0,J194)+IF(K194="",0,K194*10))/COUNT(E194,G194,H194,I194,J194,K194),1))</f>
        <v/>
      </c>
      <c r="M194">
        <f>IF(L194="","",IF(L194&gt;=85,"Excellent",IF(L194&gt;=70,"Good",IF(L194&gt;=55,"Mixed","Poor"))))</f>
        <v/>
      </c>
      <c r="N194" s="66" t="n"/>
      <c r="O194" t="inlineStr">
        <is>
          <t>https://www.imdb.com/find/?q=Kong%3A+Skull+Island+2017</t>
        </is>
      </c>
      <c r="P194" t="inlineStr">
        <is>
          <t>https://www.rottentomatoes.com/search?search=Kong%3A+Skull+Island</t>
        </is>
      </c>
      <c r="Q194" t="inlineStr">
        <is>
          <t>https://letterboxd.com/search/Kong%3A%20Skull%20Island/</t>
        </is>
      </c>
      <c r="R194" t="inlineStr">
        <is>
          <t>https://www.metacritic.com/search/Kong%3A+Skull+Island/</t>
        </is>
      </c>
    </row>
    <row r="195">
      <c r="A195" t="inlineStr">
        <is>
          <t>F0191</t>
        </is>
      </c>
      <c r="B195" t="inlineStr">
        <is>
          <t>Law Abiding Citizen</t>
        </is>
      </c>
      <c r="C195" s="63" t="inlineStr">
        <is>
          <t>2009</t>
        </is>
      </c>
      <c r="E195" s="82" t="n"/>
      <c r="F195" s="85" t="n"/>
      <c r="G195" s="71" t="n"/>
      <c r="H195" s="71" t="n"/>
      <c r="I195" s="83" t="n"/>
      <c r="J195" s="71" t="n"/>
      <c r="K195" s="82" t="n"/>
      <c r="L195" s="82">
        <f>IF(COUNT(E195,G195,H195,I195,J195,K195)=0,"",ROUND((IF(E195="",0,E195*10)+IF(G195="",0,G195)+IF(H195="",0,H195)+IF(I195="",0,I195*20)+IF(J195="",0,J195)+IF(K195="",0,K195*10))/COUNT(E195,G195,H195,I195,J195,K195),1))</f>
        <v/>
      </c>
      <c r="M195">
        <f>IF(L195="","",IF(L195&gt;=85,"Excellent",IF(L195&gt;=70,"Good",IF(L195&gt;=55,"Mixed","Poor"))))</f>
        <v/>
      </c>
      <c r="N195" s="66" t="n"/>
      <c r="O195" t="inlineStr">
        <is>
          <t>https://www.imdb.com/find/?q=Law+Abiding+Citizen+2009</t>
        </is>
      </c>
      <c r="P195" t="inlineStr">
        <is>
          <t>https://www.rottentomatoes.com/search?search=Law+Abiding+Citizen</t>
        </is>
      </c>
      <c r="Q195" t="inlineStr">
        <is>
          <t>https://letterboxd.com/search/Law%20Abiding%20Citizen/</t>
        </is>
      </c>
      <c r="R195" t="inlineStr">
        <is>
          <t>https://www.metacritic.com/search/Law+Abiding+Citizen/</t>
        </is>
      </c>
    </row>
    <row r="196">
      <c r="A196" t="inlineStr">
        <is>
          <t>F0192</t>
        </is>
      </c>
      <c r="B196" t="inlineStr">
        <is>
          <t>Lawless</t>
        </is>
      </c>
      <c r="C196" s="63" t="inlineStr">
        <is>
          <t>2012</t>
        </is>
      </c>
      <c r="E196" s="82" t="n"/>
      <c r="F196" s="85" t="n"/>
      <c r="G196" s="71" t="n"/>
      <c r="H196" s="71" t="n"/>
      <c r="I196" s="83" t="n"/>
      <c r="J196" s="71" t="n"/>
      <c r="K196" s="82" t="n"/>
      <c r="L196" s="82">
        <f>IF(COUNT(E196,G196,H196,I196,J196,K196)=0,"",ROUND((IF(E196="",0,E196*10)+IF(G196="",0,G196)+IF(H196="",0,H196)+IF(I196="",0,I196*20)+IF(J196="",0,J196)+IF(K196="",0,K196*10))/COUNT(E196,G196,H196,I196,J196,K196),1))</f>
        <v/>
      </c>
      <c r="M196">
        <f>IF(L196="","",IF(L196&gt;=85,"Excellent",IF(L196&gt;=70,"Good",IF(L196&gt;=55,"Mixed","Poor"))))</f>
        <v/>
      </c>
      <c r="N196" s="66" t="n"/>
      <c r="O196" t="inlineStr">
        <is>
          <t>https://www.imdb.com/find/?q=Lawless+2012</t>
        </is>
      </c>
      <c r="P196" t="inlineStr">
        <is>
          <t>https://www.rottentomatoes.com/search?search=Lawless</t>
        </is>
      </c>
      <c r="Q196" t="inlineStr">
        <is>
          <t>https://letterboxd.com/search/Lawless/</t>
        </is>
      </c>
      <c r="R196" t="inlineStr">
        <is>
          <t>https://www.metacritic.com/search/Lawless/</t>
        </is>
      </c>
    </row>
    <row r="197">
      <c r="A197" t="inlineStr">
        <is>
          <t>F0193</t>
        </is>
      </c>
      <c r="B197" t="inlineStr">
        <is>
          <t>The Lego Batman Movie</t>
        </is>
      </c>
      <c r="C197" s="63" t="inlineStr">
        <is>
          <t>2017</t>
        </is>
      </c>
      <c r="E197" s="82" t="n"/>
      <c r="F197" s="85" t="n"/>
      <c r="G197" s="71" t="n"/>
      <c r="H197" s="71" t="n"/>
      <c r="I197" s="83" t="n"/>
      <c r="J197" s="71" t="n"/>
      <c r="K197" s="82" t="n"/>
      <c r="L197" s="82">
        <f>IF(COUNT(E197,G197,H197,I197,J197,K197)=0,"",ROUND((IF(E197="",0,E197*10)+IF(G197="",0,G197)+IF(H197="",0,H197)+IF(I197="",0,I197*20)+IF(J197="",0,J197)+IF(K197="",0,K197*10))/COUNT(E197,G197,H197,I197,J197,K197),1))</f>
        <v/>
      </c>
      <c r="M197">
        <f>IF(L197="","",IF(L197&gt;=85,"Excellent",IF(L197&gt;=70,"Good",IF(L197&gt;=55,"Mixed","Poor"))))</f>
        <v/>
      </c>
      <c r="N197" s="66" t="n"/>
      <c r="O197" t="inlineStr">
        <is>
          <t>https://www.imdb.com/find/?q=The+Lego+Batman+Movie+2017</t>
        </is>
      </c>
      <c r="P197" t="inlineStr">
        <is>
          <t>https://www.rottentomatoes.com/search?search=The+Lego+Batman+Movie</t>
        </is>
      </c>
      <c r="Q197" t="inlineStr">
        <is>
          <t>https://letterboxd.com/search/The%20Lego%20Batman%20Movie/</t>
        </is>
      </c>
      <c r="R197" t="inlineStr">
        <is>
          <t>https://www.metacritic.com/search/The+Lego+Batman+Movie/</t>
        </is>
      </c>
    </row>
    <row r="198">
      <c r="A198" t="inlineStr">
        <is>
          <t>F0194</t>
        </is>
      </c>
      <c r="B198" t="inlineStr">
        <is>
          <t>Lego Batman: The Movie - DC Super Heroes Unite</t>
        </is>
      </c>
      <c r="C198" s="63" t="inlineStr">
        <is>
          <t>2013</t>
        </is>
      </c>
      <c r="E198" s="82" t="n"/>
      <c r="F198" s="85" t="n"/>
      <c r="G198" s="71" t="n"/>
      <c r="H198" s="71" t="n"/>
      <c r="I198" s="83" t="n"/>
      <c r="J198" s="71" t="n"/>
      <c r="K198" s="82" t="n"/>
      <c r="L198" s="82">
        <f>IF(COUNT(E198,G198,H198,I198,J198,K198)=0,"",ROUND((IF(E198="",0,E198*10)+IF(G198="",0,G198)+IF(H198="",0,H198)+IF(I198="",0,I198*20)+IF(J198="",0,J198)+IF(K198="",0,K198*10))/COUNT(E198,G198,H198,I198,J198,K198),1))</f>
        <v/>
      </c>
      <c r="M198">
        <f>IF(L198="","",IF(L198&gt;=85,"Excellent",IF(L198&gt;=70,"Good",IF(L198&gt;=55,"Mixed","Poor"))))</f>
        <v/>
      </c>
      <c r="N198" s="66" t="n"/>
      <c r="O198" t="inlineStr">
        <is>
          <t>https://www.imdb.com/find/?q=Lego+Batman%3A+The+Movie+-+DC+Super+Heroes+Unite+2013</t>
        </is>
      </c>
      <c r="P198" t="inlineStr">
        <is>
          <t>https://www.rottentomatoes.com/search?search=Lego+Batman%3A+The+Movie+-+DC+Super+Heroes+Unite</t>
        </is>
      </c>
      <c r="Q198" t="inlineStr">
        <is>
          <t>https://letterboxd.com/search/Lego%20Batman%3A%20The%20Movie%20-%20DC%20Super%20Heroes%20Unite/</t>
        </is>
      </c>
      <c r="R198" t="inlineStr">
        <is>
          <t>https://www.metacritic.com/search/Lego+Batman%3A+The+Movie+-+DC+Super+Heroes+Unite/</t>
        </is>
      </c>
    </row>
    <row r="199">
      <c r="A199" t="inlineStr">
        <is>
          <t>F0195</t>
        </is>
      </c>
      <c r="B199" t="inlineStr">
        <is>
          <t>The Lego Movie</t>
        </is>
      </c>
      <c r="C199" s="63" t="inlineStr">
        <is>
          <t>2014</t>
        </is>
      </c>
      <c r="E199" s="82" t="n"/>
      <c r="F199" s="85" t="n"/>
      <c r="G199" s="71" t="n"/>
      <c r="H199" s="71" t="n"/>
      <c r="I199" s="83" t="n"/>
      <c r="J199" s="71" t="n"/>
      <c r="K199" s="82" t="n"/>
      <c r="L199" s="82">
        <f>IF(COUNT(E199,G199,H199,I199,J199,K199)=0,"",ROUND((IF(E199="",0,E199*10)+IF(G199="",0,G199)+IF(H199="",0,H199)+IF(I199="",0,I199*20)+IF(J199="",0,J199)+IF(K199="",0,K199*10))/COUNT(E199,G199,H199,I199,J199,K199),1))</f>
        <v/>
      </c>
      <c r="M199">
        <f>IF(L199="","",IF(L199&gt;=85,"Excellent",IF(L199&gt;=70,"Good",IF(L199&gt;=55,"Mixed","Poor"))))</f>
        <v/>
      </c>
      <c r="N199" s="66" t="n"/>
      <c r="O199" t="inlineStr">
        <is>
          <t>https://www.imdb.com/find/?q=The+Lego+Movie+2014</t>
        </is>
      </c>
      <c r="P199" t="inlineStr">
        <is>
          <t>https://www.rottentomatoes.com/search?search=The+Lego+Movie</t>
        </is>
      </c>
      <c r="Q199" t="inlineStr">
        <is>
          <t>https://letterboxd.com/search/The%20Lego%20Movie/</t>
        </is>
      </c>
      <c r="R199" t="inlineStr">
        <is>
          <t>https://www.metacritic.com/search/The+Lego+Movie/</t>
        </is>
      </c>
    </row>
    <row r="200">
      <c r="A200" t="inlineStr">
        <is>
          <t>F0196</t>
        </is>
      </c>
      <c r="B200" t="inlineStr">
        <is>
          <t>The Lego Movie 2: The Second Part</t>
        </is>
      </c>
      <c r="C200" s="63" t="inlineStr">
        <is>
          <t>2019</t>
        </is>
      </c>
      <c r="E200" s="82" t="n"/>
      <c r="F200" s="85" t="n"/>
      <c r="G200" s="71" t="n"/>
      <c r="H200" s="71" t="n"/>
      <c r="I200" s="83" t="n"/>
      <c r="J200" s="71" t="n"/>
      <c r="K200" s="82" t="n"/>
      <c r="L200" s="82">
        <f>IF(COUNT(E200,G200,H200,I200,J200,K200)=0,"",ROUND((IF(E200="",0,E200*10)+IF(G200="",0,G200)+IF(H200="",0,H200)+IF(I200="",0,I200*20)+IF(J200="",0,J200)+IF(K200="",0,K200*10))/COUNT(E200,G200,H200,I200,J200,K200),1))</f>
        <v/>
      </c>
      <c r="M200">
        <f>IF(L200="","",IF(L200&gt;=85,"Excellent",IF(L200&gt;=70,"Good",IF(L200&gt;=55,"Mixed","Poor"))))</f>
        <v/>
      </c>
      <c r="N200" s="66" t="n"/>
      <c r="O200" t="inlineStr">
        <is>
          <t>https://www.imdb.com/find/?q=The+Lego+Movie+2%3A+The+Second+Part+2019</t>
        </is>
      </c>
      <c r="P200" t="inlineStr">
        <is>
          <t>https://www.rottentomatoes.com/search?search=The+Lego+Movie+2%3A+The+Second+Part</t>
        </is>
      </c>
      <c r="Q200" t="inlineStr">
        <is>
          <t>https://letterboxd.com/search/The%20Lego%20Movie%202%3A%20The%20Second%20Part/</t>
        </is>
      </c>
      <c r="R200" t="inlineStr">
        <is>
          <t>https://www.metacritic.com/search/The+Lego+Movie+2%3A+The+Second+Part/</t>
        </is>
      </c>
    </row>
    <row r="201">
      <c r="A201" t="inlineStr">
        <is>
          <t>F0197</t>
        </is>
      </c>
      <c r="B201" t="inlineStr">
        <is>
          <t>Lego DC Comics Super Heroes: Justice League vs. Bizarro League</t>
        </is>
      </c>
      <c r="C201" s="63" t="inlineStr">
        <is>
          <t>2015</t>
        </is>
      </c>
      <c r="E201" s="82" t="n"/>
      <c r="F201" s="85" t="n"/>
      <c r="G201" s="71" t="n"/>
      <c r="H201" s="71" t="n"/>
      <c r="I201" s="83" t="n"/>
      <c r="J201" s="71" t="n"/>
      <c r="K201" s="82" t="n"/>
      <c r="L201" s="82">
        <f>IF(COUNT(E201,G201,H201,I201,J201,K201)=0,"",ROUND((IF(E201="",0,E201*10)+IF(G201="",0,G201)+IF(H201="",0,H201)+IF(I201="",0,I201*20)+IF(J201="",0,J201)+IF(K201="",0,K201*10))/COUNT(E201,G201,H201,I201,J201,K201),1))</f>
        <v/>
      </c>
      <c r="M201">
        <f>IF(L201="","",IF(L201&gt;=85,"Excellent",IF(L201&gt;=70,"Good",IF(L201&gt;=55,"Mixed","Poor"))))</f>
        <v/>
      </c>
      <c r="N201" s="66" t="n"/>
      <c r="O201" t="inlineStr">
        <is>
          <t>https://www.imdb.com/find/?q=Lego+DC+Comics+Super+Heroes%3A+Justice+League+vs.+Bizarro+League+2015</t>
        </is>
      </c>
      <c r="P201" t="inlineStr">
        <is>
          <t>https://www.rottentomatoes.com/search?search=Lego+DC+Comics+Super+Heroes%3A+Justice+League+vs.+Bizarro+League</t>
        </is>
      </c>
      <c r="Q201" t="inlineStr">
        <is>
          <t>https://letterboxd.com/search/Lego%20DC%20Comics%20Super%20Heroes%3A%20Justice%20League%20vs.%20Bizarro%20League/</t>
        </is>
      </c>
      <c r="R201" t="inlineStr">
        <is>
          <t>https://www.metacritic.com/search/Lego+DC+Comics+Super+Heroes%3A+Justice+League+vs.+Bizarro+League/</t>
        </is>
      </c>
    </row>
    <row r="202">
      <c r="A202" t="inlineStr">
        <is>
          <t>F0198</t>
        </is>
      </c>
      <c r="B202" t="inlineStr">
        <is>
          <t>Lego DC Comics Super Heroes: Justice League - Gotham City Breakout</t>
        </is>
      </c>
      <c r="C202" s="63" t="inlineStr">
        <is>
          <t>2016</t>
        </is>
      </c>
      <c r="E202" s="82" t="n"/>
      <c r="F202" s="85" t="n"/>
      <c r="G202" s="71" t="n"/>
      <c r="H202" s="71" t="n"/>
      <c r="I202" s="83" t="n"/>
      <c r="J202" s="71" t="n"/>
      <c r="K202" s="82" t="n"/>
      <c r="L202" s="82">
        <f>IF(COUNT(E202,G202,H202,I202,J202,K202)=0,"",ROUND((IF(E202="",0,E202*10)+IF(G202="",0,G202)+IF(H202="",0,H202)+IF(I202="",0,I202*20)+IF(J202="",0,J202)+IF(K202="",0,K202*10))/COUNT(E202,G202,H202,I202,J202,K202),1))</f>
        <v/>
      </c>
      <c r="M202">
        <f>IF(L202="","",IF(L202&gt;=85,"Excellent",IF(L202&gt;=70,"Good",IF(L202&gt;=55,"Mixed","Poor"))))</f>
        <v/>
      </c>
      <c r="N202" s="66" t="n"/>
      <c r="O202" t="inlineStr">
        <is>
          <t>https://www.imdb.com/find/?q=Lego+DC+Comics+Super+Heroes%3A+Justice+League+-+Gotham+City+Breakout+2016</t>
        </is>
      </c>
      <c r="P202" t="inlineStr">
        <is>
          <t>https://www.rottentomatoes.com/search?search=Lego+DC+Comics+Super+Heroes%3A+Justice+League+-+Gotham+City+Breakout</t>
        </is>
      </c>
      <c r="Q202" t="inlineStr">
        <is>
          <t>https://letterboxd.com/search/Lego%20DC%20Comics%20Super%20Heroes%3A%20Justice%20League%20-%20Gotham%20City%20Breakout/</t>
        </is>
      </c>
      <c r="R202" t="inlineStr">
        <is>
          <t>https://www.metacritic.com/search/Lego+DC+Comics+Super+Heroes%3A+Justice+League+-+Gotham+City+Breakout/</t>
        </is>
      </c>
    </row>
    <row r="203">
      <c r="A203" t="inlineStr">
        <is>
          <t>F0199</t>
        </is>
      </c>
      <c r="B203" t="inlineStr">
        <is>
          <t>Les Misérables</t>
        </is>
      </c>
      <c r="C203" s="63" t="inlineStr">
        <is>
          <t>2012</t>
        </is>
      </c>
      <c r="E203" s="82" t="n"/>
      <c r="F203" s="85" t="n"/>
      <c r="G203" s="71" t="n"/>
      <c r="H203" s="71" t="n"/>
      <c r="I203" s="83" t="n"/>
      <c r="J203" s="71" t="n"/>
      <c r="K203" s="82" t="n"/>
      <c r="L203" s="82">
        <f>IF(COUNT(E203,G203,H203,I203,J203,K203)=0,"",ROUND((IF(E203="",0,E203*10)+IF(G203="",0,G203)+IF(H203="",0,H203)+IF(I203="",0,I203*20)+IF(J203="",0,J203)+IF(K203="",0,K203*10))/COUNT(E203,G203,H203,I203,J203,K203),1))</f>
        <v/>
      </c>
      <c r="M203">
        <f>IF(L203="","",IF(L203&gt;=85,"Excellent",IF(L203&gt;=70,"Good",IF(L203&gt;=55,"Mixed","Poor"))))</f>
        <v/>
      </c>
      <c r="N203" s="66" t="n"/>
      <c r="O203" t="inlineStr">
        <is>
          <t>https://www.imdb.com/find/?q=Les+Mis%C3%A9rables+2012</t>
        </is>
      </c>
      <c r="P203" t="inlineStr">
        <is>
          <t>https://www.rottentomatoes.com/search?search=Les+Mis%C3%A9rables</t>
        </is>
      </c>
      <c r="Q203" t="inlineStr">
        <is>
          <t>https://letterboxd.com/search/Les%20Mis%C3%A9rables/</t>
        </is>
      </c>
      <c r="R203" t="inlineStr">
        <is>
          <t>https://www.metacritic.com/search/Les+Mis%C3%A9rables/</t>
        </is>
      </c>
    </row>
    <row r="204">
      <c r="A204" t="inlineStr">
        <is>
          <t>F0200</t>
        </is>
      </c>
      <c r="B204" t="inlineStr">
        <is>
          <t>The Lion King</t>
        </is>
      </c>
      <c r="C204" s="63" t="inlineStr">
        <is>
          <t>1994</t>
        </is>
      </c>
      <c r="E204" s="82" t="n"/>
      <c r="F204" s="85" t="n"/>
      <c r="G204" s="71" t="n"/>
      <c r="H204" s="71" t="n"/>
      <c r="I204" s="83" t="n"/>
      <c r="J204" s="71" t="n"/>
      <c r="K204" s="82" t="n"/>
      <c r="L204" s="82">
        <f>IF(COUNT(E204,G204,H204,I204,J204,K204)=0,"",ROUND((IF(E204="",0,E204*10)+IF(G204="",0,G204)+IF(H204="",0,H204)+IF(I204="",0,I204*20)+IF(J204="",0,J204)+IF(K204="",0,K204*10))/COUNT(E204,G204,H204,I204,J204,K204),1))</f>
        <v/>
      </c>
      <c r="M204">
        <f>IF(L204="","",IF(L204&gt;=85,"Excellent",IF(L204&gt;=70,"Good",IF(L204&gt;=55,"Mixed","Poor"))))</f>
        <v/>
      </c>
      <c r="N204" s="66" t="n"/>
      <c r="O204" t="inlineStr">
        <is>
          <t>https://www.imdb.com/find/?q=The+Lion+King+1994</t>
        </is>
      </c>
      <c r="P204" t="inlineStr">
        <is>
          <t>https://www.rottentomatoes.com/search?search=The+Lion+King</t>
        </is>
      </c>
      <c r="Q204" t="inlineStr">
        <is>
          <t>https://letterboxd.com/search/The%20Lion%20King/</t>
        </is>
      </c>
      <c r="R204" t="inlineStr">
        <is>
          <t>https://www.metacritic.com/search/The+Lion+King/</t>
        </is>
      </c>
    </row>
    <row r="205">
      <c r="A205" t="inlineStr">
        <is>
          <t>F0201</t>
        </is>
      </c>
      <c r="B205" t="inlineStr">
        <is>
          <t>Logan</t>
        </is>
      </c>
      <c r="C205" s="63" t="inlineStr">
        <is>
          <t>2017</t>
        </is>
      </c>
      <c r="E205" s="82" t="n"/>
      <c r="F205" s="85" t="n"/>
      <c r="G205" s="71" t="n"/>
      <c r="H205" s="71" t="n"/>
      <c r="I205" s="83" t="n"/>
      <c r="J205" s="71" t="n"/>
      <c r="K205" s="82" t="n"/>
      <c r="L205" s="82">
        <f>IF(COUNT(E205,G205,H205,I205,J205,K205)=0,"",ROUND((IF(E205="",0,E205*10)+IF(G205="",0,G205)+IF(H205="",0,H205)+IF(I205="",0,I205*20)+IF(J205="",0,J205)+IF(K205="",0,K205*10))/COUNT(E205,G205,H205,I205,J205,K205),1))</f>
        <v/>
      </c>
      <c r="M205">
        <f>IF(L205="","",IF(L205&gt;=85,"Excellent",IF(L205&gt;=70,"Good",IF(L205&gt;=55,"Mixed","Poor"))))</f>
        <v/>
      </c>
      <c r="N205" s="66" t="n"/>
      <c r="O205" t="inlineStr">
        <is>
          <t>https://www.imdb.com/find/?q=Logan+2017</t>
        </is>
      </c>
      <c r="P205" t="inlineStr">
        <is>
          <t>https://www.rottentomatoes.com/search?search=Logan</t>
        </is>
      </c>
      <c r="Q205" t="inlineStr">
        <is>
          <t>https://letterboxd.com/search/Logan/</t>
        </is>
      </c>
      <c r="R205" t="inlineStr">
        <is>
          <t>https://www.metacritic.com/search/Logan/</t>
        </is>
      </c>
    </row>
    <row r="206">
      <c r="A206" t="inlineStr">
        <is>
          <t>F0202</t>
        </is>
      </c>
      <c r="B206" t="inlineStr">
        <is>
          <t>Lone Survivor</t>
        </is>
      </c>
      <c r="C206" s="63" t="inlineStr">
        <is>
          <t>2013</t>
        </is>
      </c>
      <c r="E206" s="82" t="n"/>
      <c r="F206" s="85" t="n"/>
      <c r="G206" s="71" t="n"/>
      <c r="H206" s="71" t="n"/>
      <c r="I206" s="83" t="n"/>
      <c r="J206" s="71" t="n"/>
      <c r="K206" s="82" t="n"/>
      <c r="L206" s="82">
        <f>IF(COUNT(E206,G206,H206,I206,J206,K206)=0,"",ROUND((IF(E206="",0,E206*10)+IF(G206="",0,G206)+IF(H206="",0,H206)+IF(I206="",0,I206*20)+IF(J206="",0,J206)+IF(K206="",0,K206*10))/COUNT(E206,G206,H206,I206,J206,K206),1))</f>
        <v/>
      </c>
      <c r="M206">
        <f>IF(L206="","",IF(L206&gt;=85,"Excellent",IF(L206&gt;=70,"Good",IF(L206&gt;=55,"Mixed","Poor"))))</f>
        <v/>
      </c>
      <c r="N206" s="66" t="n"/>
      <c r="O206" t="inlineStr">
        <is>
          <t>https://www.imdb.com/find/?q=Lone+Survivor+2013</t>
        </is>
      </c>
      <c r="P206" t="inlineStr">
        <is>
          <t>https://www.rottentomatoes.com/search?search=Lone+Survivor</t>
        </is>
      </c>
      <c r="Q206" t="inlineStr">
        <is>
          <t>https://letterboxd.com/search/Lone%20Survivor/</t>
        </is>
      </c>
      <c r="R206" t="inlineStr">
        <is>
          <t>https://www.metacritic.com/search/Lone+Survivor/</t>
        </is>
      </c>
    </row>
    <row r="207">
      <c r="A207" t="inlineStr">
        <is>
          <t>F0203</t>
        </is>
      </c>
      <c r="B207" t="inlineStr">
        <is>
          <t>The Lord of the Rings: The Fellowship of the Ring</t>
        </is>
      </c>
      <c r="C207" s="63" t="inlineStr">
        <is>
          <t>2001</t>
        </is>
      </c>
      <c r="E207" s="82" t="n"/>
      <c r="F207" s="85" t="n"/>
      <c r="G207" s="71" t="n"/>
      <c r="H207" s="71" t="n"/>
      <c r="I207" s="83" t="n"/>
      <c r="J207" s="71" t="n"/>
      <c r="K207" s="82" t="n"/>
      <c r="L207" s="82">
        <f>IF(COUNT(E207,G207,H207,I207,J207,K207)=0,"",ROUND((IF(E207="",0,E207*10)+IF(G207="",0,G207)+IF(H207="",0,H207)+IF(I207="",0,I207*20)+IF(J207="",0,J207)+IF(K207="",0,K207*10))/COUNT(E207,G207,H207,I207,J207,K207),1))</f>
        <v/>
      </c>
      <c r="M207">
        <f>IF(L207="","",IF(L207&gt;=85,"Excellent",IF(L207&gt;=70,"Good",IF(L207&gt;=55,"Mixed","Poor"))))</f>
        <v/>
      </c>
      <c r="N207" s="66" t="n"/>
      <c r="O207" t="inlineStr">
        <is>
          <t>https://www.imdb.com/find/?q=The+Lord+of+the+Rings%3A+The+Fellowship+of+the+Ring+2001</t>
        </is>
      </c>
      <c r="P207" t="inlineStr">
        <is>
          <t>https://www.rottentomatoes.com/search?search=The+Lord+of+the+Rings%3A+The+Fellowship+of+the+Ring</t>
        </is>
      </c>
      <c r="Q207" t="inlineStr">
        <is>
          <t>https://letterboxd.com/search/The%20Lord%20of%20the%20Rings%3A%20The%20Fellowship%20of%20the%20Ring/</t>
        </is>
      </c>
      <c r="R207" t="inlineStr">
        <is>
          <t>https://www.metacritic.com/search/The+Lord+of+the+Rings%3A+The+Fellowship+of+the+Ring/</t>
        </is>
      </c>
    </row>
    <row r="208">
      <c r="A208" t="inlineStr">
        <is>
          <t>F0204</t>
        </is>
      </c>
      <c r="B208" t="inlineStr">
        <is>
          <t>The Lord of the Rings: The Two Towers</t>
        </is>
      </c>
      <c r="C208" s="63" t="inlineStr">
        <is>
          <t>2002</t>
        </is>
      </c>
      <c r="E208" s="82" t="n"/>
      <c r="F208" s="85" t="n"/>
      <c r="G208" s="71" t="n"/>
      <c r="H208" s="71" t="n"/>
      <c r="I208" s="83" t="n"/>
      <c r="J208" s="71" t="n"/>
      <c r="K208" s="82" t="n"/>
      <c r="L208" s="82">
        <f>IF(COUNT(E208,G208,H208,I208,J208,K208)=0,"",ROUND((IF(E208="",0,E208*10)+IF(G208="",0,G208)+IF(H208="",0,H208)+IF(I208="",0,I208*20)+IF(J208="",0,J208)+IF(K208="",0,K208*10))/COUNT(E208,G208,H208,I208,J208,K208),1))</f>
        <v/>
      </c>
      <c r="M208">
        <f>IF(L208="","",IF(L208&gt;=85,"Excellent",IF(L208&gt;=70,"Good",IF(L208&gt;=55,"Mixed","Poor"))))</f>
        <v/>
      </c>
      <c r="N208" s="66" t="n"/>
      <c r="O208" t="inlineStr">
        <is>
          <t>https://www.imdb.com/find/?q=The+Lord+of+the+Rings%3A+The+Two+Towers+2002</t>
        </is>
      </c>
      <c r="P208" t="inlineStr">
        <is>
          <t>https://www.rottentomatoes.com/search?search=The+Lord+of+the+Rings%3A+The+Two+Towers</t>
        </is>
      </c>
      <c r="Q208" t="inlineStr">
        <is>
          <t>https://letterboxd.com/search/The%20Lord%20of%20the%20Rings%3A%20The%20Two%20Towers/</t>
        </is>
      </c>
      <c r="R208" t="inlineStr">
        <is>
          <t>https://www.metacritic.com/search/The+Lord+of+the+Rings%3A+The+Two+Towers/</t>
        </is>
      </c>
    </row>
    <row r="209">
      <c r="A209" t="inlineStr">
        <is>
          <t>F0205</t>
        </is>
      </c>
      <c r="B209" t="inlineStr">
        <is>
          <t>The Lord of the Rings: The Return of the King</t>
        </is>
      </c>
      <c r="C209" s="63" t="inlineStr">
        <is>
          <t>2003</t>
        </is>
      </c>
      <c r="E209" s="82" t="n"/>
      <c r="F209" s="85" t="n"/>
      <c r="G209" s="71" t="n"/>
      <c r="H209" s="71" t="n"/>
      <c r="I209" s="83" t="n"/>
      <c r="J209" s="71" t="n"/>
      <c r="K209" s="82" t="n"/>
      <c r="L209" s="82">
        <f>IF(COUNT(E209,G209,H209,I209,J209,K209)=0,"",ROUND((IF(E209="",0,E209*10)+IF(G209="",0,G209)+IF(H209="",0,H209)+IF(I209="",0,I209*20)+IF(J209="",0,J209)+IF(K209="",0,K209*10))/COUNT(E209,G209,H209,I209,J209,K209),1))</f>
        <v/>
      </c>
      <c r="M209">
        <f>IF(L209="","",IF(L209&gt;=85,"Excellent",IF(L209&gt;=70,"Good",IF(L209&gt;=55,"Mixed","Poor"))))</f>
        <v/>
      </c>
      <c r="N209" s="66" t="n"/>
      <c r="O209" t="inlineStr">
        <is>
          <t>https://www.imdb.com/find/?q=The+Lord+of+the+Rings%3A+The+Return+of+the+King+2003</t>
        </is>
      </c>
      <c r="P209" t="inlineStr">
        <is>
          <t>https://www.rottentomatoes.com/search?search=The+Lord+of+the+Rings%3A+The+Return+of+the+King</t>
        </is>
      </c>
      <c r="Q209" t="inlineStr">
        <is>
          <t>https://letterboxd.com/search/The%20Lord%20of%20the%20Rings%3A%20The%20Return%20of%20the%20King/</t>
        </is>
      </c>
      <c r="R209" t="inlineStr">
        <is>
          <t>https://www.metacritic.com/search/The+Lord+of+the+Rings%3A+The+Return+of+the+King/</t>
        </is>
      </c>
    </row>
    <row r="210">
      <c r="A210" t="inlineStr">
        <is>
          <t>F0206</t>
        </is>
      </c>
      <c r="B210" t="inlineStr">
        <is>
          <t>Magic Mike</t>
        </is>
      </c>
      <c r="C210" s="63" t="inlineStr">
        <is>
          <t>2012</t>
        </is>
      </c>
      <c r="E210" s="82" t="n"/>
      <c r="F210" s="85" t="n"/>
      <c r="G210" s="71" t="n"/>
      <c r="H210" s="71" t="n"/>
      <c r="I210" s="83" t="n"/>
      <c r="J210" s="71" t="n"/>
      <c r="K210" s="82" t="n"/>
      <c r="L210" s="82">
        <f>IF(COUNT(E210,G210,H210,I210,J210,K210)=0,"",ROUND((IF(E210="",0,E210*10)+IF(G210="",0,G210)+IF(H210="",0,H210)+IF(I210="",0,I210*20)+IF(J210="",0,J210)+IF(K210="",0,K210*10))/COUNT(E210,G210,H210,I210,J210,K210),1))</f>
        <v/>
      </c>
      <c r="M210">
        <f>IF(L210="","",IF(L210&gt;=85,"Excellent",IF(L210&gt;=70,"Good",IF(L210&gt;=55,"Mixed","Poor"))))</f>
        <v/>
      </c>
      <c r="N210" s="66" t="n"/>
      <c r="O210" t="inlineStr">
        <is>
          <t>https://www.imdb.com/find/?q=Magic+Mike+2012</t>
        </is>
      </c>
      <c r="P210" t="inlineStr">
        <is>
          <t>https://www.rottentomatoes.com/search?search=Magic+Mike</t>
        </is>
      </c>
      <c r="Q210" t="inlineStr">
        <is>
          <t>https://letterboxd.com/search/Magic%20Mike/</t>
        </is>
      </c>
      <c r="R210" t="inlineStr">
        <is>
          <t>https://www.metacritic.com/search/Magic+Mike/</t>
        </is>
      </c>
    </row>
    <row r="211">
      <c r="A211" t="inlineStr">
        <is>
          <t>F0207</t>
        </is>
      </c>
      <c r="B211" t="inlineStr">
        <is>
          <t>The Magnificent Seven</t>
        </is>
      </c>
      <c r="C211" s="63" t="inlineStr">
        <is>
          <t>2016</t>
        </is>
      </c>
      <c r="E211" s="82" t="n"/>
      <c r="F211" s="85" t="n"/>
      <c r="G211" s="71" t="n"/>
      <c r="H211" s="71" t="n"/>
      <c r="I211" s="83" t="n"/>
      <c r="J211" s="71" t="n"/>
      <c r="K211" s="82" t="n"/>
      <c r="L211" s="82">
        <f>IF(COUNT(E211,G211,H211,I211,J211,K211)=0,"",ROUND((IF(E211="",0,E211*10)+IF(G211="",0,G211)+IF(H211="",0,H211)+IF(I211="",0,I211*20)+IF(J211="",0,J211)+IF(K211="",0,K211*10))/COUNT(E211,G211,H211,I211,J211,K211),1))</f>
        <v/>
      </c>
      <c r="M211">
        <f>IF(L211="","",IF(L211&gt;=85,"Excellent",IF(L211&gt;=70,"Good",IF(L211&gt;=55,"Mixed","Poor"))))</f>
        <v/>
      </c>
      <c r="N211" s="66" t="n"/>
      <c r="O211" t="inlineStr">
        <is>
          <t>https://www.imdb.com/find/?q=The+Magnificent+Seven+2016</t>
        </is>
      </c>
      <c r="P211" t="inlineStr">
        <is>
          <t>https://www.rottentomatoes.com/search?search=The+Magnificent+Seven</t>
        </is>
      </c>
      <c r="Q211" t="inlineStr">
        <is>
          <t>https://letterboxd.com/search/The%20Magnificent%20Seven/</t>
        </is>
      </c>
      <c r="R211" t="inlineStr">
        <is>
          <t>https://www.metacritic.com/search/The+Magnificent+Seven/</t>
        </is>
      </c>
    </row>
    <row r="212">
      <c r="A212" t="inlineStr">
        <is>
          <t>F0208</t>
        </is>
      </c>
      <c r="B212" t="inlineStr">
        <is>
          <t>Maleficent</t>
        </is>
      </c>
      <c r="C212" s="63" t="inlineStr">
        <is>
          <t>2014</t>
        </is>
      </c>
      <c r="E212" s="82" t="n"/>
      <c r="F212" s="85" t="n"/>
      <c r="G212" s="71" t="n"/>
      <c r="H212" s="71" t="n"/>
      <c r="I212" s="83" t="n"/>
      <c r="J212" s="71" t="n"/>
      <c r="K212" s="82" t="n"/>
      <c r="L212" s="82">
        <f>IF(COUNT(E212,G212,H212,I212,J212,K212)=0,"",ROUND((IF(E212="",0,E212*10)+IF(G212="",0,G212)+IF(H212="",0,H212)+IF(I212="",0,I212*20)+IF(J212="",0,J212)+IF(K212="",0,K212*10))/COUNT(E212,G212,H212,I212,J212,K212),1))</f>
        <v/>
      </c>
      <c r="M212">
        <f>IF(L212="","",IF(L212&gt;=85,"Excellent",IF(L212&gt;=70,"Good",IF(L212&gt;=55,"Mixed","Poor"))))</f>
        <v/>
      </c>
      <c r="N212" s="66" t="n"/>
      <c r="O212" t="inlineStr">
        <is>
          <t>https://www.imdb.com/find/?q=Maleficent+2014</t>
        </is>
      </c>
      <c r="P212" t="inlineStr">
        <is>
          <t>https://www.rottentomatoes.com/search?search=Maleficent</t>
        </is>
      </c>
      <c r="Q212" t="inlineStr">
        <is>
          <t>https://letterboxd.com/search/Maleficent/</t>
        </is>
      </c>
      <c r="R212" t="inlineStr">
        <is>
          <t>https://www.metacritic.com/search/Maleficent/</t>
        </is>
      </c>
    </row>
    <row r="213">
      <c r="A213" t="inlineStr">
        <is>
          <t>F0209</t>
        </is>
      </c>
      <c r="B213" t="inlineStr">
        <is>
          <t>Mamma Mia!</t>
        </is>
      </c>
      <c r="C213" s="63" t="inlineStr">
        <is>
          <t>2008</t>
        </is>
      </c>
      <c r="E213" s="82" t="n"/>
      <c r="F213" s="85" t="n"/>
      <c r="G213" s="71" t="n"/>
      <c r="H213" s="71" t="n"/>
      <c r="I213" s="83" t="n"/>
      <c r="J213" s="71" t="n"/>
      <c r="K213" s="82" t="n"/>
      <c r="L213" s="82">
        <f>IF(COUNT(E213,G213,H213,I213,J213,K213)=0,"",ROUND((IF(E213="",0,E213*10)+IF(G213="",0,G213)+IF(H213="",0,H213)+IF(I213="",0,I213*20)+IF(J213="",0,J213)+IF(K213="",0,K213*10))/COUNT(E213,G213,H213,I213,J213,K213),1))</f>
        <v/>
      </c>
      <c r="M213">
        <f>IF(L213="","",IF(L213&gt;=85,"Excellent",IF(L213&gt;=70,"Good",IF(L213&gt;=55,"Mixed","Poor"))))</f>
        <v/>
      </c>
      <c r="N213" s="66" t="n"/>
      <c r="O213" t="inlineStr">
        <is>
          <t>https://www.imdb.com/find/?q=Mamma+Mia%21+2008</t>
        </is>
      </c>
      <c r="P213" t="inlineStr">
        <is>
          <t>https://www.rottentomatoes.com/search?search=Mamma+Mia%21</t>
        </is>
      </c>
      <c r="Q213" t="inlineStr">
        <is>
          <t>https://letterboxd.com/search/Mamma%20Mia%21/</t>
        </is>
      </c>
      <c r="R213" t="inlineStr">
        <is>
          <t>https://www.metacritic.com/search/Mamma+Mia%21/</t>
        </is>
      </c>
    </row>
    <row r="214">
      <c r="A214" t="inlineStr">
        <is>
          <t>F0210</t>
        </is>
      </c>
      <c r="B214" t="inlineStr">
        <is>
          <t>Man on a Ledge</t>
        </is>
      </c>
      <c r="C214" s="63" t="inlineStr">
        <is>
          <t>2012</t>
        </is>
      </c>
      <c r="E214" s="82" t="n"/>
      <c r="F214" s="85" t="n"/>
      <c r="G214" s="71" t="n"/>
      <c r="H214" s="71" t="n"/>
      <c r="I214" s="83" t="n"/>
      <c r="J214" s="71" t="n"/>
      <c r="K214" s="82" t="n"/>
      <c r="L214" s="82">
        <f>IF(COUNT(E214,G214,H214,I214,J214,K214)=0,"",ROUND((IF(E214="",0,E214*10)+IF(G214="",0,G214)+IF(H214="",0,H214)+IF(I214="",0,I214*20)+IF(J214="",0,J214)+IF(K214="",0,K214*10))/COUNT(E214,G214,H214,I214,J214,K214),1))</f>
        <v/>
      </c>
      <c r="M214">
        <f>IF(L214="","",IF(L214&gt;=85,"Excellent",IF(L214&gt;=70,"Good",IF(L214&gt;=55,"Mixed","Poor"))))</f>
        <v/>
      </c>
      <c r="N214" s="66" t="n"/>
      <c r="O214" t="inlineStr">
        <is>
          <t>https://www.imdb.com/find/?q=Man+on+a+Ledge+2012</t>
        </is>
      </c>
      <c r="P214" t="inlineStr">
        <is>
          <t>https://www.rottentomatoes.com/search?search=Man+on+a+Ledge</t>
        </is>
      </c>
      <c r="Q214" t="inlineStr">
        <is>
          <t>https://letterboxd.com/search/Man%20on%20a%20Ledge/</t>
        </is>
      </c>
      <c r="R214" t="inlineStr">
        <is>
          <t>https://www.metacritic.com/search/Man+on+a+Ledge/</t>
        </is>
      </c>
    </row>
    <row r="215">
      <c r="A215" t="inlineStr">
        <is>
          <t>F0211</t>
        </is>
      </c>
      <c r="B215" t="inlineStr">
        <is>
          <t>Man of Steel</t>
        </is>
      </c>
      <c r="C215" s="63" t="inlineStr">
        <is>
          <t>2013</t>
        </is>
      </c>
      <c r="E215" s="82" t="n"/>
      <c r="F215" s="85" t="n"/>
      <c r="G215" s="71" t="n"/>
      <c r="H215" s="71" t="n"/>
      <c r="I215" s="83" t="n"/>
      <c r="J215" s="71" t="n"/>
      <c r="K215" s="82" t="n"/>
      <c r="L215" s="82">
        <f>IF(COUNT(E215,G215,H215,I215,J215,K215)=0,"",ROUND((IF(E215="",0,E215*10)+IF(G215="",0,G215)+IF(H215="",0,H215)+IF(I215="",0,I215*20)+IF(J215="",0,J215)+IF(K215="",0,K215*10))/COUNT(E215,G215,H215,I215,J215,K215),1))</f>
        <v/>
      </c>
      <c r="M215">
        <f>IF(L215="","",IF(L215&gt;=85,"Excellent",IF(L215&gt;=70,"Good",IF(L215&gt;=55,"Mixed","Poor"))))</f>
        <v/>
      </c>
      <c r="N215" s="66" t="n"/>
      <c r="O215" t="inlineStr">
        <is>
          <t>https://www.imdb.com/find/?q=Man+of+Steel+2013</t>
        </is>
      </c>
      <c r="P215" t="inlineStr">
        <is>
          <t>https://www.rottentomatoes.com/search?search=Man+of+Steel</t>
        </is>
      </c>
      <c r="Q215" t="inlineStr">
        <is>
          <t>https://letterboxd.com/search/Man%20of%20Steel/</t>
        </is>
      </c>
      <c r="R215" t="inlineStr">
        <is>
          <t>https://www.metacritic.com/search/Man+of+Steel/</t>
        </is>
      </c>
    </row>
    <row r="216">
      <c r="A216" t="inlineStr">
        <is>
          <t>F0212</t>
        </is>
      </c>
      <c r="B216" t="inlineStr">
        <is>
          <t>The Super Mario Bros. Movie</t>
        </is>
      </c>
      <c r="C216" s="63" t="inlineStr">
        <is>
          <t>2023</t>
        </is>
      </c>
      <c r="E216" s="82" t="n"/>
      <c r="F216" s="85" t="n"/>
      <c r="G216" s="71" t="n"/>
      <c r="H216" s="71" t="n"/>
      <c r="I216" s="83" t="n"/>
      <c r="J216" s="71" t="n"/>
      <c r="K216" s="82" t="n"/>
      <c r="L216" s="82">
        <f>IF(COUNT(E216,G216,H216,I216,J216,K216)=0,"",ROUND((IF(E216="",0,E216*10)+IF(G216="",0,G216)+IF(H216="",0,H216)+IF(I216="",0,I216*20)+IF(J216="",0,J216)+IF(K216="",0,K216*10))/COUNT(E216,G216,H216,I216,J216,K216),1))</f>
        <v/>
      </c>
      <c r="M216">
        <f>IF(L216="","",IF(L216&gt;=85,"Excellent",IF(L216&gt;=70,"Good",IF(L216&gt;=55,"Mixed","Poor"))))</f>
        <v/>
      </c>
      <c r="N216" s="66" t="n"/>
      <c r="O216" t="inlineStr">
        <is>
          <t>https://www.imdb.com/find/?q=The+Super+Mario+Bros.+Movie+2023</t>
        </is>
      </c>
      <c r="P216" t="inlineStr">
        <is>
          <t>https://www.rottentomatoes.com/search?search=The+Super+Mario+Bros.+Movie</t>
        </is>
      </c>
      <c r="Q216" t="inlineStr">
        <is>
          <t>https://letterboxd.com/search/The%20Super%20Mario%20Bros.%20Movie/</t>
        </is>
      </c>
      <c r="R216" t="inlineStr">
        <is>
          <t>https://www.metacritic.com/search/The+Super+Mario+Bros.+Movie/</t>
        </is>
      </c>
    </row>
    <row r="217">
      <c r="A217" t="inlineStr">
        <is>
          <t>F0213</t>
        </is>
      </c>
      <c r="B217" t="inlineStr">
        <is>
          <t>The Martian</t>
        </is>
      </c>
      <c r="C217" s="63" t="inlineStr">
        <is>
          <t>2015</t>
        </is>
      </c>
      <c r="E217" s="82" t="n"/>
      <c r="F217" s="85" t="n"/>
      <c r="G217" s="71" t="n"/>
      <c r="H217" s="71" t="n"/>
      <c r="I217" s="83" t="n"/>
      <c r="J217" s="71" t="n"/>
      <c r="K217" s="82" t="n"/>
      <c r="L217" s="82">
        <f>IF(COUNT(E217,G217,H217,I217,J217,K217)=0,"",ROUND((IF(E217="",0,E217*10)+IF(G217="",0,G217)+IF(H217="",0,H217)+IF(I217="",0,I217*20)+IF(J217="",0,J217)+IF(K217="",0,K217*10))/COUNT(E217,G217,H217,I217,J217,K217),1))</f>
        <v/>
      </c>
      <c r="M217">
        <f>IF(L217="","",IF(L217&gt;=85,"Excellent",IF(L217&gt;=70,"Good",IF(L217&gt;=55,"Mixed","Poor"))))</f>
        <v/>
      </c>
      <c r="N217" s="66" t="n"/>
      <c r="O217" t="inlineStr">
        <is>
          <t>https://www.imdb.com/find/?q=The+Martian+2015</t>
        </is>
      </c>
      <c r="P217" t="inlineStr">
        <is>
          <t>https://www.rottentomatoes.com/search?search=The+Martian</t>
        </is>
      </c>
      <c r="Q217" t="inlineStr">
        <is>
          <t>https://letterboxd.com/search/The%20Martian/</t>
        </is>
      </c>
      <c r="R217" t="inlineStr">
        <is>
          <t>https://www.metacritic.com/search/The+Martian/</t>
        </is>
      </c>
    </row>
    <row r="218">
      <c r="A218" t="inlineStr">
        <is>
          <t>F0214</t>
        </is>
      </c>
      <c r="B218" t="inlineStr">
        <is>
          <t>The Matrix</t>
        </is>
      </c>
      <c r="C218" s="63" t="inlineStr">
        <is>
          <t>1999</t>
        </is>
      </c>
      <c r="E218" s="82" t="n"/>
      <c r="F218" s="85" t="n"/>
      <c r="G218" s="71" t="n"/>
      <c r="H218" s="71" t="n"/>
      <c r="I218" s="83" t="n"/>
      <c r="J218" s="71" t="n"/>
      <c r="K218" s="82" t="n"/>
      <c r="L218" s="82">
        <f>IF(COUNT(E218,G218,H218,I218,J218,K218)=0,"",ROUND((IF(E218="",0,E218*10)+IF(G218="",0,G218)+IF(H218="",0,H218)+IF(I218="",0,I218*20)+IF(J218="",0,J218)+IF(K218="",0,K218*10))/COUNT(E218,G218,H218,I218,J218,K218),1))</f>
        <v/>
      </c>
      <c r="M218">
        <f>IF(L218="","",IF(L218&gt;=85,"Excellent",IF(L218&gt;=70,"Good",IF(L218&gt;=55,"Mixed","Poor"))))</f>
        <v/>
      </c>
      <c r="N218" s="66" t="n"/>
      <c r="O218" t="inlineStr">
        <is>
          <t>https://www.imdb.com/find/?q=The+Matrix+1999</t>
        </is>
      </c>
      <c r="P218" t="inlineStr">
        <is>
          <t>https://www.rottentomatoes.com/search?search=The+Matrix</t>
        </is>
      </c>
      <c r="Q218" t="inlineStr">
        <is>
          <t>https://letterboxd.com/search/The%20Matrix/</t>
        </is>
      </c>
      <c r="R218" t="inlineStr">
        <is>
          <t>https://www.metacritic.com/search/The+Matrix/</t>
        </is>
      </c>
    </row>
    <row r="219">
      <c r="A219" t="inlineStr">
        <is>
          <t>F0215</t>
        </is>
      </c>
      <c r="B219" t="inlineStr">
        <is>
          <t>The Matrix Reloaded</t>
        </is>
      </c>
      <c r="C219" s="63" t="inlineStr">
        <is>
          <t>2003</t>
        </is>
      </c>
      <c r="E219" s="82" t="n"/>
      <c r="F219" s="85" t="n"/>
      <c r="G219" s="71" t="n"/>
      <c r="H219" s="71" t="n"/>
      <c r="I219" s="83" t="n"/>
      <c r="J219" s="71" t="n"/>
      <c r="K219" s="82" t="n"/>
      <c r="L219" s="82">
        <f>IF(COUNT(E219,G219,H219,I219,J219,K219)=0,"",ROUND((IF(E219="",0,E219*10)+IF(G219="",0,G219)+IF(H219="",0,H219)+IF(I219="",0,I219*20)+IF(J219="",0,J219)+IF(K219="",0,K219*10))/COUNT(E219,G219,H219,I219,J219,K219),1))</f>
        <v/>
      </c>
      <c r="M219">
        <f>IF(L219="","",IF(L219&gt;=85,"Excellent",IF(L219&gt;=70,"Good",IF(L219&gt;=55,"Mixed","Poor"))))</f>
        <v/>
      </c>
      <c r="N219" s="66" t="n"/>
      <c r="O219" t="inlineStr">
        <is>
          <t>https://www.imdb.com/find/?q=The+Matrix+Reloaded+2003</t>
        </is>
      </c>
      <c r="P219" t="inlineStr">
        <is>
          <t>https://www.rottentomatoes.com/search?search=The+Matrix+Reloaded</t>
        </is>
      </c>
      <c r="Q219" t="inlineStr">
        <is>
          <t>https://letterboxd.com/search/The%20Matrix%20Reloaded/</t>
        </is>
      </c>
      <c r="R219" t="inlineStr">
        <is>
          <t>https://www.metacritic.com/search/The+Matrix+Reloaded/</t>
        </is>
      </c>
    </row>
    <row r="220">
      <c r="A220" t="inlineStr">
        <is>
          <t>F0216</t>
        </is>
      </c>
      <c r="B220" t="inlineStr">
        <is>
          <t>The Matrix Revolutions</t>
        </is>
      </c>
      <c r="C220" s="63" t="inlineStr">
        <is>
          <t>2003</t>
        </is>
      </c>
      <c r="E220" s="82" t="n"/>
      <c r="F220" s="85" t="n"/>
      <c r="G220" s="71" t="n"/>
      <c r="H220" s="71" t="n"/>
      <c r="I220" s="83" t="n"/>
      <c r="J220" s="71" t="n"/>
      <c r="K220" s="82" t="n"/>
      <c r="L220" s="82">
        <f>IF(COUNT(E220,G220,H220,I220,J220,K220)=0,"",ROUND((IF(E220="",0,E220*10)+IF(G220="",0,G220)+IF(H220="",0,H220)+IF(I220="",0,I220*20)+IF(J220="",0,J220)+IF(K220="",0,K220*10))/COUNT(E220,G220,H220,I220,J220,K220),1))</f>
        <v/>
      </c>
      <c r="M220">
        <f>IF(L220="","",IF(L220&gt;=85,"Excellent",IF(L220&gt;=70,"Good",IF(L220&gt;=55,"Mixed","Poor"))))</f>
        <v/>
      </c>
      <c r="N220" s="66" t="n"/>
      <c r="O220" t="inlineStr">
        <is>
          <t>https://www.imdb.com/find/?q=The+Matrix+Revolutions+2003</t>
        </is>
      </c>
      <c r="P220" t="inlineStr">
        <is>
          <t>https://www.rottentomatoes.com/search?search=The+Matrix+Revolutions</t>
        </is>
      </c>
      <c r="Q220" t="inlineStr">
        <is>
          <t>https://letterboxd.com/search/The%20Matrix%20Revolutions/</t>
        </is>
      </c>
      <c r="R220" t="inlineStr">
        <is>
          <t>https://www.metacritic.com/search/The+Matrix+Revolutions/</t>
        </is>
      </c>
    </row>
    <row r="221">
      <c r="A221" t="inlineStr">
        <is>
          <t>F0217</t>
        </is>
      </c>
      <c r="B221" t="inlineStr">
        <is>
          <t>The Maze Runner</t>
        </is>
      </c>
      <c r="C221" s="63" t="inlineStr">
        <is>
          <t>2014</t>
        </is>
      </c>
      <c r="E221" s="82" t="n"/>
      <c r="F221" s="85" t="n"/>
      <c r="G221" s="71" t="n"/>
      <c r="H221" s="71" t="n"/>
      <c r="I221" s="83" t="n"/>
      <c r="J221" s="71" t="n"/>
      <c r="K221" s="82" t="n"/>
      <c r="L221" s="82">
        <f>IF(COUNT(E221,G221,H221,I221,J221,K221)=0,"",ROUND((IF(E221="",0,E221*10)+IF(G221="",0,G221)+IF(H221="",0,H221)+IF(I221="",0,I221*20)+IF(J221="",0,J221)+IF(K221="",0,K221*10))/COUNT(E221,G221,H221,I221,J221,K221),1))</f>
        <v/>
      </c>
      <c r="M221">
        <f>IF(L221="","",IF(L221&gt;=85,"Excellent",IF(L221&gt;=70,"Good",IF(L221&gt;=55,"Mixed","Poor"))))</f>
        <v/>
      </c>
      <c r="N221" s="66" t="n"/>
      <c r="O221" t="inlineStr">
        <is>
          <t>https://www.imdb.com/find/?q=The+Maze+Runner+2014</t>
        </is>
      </c>
      <c r="P221" t="inlineStr">
        <is>
          <t>https://www.rottentomatoes.com/search?search=The+Maze+Runner</t>
        </is>
      </c>
      <c r="Q221" t="inlineStr">
        <is>
          <t>https://letterboxd.com/search/The%20Maze%20Runner/</t>
        </is>
      </c>
      <c r="R221" t="inlineStr">
        <is>
          <t>https://www.metacritic.com/search/The+Maze+Runner/</t>
        </is>
      </c>
    </row>
    <row r="222">
      <c r="A222" t="inlineStr">
        <is>
          <t>F0218</t>
        </is>
      </c>
      <c r="B222" t="inlineStr">
        <is>
          <t>Men in Black</t>
        </is>
      </c>
      <c r="C222" s="63" t="inlineStr">
        <is>
          <t>1997</t>
        </is>
      </c>
      <c r="E222" s="82" t="n"/>
      <c r="F222" s="85" t="n"/>
      <c r="G222" s="71" t="n"/>
      <c r="H222" s="71" t="n"/>
      <c r="I222" s="83" t="n"/>
      <c r="J222" s="71" t="n"/>
      <c r="K222" s="82" t="n"/>
      <c r="L222" s="82">
        <f>IF(COUNT(E222,G222,H222,I222,J222,K222)=0,"",ROUND((IF(E222="",0,E222*10)+IF(G222="",0,G222)+IF(H222="",0,H222)+IF(I222="",0,I222*20)+IF(J222="",0,J222)+IF(K222="",0,K222*10))/COUNT(E222,G222,H222,I222,J222,K222),1))</f>
        <v/>
      </c>
      <c r="M222">
        <f>IF(L222="","",IF(L222&gt;=85,"Excellent",IF(L222&gt;=70,"Good",IF(L222&gt;=55,"Mixed","Poor"))))</f>
        <v/>
      </c>
      <c r="N222" s="66" t="n"/>
      <c r="O222" t="inlineStr">
        <is>
          <t>https://www.imdb.com/find/?q=Men+in+Black+1997</t>
        </is>
      </c>
      <c r="P222" t="inlineStr">
        <is>
          <t>https://www.rottentomatoes.com/search?search=Men+in+Black</t>
        </is>
      </c>
      <c r="Q222" t="inlineStr">
        <is>
          <t>https://letterboxd.com/search/Men%20in%20Black/</t>
        </is>
      </c>
      <c r="R222" t="inlineStr">
        <is>
          <t>https://www.metacritic.com/search/Men+in+Black/</t>
        </is>
      </c>
    </row>
    <row r="223">
      <c r="A223" t="inlineStr">
        <is>
          <t>F0219</t>
        </is>
      </c>
      <c r="B223" t="inlineStr">
        <is>
          <t>Men in Black 3</t>
        </is>
      </c>
      <c r="C223" s="63" t="inlineStr">
        <is>
          <t>2012</t>
        </is>
      </c>
      <c r="E223" s="82" t="n"/>
      <c r="F223" s="85" t="n"/>
      <c r="G223" s="71" t="n"/>
      <c r="H223" s="71" t="n"/>
      <c r="I223" s="83" t="n"/>
      <c r="J223" s="71" t="n"/>
      <c r="K223" s="82" t="n"/>
      <c r="L223" s="82">
        <f>IF(COUNT(E223,G223,H223,I223,J223,K223)=0,"",ROUND((IF(E223="",0,E223*10)+IF(G223="",0,G223)+IF(H223="",0,H223)+IF(I223="",0,I223*20)+IF(J223="",0,J223)+IF(K223="",0,K223*10))/COUNT(E223,G223,H223,I223,J223,K223),1))</f>
        <v/>
      </c>
      <c r="M223">
        <f>IF(L223="","",IF(L223&gt;=85,"Excellent",IF(L223&gt;=70,"Good",IF(L223&gt;=55,"Mixed","Poor"))))</f>
        <v/>
      </c>
      <c r="N223" s="66" t="n"/>
      <c r="O223" t="inlineStr">
        <is>
          <t>https://www.imdb.com/find/?q=Men+in+Black+3+2012</t>
        </is>
      </c>
      <c r="P223" t="inlineStr">
        <is>
          <t>https://www.rottentomatoes.com/search?search=Men+in+Black+3</t>
        </is>
      </c>
      <c r="Q223" t="inlineStr">
        <is>
          <t>https://letterboxd.com/search/Men%20in%20Black%203/</t>
        </is>
      </c>
      <c r="R223" t="inlineStr">
        <is>
          <t>https://www.metacritic.com/search/Men+in+Black+3/</t>
        </is>
      </c>
    </row>
    <row r="224">
      <c r="A224" t="inlineStr">
        <is>
          <t>F0220</t>
        </is>
      </c>
      <c r="B224" t="inlineStr">
        <is>
          <t>Minions</t>
        </is>
      </c>
      <c r="C224" s="63" t="inlineStr">
        <is>
          <t>2015</t>
        </is>
      </c>
      <c r="E224" s="82" t="n"/>
      <c r="F224" s="85" t="n"/>
      <c r="G224" s="71" t="n"/>
      <c r="H224" s="71" t="n"/>
      <c r="I224" s="83" t="n"/>
      <c r="J224" s="71" t="n"/>
      <c r="K224" s="82" t="n"/>
      <c r="L224" s="82">
        <f>IF(COUNT(E224,G224,H224,I224,J224,K224)=0,"",ROUND((IF(E224="",0,E224*10)+IF(G224="",0,G224)+IF(H224="",0,H224)+IF(I224="",0,I224*20)+IF(J224="",0,J224)+IF(K224="",0,K224*10))/COUNT(E224,G224,H224,I224,J224,K224),1))</f>
        <v/>
      </c>
      <c r="M224">
        <f>IF(L224="","",IF(L224&gt;=85,"Excellent",IF(L224&gt;=70,"Good",IF(L224&gt;=55,"Mixed","Poor"))))</f>
        <v/>
      </c>
      <c r="N224" s="66" t="n"/>
      <c r="O224" t="inlineStr">
        <is>
          <t>https://www.imdb.com/find/?q=Minions+2015</t>
        </is>
      </c>
      <c r="P224" t="inlineStr">
        <is>
          <t>https://www.rottentomatoes.com/search?search=Minions</t>
        </is>
      </c>
      <c r="Q224" t="inlineStr">
        <is>
          <t>https://letterboxd.com/search/Minions/</t>
        </is>
      </c>
      <c r="R224" t="inlineStr">
        <is>
          <t>https://www.metacritic.com/search/Minions/</t>
        </is>
      </c>
    </row>
    <row r="225">
      <c r="A225" t="inlineStr">
        <is>
          <t>F0221</t>
        </is>
      </c>
      <c r="B225" t="inlineStr">
        <is>
          <t>Mission: Impossible</t>
        </is>
      </c>
      <c r="C225" s="63" t="inlineStr">
        <is>
          <t>1996</t>
        </is>
      </c>
      <c r="E225" s="82" t="n"/>
      <c r="F225" s="85" t="n"/>
      <c r="G225" s="71" t="n"/>
      <c r="H225" s="71" t="n"/>
      <c r="I225" s="83" t="n"/>
      <c r="J225" s="71" t="n"/>
      <c r="K225" s="82" t="n"/>
      <c r="L225" s="82">
        <f>IF(COUNT(E225,G225,H225,I225,J225,K225)=0,"",ROUND((IF(E225="",0,E225*10)+IF(G225="",0,G225)+IF(H225="",0,H225)+IF(I225="",0,I225*20)+IF(J225="",0,J225)+IF(K225="",0,K225*10))/COUNT(E225,G225,H225,I225,J225,K225),1))</f>
        <v/>
      </c>
      <c r="M225">
        <f>IF(L225="","",IF(L225&gt;=85,"Excellent",IF(L225&gt;=70,"Good",IF(L225&gt;=55,"Mixed","Poor"))))</f>
        <v/>
      </c>
      <c r="N225" s="66" t="n"/>
      <c r="O225" t="inlineStr">
        <is>
          <t>https://www.imdb.com/find/?q=Mission%3A+Impossible+1996</t>
        </is>
      </c>
      <c r="P225" t="inlineStr">
        <is>
          <t>https://www.rottentomatoes.com/search?search=Mission%3A+Impossible</t>
        </is>
      </c>
      <c r="Q225" t="inlineStr">
        <is>
          <t>https://letterboxd.com/search/Mission%3A%20Impossible/</t>
        </is>
      </c>
      <c r="R225" t="inlineStr">
        <is>
          <t>https://www.metacritic.com/search/Mission%3A+Impossible/</t>
        </is>
      </c>
    </row>
    <row r="226">
      <c r="A226" t="inlineStr">
        <is>
          <t>F0222</t>
        </is>
      </c>
      <c r="B226" t="inlineStr">
        <is>
          <t>Mission: Impossible II</t>
        </is>
      </c>
      <c r="C226" s="63" t="inlineStr">
        <is>
          <t>2000</t>
        </is>
      </c>
      <c r="E226" s="82" t="n"/>
      <c r="F226" s="85" t="n"/>
      <c r="G226" s="71" t="n"/>
      <c r="H226" s="71" t="n"/>
      <c r="I226" s="83" t="n"/>
      <c r="J226" s="71" t="n"/>
      <c r="K226" s="82" t="n"/>
      <c r="L226" s="82">
        <f>IF(COUNT(E226,G226,H226,I226,J226,K226)=0,"",ROUND((IF(E226="",0,E226*10)+IF(G226="",0,G226)+IF(H226="",0,H226)+IF(I226="",0,I226*20)+IF(J226="",0,J226)+IF(K226="",0,K226*10))/COUNT(E226,G226,H226,I226,J226,K226),1))</f>
        <v/>
      </c>
      <c r="M226">
        <f>IF(L226="","",IF(L226&gt;=85,"Excellent",IF(L226&gt;=70,"Good",IF(L226&gt;=55,"Mixed","Poor"))))</f>
        <v/>
      </c>
      <c r="N226" s="66" t="n"/>
      <c r="O226" t="inlineStr">
        <is>
          <t>https://www.imdb.com/find/?q=Mission%3A+Impossible+II+2000</t>
        </is>
      </c>
      <c r="P226" t="inlineStr">
        <is>
          <t>https://www.rottentomatoes.com/search?search=Mission%3A+Impossible+II</t>
        </is>
      </c>
      <c r="Q226" t="inlineStr">
        <is>
          <t>https://letterboxd.com/search/Mission%3A%20Impossible%20II/</t>
        </is>
      </c>
      <c r="R226" t="inlineStr">
        <is>
          <t>https://www.metacritic.com/search/Mission%3A+Impossible+II/</t>
        </is>
      </c>
    </row>
    <row r="227">
      <c r="A227" t="inlineStr">
        <is>
          <t>F0223</t>
        </is>
      </c>
      <c r="B227" t="inlineStr">
        <is>
          <t>Mission: Impossible III</t>
        </is>
      </c>
      <c r="C227" s="63" t="inlineStr">
        <is>
          <t>2006</t>
        </is>
      </c>
      <c r="E227" s="82" t="n"/>
      <c r="F227" s="85" t="n"/>
      <c r="G227" s="71" t="n"/>
      <c r="H227" s="71" t="n"/>
      <c r="I227" s="83" t="n"/>
      <c r="J227" s="71" t="n"/>
      <c r="K227" s="82" t="n"/>
      <c r="L227" s="82">
        <f>IF(COUNT(E227,G227,H227,I227,J227,K227)=0,"",ROUND((IF(E227="",0,E227*10)+IF(G227="",0,G227)+IF(H227="",0,H227)+IF(I227="",0,I227*20)+IF(J227="",0,J227)+IF(K227="",0,K227*10))/COUNT(E227,G227,H227,I227,J227,K227),1))</f>
        <v/>
      </c>
      <c r="M227">
        <f>IF(L227="","",IF(L227&gt;=85,"Excellent",IF(L227&gt;=70,"Good",IF(L227&gt;=55,"Mixed","Poor"))))</f>
        <v/>
      </c>
      <c r="N227" s="66" t="n"/>
      <c r="O227" t="inlineStr">
        <is>
          <t>https://www.imdb.com/find/?q=Mission%3A+Impossible+III+2006</t>
        </is>
      </c>
      <c r="P227" t="inlineStr">
        <is>
          <t>https://www.rottentomatoes.com/search?search=Mission%3A+Impossible+III</t>
        </is>
      </c>
      <c r="Q227" t="inlineStr">
        <is>
          <t>https://letterboxd.com/search/Mission%3A%20Impossible%20III/</t>
        </is>
      </c>
      <c r="R227" t="inlineStr">
        <is>
          <t>https://www.metacritic.com/search/Mission%3A+Impossible+III/</t>
        </is>
      </c>
    </row>
    <row r="228">
      <c r="A228" t="inlineStr">
        <is>
          <t>F0224</t>
        </is>
      </c>
      <c r="B228" t="inlineStr">
        <is>
          <t>Mission: Impossible - Ghost Protocol</t>
        </is>
      </c>
      <c r="C228" s="63" t="inlineStr">
        <is>
          <t>2011</t>
        </is>
      </c>
      <c r="E228" s="82" t="n"/>
      <c r="F228" s="85" t="n"/>
      <c r="G228" s="71" t="n"/>
      <c r="H228" s="71" t="n"/>
      <c r="I228" s="83" t="n"/>
      <c r="J228" s="71" t="n"/>
      <c r="K228" s="82" t="n"/>
      <c r="L228" s="82">
        <f>IF(COUNT(E228,G228,H228,I228,J228,K228)=0,"",ROUND((IF(E228="",0,E228*10)+IF(G228="",0,G228)+IF(H228="",0,H228)+IF(I228="",0,I228*20)+IF(J228="",0,J228)+IF(K228="",0,K228*10))/COUNT(E228,G228,H228,I228,J228,K228),1))</f>
        <v/>
      </c>
      <c r="M228">
        <f>IF(L228="","",IF(L228&gt;=85,"Excellent",IF(L228&gt;=70,"Good",IF(L228&gt;=55,"Mixed","Poor"))))</f>
        <v/>
      </c>
      <c r="N228" s="66" t="n"/>
      <c r="O228" t="inlineStr">
        <is>
          <t>https://www.imdb.com/find/?q=Mission%3A+Impossible+-+Ghost+Protocol+2011</t>
        </is>
      </c>
      <c r="P228" t="inlineStr">
        <is>
          <t>https://www.rottentomatoes.com/search?search=Mission%3A+Impossible+-+Ghost+Protocol</t>
        </is>
      </c>
      <c r="Q228" t="inlineStr">
        <is>
          <t>https://letterboxd.com/search/Mission%3A%20Impossible%20-%20Ghost%20Protocol/</t>
        </is>
      </c>
      <c r="R228" t="inlineStr">
        <is>
          <t>https://www.metacritic.com/search/Mission%3A+Impossible+-+Ghost+Protocol/</t>
        </is>
      </c>
    </row>
    <row r="229">
      <c r="A229" t="inlineStr">
        <is>
          <t>F0225</t>
        </is>
      </c>
      <c r="B229" t="inlineStr">
        <is>
          <t>Mission: Impossible - Rogue Nation</t>
        </is>
      </c>
      <c r="C229" s="63" t="inlineStr">
        <is>
          <t>2015</t>
        </is>
      </c>
      <c r="E229" s="82" t="n"/>
      <c r="F229" s="85" t="n"/>
      <c r="G229" s="71" t="n"/>
      <c r="H229" s="71" t="n"/>
      <c r="I229" s="83" t="n"/>
      <c r="J229" s="71" t="n"/>
      <c r="K229" s="82" t="n"/>
      <c r="L229" s="82">
        <f>IF(COUNT(E229,G229,H229,I229,J229,K229)=0,"",ROUND((IF(E229="",0,E229*10)+IF(G229="",0,G229)+IF(H229="",0,H229)+IF(I229="",0,I229*20)+IF(J229="",0,J229)+IF(K229="",0,K229*10))/COUNT(E229,G229,H229,I229,J229,K229),1))</f>
        <v/>
      </c>
      <c r="M229">
        <f>IF(L229="","",IF(L229&gt;=85,"Excellent",IF(L229&gt;=70,"Good",IF(L229&gt;=55,"Mixed","Poor"))))</f>
        <v/>
      </c>
      <c r="N229" s="66" t="n"/>
      <c r="O229" t="inlineStr">
        <is>
          <t>https://www.imdb.com/find/?q=Mission%3A+Impossible+-+Rogue+Nation+2015</t>
        </is>
      </c>
      <c r="P229" t="inlineStr">
        <is>
          <t>https://www.rottentomatoes.com/search?search=Mission%3A+Impossible+-+Rogue+Nation</t>
        </is>
      </c>
      <c r="Q229" t="inlineStr">
        <is>
          <t>https://letterboxd.com/search/Mission%3A%20Impossible%20-%20Rogue%20Nation/</t>
        </is>
      </c>
      <c r="R229" t="inlineStr">
        <is>
          <t>https://www.metacritic.com/search/Mission%3A+Impossible+-+Rogue+Nation/</t>
        </is>
      </c>
    </row>
    <row r="230">
      <c r="A230" t="inlineStr">
        <is>
          <t>F0226</t>
        </is>
      </c>
      <c r="B230" t="inlineStr">
        <is>
          <t>Mission: Impossible - Fallout</t>
        </is>
      </c>
      <c r="C230" s="63" t="inlineStr">
        <is>
          <t>2018</t>
        </is>
      </c>
      <c r="E230" s="82" t="n"/>
      <c r="F230" s="85" t="n"/>
      <c r="G230" s="71" t="n"/>
      <c r="H230" s="71" t="n"/>
      <c r="I230" s="83" t="n"/>
      <c r="J230" s="71" t="n"/>
      <c r="K230" s="82" t="n"/>
      <c r="L230" s="82">
        <f>IF(COUNT(E230,G230,H230,I230,J230,K230)=0,"",ROUND((IF(E230="",0,E230*10)+IF(G230="",0,G230)+IF(H230="",0,H230)+IF(I230="",0,I230*20)+IF(J230="",0,J230)+IF(K230="",0,K230*10))/COUNT(E230,G230,H230,I230,J230,K230),1))</f>
        <v/>
      </c>
      <c r="M230">
        <f>IF(L230="","",IF(L230&gt;=85,"Excellent",IF(L230&gt;=70,"Good",IF(L230&gt;=55,"Mixed","Poor"))))</f>
        <v/>
      </c>
      <c r="N230" s="66" t="n"/>
      <c r="O230" t="inlineStr">
        <is>
          <t>https://www.imdb.com/find/?q=Mission%3A+Impossible+-+Fallout+2018</t>
        </is>
      </c>
      <c r="P230" t="inlineStr">
        <is>
          <t>https://www.rottentomatoes.com/search?search=Mission%3A+Impossible+-+Fallout</t>
        </is>
      </c>
      <c r="Q230" t="inlineStr">
        <is>
          <t>https://letterboxd.com/search/Mission%3A%20Impossible%20-%20Fallout/</t>
        </is>
      </c>
      <c r="R230" t="inlineStr">
        <is>
          <t>https://www.metacritic.com/search/Mission%3A+Impossible+-+Fallout/</t>
        </is>
      </c>
    </row>
    <row r="231">
      <c r="A231" t="inlineStr">
        <is>
          <t>F0227</t>
        </is>
      </c>
      <c r="B231" t="inlineStr">
        <is>
          <t>Mission: Impossible - Dead Reckoning Part One</t>
        </is>
      </c>
      <c r="C231" s="63" t="inlineStr">
        <is>
          <t>2023</t>
        </is>
      </c>
      <c r="E231" s="82" t="n"/>
      <c r="F231" s="85" t="n"/>
      <c r="G231" s="71" t="n"/>
      <c r="H231" s="71" t="n"/>
      <c r="I231" s="83" t="n"/>
      <c r="J231" s="71" t="n"/>
      <c r="K231" s="82" t="n"/>
      <c r="L231" s="82">
        <f>IF(COUNT(E231,G231,H231,I231,J231,K231)=0,"",ROUND((IF(E231="",0,E231*10)+IF(G231="",0,G231)+IF(H231="",0,H231)+IF(I231="",0,I231*20)+IF(J231="",0,J231)+IF(K231="",0,K231*10))/COUNT(E231,G231,H231,I231,J231,K231),1))</f>
        <v/>
      </c>
      <c r="M231">
        <f>IF(L231="","",IF(L231&gt;=85,"Excellent",IF(L231&gt;=70,"Good",IF(L231&gt;=55,"Mixed","Poor"))))</f>
        <v/>
      </c>
      <c r="N231" s="66" t="n"/>
      <c r="O231" t="inlineStr">
        <is>
          <t>https://www.imdb.com/find/?q=Mission%3A+Impossible+-+Dead+Reckoning+Part+One+2023</t>
        </is>
      </c>
      <c r="P231" t="inlineStr">
        <is>
          <t>https://www.rottentomatoes.com/search?search=Mission%3A+Impossible+-+Dead+Reckoning+Part+One</t>
        </is>
      </c>
      <c r="Q231" t="inlineStr">
        <is>
          <t>https://letterboxd.com/search/Mission%3A%20Impossible%20-%20Dead%20Reckoning%20Part%20One/</t>
        </is>
      </c>
      <c r="R231" t="inlineStr">
        <is>
          <t>https://www.metacritic.com/search/Mission%3A+Impossible+-+Dead+Reckoning+Part+One/</t>
        </is>
      </c>
    </row>
    <row r="232">
      <c r="A232" t="inlineStr">
        <is>
          <t>F0228</t>
        </is>
      </c>
      <c r="B232" t="inlineStr">
        <is>
          <t>Mission: Impossible - The Final Reckoning</t>
        </is>
      </c>
      <c r="C232" s="63" t="inlineStr">
        <is>
          <t>2025</t>
        </is>
      </c>
      <c r="E232" s="82" t="n"/>
      <c r="F232" s="85" t="n"/>
      <c r="G232" s="71" t="n"/>
      <c r="H232" s="71" t="n"/>
      <c r="I232" s="83" t="n"/>
      <c r="J232" s="71" t="n"/>
      <c r="K232" s="82" t="n"/>
      <c r="L232" s="82">
        <f>IF(COUNT(E232,G232,H232,I232,J232,K232)=0,"",ROUND((IF(E232="",0,E232*10)+IF(G232="",0,G232)+IF(H232="",0,H232)+IF(I232="",0,I232*20)+IF(J232="",0,J232)+IF(K232="",0,K232*10))/COUNT(E232,G232,H232,I232,J232,K232),1))</f>
        <v/>
      </c>
      <c r="M232">
        <f>IF(L232="","",IF(L232&gt;=85,"Excellent",IF(L232&gt;=70,"Good",IF(L232&gt;=55,"Mixed","Poor"))))</f>
        <v/>
      </c>
      <c r="N232" s="66" t="n"/>
      <c r="O232" t="inlineStr">
        <is>
          <t>https://www.imdb.com/find/?q=Mission%3A+Impossible+-+The+Final+Reckoning+2025</t>
        </is>
      </c>
      <c r="P232" t="inlineStr">
        <is>
          <t>https://www.rottentomatoes.com/search?search=Mission%3A+Impossible+-+The+Final+Reckoning</t>
        </is>
      </c>
      <c r="Q232" t="inlineStr">
        <is>
          <t>https://letterboxd.com/search/Mission%3A%20Impossible%20-%20The%20Final%20Reckoning/</t>
        </is>
      </c>
      <c r="R232" t="inlineStr">
        <is>
          <t>https://www.metacritic.com/search/Mission%3A+Impossible+-+The+Final+Reckoning/</t>
        </is>
      </c>
    </row>
    <row r="233">
      <c r="A233" t="inlineStr">
        <is>
          <t>F0229</t>
        </is>
      </c>
      <c r="B233" t="inlineStr">
        <is>
          <t>Monsters, Inc.</t>
        </is>
      </c>
      <c r="C233" s="63" t="inlineStr">
        <is>
          <t>2001</t>
        </is>
      </c>
      <c r="E233" s="82" t="n"/>
      <c r="F233" s="85" t="n"/>
      <c r="G233" s="71" t="n"/>
      <c r="H233" s="71" t="n"/>
      <c r="I233" s="83" t="n"/>
      <c r="J233" s="71" t="n"/>
      <c r="K233" s="82" t="n"/>
      <c r="L233" s="82">
        <f>IF(COUNT(E233,G233,H233,I233,J233,K233)=0,"",ROUND((IF(E233="",0,E233*10)+IF(G233="",0,G233)+IF(H233="",0,H233)+IF(I233="",0,I233*20)+IF(J233="",0,J233)+IF(K233="",0,K233*10))/COUNT(E233,G233,H233,I233,J233,K233),1))</f>
        <v/>
      </c>
      <c r="M233">
        <f>IF(L233="","",IF(L233&gt;=85,"Excellent",IF(L233&gt;=70,"Good",IF(L233&gt;=55,"Mixed","Poor"))))</f>
        <v/>
      </c>
      <c r="N233" s="66" t="n"/>
      <c r="O233" t="inlineStr">
        <is>
          <t>https://www.imdb.com/find/?q=Monsters%2C+Inc.+2001</t>
        </is>
      </c>
      <c r="P233" t="inlineStr">
        <is>
          <t>https://www.rottentomatoes.com/search?search=Monsters%2C+Inc.</t>
        </is>
      </c>
      <c r="Q233" t="inlineStr">
        <is>
          <t>https://letterboxd.com/search/Monsters%2C%20Inc./</t>
        </is>
      </c>
      <c r="R233" t="inlineStr">
        <is>
          <t>https://www.metacritic.com/search/Monsters%2C+Inc./</t>
        </is>
      </c>
    </row>
    <row r="234">
      <c r="A234" t="inlineStr">
        <is>
          <t>F0230</t>
        </is>
      </c>
      <c r="B234" t="inlineStr">
        <is>
          <t>Monsters University</t>
        </is>
      </c>
      <c r="C234" s="63" t="inlineStr">
        <is>
          <t>2013</t>
        </is>
      </c>
      <c r="E234" s="82" t="n"/>
      <c r="F234" s="85" t="n"/>
      <c r="G234" s="71" t="n"/>
      <c r="H234" s="71" t="n"/>
      <c r="I234" s="83" t="n"/>
      <c r="J234" s="71" t="n"/>
      <c r="K234" s="82" t="n"/>
      <c r="L234" s="82">
        <f>IF(COUNT(E234,G234,H234,I234,J234,K234)=0,"",ROUND((IF(E234="",0,E234*10)+IF(G234="",0,G234)+IF(H234="",0,H234)+IF(I234="",0,I234*20)+IF(J234="",0,J234)+IF(K234="",0,K234*10))/COUNT(E234,G234,H234,I234,J234,K234),1))</f>
        <v/>
      </c>
      <c r="M234">
        <f>IF(L234="","",IF(L234&gt;=85,"Excellent",IF(L234&gt;=70,"Good",IF(L234&gt;=55,"Mixed","Poor"))))</f>
        <v/>
      </c>
      <c r="N234" s="66" t="n"/>
      <c r="O234" t="inlineStr">
        <is>
          <t>https://www.imdb.com/find/?q=Monsters+University+2013</t>
        </is>
      </c>
      <c r="P234" t="inlineStr">
        <is>
          <t>https://www.rottentomatoes.com/search?search=Monsters+University</t>
        </is>
      </c>
      <c r="Q234" t="inlineStr">
        <is>
          <t>https://letterboxd.com/search/Monsters%20University/</t>
        </is>
      </c>
      <c r="R234" t="inlineStr">
        <is>
          <t>https://www.metacritic.com/search/Monsters+University/</t>
        </is>
      </c>
    </row>
    <row r="235">
      <c r="A235" t="inlineStr">
        <is>
          <t>F0231</t>
        </is>
      </c>
      <c r="B235" t="inlineStr">
        <is>
          <t>Mr. &amp; Mrs. Smith</t>
        </is>
      </c>
      <c r="C235" s="63" t="inlineStr">
        <is>
          <t>2005</t>
        </is>
      </c>
      <c r="E235" s="82" t="n"/>
      <c r="F235" s="85" t="n"/>
      <c r="G235" s="71" t="n"/>
      <c r="H235" s="71" t="n"/>
      <c r="I235" s="83" t="n"/>
      <c r="J235" s="71" t="n"/>
      <c r="K235" s="82" t="n"/>
      <c r="L235" s="82">
        <f>IF(COUNT(E235,G235,H235,I235,J235,K235)=0,"",ROUND((IF(E235="",0,E235*10)+IF(G235="",0,G235)+IF(H235="",0,H235)+IF(I235="",0,I235*20)+IF(J235="",0,J235)+IF(K235="",0,K235*10))/COUNT(E235,G235,H235,I235,J235,K235),1))</f>
        <v/>
      </c>
      <c r="M235">
        <f>IF(L235="","",IF(L235&gt;=85,"Excellent",IF(L235&gt;=70,"Good",IF(L235&gt;=55,"Mixed","Poor"))))</f>
        <v/>
      </c>
      <c r="N235" s="66" t="n"/>
      <c r="O235" t="inlineStr">
        <is>
          <t>https://www.imdb.com/find/?q=Mr.+%26+Mrs.+Smith+2005</t>
        </is>
      </c>
      <c r="P235" t="inlineStr">
        <is>
          <t>https://www.rottentomatoes.com/search?search=Mr.+%26+Mrs.+Smith</t>
        </is>
      </c>
      <c r="Q235" t="inlineStr">
        <is>
          <t>https://letterboxd.com/search/Mr.%20%26%20Mrs.%20Smith/</t>
        </is>
      </c>
      <c r="R235" t="inlineStr">
        <is>
          <t>https://www.metacritic.com/search/Mr.+%26+Mrs.+Smith/</t>
        </is>
      </c>
    </row>
    <row r="236">
      <c r="A236" t="inlineStr">
        <is>
          <t>F0232</t>
        </is>
      </c>
      <c r="B236" t="inlineStr">
        <is>
          <t>Muppets Most Wanted</t>
        </is>
      </c>
      <c r="C236" s="63" t="inlineStr">
        <is>
          <t>2014</t>
        </is>
      </c>
      <c r="E236" s="82" t="n"/>
      <c r="F236" s="85" t="n"/>
      <c r="G236" s="71" t="n"/>
      <c r="H236" s="71" t="n"/>
      <c r="I236" s="83" t="n"/>
      <c r="J236" s="71" t="n"/>
      <c r="K236" s="82" t="n"/>
      <c r="L236" s="82">
        <f>IF(COUNT(E236,G236,H236,I236,J236,K236)=0,"",ROUND((IF(E236="",0,E236*10)+IF(G236="",0,G236)+IF(H236="",0,H236)+IF(I236="",0,I236*20)+IF(J236="",0,J236)+IF(K236="",0,K236*10))/COUNT(E236,G236,H236,I236,J236,K236),1))</f>
        <v/>
      </c>
      <c r="M236">
        <f>IF(L236="","",IF(L236&gt;=85,"Excellent",IF(L236&gt;=70,"Good",IF(L236&gt;=55,"Mixed","Poor"))))</f>
        <v/>
      </c>
      <c r="N236" s="66" t="n"/>
      <c r="O236" t="inlineStr">
        <is>
          <t>https://www.imdb.com/find/?q=Muppets+Most+Wanted+2014</t>
        </is>
      </c>
      <c r="P236" t="inlineStr">
        <is>
          <t>https://www.rottentomatoes.com/search?search=Muppets+Most+Wanted</t>
        </is>
      </c>
      <c r="Q236" t="inlineStr">
        <is>
          <t>https://letterboxd.com/search/Muppets%20Most%20Wanted/</t>
        </is>
      </c>
      <c r="R236" t="inlineStr">
        <is>
          <t>https://www.metacritic.com/search/Muppets+Most+Wanted/</t>
        </is>
      </c>
    </row>
    <row r="237">
      <c r="A237" t="inlineStr">
        <is>
          <t>F0233</t>
        </is>
      </c>
      <c r="B237" t="inlineStr">
        <is>
          <t>National Treasure: Book of Secrets</t>
        </is>
      </c>
      <c r="C237" s="63" t="inlineStr">
        <is>
          <t>2007</t>
        </is>
      </c>
      <c r="E237" s="82" t="n"/>
      <c r="F237" s="85" t="n"/>
      <c r="G237" s="71" t="n"/>
      <c r="H237" s="71" t="n"/>
      <c r="I237" s="83" t="n"/>
      <c r="J237" s="71" t="n"/>
      <c r="K237" s="82" t="n"/>
      <c r="L237" s="82">
        <f>IF(COUNT(E237,G237,H237,I237,J237,K237)=0,"",ROUND((IF(E237="",0,E237*10)+IF(G237="",0,G237)+IF(H237="",0,H237)+IF(I237="",0,I237*20)+IF(J237="",0,J237)+IF(K237="",0,K237*10))/COUNT(E237,G237,H237,I237,J237,K237),1))</f>
        <v/>
      </c>
      <c r="M237">
        <f>IF(L237="","",IF(L237&gt;=85,"Excellent",IF(L237&gt;=70,"Good",IF(L237&gt;=55,"Mixed","Poor"))))</f>
        <v/>
      </c>
      <c r="N237" s="66" t="n"/>
      <c r="O237" t="inlineStr">
        <is>
          <t>https://www.imdb.com/find/?q=National+Treasure%3A+Book+of+Secrets+2007</t>
        </is>
      </c>
      <c r="P237" t="inlineStr">
        <is>
          <t>https://www.rottentomatoes.com/search?search=National+Treasure%3A+Book+of+Secrets</t>
        </is>
      </c>
      <c r="Q237" t="inlineStr">
        <is>
          <t>https://letterboxd.com/search/National%20Treasure%3A%20Book%20of%20Secrets/</t>
        </is>
      </c>
      <c r="R237" t="inlineStr">
        <is>
          <t>https://www.metacritic.com/search/National+Treasure%3A+Book+of+Secrets/</t>
        </is>
      </c>
    </row>
    <row r="238">
      <c r="A238" t="inlineStr">
        <is>
          <t>F0234</t>
        </is>
      </c>
      <c r="B238" t="inlineStr">
        <is>
          <t>Need for Speed</t>
        </is>
      </c>
      <c r="C238" s="63" t="inlineStr">
        <is>
          <t>2014</t>
        </is>
      </c>
      <c r="E238" s="82" t="n"/>
      <c r="F238" s="85" t="n"/>
      <c r="G238" s="71" t="n"/>
      <c r="H238" s="71" t="n"/>
      <c r="I238" s="83" t="n"/>
      <c r="J238" s="71" t="n"/>
      <c r="K238" s="82" t="n"/>
      <c r="L238" s="82">
        <f>IF(COUNT(E238,G238,H238,I238,J238,K238)=0,"",ROUND((IF(E238="",0,E238*10)+IF(G238="",0,G238)+IF(H238="",0,H238)+IF(I238="",0,I238*20)+IF(J238="",0,J238)+IF(K238="",0,K238*10))/COUNT(E238,G238,H238,I238,J238,K238),1))</f>
        <v/>
      </c>
      <c r="M238">
        <f>IF(L238="","",IF(L238&gt;=85,"Excellent",IF(L238&gt;=70,"Good",IF(L238&gt;=55,"Mixed","Poor"))))</f>
        <v/>
      </c>
      <c r="N238" s="66" t="n"/>
      <c r="O238" t="inlineStr">
        <is>
          <t>https://www.imdb.com/find/?q=Need+for+Speed+2014</t>
        </is>
      </c>
      <c r="P238" t="inlineStr">
        <is>
          <t>https://www.rottentomatoes.com/search?search=Need+for+Speed</t>
        </is>
      </c>
      <c r="Q238" t="inlineStr">
        <is>
          <t>https://letterboxd.com/search/Need%20for%20Speed/</t>
        </is>
      </c>
      <c r="R238" t="inlineStr">
        <is>
          <t>https://www.metacritic.com/search/Need+for+Speed/</t>
        </is>
      </c>
    </row>
    <row r="239">
      <c r="A239" t="inlineStr">
        <is>
          <t>F0235</t>
        </is>
      </c>
      <c r="B239" t="inlineStr">
        <is>
          <t>The Nice Guys</t>
        </is>
      </c>
      <c r="C239" s="63" t="inlineStr">
        <is>
          <t>2016</t>
        </is>
      </c>
      <c r="E239" s="82" t="n"/>
      <c r="F239" s="85" t="n"/>
      <c r="G239" s="71" t="n"/>
      <c r="H239" s="71" t="n"/>
      <c r="I239" s="83" t="n"/>
      <c r="J239" s="71" t="n"/>
      <c r="K239" s="82" t="n"/>
      <c r="L239" s="82">
        <f>IF(COUNT(E239,G239,H239,I239,J239,K239)=0,"",ROUND((IF(E239="",0,E239*10)+IF(G239="",0,G239)+IF(H239="",0,H239)+IF(I239="",0,I239*20)+IF(J239="",0,J239)+IF(K239="",0,K239*10))/COUNT(E239,G239,H239,I239,J239,K239),1))</f>
        <v/>
      </c>
      <c r="M239">
        <f>IF(L239="","",IF(L239&gt;=85,"Excellent",IF(L239&gt;=70,"Good",IF(L239&gt;=55,"Mixed","Poor"))))</f>
        <v/>
      </c>
      <c r="N239" s="66" t="n"/>
      <c r="O239" t="inlineStr">
        <is>
          <t>https://www.imdb.com/find/?q=The+Nice+Guys+2016</t>
        </is>
      </c>
      <c r="P239" t="inlineStr">
        <is>
          <t>https://www.rottentomatoes.com/search?search=The+Nice+Guys</t>
        </is>
      </c>
      <c r="Q239" t="inlineStr">
        <is>
          <t>https://letterboxd.com/search/The%20Nice%20Guys/</t>
        </is>
      </c>
      <c r="R239" t="inlineStr">
        <is>
          <t>https://www.metacritic.com/search/The+Nice+Guys/</t>
        </is>
      </c>
    </row>
    <row r="240">
      <c r="A240" t="inlineStr">
        <is>
          <t>F0236</t>
        </is>
      </c>
      <c r="B240" t="inlineStr">
        <is>
          <t>Night at the Museum: Battle of the Smithsonian</t>
        </is>
      </c>
      <c r="C240" s="63" t="inlineStr">
        <is>
          <t>2009</t>
        </is>
      </c>
      <c r="E240" s="82" t="n"/>
      <c r="F240" s="85" t="n"/>
      <c r="G240" s="71" t="n"/>
      <c r="H240" s="71" t="n"/>
      <c r="I240" s="83" t="n"/>
      <c r="J240" s="71" t="n"/>
      <c r="K240" s="82" t="n"/>
      <c r="L240" s="82">
        <f>IF(COUNT(E240,G240,H240,I240,J240,K240)=0,"",ROUND((IF(E240="",0,E240*10)+IF(G240="",0,G240)+IF(H240="",0,H240)+IF(I240="",0,I240*20)+IF(J240="",0,J240)+IF(K240="",0,K240*10))/COUNT(E240,G240,H240,I240,J240,K240),1))</f>
        <v/>
      </c>
      <c r="M240">
        <f>IF(L240="","",IF(L240&gt;=85,"Excellent",IF(L240&gt;=70,"Good",IF(L240&gt;=55,"Mixed","Poor"))))</f>
        <v/>
      </c>
      <c r="N240" s="66" t="n"/>
      <c r="O240" t="inlineStr">
        <is>
          <t>https://www.imdb.com/find/?q=Night+at+the+Museum%3A+Battle+of+the+Smithsonian+2009</t>
        </is>
      </c>
      <c r="P240" t="inlineStr">
        <is>
          <t>https://www.rottentomatoes.com/search?search=Night+at+the+Museum%3A+Battle+of+the+Smithsonian</t>
        </is>
      </c>
      <c r="Q240" t="inlineStr">
        <is>
          <t>https://letterboxd.com/search/Night%20at%20the%20Museum%3A%20Battle%20of%20the%20Smithsonian/</t>
        </is>
      </c>
      <c r="R240" t="inlineStr">
        <is>
          <t>https://www.metacritic.com/search/Night+at+the+Museum%3A+Battle+of+the+Smithsonian/</t>
        </is>
      </c>
    </row>
    <row r="241">
      <c r="A241" t="inlineStr">
        <is>
          <t>F0237</t>
        </is>
      </c>
      <c r="B241" t="inlineStr">
        <is>
          <t>The Notebook</t>
        </is>
      </c>
      <c r="C241" s="63" t="inlineStr">
        <is>
          <t>2004</t>
        </is>
      </c>
      <c r="E241" s="82" t="n"/>
      <c r="F241" s="85" t="n"/>
      <c r="G241" s="71" t="n"/>
      <c r="H241" s="71" t="n"/>
      <c r="I241" s="83" t="n"/>
      <c r="J241" s="71" t="n"/>
      <c r="K241" s="82" t="n"/>
      <c r="L241" s="82">
        <f>IF(COUNT(E241,G241,H241,I241,J241,K241)=0,"",ROUND((IF(E241="",0,E241*10)+IF(G241="",0,G241)+IF(H241="",0,H241)+IF(I241="",0,I241*20)+IF(J241="",0,J241)+IF(K241="",0,K241*10))/COUNT(E241,G241,H241,I241,J241,K241),1))</f>
        <v/>
      </c>
      <c r="M241">
        <f>IF(L241="","",IF(L241&gt;=85,"Excellent",IF(L241&gt;=70,"Good",IF(L241&gt;=55,"Mixed","Poor"))))</f>
        <v/>
      </c>
      <c r="N241" s="66" t="n"/>
      <c r="O241" t="inlineStr">
        <is>
          <t>https://www.imdb.com/find/?q=The+Notebook+2004</t>
        </is>
      </c>
      <c r="P241" t="inlineStr">
        <is>
          <t>https://www.rottentomatoes.com/search?search=The+Notebook</t>
        </is>
      </c>
      <c r="Q241" t="inlineStr">
        <is>
          <t>https://letterboxd.com/search/The%20Notebook/</t>
        </is>
      </c>
      <c r="R241" t="inlineStr">
        <is>
          <t>https://www.metacritic.com/search/The+Notebook/</t>
        </is>
      </c>
    </row>
    <row r="242">
      <c r="A242" t="inlineStr">
        <is>
          <t>F0238</t>
        </is>
      </c>
      <c r="B242" t="inlineStr">
        <is>
          <t>Noah</t>
        </is>
      </c>
      <c r="C242" s="63" t="inlineStr">
        <is>
          <t>2014</t>
        </is>
      </c>
      <c r="E242" s="82" t="n"/>
      <c r="F242" s="85" t="n"/>
      <c r="G242" s="71" t="n"/>
      <c r="H242" s="71" t="n"/>
      <c r="I242" s="83" t="n"/>
      <c r="J242" s="71" t="n"/>
      <c r="K242" s="82" t="n"/>
      <c r="L242" s="82">
        <f>IF(COUNT(E242,G242,H242,I242,J242,K242)=0,"",ROUND((IF(E242="",0,E242*10)+IF(G242="",0,G242)+IF(H242="",0,H242)+IF(I242="",0,I242*20)+IF(J242="",0,J242)+IF(K242="",0,K242*10))/COUNT(E242,G242,H242,I242,J242,K242),1))</f>
        <v/>
      </c>
      <c r="M242">
        <f>IF(L242="","",IF(L242&gt;=85,"Excellent",IF(L242&gt;=70,"Good",IF(L242&gt;=55,"Mixed","Poor"))))</f>
        <v/>
      </c>
      <c r="N242" s="66" t="n"/>
      <c r="O242" t="inlineStr">
        <is>
          <t>https://www.imdb.com/find/?q=Noah+2014</t>
        </is>
      </c>
      <c r="P242" t="inlineStr">
        <is>
          <t>https://www.rottentomatoes.com/search?search=Noah</t>
        </is>
      </c>
      <c r="Q242" t="inlineStr">
        <is>
          <t>https://letterboxd.com/search/Noah/</t>
        </is>
      </c>
      <c r="R242" t="inlineStr">
        <is>
          <t>https://www.metacritic.com/search/Noah/</t>
        </is>
      </c>
    </row>
    <row r="243">
      <c r="A243" t="inlineStr">
        <is>
          <t>F0239</t>
        </is>
      </c>
      <c r="B243" t="inlineStr">
        <is>
          <t>Oblivion</t>
        </is>
      </c>
      <c r="C243" s="63" t="inlineStr">
        <is>
          <t>2013</t>
        </is>
      </c>
      <c r="E243" s="82" t="n"/>
      <c r="F243" s="85" t="n"/>
      <c r="G243" s="71" t="n"/>
      <c r="H243" s="71" t="n"/>
      <c r="I243" s="83" t="n"/>
      <c r="J243" s="71" t="n"/>
      <c r="K243" s="82" t="n"/>
      <c r="L243" s="82">
        <f>IF(COUNT(E243,G243,H243,I243,J243,K243)=0,"",ROUND((IF(E243="",0,E243*10)+IF(G243="",0,G243)+IF(H243="",0,H243)+IF(I243="",0,I243*20)+IF(J243="",0,J243)+IF(K243="",0,K243*10))/COUNT(E243,G243,H243,I243,J243,K243),1))</f>
        <v/>
      </c>
      <c r="M243">
        <f>IF(L243="","",IF(L243&gt;=85,"Excellent",IF(L243&gt;=70,"Good",IF(L243&gt;=55,"Mixed","Poor"))))</f>
        <v/>
      </c>
      <c r="N243" s="66" t="n"/>
      <c r="O243" t="inlineStr">
        <is>
          <t>https://www.imdb.com/find/?q=Oblivion+2013</t>
        </is>
      </c>
      <c r="P243" t="inlineStr">
        <is>
          <t>https://www.rottentomatoes.com/search?search=Oblivion</t>
        </is>
      </c>
      <c r="Q243" t="inlineStr">
        <is>
          <t>https://letterboxd.com/search/Oblivion/</t>
        </is>
      </c>
      <c r="R243" t="inlineStr">
        <is>
          <t>https://www.metacritic.com/search/Oblivion/</t>
        </is>
      </c>
    </row>
    <row r="244">
      <c r="A244" t="inlineStr">
        <is>
          <t>F0240</t>
        </is>
      </c>
      <c r="B244" t="inlineStr">
        <is>
          <t>Olympus Has Fallen</t>
        </is>
      </c>
      <c r="C244" s="63" t="inlineStr">
        <is>
          <t>2013</t>
        </is>
      </c>
      <c r="E244" s="82" t="n"/>
      <c r="F244" s="85" t="n"/>
      <c r="G244" s="71" t="n"/>
      <c r="H244" s="71" t="n"/>
      <c r="I244" s="83" t="n"/>
      <c r="J244" s="71" t="n"/>
      <c r="K244" s="82" t="n"/>
      <c r="L244" s="82">
        <f>IF(COUNT(E244,G244,H244,I244,J244,K244)=0,"",ROUND((IF(E244="",0,E244*10)+IF(G244="",0,G244)+IF(H244="",0,H244)+IF(I244="",0,I244*20)+IF(J244="",0,J244)+IF(K244="",0,K244*10))/COUNT(E244,G244,H244,I244,J244,K244),1))</f>
        <v/>
      </c>
      <c r="M244">
        <f>IF(L244="","",IF(L244&gt;=85,"Excellent",IF(L244&gt;=70,"Good",IF(L244&gt;=55,"Mixed","Poor"))))</f>
        <v/>
      </c>
      <c r="N244" s="66" t="n"/>
      <c r="O244" t="inlineStr">
        <is>
          <t>https://www.imdb.com/find/?q=Olympus+Has+Fallen+2013</t>
        </is>
      </c>
      <c r="P244" t="inlineStr">
        <is>
          <t>https://www.rottentomatoes.com/search?search=Olympus+Has+Fallen</t>
        </is>
      </c>
      <c r="Q244" t="inlineStr">
        <is>
          <t>https://letterboxd.com/search/Olympus%20Has%20Fallen/</t>
        </is>
      </c>
      <c r="R244" t="inlineStr">
        <is>
          <t>https://www.metacritic.com/search/Olympus+Has+Fallen/</t>
        </is>
      </c>
    </row>
    <row r="245">
      <c r="A245" t="inlineStr">
        <is>
          <t>F0241</t>
        </is>
      </c>
      <c r="B245" t="inlineStr">
        <is>
          <t>Once Upon a Time… in Hollywood</t>
        </is>
      </c>
      <c r="C245" s="63" t="inlineStr">
        <is>
          <t>2019</t>
        </is>
      </c>
      <c r="E245" s="82" t="n"/>
      <c r="F245" s="85" t="n"/>
      <c r="G245" s="71" t="n"/>
      <c r="H245" s="71" t="n"/>
      <c r="I245" s="83" t="n"/>
      <c r="J245" s="71" t="n"/>
      <c r="K245" s="82" t="n"/>
      <c r="L245" s="82">
        <f>IF(COUNT(E245,G245,H245,I245,J245,K245)=0,"",ROUND((IF(E245="",0,E245*10)+IF(G245="",0,G245)+IF(H245="",0,H245)+IF(I245="",0,I245*20)+IF(J245="",0,J245)+IF(K245="",0,K245*10))/COUNT(E245,G245,H245,I245,J245,K245),1))</f>
        <v/>
      </c>
      <c r="M245">
        <f>IF(L245="","",IF(L245&gt;=85,"Excellent",IF(L245&gt;=70,"Good",IF(L245&gt;=55,"Mixed","Poor"))))</f>
        <v/>
      </c>
      <c r="N245" s="66" t="n"/>
      <c r="O245" t="inlineStr">
        <is>
          <t>https://www.imdb.com/find/?q=Once+Upon+a+Time%E2%80%A6+in+Hollywood+2019</t>
        </is>
      </c>
      <c r="P245" t="inlineStr">
        <is>
          <t>https://www.rottentomatoes.com/search?search=Once+Upon+a+Time%E2%80%A6+in+Hollywood</t>
        </is>
      </c>
      <c r="Q245" t="inlineStr">
        <is>
          <t>https://letterboxd.com/search/Once%20Upon%20a%20Time%E2%80%A6%20in%20Hollywood/</t>
        </is>
      </c>
      <c r="R245" t="inlineStr">
        <is>
          <t>https://www.metacritic.com/search/Once+Upon+a+Time%E2%80%A6+in+Hollywood/</t>
        </is>
      </c>
    </row>
    <row r="246">
      <c r="A246" t="inlineStr">
        <is>
          <t>F0242</t>
        </is>
      </c>
      <c r="B246" t="inlineStr">
        <is>
          <t>Oppenheimer</t>
        </is>
      </c>
      <c r="C246" s="63" t="inlineStr">
        <is>
          <t>2023</t>
        </is>
      </c>
      <c r="E246" s="82" t="n"/>
      <c r="F246" s="85" t="n"/>
      <c r="G246" s="71" t="n"/>
      <c r="H246" s="71" t="n"/>
      <c r="I246" s="83" t="n"/>
      <c r="J246" s="71" t="n"/>
      <c r="K246" s="82" t="n"/>
      <c r="L246" s="82">
        <f>IF(COUNT(E246,G246,H246,I246,J246,K246)=0,"",ROUND((IF(E246="",0,E246*10)+IF(G246="",0,G246)+IF(H246="",0,H246)+IF(I246="",0,I246*20)+IF(J246="",0,J246)+IF(K246="",0,K246*10))/COUNT(E246,G246,H246,I246,J246,K246),1))</f>
        <v/>
      </c>
      <c r="M246">
        <f>IF(L246="","",IF(L246&gt;=85,"Excellent",IF(L246&gt;=70,"Good",IF(L246&gt;=55,"Mixed","Poor"))))</f>
        <v/>
      </c>
      <c r="N246" s="66" t="n"/>
      <c r="O246" t="inlineStr">
        <is>
          <t>https://www.imdb.com/find/?q=Oppenheimer+2023</t>
        </is>
      </c>
      <c r="P246" t="inlineStr">
        <is>
          <t>https://www.rottentomatoes.com/search?search=Oppenheimer</t>
        </is>
      </c>
      <c r="Q246" t="inlineStr">
        <is>
          <t>https://letterboxd.com/search/Oppenheimer/</t>
        </is>
      </c>
      <c r="R246" t="inlineStr">
        <is>
          <t>https://www.metacritic.com/search/Oppenheimer/</t>
        </is>
      </c>
    </row>
    <row r="247">
      <c r="A247" t="inlineStr">
        <is>
          <t>F0243</t>
        </is>
      </c>
      <c r="B247" t="inlineStr">
        <is>
          <t>Pacific Rim</t>
        </is>
      </c>
      <c r="C247" s="63" t="inlineStr">
        <is>
          <t>2013</t>
        </is>
      </c>
      <c r="E247" s="82" t="n"/>
      <c r="F247" s="85" t="n"/>
      <c r="G247" s="71" t="n"/>
      <c r="H247" s="71" t="n"/>
      <c r="I247" s="83" t="n"/>
      <c r="J247" s="71" t="n"/>
      <c r="K247" s="82" t="n"/>
      <c r="L247" s="82">
        <f>IF(COUNT(E247,G247,H247,I247,J247,K247)=0,"",ROUND((IF(E247="",0,E247*10)+IF(G247="",0,G247)+IF(H247="",0,H247)+IF(I247="",0,I247*20)+IF(J247="",0,J247)+IF(K247="",0,K247*10))/COUNT(E247,G247,H247,I247,J247,K247),1))</f>
        <v/>
      </c>
      <c r="M247">
        <f>IF(L247="","",IF(L247&gt;=85,"Excellent",IF(L247&gt;=70,"Good",IF(L247&gt;=55,"Mixed","Poor"))))</f>
        <v/>
      </c>
      <c r="N247" s="66" t="n"/>
      <c r="O247" t="inlineStr">
        <is>
          <t>https://www.imdb.com/find/?q=Pacific+Rim+2013</t>
        </is>
      </c>
      <c r="P247" t="inlineStr">
        <is>
          <t>https://www.rottentomatoes.com/search?search=Pacific+Rim</t>
        </is>
      </c>
      <c r="Q247" t="inlineStr">
        <is>
          <t>https://letterboxd.com/search/Pacific%20Rim/</t>
        </is>
      </c>
      <c r="R247" t="inlineStr">
        <is>
          <t>https://www.metacritic.com/search/Pacific+Rim/</t>
        </is>
      </c>
    </row>
    <row r="248">
      <c r="A248" t="inlineStr">
        <is>
          <t>F0244</t>
        </is>
      </c>
      <c r="B248" t="inlineStr">
        <is>
          <t>Paddington</t>
        </is>
      </c>
      <c r="C248" s="63" t="inlineStr">
        <is>
          <t>2014</t>
        </is>
      </c>
      <c r="E248" s="82" t="n"/>
      <c r="F248" s="85" t="n"/>
      <c r="G248" s="71" t="n"/>
      <c r="H248" s="71" t="n"/>
      <c r="I248" s="83" t="n"/>
      <c r="J248" s="71" t="n"/>
      <c r="K248" s="82" t="n"/>
      <c r="L248" s="82">
        <f>IF(COUNT(E248,G248,H248,I248,J248,K248)=0,"",ROUND((IF(E248="",0,E248*10)+IF(G248="",0,G248)+IF(H248="",0,H248)+IF(I248="",0,I248*20)+IF(J248="",0,J248)+IF(K248="",0,K248*10))/COUNT(E248,G248,H248,I248,J248,K248),1))</f>
        <v/>
      </c>
      <c r="M248">
        <f>IF(L248="","",IF(L248&gt;=85,"Excellent",IF(L248&gt;=70,"Good",IF(L248&gt;=55,"Mixed","Poor"))))</f>
        <v/>
      </c>
      <c r="N248" s="66" t="n"/>
      <c r="O248" t="inlineStr">
        <is>
          <t>https://www.imdb.com/find/?q=Paddington+2014</t>
        </is>
      </c>
      <c r="P248" t="inlineStr">
        <is>
          <t>https://www.rottentomatoes.com/search?search=Paddington</t>
        </is>
      </c>
      <c r="Q248" t="inlineStr">
        <is>
          <t>https://letterboxd.com/search/Paddington/</t>
        </is>
      </c>
      <c r="R248" t="inlineStr">
        <is>
          <t>https://www.metacritic.com/search/Paddington/</t>
        </is>
      </c>
    </row>
    <row r="249">
      <c r="A249" t="inlineStr">
        <is>
          <t>F0245</t>
        </is>
      </c>
      <c r="B249" t="inlineStr">
        <is>
          <t>Paul</t>
        </is>
      </c>
      <c r="C249" s="63" t="inlineStr">
        <is>
          <t>2011</t>
        </is>
      </c>
      <c r="E249" s="82" t="n"/>
      <c r="F249" s="85" t="n"/>
      <c r="G249" s="71" t="n"/>
      <c r="H249" s="71" t="n"/>
      <c r="I249" s="83" t="n"/>
      <c r="J249" s="71" t="n"/>
      <c r="K249" s="82" t="n"/>
      <c r="L249" s="82">
        <f>IF(COUNT(E249,G249,H249,I249,J249,K249)=0,"",ROUND((IF(E249="",0,E249*10)+IF(G249="",0,G249)+IF(H249="",0,H249)+IF(I249="",0,I249*20)+IF(J249="",0,J249)+IF(K249="",0,K249*10))/COUNT(E249,G249,H249,I249,J249,K249),1))</f>
        <v/>
      </c>
      <c r="M249">
        <f>IF(L249="","",IF(L249&gt;=85,"Excellent",IF(L249&gt;=70,"Good",IF(L249&gt;=55,"Mixed","Poor"))))</f>
        <v/>
      </c>
      <c r="N249" s="66" t="n"/>
      <c r="O249" t="inlineStr">
        <is>
          <t>https://www.imdb.com/find/?q=Paul+2011</t>
        </is>
      </c>
      <c r="P249" t="inlineStr">
        <is>
          <t>https://www.rottentomatoes.com/search?search=Paul</t>
        </is>
      </c>
      <c r="Q249" t="inlineStr">
        <is>
          <t>https://letterboxd.com/search/Paul/</t>
        </is>
      </c>
      <c r="R249" t="inlineStr">
        <is>
          <t>https://www.metacritic.com/search/Paul/</t>
        </is>
      </c>
    </row>
    <row r="250">
      <c r="A250" t="inlineStr">
        <is>
          <t>F0246</t>
        </is>
      </c>
      <c r="B250" t="inlineStr">
        <is>
          <t>Pearl Harbor</t>
        </is>
      </c>
      <c r="C250" s="63" t="inlineStr">
        <is>
          <t>2001</t>
        </is>
      </c>
      <c r="E250" s="82" t="n"/>
      <c r="F250" s="85" t="n"/>
      <c r="G250" s="71" t="n"/>
      <c r="H250" s="71" t="n"/>
      <c r="I250" s="83" t="n"/>
      <c r="J250" s="71" t="n"/>
      <c r="K250" s="82" t="n"/>
      <c r="L250" s="82">
        <f>IF(COUNT(E250,G250,H250,I250,J250,K250)=0,"",ROUND((IF(E250="",0,E250*10)+IF(G250="",0,G250)+IF(H250="",0,H250)+IF(I250="",0,I250*20)+IF(J250="",0,J250)+IF(K250="",0,K250*10))/COUNT(E250,G250,H250,I250,J250,K250),1))</f>
        <v/>
      </c>
      <c r="M250">
        <f>IF(L250="","",IF(L250&gt;=85,"Excellent",IF(L250&gt;=70,"Good",IF(L250&gt;=55,"Mixed","Poor"))))</f>
        <v/>
      </c>
      <c r="N250" s="66" t="n"/>
      <c r="O250" t="inlineStr">
        <is>
          <t>https://www.imdb.com/find/?q=Pearl+Harbor+2001</t>
        </is>
      </c>
      <c r="P250" t="inlineStr">
        <is>
          <t>https://www.rottentomatoes.com/search?search=Pearl+Harbor</t>
        </is>
      </c>
      <c r="Q250" t="inlineStr">
        <is>
          <t>https://letterboxd.com/search/Pearl%20Harbor/</t>
        </is>
      </c>
      <c r="R250" t="inlineStr">
        <is>
          <t>https://www.metacritic.com/search/Pearl+Harbor/</t>
        </is>
      </c>
    </row>
    <row r="251">
      <c r="A251" t="inlineStr">
        <is>
          <t>F0247</t>
        </is>
      </c>
      <c r="B251" t="inlineStr">
        <is>
          <t>Pineapple Express</t>
        </is>
      </c>
      <c r="C251" s="63" t="inlineStr">
        <is>
          <t>2008</t>
        </is>
      </c>
      <c r="E251" s="82" t="n"/>
      <c r="F251" s="85" t="n"/>
      <c r="G251" s="71" t="n"/>
      <c r="H251" s="71" t="n"/>
      <c r="I251" s="83" t="n"/>
      <c r="J251" s="71" t="n"/>
      <c r="K251" s="82" t="n"/>
      <c r="L251" s="82">
        <f>IF(COUNT(E251,G251,H251,I251,J251,K251)=0,"",ROUND((IF(E251="",0,E251*10)+IF(G251="",0,G251)+IF(H251="",0,H251)+IF(I251="",0,I251*20)+IF(J251="",0,J251)+IF(K251="",0,K251*10))/COUNT(E251,G251,H251,I251,J251,K251),1))</f>
        <v/>
      </c>
      <c r="M251">
        <f>IF(L251="","",IF(L251&gt;=85,"Excellent",IF(L251&gt;=70,"Good",IF(L251&gt;=55,"Mixed","Poor"))))</f>
        <v/>
      </c>
      <c r="N251" s="66" t="n"/>
      <c r="O251" t="inlineStr">
        <is>
          <t>https://www.imdb.com/find/?q=Pineapple+Express+2008</t>
        </is>
      </c>
      <c r="P251" t="inlineStr">
        <is>
          <t>https://www.rottentomatoes.com/search?search=Pineapple+Express</t>
        </is>
      </c>
      <c r="Q251" t="inlineStr">
        <is>
          <t>https://letterboxd.com/search/Pineapple%20Express/</t>
        </is>
      </c>
      <c r="R251" t="inlineStr">
        <is>
          <t>https://www.metacritic.com/search/Pineapple+Express/</t>
        </is>
      </c>
    </row>
    <row r="252">
      <c r="A252" t="inlineStr">
        <is>
          <t>F0248</t>
        </is>
      </c>
      <c r="B252" t="inlineStr">
        <is>
          <t>Pinocchio</t>
        </is>
      </c>
      <c r="C252" s="63" t="inlineStr">
        <is>
          <t>1940</t>
        </is>
      </c>
      <c r="E252" s="82" t="n"/>
      <c r="F252" s="85" t="n"/>
      <c r="G252" s="71" t="n"/>
      <c r="H252" s="71" t="n"/>
      <c r="I252" s="83" t="n"/>
      <c r="J252" s="71" t="n"/>
      <c r="K252" s="82" t="n"/>
      <c r="L252" s="82">
        <f>IF(COUNT(E252,G252,H252,I252,J252,K252)=0,"",ROUND((IF(E252="",0,E252*10)+IF(G252="",0,G252)+IF(H252="",0,H252)+IF(I252="",0,I252*20)+IF(J252="",0,J252)+IF(K252="",0,K252*10))/COUNT(E252,G252,H252,I252,J252,K252),1))</f>
        <v/>
      </c>
      <c r="M252">
        <f>IF(L252="","",IF(L252&gt;=85,"Excellent",IF(L252&gt;=70,"Good",IF(L252&gt;=55,"Mixed","Poor"))))</f>
        <v/>
      </c>
      <c r="N252" s="66" t="n"/>
      <c r="O252" t="inlineStr">
        <is>
          <t>https://www.imdb.com/find/?q=Pinocchio+1940</t>
        </is>
      </c>
      <c r="P252" t="inlineStr">
        <is>
          <t>https://www.rottentomatoes.com/search?search=Pinocchio</t>
        </is>
      </c>
      <c r="Q252" t="inlineStr">
        <is>
          <t>https://letterboxd.com/search/Pinocchio/</t>
        </is>
      </c>
      <c r="R252" t="inlineStr">
        <is>
          <t>https://www.metacritic.com/search/Pinocchio/</t>
        </is>
      </c>
    </row>
    <row r="253">
      <c r="A253" t="inlineStr">
        <is>
          <t>F0249</t>
        </is>
      </c>
      <c r="B253" t="inlineStr">
        <is>
          <t>Pirates of the Caribbean: On Stranger Tides</t>
        </is>
      </c>
      <c r="C253" s="63" t="inlineStr">
        <is>
          <t>2011</t>
        </is>
      </c>
      <c r="E253" s="82" t="n"/>
      <c r="F253" s="85" t="n"/>
      <c r="G253" s="71" t="n"/>
      <c r="H253" s="71" t="n"/>
      <c r="I253" s="83" t="n"/>
      <c r="J253" s="71" t="n"/>
      <c r="K253" s="82" t="n"/>
      <c r="L253" s="82">
        <f>IF(COUNT(E253,G253,H253,I253,J253,K253)=0,"",ROUND((IF(E253="",0,E253*10)+IF(G253="",0,G253)+IF(H253="",0,H253)+IF(I253="",0,I253*20)+IF(J253="",0,J253)+IF(K253="",0,K253*10))/COUNT(E253,G253,H253,I253,J253,K253),1))</f>
        <v/>
      </c>
      <c r="M253">
        <f>IF(L253="","",IF(L253&gt;=85,"Excellent",IF(L253&gt;=70,"Good",IF(L253&gt;=55,"Mixed","Poor"))))</f>
        <v/>
      </c>
      <c r="N253" s="66" t="n"/>
      <c r="O253" t="inlineStr">
        <is>
          <t>https://www.imdb.com/find/?q=Pirates+of+the+Caribbean%3A+On+Stranger+Tides+2011</t>
        </is>
      </c>
      <c r="P253" t="inlineStr">
        <is>
          <t>https://www.rottentomatoes.com/search?search=Pirates+of+the+Caribbean%3A+On+Stranger+Tides</t>
        </is>
      </c>
      <c r="Q253" t="inlineStr">
        <is>
          <t>https://letterboxd.com/search/Pirates%20of%20the%20Caribbean%3A%20On%20Stranger%20Tides/</t>
        </is>
      </c>
      <c r="R253" t="inlineStr">
        <is>
          <t>https://www.metacritic.com/search/Pirates+of+the+Caribbean%3A+On+Stranger+Tides/</t>
        </is>
      </c>
    </row>
    <row r="254">
      <c r="A254" t="inlineStr">
        <is>
          <t>F0250</t>
        </is>
      </c>
      <c r="B254" t="inlineStr">
        <is>
          <t>Pitch Perfect</t>
        </is>
      </c>
      <c r="C254" s="63" t="inlineStr">
        <is>
          <t>2012</t>
        </is>
      </c>
      <c r="E254" s="82" t="n"/>
      <c r="F254" s="85" t="n"/>
      <c r="G254" s="71" t="n"/>
      <c r="H254" s="71" t="n"/>
      <c r="I254" s="83" t="n"/>
      <c r="J254" s="71" t="n"/>
      <c r="K254" s="82" t="n"/>
      <c r="L254" s="82">
        <f>IF(COUNT(E254,G254,H254,I254,J254,K254)=0,"",ROUND((IF(E254="",0,E254*10)+IF(G254="",0,G254)+IF(H254="",0,H254)+IF(I254="",0,I254*20)+IF(J254="",0,J254)+IF(K254="",0,K254*10))/COUNT(E254,G254,H254,I254,J254,K254),1))</f>
        <v/>
      </c>
      <c r="M254">
        <f>IF(L254="","",IF(L254&gt;=85,"Excellent",IF(L254&gt;=70,"Good",IF(L254&gt;=55,"Mixed","Poor"))))</f>
        <v/>
      </c>
      <c r="N254" s="66" t="n"/>
      <c r="O254" t="inlineStr">
        <is>
          <t>https://www.imdb.com/find/?q=Pitch+Perfect+2012</t>
        </is>
      </c>
      <c r="P254" t="inlineStr">
        <is>
          <t>https://www.rottentomatoes.com/search?search=Pitch+Perfect</t>
        </is>
      </c>
      <c r="Q254" t="inlineStr">
        <is>
          <t>https://letterboxd.com/search/Pitch%20Perfect/</t>
        </is>
      </c>
      <c r="R254" t="inlineStr">
        <is>
          <t>https://www.metacritic.com/search/Pitch+Perfect/</t>
        </is>
      </c>
    </row>
    <row r="255">
      <c r="A255" t="inlineStr">
        <is>
          <t>F0251</t>
        </is>
      </c>
      <c r="B255" t="inlineStr">
        <is>
          <t>Pitch Perfect 2</t>
        </is>
      </c>
      <c r="C255" s="63" t="inlineStr">
        <is>
          <t>2015</t>
        </is>
      </c>
      <c r="E255" s="82" t="n"/>
      <c r="F255" s="85" t="n"/>
      <c r="G255" s="71" t="n"/>
      <c r="H255" s="71" t="n"/>
      <c r="I255" s="83" t="n"/>
      <c r="J255" s="71" t="n"/>
      <c r="K255" s="82" t="n"/>
      <c r="L255" s="82">
        <f>IF(COUNT(E255,G255,H255,I255,J255,K255)=0,"",ROUND((IF(E255="",0,E255*10)+IF(G255="",0,G255)+IF(H255="",0,H255)+IF(I255="",0,I255*20)+IF(J255="",0,J255)+IF(K255="",0,K255*10))/COUNT(E255,G255,H255,I255,J255,K255),1))</f>
        <v/>
      </c>
      <c r="M255">
        <f>IF(L255="","",IF(L255&gt;=85,"Excellent",IF(L255&gt;=70,"Good",IF(L255&gt;=55,"Mixed","Poor"))))</f>
        <v/>
      </c>
      <c r="N255" s="66" t="n"/>
      <c r="O255" t="inlineStr">
        <is>
          <t>https://www.imdb.com/find/?q=Pitch+Perfect+2+2015</t>
        </is>
      </c>
      <c r="P255" t="inlineStr">
        <is>
          <t>https://www.rottentomatoes.com/search?search=Pitch+Perfect+2</t>
        </is>
      </c>
      <c r="Q255" t="inlineStr">
        <is>
          <t>https://letterboxd.com/search/Pitch%20Perfect%202/</t>
        </is>
      </c>
      <c r="R255" t="inlineStr">
        <is>
          <t>https://www.metacritic.com/search/Pitch+Perfect+2/</t>
        </is>
      </c>
    </row>
    <row r="256">
      <c r="A256" t="inlineStr">
        <is>
          <t>F0252</t>
        </is>
      </c>
      <c r="B256" t="inlineStr">
        <is>
          <t>Pitch Perfect 3</t>
        </is>
      </c>
      <c r="C256" s="63" t="inlineStr">
        <is>
          <t>2017</t>
        </is>
      </c>
      <c r="E256" s="82" t="n"/>
      <c r="F256" s="85" t="n"/>
      <c r="G256" s="71" t="n"/>
      <c r="H256" s="71" t="n"/>
      <c r="I256" s="83" t="n"/>
      <c r="J256" s="71" t="n"/>
      <c r="K256" s="82" t="n"/>
      <c r="L256" s="82">
        <f>IF(COUNT(E256,G256,H256,I256,J256,K256)=0,"",ROUND((IF(E256="",0,E256*10)+IF(G256="",0,G256)+IF(H256="",0,H256)+IF(I256="",0,I256*20)+IF(J256="",0,J256)+IF(K256="",0,K256*10))/COUNT(E256,G256,H256,I256,J256,K256),1))</f>
        <v/>
      </c>
      <c r="M256">
        <f>IF(L256="","",IF(L256&gt;=85,"Excellent",IF(L256&gt;=70,"Good",IF(L256&gt;=55,"Mixed","Poor"))))</f>
        <v/>
      </c>
      <c r="N256" s="66" t="n"/>
      <c r="O256" t="inlineStr">
        <is>
          <t>https://www.imdb.com/find/?q=Pitch+Perfect+3+2017</t>
        </is>
      </c>
      <c r="P256" t="inlineStr">
        <is>
          <t>https://www.rottentomatoes.com/search?search=Pitch+Perfect+3</t>
        </is>
      </c>
      <c r="Q256" t="inlineStr">
        <is>
          <t>https://letterboxd.com/search/Pitch%20Perfect%203/</t>
        </is>
      </c>
      <c r="R256" t="inlineStr">
        <is>
          <t>https://www.metacritic.com/search/Pitch+Perfect+3/</t>
        </is>
      </c>
    </row>
    <row r="257">
      <c r="A257" t="inlineStr">
        <is>
          <t>F0253</t>
        </is>
      </c>
      <c r="B257" t="inlineStr">
        <is>
          <t>Rise of the Planet of the Apes</t>
        </is>
      </c>
      <c r="C257" s="63" t="inlineStr">
        <is>
          <t>2011</t>
        </is>
      </c>
      <c r="E257" s="82" t="n"/>
      <c r="F257" s="85" t="n"/>
      <c r="G257" s="71" t="n"/>
      <c r="H257" s="71" t="n"/>
      <c r="I257" s="83" t="n"/>
      <c r="J257" s="71" t="n"/>
      <c r="K257" s="82" t="n"/>
      <c r="L257" s="82">
        <f>IF(COUNT(E257,G257,H257,I257,J257,K257)=0,"",ROUND((IF(E257="",0,E257*10)+IF(G257="",0,G257)+IF(H257="",0,H257)+IF(I257="",0,I257*20)+IF(J257="",0,J257)+IF(K257="",0,K257*10))/COUNT(E257,G257,H257,I257,J257,K257),1))</f>
        <v/>
      </c>
      <c r="M257">
        <f>IF(L257="","",IF(L257&gt;=85,"Excellent",IF(L257&gt;=70,"Good",IF(L257&gt;=55,"Mixed","Poor"))))</f>
        <v/>
      </c>
      <c r="N257" s="66" t="n"/>
      <c r="O257" t="inlineStr">
        <is>
          <t>https://www.imdb.com/find/?q=Rise+of+the+Planet+of+the+Apes+2011</t>
        </is>
      </c>
      <c r="P257" t="inlineStr">
        <is>
          <t>https://www.rottentomatoes.com/search?search=Rise+of+the+Planet+of+the+Apes</t>
        </is>
      </c>
      <c r="Q257" t="inlineStr">
        <is>
          <t>https://letterboxd.com/search/Rise%20of%20the%20Planet%20of%20the%20Apes/</t>
        </is>
      </c>
      <c r="R257" t="inlineStr">
        <is>
          <t>https://www.metacritic.com/search/Rise+of+the+Planet+of+the+Apes/</t>
        </is>
      </c>
    </row>
    <row r="258">
      <c r="A258" t="inlineStr">
        <is>
          <t>F0254</t>
        </is>
      </c>
      <c r="B258" t="inlineStr">
        <is>
          <t>Dawn of the Planet of the Apes</t>
        </is>
      </c>
      <c r="C258" s="63" t="inlineStr">
        <is>
          <t>2014</t>
        </is>
      </c>
      <c r="E258" s="82" t="n"/>
      <c r="F258" s="85" t="n"/>
      <c r="G258" s="71" t="n"/>
      <c r="H258" s="71" t="n"/>
      <c r="I258" s="83" t="n"/>
      <c r="J258" s="71" t="n"/>
      <c r="K258" s="82" t="n"/>
      <c r="L258" s="82">
        <f>IF(COUNT(E258,G258,H258,I258,J258,K258)=0,"",ROUND((IF(E258="",0,E258*10)+IF(G258="",0,G258)+IF(H258="",0,H258)+IF(I258="",0,I258*20)+IF(J258="",0,J258)+IF(K258="",0,K258*10))/COUNT(E258,G258,H258,I258,J258,K258),1))</f>
        <v/>
      </c>
      <c r="M258">
        <f>IF(L258="","",IF(L258&gt;=85,"Excellent",IF(L258&gt;=70,"Good",IF(L258&gt;=55,"Mixed","Poor"))))</f>
        <v/>
      </c>
      <c r="N258" s="66" t="n"/>
      <c r="O258" t="inlineStr">
        <is>
          <t>https://www.imdb.com/find/?q=Dawn+of+the+Planet+of+the+Apes+2014</t>
        </is>
      </c>
      <c r="P258" t="inlineStr">
        <is>
          <t>https://www.rottentomatoes.com/search?search=Dawn+of+the+Planet+of+the+Apes</t>
        </is>
      </c>
      <c r="Q258" t="inlineStr">
        <is>
          <t>https://letterboxd.com/search/Dawn%20of%20the%20Planet%20of%20the%20Apes/</t>
        </is>
      </c>
      <c r="R258" t="inlineStr">
        <is>
          <t>https://www.metacritic.com/search/Dawn+of+the+Planet+of+the+Apes/</t>
        </is>
      </c>
    </row>
    <row r="259">
      <c r="A259" t="inlineStr">
        <is>
          <t>F0255</t>
        </is>
      </c>
      <c r="B259" t="inlineStr">
        <is>
          <t>War for the Planet of the Apes</t>
        </is>
      </c>
      <c r="C259" s="63" t="inlineStr">
        <is>
          <t>2017</t>
        </is>
      </c>
      <c r="E259" s="82" t="n"/>
      <c r="F259" s="85" t="n"/>
      <c r="G259" s="71" t="n"/>
      <c r="H259" s="71" t="n"/>
      <c r="I259" s="83" t="n"/>
      <c r="J259" s="71" t="n"/>
      <c r="K259" s="82" t="n"/>
      <c r="L259" s="82">
        <f>IF(COUNT(E259,G259,H259,I259,J259,K259)=0,"",ROUND((IF(E259="",0,E259*10)+IF(G259="",0,G259)+IF(H259="",0,H259)+IF(I259="",0,I259*20)+IF(J259="",0,J259)+IF(K259="",0,K259*10))/COUNT(E259,G259,H259,I259,J259,K259),1))</f>
        <v/>
      </c>
      <c r="M259">
        <f>IF(L259="","",IF(L259&gt;=85,"Excellent",IF(L259&gt;=70,"Good",IF(L259&gt;=55,"Mixed","Poor"))))</f>
        <v/>
      </c>
      <c r="N259" s="66" t="n"/>
      <c r="O259" t="inlineStr">
        <is>
          <t>https://www.imdb.com/find/?q=War+for+the+Planet+of+the+Apes+2017</t>
        </is>
      </c>
      <c r="P259" t="inlineStr">
        <is>
          <t>https://www.rottentomatoes.com/search?search=War+for+the+Planet+of+the+Apes</t>
        </is>
      </c>
      <c r="Q259" t="inlineStr">
        <is>
          <t>https://letterboxd.com/search/War%20for%20the%20Planet%20of%20the%20Apes/</t>
        </is>
      </c>
      <c r="R259" t="inlineStr">
        <is>
          <t>https://www.metacritic.com/search/War+for+the+Planet+of+the+Apes/</t>
        </is>
      </c>
    </row>
    <row r="260">
      <c r="A260" t="inlineStr">
        <is>
          <t>F0256</t>
        </is>
      </c>
      <c r="B260" t="inlineStr">
        <is>
          <t>Kingdom of the Planet of the Apes</t>
        </is>
      </c>
      <c r="C260" s="63" t="inlineStr">
        <is>
          <t>2024</t>
        </is>
      </c>
      <c r="E260" s="82" t="n"/>
      <c r="F260" s="85" t="n"/>
      <c r="G260" s="71" t="n"/>
      <c r="H260" s="71" t="n"/>
      <c r="I260" s="83" t="n"/>
      <c r="J260" s="71" t="n"/>
      <c r="K260" s="82" t="n"/>
      <c r="L260" s="82">
        <f>IF(COUNT(E260,G260,H260,I260,J260,K260)=0,"",ROUND((IF(E260="",0,E260*10)+IF(G260="",0,G260)+IF(H260="",0,H260)+IF(I260="",0,I260*20)+IF(J260="",0,J260)+IF(K260="",0,K260*10))/COUNT(E260,G260,H260,I260,J260,K260),1))</f>
        <v/>
      </c>
      <c r="M260">
        <f>IF(L260="","",IF(L260&gt;=85,"Excellent",IF(L260&gt;=70,"Good",IF(L260&gt;=55,"Mixed","Poor"))))</f>
        <v/>
      </c>
      <c r="N260" s="66" t="n"/>
      <c r="O260" t="inlineStr">
        <is>
          <t>https://www.imdb.com/find/?q=Kingdom+of+the+Planet+of+the+Apes+2024</t>
        </is>
      </c>
      <c r="P260" t="inlineStr">
        <is>
          <t>https://www.rottentomatoes.com/search?search=Kingdom+of+the+Planet+of+the+Apes</t>
        </is>
      </c>
      <c r="Q260" t="inlineStr">
        <is>
          <t>https://letterboxd.com/search/Kingdom%20of%20the%20Planet%20of%20the%20Apes/</t>
        </is>
      </c>
      <c r="R260" t="inlineStr">
        <is>
          <t>https://www.metacritic.com/search/Kingdom+of+the+Planet+of+the+Apes/</t>
        </is>
      </c>
    </row>
    <row r="261">
      <c r="A261" t="inlineStr">
        <is>
          <t>F0257</t>
        </is>
      </c>
      <c r="B261" t="inlineStr">
        <is>
          <t>The Prestige</t>
        </is>
      </c>
      <c r="C261" s="63" t="inlineStr">
        <is>
          <t>2006</t>
        </is>
      </c>
      <c r="E261" s="82" t="n"/>
      <c r="F261" s="85" t="n"/>
      <c r="G261" s="71" t="n"/>
      <c r="H261" s="71" t="n"/>
      <c r="I261" s="83" t="n"/>
      <c r="J261" s="71" t="n"/>
      <c r="K261" s="82" t="n"/>
      <c r="L261" s="82">
        <f>IF(COUNT(E261,G261,H261,I261,J261,K261)=0,"",ROUND((IF(E261="",0,E261*10)+IF(G261="",0,G261)+IF(H261="",0,H261)+IF(I261="",0,I261*20)+IF(J261="",0,J261)+IF(K261="",0,K261*10))/COUNT(E261,G261,H261,I261,J261,K261),1))</f>
        <v/>
      </c>
      <c r="M261">
        <f>IF(L261="","",IF(L261&gt;=85,"Excellent",IF(L261&gt;=70,"Good",IF(L261&gt;=55,"Mixed","Poor"))))</f>
        <v/>
      </c>
      <c r="N261" s="66" t="n"/>
      <c r="O261" t="inlineStr">
        <is>
          <t>https://www.imdb.com/find/?q=The+Prestige+2006</t>
        </is>
      </c>
      <c r="P261" t="inlineStr">
        <is>
          <t>https://www.rottentomatoes.com/search?search=The+Prestige</t>
        </is>
      </c>
      <c r="Q261" t="inlineStr">
        <is>
          <t>https://letterboxd.com/search/The%20Prestige/</t>
        </is>
      </c>
      <c r="R261" t="inlineStr">
        <is>
          <t>https://www.metacritic.com/search/The+Prestige/</t>
        </is>
      </c>
    </row>
    <row r="262">
      <c r="A262" t="inlineStr">
        <is>
          <t>F0258</t>
        </is>
      </c>
      <c r="B262" t="inlineStr">
        <is>
          <t>Prisoners</t>
        </is>
      </c>
      <c r="C262" s="63" t="inlineStr">
        <is>
          <t>2013</t>
        </is>
      </c>
      <c r="E262" s="82" t="n"/>
      <c r="F262" s="85" t="n"/>
      <c r="G262" s="71" t="n"/>
      <c r="H262" s="71" t="n"/>
      <c r="I262" s="83" t="n"/>
      <c r="J262" s="71" t="n"/>
      <c r="K262" s="82" t="n"/>
      <c r="L262" s="82">
        <f>IF(COUNT(E262,G262,H262,I262,J262,K262)=0,"",ROUND((IF(E262="",0,E262*10)+IF(G262="",0,G262)+IF(H262="",0,H262)+IF(I262="",0,I262*20)+IF(J262="",0,J262)+IF(K262="",0,K262*10))/COUNT(E262,G262,H262,I262,J262,K262),1))</f>
        <v/>
      </c>
      <c r="M262">
        <f>IF(L262="","",IF(L262&gt;=85,"Excellent",IF(L262&gt;=70,"Good",IF(L262&gt;=55,"Mixed","Poor"))))</f>
        <v/>
      </c>
      <c r="N262" s="66" t="n"/>
      <c r="O262" t="inlineStr">
        <is>
          <t>https://www.imdb.com/find/?q=Prisoners+2013</t>
        </is>
      </c>
      <c r="P262" t="inlineStr">
        <is>
          <t>https://www.rottentomatoes.com/search?search=Prisoners</t>
        </is>
      </c>
      <c r="Q262" t="inlineStr">
        <is>
          <t>https://letterboxd.com/search/Prisoners/</t>
        </is>
      </c>
      <c r="R262" t="inlineStr">
        <is>
          <t>https://www.metacritic.com/search/Prisoners/</t>
        </is>
      </c>
    </row>
    <row r="263">
      <c r="A263" t="inlineStr">
        <is>
          <t>F0259</t>
        </is>
      </c>
      <c r="B263" t="inlineStr">
        <is>
          <t>Prometheus</t>
        </is>
      </c>
      <c r="C263" s="63" t="inlineStr">
        <is>
          <t>2012</t>
        </is>
      </c>
      <c r="E263" s="82" t="n"/>
      <c r="F263" s="85" t="n"/>
      <c r="G263" s="71" t="n"/>
      <c r="H263" s="71" t="n"/>
      <c r="I263" s="83" t="n"/>
      <c r="J263" s="71" t="n"/>
      <c r="K263" s="82" t="n"/>
      <c r="L263" s="82">
        <f>IF(COUNT(E263,G263,H263,I263,J263,K263)=0,"",ROUND((IF(E263="",0,E263*10)+IF(G263="",0,G263)+IF(H263="",0,H263)+IF(I263="",0,I263*20)+IF(J263="",0,J263)+IF(K263="",0,K263*10))/COUNT(E263,G263,H263,I263,J263,K263),1))</f>
        <v/>
      </c>
      <c r="M263">
        <f>IF(L263="","",IF(L263&gt;=85,"Excellent",IF(L263&gt;=70,"Good",IF(L263&gt;=55,"Mixed","Poor"))))</f>
        <v/>
      </c>
      <c r="N263" s="66" t="n"/>
      <c r="O263" t="inlineStr">
        <is>
          <t>https://www.imdb.com/find/?q=Prometheus+2012</t>
        </is>
      </c>
      <c r="P263" t="inlineStr">
        <is>
          <t>https://www.rottentomatoes.com/search?search=Prometheus</t>
        </is>
      </c>
      <c r="Q263" t="inlineStr">
        <is>
          <t>https://letterboxd.com/search/Prometheus/</t>
        </is>
      </c>
      <c r="R263" t="inlineStr">
        <is>
          <t>https://www.metacritic.com/search/Prometheus/</t>
        </is>
      </c>
    </row>
    <row r="264">
      <c r="A264" t="inlineStr">
        <is>
          <t>F0260</t>
        </is>
      </c>
      <c r="B264" t="inlineStr">
        <is>
          <t>The Pursuit of Happyness</t>
        </is>
      </c>
      <c r="C264" s="63" t="inlineStr">
        <is>
          <t>2006</t>
        </is>
      </c>
      <c r="E264" s="82" t="n"/>
      <c r="F264" s="85" t="n"/>
      <c r="G264" s="71" t="n"/>
      <c r="H264" s="71" t="n"/>
      <c r="I264" s="83" t="n"/>
      <c r="J264" s="71" t="n"/>
      <c r="K264" s="82" t="n"/>
      <c r="L264" s="82">
        <f>IF(COUNT(E264,G264,H264,I264,J264,K264)=0,"",ROUND((IF(E264="",0,E264*10)+IF(G264="",0,G264)+IF(H264="",0,H264)+IF(I264="",0,I264*20)+IF(J264="",0,J264)+IF(K264="",0,K264*10))/COUNT(E264,G264,H264,I264,J264,K264),1))</f>
        <v/>
      </c>
      <c r="M264">
        <f>IF(L264="","",IF(L264&gt;=85,"Excellent",IF(L264&gt;=70,"Good",IF(L264&gt;=55,"Mixed","Poor"))))</f>
        <v/>
      </c>
      <c r="N264" s="66" t="n"/>
      <c r="O264" t="inlineStr">
        <is>
          <t>https://www.imdb.com/find/?q=The+Pursuit+of+Happyness+2006</t>
        </is>
      </c>
      <c r="P264" t="inlineStr">
        <is>
          <t>https://www.rottentomatoes.com/search?search=The+Pursuit+of+Happyness</t>
        </is>
      </c>
      <c r="Q264" t="inlineStr">
        <is>
          <t>https://letterboxd.com/search/The%20Pursuit%20of%20Happyness/</t>
        </is>
      </c>
      <c r="R264" t="inlineStr">
        <is>
          <t>https://www.metacritic.com/search/The+Pursuit+of+Happyness/</t>
        </is>
      </c>
    </row>
    <row r="265">
      <c r="A265" t="inlineStr">
        <is>
          <t>F0261</t>
        </is>
      </c>
      <c r="B265" t="inlineStr">
        <is>
          <t>Rambo</t>
        </is>
      </c>
      <c r="C265" s="63" t="inlineStr">
        <is>
          <t>2008</t>
        </is>
      </c>
      <c r="E265" s="82" t="n"/>
      <c r="F265" s="85" t="n"/>
      <c r="G265" s="71" t="n"/>
      <c r="H265" s="71" t="n"/>
      <c r="I265" s="83" t="n"/>
      <c r="J265" s="71" t="n"/>
      <c r="K265" s="82" t="n"/>
      <c r="L265" s="82">
        <f>IF(COUNT(E265,G265,H265,I265,J265,K265)=0,"",ROUND((IF(E265="",0,E265*10)+IF(G265="",0,G265)+IF(H265="",0,H265)+IF(I265="",0,I265*20)+IF(J265="",0,J265)+IF(K265="",0,K265*10))/COUNT(E265,G265,H265,I265,J265,K265),1))</f>
        <v/>
      </c>
      <c r="M265">
        <f>IF(L265="","",IF(L265&gt;=85,"Excellent",IF(L265&gt;=70,"Good",IF(L265&gt;=55,"Mixed","Poor"))))</f>
        <v/>
      </c>
      <c r="N265" s="66" t="n"/>
      <c r="O265" t="inlineStr">
        <is>
          <t>https://www.imdb.com/find/?q=Rambo+2008</t>
        </is>
      </c>
      <c r="P265" t="inlineStr">
        <is>
          <t>https://www.rottentomatoes.com/search?search=Rambo</t>
        </is>
      </c>
      <c r="Q265" t="inlineStr">
        <is>
          <t>https://letterboxd.com/search/Rambo/</t>
        </is>
      </c>
      <c r="R265" t="inlineStr">
        <is>
          <t>https://www.metacritic.com/search/Rambo/</t>
        </is>
      </c>
    </row>
    <row r="266">
      <c r="A266" t="inlineStr">
        <is>
          <t>F0262</t>
        </is>
      </c>
      <c r="B266" t="inlineStr">
        <is>
          <t>RED</t>
        </is>
      </c>
      <c r="C266" s="63" t="inlineStr">
        <is>
          <t>2010</t>
        </is>
      </c>
      <c r="E266" s="82" t="n"/>
      <c r="F266" s="85" t="n"/>
      <c r="G266" s="71" t="n"/>
      <c r="H266" s="71" t="n"/>
      <c r="I266" s="83" t="n"/>
      <c r="J266" s="71" t="n"/>
      <c r="K266" s="82" t="n"/>
      <c r="L266" s="82">
        <f>IF(COUNT(E266,G266,H266,I266,J266,K266)=0,"",ROUND((IF(E266="",0,E266*10)+IF(G266="",0,G266)+IF(H266="",0,H266)+IF(I266="",0,I266*20)+IF(J266="",0,J266)+IF(K266="",0,K266*10))/COUNT(E266,G266,H266,I266,J266,K266),1))</f>
        <v/>
      </c>
      <c r="M266">
        <f>IF(L266="","",IF(L266&gt;=85,"Excellent",IF(L266&gt;=70,"Good",IF(L266&gt;=55,"Mixed","Poor"))))</f>
        <v/>
      </c>
      <c r="N266" s="66" t="n"/>
      <c r="O266" t="inlineStr">
        <is>
          <t>https://www.imdb.com/find/?q=RED+2010</t>
        </is>
      </c>
      <c r="P266" t="inlineStr">
        <is>
          <t>https://www.rottentomatoes.com/search?search=RED</t>
        </is>
      </c>
      <c r="Q266" t="inlineStr">
        <is>
          <t>https://letterboxd.com/search/RED/</t>
        </is>
      </c>
      <c r="R266" t="inlineStr">
        <is>
          <t>https://www.metacritic.com/search/RED/</t>
        </is>
      </c>
    </row>
    <row r="267">
      <c r="A267" t="inlineStr">
        <is>
          <t>F0263</t>
        </is>
      </c>
      <c r="B267" t="inlineStr">
        <is>
          <t>Reign of Fire</t>
        </is>
      </c>
      <c r="C267" s="63" t="inlineStr">
        <is>
          <t>2002</t>
        </is>
      </c>
      <c r="E267" s="82" t="n"/>
      <c r="F267" s="85" t="n"/>
      <c r="G267" s="71" t="n"/>
      <c r="H267" s="71" t="n"/>
      <c r="I267" s="83" t="n"/>
      <c r="J267" s="71" t="n"/>
      <c r="K267" s="82" t="n"/>
      <c r="L267" s="82">
        <f>IF(COUNT(E267,G267,H267,I267,J267,K267)=0,"",ROUND((IF(E267="",0,E267*10)+IF(G267="",0,G267)+IF(H267="",0,H267)+IF(I267="",0,I267*20)+IF(J267="",0,J267)+IF(K267="",0,K267*10))/COUNT(E267,G267,H267,I267,J267,K267),1))</f>
        <v/>
      </c>
      <c r="M267">
        <f>IF(L267="","",IF(L267&gt;=85,"Excellent",IF(L267&gt;=70,"Good",IF(L267&gt;=55,"Mixed","Poor"))))</f>
        <v/>
      </c>
      <c r="N267" s="66" t="n"/>
      <c r="O267" t="inlineStr">
        <is>
          <t>https://www.imdb.com/find/?q=Reign+of+Fire+2002</t>
        </is>
      </c>
      <c r="P267" t="inlineStr">
        <is>
          <t>https://www.rottentomatoes.com/search?search=Reign+of+Fire</t>
        </is>
      </c>
      <c r="Q267" t="inlineStr">
        <is>
          <t>https://letterboxd.com/search/Reign%20of%20Fire/</t>
        </is>
      </c>
      <c r="R267" t="inlineStr">
        <is>
          <t>https://www.metacritic.com/search/Reign+of+Fire/</t>
        </is>
      </c>
    </row>
    <row r="268">
      <c r="A268" t="inlineStr">
        <is>
          <t>F0264</t>
        </is>
      </c>
      <c r="B268" t="inlineStr">
        <is>
          <t>Riddick</t>
        </is>
      </c>
      <c r="C268" s="63" t="inlineStr">
        <is>
          <t>2013</t>
        </is>
      </c>
      <c r="E268" s="82" t="n"/>
      <c r="F268" s="85" t="n"/>
      <c r="G268" s="71" t="n"/>
      <c r="H268" s="71" t="n"/>
      <c r="I268" s="83" t="n"/>
      <c r="J268" s="71" t="n"/>
      <c r="K268" s="82" t="n"/>
      <c r="L268" s="82">
        <f>IF(COUNT(E268,G268,H268,I268,J268,K268)=0,"",ROUND((IF(E268="",0,E268*10)+IF(G268="",0,G268)+IF(H268="",0,H268)+IF(I268="",0,I268*20)+IF(J268="",0,J268)+IF(K268="",0,K268*10))/COUNT(E268,G268,H268,I268,J268,K268),1))</f>
        <v/>
      </c>
      <c r="M268">
        <f>IF(L268="","",IF(L268&gt;=85,"Excellent",IF(L268&gt;=70,"Good",IF(L268&gt;=55,"Mixed","Poor"))))</f>
        <v/>
      </c>
      <c r="N268" s="66" t="n"/>
      <c r="O268" t="inlineStr">
        <is>
          <t>https://www.imdb.com/find/?q=Riddick+2013</t>
        </is>
      </c>
      <c r="P268" t="inlineStr">
        <is>
          <t>https://www.rottentomatoes.com/search?search=Riddick</t>
        </is>
      </c>
      <c r="Q268" t="inlineStr">
        <is>
          <t>https://letterboxd.com/search/Riddick/</t>
        </is>
      </c>
      <c r="R268" t="inlineStr">
        <is>
          <t>https://www.metacritic.com/search/Riddick/</t>
        </is>
      </c>
    </row>
    <row r="269">
      <c r="A269" t="inlineStr">
        <is>
          <t>F0265</t>
        </is>
      </c>
      <c r="B269" t="inlineStr">
        <is>
          <t>Rio</t>
        </is>
      </c>
      <c r="C269" s="63" t="inlineStr">
        <is>
          <t>2011</t>
        </is>
      </c>
      <c r="E269" s="82" t="n"/>
      <c r="F269" s="85" t="n"/>
      <c r="G269" s="71" t="n"/>
      <c r="H269" s="71" t="n"/>
      <c r="I269" s="83" t="n"/>
      <c r="J269" s="71" t="n"/>
      <c r="K269" s="82" t="n"/>
      <c r="L269" s="82">
        <f>IF(COUNT(E269,G269,H269,I269,J269,K269)=0,"",ROUND((IF(E269="",0,E269*10)+IF(G269="",0,G269)+IF(H269="",0,H269)+IF(I269="",0,I269*20)+IF(J269="",0,J269)+IF(K269="",0,K269*10))/COUNT(E269,G269,H269,I269,J269,K269),1))</f>
        <v/>
      </c>
      <c r="M269">
        <f>IF(L269="","",IF(L269&gt;=85,"Excellent",IF(L269&gt;=70,"Good",IF(L269&gt;=55,"Mixed","Poor"))))</f>
        <v/>
      </c>
      <c r="N269" s="66" t="n"/>
      <c r="O269" t="inlineStr">
        <is>
          <t>https://www.imdb.com/find/?q=Rio+2011</t>
        </is>
      </c>
      <c r="P269" t="inlineStr">
        <is>
          <t>https://www.rottentomatoes.com/search?search=Rio</t>
        </is>
      </c>
      <c r="Q269" t="inlineStr">
        <is>
          <t>https://letterboxd.com/search/Rio/</t>
        </is>
      </c>
      <c r="R269" t="inlineStr">
        <is>
          <t>https://www.metacritic.com/search/Rio/</t>
        </is>
      </c>
    </row>
    <row r="270">
      <c r="A270" t="inlineStr">
        <is>
          <t>F0266</t>
        </is>
      </c>
      <c r="B270" t="inlineStr">
        <is>
          <t>Rio 2</t>
        </is>
      </c>
      <c r="C270" s="63" t="inlineStr">
        <is>
          <t>2014</t>
        </is>
      </c>
      <c r="E270" s="82" t="n"/>
      <c r="F270" s="85" t="n"/>
      <c r="G270" s="71" t="n"/>
      <c r="H270" s="71" t="n"/>
      <c r="I270" s="83" t="n"/>
      <c r="J270" s="71" t="n"/>
      <c r="K270" s="82" t="n"/>
      <c r="L270" s="82">
        <f>IF(COUNT(E270,G270,H270,I270,J270,K270)=0,"",ROUND((IF(E270="",0,E270*10)+IF(G270="",0,G270)+IF(H270="",0,H270)+IF(I270="",0,I270*20)+IF(J270="",0,J270)+IF(K270="",0,K270*10))/COUNT(E270,G270,H270,I270,J270,K270),1))</f>
        <v/>
      </c>
      <c r="M270">
        <f>IF(L270="","",IF(L270&gt;=85,"Excellent",IF(L270&gt;=70,"Good",IF(L270&gt;=55,"Mixed","Poor"))))</f>
        <v/>
      </c>
      <c r="N270" s="66" t="n"/>
      <c r="O270" t="inlineStr">
        <is>
          <t>https://www.imdb.com/find/?q=Rio+2+2014</t>
        </is>
      </c>
      <c r="P270" t="inlineStr">
        <is>
          <t>https://www.rottentomatoes.com/search?search=Rio+2</t>
        </is>
      </c>
      <c r="Q270" t="inlineStr">
        <is>
          <t>https://letterboxd.com/search/Rio%202/</t>
        </is>
      </c>
      <c r="R270" t="inlineStr">
        <is>
          <t>https://www.metacritic.com/search/Rio+2/</t>
        </is>
      </c>
    </row>
    <row r="271">
      <c r="A271" t="inlineStr">
        <is>
          <t>F0267</t>
        </is>
      </c>
      <c r="B271" t="inlineStr">
        <is>
          <t>Robin Hood</t>
        </is>
      </c>
      <c r="C271" s="63" t="inlineStr">
        <is>
          <t>2010</t>
        </is>
      </c>
      <c r="E271" s="82" t="n"/>
      <c r="F271" s="85" t="n"/>
      <c r="G271" s="71" t="n"/>
      <c r="H271" s="71" t="n"/>
      <c r="I271" s="83" t="n"/>
      <c r="J271" s="71" t="n"/>
      <c r="K271" s="82" t="n"/>
      <c r="L271" s="82">
        <f>IF(COUNT(E271,G271,H271,I271,J271,K271)=0,"",ROUND((IF(E271="",0,E271*10)+IF(G271="",0,G271)+IF(H271="",0,H271)+IF(I271="",0,I271*20)+IF(J271="",0,J271)+IF(K271="",0,K271*10))/COUNT(E271,G271,H271,I271,J271,K271),1))</f>
        <v/>
      </c>
      <c r="M271">
        <f>IF(L271="","",IF(L271&gt;=85,"Excellent",IF(L271&gt;=70,"Good",IF(L271&gt;=55,"Mixed","Poor"))))</f>
        <v/>
      </c>
      <c r="N271" s="66" t="n"/>
      <c r="O271" t="inlineStr">
        <is>
          <t>https://www.imdb.com/find/?q=Robin+Hood+2010</t>
        </is>
      </c>
      <c r="P271" t="inlineStr">
        <is>
          <t>https://www.rottentomatoes.com/search?search=Robin+Hood</t>
        </is>
      </c>
      <c r="Q271" t="inlineStr">
        <is>
          <t>https://letterboxd.com/search/Robin%20Hood/</t>
        </is>
      </c>
      <c r="R271" t="inlineStr">
        <is>
          <t>https://www.metacritic.com/search/Robin+Hood/</t>
        </is>
      </c>
    </row>
    <row r="272">
      <c r="A272" t="inlineStr">
        <is>
          <t>F0268</t>
        </is>
      </c>
      <c r="B272" t="inlineStr">
        <is>
          <t>RoboCop</t>
        </is>
      </c>
      <c r="C272" s="63" t="n"/>
      <c r="E272" s="82" t="n"/>
      <c r="F272" s="85" t="n"/>
      <c r="G272" s="71" t="n"/>
      <c r="H272" s="71" t="n"/>
      <c r="I272" s="83" t="n"/>
      <c r="J272" s="71" t="n"/>
      <c r="K272" s="82" t="n"/>
      <c r="L272" s="82">
        <f>IF(COUNT(E272,G272,H272,I272,J272,K272)=0,"",ROUND((IF(E272="",0,E272*10)+IF(G272="",0,G272)+IF(H272="",0,H272)+IF(I272="",0,I272*20)+IF(J272="",0,J272)+IF(K272="",0,K272*10))/COUNT(E272,G272,H272,I272,J272,K272),1))</f>
        <v/>
      </c>
      <c r="M272">
        <f>IF(L272="","",IF(L272&gt;=85,"Excellent",IF(L272&gt;=70,"Good",IF(L272&gt;=55,"Mixed","Poor"))))</f>
        <v/>
      </c>
      <c r="N272" s="66" t="n"/>
      <c r="O272" t="inlineStr">
        <is>
          <t>https://www.imdb.com/find/?q=RoboCop</t>
        </is>
      </c>
      <c r="P272" t="inlineStr">
        <is>
          <t>https://www.rottentomatoes.com/search?search=RoboCop</t>
        </is>
      </c>
      <c r="Q272" t="inlineStr">
        <is>
          <t>https://letterboxd.com/search/RoboCop/</t>
        </is>
      </c>
      <c r="R272" t="inlineStr">
        <is>
          <t>https://www.metacritic.com/search/RoboCop/</t>
        </is>
      </c>
    </row>
    <row r="273">
      <c r="A273" t="inlineStr">
        <is>
          <t>F0269</t>
        </is>
      </c>
      <c r="B273" t="inlineStr">
        <is>
          <t>Rocketman</t>
        </is>
      </c>
      <c r="C273" s="63" t="inlineStr">
        <is>
          <t>2019</t>
        </is>
      </c>
      <c r="E273" s="82" t="n"/>
      <c r="F273" s="85" t="n"/>
      <c r="G273" s="71" t="n"/>
      <c r="H273" s="71" t="n"/>
      <c r="I273" s="83" t="n"/>
      <c r="J273" s="71" t="n"/>
      <c r="K273" s="82" t="n"/>
      <c r="L273" s="82">
        <f>IF(COUNT(E273,G273,H273,I273,J273,K273)=0,"",ROUND((IF(E273="",0,E273*10)+IF(G273="",0,G273)+IF(H273="",0,H273)+IF(I273="",0,I273*20)+IF(J273="",0,J273)+IF(K273="",0,K273*10))/COUNT(E273,G273,H273,I273,J273,K273),1))</f>
        <v/>
      </c>
      <c r="M273">
        <f>IF(L273="","",IF(L273&gt;=85,"Excellent",IF(L273&gt;=70,"Good",IF(L273&gt;=55,"Mixed","Poor"))))</f>
        <v/>
      </c>
      <c r="N273" s="66" t="n"/>
      <c r="O273" t="inlineStr">
        <is>
          <t>https://www.imdb.com/find/?q=Rocketman+2019</t>
        </is>
      </c>
      <c r="P273" t="inlineStr">
        <is>
          <t>https://www.rottentomatoes.com/search?search=Rocketman</t>
        </is>
      </c>
      <c r="Q273" t="inlineStr">
        <is>
          <t>https://letterboxd.com/search/Rocketman/</t>
        </is>
      </c>
      <c r="R273" t="inlineStr">
        <is>
          <t>https://www.metacritic.com/search/Rocketman/</t>
        </is>
      </c>
    </row>
    <row r="274">
      <c r="A274" t="inlineStr">
        <is>
          <t>F0270</t>
        </is>
      </c>
      <c r="B274" t="inlineStr">
        <is>
          <t>Rush</t>
        </is>
      </c>
      <c r="C274" s="63" t="inlineStr">
        <is>
          <t>2013</t>
        </is>
      </c>
      <c r="E274" s="82" t="n"/>
      <c r="F274" s="85" t="n"/>
      <c r="G274" s="71" t="n"/>
      <c r="H274" s="71" t="n"/>
      <c r="I274" s="83" t="n"/>
      <c r="J274" s="71" t="n"/>
      <c r="K274" s="82" t="n"/>
      <c r="L274" s="82">
        <f>IF(COUNT(E274,G274,H274,I274,J274,K274)=0,"",ROUND((IF(E274="",0,E274*10)+IF(G274="",0,G274)+IF(H274="",0,H274)+IF(I274="",0,I274*20)+IF(J274="",0,J274)+IF(K274="",0,K274*10))/COUNT(E274,G274,H274,I274,J274,K274),1))</f>
        <v/>
      </c>
      <c r="M274">
        <f>IF(L274="","",IF(L274&gt;=85,"Excellent",IF(L274&gt;=70,"Good",IF(L274&gt;=55,"Mixed","Poor"))))</f>
        <v/>
      </c>
      <c r="N274" s="66" t="n"/>
      <c r="O274" t="inlineStr">
        <is>
          <t>https://www.imdb.com/find/?q=Rush+2013</t>
        </is>
      </c>
      <c r="P274" t="inlineStr">
        <is>
          <t>https://www.rottentomatoes.com/search?search=Rush</t>
        </is>
      </c>
      <c r="Q274" t="inlineStr">
        <is>
          <t>https://letterboxd.com/search/Rush/</t>
        </is>
      </c>
      <c r="R274" t="inlineStr">
        <is>
          <t>https://www.metacritic.com/search/Rush/</t>
        </is>
      </c>
    </row>
    <row r="275">
      <c r="A275" t="inlineStr">
        <is>
          <t>F0271</t>
        </is>
      </c>
      <c r="B275" t="inlineStr">
        <is>
          <t>Rush Hour 3</t>
        </is>
      </c>
      <c r="C275" s="63" t="inlineStr">
        <is>
          <t>2007</t>
        </is>
      </c>
      <c r="E275" s="82" t="n"/>
      <c r="F275" s="85" t="n"/>
      <c r="G275" s="71" t="n"/>
      <c r="H275" s="71" t="n"/>
      <c r="I275" s="83" t="n"/>
      <c r="J275" s="71" t="n"/>
      <c r="K275" s="82" t="n"/>
      <c r="L275" s="82">
        <f>IF(COUNT(E275,G275,H275,I275,J275,K275)=0,"",ROUND((IF(E275="",0,E275*10)+IF(G275="",0,G275)+IF(H275="",0,H275)+IF(I275="",0,I275*20)+IF(J275="",0,J275)+IF(K275="",0,K275*10))/COUNT(E275,G275,H275,I275,J275,K275),1))</f>
        <v/>
      </c>
      <c r="M275">
        <f>IF(L275="","",IF(L275&gt;=85,"Excellent",IF(L275&gt;=70,"Good",IF(L275&gt;=55,"Mixed","Poor"))))</f>
        <v/>
      </c>
      <c r="N275" s="66" t="n"/>
      <c r="O275" t="inlineStr">
        <is>
          <t>https://www.imdb.com/find/?q=Rush+Hour+3+2007</t>
        </is>
      </c>
      <c r="P275" t="inlineStr">
        <is>
          <t>https://www.rottentomatoes.com/search?search=Rush+Hour+3</t>
        </is>
      </c>
      <c r="Q275" t="inlineStr">
        <is>
          <t>https://letterboxd.com/search/Rush%20Hour%203/</t>
        </is>
      </c>
      <c r="R275" t="inlineStr">
        <is>
          <t>https://www.metacritic.com/search/Rush+Hour+3/</t>
        </is>
      </c>
    </row>
    <row r="276">
      <c r="A276" t="inlineStr">
        <is>
          <t>F0272</t>
        </is>
      </c>
      <c r="B276" t="inlineStr">
        <is>
          <t>Safe House</t>
        </is>
      </c>
      <c r="C276" s="63" t="inlineStr">
        <is>
          <t>2012</t>
        </is>
      </c>
      <c r="E276" s="82" t="n"/>
      <c r="F276" s="85" t="n"/>
      <c r="G276" s="71" t="n"/>
      <c r="H276" s="71" t="n"/>
      <c r="I276" s="83" t="n"/>
      <c r="J276" s="71" t="n"/>
      <c r="K276" s="82" t="n"/>
      <c r="L276" s="82">
        <f>IF(COUNT(E276,G276,H276,I276,J276,K276)=0,"",ROUND((IF(E276="",0,E276*10)+IF(G276="",0,G276)+IF(H276="",0,H276)+IF(I276="",0,I276*20)+IF(J276="",0,J276)+IF(K276="",0,K276*10))/COUNT(E276,G276,H276,I276,J276,K276),1))</f>
        <v/>
      </c>
      <c r="M276">
        <f>IF(L276="","",IF(L276&gt;=85,"Excellent",IF(L276&gt;=70,"Good",IF(L276&gt;=55,"Mixed","Poor"))))</f>
        <v/>
      </c>
      <c r="N276" s="66" t="n"/>
      <c r="O276" t="inlineStr">
        <is>
          <t>https://www.imdb.com/find/?q=Safe+House+2012</t>
        </is>
      </c>
      <c r="P276" t="inlineStr">
        <is>
          <t>https://www.rottentomatoes.com/search?search=Safe+House</t>
        </is>
      </c>
      <c r="Q276" t="inlineStr">
        <is>
          <t>https://letterboxd.com/search/Safe%20House/</t>
        </is>
      </c>
      <c r="R276" t="inlineStr">
        <is>
          <t>https://www.metacritic.com/search/Safe+House/</t>
        </is>
      </c>
    </row>
    <row r="277">
      <c r="A277" t="inlineStr">
        <is>
          <t>F0273</t>
        </is>
      </c>
      <c r="B277" t="inlineStr">
        <is>
          <t>Salt</t>
        </is>
      </c>
      <c r="C277" s="63" t="inlineStr">
        <is>
          <t>2010</t>
        </is>
      </c>
      <c r="E277" s="82" t="n"/>
      <c r="F277" s="85" t="n"/>
      <c r="G277" s="71" t="n"/>
      <c r="H277" s="71" t="n"/>
      <c r="I277" s="83" t="n"/>
      <c r="J277" s="71" t="n"/>
      <c r="K277" s="82" t="n"/>
      <c r="L277" s="82">
        <f>IF(COUNT(E277,G277,H277,I277,J277,K277)=0,"",ROUND((IF(E277="",0,E277*10)+IF(G277="",0,G277)+IF(H277="",0,H277)+IF(I277="",0,I277*20)+IF(J277="",0,J277)+IF(K277="",0,K277*10))/COUNT(E277,G277,H277,I277,J277,K277),1))</f>
        <v/>
      </c>
      <c r="M277">
        <f>IF(L277="","",IF(L277&gt;=85,"Excellent",IF(L277&gt;=70,"Good",IF(L277&gt;=55,"Mixed","Poor"))))</f>
        <v/>
      </c>
      <c r="N277" s="66" t="n"/>
      <c r="O277" t="inlineStr">
        <is>
          <t>https://www.imdb.com/find/?q=Salt+2010</t>
        </is>
      </c>
      <c r="P277" t="inlineStr">
        <is>
          <t>https://www.rottentomatoes.com/search?search=Salt</t>
        </is>
      </c>
      <c r="Q277" t="inlineStr">
        <is>
          <t>https://letterboxd.com/search/Salt/</t>
        </is>
      </c>
      <c r="R277" t="inlineStr">
        <is>
          <t>https://www.metacritic.com/search/Salt/</t>
        </is>
      </c>
    </row>
    <row r="278">
      <c r="A278" t="inlineStr">
        <is>
          <t>F0274</t>
        </is>
      </c>
      <c r="B278" t="inlineStr">
        <is>
          <t>The Secret Life of Pets</t>
        </is>
      </c>
      <c r="C278" s="63" t="inlineStr">
        <is>
          <t>2016</t>
        </is>
      </c>
      <c r="E278" s="82" t="n"/>
      <c r="F278" s="85" t="n"/>
      <c r="G278" s="71" t="n"/>
      <c r="H278" s="71" t="n"/>
      <c r="I278" s="83" t="n"/>
      <c r="J278" s="71" t="n"/>
      <c r="K278" s="82" t="n"/>
      <c r="L278" s="82">
        <f>IF(COUNT(E278,G278,H278,I278,J278,K278)=0,"",ROUND((IF(E278="",0,E278*10)+IF(G278="",0,G278)+IF(H278="",0,H278)+IF(I278="",0,I278*20)+IF(J278="",0,J278)+IF(K278="",0,K278*10))/COUNT(E278,G278,H278,I278,J278,K278),1))</f>
        <v/>
      </c>
      <c r="M278">
        <f>IF(L278="","",IF(L278&gt;=85,"Excellent",IF(L278&gt;=70,"Good",IF(L278&gt;=55,"Mixed","Poor"))))</f>
        <v/>
      </c>
      <c r="N278" s="66" t="n"/>
      <c r="O278" t="inlineStr">
        <is>
          <t>https://www.imdb.com/find/?q=The+Secret+Life+of+Pets+2016</t>
        </is>
      </c>
      <c r="P278" t="inlineStr">
        <is>
          <t>https://www.rottentomatoes.com/search?search=The+Secret+Life+of+Pets</t>
        </is>
      </c>
      <c r="Q278" t="inlineStr">
        <is>
          <t>https://letterboxd.com/search/The%20Secret%20Life%20of%20Pets/</t>
        </is>
      </c>
      <c r="R278" t="inlineStr">
        <is>
          <t>https://www.metacritic.com/search/The+Secret+Life+of+Pets/</t>
        </is>
      </c>
    </row>
    <row r="279">
      <c r="A279" t="inlineStr">
        <is>
          <t>F0275</t>
        </is>
      </c>
      <c r="B279" t="inlineStr">
        <is>
          <t>Senna</t>
        </is>
      </c>
      <c r="C279" s="63" t="inlineStr">
        <is>
          <t>2010</t>
        </is>
      </c>
      <c r="E279" s="82" t="n"/>
      <c r="F279" s="85" t="n"/>
      <c r="G279" s="71" t="n"/>
      <c r="H279" s="71" t="n"/>
      <c r="I279" s="83" t="n"/>
      <c r="J279" s="71" t="n"/>
      <c r="K279" s="82" t="n"/>
      <c r="L279" s="82">
        <f>IF(COUNT(E279,G279,H279,I279,J279,K279)=0,"",ROUND((IF(E279="",0,E279*10)+IF(G279="",0,G279)+IF(H279="",0,H279)+IF(I279="",0,I279*20)+IF(J279="",0,J279)+IF(K279="",0,K279*10))/COUNT(E279,G279,H279,I279,J279,K279),1))</f>
        <v/>
      </c>
      <c r="M279">
        <f>IF(L279="","",IF(L279&gt;=85,"Excellent",IF(L279&gt;=70,"Good",IF(L279&gt;=55,"Mixed","Poor"))))</f>
        <v/>
      </c>
      <c r="N279" s="66" t="n"/>
      <c r="O279" t="inlineStr">
        <is>
          <t>https://www.imdb.com/find/?q=Senna+2010</t>
        </is>
      </c>
      <c r="P279" t="inlineStr">
        <is>
          <t>https://www.rottentomatoes.com/search?search=Senna</t>
        </is>
      </c>
      <c r="Q279" t="inlineStr">
        <is>
          <t>https://letterboxd.com/search/Senna/</t>
        </is>
      </c>
      <c r="R279" t="inlineStr">
        <is>
          <t>https://www.metacritic.com/search/Senna/</t>
        </is>
      </c>
    </row>
    <row r="280">
      <c r="A280" t="inlineStr">
        <is>
          <t>F0276</t>
        </is>
      </c>
      <c r="B280" t="inlineStr">
        <is>
          <t>Se7en</t>
        </is>
      </c>
      <c r="C280" s="63" t="inlineStr">
        <is>
          <t>1995</t>
        </is>
      </c>
      <c r="E280" s="82" t="n"/>
      <c r="F280" s="85" t="n"/>
      <c r="G280" s="71" t="n"/>
      <c r="H280" s="71" t="n"/>
      <c r="I280" s="83" t="n"/>
      <c r="J280" s="71" t="n"/>
      <c r="K280" s="82" t="n"/>
      <c r="L280" s="82">
        <f>IF(COUNT(E280,G280,H280,I280,J280,K280)=0,"",ROUND((IF(E280="",0,E280*10)+IF(G280="",0,G280)+IF(H280="",0,H280)+IF(I280="",0,I280*20)+IF(J280="",0,J280)+IF(K280="",0,K280*10))/COUNT(E280,G280,H280,I280,J280,K280),1))</f>
        <v/>
      </c>
      <c r="M280">
        <f>IF(L280="","",IF(L280&gt;=85,"Excellent",IF(L280&gt;=70,"Good",IF(L280&gt;=55,"Mixed","Poor"))))</f>
        <v/>
      </c>
      <c r="N280" s="66" t="n"/>
      <c r="O280" t="inlineStr">
        <is>
          <t>https://www.imdb.com/find/?q=Se7en+1995</t>
        </is>
      </c>
      <c r="P280" t="inlineStr">
        <is>
          <t>https://www.rottentomatoes.com/search?search=Se7en</t>
        </is>
      </c>
      <c r="Q280" t="inlineStr">
        <is>
          <t>https://letterboxd.com/search/Se7en/</t>
        </is>
      </c>
      <c r="R280" t="inlineStr">
        <is>
          <t>https://www.metacritic.com/search/Se7en/</t>
        </is>
      </c>
    </row>
    <row r="281">
      <c r="A281" t="inlineStr">
        <is>
          <t>F0277</t>
        </is>
      </c>
      <c r="B281" t="inlineStr">
        <is>
          <t>Sex &amp; Drugs &amp; Rock &amp; Roll</t>
        </is>
      </c>
      <c r="C281" s="63" t="inlineStr">
        <is>
          <t>2010</t>
        </is>
      </c>
      <c r="E281" s="82" t="n"/>
      <c r="F281" s="85" t="n"/>
      <c r="G281" s="71" t="n"/>
      <c r="H281" s="71" t="n"/>
      <c r="I281" s="83" t="n"/>
      <c r="J281" s="71" t="n"/>
      <c r="K281" s="82" t="n"/>
      <c r="L281" s="82">
        <f>IF(COUNT(E281,G281,H281,I281,J281,K281)=0,"",ROUND((IF(E281="",0,E281*10)+IF(G281="",0,G281)+IF(H281="",0,H281)+IF(I281="",0,I281*20)+IF(J281="",0,J281)+IF(K281="",0,K281*10))/COUNT(E281,G281,H281,I281,J281,K281),1))</f>
        <v/>
      </c>
      <c r="M281">
        <f>IF(L281="","",IF(L281&gt;=85,"Excellent",IF(L281&gt;=70,"Good",IF(L281&gt;=55,"Mixed","Poor"))))</f>
        <v/>
      </c>
      <c r="N281" s="66" t="n"/>
      <c r="O281" t="inlineStr">
        <is>
          <t>https://www.imdb.com/find/?q=Sex+%26+Drugs+%26+Rock+%26+Roll+2010</t>
        </is>
      </c>
      <c r="P281" t="inlineStr">
        <is>
          <t>https://www.rottentomatoes.com/search?search=Sex+%26+Drugs+%26+Rock+%26+Roll</t>
        </is>
      </c>
      <c r="Q281" t="inlineStr">
        <is>
          <t>https://letterboxd.com/search/Sex%20%26%20Drugs%20%26%20Rock%20%26%20Roll/</t>
        </is>
      </c>
      <c r="R281" t="inlineStr">
        <is>
          <t>https://www.metacritic.com/search/Sex+%26+Drugs+%26+Rock+%26+Roll/</t>
        </is>
      </c>
    </row>
    <row r="282">
      <c r="A282" t="inlineStr">
        <is>
          <t>F0278</t>
        </is>
      </c>
      <c r="B282" t="inlineStr">
        <is>
          <t>Sherlock Holmes</t>
        </is>
      </c>
      <c r="C282" s="63" t="inlineStr">
        <is>
          <t>2009</t>
        </is>
      </c>
      <c r="E282" s="82" t="n"/>
      <c r="F282" s="85" t="n"/>
      <c r="G282" s="71" t="n"/>
      <c r="H282" s="71" t="n"/>
      <c r="I282" s="83" t="n"/>
      <c r="J282" s="71" t="n"/>
      <c r="K282" s="82" t="n"/>
      <c r="L282" s="82">
        <f>IF(COUNT(E282,G282,H282,I282,J282,K282)=0,"",ROUND((IF(E282="",0,E282*10)+IF(G282="",0,G282)+IF(H282="",0,H282)+IF(I282="",0,I282*20)+IF(J282="",0,J282)+IF(K282="",0,K282*10))/COUNT(E282,G282,H282,I282,J282,K282),1))</f>
        <v/>
      </c>
      <c r="M282">
        <f>IF(L282="","",IF(L282&gt;=85,"Excellent",IF(L282&gt;=70,"Good",IF(L282&gt;=55,"Mixed","Poor"))))</f>
        <v/>
      </c>
      <c r="N282" s="66" t="n"/>
      <c r="O282" t="inlineStr">
        <is>
          <t>https://www.imdb.com/find/?q=Sherlock+Holmes+2009</t>
        </is>
      </c>
      <c r="P282" t="inlineStr">
        <is>
          <t>https://www.rottentomatoes.com/search?search=Sherlock+Holmes</t>
        </is>
      </c>
      <c r="Q282" t="inlineStr">
        <is>
          <t>https://letterboxd.com/search/Sherlock%20Holmes/</t>
        </is>
      </c>
      <c r="R282" t="inlineStr">
        <is>
          <t>https://www.metacritic.com/search/Sherlock+Holmes/</t>
        </is>
      </c>
    </row>
    <row r="283">
      <c r="A283" t="inlineStr">
        <is>
          <t>F0279</t>
        </is>
      </c>
      <c r="B283" t="inlineStr">
        <is>
          <t>Sherlock Holmes: A Game of Shadows</t>
        </is>
      </c>
      <c r="C283" s="63" t="inlineStr">
        <is>
          <t>2011</t>
        </is>
      </c>
      <c r="E283" s="82" t="n"/>
      <c r="F283" s="85" t="n"/>
      <c r="G283" s="71" t="n"/>
      <c r="H283" s="71" t="n"/>
      <c r="I283" s="83" t="n"/>
      <c r="J283" s="71" t="n"/>
      <c r="K283" s="82" t="n"/>
      <c r="L283" s="82">
        <f>IF(COUNT(E283,G283,H283,I283,J283,K283)=0,"",ROUND((IF(E283="",0,E283*10)+IF(G283="",0,G283)+IF(H283="",0,H283)+IF(I283="",0,I283*20)+IF(J283="",0,J283)+IF(K283="",0,K283*10))/COUNT(E283,G283,H283,I283,J283,K283),1))</f>
        <v/>
      </c>
      <c r="M283">
        <f>IF(L283="","",IF(L283&gt;=85,"Excellent",IF(L283&gt;=70,"Good",IF(L283&gt;=55,"Mixed","Poor"))))</f>
        <v/>
      </c>
      <c r="N283" s="66" t="n"/>
      <c r="O283" t="inlineStr">
        <is>
          <t>https://www.imdb.com/find/?q=Sherlock+Holmes%3A+A+Game+of+Shadows+2011</t>
        </is>
      </c>
      <c r="P283" t="inlineStr">
        <is>
          <t>https://www.rottentomatoes.com/search?search=Sherlock+Holmes%3A+A+Game+of+Shadows</t>
        </is>
      </c>
      <c r="Q283" t="inlineStr">
        <is>
          <t>https://letterboxd.com/search/Sherlock%20Holmes%3A%20A%20Game%20of%20Shadows/</t>
        </is>
      </c>
      <c r="R283" t="inlineStr">
        <is>
          <t>https://www.metacritic.com/search/Sherlock+Holmes%3A+A+Game+of+Shadows/</t>
        </is>
      </c>
    </row>
    <row r="284">
      <c r="A284" t="inlineStr">
        <is>
          <t>F0280</t>
        </is>
      </c>
      <c r="B284" t="inlineStr">
        <is>
          <t>Sing</t>
        </is>
      </c>
      <c r="C284" s="63" t="inlineStr">
        <is>
          <t>2016</t>
        </is>
      </c>
      <c r="E284" s="82" t="n"/>
      <c r="F284" s="85" t="n"/>
      <c r="G284" s="71" t="n"/>
      <c r="H284" s="71" t="n"/>
      <c r="I284" s="83" t="n"/>
      <c r="J284" s="71" t="n"/>
      <c r="K284" s="82" t="n"/>
      <c r="L284" s="82">
        <f>IF(COUNT(E284,G284,H284,I284,J284,K284)=0,"",ROUND((IF(E284="",0,E284*10)+IF(G284="",0,G284)+IF(H284="",0,H284)+IF(I284="",0,I284*20)+IF(J284="",0,J284)+IF(K284="",0,K284*10))/COUNT(E284,G284,H284,I284,J284,K284),1))</f>
        <v/>
      </c>
      <c r="M284">
        <f>IF(L284="","",IF(L284&gt;=85,"Excellent",IF(L284&gt;=70,"Good",IF(L284&gt;=55,"Mixed","Poor"))))</f>
        <v/>
      </c>
      <c r="N284" s="66" t="n"/>
      <c r="O284" t="inlineStr">
        <is>
          <t>https://www.imdb.com/find/?q=Sing+2016</t>
        </is>
      </c>
      <c r="P284" t="inlineStr">
        <is>
          <t>https://www.rottentomatoes.com/search?search=Sing</t>
        </is>
      </c>
      <c r="Q284" t="inlineStr">
        <is>
          <t>https://letterboxd.com/search/Sing/</t>
        </is>
      </c>
      <c r="R284" t="inlineStr">
        <is>
          <t>https://www.metacritic.com/search/Sing/</t>
        </is>
      </c>
    </row>
    <row r="285">
      <c r="A285" t="inlineStr">
        <is>
          <t>F0281</t>
        </is>
      </c>
      <c r="B285" t="inlineStr">
        <is>
          <t>Slumdog Millionaire</t>
        </is>
      </c>
      <c r="C285" s="63" t="inlineStr">
        <is>
          <t>2008</t>
        </is>
      </c>
      <c r="E285" s="82" t="n"/>
      <c r="F285" s="85" t="n"/>
      <c r="G285" s="71" t="n"/>
      <c r="H285" s="71" t="n"/>
      <c r="I285" s="83" t="n"/>
      <c r="J285" s="71" t="n"/>
      <c r="K285" s="82" t="n"/>
      <c r="L285" s="82">
        <f>IF(COUNT(E285,G285,H285,I285,J285,K285)=0,"",ROUND((IF(E285="",0,E285*10)+IF(G285="",0,G285)+IF(H285="",0,H285)+IF(I285="",0,I285*20)+IF(J285="",0,J285)+IF(K285="",0,K285*10))/COUNT(E285,G285,H285,I285,J285,K285),1))</f>
        <v/>
      </c>
      <c r="M285">
        <f>IF(L285="","",IF(L285&gt;=85,"Excellent",IF(L285&gt;=70,"Good",IF(L285&gt;=55,"Mixed","Poor"))))</f>
        <v/>
      </c>
      <c r="N285" s="66" t="n"/>
      <c r="O285" t="inlineStr">
        <is>
          <t>https://www.imdb.com/find/?q=Slumdog+Millionaire+2008</t>
        </is>
      </c>
      <c r="P285" t="inlineStr">
        <is>
          <t>https://www.rottentomatoes.com/search?search=Slumdog+Millionaire</t>
        </is>
      </c>
      <c r="Q285" t="inlineStr">
        <is>
          <t>https://letterboxd.com/search/Slumdog%20Millionaire/</t>
        </is>
      </c>
      <c r="R285" t="inlineStr">
        <is>
          <t>https://www.metacritic.com/search/Slumdog+Millionaire/</t>
        </is>
      </c>
    </row>
    <row r="286">
      <c r="A286" t="inlineStr">
        <is>
          <t>F0282</t>
        </is>
      </c>
      <c r="B286" t="inlineStr">
        <is>
          <t>The Smurfs 2</t>
        </is>
      </c>
      <c r="C286" s="63" t="inlineStr">
        <is>
          <t>2013</t>
        </is>
      </c>
      <c r="E286" s="82" t="n"/>
      <c r="F286" s="85" t="n"/>
      <c r="G286" s="71" t="n"/>
      <c r="H286" s="71" t="n"/>
      <c r="I286" s="83" t="n"/>
      <c r="J286" s="71" t="n"/>
      <c r="K286" s="82" t="n"/>
      <c r="L286" s="82">
        <f>IF(COUNT(E286,G286,H286,I286,J286,K286)=0,"",ROUND((IF(E286="",0,E286*10)+IF(G286="",0,G286)+IF(H286="",0,H286)+IF(I286="",0,I286*20)+IF(J286="",0,J286)+IF(K286="",0,K286*10))/COUNT(E286,G286,H286,I286,J286,K286),1))</f>
        <v/>
      </c>
      <c r="M286">
        <f>IF(L286="","",IF(L286&gt;=85,"Excellent",IF(L286&gt;=70,"Good",IF(L286&gt;=55,"Mixed","Poor"))))</f>
        <v/>
      </c>
      <c r="N286" s="66" t="n"/>
      <c r="O286" t="inlineStr">
        <is>
          <t>https://www.imdb.com/find/?q=The+Smurfs+2+2013</t>
        </is>
      </c>
      <c r="P286" t="inlineStr">
        <is>
          <t>https://www.rottentomatoes.com/search?search=The+Smurfs+2</t>
        </is>
      </c>
      <c r="Q286" t="inlineStr">
        <is>
          <t>https://letterboxd.com/search/The%20Smurfs%202/</t>
        </is>
      </c>
      <c r="R286" t="inlineStr">
        <is>
          <t>https://www.metacritic.com/search/The+Smurfs+2/</t>
        </is>
      </c>
    </row>
    <row r="287">
      <c r="A287" t="inlineStr">
        <is>
          <t>F0283</t>
        </is>
      </c>
      <c r="B287" t="inlineStr">
        <is>
          <t>Snowpiercer</t>
        </is>
      </c>
      <c r="C287" s="63" t="inlineStr">
        <is>
          <t>2013</t>
        </is>
      </c>
      <c r="E287" s="82" t="n"/>
      <c r="F287" s="85" t="n"/>
      <c r="G287" s="71" t="n"/>
      <c r="H287" s="71" t="n"/>
      <c r="I287" s="83" t="n"/>
      <c r="J287" s="71" t="n"/>
      <c r="K287" s="82" t="n"/>
      <c r="L287" s="82">
        <f>IF(COUNT(E287,G287,H287,I287,J287,K287)=0,"",ROUND((IF(E287="",0,E287*10)+IF(G287="",0,G287)+IF(H287="",0,H287)+IF(I287="",0,I287*20)+IF(J287="",0,J287)+IF(K287="",0,K287*10))/COUNT(E287,G287,H287,I287,J287,K287),1))</f>
        <v/>
      </c>
      <c r="M287">
        <f>IF(L287="","",IF(L287&gt;=85,"Excellent",IF(L287&gt;=70,"Good",IF(L287&gt;=55,"Mixed","Poor"))))</f>
        <v/>
      </c>
      <c r="N287" s="66" t="n"/>
      <c r="O287" t="inlineStr">
        <is>
          <t>https://www.imdb.com/find/?q=Snowpiercer+2013</t>
        </is>
      </c>
      <c r="P287" t="inlineStr">
        <is>
          <t>https://www.rottentomatoes.com/search?search=Snowpiercer</t>
        </is>
      </c>
      <c r="Q287" t="inlineStr">
        <is>
          <t>https://letterboxd.com/search/Snowpiercer/</t>
        </is>
      </c>
      <c r="R287" t="inlineStr">
        <is>
          <t>https://www.metacritic.com/search/Snowpiercer/</t>
        </is>
      </c>
    </row>
    <row r="288">
      <c r="A288" t="inlineStr">
        <is>
          <t>F0284</t>
        </is>
      </c>
      <c r="B288" t="inlineStr">
        <is>
          <t>Snow White and the Huntsman</t>
        </is>
      </c>
      <c r="C288" s="63" t="inlineStr">
        <is>
          <t>2012</t>
        </is>
      </c>
      <c r="E288" s="82" t="n"/>
      <c r="F288" s="85" t="n"/>
      <c r="G288" s="71" t="n"/>
      <c r="H288" s="71" t="n"/>
      <c r="I288" s="83" t="n"/>
      <c r="J288" s="71" t="n"/>
      <c r="K288" s="82" t="n"/>
      <c r="L288" s="82">
        <f>IF(COUNT(E288,G288,H288,I288,J288,K288)=0,"",ROUND((IF(E288="",0,E288*10)+IF(G288="",0,G288)+IF(H288="",0,H288)+IF(I288="",0,I288*20)+IF(J288="",0,J288)+IF(K288="",0,K288*10))/COUNT(E288,G288,H288,I288,J288,K288),1))</f>
        <v/>
      </c>
      <c r="M288">
        <f>IF(L288="","",IF(L288&gt;=85,"Excellent",IF(L288&gt;=70,"Good",IF(L288&gt;=55,"Mixed","Poor"))))</f>
        <v/>
      </c>
      <c r="N288" s="66" t="n"/>
      <c r="O288" t="inlineStr">
        <is>
          <t>https://www.imdb.com/find/?q=Snow+White+and+the+Huntsman+2012</t>
        </is>
      </c>
      <c r="P288" t="inlineStr">
        <is>
          <t>https://www.rottentomatoes.com/search?search=Snow+White+and+the+Huntsman</t>
        </is>
      </c>
      <c r="Q288" t="inlineStr">
        <is>
          <t>https://letterboxd.com/search/Snow%20White%20and%20the%20Huntsman/</t>
        </is>
      </c>
      <c r="R288" t="inlineStr">
        <is>
          <t>https://www.metacritic.com/search/Snow+White+and+the+Huntsman/</t>
        </is>
      </c>
    </row>
    <row r="289">
      <c r="A289" t="inlineStr">
        <is>
          <t>F0285</t>
        </is>
      </c>
      <c r="B289" t="inlineStr">
        <is>
          <t>Source Code</t>
        </is>
      </c>
      <c r="C289" s="63" t="inlineStr">
        <is>
          <t>2011</t>
        </is>
      </c>
      <c r="E289" s="82" t="n"/>
      <c r="F289" s="85" t="n"/>
      <c r="G289" s="71" t="n"/>
      <c r="H289" s="71" t="n"/>
      <c r="I289" s="83" t="n"/>
      <c r="J289" s="71" t="n"/>
      <c r="K289" s="82" t="n"/>
      <c r="L289" s="82">
        <f>IF(COUNT(E289,G289,H289,I289,J289,K289)=0,"",ROUND((IF(E289="",0,E289*10)+IF(G289="",0,G289)+IF(H289="",0,H289)+IF(I289="",0,I289*20)+IF(J289="",0,J289)+IF(K289="",0,K289*10))/COUNT(E289,G289,H289,I289,J289,K289),1))</f>
        <v/>
      </c>
      <c r="M289">
        <f>IF(L289="","",IF(L289&gt;=85,"Excellent",IF(L289&gt;=70,"Good",IF(L289&gt;=55,"Mixed","Poor"))))</f>
        <v/>
      </c>
      <c r="N289" s="66" t="n"/>
      <c r="O289" t="inlineStr">
        <is>
          <t>https://www.imdb.com/find/?q=Source+Code+2011</t>
        </is>
      </c>
      <c r="P289" t="inlineStr">
        <is>
          <t>https://www.rottentomatoes.com/search?search=Source+Code</t>
        </is>
      </c>
      <c r="Q289" t="inlineStr">
        <is>
          <t>https://letterboxd.com/search/Source%20Code/</t>
        </is>
      </c>
      <c r="R289" t="inlineStr">
        <is>
          <t>https://www.metacritic.com/search/Source+Code/</t>
        </is>
      </c>
    </row>
    <row r="290">
      <c r="A290" t="inlineStr">
        <is>
          <t>F0286</t>
        </is>
      </c>
      <c r="B290" t="inlineStr">
        <is>
          <t>Southpaw</t>
        </is>
      </c>
      <c r="C290" s="63" t="inlineStr">
        <is>
          <t>2015</t>
        </is>
      </c>
      <c r="E290" s="82" t="n"/>
      <c r="F290" s="85" t="n"/>
      <c r="G290" s="71" t="n"/>
      <c r="H290" s="71" t="n"/>
      <c r="I290" s="83" t="n"/>
      <c r="J290" s="71" t="n"/>
      <c r="K290" s="82" t="n"/>
      <c r="L290" s="82">
        <f>IF(COUNT(E290,G290,H290,I290,J290,K290)=0,"",ROUND((IF(E290="",0,E290*10)+IF(G290="",0,G290)+IF(H290="",0,H290)+IF(I290="",0,I290*20)+IF(J290="",0,J290)+IF(K290="",0,K290*10))/COUNT(E290,G290,H290,I290,J290,K290),1))</f>
        <v/>
      </c>
      <c r="M290">
        <f>IF(L290="","",IF(L290&gt;=85,"Excellent",IF(L290&gt;=70,"Good",IF(L290&gt;=55,"Mixed","Poor"))))</f>
        <v/>
      </c>
      <c r="N290" s="66" t="n"/>
      <c r="O290" t="inlineStr">
        <is>
          <t>https://www.imdb.com/find/?q=Southpaw+2015</t>
        </is>
      </c>
      <c r="P290" t="inlineStr">
        <is>
          <t>https://www.rottentomatoes.com/search?search=Southpaw</t>
        </is>
      </c>
      <c r="Q290" t="inlineStr">
        <is>
          <t>https://letterboxd.com/search/Southpaw/</t>
        </is>
      </c>
      <c r="R290" t="inlineStr">
        <is>
          <t>https://www.metacritic.com/search/Southpaw/</t>
        </is>
      </c>
    </row>
    <row r="291">
      <c r="A291" t="inlineStr">
        <is>
          <t>F0287</t>
        </is>
      </c>
      <c r="B291" t="inlineStr">
        <is>
          <t>Spider-Man</t>
        </is>
      </c>
      <c r="C291" s="63" t="inlineStr">
        <is>
          <t>2002</t>
        </is>
      </c>
      <c r="E291" s="82" t="n"/>
      <c r="F291" s="85" t="n"/>
      <c r="G291" s="71" t="n"/>
      <c r="H291" s="71" t="n"/>
      <c r="I291" s="83" t="n"/>
      <c r="J291" s="71" t="n"/>
      <c r="K291" s="82" t="n"/>
      <c r="L291" s="82">
        <f>IF(COUNT(E291,G291,H291,I291,J291,K291)=0,"",ROUND((IF(E291="",0,E291*10)+IF(G291="",0,G291)+IF(H291="",0,H291)+IF(I291="",0,I291*20)+IF(J291="",0,J291)+IF(K291="",0,K291*10))/COUNT(E291,G291,H291,I291,J291,K291),1))</f>
        <v/>
      </c>
      <c r="M291">
        <f>IF(L291="","",IF(L291&gt;=85,"Excellent",IF(L291&gt;=70,"Good",IF(L291&gt;=55,"Mixed","Poor"))))</f>
        <v/>
      </c>
      <c r="N291" s="66" t="n"/>
      <c r="O291" t="inlineStr">
        <is>
          <t>https://www.imdb.com/find/?q=Spider-Man+2002</t>
        </is>
      </c>
      <c r="P291" t="inlineStr">
        <is>
          <t>https://www.rottentomatoes.com/search?search=Spider-Man</t>
        </is>
      </c>
      <c r="Q291" t="inlineStr">
        <is>
          <t>https://letterboxd.com/search/Spider-Man/</t>
        </is>
      </c>
      <c r="R291" t="inlineStr">
        <is>
          <t>https://www.metacritic.com/search/Spider-Man/</t>
        </is>
      </c>
    </row>
    <row r="292">
      <c r="A292" t="inlineStr">
        <is>
          <t>F0288</t>
        </is>
      </c>
      <c r="B292" t="inlineStr">
        <is>
          <t>Spider-Man 2</t>
        </is>
      </c>
      <c r="C292" s="63" t="inlineStr">
        <is>
          <t>2004</t>
        </is>
      </c>
      <c r="E292" s="82" t="n"/>
      <c r="F292" s="85" t="n"/>
      <c r="G292" s="71" t="n"/>
      <c r="H292" s="71" t="n"/>
      <c r="I292" s="83" t="n"/>
      <c r="J292" s="71" t="n"/>
      <c r="K292" s="82" t="n"/>
      <c r="L292" s="82">
        <f>IF(COUNT(E292,G292,H292,I292,J292,K292)=0,"",ROUND((IF(E292="",0,E292*10)+IF(G292="",0,G292)+IF(H292="",0,H292)+IF(I292="",0,I292*20)+IF(J292="",0,J292)+IF(K292="",0,K292*10))/COUNT(E292,G292,H292,I292,J292,K292),1))</f>
        <v/>
      </c>
      <c r="M292">
        <f>IF(L292="","",IF(L292&gt;=85,"Excellent",IF(L292&gt;=70,"Good",IF(L292&gt;=55,"Mixed","Poor"))))</f>
        <v/>
      </c>
      <c r="N292" s="66" t="n"/>
      <c r="O292" t="inlineStr">
        <is>
          <t>https://www.imdb.com/find/?q=Spider-Man+2+2004</t>
        </is>
      </c>
      <c r="P292" t="inlineStr">
        <is>
          <t>https://www.rottentomatoes.com/search?search=Spider-Man+2</t>
        </is>
      </c>
      <c r="Q292" t="inlineStr">
        <is>
          <t>https://letterboxd.com/search/Spider-Man%202/</t>
        </is>
      </c>
      <c r="R292" t="inlineStr">
        <is>
          <t>https://www.metacritic.com/search/Spider-Man+2/</t>
        </is>
      </c>
    </row>
    <row r="293">
      <c r="A293" t="inlineStr">
        <is>
          <t>F0289</t>
        </is>
      </c>
      <c r="B293" t="inlineStr">
        <is>
          <t>Spider-Man 3</t>
        </is>
      </c>
      <c r="C293" s="63" t="inlineStr">
        <is>
          <t>2007</t>
        </is>
      </c>
      <c r="E293" s="82" t="n"/>
      <c r="F293" s="85" t="n"/>
      <c r="G293" s="71" t="n"/>
      <c r="H293" s="71" t="n"/>
      <c r="I293" s="83" t="n"/>
      <c r="J293" s="71" t="n"/>
      <c r="K293" s="82" t="n"/>
      <c r="L293" s="82">
        <f>IF(COUNT(E293,G293,H293,I293,J293,K293)=0,"",ROUND((IF(E293="",0,E293*10)+IF(G293="",0,G293)+IF(H293="",0,H293)+IF(I293="",0,I293*20)+IF(J293="",0,J293)+IF(K293="",0,K293*10))/COUNT(E293,G293,H293,I293,J293,K293),1))</f>
        <v/>
      </c>
      <c r="M293">
        <f>IF(L293="","",IF(L293&gt;=85,"Excellent",IF(L293&gt;=70,"Good",IF(L293&gt;=55,"Mixed","Poor"))))</f>
        <v/>
      </c>
      <c r="N293" s="66" t="n"/>
      <c r="O293" t="inlineStr">
        <is>
          <t>https://www.imdb.com/find/?q=Spider-Man+3+2007</t>
        </is>
      </c>
      <c r="P293" t="inlineStr">
        <is>
          <t>https://www.rottentomatoes.com/search?search=Spider-Man+3</t>
        </is>
      </c>
      <c r="Q293" t="inlineStr">
        <is>
          <t>https://letterboxd.com/search/Spider-Man%203/</t>
        </is>
      </c>
      <c r="R293" t="inlineStr">
        <is>
          <t>https://www.metacritic.com/search/Spider-Man+3/</t>
        </is>
      </c>
    </row>
    <row r="294">
      <c r="A294" t="inlineStr">
        <is>
          <t>F0290</t>
        </is>
      </c>
      <c r="B294" t="inlineStr">
        <is>
          <t>Spy</t>
        </is>
      </c>
      <c r="C294" s="63" t="inlineStr">
        <is>
          <t>2015</t>
        </is>
      </c>
      <c r="E294" s="82" t="n"/>
      <c r="F294" s="85" t="n"/>
      <c r="G294" s="71" t="n"/>
      <c r="H294" s="71" t="n"/>
      <c r="I294" s="83" t="n"/>
      <c r="J294" s="71" t="n"/>
      <c r="K294" s="82" t="n"/>
      <c r="L294" s="82">
        <f>IF(COUNT(E294,G294,H294,I294,J294,K294)=0,"",ROUND((IF(E294="",0,E294*10)+IF(G294="",0,G294)+IF(H294="",0,H294)+IF(I294="",0,I294*20)+IF(J294="",0,J294)+IF(K294="",0,K294*10))/COUNT(E294,G294,H294,I294,J294,K294),1))</f>
        <v/>
      </c>
      <c r="M294">
        <f>IF(L294="","",IF(L294&gt;=85,"Excellent",IF(L294&gt;=70,"Good",IF(L294&gt;=55,"Mixed","Poor"))))</f>
        <v/>
      </c>
      <c r="N294" s="66" t="n"/>
      <c r="O294" t="inlineStr">
        <is>
          <t>https://www.imdb.com/find/?q=Spy+2015</t>
        </is>
      </c>
      <c r="P294" t="inlineStr">
        <is>
          <t>https://www.rottentomatoes.com/search?search=Spy</t>
        </is>
      </c>
      <c r="Q294" t="inlineStr">
        <is>
          <t>https://letterboxd.com/search/Spy/</t>
        </is>
      </c>
      <c r="R294" t="inlineStr">
        <is>
          <t>https://www.metacritic.com/search/Spy/</t>
        </is>
      </c>
    </row>
    <row r="295">
      <c r="A295" t="inlineStr">
        <is>
          <t>F0291</t>
        </is>
      </c>
      <c r="B295" t="inlineStr">
        <is>
          <t>Star Trek</t>
        </is>
      </c>
      <c r="C295" s="63" t="inlineStr">
        <is>
          <t>2009</t>
        </is>
      </c>
      <c r="E295" s="82" t="n"/>
      <c r="F295" s="85" t="n"/>
      <c r="G295" s="71" t="n"/>
      <c r="H295" s="71" t="n"/>
      <c r="I295" s="83" t="n"/>
      <c r="J295" s="71" t="n"/>
      <c r="K295" s="82" t="n"/>
      <c r="L295" s="82">
        <f>IF(COUNT(E295,G295,H295,I295,J295,K295)=0,"",ROUND((IF(E295="",0,E295*10)+IF(G295="",0,G295)+IF(H295="",0,H295)+IF(I295="",0,I295*20)+IF(J295="",0,J295)+IF(K295="",0,K295*10))/COUNT(E295,G295,H295,I295,J295,K295),1))</f>
        <v/>
      </c>
      <c r="M295">
        <f>IF(L295="","",IF(L295&gt;=85,"Excellent",IF(L295&gt;=70,"Good",IF(L295&gt;=55,"Mixed","Poor"))))</f>
        <v/>
      </c>
      <c r="N295" s="66" t="n"/>
      <c r="O295" t="inlineStr">
        <is>
          <t>https://www.imdb.com/find/?q=Star+Trek+2009</t>
        </is>
      </c>
      <c r="P295" t="inlineStr">
        <is>
          <t>https://www.rottentomatoes.com/search?search=Star+Trek</t>
        </is>
      </c>
      <c r="Q295" t="inlineStr">
        <is>
          <t>https://letterboxd.com/search/Star%20Trek/</t>
        </is>
      </c>
      <c r="R295" t="inlineStr">
        <is>
          <t>https://www.metacritic.com/search/Star+Trek/</t>
        </is>
      </c>
    </row>
    <row r="296">
      <c r="A296" t="inlineStr">
        <is>
          <t>F0292</t>
        </is>
      </c>
      <c r="B296" t="inlineStr">
        <is>
          <t>Star Wars: Episode I – The Phantom Menace</t>
        </is>
      </c>
      <c r="C296" s="63" t="inlineStr">
        <is>
          <t>1999</t>
        </is>
      </c>
      <c r="E296" s="82" t="n"/>
      <c r="F296" s="85" t="n"/>
      <c r="G296" s="71" t="n"/>
      <c r="H296" s="71" t="n"/>
      <c r="I296" s="83" t="n"/>
      <c r="J296" s="71" t="n"/>
      <c r="K296" s="82" t="n"/>
      <c r="L296" s="82">
        <f>IF(COUNT(E296,G296,H296,I296,J296,K296)=0,"",ROUND((IF(E296="",0,E296*10)+IF(G296="",0,G296)+IF(H296="",0,H296)+IF(I296="",0,I296*20)+IF(J296="",0,J296)+IF(K296="",0,K296*10))/COUNT(E296,G296,H296,I296,J296,K296),1))</f>
        <v/>
      </c>
      <c r="M296">
        <f>IF(L296="","",IF(L296&gt;=85,"Excellent",IF(L296&gt;=70,"Good",IF(L296&gt;=55,"Mixed","Poor"))))</f>
        <v/>
      </c>
      <c r="N296" s="66" t="n"/>
      <c r="O296" t="inlineStr">
        <is>
          <t>https://www.imdb.com/find/?q=Star+Wars%3A+Episode+I+%E2%80%93+The+Phantom+Menace+1999</t>
        </is>
      </c>
      <c r="P296" t="inlineStr">
        <is>
          <t>https://www.rottentomatoes.com/search?search=Star+Wars%3A+Episode+I+%E2%80%93+The+Phantom+Menace</t>
        </is>
      </c>
      <c r="Q296" t="inlineStr">
        <is>
          <t>https://letterboxd.com/search/Star%20Wars%3A%20Episode%20I%20%E2%80%93%20The%20Phantom%20Menace/</t>
        </is>
      </c>
      <c r="R296" t="inlineStr">
        <is>
          <t>https://www.metacritic.com/search/Star+Wars%3A+Episode+I+%E2%80%93+The+Phantom+Menace/</t>
        </is>
      </c>
    </row>
    <row r="297">
      <c r="A297" t="inlineStr">
        <is>
          <t>F0293</t>
        </is>
      </c>
      <c r="B297" t="inlineStr">
        <is>
          <t>Star Wars: Episode II – Attack of the Clones</t>
        </is>
      </c>
      <c r="C297" s="63" t="inlineStr">
        <is>
          <t>2002</t>
        </is>
      </c>
      <c r="E297" s="82" t="n"/>
      <c r="F297" s="85" t="n"/>
      <c r="G297" s="71" t="n"/>
      <c r="H297" s="71" t="n"/>
      <c r="I297" s="83" t="n"/>
      <c r="J297" s="71" t="n"/>
      <c r="K297" s="82" t="n"/>
      <c r="L297" s="82">
        <f>IF(COUNT(E297,G297,H297,I297,J297,K297)=0,"",ROUND((IF(E297="",0,E297*10)+IF(G297="",0,G297)+IF(H297="",0,H297)+IF(I297="",0,I297*20)+IF(J297="",0,J297)+IF(K297="",0,K297*10))/COUNT(E297,G297,H297,I297,J297,K297),1))</f>
        <v/>
      </c>
      <c r="M297">
        <f>IF(L297="","",IF(L297&gt;=85,"Excellent",IF(L297&gt;=70,"Good",IF(L297&gt;=55,"Mixed","Poor"))))</f>
        <v/>
      </c>
      <c r="N297" s="66" t="n"/>
      <c r="O297" t="inlineStr">
        <is>
          <t>https://www.imdb.com/find/?q=Star+Wars%3A+Episode+II+%E2%80%93+Attack+of+the+Clones+2002</t>
        </is>
      </c>
      <c r="P297" t="inlineStr">
        <is>
          <t>https://www.rottentomatoes.com/search?search=Star+Wars%3A+Episode+II+%E2%80%93+Attack+of+the+Clones</t>
        </is>
      </c>
      <c r="Q297" t="inlineStr">
        <is>
          <t>https://letterboxd.com/search/Star%20Wars%3A%20Episode%20II%20%E2%80%93%20Attack%20of%20the%20Clones/</t>
        </is>
      </c>
      <c r="R297" t="inlineStr">
        <is>
          <t>https://www.metacritic.com/search/Star+Wars%3A+Episode+II+%E2%80%93+Attack+of+the+Clones/</t>
        </is>
      </c>
    </row>
    <row r="298">
      <c r="A298" t="inlineStr">
        <is>
          <t>F0294</t>
        </is>
      </c>
      <c r="B298" t="inlineStr">
        <is>
          <t>Star Wars: Episode III – Revenge of the Sith</t>
        </is>
      </c>
      <c r="C298" s="63" t="inlineStr">
        <is>
          <t>2005</t>
        </is>
      </c>
      <c r="E298" s="82" t="n"/>
      <c r="F298" s="85" t="n"/>
      <c r="G298" s="71" t="n"/>
      <c r="H298" s="71" t="n"/>
      <c r="I298" s="83" t="n"/>
      <c r="J298" s="71" t="n"/>
      <c r="K298" s="82" t="n"/>
      <c r="L298" s="82">
        <f>IF(COUNT(E298,G298,H298,I298,J298,K298)=0,"",ROUND((IF(E298="",0,E298*10)+IF(G298="",0,G298)+IF(H298="",0,H298)+IF(I298="",0,I298*20)+IF(J298="",0,J298)+IF(K298="",0,K298*10))/COUNT(E298,G298,H298,I298,J298,K298),1))</f>
        <v/>
      </c>
      <c r="M298">
        <f>IF(L298="","",IF(L298&gt;=85,"Excellent",IF(L298&gt;=70,"Good",IF(L298&gt;=55,"Mixed","Poor"))))</f>
        <v/>
      </c>
      <c r="N298" s="66" t="n"/>
      <c r="O298" t="inlineStr">
        <is>
          <t>https://www.imdb.com/find/?q=Star+Wars%3A+Episode+III+%E2%80%93+Revenge+of+the+Sith+2005</t>
        </is>
      </c>
      <c r="P298" t="inlineStr">
        <is>
          <t>https://www.rottentomatoes.com/search?search=Star+Wars%3A+Episode+III+%E2%80%93+Revenge+of+the+Sith</t>
        </is>
      </c>
      <c r="Q298" t="inlineStr">
        <is>
          <t>https://letterboxd.com/search/Star%20Wars%3A%20Episode%20III%20%E2%80%93%20Revenge%20of%20the%20Sith/</t>
        </is>
      </c>
      <c r="R298" t="inlineStr">
        <is>
          <t>https://www.metacritic.com/search/Star+Wars%3A+Episode+III+%E2%80%93+Revenge+of+the+Sith/</t>
        </is>
      </c>
    </row>
    <row r="299">
      <c r="A299" t="inlineStr">
        <is>
          <t>F0295</t>
        </is>
      </c>
      <c r="B299" t="inlineStr">
        <is>
          <t>Star Wars: Episode IV – A New Hope</t>
        </is>
      </c>
      <c r="C299" s="63" t="inlineStr">
        <is>
          <t>1977</t>
        </is>
      </c>
      <c r="E299" s="82" t="n"/>
      <c r="F299" s="85" t="n"/>
      <c r="G299" s="71" t="n"/>
      <c r="H299" s="71" t="n"/>
      <c r="I299" s="83" t="n"/>
      <c r="J299" s="71" t="n"/>
      <c r="K299" s="82" t="n"/>
      <c r="L299" s="82">
        <f>IF(COUNT(E299,G299,H299,I299,J299,K299)=0,"",ROUND((IF(E299="",0,E299*10)+IF(G299="",0,G299)+IF(H299="",0,H299)+IF(I299="",0,I299*20)+IF(J299="",0,J299)+IF(K299="",0,K299*10))/COUNT(E299,G299,H299,I299,J299,K299),1))</f>
        <v/>
      </c>
      <c r="M299">
        <f>IF(L299="","",IF(L299&gt;=85,"Excellent",IF(L299&gt;=70,"Good",IF(L299&gt;=55,"Mixed","Poor"))))</f>
        <v/>
      </c>
      <c r="N299" s="66" t="n"/>
      <c r="O299" t="inlineStr">
        <is>
          <t>https://www.imdb.com/find/?q=Star+Wars%3A+Episode+IV+%E2%80%93+A+New+Hope+1977</t>
        </is>
      </c>
      <c r="P299" t="inlineStr">
        <is>
          <t>https://www.rottentomatoes.com/search?search=Star+Wars%3A+Episode+IV+%E2%80%93+A+New+Hope</t>
        </is>
      </c>
      <c r="Q299" t="inlineStr">
        <is>
          <t>https://letterboxd.com/search/Star%20Wars%3A%20Episode%20IV%20%E2%80%93%20A%20New%20Hope/</t>
        </is>
      </c>
      <c r="R299" t="inlineStr">
        <is>
          <t>https://www.metacritic.com/search/Star+Wars%3A+Episode+IV+%E2%80%93+A+New+Hope/</t>
        </is>
      </c>
    </row>
    <row r="300">
      <c r="A300" t="inlineStr">
        <is>
          <t>F0296</t>
        </is>
      </c>
      <c r="B300" t="inlineStr">
        <is>
          <t>Star Wars: Episode V – The Empire Strikes Back</t>
        </is>
      </c>
      <c r="C300" s="63" t="inlineStr">
        <is>
          <t>1980</t>
        </is>
      </c>
      <c r="E300" s="82" t="n"/>
      <c r="F300" s="85" t="n"/>
      <c r="G300" s="71" t="n"/>
      <c r="H300" s="71" t="n"/>
      <c r="I300" s="83" t="n"/>
      <c r="J300" s="71" t="n"/>
      <c r="K300" s="82" t="n"/>
      <c r="L300" s="82">
        <f>IF(COUNT(E300,G300,H300,I300,J300,K300)=0,"",ROUND((IF(E300="",0,E300*10)+IF(G300="",0,G300)+IF(H300="",0,H300)+IF(I300="",0,I300*20)+IF(J300="",0,J300)+IF(K300="",0,K300*10))/COUNT(E300,G300,H300,I300,J300,K300),1))</f>
        <v/>
      </c>
      <c r="M300">
        <f>IF(L300="","",IF(L300&gt;=85,"Excellent",IF(L300&gt;=70,"Good",IF(L300&gt;=55,"Mixed","Poor"))))</f>
        <v/>
      </c>
      <c r="N300" s="66" t="n"/>
      <c r="O300" t="inlineStr">
        <is>
          <t>https://www.imdb.com/find/?q=Star+Wars%3A+Episode+V+%E2%80%93+The+Empire+Strikes+Back+1980</t>
        </is>
      </c>
      <c r="P300" t="inlineStr">
        <is>
          <t>https://www.rottentomatoes.com/search?search=Star+Wars%3A+Episode+V+%E2%80%93+The+Empire+Strikes+Back</t>
        </is>
      </c>
      <c r="Q300" t="inlineStr">
        <is>
          <t>https://letterboxd.com/search/Star%20Wars%3A%20Episode%20V%20%E2%80%93%20The%20Empire%20Strikes%20Back/</t>
        </is>
      </c>
      <c r="R300" t="inlineStr">
        <is>
          <t>https://www.metacritic.com/search/Star+Wars%3A+Episode+V+%E2%80%93+The+Empire+Strikes+Back/</t>
        </is>
      </c>
    </row>
    <row r="301">
      <c r="A301" t="inlineStr">
        <is>
          <t>F0297</t>
        </is>
      </c>
      <c r="B301" t="inlineStr">
        <is>
          <t>Star Wars: Episode VI – Return of the Jedi</t>
        </is>
      </c>
      <c r="C301" s="63" t="inlineStr">
        <is>
          <t>1983</t>
        </is>
      </c>
      <c r="E301" s="82" t="n"/>
      <c r="F301" s="85" t="n"/>
      <c r="G301" s="71" t="n"/>
      <c r="H301" s="71" t="n"/>
      <c r="I301" s="83" t="n"/>
      <c r="J301" s="71" t="n"/>
      <c r="K301" s="82" t="n"/>
      <c r="L301" s="82">
        <f>IF(COUNT(E301,G301,H301,I301,J301,K301)=0,"",ROUND((IF(E301="",0,E301*10)+IF(G301="",0,G301)+IF(H301="",0,H301)+IF(I301="",0,I301*20)+IF(J301="",0,J301)+IF(K301="",0,K301*10))/COUNT(E301,G301,H301,I301,J301,K301),1))</f>
        <v/>
      </c>
      <c r="M301">
        <f>IF(L301="","",IF(L301&gt;=85,"Excellent",IF(L301&gt;=70,"Good",IF(L301&gt;=55,"Mixed","Poor"))))</f>
        <v/>
      </c>
      <c r="N301" s="66" t="n"/>
      <c r="O301" t="inlineStr">
        <is>
          <t>https://www.imdb.com/find/?q=Star+Wars%3A+Episode+VI+%E2%80%93+Return+of+the+Jedi+1983</t>
        </is>
      </c>
      <c r="P301" t="inlineStr">
        <is>
          <t>https://www.rottentomatoes.com/search?search=Star+Wars%3A+Episode+VI+%E2%80%93+Return+of+the+Jedi</t>
        </is>
      </c>
      <c r="Q301" t="inlineStr">
        <is>
          <t>https://letterboxd.com/search/Star%20Wars%3A%20Episode%20VI%20%E2%80%93%20Return%20of%20the%20Jedi/</t>
        </is>
      </c>
      <c r="R301" t="inlineStr">
        <is>
          <t>https://www.metacritic.com/search/Star+Wars%3A+Episode+VI+%E2%80%93+Return+of+the+Jedi/</t>
        </is>
      </c>
    </row>
    <row r="302">
      <c r="A302" t="inlineStr">
        <is>
          <t>F0298</t>
        </is>
      </c>
      <c r="B302" t="inlineStr">
        <is>
          <t>Star Wars: The Force Awakens</t>
        </is>
      </c>
      <c r="C302" s="63" t="inlineStr">
        <is>
          <t>2015</t>
        </is>
      </c>
      <c r="E302" s="82" t="n"/>
      <c r="F302" s="85" t="n"/>
      <c r="G302" s="71" t="n"/>
      <c r="H302" s="71" t="n"/>
      <c r="I302" s="83" t="n"/>
      <c r="J302" s="71" t="n"/>
      <c r="K302" s="82" t="n"/>
      <c r="L302" s="82">
        <f>IF(COUNT(E302,G302,H302,I302,J302,K302)=0,"",ROUND((IF(E302="",0,E302*10)+IF(G302="",0,G302)+IF(H302="",0,H302)+IF(I302="",0,I302*20)+IF(J302="",0,J302)+IF(K302="",0,K302*10))/COUNT(E302,G302,H302,I302,J302,K302),1))</f>
        <v/>
      </c>
      <c r="M302">
        <f>IF(L302="","",IF(L302&gt;=85,"Excellent",IF(L302&gt;=70,"Good",IF(L302&gt;=55,"Mixed","Poor"))))</f>
        <v/>
      </c>
      <c r="N302" s="66" t="n"/>
      <c r="O302" t="inlineStr">
        <is>
          <t>https://www.imdb.com/find/?q=Star+Wars%3A+The+Force+Awakens+2015</t>
        </is>
      </c>
      <c r="P302" t="inlineStr">
        <is>
          <t>https://www.rottentomatoes.com/search?search=Star+Wars%3A+The+Force+Awakens</t>
        </is>
      </c>
      <c r="Q302" t="inlineStr">
        <is>
          <t>https://letterboxd.com/search/Star%20Wars%3A%20The%20Force%20Awakens/</t>
        </is>
      </c>
      <c r="R302" t="inlineStr">
        <is>
          <t>https://www.metacritic.com/search/Star+Wars%3A+The+Force+Awakens/</t>
        </is>
      </c>
    </row>
    <row r="303">
      <c r="A303" t="inlineStr">
        <is>
          <t>F0299</t>
        </is>
      </c>
      <c r="B303" t="inlineStr">
        <is>
          <t>Star Wars: The Last Jedi</t>
        </is>
      </c>
      <c r="C303" s="63" t="inlineStr">
        <is>
          <t>2017</t>
        </is>
      </c>
      <c r="E303" s="82" t="n"/>
      <c r="F303" s="85" t="n"/>
      <c r="G303" s="71" t="n"/>
      <c r="H303" s="71" t="n"/>
      <c r="I303" s="83" t="n"/>
      <c r="J303" s="71" t="n"/>
      <c r="K303" s="82" t="n"/>
      <c r="L303" s="82">
        <f>IF(COUNT(E303,G303,H303,I303,J303,K303)=0,"",ROUND((IF(E303="",0,E303*10)+IF(G303="",0,G303)+IF(H303="",0,H303)+IF(I303="",0,I303*20)+IF(J303="",0,J303)+IF(K303="",0,K303*10))/COUNT(E303,G303,H303,I303,J303,K303),1))</f>
        <v/>
      </c>
      <c r="M303">
        <f>IF(L303="","",IF(L303&gt;=85,"Excellent",IF(L303&gt;=70,"Good",IF(L303&gt;=55,"Mixed","Poor"))))</f>
        <v/>
      </c>
      <c r="N303" s="66" t="n"/>
      <c r="O303" t="inlineStr">
        <is>
          <t>https://www.imdb.com/find/?q=Star+Wars%3A+The+Last+Jedi+2017</t>
        </is>
      </c>
      <c r="P303" t="inlineStr">
        <is>
          <t>https://www.rottentomatoes.com/search?search=Star+Wars%3A+The+Last+Jedi</t>
        </is>
      </c>
      <c r="Q303" t="inlineStr">
        <is>
          <t>https://letterboxd.com/search/Star%20Wars%3A%20The%20Last%20Jedi/</t>
        </is>
      </c>
      <c r="R303" t="inlineStr">
        <is>
          <t>https://www.metacritic.com/search/Star+Wars%3A+The+Last+Jedi/</t>
        </is>
      </c>
    </row>
    <row r="304">
      <c r="A304" t="inlineStr">
        <is>
          <t>F0300</t>
        </is>
      </c>
      <c r="B304" t="inlineStr">
        <is>
          <t>Star Wars: The Rise of Skywalker</t>
        </is>
      </c>
      <c r="C304" s="63" t="inlineStr">
        <is>
          <t>2019</t>
        </is>
      </c>
      <c r="E304" s="82" t="n"/>
      <c r="F304" s="85" t="n"/>
      <c r="G304" s="71" t="n"/>
      <c r="H304" s="71" t="n"/>
      <c r="I304" s="83" t="n"/>
      <c r="J304" s="71" t="n"/>
      <c r="K304" s="82" t="n"/>
      <c r="L304" s="82">
        <f>IF(COUNT(E304,G304,H304,I304,J304,K304)=0,"",ROUND((IF(E304="",0,E304*10)+IF(G304="",0,G304)+IF(H304="",0,H304)+IF(I304="",0,I304*20)+IF(J304="",0,J304)+IF(K304="",0,K304*10))/COUNT(E304,G304,H304,I304,J304,K304),1))</f>
        <v/>
      </c>
      <c r="M304">
        <f>IF(L304="","",IF(L304&gt;=85,"Excellent",IF(L304&gt;=70,"Good",IF(L304&gt;=55,"Mixed","Poor"))))</f>
        <v/>
      </c>
      <c r="N304" s="66" t="n"/>
      <c r="O304" t="inlineStr">
        <is>
          <t>https://www.imdb.com/find/?q=Star+Wars%3A+The+Rise+of+Skywalker+2019</t>
        </is>
      </c>
      <c r="P304" t="inlineStr">
        <is>
          <t>https://www.rottentomatoes.com/search?search=Star+Wars%3A+The+Rise+of+Skywalker</t>
        </is>
      </c>
      <c r="Q304" t="inlineStr">
        <is>
          <t>https://letterboxd.com/search/Star%20Wars%3A%20The%20Rise%20of%20Skywalker/</t>
        </is>
      </c>
      <c r="R304" t="inlineStr">
        <is>
          <t>https://www.metacritic.com/search/Star+Wars%3A+The+Rise+of+Skywalker/</t>
        </is>
      </c>
    </row>
    <row r="305">
      <c r="A305" t="inlineStr">
        <is>
          <t>F0301</t>
        </is>
      </c>
      <c r="B305" t="inlineStr">
        <is>
          <t>Straight Outta Compton</t>
        </is>
      </c>
      <c r="C305" s="63" t="inlineStr">
        <is>
          <t>2015</t>
        </is>
      </c>
      <c r="E305" s="82" t="n"/>
      <c r="F305" s="85" t="n"/>
      <c r="G305" s="71" t="n"/>
      <c r="H305" s="71" t="n"/>
      <c r="I305" s="83" t="n"/>
      <c r="J305" s="71" t="n"/>
      <c r="K305" s="82" t="n"/>
      <c r="L305" s="82">
        <f>IF(COUNT(E305,G305,H305,I305,J305,K305)=0,"",ROUND((IF(E305="",0,E305*10)+IF(G305="",0,G305)+IF(H305="",0,H305)+IF(I305="",0,I305*20)+IF(J305="",0,J305)+IF(K305="",0,K305*10))/COUNT(E305,G305,H305,I305,J305,K305),1))</f>
        <v/>
      </c>
      <c r="M305">
        <f>IF(L305="","",IF(L305&gt;=85,"Excellent",IF(L305&gt;=70,"Good",IF(L305&gt;=55,"Mixed","Poor"))))</f>
        <v/>
      </c>
      <c r="N305" s="66" t="n"/>
      <c r="O305" t="inlineStr">
        <is>
          <t>https://www.imdb.com/find/?q=Straight+Outta+Compton+2015</t>
        </is>
      </c>
      <c r="P305" t="inlineStr">
        <is>
          <t>https://www.rottentomatoes.com/search?search=Straight+Outta+Compton</t>
        </is>
      </c>
      <c r="Q305" t="inlineStr">
        <is>
          <t>https://letterboxd.com/search/Straight%20Outta%20Compton/</t>
        </is>
      </c>
      <c r="R305" t="inlineStr">
        <is>
          <t>https://www.metacritic.com/search/Straight+Outta+Compton/</t>
        </is>
      </c>
    </row>
    <row r="306">
      <c r="A306" t="inlineStr">
        <is>
          <t>F0302</t>
        </is>
      </c>
      <c r="B306" t="inlineStr">
        <is>
          <t>Super 8</t>
        </is>
      </c>
      <c r="C306" s="63" t="inlineStr">
        <is>
          <t>2011</t>
        </is>
      </c>
      <c r="E306" s="82" t="n"/>
      <c r="F306" s="85" t="n"/>
      <c r="G306" s="71" t="n"/>
      <c r="H306" s="71" t="n"/>
      <c r="I306" s="83" t="n"/>
      <c r="J306" s="71" t="n"/>
      <c r="K306" s="82" t="n"/>
      <c r="L306" s="82">
        <f>IF(COUNT(E306,G306,H306,I306,J306,K306)=0,"",ROUND((IF(E306="",0,E306*10)+IF(G306="",0,G306)+IF(H306="",0,H306)+IF(I306="",0,I306*20)+IF(J306="",0,J306)+IF(K306="",0,K306*10))/COUNT(E306,G306,H306,I306,J306,K306),1))</f>
        <v/>
      </c>
      <c r="M306">
        <f>IF(L306="","",IF(L306&gt;=85,"Excellent",IF(L306&gt;=70,"Good",IF(L306&gt;=55,"Mixed","Poor"))))</f>
        <v/>
      </c>
      <c r="N306" s="66" t="n"/>
      <c r="O306" t="inlineStr">
        <is>
          <t>https://www.imdb.com/find/?q=Super+8+2011</t>
        </is>
      </c>
      <c r="P306" t="inlineStr">
        <is>
          <t>https://www.rottentomatoes.com/search?search=Super+8</t>
        </is>
      </c>
      <c r="Q306" t="inlineStr">
        <is>
          <t>https://letterboxd.com/search/Super%208/</t>
        </is>
      </c>
      <c r="R306" t="inlineStr">
        <is>
          <t>https://www.metacritic.com/search/Super+8/</t>
        </is>
      </c>
    </row>
    <row r="307">
      <c r="A307" t="inlineStr">
        <is>
          <t>F0303</t>
        </is>
      </c>
      <c r="B307" t="inlineStr">
        <is>
          <t>Superbad</t>
        </is>
      </c>
      <c r="C307" s="63" t="inlineStr">
        <is>
          <t>2007</t>
        </is>
      </c>
      <c r="E307" s="82" t="n"/>
      <c r="F307" s="85" t="n"/>
      <c r="G307" s="71" t="n"/>
      <c r="H307" s="71" t="n"/>
      <c r="I307" s="83" t="n"/>
      <c r="J307" s="71" t="n"/>
      <c r="K307" s="82" t="n"/>
      <c r="L307" s="82">
        <f>IF(COUNT(E307,G307,H307,I307,J307,K307)=0,"",ROUND((IF(E307="",0,E307*10)+IF(G307="",0,G307)+IF(H307="",0,H307)+IF(I307="",0,I307*20)+IF(J307="",0,J307)+IF(K307="",0,K307*10))/COUNT(E307,G307,H307,I307,J307,K307),1))</f>
        <v/>
      </c>
      <c r="M307">
        <f>IF(L307="","",IF(L307&gt;=85,"Excellent",IF(L307&gt;=70,"Good",IF(L307&gt;=55,"Mixed","Poor"))))</f>
        <v/>
      </c>
      <c r="N307" s="66" t="n"/>
      <c r="O307" t="inlineStr">
        <is>
          <t>https://www.imdb.com/find/?q=Superbad+2007</t>
        </is>
      </c>
      <c r="P307" t="inlineStr">
        <is>
          <t>https://www.rottentomatoes.com/search?search=Superbad</t>
        </is>
      </c>
      <c r="Q307" t="inlineStr">
        <is>
          <t>https://letterboxd.com/search/Superbad/</t>
        </is>
      </c>
      <c r="R307" t="inlineStr">
        <is>
          <t>https://www.metacritic.com/search/Superbad/</t>
        </is>
      </c>
    </row>
    <row r="308">
      <c r="A308" t="inlineStr">
        <is>
          <t>F0304</t>
        </is>
      </c>
      <c r="B308" t="inlineStr">
        <is>
          <t>Superman</t>
        </is>
      </c>
      <c r="C308" s="63" t="inlineStr">
        <is>
          <t>2025</t>
        </is>
      </c>
      <c r="E308" s="82" t="n"/>
      <c r="F308" s="85" t="n"/>
      <c r="G308" s="71" t="n"/>
      <c r="H308" s="71" t="n"/>
      <c r="I308" s="83" t="n"/>
      <c r="J308" s="71" t="n"/>
      <c r="K308" s="82" t="n"/>
      <c r="L308" s="82">
        <f>IF(COUNT(E308,G308,H308,I308,J308,K308)=0,"",ROUND((IF(E308="",0,E308*10)+IF(G308="",0,G308)+IF(H308="",0,H308)+IF(I308="",0,I308*20)+IF(J308="",0,J308)+IF(K308="",0,K308*10))/COUNT(E308,G308,H308,I308,J308,K308),1))</f>
        <v/>
      </c>
      <c r="M308">
        <f>IF(L308="","",IF(L308&gt;=85,"Excellent",IF(L308&gt;=70,"Good",IF(L308&gt;=55,"Mixed","Poor"))))</f>
        <v/>
      </c>
      <c r="N308" s="66" t="n"/>
      <c r="O308" t="inlineStr">
        <is>
          <t>https://www.imdb.com/find/?q=Superman+2025</t>
        </is>
      </c>
      <c r="P308" t="inlineStr">
        <is>
          <t>https://www.rottentomatoes.com/search?search=Superman</t>
        </is>
      </c>
      <c r="Q308" t="inlineStr">
        <is>
          <t>https://letterboxd.com/search/Superman/</t>
        </is>
      </c>
      <c r="R308" t="inlineStr">
        <is>
          <t>https://www.metacritic.com/search/Superman/</t>
        </is>
      </c>
    </row>
    <row r="309">
      <c r="A309" t="inlineStr">
        <is>
          <t>F0305</t>
        </is>
      </c>
      <c r="B309" t="inlineStr">
        <is>
          <t>The Sweeney</t>
        </is>
      </c>
      <c r="C309" s="63" t="inlineStr">
        <is>
          <t>2012</t>
        </is>
      </c>
      <c r="E309" s="82" t="n"/>
      <c r="F309" s="85" t="n"/>
      <c r="G309" s="71" t="n"/>
      <c r="H309" s="71" t="n"/>
      <c r="I309" s="83" t="n"/>
      <c r="J309" s="71" t="n"/>
      <c r="K309" s="82" t="n"/>
      <c r="L309" s="82">
        <f>IF(COUNT(E309,G309,H309,I309,J309,K309)=0,"",ROUND((IF(E309="",0,E309*10)+IF(G309="",0,G309)+IF(H309="",0,H309)+IF(I309="",0,I309*20)+IF(J309="",0,J309)+IF(K309="",0,K309*10))/COUNT(E309,G309,H309,I309,J309,K309),1))</f>
        <v/>
      </c>
      <c r="M309">
        <f>IF(L309="","",IF(L309&gt;=85,"Excellent",IF(L309&gt;=70,"Good",IF(L309&gt;=55,"Mixed","Poor"))))</f>
        <v/>
      </c>
      <c r="N309" s="66" t="n"/>
      <c r="O309" t="inlineStr">
        <is>
          <t>https://www.imdb.com/find/?q=The+Sweeney+2012</t>
        </is>
      </c>
      <c r="P309" t="inlineStr">
        <is>
          <t>https://www.rottentomatoes.com/search?search=The+Sweeney</t>
        </is>
      </c>
      <c r="Q309" t="inlineStr">
        <is>
          <t>https://letterboxd.com/search/The%20Sweeney/</t>
        </is>
      </c>
      <c r="R309" t="inlineStr">
        <is>
          <t>https://www.metacritic.com/search/The+Sweeney/</t>
        </is>
      </c>
    </row>
    <row r="310">
      <c r="A310" t="inlineStr">
        <is>
          <t>F0306</t>
        </is>
      </c>
      <c r="B310" t="inlineStr">
        <is>
          <t>Taken</t>
        </is>
      </c>
      <c r="C310" s="63" t="inlineStr">
        <is>
          <t>2008</t>
        </is>
      </c>
      <c r="E310" s="82" t="n"/>
      <c r="F310" s="85" t="n"/>
      <c r="G310" s="71" t="n"/>
      <c r="H310" s="71" t="n"/>
      <c r="I310" s="83" t="n"/>
      <c r="J310" s="71" t="n"/>
      <c r="K310" s="82" t="n"/>
      <c r="L310" s="82">
        <f>IF(COUNT(E310,G310,H310,I310,J310,K310)=0,"",ROUND((IF(E310="",0,E310*10)+IF(G310="",0,G310)+IF(H310="",0,H310)+IF(I310="",0,I310*20)+IF(J310="",0,J310)+IF(K310="",0,K310*10))/COUNT(E310,G310,H310,I310,J310,K310),1))</f>
        <v/>
      </c>
      <c r="M310">
        <f>IF(L310="","",IF(L310&gt;=85,"Excellent",IF(L310&gt;=70,"Good",IF(L310&gt;=55,"Mixed","Poor"))))</f>
        <v/>
      </c>
      <c r="N310" s="66" t="n"/>
      <c r="O310" t="inlineStr">
        <is>
          <t>https://www.imdb.com/find/?q=Taken+2008</t>
        </is>
      </c>
      <c r="P310" t="inlineStr">
        <is>
          <t>https://www.rottentomatoes.com/search?search=Taken</t>
        </is>
      </c>
      <c r="Q310" t="inlineStr">
        <is>
          <t>https://letterboxd.com/search/Taken/</t>
        </is>
      </c>
      <c r="R310" t="inlineStr">
        <is>
          <t>https://www.metacritic.com/search/Taken/</t>
        </is>
      </c>
    </row>
    <row r="311">
      <c r="A311" t="inlineStr">
        <is>
          <t>F0307</t>
        </is>
      </c>
      <c r="B311" t="inlineStr">
        <is>
          <t>Taken 2</t>
        </is>
      </c>
      <c r="C311" s="63" t="inlineStr">
        <is>
          <t>2012</t>
        </is>
      </c>
      <c r="E311" s="82" t="n"/>
      <c r="F311" s="85" t="n"/>
      <c r="G311" s="71" t="n"/>
      <c r="H311" s="71" t="n"/>
      <c r="I311" s="83" t="n"/>
      <c r="J311" s="71" t="n"/>
      <c r="K311" s="82" t="n"/>
      <c r="L311" s="82">
        <f>IF(COUNT(E311,G311,H311,I311,J311,K311)=0,"",ROUND((IF(E311="",0,E311*10)+IF(G311="",0,G311)+IF(H311="",0,H311)+IF(I311="",0,I311*20)+IF(J311="",0,J311)+IF(K311="",0,K311*10))/COUNT(E311,G311,H311,I311,J311,K311),1))</f>
        <v/>
      </c>
      <c r="M311">
        <f>IF(L311="","",IF(L311&gt;=85,"Excellent",IF(L311&gt;=70,"Good",IF(L311&gt;=55,"Mixed","Poor"))))</f>
        <v/>
      </c>
      <c r="N311" s="66" t="n"/>
      <c r="O311" t="inlineStr">
        <is>
          <t>https://www.imdb.com/find/?q=Taken+2+2012</t>
        </is>
      </c>
      <c r="P311" t="inlineStr">
        <is>
          <t>https://www.rottentomatoes.com/search?search=Taken+2</t>
        </is>
      </c>
      <c r="Q311" t="inlineStr">
        <is>
          <t>https://letterboxd.com/search/Taken%202/</t>
        </is>
      </c>
      <c r="R311" t="inlineStr">
        <is>
          <t>https://www.metacritic.com/search/Taken+2/</t>
        </is>
      </c>
    </row>
    <row r="312">
      <c r="A312" t="inlineStr">
        <is>
          <t>F0308</t>
        </is>
      </c>
      <c r="B312" t="inlineStr">
        <is>
          <t>Ted</t>
        </is>
      </c>
      <c r="C312" s="63" t="inlineStr">
        <is>
          <t>2012</t>
        </is>
      </c>
      <c r="E312" s="82" t="n"/>
      <c r="F312" s="85" t="n"/>
      <c r="G312" s="71" t="n"/>
      <c r="H312" s="71" t="n"/>
      <c r="I312" s="83" t="n"/>
      <c r="J312" s="71" t="n"/>
      <c r="K312" s="82" t="n"/>
      <c r="L312" s="82">
        <f>IF(COUNT(E312,G312,H312,I312,J312,K312)=0,"",ROUND((IF(E312="",0,E312*10)+IF(G312="",0,G312)+IF(H312="",0,H312)+IF(I312="",0,I312*20)+IF(J312="",0,J312)+IF(K312="",0,K312*10))/COUNT(E312,G312,H312,I312,J312,K312),1))</f>
        <v/>
      </c>
      <c r="M312">
        <f>IF(L312="","",IF(L312&gt;=85,"Excellent",IF(L312&gt;=70,"Good",IF(L312&gt;=55,"Mixed","Poor"))))</f>
        <v/>
      </c>
      <c r="N312" s="66" t="n"/>
      <c r="O312" t="inlineStr">
        <is>
          <t>https://www.imdb.com/find/?q=Ted+2012</t>
        </is>
      </c>
      <c r="P312" t="inlineStr">
        <is>
          <t>https://www.rottentomatoes.com/search?search=Ted</t>
        </is>
      </c>
      <c r="Q312" t="inlineStr">
        <is>
          <t>https://letterboxd.com/search/Ted/</t>
        </is>
      </c>
      <c r="R312" t="inlineStr">
        <is>
          <t>https://www.metacritic.com/search/Ted/</t>
        </is>
      </c>
    </row>
    <row r="313">
      <c r="A313" t="inlineStr">
        <is>
          <t>F0309</t>
        </is>
      </c>
      <c r="B313" t="inlineStr">
        <is>
          <t>Teenage Mutant Ninja Turtles</t>
        </is>
      </c>
      <c r="C313" s="63" t="inlineStr">
        <is>
          <t>2014</t>
        </is>
      </c>
      <c r="E313" s="82" t="n"/>
      <c r="F313" s="85" t="n"/>
      <c r="G313" s="71" t="n"/>
      <c r="H313" s="71" t="n"/>
      <c r="I313" s="83" t="n"/>
      <c r="J313" s="71" t="n"/>
      <c r="K313" s="82" t="n"/>
      <c r="L313" s="82">
        <f>IF(COUNT(E313,G313,H313,I313,J313,K313)=0,"",ROUND((IF(E313="",0,E313*10)+IF(G313="",0,G313)+IF(H313="",0,H313)+IF(I313="",0,I313*20)+IF(J313="",0,J313)+IF(K313="",0,K313*10))/COUNT(E313,G313,H313,I313,J313,K313),1))</f>
        <v/>
      </c>
      <c r="M313">
        <f>IF(L313="","",IF(L313&gt;=85,"Excellent",IF(L313&gt;=70,"Good",IF(L313&gt;=55,"Mixed","Poor"))))</f>
        <v/>
      </c>
      <c r="N313" s="66" t="n"/>
      <c r="O313" t="inlineStr">
        <is>
          <t>https://www.imdb.com/find/?q=Teenage+Mutant+Ninja+Turtles+2014</t>
        </is>
      </c>
      <c r="P313" t="inlineStr">
        <is>
          <t>https://www.rottentomatoes.com/search?search=Teenage+Mutant+Ninja+Turtles</t>
        </is>
      </c>
      <c r="Q313" t="inlineStr">
        <is>
          <t>https://letterboxd.com/search/Teenage%20Mutant%20Ninja%20Turtles/</t>
        </is>
      </c>
      <c r="R313" t="inlineStr">
        <is>
          <t>https://www.metacritic.com/search/Teenage+Mutant+Ninja+Turtles/</t>
        </is>
      </c>
    </row>
    <row r="314">
      <c r="A314" t="inlineStr">
        <is>
          <t>F0310</t>
        </is>
      </c>
      <c r="B314" t="inlineStr">
        <is>
          <t>Terminator Salvation</t>
        </is>
      </c>
      <c r="C314" s="63" t="inlineStr">
        <is>
          <t>2009</t>
        </is>
      </c>
      <c r="E314" s="82" t="n"/>
      <c r="F314" s="85" t="n"/>
      <c r="G314" s="71" t="n"/>
      <c r="H314" s="71" t="n"/>
      <c r="I314" s="83" t="n"/>
      <c r="J314" s="71" t="n"/>
      <c r="K314" s="82" t="n"/>
      <c r="L314" s="82">
        <f>IF(COUNT(E314,G314,H314,I314,J314,K314)=0,"",ROUND((IF(E314="",0,E314*10)+IF(G314="",0,G314)+IF(H314="",0,H314)+IF(I314="",0,I314*20)+IF(J314="",0,J314)+IF(K314="",0,K314*10))/COUNT(E314,G314,H314,I314,J314,K314),1))</f>
        <v/>
      </c>
      <c r="M314">
        <f>IF(L314="","",IF(L314&gt;=85,"Excellent",IF(L314&gt;=70,"Good",IF(L314&gt;=55,"Mixed","Poor"))))</f>
        <v/>
      </c>
      <c r="N314" s="66" t="n"/>
      <c r="O314" t="inlineStr">
        <is>
          <t>https://www.imdb.com/find/?q=Terminator+Salvation+2009</t>
        </is>
      </c>
      <c r="P314" t="inlineStr">
        <is>
          <t>https://www.rottentomatoes.com/search?search=Terminator+Salvation</t>
        </is>
      </c>
      <c r="Q314" t="inlineStr">
        <is>
          <t>https://letterboxd.com/search/Terminator%20Salvation/</t>
        </is>
      </c>
      <c r="R314" t="inlineStr">
        <is>
          <t>https://www.metacritic.com/search/Terminator+Salvation/</t>
        </is>
      </c>
    </row>
    <row r="315">
      <c r="A315" t="inlineStr">
        <is>
          <t>F0311</t>
        </is>
      </c>
      <c r="B315" t="inlineStr">
        <is>
          <t>The Theory of Everything</t>
        </is>
      </c>
      <c r="C315" s="63" t="inlineStr">
        <is>
          <t>2014</t>
        </is>
      </c>
      <c r="E315" s="82" t="n"/>
      <c r="F315" s="85" t="n"/>
      <c r="G315" s="71" t="n"/>
      <c r="H315" s="71" t="n"/>
      <c r="I315" s="83" t="n"/>
      <c r="J315" s="71" t="n"/>
      <c r="K315" s="82" t="n"/>
      <c r="L315" s="82">
        <f>IF(COUNT(E315,G315,H315,I315,J315,K315)=0,"",ROUND((IF(E315="",0,E315*10)+IF(G315="",0,G315)+IF(H315="",0,H315)+IF(I315="",0,I315*20)+IF(J315="",0,J315)+IF(K315="",0,K315*10))/COUNT(E315,G315,H315,I315,J315,K315),1))</f>
        <v/>
      </c>
      <c r="M315">
        <f>IF(L315="","",IF(L315&gt;=85,"Excellent",IF(L315&gt;=70,"Good",IF(L315&gt;=55,"Mixed","Poor"))))</f>
        <v/>
      </c>
      <c r="N315" s="66" t="n"/>
      <c r="O315" t="inlineStr">
        <is>
          <t>https://www.imdb.com/find/?q=The+Theory+of+Everything+2014</t>
        </is>
      </c>
      <c r="P315" t="inlineStr">
        <is>
          <t>https://www.rottentomatoes.com/search?search=The+Theory+of+Everything</t>
        </is>
      </c>
      <c r="Q315" t="inlineStr">
        <is>
          <t>https://letterboxd.com/search/The%20Theory%20of%20Everything/</t>
        </is>
      </c>
      <c r="R315" t="inlineStr">
        <is>
          <t>https://www.metacritic.com/search/The+Theory+of+Everything/</t>
        </is>
      </c>
    </row>
    <row r="316">
      <c r="A316" t="inlineStr">
        <is>
          <t>F0312</t>
        </is>
      </c>
      <c r="B316" t="inlineStr">
        <is>
          <t>Toy Story</t>
        </is>
      </c>
      <c r="C316" s="63" t="inlineStr">
        <is>
          <t>1995</t>
        </is>
      </c>
      <c r="E316" s="82" t="n"/>
      <c r="F316" s="85" t="n"/>
      <c r="G316" s="71" t="n"/>
      <c r="H316" s="71" t="n"/>
      <c r="I316" s="83" t="n"/>
      <c r="J316" s="71" t="n"/>
      <c r="K316" s="82" t="n"/>
      <c r="L316" s="82">
        <f>IF(COUNT(E316,G316,H316,I316,J316,K316)=0,"",ROUND((IF(E316="",0,E316*10)+IF(G316="",0,G316)+IF(H316="",0,H316)+IF(I316="",0,I316*20)+IF(J316="",0,J316)+IF(K316="",0,K316*10))/COUNT(E316,G316,H316,I316,J316,K316),1))</f>
        <v/>
      </c>
      <c r="M316">
        <f>IF(L316="","",IF(L316&gt;=85,"Excellent",IF(L316&gt;=70,"Good",IF(L316&gt;=55,"Mixed","Poor"))))</f>
        <v/>
      </c>
      <c r="N316" s="66" t="n"/>
      <c r="O316" t="inlineStr">
        <is>
          <t>https://www.imdb.com/find/?q=Toy+Story+1995</t>
        </is>
      </c>
      <c r="P316" t="inlineStr">
        <is>
          <t>https://www.rottentomatoes.com/search?search=Toy+Story</t>
        </is>
      </c>
      <c r="Q316" t="inlineStr">
        <is>
          <t>https://letterboxd.com/search/Toy%20Story/</t>
        </is>
      </c>
      <c r="R316" t="inlineStr">
        <is>
          <t>https://www.metacritic.com/search/Toy+Story/</t>
        </is>
      </c>
    </row>
    <row r="317">
      <c r="A317" t="inlineStr">
        <is>
          <t>F0313</t>
        </is>
      </c>
      <c r="B317" t="inlineStr">
        <is>
          <t>Toy Story 2</t>
        </is>
      </c>
      <c r="C317" s="63" t="inlineStr">
        <is>
          <t>1999</t>
        </is>
      </c>
      <c r="E317" s="82" t="n"/>
      <c r="F317" s="85" t="n"/>
      <c r="G317" s="71" t="n"/>
      <c r="H317" s="71" t="n"/>
      <c r="I317" s="83" t="n"/>
      <c r="J317" s="71" t="n"/>
      <c r="K317" s="82" t="n"/>
      <c r="L317" s="82">
        <f>IF(COUNT(E317,G317,H317,I317,J317,K317)=0,"",ROUND((IF(E317="",0,E317*10)+IF(G317="",0,G317)+IF(H317="",0,H317)+IF(I317="",0,I317*20)+IF(J317="",0,J317)+IF(K317="",0,K317*10))/COUNT(E317,G317,H317,I317,J317,K317),1))</f>
        <v/>
      </c>
      <c r="M317">
        <f>IF(L317="","",IF(L317&gt;=85,"Excellent",IF(L317&gt;=70,"Good",IF(L317&gt;=55,"Mixed","Poor"))))</f>
        <v/>
      </c>
      <c r="N317" s="66" t="n"/>
      <c r="O317" t="inlineStr">
        <is>
          <t>https://www.imdb.com/find/?q=Toy+Story+2+1999</t>
        </is>
      </c>
      <c r="P317" t="inlineStr">
        <is>
          <t>https://www.rottentomatoes.com/search?search=Toy+Story+2</t>
        </is>
      </c>
      <c r="Q317" t="inlineStr">
        <is>
          <t>https://letterboxd.com/search/Toy%20Story%202/</t>
        </is>
      </c>
      <c r="R317" t="inlineStr">
        <is>
          <t>https://www.metacritic.com/search/Toy+Story+2/</t>
        </is>
      </c>
    </row>
    <row r="318">
      <c r="A318" t="inlineStr">
        <is>
          <t>F0314</t>
        </is>
      </c>
      <c r="B318" t="inlineStr">
        <is>
          <t>Toy Story 3</t>
        </is>
      </c>
      <c r="C318" s="63" t="inlineStr">
        <is>
          <t>2010</t>
        </is>
      </c>
      <c r="E318" s="82" t="n"/>
      <c r="F318" s="85" t="n"/>
      <c r="G318" s="71" t="n"/>
      <c r="H318" s="71" t="n"/>
      <c r="I318" s="83" t="n"/>
      <c r="J318" s="71" t="n"/>
      <c r="K318" s="82" t="n"/>
      <c r="L318" s="82">
        <f>IF(COUNT(E318,G318,H318,I318,J318,K318)=0,"",ROUND((IF(E318="",0,E318*10)+IF(G318="",0,G318)+IF(H318="",0,H318)+IF(I318="",0,I318*20)+IF(J318="",0,J318)+IF(K318="",0,K318*10))/COUNT(E318,G318,H318,I318,J318,K318),1))</f>
        <v/>
      </c>
      <c r="M318">
        <f>IF(L318="","",IF(L318&gt;=85,"Excellent",IF(L318&gt;=70,"Good",IF(L318&gt;=55,"Mixed","Poor"))))</f>
        <v/>
      </c>
      <c r="N318" s="66" t="n"/>
      <c r="O318" t="inlineStr">
        <is>
          <t>https://www.imdb.com/find/?q=Toy+Story+3+2010</t>
        </is>
      </c>
      <c r="P318" t="inlineStr">
        <is>
          <t>https://www.rottentomatoes.com/search?search=Toy+Story+3</t>
        </is>
      </c>
      <c r="Q318" t="inlineStr">
        <is>
          <t>https://letterboxd.com/search/Toy%20Story%203/</t>
        </is>
      </c>
      <c r="R318" t="inlineStr">
        <is>
          <t>https://www.metacritic.com/search/Toy+Story+3/</t>
        </is>
      </c>
    </row>
    <row r="319">
      <c r="A319" t="inlineStr">
        <is>
          <t>F0315</t>
        </is>
      </c>
      <c r="B319" t="inlineStr">
        <is>
          <t>Toy Story 4</t>
        </is>
      </c>
      <c r="C319" s="63" t="inlineStr">
        <is>
          <t>2019</t>
        </is>
      </c>
      <c r="E319" s="82" t="n"/>
      <c r="F319" s="85" t="n"/>
      <c r="G319" s="71" t="n"/>
      <c r="H319" s="71" t="n"/>
      <c r="I319" s="83" t="n"/>
      <c r="J319" s="71" t="n"/>
      <c r="K319" s="82" t="n"/>
      <c r="L319" s="82">
        <f>IF(COUNT(E319,G319,H319,I319,J319,K319)=0,"",ROUND((IF(E319="",0,E319*10)+IF(G319="",0,G319)+IF(H319="",0,H319)+IF(I319="",0,I319*20)+IF(J319="",0,J319)+IF(K319="",0,K319*10))/COUNT(E319,G319,H319,I319,J319,K319),1))</f>
        <v/>
      </c>
      <c r="M319">
        <f>IF(L319="","",IF(L319&gt;=85,"Excellent",IF(L319&gt;=70,"Good",IF(L319&gt;=55,"Mixed","Poor"))))</f>
        <v/>
      </c>
      <c r="N319" s="66" t="n"/>
      <c r="O319" t="inlineStr">
        <is>
          <t>https://www.imdb.com/find/?q=Toy+Story+4+2019</t>
        </is>
      </c>
      <c r="P319" t="inlineStr">
        <is>
          <t>https://www.rottentomatoes.com/search?search=Toy+Story+4</t>
        </is>
      </c>
      <c r="Q319" t="inlineStr">
        <is>
          <t>https://letterboxd.com/search/Toy%20Story%204/</t>
        </is>
      </c>
      <c r="R319" t="inlineStr">
        <is>
          <t>https://www.metacritic.com/search/Toy+Story+4/</t>
        </is>
      </c>
    </row>
    <row r="320">
      <c r="A320" t="inlineStr">
        <is>
          <t>F0316</t>
        </is>
      </c>
      <c r="B320" t="inlineStr">
        <is>
          <t>Transformers</t>
        </is>
      </c>
      <c r="C320" s="63" t="inlineStr">
        <is>
          <t>2007</t>
        </is>
      </c>
      <c r="E320" s="82" t="n"/>
      <c r="F320" s="85" t="n"/>
      <c r="G320" s="71" t="n"/>
      <c r="H320" s="71" t="n"/>
      <c r="I320" s="83" t="n"/>
      <c r="J320" s="71" t="n"/>
      <c r="K320" s="82" t="n"/>
      <c r="L320" s="82">
        <f>IF(COUNT(E320,G320,H320,I320,J320,K320)=0,"",ROUND((IF(E320="",0,E320*10)+IF(G320="",0,G320)+IF(H320="",0,H320)+IF(I320="",0,I320*20)+IF(J320="",0,J320)+IF(K320="",0,K320*10))/COUNT(E320,G320,H320,I320,J320,K320),1))</f>
        <v/>
      </c>
      <c r="M320">
        <f>IF(L320="","",IF(L320&gt;=85,"Excellent",IF(L320&gt;=70,"Good",IF(L320&gt;=55,"Mixed","Poor"))))</f>
        <v/>
      </c>
      <c r="N320" s="66" t="n"/>
      <c r="O320" t="inlineStr">
        <is>
          <t>https://www.imdb.com/find/?q=Transformers+2007</t>
        </is>
      </c>
      <c r="P320" t="inlineStr">
        <is>
          <t>https://www.rottentomatoes.com/search?search=Transformers</t>
        </is>
      </c>
      <c r="Q320" t="inlineStr">
        <is>
          <t>https://letterboxd.com/search/Transformers/</t>
        </is>
      </c>
      <c r="R320" t="inlineStr">
        <is>
          <t>https://www.metacritic.com/search/Transformers/</t>
        </is>
      </c>
    </row>
    <row r="321">
      <c r="A321" t="inlineStr">
        <is>
          <t>F0317</t>
        </is>
      </c>
      <c r="B321" t="inlineStr">
        <is>
          <t>Transformers: Revenge of the Fallen</t>
        </is>
      </c>
      <c r="C321" s="63" t="inlineStr">
        <is>
          <t>2009</t>
        </is>
      </c>
      <c r="E321" s="82" t="n"/>
      <c r="F321" s="85" t="n"/>
      <c r="G321" s="71" t="n"/>
      <c r="H321" s="71" t="n"/>
      <c r="I321" s="83" t="n"/>
      <c r="J321" s="71" t="n"/>
      <c r="K321" s="82" t="n"/>
      <c r="L321" s="82">
        <f>IF(COUNT(E321,G321,H321,I321,J321,K321)=0,"",ROUND((IF(E321="",0,E321*10)+IF(G321="",0,G321)+IF(H321="",0,H321)+IF(I321="",0,I321*20)+IF(J321="",0,J321)+IF(K321="",0,K321*10))/COUNT(E321,G321,H321,I321,J321,K321),1))</f>
        <v/>
      </c>
      <c r="M321">
        <f>IF(L321="","",IF(L321&gt;=85,"Excellent",IF(L321&gt;=70,"Good",IF(L321&gt;=55,"Mixed","Poor"))))</f>
        <v/>
      </c>
      <c r="N321" s="66" t="n"/>
      <c r="O321" t="inlineStr">
        <is>
          <t>https://www.imdb.com/find/?q=Transformers%3A+Revenge+of+the+Fallen+2009</t>
        </is>
      </c>
      <c r="P321" t="inlineStr">
        <is>
          <t>https://www.rottentomatoes.com/search?search=Transformers%3A+Revenge+of+the+Fallen</t>
        </is>
      </c>
      <c r="Q321" t="inlineStr">
        <is>
          <t>https://letterboxd.com/search/Transformers%3A%20Revenge%20of%20the%20Fallen/</t>
        </is>
      </c>
      <c r="R321" t="inlineStr">
        <is>
          <t>https://www.metacritic.com/search/Transformers%3A+Revenge+of+the+Fallen/</t>
        </is>
      </c>
    </row>
    <row r="322">
      <c r="A322" t="inlineStr">
        <is>
          <t>F0318</t>
        </is>
      </c>
      <c r="B322" t="inlineStr">
        <is>
          <t>Transformers: Dark of the Moon</t>
        </is>
      </c>
      <c r="C322" s="63" t="inlineStr">
        <is>
          <t>2011</t>
        </is>
      </c>
      <c r="E322" s="82" t="n"/>
      <c r="F322" s="85" t="n"/>
      <c r="G322" s="71" t="n"/>
      <c r="H322" s="71" t="n"/>
      <c r="I322" s="83" t="n"/>
      <c r="J322" s="71" t="n"/>
      <c r="K322" s="82" t="n"/>
      <c r="L322" s="82">
        <f>IF(COUNT(E322,G322,H322,I322,J322,K322)=0,"",ROUND((IF(E322="",0,E322*10)+IF(G322="",0,G322)+IF(H322="",0,H322)+IF(I322="",0,I322*20)+IF(J322="",0,J322)+IF(K322="",0,K322*10))/COUNT(E322,G322,H322,I322,J322,K322),1))</f>
        <v/>
      </c>
      <c r="M322">
        <f>IF(L322="","",IF(L322&gt;=85,"Excellent",IF(L322&gt;=70,"Good",IF(L322&gt;=55,"Mixed","Poor"))))</f>
        <v/>
      </c>
      <c r="N322" s="66" t="n"/>
      <c r="O322" t="inlineStr">
        <is>
          <t>https://www.imdb.com/find/?q=Transformers%3A+Dark+of+the+Moon+2011</t>
        </is>
      </c>
      <c r="P322" t="inlineStr">
        <is>
          <t>https://www.rottentomatoes.com/search?search=Transformers%3A+Dark+of+the+Moon</t>
        </is>
      </c>
      <c r="Q322" t="inlineStr">
        <is>
          <t>https://letterboxd.com/search/Transformers%3A%20Dark%20of%20the%20Moon/</t>
        </is>
      </c>
      <c r="R322" t="inlineStr">
        <is>
          <t>https://www.metacritic.com/search/Transformers%3A+Dark+of+the+Moon/</t>
        </is>
      </c>
    </row>
    <row r="323">
      <c r="A323" t="inlineStr">
        <is>
          <t>F0319</t>
        </is>
      </c>
      <c r="B323" t="inlineStr">
        <is>
          <t>Transformers: Age of Extinction</t>
        </is>
      </c>
      <c r="C323" s="63" t="inlineStr">
        <is>
          <t>2014</t>
        </is>
      </c>
      <c r="E323" s="82" t="n"/>
      <c r="F323" s="85" t="n"/>
      <c r="G323" s="71" t="n"/>
      <c r="H323" s="71" t="n"/>
      <c r="I323" s="83" t="n"/>
      <c r="J323" s="71" t="n"/>
      <c r="K323" s="82" t="n"/>
      <c r="L323" s="82">
        <f>IF(COUNT(E323,G323,H323,I323,J323,K323)=0,"",ROUND((IF(E323="",0,E323*10)+IF(G323="",0,G323)+IF(H323="",0,H323)+IF(I323="",0,I323*20)+IF(J323="",0,J323)+IF(K323="",0,K323*10))/COUNT(E323,G323,H323,I323,J323,K323),1))</f>
        <v/>
      </c>
      <c r="M323">
        <f>IF(L323="","",IF(L323&gt;=85,"Excellent",IF(L323&gt;=70,"Good",IF(L323&gt;=55,"Mixed","Poor"))))</f>
        <v/>
      </c>
      <c r="N323" s="66" t="n"/>
      <c r="O323" t="inlineStr">
        <is>
          <t>https://www.imdb.com/find/?q=Transformers%3A+Age+of+Extinction+2014</t>
        </is>
      </c>
      <c r="P323" t="inlineStr">
        <is>
          <t>https://www.rottentomatoes.com/search?search=Transformers%3A+Age+of+Extinction</t>
        </is>
      </c>
      <c r="Q323" t="inlineStr">
        <is>
          <t>https://letterboxd.com/search/Transformers%3A%20Age%20of%20Extinction/</t>
        </is>
      </c>
      <c r="R323" t="inlineStr">
        <is>
          <t>https://www.metacritic.com/search/Transformers%3A+Age+of+Extinction/</t>
        </is>
      </c>
    </row>
    <row r="324">
      <c r="A324" t="inlineStr">
        <is>
          <t>F0320</t>
        </is>
      </c>
      <c r="B324" t="inlineStr">
        <is>
          <t>Transformers: The Last Knight</t>
        </is>
      </c>
      <c r="C324" s="63" t="inlineStr">
        <is>
          <t>2017</t>
        </is>
      </c>
      <c r="E324" s="82" t="n"/>
      <c r="F324" s="85" t="n"/>
      <c r="G324" s="71" t="n"/>
      <c r="H324" s="71" t="n"/>
      <c r="I324" s="83" t="n"/>
      <c r="J324" s="71" t="n"/>
      <c r="K324" s="82" t="n"/>
      <c r="L324" s="82">
        <f>IF(COUNT(E324,G324,H324,I324,J324,K324)=0,"",ROUND((IF(E324="",0,E324*10)+IF(G324="",0,G324)+IF(H324="",0,H324)+IF(I324="",0,I324*20)+IF(J324="",0,J324)+IF(K324="",0,K324*10))/COUNT(E324,G324,H324,I324,J324,K324),1))</f>
        <v/>
      </c>
      <c r="M324">
        <f>IF(L324="","",IF(L324&gt;=85,"Excellent",IF(L324&gt;=70,"Good",IF(L324&gt;=55,"Mixed","Poor"))))</f>
        <v/>
      </c>
      <c r="N324" s="66" t="n"/>
      <c r="O324" t="inlineStr">
        <is>
          <t>https://www.imdb.com/find/?q=Transformers%3A+The+Last+Knight+2017</t>
        </is>
      </c>
      <c r="P324" t="inlineStr">
        <is>
          <t>https://www.rottentomatoes.com/search?search=Transformers%3A+The+Last+Knight</t>
        </is>
      </c>
      <c r="Q324" t="inlineStr">
        <is>
          <t>https://letterboxd.com/search/Transformers%3A%20The%20Last%20Knight/</t>
        </is>
      </c>
      <c r="R324" t="inlineStr">
        <is>
          <t>https://www.metacritic.com/search/Transformers%3A+The+Last+Knight/</t>
        </is>
      </c>
    </row>
    <row r="325">
      <c r="A325" t="inlineStr">
        <is>
          <t>F0321</t>
        </is>
      </c>
      <c r="B325" t="inlineStr">
        <is>
          <t>Transformers: Rise of the Beasts</t>
        </is>
      </c>
      <c r="C325" s="63" t="inlineStr">
        <is>
          <t>2023</t>
        </is>
      </c>
      <c r="E325" s="82" t="n"/>
      <c r="F325" s="85" t="n"/>
      <c r="G325" s="71" t="n"/>
      <c r="H325" s="71" t="n"/>
      <c r="I325" s="83" t="n"/>
      <c r="J325" s="71" t="n"/>
      <c r="K325" s="82" t="n"/>
      <c r="L325" s="82">
        <f>IF(COUNT(E325,G325,H325,I325,J325,K325)=0,"",ROUND((IF(E325="",0,E325*10)+IF(G325="",0,G325)+IF(H325="",0,H325)+IF(I325="",0,I325*20)+IF(J325="",0,J325)+IF(K325="",0,K325*10))/COUNT(E325,G325,H325,I325,J325,K325),1))</f>
        <v/>
      </c>
      <c r="M325">
        <f>IF(L325="","",IF(L325&gt;=85,"Excellent",IF(L325&gt;=70,"Good",IF(L325&gt;=55,"Mixed","Poor"))))</f>
        <v/>
      </c>
      <c r="N325" s="66" t="n"/>
      <c r="O325" t="inlineStr">
        <is>
          <t>https://www.imdb.com/find/?q=Transformers%3A+Rise+of+the+Beasts+2023</t>
        </is>
      </c>
      <c r="P325" t="inlineStr">
        <is>
          <t>https://www.rottentomatoes.com/search?search=Transformers%3A+Rise+of+the+Beasts</t>
        </is>
      </c>
      <c r="Q325" t="inlineStr">
        <is>
          <t>https://letterboxd.com/search/Transformers%3A%20Rise%20of%20the%20Beasts/</t>
        </is>
      </c>
      <c r="R325" t="inlineStr">
        <is>
          <t>https://www.metacritic.com/search/Transformers%3A+Rise+of+the+Beasts/</t>
        </is>
      </c>
    </row>
    <row r="326">
      <c r="A326" t="inlineStr">
        <is>
          <t>F0322</t>
        </is>
      </c>
      <c r="B326" t="inlineStr">
        <is>
          <t>The Transformers: The Movie</t>
        </is>
      </c>
      <c r="C326" s="63" t="inlineStr">
        <is>
          <t>1986</t>
        </is>
      </c>
      <c r="E326" s="82" t="n"/>
      <c r="F326" s="85" t="n"/>
      <c r="G326" s="71" t="n"/>
      <c r="H326" s="71" t="n"/>
      <c r="I326" s="83" t="n"/>
      <c r="J326" s="71" t="n"/>
      <c r="K326" s="82" t="n"/>
      <c r="L326" s="82">
        <f>IF(COUNT(E326,G326,H326,I326,J326,K326)=0,"",ROUND((IF(E326="",0,E326*10)+IF(G326="",0,G326)+IF(H326="",0,H326)+IF(I326="",0,I326*20)+IF(J326="",0,J326)+IF(K326="",0,K326*10))/COUNT(E326,G326,H326,I326,J326,K326),1))</f>
        <v/>
      </c>
      <c r="M326">
        <f>IF(L326="","",IF(L326&gt;=85,"Excellent",IF(L326&gt;=70,"Good",IF(L326&gt;=55,"Mixed","Poor"))))</f>
        <v/>
      </c>
      <c r="N326" s="66" t="n"/>
      <c r="O326" t="inlineStr">
        <is>
          <t>https://www.imdb.com/find/?q=The+Transformers%3A+The+Movie+1986</t>
        </is>
      </c>
      <c r="P326" t="inlineStr">
        <is>
          <t>https://www.rottentomatoes.com/search?search=The+Transformers%3A+The+Movie</t>
        </is>
      </c>
      <c r="Q326" t="inlineStr">
        <is>
          <t>https://letterboxd.com/search/The%20Transformers%3A%20The%20Movie/</t>
        </is>
      </c>
      <c r="R326" t="inlineStr">
        <is>
          <t>https://www.metacritic.com/search/The+Transformers%3A+The+Movie/</t>
        </is>
      </c>
    </row>
    <row r="327">
      <c r="A327" t="inlineStr">
        <is>
          <t>F0323</t>
        </is>
      </c>
      <c r="B327" t="inlineStr">
        <is>
          <t>The Transporter Refueled</t>
        </is>
      </c>
      <c r="C327" s="63" t="inlineStr">
        <is>
          <t>2015</t>
        </is>
      </c>
      <c r="E327" s="82" t="n"/>
      <c r="F327" s="85" t="n"/>
      <c r="G327" s="71" t="n"/>
      <c r="H327" s="71" t="n"/>
      <c r="I327" s="83" t="n"/>
      <c r="J327" s="71" t="n"/>
      <c r="K327" s="82" t="n"/>
      <c r="L327" s="82">
        <f>IF(COUNT(E327,G327,H327,I327,J327,K327)=0,"",ROUND((IF(E327="",0,E327*10)+IF(G327="",0,G327)+IF(H327="",0,H327)+IF(I327="",0,I327*20)+IF(J327="",0,J327)+IF(K327="",0,K327*10))/COUNT(E327,G327,H327,I327,J327,K327),1))</f>
        <v/>
      </c>
      <c r="M327">
        <f>IF(L327="","",IF(L327&gt;=85,"Excellent",IF(L327&gt;=70,"Good",IF(L327&gt;=55,"Mixed","Poor"))))</f>
        <v/>
      </c>
      <c r="N327" s="66" t="n"/>
      <c r="O327" t="inlineStr">
        <is>
          <t>https://www.imdb.com/find/?q=The+Transporter+Refueled+2015</t>
        </is>
      </c>
      <c r="P327" t="inlineStr">
        <is>
          <t>https://www.rottentomatoes.com/search?search=The+Transporter+Refueled</t>
        </is>
      </c>
      <c r="Q327" t="inlineStr">
        <is>
          <t>https://letterboxd.com/search/The%20Transporter%20Refueled/</t>
        </is>
      </c>
      <c r="R327" t="inlineStr">
        <is>
          <t>https://www.metacritic.com/search/The+Transporter+Refueled/</t>
        </is>
      </c>
    </row>
    <row r="328">
      <c r="A328" t="inlineStr">
        <is>
          <t>F0324</t>
        </is>
      </c>
      <c r="B328" t="inlineStr">
        <is>
          <t>Tropic Thunder</t>
        </is>
      </c>
      <c r="C328" s="63" t="inlineStr">
        <is>
          <t>2008</t>
        </is>
      </c>
      <c r="E328" s="82" t="n"/>
      <c r="F328" s="85" t="n"/>
      <c r="G328" s="71" t="n"/>
      <c r="H328" s="71" t="n"/>
      <c r="I328" s="83" t="n"/>
      <c r="J328" s="71" t="n"/>
      <c r="K328" s="82" t="n"/>
      <c r="L328" s="82">
        <f>IF(COUNT(E328,G328,H328,I328,J328,K328)=0,"",ROUND((IF(E328="",0,E328*10)+IF(G328="",0,G328)+IF(H328="",0,H328)+IF(I328="",0,I328*20)+IF(J328="",0,J328)+IF(K328="",0,K328*10))/COUNT(E328,G328,H328,I328,J328,K328),1))</f>
        <v/>
      </c>
      <c r="M328">
        <f>IF(L328="","",IF(L328&gt;=85,"Excellent",IF(L328&gt;=70,"Good",IF(L328&gt;=55,"Mixed","Poor"))))</f>
        <v/>
      </c>
      <c r="N328" s="66" t="n"/>
      <c r="O328" t="inlineStr">
        <is>
          <t>https://www.imdb.com/find/?q=Tropic+Thunder+2008</t>
        </is>
      </c>
      <c r="P328" t="inlineStr">
        <is>
          <t>https://www.rottentomatoes.com/search?search=Tropic+Thunder</t>
        </is>
      </c>
      <c r="Q328" t="inlineStr">
        <is>
          <t>https://letterboxd.com/search/Tropic%20Thunder/</t>
        </is>
      </c>
      <c r="R328" t="inlineStr">
        <is>
          <t>https://www.metacritic.com/search/Tropic+Thunder/</t>
        </is>
      </c>
    </row>
    <row r="329">
      <c r="A329" t="inlineStr">
        <is>
          <t>F0325</t>
        </is>
      </c>
      <c r="B329" t="inlineStr">
        <is>
          <t>True Grit</t>
        </is>
      </c>
      <c r="C329" s="63" t="inlineStr">
        <is>
          <t>2010</t>
        </is>
      </c>
      <c r="E329" s="82" t="n"/>
      <c r="F329" s="85" t="n"/>
      <c r="G329" s="71" t="n"/>
      <c r="H329" s="71" t="n"/>
      <c r="I329" s="83" t="n"/>
      <c r="J329" s="71" t="n"/>
      <c r="K329" s="82" t="n"/>
      <c r="L329" s="82">
        <f>IF(COUNT(E329,G329,H329,I329,J329,K329)=0,"",ROUND((IF(E329="",0,E329*10)+IF(G329="",0,G329)+IF(H329="",0,H329)+IF(I329="",0,I329*20)+IF(J329="",0,J329)+IF(K329="",0,K329*10))/COUNT(E329,G329,H329,I329,J329,K329),1))</f>
        <v/>
      </c>
      <c r="M329">
        <f>IF(L329="","",IF(L329&gt;=85,"Excellent",IF(L329&gt;=70,"Good",IF(L329&gt;=55,"Mixed","Poor"))))</f>
        <v/>
      </c>
      <c r="N329" s="66" t="n"/>
      <c r="O329" t="inlineStr">
        <is>
          <t>https://www.imdb.com/find/?q=True+Grit+2010</t>
        </is>
      </c>
      <c r="P329" t="inlineStr">
        <is>
          <t>https://www.rottentomatoes.com/search?search=True+Grit</t>
        </is>
      </c>
      <c r="Q329" t="inlineStr">
        <is>
          <t>https://letterboxd.com/search/True%20Grit/</t>
        </is>
      </c>
      <c r="R329" t="inlineStr">
        <is>
          <t>https://www.metacritic.com/search/True+Grit/</t>
        </is>
      </c>
    </row>
    <row r="330">
      <c r="A330" t="inlineStr">
        <is>
          <t>F0326</t>
        </is>
      </c>
      <c r="B330" t="inlineStr">
        <is>
          <t>Underworld: Evolution</t>
        </is>
      </c>
      <c r="C330" s="63" t="inlineStr">
        <is>
          <t>2006</t>
        </is>
      </c>
      <c r="E330" s="82" t="n"/>
      <c r="F330" s="85" t="n"/>
      <c r="G330" s="71" t="n"/>
      <c r="H330" s="71" t="n"/>
      <c r="I330" s="83" t="n"/>
      <c r="J330" s="71" t="n"/>
      <c r="K330" s="82" t="n"/>
      <c r="L330" s="82">
        <f>IF(COUNT(E330,G330,H330,I330,J330,K330)=0,"",ROUND((IF(E330="",0,E330*10)+IF(G330="",0,G330)+IF(H330="",0,H330)+IF(I330="",0,I330*20)+IF(J330="",0,J330)+IF(K330="",0,K330*10))/COUNT(E330,G330,H330,I330,J330,K330),1))</f>
        <v/>
      </c>
      <c r="M330">
        <f>IF(L330="","",IF(L330&gt;=85,"Excellent",IF(L330&gt;=70,"Good",IF(L330&gt;=55,"Mixed","Poor"))))</f>
        <v/>
      </c>
      <c r="N330" s="66" t="n"/>
      <c r="O330" t="inlineStr">
        <is>
          <t>https://www.imdb.com/find/?q=Underworld%3A+Evolution+2006</t>
        </is>
      </c>
      <c r="P330" t="inlineStr">
        <is>
          <t>https://www.rottentomatoes.com/search?search=Underworld%3A+Evolution</t>
        </is>
      </c>
      <c r="Q330" t="inlineStr">
        <is>
          <t>https://letterboxd.com/search/Underworld%3A%20Evolution/</t>
        </is>
      </c>
      <c r="R330" t="inlineStr">
        <is>
          <t>https://www.metacritic.com/search/Underworld%3A+Evolution/</t>
        </is>
      </c>
    </row>
    <row r="331">
      <c r="A331" t="inlineStr">
        <is>
          <t>F0327</t>
        </is>
      </c>
      <c r="B331" t="inlineStr">
        <is>
          <t>Underworld: Rise of the Lycans</t>
        </is>
      </c>
      <c r="C331" s="63" t="inlineStr">
        <is>
          <t>2009</t>
        </is>
      </c>
      <c r="E331" s="82" t="n"/>
      <c r="F331" s="85" t="n"/>
      <c r="G331" s="71" t="n"/>
      <c r="H331" s="71" t="n"/>
      <c r="I331" s="83" t="n"/>
      <c r="J331" s="71" t="n"/>
      <c r="K331" s="82" t="n"/>
      <c r="L331" s="82">
        <f>IF(COUNT(E331,G331,H331,I331,J331,K331)=0,"",ROUND((IF(E331="",0,E331*10)+IF(G331="",0,G331)+IF(H331="",0,H331)+IF(I331="",0,I331*20)+IF(J331="",0,J331)+IF(K331="",0,K331*10))/COUNT(E331,G331,H331,I331,J331,K331),1))</f>
        <v/>
      </c>
      <c r="M331">
        <f>IF(L331="","",IF(L331&gt;=85,"Excellent",IF(L331&gt;=70,"Good",IF(L331&gt;=55,"Mixed","Poor"))))</f>
        <v/>
      </c>
      <c r="N331" s="66" t="n"/>
      <c r="O331" t="inlineStr">
        <is>
          <t>https://www.imdb.com/find/?q=Underworld%3A+Rise+of+the+Lycans+2009</t>
        </is>
      </c>
      <c r="P331" t="inlineStr">
        <is>
          <t>https://www.rottentomatoes.com/search?search=Underworld%3A+Rise+of+the+Lycans</t>
        </is>
      </c>
      <c r="Q331" t="inlineStr">
        <is>
          <t>https://letterboxd.com/search/Underworld%3A%20Rise%20of%20the%20Lycans/</t>
        </is>
      </c>
      <c r="R331" t="inlineStr">
        <is>
          <t>https://www.metacritic.com/search/Underworld%3A+Rise+of+the+Lycans/</t>
        </is>
      </c>
    </row>
    <row r="332">
      <c r="A332" t="inlineStr">
        <is>
          <t>F0328</t>
        </is>
      </c>
      <c r="B332" t="inlineStr">
        <is>
          <t>Underworld: Awakening</t>
        </is>
      </c>
      <c r="C332" s="63" t="inlineStr">
        <is>
          <t>2012</t>
        </is>
      </c>
      <c r="E332" s="82" t="n"/>
      <c r="F332" s="85" t="n"/>
      <c r="G332" s="71" t="n"/>
      <c r="H332" s="71" t="n"/>
      <c r="I332" s="83" t="n"/>
      <c r="J332" s="71" t="n"/>
      <c r="K332" s="82" t="n"/>
      <c r="L332" s="82">
        <f>IF(COUNT(E332,G332,H332,I332,J332,K332)=0,"",ROUND((IF(E332="",0,E332*10)+IF(G332="",0,G332)+IF(H332="",0,H332)+IF(I332="",0,I332*20)+IF(J332="",0,J332)+IF(K332="",0,K332*10))/COUNT(E332,G332,H332,I332,J332,K332),1))</f>
        <v/>
      </c>
      <c r="M332">
        <f>IF(L332="","",IF(L332&gt;=85,"Excellent",IF(L332&gt;=70,"Good",IF(L332&gt;=55,"Mixed","Poor"))))</f>
        <v/>
      </c>
      <c r="N332" s="66" t="n"/>
      <c r="O332" t="inlineStr">
        <is>
          <t>https://www.imdb.com/find/?q=Underworld%3A+Awakening+2012</t>
        </is>
      </c>
      <c r="P332" t="inlineStr">
        <is>
          <t>https://www.rottentomatoes.com/search?search=Underworld%3A+Awakening</t>
        </is>
      </c>
      <c r="Q332" t="inlineStr">
        <is>
          <t>https://letterboxd.com/search/Underworld%3A%20Awakening/</t>
        </is>
      </c>
      <c r="R332" t="inlineStr">
        <is>
          <t>https://www.metacritic.com/search/Underworld%3A+Awakening/</t>
        </is>
      </c>
    </row>
    <row r="333">
      <c r="A333" t="inlineStr">
        <is>
          <t>F0329</t>
        </is>
      </c>
      <c r="B333" t="inlineStr">
        <is>
          <t>Unknown</t>
        </is>
      </c>
      <c r="C333" s="63" t="inlineStr">
        <is>
          <t>2011</t>
        </is>
      </c>
      <c r="E333" s="82" t="n"/>
      <c r="F333" s="85" t="n"/>
      <c r="G333" s="71" t="n"/>
      <c r="H333" s="71" t="n"/>
      <c r="I333" s="83" t="n"/>
      <c r="J333" s="71" t="n"/>
      <c r="K333" s="82" t="n"/>
      <c r="L333" s="82">
        <f>IF(COUNT(E333,G333,H333,I333,J333,K333)=0,"",ROUND((IF(E333="",0,E333*10)+IF(G333="",0,G333)+IF(H333="",0,H333)+IF(I333="",0,I333*20)+IF(J333="",0,J333)+IF(K333="",0,K333*10))/COUNT(E333,G333,H333,I333,J333,K333),1))</f>
        <v/>
      </c>
      <c r="M333">
        <f>IF(L333="","",IF(L333&gt;=85,"Excellent",IF(L333&gt;=70,"Good",IF(L333&gt;=55,"Mixed","Poor"))))</f>
        <v/>
      </c>
      <c r="N333" s="66" t="n"/>
      <c r="O333" t="inlineStr">
        <is>
          <t>https://www.imdb.com/find/?q=Unknown+2011</t>
        </is>
      </c>
      <c r="P333" t="inlineStr">
        <is>
          <t>https://www.rottentomatoes.com/search?search=Unknown</t>
        </is>
      </c>
      <c r="Q333" t="inlineStr">
        <is>
          <t>https://letterboxd.com/search/Unknown/</t>
        </is>
      </c>
      <c r="R333" t="inlineStr">
        <is>
          <t>https://www.metacritic.com/search/Unknown/</t>
        </is>
      </c>
    </row>
    <row r="334">
      <c r="A334" t="inlineStr">
        <is>
          <t>F0330</t>
        </is>
      </c>
      <c r="B334" t="inlineStr">
        <is>
          <t>Up</t>
        </is>
      </c>
      <c r="C334" s="63" t="inlineStr">
        <is>
          <t>2009</t>
        </is>
      </c>
      <c r="E334" s="82" t="n"/>
      <c r="F334" s="85" t="n"/>
      <c r="G334" s="71" t="n"/>
      <c r="H334" s="71" t="n"/>
      <c r="I334" s="83" t="n"/>
      <c r="J334" s="71" t="n"/>
      <c r="K334" s="82" t="n"/>
      <c r="L334" s="82">
        <f>IF(COUNT(E334,G334,H334,I334,J334,K334)=0,"",ROUND((IF(E334="",0,E334*10)+IF(G334="",0,G334)+IF(H334="",0,H334)+IF(I334="",0,I334*20)+IF(J334="",0,J334)+IF(K334="",0,K334*10))/COUNT(E334,G334,H334,I334,J334,K334),1))</f>
        <v/>
      </c>
      <c r="M334">
        <f>IF(L334="","",IF(L334&gt;=85,"Excellent",IF(L334&gt;=70,"Good",IF(L334&gt;=55,"Mixed","Poor"))))</f>
        <v/>
      </c>
      <c r="N334" s="66" t="n"/>
      <c r="O334" t="inlineStr">
        <is>
          <t>https://www.imdb.com/find/?q=Up+2009</t>
        </is>
      </c>
      <c r="P334" t="inlineStr">
        <is>
          <t>https://www.rottentomatoes.com/search?search=Up</t>
        </is>
      </c>
      <c r="Q334" t="inlineStr">
        <is>
          <t>https://letterboxd.com/search/Up/</t>
        </is>
      </c>
      <c r="R334" t="inlineStr">
        <is>
          <t>https://www.metacritic.com/search/Up/</t>
        </is>
      </c>
    </row>
    <row r="335">
      <c r="A335" t="inlineStr">
        <is>
          <t>F0331</t>
        </is>
      </c>
      <c r="B335" t="inlineStr">
        <is>
          <t>WALL·E</t>
        </is>
      </c>
      <c r="C335" s="63" t="inlineStr">
        <is>
          <t>2008</t>
        </is>
      </c>
      <c r="E335" s="82" t="n"/>
      <c r="F335" s="85" t="n"/>
      <c r="G335" s="71" t="n"/>
      <c r="H335" s="71" t="n"/>
      <c r="I335" s="83" t="n"/>
      <c r="J335" s="71" t="n"/>
      <c r="K335" s="82" t="n"/>
      <c r="L335" s="82">
        <f>IF(COUNT(E335,G335,H335,I335,J335,K335)=0,"",ROUND((IF(E335="",0,E335*10)+IF(G335="",0,G335)+IF(H335="",0,H335)+IF(I335="",0,I335*20)+IF(J335="",0,J335)+IF(K335="",0,K335*10))/COUNT(E335,G335,H335,I335,J335,K335),1))</f>
        <v/>
      </c>
      <c r="M335">
        <f>IF(L335="","",IF(L335&gt;=85,"Excellent",IF(L335&gt;=70,"Good",IF(L335&gt;=55,"Mixed","Poor"))))</f>
        <v/>
      </c>
      <c r="N335" s="66" t="n"/>
      <c r="O335" t="inlineStr">
        <is>
          <t>https://www.imdb.com/find/?q=WALL%C2%B7E+2008</t>
        </is>
      </c>
      <c r="P335" t="inlineStr">
        <is>
          <t>https://www.rottentomatoes.com/search?search=WALL%C2%B7E</t>
        </is>
      </c>
      <c r="Q335" t="inlineStr">
        <is>
          <t>https://letterboxd.com/search/WALL%C2%B7E/</t>
        </is>
      </c>
      <c r="R335" t="inlineStr">
        <is>
          <t>https://www.metacritic.com/search/WALL%C2%B7E/</t>
        </is>
      </c>
    </row>
    <row r="336">
      <c r="A336" t="inlineStr">
        <is>
          <t>F0332</t>
        </is>
      </c>
      <c r="B336" t="inlineStr">
        <is>
          <t>War of the Worlds</t>
        </is>
      </c>
      <c r="C336" s="63" t="inlineStr">
        <is>
          <t>2005</t>
        </is>
      </c>
      <c r="E336" s="82" t="n"/>
      <c r="F336" s="85" t="n"/>
      <c r="G336" s="71" t="n"/>
      <c r="H336" s="71" t="n"/>
      <c r="I336" s="83" t="n"/>
      <c r="J336" s="71" t="n"/>
      <c r="K336" s="82" t="n"/>
      <c r="L336" s="82">
        <f>IF(COUNT(E336,G336,H336,I336,J336,K336)=0,"",ROUND((IF(E336="",0,E336*10)+IF(G336="",0,G336)+IF(H336="",0,H336)+IF(I336="",0,I336*20)+IF(J336="",0,J336)+IF(K336="",0,K336*10))/COUNT(E336,G336,H336,I336,J336,K336),1))</f>
        <v/>
      </c>
      <c r="M336">
        <f>IF(L336="","",IF(L336&gt;=85,"Excellent",IF(L336&gt;=70,"Good",IF(L336&gt;=55,"Mixed","Poor"))))</f>
        <v/>
      </c>
      <c r="N336" s="66" t="n"/>
      <c r="O336" t="inlineStr">
        <is>
          <t>https://www.imdb.com/find/?q=War+of+the+Worlds+2005</t>
        </is>
      </c>
      <c r="P336" t="inlineStr">
        <is>
          <t>https://www.rottentomatoes.com/search?search=War+of+the+Worlds</t>
        </is>
      </c>
      <c r="Q336" t="inlineStr">
        <is>
          <t>https://letterboxd.com/search/War%20of%20the%20Worlds/</t>
        </is>
      </c>
      <c r="R336" t="inlineStr">
        <is>
          <t>https://www.metacritic.com/search/War+of+the+Worlds/</t>
        </is>
      </c>
    </row>
    <row r="337">
      <c r="A337" t="inlineStr">
        <is>
          <t>F0333</t>
        </is>
      </c>
      <c r="B337" t="inlineStr">
        <is>
          <t>Warrior</t>
        </is>
      </c>
      <c r="C337" s="63" t="inlineStr">
        <is>
          <t>2011</t>
        </is>
      </c>
      <c r="E337" s="82" t="n"/>
      <c r="F337" s="85" t="n"/>
      <c r="G337" s="71" t="n"/>
      <c r="H337" s="71" t="n"/>
      <c r="I337" s="83" t="n"/>
      <c r="J337" s="71" t="n"/>
      <c r="K337" s="82" t="n"/>
      <c r="L337" s="82">
        <f>IF(COUNT(E337,G337,H337,I337,J337,K337)=0,"",ROUND((IF(E337="",0,E337*10)+IF(G337="",0,G337)+IF(H337="",0,H337)+IF(I337="",0,I337*20)+IF(J337="",0,J337)+IF(K337="",0,K337*10))/COUNT(E337,G337,H337,I337,J337,K337),1))</f>
        <v/>
      </c>
      <c r="M337">
        <f>IF(L337="","",IF(L337&gt;=85,"Excellent",IF(L337&gt;=70,"Good",IF(L337&gt;=55,"Mixed","Poor"))))</f>
        <v/>
      </c>
      <c r="N337" s="66" t="n"/>
      <c r="O337" t="inlineStr">
        <is>
          <t>https://www.imdb.com/find/?q=Warrior+2011</t>
        </is>
      </c>
      <c r="P337" t="inlineStr">
        <is>
          <t>https://www.rottentomatoes.com/search?search=Warrior</t>
        </is>
      </c>
      <c r="Q337" t="inlineStr">
        <is>
          <t>https://letterboxd.com/search/Warrior/</t>
        </is>
      </c>
      <c r="R337" t="inlineStr">
        <is>
          <t>https://www.metacritic.com/search/Warrior/</t>
        </is>
      </c>
    </row>
    <row r="338">
      <c r="A338" t="inlineStr">
        <is>
          <t>F0334</t>
        </is>
      </c>
      <c r="B338" t="inlineStr">
        <is>
          <t>The Warriors</t>
        </is>
      </c>
      <c r="C338" s="63" t="inlineStr">
        <is>
          <t>1979</t>
        </is>
      </c>
      <c r="E338" s="82" t="n"/>
      <c r="F338" s="85" t="n"/>
      <c r="G338" s="71" t="n"/>
      <c r="H338" s="71" t="n"/>
      <c r="I338" s="83" t="n"/>
      <c r="J338" s="71" t="n"/>
      <c r="K338" s="82" t="n"/>
      <c r="L338" s="82">
        <f>IF(COUNT(E338,G338,H338,I338,J338,K338)=0,"",ROUND((IF(E338="",0,E338*10)+IF(G338="",0,G338)+IF(H338="",0,H338)+IF(I338="",0,I338*20)+IF(J338="",0,J338)+IF(K338="",0,K338*10))/COUNT(E338,G338,H338,I338,J338,K338),1))</f>
        <v/>
      </c>
      <c r="M338">
        <f>IF(L338="","",IF(L338&gt;=85,"Excellent",IF(L338&gt;=70,"Good",IF(L338&gt;=55,"Mixed","Poor"))))</f>
        <v/>
      </c>
      <c r="N338" s="66" t="n"/>
      <c r="O338" t="inlineStr">
        <is>
          <t>https://www.imdb.com/find/?q=The+Warriors+1979</t>
        </is>
      </c>
      <c r="P338" t="inlineStr">
        <is>
          <t>https://www.rottentomatoes.com/search?search=The+Warriors</t>
        </is>
      </c>
      <c r="Q338" t="inlineStr">
        <is>
          <t>https://letterboxd.com/search/The%20Warriors/</t>
        </is>
      </c>
      <c r="R338" t="inlineStr">
        <is>
          <t>https://www.metacritic.com/search/The+Warriors/</t>
        </is>
      </c>
    </row>
    <row r="339">
      <c r="A339" t="inlineStr">
        <is>
          <t>F0335</t>
        </is>
      </c>
      <c r="B339" t="inlineStr">
        <is>
          <t>White House Down</t>
        </is>
      </c>
      <c r="C339" s="63" t="inlineStr">
        <is>
          <t>2013</t>
        </is>
      </c>
      <c r="E339" s="82" t="n"/>
      <c r="F339" s="85" t="n"/>
      <c r="G339" s="71" t="n"/>
      <c r="H339" s="71" t="n"/>
      <c r="I339" s="83" t="n"/>
      <c r="J339" s="71" t="n"/>
      <c r="K339" s="82" t="n"/>
      <c r="L339" s="82">
        <f>IF(COUNT(E339,G339,H339,I339,J339,K339)=0,"",ROUND((IF(E339="",0,E339*10)+IF(G339="",0,G339)+IF(H339="",0,H339)+IF(I339="",0,I339*20)+IF(J339="",0,J339)+IF(K339="",0,K339*10))/COUNT(E339,G339,H339,I339,J339,K339),1))</f>
        <v/>
      </c>
      <c r="M339">
        <f>IF(L339="","",IF(L339&gt;=85,"Excellent",IF(L339&gt;=70,"Good",IF(L339&gt;=55,"Mixed","Poor"))))</f>
        <v/>
      </c>
      <c r="N339" s="66" t="n"/>
      <c r="O339" t="inlineStr">
        <is>
          <t>https://www.imdb.com/find/?q=White+House+Down+2013</t>
        </is>
      </c>
      <c r="P339" t="inlineStr">
        <is>
          <t>https://www.rottentomatoes.com/search?search=White+House+Down</t>
        </is>
      </c>
      <c r="Q339" t="inlineStr">
        <is>
          <t>https://letterboxd.com/search/White%20House%20Down/</t>
        </is>
      </c>
      <c r="R339" t="inlineStr">
        <is>
          <t>https://www.metacritic.com/search/White+House+Down/</t>
        </is>
      </c>
    </row>
    <row r="340">
      <c r="A340" t="inlineStr">
        <is>
          <t>F0336</t>
        </is>
      </c>
      <c r="B340" t="inlineStr">
        <is>
          <t>Wreck-It Ralph</t>
        </is>
      </c>
      <c r="C340" s="63" t="inlineStr">
        <is>
          <t>2012</t>
        </is>
      </c>
      <c r="E340" s="82" t="n"/>
      <c r="F340" s="85" t="n"/>
      <c r="G340" s="71" t="n"/>
      <c r="H340" s="71" t="n"/>
      <c r="I340" s="83" t="n"/>
      <c r="J340" s="71" t="n"/>
      <c r="K340" s="82" t="n"/>
      <c r="L340" s="82">
        <f>IF(COUNT(E340,G340,H340,I340,J340,K340)=0,"",ROUND((IF(E340="",0,E340*10)+IF(G340="",0,G340)+IF(H340="",0,H340)+IF(I340="",0,I340*20)+IF(J340="",0,J340)+IF(K340="",0,K340*10))/COUNT(E340,G340,H340,I340,J340,K340),1))</f>
        <v/>
      </c>
      <c r="M340">
        <f>IF(L340="","",IF(L340&gt;=85,"Excellent",IF(L340&gt;=70,"Good",IF(L340&gt;=55,"Mixed","Poor"))))</f>
        <v/>
      </c>
      <c r="N340" s="66" t="n"/>
      <c r="O340" t="inlineStr">
        <is>
          <t>https://www.imdb.com/find/?q=Wreck-It+Ralph+2012</t>
        </is>
      </c>
      <c r="P340" t="inlineStr">
        <is>
          <t>https://www.rottentomatoes.com/search?search=Wreck-It+Ralph</t>
        </is>
      </c>
      <c r="Q340" t="inlineStr">
        <is>
          <t>https://letterboxd.com/search/Wreck-It%20Ralph/</t>
        </is>
      </c>
      <c r="R340" t="inlineStr">
        <is>
          <t>https://www.metacritic.com/search/Wreck-It+Ralph/</t>
        </is>
      </c>
    </row>
    <row r="341">
      <c r="A341" t="inlineStr">
        <is>
          <t>F0337</t>
        </is>
      </c>
      <c r="B341" t="inlineStr">
        <is>
          <t>Ralph Breaks the Internet</t>
        </is>
      </c>
      <c r="C341" s="63" t="inlineStr">
        <is>
          <t>2018</t>
        </is>
      </c>
      <c r="E341" s="82" t="n"/>
      <c r="F341" s="85" t="n"/>
      <c r="G341" s="71" t="n"/>
      <c r="H341" s="71" t="n"/>
      <c r="I341" s="83" t="n"/>
      <c r="J341" s="71" t="n"/>
      <c r="K341" s="82" t="n"/>
      <c r="L341" s="82">
        <f>IF(COUNT(E341,G341,H341,I341,J341,K341)=0,"",ROUND((IF(E341="",0,E341*10)+IF(G341="",0,G341)+IF(H341="",0,H341)+IF(I341="",0,I341*20)+IF(J341="",0,J341)+IF(K341="",0,K341*10))/COUNT(E341,G341,H341,I341,J341,K341),1))</f>
        <v/>
      </c>
      <c r="M341">
        <f>IF(L341="","",IF(L341&gt;=85,"Excellent",IF(L341&gt;=70,"Good",IF(L341&gt;=55,"Mixed","Poor"))))</f>
        <v/>
      </c>
      <c r="N341" s="66" t="n"/>
      <c r="O341" t="inlineStr">
        <is>
          <t>https://www.imdb.com/find/?q=Ralph+Breaks+the+Internet+2018</t>
        </is>
      </c>
      <c r="P341" t="inlineStr">
        <is>
          <t>https://www.rottentomatoes.com/search?search=Ralph+Breaks+the+Internet</t>
        </is>
      </c>
      <c r="Q341" t="inlineStr">
        <is>
          <t>https://letterboxd.com/search/Ralph%20Breaks%20the%20Internet/</t>
        </is>
      </c>
      <c r="R341" t="inlineStr">
        <is>
          <t>https://www.metacritic.com/search/Ralph+Breaks+the+Internet/</t>
        </is>
      </c>
    </row>
    <row r="342">
      <c r="A342" t="inlineStr">
        <is>
          <t>F0338</t>
        </is>
      </c>
      <c r="B342" t="inlineStr">
        <is>
          <t>Wonka</t>
        </is>
      </c>
      <c r="C342" s="63" t="inlineStr">
        <is>
          <t>2023</t>
        </is>
      </c>
      <c r="D342" t="n">
        <v>5</v>
      </c>
      <c r="E342" s="82" t="n"/>
      <c r="F342" s="85" t="n"/>
      <c r="G342" s="71" t="n"/>
      <c r="H342" s="71" t="n"/>
      <c r="I342" s="83" t="n"/>
      <c r="J342" s="71" t="n"/>
      <c r="K342" s="82" t="n"/>
      <c r="L342" s="82">
        <f>IF(COUNT(E342,G342,H342,I342,J342,K342)=0,"",ROUND((IF(E342="",0,E342*10)+IF(G342="",0,G342)+IF(H342="",0,H342)+IF(I342="",0,I342*20)+IF(J342="",0,J342)+IF(K342="",0,K342*10))/COUNT(E342,G342,H342,I342,J342,K342),1))</f>
        <v/>
      </c>
      <c r="M342">
        <f>IF(L342="","",IF(L342&gt;=85,"Excellent",IF(L342&gt;=70,"Good",IF(L342&gt;=55,"Mixed","Poor"))))</f>
        <v/>
      </c>
      <c r="N342" s="66" t="n"/>
      <c r="O342" t="inlineStr">
        <is>
          <t>https://www.imdb.com/find/?q=Wonka+2023</t>
        </is>
      </c>
      <c r="P342" t="inlineStr">
        <is>
          <t>https://www.rottentomatoes.com/search?search=Wonka</t>
        </is>
      </c>
      <c r="Q342" t="inlineStr">
        <is>
          <t>https://letterboxd.com/search/Wonka/</t>
        </is>
      </c>
      <c r="R342" t="inlineStr">
        <is>
          <t>https://www.metacritic.com/search/Wonka/</t>
        </is>
      </c>
    </row>
    <row r="343">
      <c r="A343" t="inlineStr">
        <is>
          <t>F0339</t>
        </is>
      </c>
      <c r="B343" t="inlineStr">
        <is>
          <t>Willy Wonka &amp; the Chocolate Factory</t>
        </is>
      </c>
      <c r="C343" s="63" t="inlineStr">
        <is>
          <t>1971</t>
        </is>
      </c>
      <c r="E343" s="82" t="n"/>
      <c r="F343" s="85" t="n"/>
      <c r="G343" s="71" t="n"/>
      <c r="H343" s="71" t="n"/>
      <c r="I343" s="83" t="n"/>
      <c r="J343" s="71" t="n"/>
      <c r="K343" s="82" t="n"/>
      <c r="L343" s="82">
        <f>IF(COUNT(E343,G343,H343,I343,J343,K343)=0,"",ROUND((IF(E343="",0,E343*10)+IF(G343="",0,G343)+IF(H343="",0,H343)+IF(I343="",0,I343*20)+IF(J343="",0,J343)+IF(K343="",0,K343*10))/COUNT(E343,G343,H343,I343,J343,K343),1))</f>
        <v/>
      </c>
      <c r="M343">
        <f>IF(L343="","",IF(L343&gt;=85,"Excellent",IF(L343&gt;=70,"Good",IF(L343&gt;=55,"Mixed","Poor"))))</f>
        <v/>
      </c>
      <c r="N343" s="66" t="n"/>
      <c r="O343" t="inlineStr">
        <is>
          <t>https://www.imdb.com/find/?q=Willy+Wonka+%26+the+Chocolate+Factory+1971</t>
        </is>
      </c>
      <c r="P343" t="inlineStr">
        <is>
          <t>https://www.rottentomatoes.com/search?search=Willy+Wonka+%26+the+Chocolate+Factory</t>
        </is>
      </c>
      <c r="Q343" t="inlineStr">
        <is>
          <t>https://letterboxd.com/search/Willy%20Wonka%20%26%20the%20Chocolate%20Factory/</t>
        </is>
      </c>
      <c r="R343" t="inlineStr">
        <is>
          <t>https://www.metacritic.com/search/Willy+Wonka+%26+the+Chocolate+Factory/</t>
        </is>
      </c>
    </row>
    <row r="344">
      <c r="A344" t="inlineStr">
        <is>
          <t>F0340</t>
        </is>
      </c>
      <c r="B344" t="inlineStr">
        <is>
          <t>X-Men: First Class</t>
        </is>
      </c>
      <c r="C344" s="63" t="inlineStr">
        <is>
          <t>2011</t>
        </is>
      </c>
      <c r="E344" s="82" t="n"/>
      <c r="F344" s="85" t="n"/>
      <c r="G344" s="71" t="n"/>
      <c r="H344" s="71" t="n"/>
      <c r="I344" s="83" t="n"/>
      <c r="J344" s="71" t="n"/>
      <c r="K344" s="82" t="n"/>
      <c r="L344" s="82">
        <f>IF(COUNT(E344,G344,H344,I344,J344,K344)=0,"",ROUND((IF(E344="",0,E344*10)+IF(G344="",0,G344)+IF(H344="",0,H344)+IF(I344="",0,I344*20)+IF(J344="",0,J344)+IF(K344="",0,K344*10))/COUNT(E344,G344,H344,I344,J344,K344),1))</f>
        <v/>
      </c>
      <c r="M344">
        <f>IF(L344="","",IF(L344&gt;=85,"Excellent",IF(L344&gt;=70,"Good",IF(L344&gt;=55,"Mixed","Poor"))))</f>
        <v/>
      </c>
      <c r="N344" s="66" t="n"/>
      <c r="O344" t="inlineStr">
        <is>
          <t>https://www.imdb.com/find/?q=X-Men%3A+First+Class+2011</t>
        </is>
      </c>
      <c r="P344" t="inlineStr">
        <is>
          <t>https://www.rottentomatoes.com/search?search=X-Men%3A+First+Class</t>
        </is>
      </c>
      <c r="Q344" t="inlineStr">
        <is>
          <t>https://letterboxd.com/search/X-Men%3A%20First%20Class/</t>
        </is>
      </c>
      <c r="R344" t="inlineStr">
        <is>
          <t>https://www.metacritic.com/search/X-Men%3A+First+Class/</t>
        </is>
      </c>
    </row>
    <row r="345">
      <c r="A345" t="inlineStr">
        <is>
          <t>F0341</t>
        </is>
      </c>
      <c r="B345" t="inlineStr">
        <is>
          <t>X-Men: Days of Future Past</t>
        </is>
      </c>
      <c r="C345" s="63" t="inlineStr">
        <is>
          <t>2014</t>
        </is>
      </c>
      <c r="E345" s="82" t="n"/>
      <c r="F345" s="85" t="n"/>
      <c r="G345" s="71" t="n"/>
      <c r="H345" s="71" t="n"/>
      <c r="I345" s="83" t="n"/>
      <c r="J345" s="71" t="n"/>
      <c r="K345" s="82" t="n"/>
      <c r="L345" s="82">
        <f>IF(COUNT(E345,G345,H345,I345,J345,K345)=0,"",ROUND((IF(E345="",0,E345*10)+IF(G345="",0,G345)+IF(H345="",0,H345)+IF(I345="",0,I345*20)+IF(J345="",0,J345)+IF(K345="",0,K345*10))/COUNT(E345,G345,H345,I345,J345,K345),1))</f>
        <v/>
      </c>
      <c r="M345">
        <f>IF(L345="","",IF(L345&gt;=85,"Excellent",IF(L345&gt;=70,"Good",IF(L345&gt;=55,"Mixed","Poor"))))</f>
        <v/>
      </c>
      <c r="N345" s="66" t="n"/>
      <c r="O345" t="inlineStr">
        <is>
          <t>https://www.imdb.com/find/?q=X-Men%3A+Days+of+Future+Past+2014</t>
        </is>
      </c>
      <c r="P345" t="inlineStr">
        <is>
          <t>https://www.rottentomatoes.com/search?search=X-Men%3A+Days+of+Future+Past</t>
        </is>
      </c>
      <c r="Q345" t="inlineStr">
        <is>
          <t>https://letterboxd.com/search/X-Men%3A%20Days%20of%20Future%20Past/</t>
        </is>
      </c>
      <c r="R345" t="inlineStr">
        <is>
          <t>https://www.metacritic.com/search/X-Men%3A+Days+of+Future+Past/</t>
        </is>
      </c>
    </row>
    <row r="346">
      <c r="A346" t="inlineStr">
        <is>
          <t>F0342</t>
        </is>
      </c>
      <c r="B346" t="inlineStr">
        <is>
          <t>X-Men: Apocalypse</t>
        </is>
      </c>
      <c r="C346" s="63" t="inlineStr">
        <is>
          <t>2016</t>
        </is>
      </c>
      <c r="E346" s="82" t="n"/>
      <c r="F346" s="85" t="n"/>
      <c r="G346" s="71" t="n"/>
      <c r="H346" s="71" t="n"/>
      <c r="I346" s="83" t="n"/>
      <c r="J346" s="71" t="n"/>
      <c r="K346" s="82" t="n"/>
      <c r="L346" s="82">
        <f>IF(COUNT(E346,G346,H346,I346,J346,K346)=0,"",ROUND((IF(E346="",0,E346*10)+IF(G346="",0,G346)+IF(H346="",0,H346)+IF(I346="",0,I346*20)+IF(J346="",0,J346)+IF(K346="",0,K346*10))/COUNT(E346,G346,H346,I346,J346,K346),1))</f>
        <v/>
      </c>
      <c r="M346">
        <f>IF(L346="","",IF(L346&gt;=85,"Excellent",IF(L346&gt;=70,"Good",IF(L346&gt;=55,"Mixed","Poor"))))</f>
        <v/>
      </c>
      <c r="N346" s="66" t="n"/>
      <c r="O346" t="inlineStr">
        <is>
          <t>https://www.imdb.com/find/?q=X-Men%3A+Apocalypse+2016</t>
        </is>
      </c>
      <c r="P346" t="inlineStr">
        <is>
          <t>https://www.rottentomatoes.com/search?search=X-Men%3A+Apocalypse</t>
        </is>
      </c>
      <c r="Q346" t="inlineStr">
        <is>
          <t>https://letterboxd.com/search/X-Men%3A%20Apocalypse/</t>
        </is>
      </c>
      <c r="R346" t="inlineStr">
        <is>
          <t>https://www.metacritic.com/search/X-Men%3A+Apocalypse/</t>
        </is>
      </c>
    </row>
    <row r="347">
      <c r="A347" t="inlineStr">
        <is>
          <t>F0343</t>
        </is>
      </c>
      <c r="B347" t="inlineStr">
        <is>
          <t>X-Men Origins: Wolverine</t>
        </is>
      </c>
      <c r="C347" s="63" t="inlineStr">
        <is>
          <t>2009</t>
        </is>
      </c>
      <c r="E347" s="82" t="n"/>
      <c r="F347" s="85" t="n"/>
      <c r="G347" s="71" t="n"/>
      <c r="H347" s="71" t="n"/>
      <c r="I347" s="83" t="n"/>
      <c r="J347" s="71" t="n"/>
      <c r="K347" s="82" t="n"/>
      <c r="L347" s="82">
        <f>IF(COUNT(E347,G347,H347,I347,J347,K347)=0,"",ROUND((IF(E347="",0,E347*10)+IF(G347="",0,G347)+IF(H347="",0,H347)+IF(I347="",0,I347*20)+IF(J347="",0,J347)+IF(K347="",0,K347*10))/COUNT(E347,G347,H347,I347,J347,K347),1))</f>
        <v/>
      </c>
      <c r="M347">
        <f>IF(L347="","",IF(L347&gt;=85,"Excellent",IF(L347&gt;=70,"Good",IF(L347&gt;=55,"Mixed","Poor"))))</f>
        <v/>
      </c>
      <c r="N347" s="66" t="n"/>
      <c r="O347" t="inlineStr">
        <is>
          <t>https://www.imdb.com/find/?q=X-Men+Origins%3A+Wolverine+2009</t>
        </is>
      </c>
      <c r="P347" t="inlineStr">
        <is>
          <t>https://www.rottentomatoes.com/search?search=X-Men+Origins%3A+Wolverine</t>
        </is>
      </c>
      <c r="Q347" t="inlineStr">
        <is>
          <t>https://letterboxd.com/search/X-Men%20Origins%3A%20Wolverine/</t>
        </is>
      </c>
      <c r="R347" t="inlineStr">
        <is>
          <t>https://www.metacritic.com/search/X-Men+Origins%3A+Wolverine/</t>
        </is>
      </c>
    </row>
    <row r="348">
      <c r="A348" t="inlineStr">
        <is>
          <t>F0344</t>
        </is>
      </c>
      <c r="B348" t="inlineStr">
        <is>
          <t>X-Men</t>
        </is>
      </c>
      <c r="C348" s="63" t="inlineStr">
        <is>
          <t>2000</t>
        </is>
      </c>
      <c r="E348" s="82" t="n"/>
      <c r="F348" s="85" t="n"/>
      <c r="G348" s="71" t="n"/>
      <c r="H348" s="71" t="n"/>
      <c r="I348" s="83" t="n"/>
      <c r="J348" s="71" t="n"/>
      <c r="K348" s="82" t="n"/>
      <c r="L348" s="82">
        <f>IF(COUNT(E348,G348,H348,I348,J348,K348)=0,"",ROUND((IF(E348="",0,E348*10)+IF(G348="",0,G348)+IF(H348="",0,H348)+IF(I348="",0,I348*20)+IF(J348="",0,J348)+IF(K348="",0,K348*10))/COUNT(E348,G348,H348,I348,J348,K348),1))</f>
        <v/>
      </c>
      <c r="M348">
        <f>IF(L348="","",IF(L348&gt;=85,"Excellent",IF(L348&gt;=70,"Good",IF(L348&gt;=55,"Mixed","Poor"))))</f>
        <v/>
      </c>
      <c r="N348" s="66" t="n"/>
      <c r="O348" t="inlineStr">
        <is>
          <t>https://www.imdb.com/find/?q=X-Men+2000</t>
        </is>
      </c>
      <c r="P348" t="inlineStr">
        <is>
          <t>https://www.rottentomatoes.com/search?search=X-Men</t>
        </is>
      </c>
      <c r="Q348" t="inlineStr">
        <is>
          <t>https://letterboxd.com/search/X-Men/</t>
        </is>
      </c>
      <c r="R348" t="inlineStr">
        <is>
          <t>https://www.metacritic.com/search/X-Men/</t>
        </is>
      </c>
    </row>
    <row r="349">
      <c r="A349" t="inlineStr">
        <is>
          <t>F0345</t>
        </is>
      </c>
      <c r="B349" t="inlineStr">
        <is>
          <t>X2: X-Men United</t>
        </is>
      </c>
      <c r="C349" s="63" t="inlineStr">
        <is>
          <t>2003</t>
        </is>
      </c>
      <c r="E349" s="82" t="n"/>
      <c r="F349" s="85" t="n"/>
      <c r="G349" s="71" t="n"/>
      <c r="H349" s="71" t="n"/>
      <c r="I349" s="83" t="n"/>
      <c r="J349" s="71" t="n"/>
      <c r="K349" s="82" t="n"/>
      <c r="L349" s="82">
        <f>IF(COUNT(E349,G349,H349,I349,J349,K349)=0,"",ROUND((IF(E349="",0,E349*10)+IF(G349="",0,G349)+IF(H349="",0,H349)+IF(I349="",0,I349*20)+IF(J349="",0,J349)+IF(K349="",0,K349*10))/COUNT(E349,G349,H349,I349,J349,K349),1))</f>
        <v/>
      </c>
      <c r="M349">
        <f>IF(L349="","",IF(L349&gt;=85,"Excellent",IF(L349&gt;=70,"Good",IF(L349&gt;=55,"Mixed","Poor"))))</f>
        <v/>
      </c>
      <c r="N349" s="66" t="n"/>
      <c r="O349" t="inlineStr">
        <is>
          <t>https://www.imdb.com/find/?q=X2%3A+X-Men+United+2003</t>
        </is>
      </c>
      <c r="P349" t="inlineStr">
        <is>
          <t>https://www.rottentomatoes.com/search?search=X2%3A+X-Men+United</t>
        </is>
      </c>
      <c r="Q349" t="inlineStr">
        <is>
          <t>https://letterboxd.com/search/X2%3A%20X-Men%20United/</t>
        </is>
      </c>
      <c r="R349" t="inlineStr">
        <is>
          <t>https://www.metacritic.com/search/X2%3A+X-Men+United/</t>
        </is>
      </c>
    </row>
    <row r="350">
      <c r="A350" t="inlineStr">
        <is>
          <t>F0346</t>
        </is>
      </c>
      <c r="B350" t="inlineStr">
        <is>
          <t>X-Men: The Last Stand</t>
        </is>
      </c>
      <c r="C350" s="63" t="inlineStr">
        <is>
          <t>2006</t>
        </is>
      </c>
      <c r="E350" s="82" t="n"/>
      <c r="F350" s="85" t="n"/>
      <c r="G350" s="71" t="n"/>
      <c r="H350" s="71" t="n"/>
      <c r="I350" s="83" t="n"/>
      <c r="J350" s="71" t="n"/>
      <c r="K350" s="82" t="n"/>
      <c r="L350" s="82">
        <f>IF(COUNT(E350,G350,H350,I350,J350,K350)=0,"",ROUND((IF(E350="",0,E350*10)+IF(G350="",0,G350)+IF(H350="",0,H350)+IF(I350="",0,I350*20)+IF(J350="",0,J350)+IF(K350="",0,K350*10))/COUNT(E350,G350,H350,I350,J350,K350),1))</f>
        <v/>
      </c>
      <c r="M350">
        <f>IF(L350="","",IF(L350&gt;=85,"Excellent",IF(L350&gt;=70,"Good",IF(L350&gt;=55,"Mixed","Poor"))))</f>
        <v/>
      </c>
      <c r="N350" s="66" t="n"/>
      <c r="O350" t="inlineStr">
        <is>
          <t>https://www.imdb.com/find/?q=X-Men%3A+The+Last+Stand+2006</t>
        </is>
      </c>
      <c r="P350" t="inlineStr">
        <is>
          <t>https://www.rottentomatoes.com/search?search=X-Men%3A+The+Last+Stand</t>
        </is>
      </c>
      <c r="Q350" t="inlineStr">
        <is>
          <t>https://letterboxd.com/search/X-Men%3A%20The%20Last%20Stand/</t>
        </is>
      </c>
      <c r="R350" t="inlineStr">
        <is>
          <t>https://www.metacritic.com/search/X-Men%3A+The+Last+Stand/</t>
        </is>
      </c>
    </row>
    <row r="351">
      <c r="A351" t="inlineStr">
        <is>
          <t>F0347</t>
        </is>
      </c>
      <c r="B351" t="inlineStr">
        <is>
          <t>The Wolverine</t>
        </is>
      </c>
      <c r="C351" s="63" t="inlineStr">
        <is>
          <t>2013</t>
        </is>
      </c>
      <c r="E351" s="82" t="n"/>
      <c r="F351" s="85" t="n"/>
      <c r="G351" s="71" t="n"/>
      <c r="H351" s="71" t="n"/>
      <c r="I351" s="83" t="n"/>
      <c r="J351" s="71" t="n"/>
      <c r="K351" s="82" t="n"/>
      <c r="L351" s="82">
        <f>IF(COUNT(E351,G351,H351,I351,J351,K351)=0,"",ROUND((IF(E351="",0,E351*10)+IF(G351="",0,G351)+IF(H351="",0,H351)+IF(I351="",0,I351*20)+IF(J351="",0,J351)+IF(K351="",0,K351*10))/COUNT(E351,G351,H351,I351,J351,K351),1))</f>
        <v/>
      </c>
      <c r="M351">
        <f>IF(L351="","",IF(L351&gt;=85,"Excellent",IF(L351&gt;=70,"Good",IF(L351&gt;=55,"Mixed","Poor"))))</f>
        <v/>
      </c>
      <c r="N351" s="66" t="n"/>
      <c r="O351" t="inlineStr">
        <is>
          <t>https://www.imdb.com/find/?q=The+Wolverine+2013</t>
        </is>
      </c>
      <c r="P351" t="inlineStr">
        <is>
          <t>https://www.rottentomatoes.com/search?search=The+Wolverine</t>
        </is>
      </c>
      <c r="Q351" t="inlineStr">
        <is>
          <t>https://letterboxd.com/search/The%20Wolverine/</t>
        </is>
      </c>
      <c r="R351" t="inlineStr">
        <is>
          <t>https://www.metacritic.com/search/The+Wolverine/</t>
        </is>
      </c>
    </row>
    <row r="352">
      <c r="A352" t="inlineStr">
        <is>
          <t>F0348</t>
        </is>
      </c>
      <c r="B352" t="inlineStr">
        <is>
          <t>Yogi Bear</t>
        </is>
      </c>
      <c r="C352" s="63" t="inlineStr">
        <is>
          <t>2010</t>
        </is>
      </c>
      <c r="E352" s="82" t="n"/>
      <c r="F352" s="85" t="n"/>
      <c r="G352" s="71" t="n"/>
      <c r="H352" s="71" t="n"/>
      <c r="I352" s="83" t="n"/>
      <c r="J352" s="71" t="n"/>
      <c r="K352" s="82" t="n"/>
      <c r="L352" s="82">
        <f>IF(COUNT(E352,G352,H352,I352,J352,K352)=0,"",ROUND((IF(E352="",0,E352*10)+IF(G352="",0,G352)+IF(H352="",0,H352)+IF(I352="",0,I352*20)+IF(J352="",0,J352)+IF(K352="",0,K352*10))/COUNT(E352,G352,H352,I352,J352,K352),1))</f>
        <v/>
      </c>
      <c r="M352">
        <f>IF(L352="","",IF(L352&gt;=85,"Excellent",IF(L352&gt;=70,"Good",IF(L352&gt;=55,"Mixed","Poor"))))</f>
        <v/>
      </c>
      <c r="N352" s="66" t="n"/>
      <c r="O352" t="inlineStr">
        <is>
          <t>https://www.imdb.com/find/?q=Yogi+Bear+2010</t>
        </is>
      </c>
      <c r="P352" t="inlineStr">
        <is>
          <t>https://www.rottentomatoes.com/search?search=Yogi+Bear</t>
        </is>
      </c>
      <c r="Q352" t="inlineStr">
        <is>
          <t>https://letterboxd.com/search/Yogi%20Bear/</t>
        </is>
      </c>
      <c r="R352" t="inlineStr">
        <is>
          <t>https://www.metacritic.com/search/Yogi+Bear/</t>
        </is>
      </c>
    </row>
    <row r="353">
      <c r="A353" t="inlineStr">
        <is>
          <t>F0349</t>
        </is>
      </c>
      <c r="B353" t="inlineStr">
        <is>
          <t>Zero Dark Thirty</t>
        </is>
      </c>
      <c r="C353" s="63" t="inlineStr">
        <is>
          <t>2012</t>
        </is>
      </c>
      <c r="E353" s="82" t="n"/>
      <c r="F353" s="85" t="n"/>
      <c r="G353" s="71" t="n"/>
      <c r="H353" s="71" t="n"/>
      <c r="I353" s="83" t="n"/>
      <c r="J353" s="71" t="n"/>
      <c r="K353" s="82" t="n"/>
      <c r="L353" s="82">
        <f>IF(COUNT(E353,G353,H353,I353,J353,K353)=0,"",ROUND((IF(E353="",0,E353*10)+IF(G353="",0,G353)+IF(H353="",0,H353)+IF(I353="",0,I353*20)+IF(J353="",0,J353)+IF(K353="",0,K353*10))/COUNT(E353,G353,H353,I353,J353,K353),1))</f>
        <v/>
      </c>
      <c r="M353">
        <f>IF(L353="","",IF(L353&gt;=85,"Excellent",IF(L353&gt;=70,"Good",IF(L353&gt;=55,"Mixed","Poor"))))</f>
        <v/>
      </c>
      <c r="N353" s="66" t="n"/>
      <c r="O353" t="inlineStr">
        <is>
          <t>https://www.imdb.com/find/?q=Zero+Dark+Thirty+2012</t>
        </is>
      </c>
      <c r="P353" t="inlineStr">
        <is>
          <t>https://www.rottentomatoes.com/search?search=Zero+Dark+Thirty</t>
        </is>
      </c>
      <c r="Q353" t="inlineStr">
        <is>
          <t>https://letterboxd.com/search/Zero%20Dark%20Thirty/</t>
        </is>
      </c>
      <c r="R353" t="inlineStr">
        <is>
          <t>https://www.metacritic.com/search/Zero+Dark+Thirty/</t>
        </is>
      </c>
    </row>
    <row r="354">
      <c r="A354" s="65" t="inlineStr">
        <is>
          <t>F0350</t>
        </is>
      </c>
      <c r="B354" s="65" t="inlineStr">
        <is>
          <t>Zodiac</t>
        </is>
      </c>
      <c r="C354" s="69" t="inlineStr">
        <is>
          <t>2007</t>
        </is>
      </c>
      <c r="D354" s="65" t="n"/>
      <c r="E354" s="84" t="n"/>
      <c r="F354" s="86" t="n"/>
      <c r="G354" s="72" t="n"/>
      <c r="H354" s="72" t="n"/>
      <c r="I354" s="87" t="n"/>
      <c r="J354" s="72" t="n"/>
      <c r="K354" s="84" t="n"/>
      <c r="L354" s="84">
        <f>IF(COUNT(E354,G354,H354,I354,J354,K354)=0,"",ROUND((IF(E354="",0,E354*10)+IF(G354="",0,G354)+IF(H354="",0,H354)+IF(I354="",0,I354*20)+IF(J354="",0,J354)+IF(K354="",0,K354*10))/COUNT(E354,G354,H354,I354,J354,K354),1))</f>
        <v/>
      </c>
      <c r="M354" s="65">
        <f>IF(L354="","",IF(L354&gt;=85,"Excellent",IF(L354&gt;=70,"Good",IF(L354&gt;=55,"Mixed","Poor"))))</f>
        <v/>
      </c>
      <c r="N354" s="67" t="n"/>
      <c r="O354" s="65" t="inlineStr">
        <is>
          <t>https://www.imdb.com/find/?q=Zodiac+2007</t>
        </is>
      </c>
      <c r="P354" s="65" t="inlineStr">
        <is>
          <t>https://www.rottentomatoes.com/search?search=Zodiac</t>
        </is>
      </c>
      <c r="Q354" s="65" t="inlineStr">
        <is>
          <t>https://letterboxd.com/search/Zodiac/</t>
        </is>
      </c>
      <c r="R354" s="65" t="inlineStr">
        <is>
          <t>https://www.metacritic.com/search/Zodiac/</t>
        </is>
      </c>
    </row>
    <row r="355">
      <c r="C355" s="63" t="n"/>
    </row>
    <row r="356">
      <c r="C356" s="63" t="n"/>
    </row>
    <row r="357">
      <c r="C357" s="63" t="n"/>
    </row>
    <row r="358">
      <c r="C358" s="63" t="n"/>
    </row>
    <row r="359">
      <c r="C359" s="63" t="n"/>
    </row>
    <row r="360">
      <c r="C360" s="63" t="n"/>
    </row>
    <row r="361">
      <c r="C361" s="63" t="n"/>
    </row>
    <row r="362">
      <c r="C362" s="63" t="n"/>
    </row>
    <row r="363">
      <c r="C363" s="63" t="n"/>
    </row>
    <row r="364">
      <c r="C364" s="63" t="n"/>
    </row>
    <row r="365">
      <c r="C365" s="63" t="n"/>
    </row>
    <row r="366">
      <c r="C366" s="63" t="n"/>
    </row>
    <row r="367">
      <c r="C367" s="63" t="n"/>
    </row>
    <row r="368">
      <c r="C368" s="63" t="n"/>
    </row>
    <row r="369">
      <c r="C369" s="63" t="n"/>
    </row>
    <row r="370">
      <c r="C370" s="63" t="n"/>
    </row>
    <row r="371">
      <c r="C371" s="63" t="n"/>
    </row>
    <row r="372">
      <c r="C372" s="63" t="n"/>
    </row>
    <row r="373">
      <c r="C373" s="63" t="n"/>
    </row>
    <row r="374">
      <c r="C374" s="63" t="n"/>
    </row>
    <row r="375">
      <c r="C375" s="63" t="n"/>
    </row>
    <row r="376">
      <c r="C376" s="63" t="n"/>
    </row>
    <row r="377">
      <c r="C377" s="63" t="n"/>
    </row>
    <row r="378">
      <c r="C378" s="63" t="n"/>
    </row>
    <row r="379">
      <c r="C379" s="63" t="n"/>
    </row>
    <row r="380">
      <c r="C380" s="63" t="n"/>
    </row>
    <row r="381">
      <c r="C381" s="63" t="n"/>
    </row>
    <row r="382">
      <c r="C382" s="63" t="n"/>
    </row>
    <row r="383">
      <c r="C383" s="63" t="n"/>
    </row>
    <row r="384">
      <c r="C384" s="63" t="n"/>
    </row>
    <row r="385">
      <c r="C385" s="63" t="n"/>
    </row>
    <row r="386">
      <c r="C386" s="63" t="n"/>
    </row>
    <row r="387">
      <c r="C387" s="63" t="n"/>
    </row>
    <row r="388">
      <c r="C388" s="63" t="n"/>
    </row>
    <row r="389">
      <c r="C389" s="63" t="n"/>
    </row>
    <row r="390">
      <c r="C390" s="63" t="n"/>
    </row>
    <row r="391">
      <c r="C391" s="63" t="n"/>
    </row>
    <row r="392">
      <c r="C392" s="63" t="n"/>
    </row>
    <row r="393">
      <c r="C393" s="63" t="n"/>
    </row>
    <row r="394">
      <c r="C394" s="63" t="n"/>
    </row>
    <row r="395">
      <c r="C395" s="63" t="n"/>
    </row>
    <row r="396">
      <c r="C396" s="63" t="n"/>
    </row>
    <row r="397">
      <c r="C397" s="63" t="n"/>
    </row>
    <row r="398">
      <c r="C398" s="63" t="n"/>
    </row>
    <row r="399">
      <c r="C399" s="63" t="n"/>
    </row>
    <row r="400">
      <c r="C400" s="63" t="n"/>
    </row>
    <row r="401">
      <c r="C401" s="63" t="n"/>
    </row>
    <row r="402">
      <c r="C402" s="63" t="n"/>
    </row>
    <row r="403">
      <c r="C403" s="63" t="n"/>
    </row>
    <row r="404">
      <c r="C404" s="63" t="n"/>
    </row>
    <row r="405">
      <c r="C405" s="63" t="n"/>
    </row>
    <row r="406">
      <c r="C406" s="63" t="n"/>
    </row>
    <row r="407">
      <c r="C407" s="63" t="n"/>
    </row>
    <row r="408">
      <c r="C408" s="63" t="n"/>
    </row>
    <row r="409">
      <c r="C409" s="63" t="n"/>
    </row>
    <row r="410">
      <c r="C410" s="63" t="n"/>
    </row>
    <row r="411">
      <c r="C411" s="63" t="n"/>
    </row>
    <row r="412">
      <c r="C412" s="63" t="n"/>
    </row>
    <row r="413">
      <c r="C413" s="63" t="n"/>
    </row>
    <row r="414">
      <c r="C414" s="63" t="n"/>
    </row>
    <row r="415">
      <c r="C415" s="63" t="n"/>
    </row>
    <row r="416">
      <c r="C416" s="63" t="n"/>
    </row>
    <row r="417">
      <c r="C417" s="63" t="n"/>
    </row>
    <row r="418">
      <c r="C418" s="63" t="n"/>
    </row>
    <row r="419">
      <c r="C419" s="63" t="n"/>
    </row>
    <row r="420">
      <c r="C420" s="63" t="n"/>
    </row>
    <row r="421">
      <c r="C421" s="63" t="n"/>
    </row>
    <row r="422">
      <c r="C422" s="63" t="n"/>
    </row>
    <row r="423">
      <c r="C423" s="63" t="n"/>
    </row>
    <row r="424">
      <c r="C424" s="63" t="n"/>
    </row>
    <row r="425">
      <c r="C425" s="63" t="n"/>
    </row>
    <row r="426">
      <c r="C426" s="63" t="n"/>
    </row>
    <row r="427">
      <c r="C427" s="63" t="n"/>
    </row>
    <row r="428">
      <c r="C428" s="63" t="n"/>
    </row>
    <row r="429">
      <c r="C429" s="63" t="n"/>
    </row>
    <row r="430">
      <c r="C430" s="63" t="n"/>
    </row>
    <row r="431">
      <c r="C431" s="63" t="n"/>
    </row>
    <row r="432">
      <c r="C432" s="63" t="n"/>
    </row>
    <row r="433">
      <c r="C433" s="63" t="n"/>
    </row>
    <row r="434">
      <c r="C434" s="63" t="n"/>
    </row>
    <row r="435">
      <c r="C435" s="63" t="n"/>
    </row>
    <row r="436">
      <c r="C436" s="63" t="n"/>
    </row>
    <row r="437">
      <c r="C437" s="63" t="n"/>
    </row>
    <row r="438">
      <c r="C438" s="63" t="n"/>
    </row>
    <row r="439">
      <c r="C439" s="63" t="n"/>
    </row>
    <row r="440">
      <c r="C440" s="63" t="n"/>
    </row>
    <row r="441">
      <c r="C441" s="63" t="n"/>
    </row>
    <row r="442">
      <c r="C442" s="63" t="n"/>
    </row>
    <row r="443">
      <c r="C443" s="63" t="n"/>
    </row>
    <row r="444">
      <c r="C444" s="63" t="n"/>
    </row>
    <row r="445">
      <c r="C445" s="63" t="n"/>
    </row>
    <row r="446">
      <c r="C446" s="63" t="n"/>
    </row>
    <row r="447">
      <c r="C447" s="63" t="n"/>
    </row>
    <row r="448">
      <c r="C448" s="63" t="n"/>
    </row>
    <row r="449">
      <c r="C449" s="63" t="n"/>
    </row>
    <row r="450">
      <c r="C450" s="63" t="n"/>
    </row>
    <row r="451">
      <c r="C451" s="63" t="n"/>
    </row>
    <row r="452">
      <c r="C452" s="63" t="n"/>
    </row>
    <row r="453">
      <c r="C453" s="63" t="n"/>
    </row>
    <row r="454">
      <c r="C454" s="63" t="n"/>
    </row>
    <row r="455">
      <c r="C455" s="63" t="n"/>
    </row>
    <row r="456">
      <c r="C456" s="63" t="n"/>
    </row>
    <row r="457">
      <c r="C457" s="63" t="n"/>
    </row>
    <row r="458">
      <c r="C458" s="63" t="n"/>
    </row>
    <row r="459">
      <c r="C459" s="63" t="n"/>
    </row>
    <row r="460">
      <c r="C460" s="63" t="n"/>
    </row>
    <row r="461">
      <c r="C461" s="63" t="n"/>
    </row>
    <row r="462">
      <c r="C462" s="63" t="n"/>
    </row>
    <row r="463">
      <c r="C463" s="63" t="n"/>
    </row>
    <row r="464">
      <c r="C464" s="63" t="n"/>
    </row>
    <row r="465">
      <c r="C465" s="63" t="n"/>
    </row>
    <row r="466">
      <c r="C466" s="63" t="n"/>
    </row>
    <row r="467">
      <c r="C467" s="63" t="n"/>
    </row>
    <row r="468">
      <c r="C468" s="63" t="n"/>
    </row>
    <row r="469">
      <c r="C469" s="63" t="n"/>
    </row>
    <row r="470">
      <c r="C470" s="63" t="n"/>
    </row>
    <row r="471">
      <c r="C471" s="63" t="n"/>
    </row>
    <row r="472">
      <c r="C472" s="63" t="n"/>
    </row>
    <row r="473">
      <c r="C473" s="63" t="n"/>
    </row>
    <row r="474">
      <c r="C474" s="63" t="n"/>
    </row>
    <row r="475">
      <c r="C475" s="63" t="n"/>
    </row>
    <row r="476">
      <c r="C476" s="63" t="n"/>
    </row>
    <row r="477">
      <c r="C477" s="63" t="n"/>
    </row>
    <row r="478">
      <c r="C478" s="63" t="n"/>
    </row>
    <row r="479">
      <c r="C479" s="63" t="n"/>
    </row>
    <row r="480">
      <c r="C480" s="63" t="n"/>
    </row>
    <row r="481">
      <c r="C481" s="63" t="n"/>
    </row>
    <row r="482">
      <c r="C482" s="63" t="n"/>
    </row>
    <row r="483">
      <c r="C483" s="63" t="n"/>
    </row>
    <row r="484">
      <c r="C484" s="63" t="n"/>
    </row>
    <row r="485">
      <c r="C485" s="63" t="n"/>
    </row>
    <row r="486">
      <c r="C486" s="63" t="n"/>
    </row>
    <row r="487">
      <c r="C487" s="63" t="n"/>
    </row>
    <row r="488">
      <c r="C488" s="63" t="n"/>
    </row>
    <row r="489">
      <c r="C489" s="63" t="n"/>
    </row>
    <row r="490">
      <c r="C490" s="63" t="n"/>
    </row>
    <row r="491">
      <c r="C491" s="63" t="n"/>
    </row>
    <row r="492">
      <c r="C492" s="63" t="n"/>
    </row>
    <row r="493">
      <c r="C493" s="63" t="n"/>
    </row>
    <row r="494">
      <c r="C494" s="63" t="n"/>
    </row>
    <row r="495">
      <c r="C495" s="63" t="n"/>
    </row>
    <row r="496">
      <c r="C496" s="63" t="n"/>
    </row>
    <row r="497">
      <c r="C497" s="63" t="n"/>
    </row>
    <row r="498">
      <c r="C498" s="63" t="n"/>
    </row>
    <row r="499">
      <c r="C499" s="63" t="n"/>
    </row>
    <row r="500">
      <c r="C500" s="63" t="n"/>
    </row>
  </sheetData>
  <mergeCells count="2">
    <mergeCell ref="A2:R2"/>
    <mergeCell ref="A1:R1"/>
  </mergeCells>
  <conditionalFormatting sqref="L5:L354">
    <cfRule type="colorScale" priority="1">
      <colorScale>
        <cfvo type="min"/>
        <cfvo type="percentile" val="50"/>
        <cfvo type="max"/>
        <color rgb="FFFCE8E6"/>
        <color rgb="FFFFF1B8"/>
        <color rgb="FFD9EAD3"/>
      </colorScale>
    </cfRule>
  </conditionalFormatting>
  <conditionalFormatting sqref="M5:M354">
    <cfRule type="expression" priority="2" dxfId="3">
      <formula>M5="Excellent"</formula>
    </cfRule>
    <cfRule type="expression" priority="3" dxfId="2">
      <formula>M5="Good"</formula>
    </cfRule>
    <cfRule type="expression" priority="4" dxfId="1">
      <formula>M5="Mixed"</formula>
    </cfRule>
    <cfRule type="expression" priority="5" dxfId="0">
      <formula>M5="Poor"</formula>
    </cfRule>
  </conditionalFormatting>
  <dataValidations count="4">
    <dataValidation sqref="D5:D500" showDropDown="0" showInputMessage="0" showErrorMessage="0" allowBlank="0" type="decimal">
      <formula1>1</formula1>
      <formula2>5</formula2>
    </dataValidation>
    <dataValidation sqref="E5:E500 K5:K500" showDropDown="0" showInputMessage="0" showErrorMessage="0" allowBlank="0" type="decimal">
      <formula1>0</formula1>
      <formula2>10</formula2>
    </dataValidation>
    <dataValidation sqref="G5:H500 J5:J500" showDropDown="0" showInputMessage="0" showErrorMessage="0" allowBlank="0">
      <formula1>0</formula1>
      <formula2>100</formula2>
    </dataValidation>
    <dataValidation sqref="I5:I500" showDropDown="0" showInputMessage="0" showErrorMessage="0" allowBlank="0" type="decimal">
      <formula1>0</formula1>
      <formula2>5</formula2>
    </dataValidation>
  </dataValidations>
  <pageMargins left="0.7" right="0.7" top="0.75" bottom="0.75" header="0.3" footer="0.3"/>
  <tableParts count="1">
    <tablePart xmlns:r="http://schemas.openxmlformats.org/officeDocument/2006/relationships" r:id="rId1"/>
  </tablePart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2026-08-07T19:37:50Z</dcterms:created>
  <dcterms:modified xsi:type="dcterms:W3CDTF">2026-08-09T19:24:10Z</dcterms:modified>
  <cp:lastModifiedBy>Conor Hughes</cp:lastModifiedBy>
</cp:coreProperties>
</file>